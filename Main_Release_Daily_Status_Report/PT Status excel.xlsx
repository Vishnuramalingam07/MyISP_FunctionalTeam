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namedSheetViews/namedSheetView1.xml" ContentType="application/vnd.ms-excel.namedsheetviews+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hidePivotFieldList="1"/>
  <mc:AlternateContent xmlns:mc="http://schemas.openxmlformats.org/markup-compatibility/2006">
    <mc:Choice Requires="x15">
      <x15ac:absPath xmlns:x15ac="http://schemas.microsoft.com/office/spreadsheetml/2010/11/ac" url="https://ts.accenture.com/sites/mySPTesting/Shared Documents/General/01 - Deliverables/Releases - FY 2025-2026/May/"/>
    </mc:Choice>
  </mc:AlternateContent>
  <xr:revisionPtr revIDLastSave="17395" documentId="8_{D2CAD32C-C600-4B26-AD08-D44F4077B310}" xr6:coauthVersionLast="47" xr6:coauthVersionMax="47" xr10:uidLastSave="{723BC2D5-BF7C-437B-BBC6-C77E5DB9AE63}"/>
  <bookViews>
    <workbookView xWindow="-110" yWindow="-110" windowWidth="19420" windowHeight="10300" firstSheet="4" activeTab="4" xr2:uid="{C71E9A70-1C48-4917-BB5B-85343CA4DE3F}"/>
  </bookViews>
  <sheets>
    <sheet name="insprint pivot" sheetId="14" state="hidden" r:id="rId1"/>
    <sheet name="insprint" sheetId="15" r:id="rId2"/>
    <sheet name="Milestone" sheetId="4" r:id="rId3"/>
    <sheet name="Detail1" sheetId="16" state="hidden" r:id="rId4"/>
    <sheet name="PT status" sheetId="2" r:id="rId5"/>
    <sheet name="Leads Pivot" sheetId="13" state="hidden" r:id="rId6"/>
    <sheet name="Environment Details" sheetId="5" r:id="rId7"/>
    <sheet name="TFS Details" sheetId="1" r:id="rId8"/>
    <sheet name="(DO NOT TOUCH) STATUS PIVOT" sheetId="12" r:id="rId9"/>
  </sheets>
  <definedNames>
    <definedName name="_xlnm._FilterDatabase" localSheetId="6" hidden="1">'Environment Details'!$A$8:$F$8</definedName>
    <definedName name="_xlnm._FilterDatabase" localSheetId="7" hidden="1">'TFS Details'!$A$1:$AE$622</definedName>
    <definedName name="_xlnm._FilterDatabase" localSheetId="4" hidden="1">'PT status'!$A$1:$AQ$1</definedName>
  </definedNames>
  <calcPr calcId="191028"/>
  <pivotCaches>
    <pivotCache cacheId="753"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204" i="2" l="1"/>
  <c r="AK94" i="2"/>
  <c r="T126" i="2"/>
  <c r="T119" i="2"/>
  <c r="AK368" i="2"/>
  <c r="AL368" i="2"/>
  <c r="AM368" i="2"/>
  <c r="A213" i="2"/>
  <c r="B213" i="2"/>
  <c r="C213" i="2"/>
  <c r="A214" i="2"/>
  <c r="B214" i="2"/>
  <c r="C214" i="2"/>
  <c r="A215" i="2"/>
  <c r="B215" i="2"/>
  <c r="C215" i="2"/>
  <c r="A216" i="2"/>
  <c r="B216" i="2"/>
  <c r="C216" i="2"/>
  <c r="A217" i="2"/>
  <c r="B217" i="2"/>
  <c r="C217" i="2"/>
  <c r="B363" i="2"/>
  <c r="A362" i="2"/>
  <c r="AO365" i="2"/>
  <c r="AP365" i="2" s="1"/>
  <c r="AL615" i="2"/>
  <c r="AM615" i="2"/>
  <c r="AF380" i="2"/>
  <c r="AO380" i="2"/>
  <c r="AP380" i="2"/>
  <c r="AL380" i="2"/>
  <c r="AM380" i="2"/>
  <c r="A380" i="2"/>
  <c r="B380" i="2"/>
  <c r="C380" i="2"/>
  <c r="AF36" i="2"/>
  <c r="A568" i="2"/>
  <c r="B568" i="2"/>
  <c r="C568" i="2"/>
  <c r="AO568" i="2"/>
  <c r="AP568" i="2"/>
  <c r="AF568" i="2"/>
  <c r="AK568" i="2"/>
  <c r="AL568" i="2"/>
  <c r="AM568" i="2"/>
  <c r="A367" i="2"/>
  <c r="B367" i="2"/>
  <c r="C367" i="2"/>
  <c r="A368" i="2"/>
  <c r="B368" i="2"/>
  <c r="C368" i="2"/>
  <c r="AK442" i="2"/>
  <c r="AK440" i="2"/>
  <c r="K154" i="12"/>
  <c r="L154" i="12"/>
  <c r="K155" i="12"/>
  <c r="L155" i="12"/>
  <c r="K156" i="12"/>
  <c r="L156" i="12"/>
  <c r="AK95" i="2"/>
  <c r="AK97" i="2"/>
  <c r="AK100" i="2"/>
  <c r="AK101" i="2"/>
  <c r="AK102" i="2"/>
  <c r="AL102" i="2"/>
  <c r="AM102" i="2"/>
  <c r="AK104" i="2"/>
  <c r="AK117" i="2"/>
  <c r="AL117" i="2" s="1"/>
  <c r="AM117" i="2"/>
  <c r="AK129" i="2"/>
  <c r="AL129" i="2"/>
  <c r="AM129" i="2"/>
  <c r="AK133" i="2"/>
  <c r="AK138" i="2"/>
  <c r="AK141" i="2"/>
  <c r="AK142" i="2"/>
  <c r="AK143" i="2"/>
  <c r="AK144" i="2"/>
  <c r="AK157" i="2"/>
  <c r="AK158" i="2"/>
  <c r="AK159" i="2"/>
  <c r="AK161" i="2"/>
  <c r="AK163" i="2"/>
  <c r="AK164" i="2"/>
  <c r="AK165" i="2"/>
  <c r="AK167" i="2"/>
  <c r="AK168" i="2"/>
  <c r="AK169" i="2"/>
  <c r="AK172" i="2"/>
  <c r="AK173" i="2"/>
  <c r="AK177" i="2"/>
  <c r="AK193" i="2"/>
  <c r="AK194" i="2"/>
  <c r="AK199" i="2"/>
  <c r="AK200" i="2"/>
  <c r="AK202" i="2"/>
  <c r="AK206" i="2"/>
  <c r="AK209" i="2"/>
  <c r="AL209" i="2" s="1"/>
  <c r="AK210" i="2"/>
  <c r="AK212" i="2"/>
  <c r="AK218" i="2"/>
  <c r="AL218" i="2" s="1"/>
  <c r="AM218" i="2"/>
  <c r="AK219" i="2"/>
  <c r="AL219" i="2" s="1"/>
  <c r="AM219" i="2"/>
  <c r="AK220" i="2"/>
  <c r="AL220" i="2"/>
  <c r="AM220" i="2"/>
  <c r="AK227" i="2"/>
  <c r="AK328" i="2"/>
  <c r="AL328" i="2"/>
  <c r="AM328" i="2"/>
  <c r="AK363" i="2"/>
  <c r="AK364" i="2"/>
  <c r="AL364" i="2"/>
  <c r="AM364" i="2"/>
  <c r="AK365" i="2"/>
  <c r="AL365" i="2" s="1"/>
  <c r="AM365" i="2"/>
  <c r="AK366" i="2"/>
  <c r="AL366" i="2"/>
  <c r="AM366" i="2"/>
  <c r="AK376" i="2"/>
  <c r="AL376" i="2" s="1"/>
  <c r="AM376" i="2"/>
  <c r="AL379" i="2"/>
  <c r="AM379" i="2"/>
  <c r="AK386" i="2"/>
  <c r="AK388" i="2"/>
  <c r="AK389" i="2"/>
  <c r="AK394" i="2"/>
  <c r="AK395" i="2"/>
  <c r="AK396" i="2"/>
  <c r="AK402" i="2"/>
  <c r="AK403" i="2"/>
  <c r="AK406" i="2"/>
  <c r="AK414" i="2"/>
  <c r="AK415" i="2"/>
  <c r="AK420" i="2"/>
  <c r="AK421" i="2"/>
  <c r="AK426" i="2"/>
  <c r="AK430" i="2"/>
  <c r="AK431" i="2"/>
  <c r="AK451" i="2"/>
  <c r="AK465" i="2"/>
  <c r="AK475" i="2"/>
  <c r="AL475" i="2"/>
  <c r="AK476" i="2"/>
  <c r="AK477" i="2"/>
  <c r="AK478" i="2"/>
  <c r="AK479" i="2"/>
  <c r="AK480" i="2"/>
  <c r="AK524" i="2"/>
  <c r="AK549" i="2"/>
  <c r="AK552" i="2"/>
  <c r="AK563" i="2"/>
  <c r="AL563" i="2"/>
  <c r="AK594" i="2"/>
  <c r="AL594" i="2"/>
  <c r="AM594" i="2"/>
  <c r="AK596" i="2"/>
  <c r="AL596" i="2"/>
  <c r="AM596" i="2"/>
  <c r="AK597" i="2"/>
  <c r="AL597" i="2"/>
  <c r="AM597" i="2"/>
  <c r="AK599" i="2"/>
  <c r="AK606" i="2"/>
  <c r="AK610" i="2"/>
  <c r="AL610" i="2"/>
  <c r="AM610" i="2"/>
  <c r="AK90" i="2"/>
  <c r="AK82" i="2"/>
  <c r="AL53" i="2"/>
  <c r="AM53" i="2"/>
  <c r="AL54" i="2"/>
  <c r="AM54" i="2"/>
  <c r="AK36" i="2"/>
  <c r="AK37" i="2"/>
  <c r="AK33" i="2"/>
  <c r="AK29" i="2"/>
  <c r="AK27" i="2"/>
  <c r="AK19" i="2"/>
  <c r="AK10" i="2"/>
  <c r="AL10" i="2"/>
  <c r="AM10" i="2"/>
  <c r="AK6" i="2"/>
  <c r="AL3" i="2"/>
  <c r="AM3" i="2"/>
  <c r="AK230" i="2"/>
  <c r="AK231" i="2"/>
  <c r="AK232" i="2"/>
  <c r="AL232" i="2" s="1"/>
  <c r="AK233" i="2"/>
  <c r="AK234" i="2"/>
  <c r="AL234" i="2" s="1"/>
  <c r="AK235" i="2"/>
  <c r="AL235" i="2" s="1"/>
  <c r="AK236" i="2"/>
  <c r="AL236" i="2" s="1"/>
  <c r="AK237" i="2"/>
  <c r="AK238" i="2"/>
  <c r="AL238" i="2" s="1"/>
  <c r="AK240" i="2"/>
  <c r="AK241" i="2"/>
  <c r="AK242" i="2"/>
  <c r="AL242" i="2" s="1"/>
  <c r="AK244" i="2"/>
  <c r="AK245" i="2"/>
  <c r="AK246" i="2"/>
  <c r="AK247" i="2"/>
  <c r="AK248" i="2"/>
  <c r="AK249" i="2"/>
  <c r="AK250" i="2"/>
  <c r="AK251" i="2"/>
  <c r="AK252" i="2"/>
  <c r="AK253" i="2"/>
  <c r="AL253" i="2" s="1"/>
  <c r="AK254" i="2"/>
  <c r="AL254" i="2" s="1"/>
  <c r="AK255" i="2"/>
  <c r="AL255" i="2" s="1"/>
  <c r="AK256" i="2"/>
  <c r="AK257" i="2"/>
  <c r="AK258" i="2"/>
  <c r="AK259" i="2"/>
  <c r="AK260" i="2"/>
  <c r="AK261" i="2"/>
  <c r="AK262" i="2"/>
  <c r="AK263" i="2"/>
  <c r="AK264" i="2"/>
  <c r="AK265" i="2"/>
  <c r="AK266" i="2"/>
  <c r="AK267" i="2"/>
  <c r="AK268" i="2"/>
  <c r="AK269" i="2"/>
  <c r="AL269" i="2" s="1"/>
  <c r="AK270" i="2"/>
  <c r="AL270" i="2" s="1"/>
  <c r="AK271" i="2"/>
  <c r="AL271" i="2" s="1"/>
  <c r="AK272" i="2"/>
  <c r="AL272" i="2" s="1"/>
  <c r="AK273" i="2"/>
  <c r="AL273" i="2" s="1"/>
  <c r="AK274" i="2"/>
  <c r="AL274" i="2" s="1"/>
  <c r="AK275" i="2"/>
  <c r="AK276" i="2"/>
  <c r="AL276" i="2" s="1"/>
  <c r="AK277" i="2"/>
  <c r="AK278" i="2"/>
  <c r="AK279" i="2"/>
  <c r="AK280" i="2"/>
  <c r="AL280" i="2" s="1"/>
  <c r="AK281" i="2"/>
  <c r="AL281" i="2" s="1"/>
  <c r="AK282" i="2"/>
  <c r="AK283" i="2"/>
  <c r="AK284" i="2"/>
  <c r="AL284" i="2" s="1"/>
  <c r="AK285" i="2"/>
  <c r="AL285" i="2" s="1"/>
  <c r="AK286" i="2"/>
  <c r="AL286" i="2" s="1"/>
  <c r="AK287" i="2"/>
  <c r="AL287" i="2" s="1"/>
  <c r="AK288" i="2"/>
  <c r="AK289" i="2"/>
  <c r="AK290" i="2"/>
  <c r="AK291" i="2"/>
  <c r="AK292" i="2"/>
  <c r="AK293" i="2"/>
  <c r="AK294" i="2"/>
  <c r="AK295" i="2"/>
  <c r="AK296" i="2"/>
  <c r="AK297" i="2"/>
  <c r="AL297" i="2" s="1"/>
  <c r="AK298" i="2"/>
  <c r="AL298" i="2" s="1"/>
  <c r="AK299" i="2"/>
  <c r="AK300" i="2"/>
  <c r="AK301" i="2"/>
  <c r="AL301" i="2" s="1"/>
  <c r="AK302" i="2"/>
  <c r="AK303" i="2"/>
  <c r="AL303" i="2" s="1"/>
  <c r="AK304" i="2"/>
  <c r="AL304" i="2" s="1"/>
  <c r="AK305" i="2"/>
  <c r="AK306" i="2"/>
  <c r="AK307" i="2"/>
  <c r="AK308" i="2"/>
  <c r="AK309" i="2"/>
  <c r="AK310" i="2"/>
  <c r="AK311" i="2"/>
  <c r="AK312" i="2"/>
  <c r="AK313" i="2"/>
  <c r="AK314" i="2"/>
  <c r="AK315" i="2"/>
  <c r="AL315" i="2" s="1"/>
  <c r="AK316" i="2"/>
  <c r="AL316" i="2" s="1"/>
  <c r="AK317" i="2"/>
  <c r="AK318" i="2"/>
  <c r="AK319" i="2"/>
  <c r="AK320" i="2"/>
  <c r="AK321" i="2"/>
  <c r="AK322" i="2"/>
  <c r="AL322" i="2" s="1"/>
  <c r="AK323" i="2"/>
  <c r="AL323" i="2" s="1"/>
  <c r="AK324" i="2"/>
  <c r="AL324" i="2" s="1"/>
  <c r="AK325" i="2"/>
  <c r="AK326" i="2"/>
  <c r="AK327" i="2"/>
  <c r="AK329" i="2"/>
  <c r="AK330" i="2"/>
  <c r="AK331" i="2"/>
  <c r="AK332" i="2"/>
  <c r="AK333" i="2"/>
  <c r="AL333" i="2" s="1"/>
  <c r="AK334" i="2"/>
  <c r="AK335" i="2"/>
  <c r="AL335" i="2" s="1"/>
  <c r="AK336" i="2"/>
  <c r="AK337" i="2"/>
  <c r="AL337" i="2" s="1"/>
  <c r="AK339" i="2"/>
  <c r="AK340" i="2"/>
  <c r="AK341" i="2"/>
  <c r="AK342" i="2"/>
  <c r="AK343" i="2"/>
  <c r="AK344" i="2"/>
  <c r="AK345" i="2"/>
  <c r="AK347" i="2"/>
  <c r="AK348" i="2"/>
  <c r="AK349" i="2"/>
  <c r="AK350" i="2"/>
  <c r="AL350" i="2" s="1"/>
  <c r="AK351" i="2"/>
  <c r="AK352" i="2"/>
  <c r="AK353" i="2"/>
  <c r="AK354" i="2"/>
  <c r="AK355" i="2"/>
  <c r="AL355" i="2" s="1"/>
  <c r="AK356" i="2"/>
  <c r="AK357" i="2"/>
  <c r="AK358" i="2"/>
  <c r="AK359" i="2"/>
  <c r="AK360" i="2"/>
  <c r="AK361" i="2"/>
  <c r="AK362" i="2"/>
  <c r="L153" i="12"/>
  <c r="K153" i="12"/>
  <c r="K133" i="12"/>
  <c r="L133" i="12"/>
  <c r="K134" i="12"/>
  <c r="L134" i="12"/>
  <c r="K135" i="12"/>
  <c r="L135" i="12"/>
  <c r="K136" i="12"/>
  <c r="L136" i="12"/>
  <c r="K137" i="12"/>
  <c r="L137" i="12"/>
  <c r="K138" i="12"/>
  <c r="L138" i="12"/>
  <c r="K139" i="12"/>
  <c r="L139" i="12"/>
  <c r="K140" i="12"/>
  <c r="L140" i="12"/>
  <c r="K141" i="12"/>
  <c r="L141" i="12"/>
  <c r="K142" i="12"/>
  <c r="L142" i="12"/>
  <c r="K143" i="12"/>
  <c r="L143" i="12"/>
  <c r="K144" i="12"/>
  <c r="L144" i="12"/>
  <c r="K145" i="12"/>
  <c r="L145" i="12"/>
  <c r="K146" i="12"/>
  <c r="L146" i="12"/>
  <c r="K147" i="12"/>
  <c r="L147" i="12"/>
  <c r="K148" i="12"/>
  <c r="L148" i="12"/>
  <c r="K149" i="12"/>
  <c r="L149" i="12"/>
  <c r="K150" i="12"/>
  <c r="L150" i="12"/>
  <c r="K151" i="12"/>
  <c r="L151" i="12"/>
  <c r="K152" i="12"/>
  <c r="L152" i="12"/>
  <c r="AL555" i="2"/>
  <c r="AM555" i="2"/>
  <c r="AL556" i="2"/>
  <c r="AM556" i="2"/>
  <c r="AL557" i="2"/>
  <c r="AM557" i="2"/>
  <c r="AL558" i="2"/>
  <c r="AM558" i="2"/>
  <c r="AL559" i="2"/>
  <c r="AM559" i="2"/>
  <c r="AL560" i="2"/>
  <c r="AM560" i="2"/>
  <c r="AL561" i="2"/>
  <c r="AM561" i="2"/>
  <c r="AL562" i="2"/>
  <c r="AM562" i="2"/>
  <c r="AM563" i="2"/>
  <c r="AL564" i="2"/>
  <c r="AM564" i="2"/>
  <c r="AL565" i="2"/>
  <c r="AM565" i="2"/>
  <c r="AL566" i="2"/>
  <c r="AM566" i="2"/>
  <c r="AL567" i="2"/>
  <c r="AM567" i="2"/>
  <c r="AL229" i="2"/>
  <c r="AM229" i="2"/>
  <c r="AL230" i="2"/>
  <c r="AM230" i="2"/>
  <c r="AL231" i="2"/>
  <c r="AM231" i="2"/>
  <c r="AM232" i="2"/>
  <c r="AL233" i="2"/>
  <c r="AM233" i="2"/>
  <c r="AM234" i="2"/>
  <c r="AM235" i="2"/>
  <c r="AM236" i="2"/>
  <c r="AL237" i="2"/>
  <c r="AM237" i="2"/>
  <c r="AM238" i="2"/>
  <c r="AL239" i="2"/>
  <c r="AM239" i="2"/>
  <c r="AL240" i="2"/>
  <c r="AM240" i="2"/>
  <c r="AL241" i="2"/>
  <c r="AM241" i="2"/>
  <c r="AM242" i="2"/>
  <c r="AL243" i="2"/>
  <c r="AM243" i="2"/>
  <c r="AL244" i="2"/>
  <c r="AM244" i="2"/>
  <c r="AL245" i="2"/>
  <c r="AM245" i="2"/>
  <c r="AL246" i="2"/>
  <c r="AM246" i="2"/>
  <c r="AL247" i="2"/>
  <c r="AM247" i="2"/>
  <c r="AL248" i="2"/>
  <c r="AM248" i="2"/>
  <c r="AL249" i="2"/>
  <c r="AM249" i="2"/>
  <c r="AL250" i="2"/>
  <c r="AM250" i="2"/>
  <c r="AL251" i="2"/>
  <c r="AM251" i="2"/>
  <c r="AL252" i="2"/>
  <c r="AM252" i="2"/>
  <c r="AM253" i="2"/>
  <c r="AM254" i="2"/>
  <c r="AM255" i="2"/>
  <c r="AL256" i="2"/>
  <c r="AM256" i="2"/>
  <c r="AL257" i="2"/>
  <c r="AM257" i="2"/>
  <c r="AL258" i="2"/>
  <c r="AM258" i="2"/>
  <c r="AL259" i="2"/>
  <c r="AM259" i="2"/>
  <c r="AL260" i="2"/>
  <c r="AM260" i="2"/>
  <c r="AL261" i="2"/>
  <c r="AM261" i="2"/>
  <c r="AL262" i="2"/>
  <c r="AM262" i="2"/>
  <c r="AL263" i="2"/>
  <c r="AM263" i="2"/>
  <c r="AL264" i="2"/>
  <c r="AM264" i="2"/>
  <c r="AL265" i="2"/>
  <c r="AM265" i="2"/>
  <c r="AL266" i="2"/>
  <c r="AM266" i="2"/>
  <c r="AL267" i="2"/>
  <c r="AM267" i="2"/>
  <c r="AL268" i="2"/>
  <c r="AM268" i="2"/>
  <c r="AM269" i="2"/>
  <c r="AM270" i="2"/>
  <c r="AM271" i="2"/>
  <c r="AM272" i="2"/>
  <c r="AM273" i="2"/>
  <c r="AM274" i="2"/>
  <c r="AL275" i="2"/>
  <c r="AM275" i="2"/>
  <c r="AM276" i="2"/>
  <c r="AL277" i="2"/>
  <c r="AM277" i="2"/>
  <c r="AL278" i="2"/>
  <c r="AM278" i="2"/>
  <c r="AL279" i="2"/>
  <c r="AM279" i="2"/>
  <c r="AM280" i="2"/>
  <c r="AM281" i="2"/>
  <c r="AL282" i="2"/>
  <c r="AM282" i="2"/>
  <c r="AL283" i="2"/>
  <c r="AM283" i="2"/>
  <c r="AM284" i="2"/>
  <c r="AM285" i="2"/>
  <c r="AM286" i="2"/>
  <c r="AM287" i="2"/>
  <c r="AL288" i="2"/>
  <c r="AM288" i="2"/>
  <c r="AL289" i="2"/>
  <c r="AM289" i="2"/>
  <c r="AL290" i="2"/>
  <c r="AM290" i="2"/>
  <c r="AL291" i="2"/>
  <c r="AM291" i="2"/>
  <c r="AL292" i="2"/>
  <c r="AM292" i="2"/>
  <c r="AL293" i="2"/>
  <c r="AM293" i="2"/>
  <c r="AL294" i="2"/>
  <c r="AM294" i="2"/>
  <c r="AL295" i="2"/>
  <c r="AM295" i="2"/>
  <c r="AL296" i="2"/>
  <c r="AM296" i="2"/>
  <c r="AM297" i="2"/>
  <c r="AM298" i="2"/>
  <c r="AL299" i="2"/>
  <c r="AM299" i="2"/>
  <c r="AL300" i="2"/>
  <c r="AM300" i="2"/>
  <c r="AM301" i="2"/>
  <c r="AL302" i="2"/>
  <c r="AM302" i="2"/>
  <c r="AM303" i="2"/>
  <c r="AM304" i="2"/>
  <c r="AL305" i="2"/>
  <c r="AM305" i="2"/>
  <c r="AL306" i="2"/>
  <c r="AM306" i="2"/>
  <c r="AL307" i="2"/>
  <c r="AM307" i="2"/>
  <c r="AL308" i="2"/>
  <c r="AM308" i="2"/>
  <c r="AL309" i="2"/>
  <c r="AM309" i="2"/>
  <c r="AL310" i="2"/>
  <c r="AM310" i="2"/>
  <c r="AL311" i="2"/>
  <c r="AM311" i="2"/>
  <c r="AL312" i="2"/>
  <c r="AM312" i="2"/>
  <c r="AL313" i="2"/>
  <c r="AM313" i="2"/>
  <c r="AL314" i="2"/>
  <c r="AM314" i="2"/>
  <c r="AM315" i="2"/>
  <c r="AM316" i="2"/>
  <c r="AL317" i="2"/>
  <c r="AM317" i="2"/>
  <c r="AL318" i="2"/>
  <c r="AM318" i="2"/>
  <c r="AL319" i="2"/>
  <c r="AM319" i="2"/>
  <c r="AL320" i="2"/>
  <c r="AM320" i="2"/>
  <c r="AL321" i="2"/>
  <c r="AM321" i="2"/>
  <c r="AM322" i="2"/>
  <c r="AM323" i="2"/>
  <c r="AM324" i="2"/>
  <c r="AL325" i="2"/>
  <c r="AM325" i="2"/>
  <c r="AL326" i="2"/>
  <c r="AM326" i="2"/>
  <c r="AL327" i="2"/>
  <c r="AM327" i="2"/>
  <c r="AL329" i="2"/>
  <c r="AM329" i="2"/>
  <c r="AL330" i="2"/>
  <c r="AM330" i="2"/>
  <c r="AL331" i="2"/>
  <c r="AM331" i="2"/>
  <c r="AL332" i="2"/>
  <c r="AM332" i="2"/>
  <c r="AM333" i="2"/>
  <c r="AL334" i="2"/>
  <c r="AM334" i="2"/>
  <c r="AM335" i="2"/>
  <c r="AL336" i="2"/>
  <c r="AM336" i="2"/>
  <c r="AM337" i="2"/>
  <c r="AL338" i="2"/>
  <c r="AM338" i="2"/>
  <c r="AL339" i="2"/>
  <c r="AM339" i="2"/>
  <c r="AL340" i="2"/>
  <c r="AM340" i="2"/>
  <c r="AL341" i="2"/>
  <c r="AM341" i="2"/>
  <c r="AL342" i="2"/>
  <c r="AM342" i="2"/>
  <c r="AL343" i="2"/>
  <c r="AM343" i="2"/>
  <c r="AL344" i="2"/>
  <c r="AM344" i="2"/>
  <c r="AL345" i="2"/>
  <c r="AM345" i="2"/>
  <c r="AL346" i="2"/>
  <c r="AM346" i="2"/>
  <c r="AL347" i="2"/>
  <c r="AM347" i="2"/>
  <c r="AL348" i="2"/>
  <c r="AM348" i="2"/>
  <c r="AL349" i="2"/>
  <c r="AM349" i="2"/>
  <c r="AM350" i="2"/>
  <c r="AL351" i="2"/>
  <c r="AM351" i="2"/>
  <c r="AL352" i="2"/>
  <c r="AM352" i="2"/>
  <c r="AL353" i="2"/>
  <c r="AM353" i="2"/>
  <c r="AL354" i="2"/>
  <c r="AM354" i="2"/>
  <c r="AM355" i="2"/>
  <c r="AL356" i="2"/>
  <c r="AM356" i="2"/>
  <c r="AL357" i="2"/>
  <c r="AM357" i="2"/>
  <c r="AL358" i="2"/>
  <c r="AM358" i="2"/>
  <c r="AL359" i="2"/>
  <c r="AM359" i="2"/>
  <c r="AL360" i="2"/>
  <c r="AM360" i="2"/>
  <c r="AL361" i="2"/>
  <c r="AM361" i="2"/>
  <c r="AL362" i="2"/>
  <c r="AM362" i="2"/>
  <c r="AL363" i="2"/>
  <c r="AM363" i="2"/>
  <c r="AL369" i="2"/>
  <c r="AM369" i="2"/>
  <c r="AL370" i="2"/>
  <c r="AM370" i="2"/>
  <c r="AL371" i="2"/>
  <c r="AM371" i="2"/>
  <c r="AM372" i="2"/>
  <c r="AL373" i="2"/>
  <c r="AM373" i="2"/>
  <c r="AK370" i="2"/>
  <c r="AK371" i="2"/>
  <c r="AK372" i="2"/>
  <c r="AL372" i="2" s="1"/>
  <c r="AK555" i="2"/>
  <c r="AK556" i="2"/>
  <c r="AK557" i="2"/>
  <c r="AK558" i="2"/>
  <c r="AK561" i="2"/>
  <c r="AK562" i="2"/>
  <c r="AK564" i="2"/>
  <c r="AK565" i="2"/>
  <c r="AK566" i="2"/>
  <c r="AK567" i="2"/>
  <c r="AK53" i="2"/>
  <c r="AK54" i="2"/>
  <c r="AK79" i="2"/>
  <c r="AD117" i="2"/>
  <c r="F677" i="1" l="1"/>
  <c r="AL202" i="2"/>
  <c r="AK229" i="2"/>
  <c r="AL167" i="2"/>
  <c r="K157" i="12"/>
  <c r="A460" i="2"/>
  <c r="A433" i="2"/>
  <c r="B433" i="2"/>
  <c r="A302" i="2"/>
  <c r="C290" i="2"/>
  <c r="A263" i="2"/>
  <c r="B253" i="2"/>
  <c r="B251" i="2"/>
  <c r="C251" i="2"/>
  <c r="C243" i="2"/>
  <c r="A240" i="2"/>
  <c r="A236" i="2"/>
  <c r="B236" i="2"/>
  <c r="A187" i="2"/>
  <c r="C191" i="2"/>
  <c r="C192" i="2"/>
  <c r="A171" i="2"/>
  <c r="B168" i="2"/>
  <c r="B156" i="2"/>
  <c r="B160" i="2"/>
  <c r="C160" i="2"/>
  <c r="C161" i="2"/>
  <c r="A162" i="2"/>
  <c r="A139" i="2"/>
  <c r="B139" i="2"/>
  <c r="B140" i="2"/>
  <c r="B145" i="2"/>
  <c r="C147" i="2"/>
  <c r="A148" i="2"/>
  <c r="A152" i="2"/>
  <c r="B152" i="2"/>
  <c r="A154" i="2"/>
  <c r="B154" i="2"/>
  <c r="B48" i="2"/>
  <c r="C48" i="2"/>
  <c r="C49" i="2"/>
  <c r="A23" i="2"/>
  <c r="B23" i="2"/>
  <c r="A15" i="2"/>
  <c r="B15" i="2"/>
  <c r="B8" i="2"/>
  <c r="C8" i="2"/>
  <c r="B10" i="2"/>
  <c r="C10" i="2"/>
  <c r="AO549" i="2"/>
  <c r="AP549" i="2" s="1"/>
  <c r="AO354" i="2"/>
  <c r="AP354" i="2" s="1"/>
  <c r="AO347" i="2"/>
  <c r="AP347" i="2" s="1"/>
  <c r="AK483" i="2"/>
  <c r="AL483" i="2"/>
  <c r="AM483" i="2"/>
  <c r="AK484" i="2"/>
  <c r="AL484" i="2"/>
  <c r="AM484" i="2"/>
  <c r="AK485" i="2"/>
  <c r="AL485" i="2"/>
  <c r="AM485" i="2"/>
  <c r="AK486" i="2"/>
  <c r="AL486" i="2"/>
  <c r="AM486" i="2"/>
  <c r="AK487" i="2"/>
  <c r="AL487" i="2"/>
  <c r="AM487" i="2"/>
  <c r="AK488" i="2"/>
  <c r="AL488" i="2" s="1"/>
  <c r="AM488" i="2"/>
  <c r="AK489" i="2"/>
  <c r="AL489" i="2" s="1"/>
  <c r="AM489" i="2"/>
  <c r="AK548" i="2"/>
  <c r="AL548" i="2" s="1"/>
  <c r="AM548" i="2"/>
  <c r="AL549" i="2"/>
  <c r="AM549" i="2"/>
  <c r="AK550" i="2"/>
  <c r="AL550" i="2" s="1"/>
  <c r="AM550" i="2"/>
  <c r="AK551" i="2"/>
  <c r="AL551" i="2" s="1"/>
  <c r="AM551" i="2"/>
  <c r="AL552" i="2"/>
  <c r="AM552" i="2"/>
  <c r="AK553" i="2"/>
  <c r="AL553" i="2"/>
  <c r="AM553" i="2"/>
  <c r="AK554" i="2"/>
  <c r="AL554" i="2"/>
  <c r="AM554" i="2"/>
  <c r="AK598" i="2"/>
  <c r="AL598" i="2"/>
  <c r="AM598" i="2"/>
  <c r="AL599" i="2"/>
  <c r="AM599" i="2"/>
  <c r="AK600" i="2"/>
  <c r="AL600" i="2" s="1"/>
  <c r="AM600" i="2"/>
  <c r="AK601" i="2"/>
  <c r="AL601" i="2"/>
  <c r="AM601" i="2"/>
  <c r="AK602" i="2"/>
  <c r="AL602" i="2"/>
  <c r="AM602" i="2"/>
  <c r="AK603" i="2"/>
  <c r="AL603" i="2"/>
  <c r="AM603" i="2"/>
  <c r="AK604" i="2"/>
  <c r="AL604" i="2"/>
  <c r="AM604" i="2"/>
  <c r="AK605" i="2"/>
  <c r="AL605" i="2"/>
  <c r="AM605" i="2"/>
  <c r="AL606" i="2"/>
  <c r="AM606" i="2"/>
  <c r="AK607" i="2"/>
  <c r="AL607" i="2" s="1"/>
  <c r="AM607" i="2"/>
  <c r="AK608" i="2"/>
  <c r="AL608" i="2"/>
  <c r="AM608" i="2"/>
  <c r="AK609" i="2"/>
  <c r="AL609" i="2" s="1"/>
  <c r="AM609" i="2"/>
  <c r="AL194" i="2"/>
  <c r="AF598" i="2"/>
  <c r="AF599" i="2"/>
  <c r="AO483" i="2"/>
  <c r="AP483" i="2" s="1"/>
  <c r="AO485" i="2"/>
  <c r="AP485" i="2" s="1"/>
  <c r="AF486" i="2"/>
  <c r="A488" i="2"/>
  <c r="B488" i="2"/>
  <c r="B489" i="2"/>
  <c r="C489" i="2"/>
  <c r="AD127" i="2"/>
  <c r="AD114" i="2"/>
  <c r="AD115" i="2"/>
  <c r="AD116" i="2"/>
  <c r="AD118" i="2"/>
  <c r="AD119" i="2"/>
  <c r="AD120" i="2"/>
  <c r="AD121" i="2"/>
  <c r="AD122" i="2"/>
  <c r="AD123" i="2"/>
  <c r="AD124" i="2"/>
  <c r="AD103" i="2"/>
  <c r="AF605" i="2"/>
  <c r="AF606" i="2"/>
  <c r="AO554" i="2"/>
  <c r="AP554" i="2" s="1"/>
  <c r="AO534" i="2"/>
  <c r="AP534" i="2" s="1"/>
  <c r="AO544" i="2"/>
  <c r="AP544" i="2" s="1"/>
  <c r="AO545" i="2"/>
  <c r="AP545" i="2" s="1"/>
  <c r="AK534" i="2"/>
  <c r="AL534" i="2"/>
  <c r="AM534" i="2"/>
  <c r="AK535" i="2"/>
  <c r="AL535" i="2"/>
  <c r="AM535" i="2"/>
  <c r="AK536" i="2"/>
  <c r="AL536" i="2"/>
  <c r="AM536" i="2"/>
  <c r="AK537" i="2"/>
  <c r="AL537" i="2"/>
  <c r="AM537" i="2"/>
  <c r="AK538" i="2"/>
  <c r="AL538" i="2"/>
  <c r="AM538" i="2"/>
  <c r="AK539" i="2"/>
  <c r="AL539" i="2"/>
  <c r="AM539" i="2"/>
  <c r="AK540" i="2"/>
  <c r="AL540" i="2"/>
  <c r="AM540" i="2"/>
  <c r="AK541" i="2"/>
  <c r="AL541" i="2"/>
  <c r="AM541" i="2"/>
  <c r="AK542" i="2"/>
  <c r="AL542" i="2"/>
  <c r="AM542" i="2"/>
  <c r="AK543" i="2"/>
  <c r="AL543" i="2"/>
  <c r="AM543" i="2"/>
  <c r="AK544" i="2"/>
  <c r="AL544" i="2"/>
  <c r="AM544" i="2"/>
  <c r="AK545" i="2"/>
  <c r="AL545" i="2"/>
  <c r="AM545" i="2"/>
  <c r="AK546" i="2"/>
  <c r="AL546" i="2"/>
  <c r="AM546" i="2"/>
  <c r="AK547" i="2"/>
  <c r="AL547" i="2"/>
  <c r="AM547" i="2"/>
  <c r="AF536" i="2"/>
  <c r="AF537" i="2"/>
  <c r="AF540" i="2"/>
  <c r="AF541" i="2"/>
  <c r="AO550" i="2"/>
  <c r="AP550" i="2" s="1"/>
  <c r="AO551" i="2"/>
  <c r="AP551" i="2" s="1"/>
  <c r="A396" i="2"/>
  <c r="B396" i="2"/>
  <c r="AL396" i="2"/>
  <c r="AM396" i="2"/>
  <c r="B378" i="2"/>
  <c r="AL378" i="2"/>
  <c r="AM378" i="2"/>
  <c r="B550" i="2"/>
  <c r="C550" i="2"/>
  <c r="A554" i="2"/>
  <c r="B601" i="2"/>
  <c r="B602" i="2"/>
  <c r="C602" i="2"/>
  <c r="A349" i="2"/>
  <c r="B349" i="2"/>
  <c r="B350" i="2"/>
  <c r="C350" i="2"/>
  <c r="AM66" i="2"/>
  <c r="AL66" i="2"/>
  <c r="AO65" i="2"/>
  <c r="AP65" i="2" s="1"/>
  <c r="AM65" i="2"/>
  <c r="AL65" i="2"/>
  <c r="AM64" i="2"/>
  <c r="AL64" i="2"/>
  <c r="AF64" i="2"/>
  <c r="AM63" i="2"/>
  <c r="AL63" i="2"/>
  <c r="AM62" i="2"/>
  <c r="AL62" i="2"/>
  <c r="AF62" i="2"/>
  <c r="AO61" i="2"/>
  <c r="AP61" i="2" s="1"/>
  <c r="AM61" i="2"/>
  <c r="AL61" i="2"/>
  <c r="AF61" i="2"/>
  <c r="AO60" i="2"/>
  <c r="AP60" i="2" s="1"/>
  <c r="AM60" i="2"/>
  <c r="AL60" i="2"/>
  <c r="AM59" i="2"/>
  <c r="AL59" i="2"/>
  <c r="AO58" i="2"/>
  <c r="AP58" i="2" s="1"/>
  <c r="AM58" i="2"/>
  <c r="AL58" i="2"/>
  <c r="AM57" i="2"/>
  <c r="AL57" i="2"/>
  <c r="AF57" i="2"/>
  <c r="AM56" i="2"/>
  <c r="AL56" i="2"/>
  <c r="C58" i="2"/>
  <c r="C59" i="2"/>
  <c r="C62" i="2"/>
  <c r="C63" i="2"/>
  <c r="B58" i="2"/>
  <c r="A59" i="2"/>
  <c r="B61" i="2"/>
  <c r="A62" i="2"/>
  <c r="B66" i="2"/>
  <c r="A67" i="2"/>
  <c r="B68" i="2"/>
  <c r="AO49" i="2"/>
  <c r="AP49" i="2" s="1"/>
  <c r="AK49" i="2"/>
  <c r="AL49" i="2"/>
  <c r="AM49" i="2"/>
  <c r="AK50" i="2"/>
  <c r="AL50" i="2"/>
  <c r="AM50" i="2"/>
  <c r="AK51" i="2"/>
  <c r="AL51" i="2" s="1"/>
  <c r="AM51" i="2"/>
  <c r="AK52" i="2"/>
  <c r="AL52" i="2" s="1"/>
  <c r="AM52" i="2"/>
  <c r="B218" i="2"/>
  <c r="C218" i="2"/>
  <c r="C219" i="2"/>
  <c r="A220" i="2"/>
  <c r="AO40" i="2"/>
  <c r="AP40" i="2" s="1"/>
  <c r="AO41" i="2"/>
  <c r="AP41" i="2" s="1"/>
  <c r="AO44" i="2"/>
  <c r="AP44" i="2" s="1"/>
  <c r="AO45" i="2"/>
  <c r="AP45" i="2" s="1"/>
  <c r="AL37" i="2"/>
  <c r="AM37" i="2"/>
  <c r="AK38" i="2"/>
  <c r="AL38" i="2"/>
  <c r="AM38" i="2"/>
  <c r="AK39" i="2"/>
  <c r="AL39" i="2"/>
  <c r="AM39" i="2"/>
  <c r="AK40" i="2"/>
  <c r="AL40" i="2"/>
  <c r="AM40" i="2"/>
  <c r="AK41" i="2"/>
  <c r="AL41" i="2"/>
  <c r="AM41" i="2"/>
  <c r="AK42" i="2"/>
  <c r="AL42" i="2"/>
  <c r="AM42" i="2"/>
  <c r="AK43" i="2"/>
  <c r="AL43" i="2"/>
  <c r="AM43" i="2"/>
  <c r="AK44" i="2"/>
  <c r="AL44" i="2"/>
  <c r="AM44" i="2"/>
  <c r="AK45" i="2"/>
  <c r="AL45" i="2"/>
  <c r="AM45" i="2"/>
  <c r="AK46" i="2"/>
  <c r="AL46" i="2"/>
  <c r="AM46" i="2"/>
  <c r="AK47" i="2"/>
  <c r="AL47" i="2"/>
  <c r="AM47" i="2"/>
  <c r="AK48" i="2"/>
  <c r="AL48" i="2"/>
  <c r="AM48" i="2"/>
  <c r="AF42" i="2"/>
  <c r="AF43" i="2"/>
  <c r="AF48" i="2"/>
  <c r="A37" i="2"/>
  <c r="B39" i="2"/>
  <c r="C39" i="2"/>
  <c r="B41" i="2"/>
  <c r="C41" i="2"/>
  <c r="C44" i="2"/>
  <c r="AO432" i="2"/>
  <c r="AP432" i="2" s="1"/>
  <c r="AO435" i="2"/>
  <c r="AP435" i="2" s="1"/>
  <c r="AO436" i="2"/>
  <c r="AP436" i="2" s="1"/>
  <c r="AO445" i="2"/>
  <c r="AP445" i="2" s="1"/>
  <c r="AO446" i="2"/>
  <c r="AP446" i="2" s="1"/>
  <c r="AO449" i="2"/>
  <c r="AP449" i="2" s="1"/>
  <c r="AO450" i="2"/>
  <c r="AP450" i="2" s="1"/>
  <c r="AO459" i="2"/>
  <c r="AP459" i="2" s="1"/>
  <c r="AO460" i="2"/>
  <c r="AP460" i="2" s="1"/>
  <c r="AO465" i="2"/>
  <c r="AP465" i="2" s="1"/>
  <c r="AO466" i="2"/>
  <c r="AP466" i="2" s="1"/>
  <c r="AO472" i="2"/>
  <c r="AP472" i="2" s="1"/>
  <c r="AO473" i="2"/>
  <c r="AP473" i="2" s="1"/>
  <c r="AO478" i="2"/>
  <c r="AP478" i="2" s="1"/>
  <c r="AO479" i="2"/>
  <c r="AP479" i="2" s="1"/>
  <c r="AO494" i="2"/>
  <c r="AP494" i="2" s="1"/>
  <c r="AO495" i="2"/>
  <c r="AP495" i="2" s="1"/>
  <c r="AO498" i="2"/>
  <c r="AP498" i="2" s="1"/>
  <c r="AO499" i="2"/>
  <c r="AP499" i="2" s="1"/>
  <c r="AO502" i="2"/>
  <c r="AP502" i="2" s="1"/>
  <c r="AO507" i="2"/>
  <c r="AP507" i="2" s="1"/>
  <c r="AO508" i="2"/>
  <c r="AP508" i="2" s="1"/>
  <c r="AO512" i="2"/>
  <c r="AP512" i="2" s="1"/>
  <c r="AO513" i="2"/>
  <c r="AP513" i="2" s="1"/>
  <c r="AO514" i="2"/>
  <c r="AP514" i="2" s="1"/>
  <c r="AO520" i="2"/>
  <c r="AP520" i="2" s="1"/>
  <c r="AO521" i="2"/>
  <c r="AP521" i="2" s="1"/>
  <c r="AO524" i="2"/>
  <c r="AP524" i="2" s="1"/>
  <c r="AO525" i="2"/>
  <c r="AP525" i="2" s="1"/>
  <c r="AO526" i="2"/>
  <c r="AP526" i="2" s="1"/>
  <c r="AO527" i="2"/>
  <c r="AP527" i="2" s="1"/>
  <c r="AO530" i="2"/>
  <c r="AP530" i="2" s="1"/>
  <c r="AO531" i="2"/>
  <c r="AP531" i="2" s="1"/>
  <c r="AO532" i="2"/>
  <c r="AP532" i="2" s="1"/>
  <c r="AO571" i="2"/>
  <c r="AP571" i="2" s="1"/>
  <c r="AO572" i="2"/>
  <c r="AP572" i="2" s="1"/>
  <c r="AO573" i="2"/>
  <c r="AP573" i="2" s="1"/>
  <c r="AO574" i="2"/>
  <c r="AP574" i="2" s="1"/>
  <c r="AO575" i="2"/>
  <c r="AP575" i="2" s="1"/>
  <c r="AO578" i="2"/>
  <c r="AP578" i="2" s="1"/>
  <c r="AO579" i="2"/>
  <c r="AP579" i="2" s="1"/>
  <c r="AO581" i="2"/>
  <c r="AP581" i="2" s="1"/>
  <c r="AO584" i="2"/>
  <c r="AP584" i="2" s="1"/>
  <c r="AO585" i="2"/>
  <c r="AP585" i="2" s="1"/>
  <c r="AO586" i="2"/>
  <c r="AP586" i="2" s="1"/>
  <c r="AO587" i="2"/>
  <c r="AP587" i="2" s="1"/>
  <c r="AO588" i="2"/>
  <c r="AP588" i="2" s="1"/>
  <c r="AO591" i="2"/>
  <c r="AP591" i="2" s="1"/>
  <c r="AO592" i="2"/>
  <c r="AP592" i="2" s="1"/>
  <c r="AO593" i="2"/>
  <c r="AP593" i="2" s="1"/>
  <c r="AK432" i="2"/>
  <c r="AL432" i="2"/>
  <c r="AM432" i="2"/>
  <c r="AK433" i="2"/>
  <c r="AL433" i="2"/>
  <c r="AM433" i="2"/>
  <c r="AK434" i="2"/>
  <c r="AL434" i="2"/>
  <c r="AM434" i="2"/>
  <c r="AK435" i="2"/>
  <c r="AL435" i="2"/>
  <c r="AM435" i="2"/>
  <c r="AK436" i="2"/>
  <c r="AL436" i="2"/>
  <c r="AM436" i="2"/>
  <c r="AK437" i="2"/>
  <c r="AL437" i="2"/>
  <c r="AM437" i="2"/>
  <c r="AK438" i="2"/>
  <c r="AL438" i="2" s="1"/>
  <c r="AM438" i="2"/>
  <c r="AK439" i="2"/>
  <c r="AL439" i="2"/>
  <c r="AM439" i="2"/>
  <c r="AL440" i="2"/>
  <c r="AM440" i="2"/>
  <c r="AK441" i="2"/>
  <c r="AL441" i="2" s="1"/>
  <c r="AM441" i="2"/>
  <c r="AL442" i="2"/>
  <c r="AM442" i="2"/>
  <c r="AL443" i="2"/>
  <c r="AM443" i="2"/>
  <c r="AK444" i="2"/>
  <c r="AL444" i="2"/>
  <c r="AM444" i="2"/>
  <c r="AK445" i="2"/>
  <c r="AL445" i="2"/>
  <c r="AM445" i="2"/>
  <c r="AK446" i="2"/>
  <c r="AL446" i="2"/>
  <c r="AM446" i="2"/>
  <c r="AL447" i="2"/>
  <c r="AM447" i="2"/>
  <c r="AL448" i="2"/>
  <c r="AM448" i="2"/>
  <c r="AK449" i="2"/>
  <c r="AL449" i="2"/>
  <c r="AM449" i="2"/>
  <c r="AL450" i="2"/>
  <c r="AM450" i="2"/>
  <c r="AL451" i="2"/>
  <c r="AM451" i="2"/>
  <c r="AK452" i="2"/>
  <c r="AL452" i="2"/>
  <c r="AM452" i="2"/>
  <c r="AK453" i="2"/>
  <c r="AL453" i="2"/>
  <c r="AM453" i="2"/>
  <c r="AK454" i="2"/>
  <c r="AL454" i="2"/>
  <c r="AM454" i="2"/>
  <c r="AK455" i="2"/>
  <c r="AL455" i="2"/>
  <c r="AM455" i="2"/>
  <c r="AL456" i="2"/>
  <c r="AM456" i="2"/>
  <c r="AK457" i="2"/>
  <c r="AL457" i="2"/>
  <c r="AM457" i="2"/>
  <c r="AK458" i="2"/>
  <c r="AL458" i="2"/>
  <c r="AM458" i="2"/>
  <c r="AL459" i="2"/>
  <c r="AM459" i="2"/>
  <c r="AK460" i="2"/>
  <c r="AL460" i="2" s="1"/>
  <c r="AM460" i="2"/>
  <c r="AK461" i="2"/>
  <c r="AL461" i="2"/>
  <c r="AM461" i="2"/>
  <c r="AK462" i="2"/>
  <c r="AL462" i="2"/>
  <c r="AM462" i="2"/>
  <c r="AL463" i="2"/>
  <c r="AM463" i="2"/>
  <c r="AK464" i="2"/>
  <c r="AL464" i="2"/>
  <c r="AM464" i="2"/>
  <c r="AL465" i="2"/>
  <c r="AM465" i="2"/>
  <c r="AK466" i="2"/>
  <c r="AL466" i="2"/>
  <c r="AM466" i="2"/>
  <c r="AK467" i="2"/>
  <c r="AL467" i="2" s="1"/>
  <c r="AM467" i="2"/>
  <c r="AK468" i="2"/>
  <c r="AL468" i="2" s="1"/>
  <c r="AM468" i="2"/>
  <c r="AK469" i="2"/>
  <c r="AL469" i="2"/>
  <c r="AM469" i="2"/>
  <c r="AK470" i="2"/>
  <c r="AL470" i="2"/>
  <c r="AM470" i="2"/>
  <c r="AK471" i="2"/>
  <c r="AL471" i="2" s="1"/>
  <c r="AM471" i="2"/>
  <c r="AK472" i="2"/>
  <c r="AL472" i="2"/>
  <c r="AM472" i="2"/>
  <c r="AK473" i="2"/>
  <c r="AL473" i="2"/>
  <c r="AM473" i="2"/>
  <c r="AK474" i="2"/>
  <c r="AL474" i="2"/>
  <c r="AM474" i="2"/>
  <c r="AM475" i="2"/>
  <c r="AL476" i="2"/>
  <c r="AM476" i="2"/>
  <c r="AL477" i="2"/>
  <c r="AM477" i="2"/>
  <c r="AL478" i="2"/>
  <c r="AM478" i="2"/>
  <c r="AL479" i="2"/>
  <c r="AM479" i="2"/>
  <c r="AL480" i="2"/>
  <c r="AM480" i="2"/>
  <c r="AK481" i="2"/>
  <c r="AL481" i="2"/>
  <c r="AM481" i="2"/>
  <c r="AK482" i="2"/>
  <c r="AL482" i="2"/>
  <c r="AM482" i="2"/>
  <c r="AK490" i="2"/>
  <c r="AL490" i="2" s="1"/>
  <c r="AM490" i="2"/>
  <c r="AK491" i="2"/>
  <c r="AL491" i="2" s="1"/>
  <c r="AM491" i="2"/>
  <c r="AK492" i="2"/>
  <c r="AL492" i="2"/>
  <c r="AM492" i="2"/>
  <c r="AK493" i="2"/>
  <c r="AL493" i="2" s="1"/>
  <c r="AM493" i="2"/>
  <c r="AK494" i="2"/>
  <c r="AL494" i="2" s="1"/>
  <c r="AM494" i="2"/>
  <c r="AK495" i="2"/>
  <c r="AL495" i="2"/>
  <c r="AM495" i="2"/>
  <c r="AK496" i="2"/>
  <c r="AL496" i="2"/>
  <c r="AM496" i="2"/>
  <c r="AK497" i="2"/>
  <c r="AL497" i="2"/>
  <c r="AM497" i="2"/>
  <c r="AK498" i="2"/>
  <c r="AL498" i="2"/>
  <c r="AM498" i="2"/>
  <c r="AK499" i="2"/>
  <c r="AL499" i="2"/>
  <c r="AM499" i="2"/>
  <c r="AK500" i="2"/>
  <c r="AL500" i="2"/>
  <c r="AM500" i="2"/>
  <c r="AL501" i="2"/>
  <c r="AM501" i="2"/>
  <c r="AK502" i="2"/>
  <c r="AL502" i="2" s="1"/>
  <c r="AM502" i="2"/>
  <c r="AK503" i="2"/>
  <c r="AL503" i="2" s="1"/>
  <c r="AM503" i="2"/>
  <c r="AK504" i="2"/>
  <c r="AL504" i="2" s="1"/>
  <c r="AM504" i="2"/>
  <c r="AK505" i="2"/>
  <c r="AL505" i="2"/>
  <c r="AM505" i="2"/>
  <c r="AK506" i="2"/>
  <c r="AL506" i="2"/>
  <c r="AM506" i="2"/>
  <c r="AK507" i="2"/>
  <c r="AL507" i="2"/>
  <c r="AM507" i="2"/>
  <c r="AK508" i="2"/>
  <c r="AL508" i="2" s="1"/>
  <c r="AM508" i="2"/>
  <c r="AK509" i="2"/>
  <c r="AL509" i="2"/>
  <c r="AM509" i="2"/>
  <c r="AK510" i="2"/>
  <c r="AL510" i="2"/>
  <c r="AM510" i="2"/>
  <c r="AK511" i="2"/>
  <c r="AL511" i="2"/>
  <c r="AM511" i="2"/>
  <c r="AK512" i="2"/>
  <c r="AL512" i="2"/>
  <c r="AM512" i="2"/>
  <c r="AK513" i="2"/>
  <c r="AL513" i="2"/>
  <c r="AM513" i="2"/>
  <c r="AK514" i="2"/>
  <c r="AL514" i="2"/>
  <c r="AM514" i="2"/>
  <c r="AK515" i="2"/>
  <c r="AL515" i="2"/>
  <c r="AM515" i="2"/>
  <c r="AK516" i="2"/>
  <c r="AL516" i="2"/>
  <c r="AM516" i="2"/>
  <c r="AK517" i="2"/>
  <c r="AL517" i="2"/>
  <c r="AM517" i="2"/>
  <c r="AK518" i="2"/>
  <c r="AL518" i="2" s="1"/>
  <c r="AM518" i="2"/>
  <c r="AK519" i="2"/>
  <c r="AL519" i="2"/>
  <c r="AM519" i="2"/>
  <c r="AK520" i="2"/>
  <c r="AL520" i="2"/>
  <c r="AM520" i="2"/>
  <c r="AK521" i="2"/>
  <c r="AL521" i="2"/>
  <c r="AM521" i="2"/>
  <c r="AK522" i="2"/>
  <c r="AL522" i="2" s="1"/>
  <c r="AM522" i="2"/>
  <c r="AK523" i="2"/>
  <c r="AL523" i="2" s="1"/>
  <c r="AM523" i="2"/>
  <c r="AL524" i="2"/>
  <c r="AM524" i="2"/>
  <c r="AK525" i="2"/>
  <c r="AL525" i="2"/>
  <c r="AM525" i="2"/>
  <c r="AK526" i="2"/>
  <c r="AL526" i="2"/>
  <c r="AM526" i="2"/>
  <c r="AK527" i="2"/>
  <c r="AL527" i="2"/>
  <c r="AM527" i="2"/>
  <c r="AK528" i="2"/>
  <c r="AL528" i="2"/>
  <c r="AM528" i="2"/>
  <c r="AL529" i="2"/>
  <c r="AM529" i="2"/>
  <c r="AK530" i="2"/>
  <c r="AL530" i="2" s="1"/>
  <c r="AM530" i="2"/>
  <c r="AK531" i="2"/>
  <c r="AL531" i="2"/>
  <c r="AM531" i="2"/>
  <c r="AK532" i="2"/>
  <c r="AL532" i="2"/>
  <c r="AM532" i="2"/>
  <c r="AK533" i="2"/>
  <c r="AL533" i="2"/>
  <c r="AM533" i="2"/>
  <c r="AK569" i="2"/>
  <c r="AL569" i="2"/>
  <c r="AM569" i="2"/>
  <c r="AK570" i="2"/>
  <c r="AL570" i="2"/>
  <c r="AM570" i="2"/>
  <c r="AK571" i="2"/>
  <c r="AL571" i="2"/>
  <c r="AM571" i="2"/>
  <c r="AK572" i="2"/>
  <c r="AL572" i="2"/>
  <c r="AM572" i="2"/>
  <c r="AK573" i="2"/>
  <c r="AL573" i="2"/>
  <c r="AM573" i="2"/>
  <c r="AK574" i="2"/>
  <c r="AL574" i="2"/>
  <c r="AM574" i="2"/>
  <c r="AK575" i="2"/>
  <c r="AL575" i="2"/>
  <c r="AM575" i="2"/>
  <c r="AK576" i="2"/>
  <c r="AL576" i="2"/>
  <c r="AM576" i="2"/>
  <c r="AK577" i="2"/>
  <c r="AL577" i="2"/>
  <c r="AM577" i="2"/>
  <c r="AK578" i="2"/>
  <c r="AL578" i="2"/>
  <c r="AM578" i="2"/>
  <c r="AK579" i="2"/>
  <c r="AL579" i="2"/>
  <c r="AM579" i="2"/>
  <c r="AK580" i="2"/>
  <c r="AL580" i="2"/>
  <c r="AM580" i="2"/>
  <c r="AK581" i="2"/>
  <c r="AL581" i="2"/>
  <c r="AM581" i="2"/>
  <c r="AK582" i="2"/>
  <c r="AL582" i="2"/>
  <c r="AM582" i="2"/>
  <c r="AK583" i="2"/>
  <c r="AL583" i="2"/>
  <c r="AM583" i="2"/>
  <c r="AK584" i="2"/>
  <c r="AL584" i="2"/>
  <c r="AM584" i="2"/>
  <c r="AK585" i="2"/>
  <c r="AL585" i="2"/>
  <c r="AM585" i="2"/>
  <c r="AK586" i="2"/>
  <c r="AL586" i="2"/>
  <c r="AM586" i="2"/>
  <c r="AK587" i="2"/>
  <c r="AL587" i="2"/>
  <c r="AM587" i="2"/>
  <c r="AK588" i="2"/>
  <c r="AL588" i="2"/>
  <c r="AM588" i="2"/>
  <c r="AK589" i="2"/>
  <c r="AL589" i="2"/>
  <c r="AM589" i="2"/>
  <c r="AK590" i="2"/>
  <c r="AL590" i="2"/>
  <c r="AM590" i="2"/>
  <c r="AK591" i="2"/>
  <c r="AL591" i="2"/>
  <c r="AM591" i="2"/>
  <c r="AK592" i="2"/>
  <c r="AL592" i="2"/>
  <c r="AM592" i="2"/>
  <c r="AK593" i="2"/>
  <c r="AL593" i="2"/>
  <c r="AM593" i="2"/>
  <c r="AK595" i="2"/>
  <c r="AL595" i="2"/>
  <c r="AM595" i="2"/>
  <c r="AF432" i="2"/>
  <c r="AF433" i="2"/>
  <c r="AF434" i="2"/>
  <c r="AF435" i="2"/>
  <c r="AF436" i="2"/>
  <c r="AF437" i="2"/>
  <c r="AF438" i="2"/>
  <c r="AF439" i="2"/>
  <c r="AF442" i="2"/>
  <c r="AF443" i="2"/>
  <c r="AF444" i="2"/>
  <c r="AF445" i="2"/>
  <c r="AF446" i="2"/>
  <c r="AF447" i="2"/>
  <c r="AF448" i="2"/>
  <c r="AF449" i="2"/>
  <c r="AF450" i="2"/>
  <c r="AF451" i="2"/>
  <c r="AF454" i="2"/>
  <c r="AF455" i="2"/>
  <c r="AF456" i="2"/>
  <c r="AF457" i="2"/>
  <c r="AF458" i="2"/>
  <c r="AF459" i="2"/>
  <c r="AF460" i="2"/>
  <c r="AF461" i="2"/>
  <c r="AF462" i="2"/>
  <c r="AF463" i="2"/>
  <c r="AF466" i="2"/>
  <c r="AF467" i="2"/>
  <c r="AF468" i="2"/>
  <c r="AF469" i="2"/>
  <c r="AF470" i="2"/>
  <c r="AF471" i="2"/>
  <c r="AF472" i="2"/>
  <c r="AF473" i="2"/>
  <c r="AF474" i="2"/>
  <c r="AF477" i="2"/>
  <c r="AF478" i="2"/>
  <c r="AF479" i="2"/>
  <c r="AF480" i="2"/>
  <c r="AF481" i="2"/>
  <c r="AF482" i="2"/>
  <c r="AF490" i="2"/>
  <c r="AF491" i="2"/>
  <c r="AF492" i="2"/>
  <c r="AF493" i="2"/>
  <c r="AF495" i="2"/>
  <c r="AF496" i="2"/>
  <c r="AF497" i="2"/>
  <c r="AF498" i="2"/>
  <c r="AF499" i="2"/>
  <c r="AF500" i="2"/>
  <c r="AF501" i="2"/>
  <c r="AF502" i="2"/>
  <c r="AF503" i="2"/>
  <c r="AF504" i="2"/>
  <c r="AF506" i="2"/>
  <c r="AF507" i="2"/>
  <c r="AF508" i="2"/>
  <c r="AF509" i="2"/>
  <c r="AF510" i="2"/>
  <c r="AF511" i="2"/>
  <c r="AF512" i="2"/>
  <c r="AF513" i="2"/>
  <c r="AF514" i="2"/>
  <c r="AF515" i="2"/>
  <c r="AF518" i="2"/>
  <c r="AF519" i="2"/>
  <c r="AF520" i="2"/>
  <c r="AF521" i="2"/>
  <c r="AF522" i="2"/>
  <c r="AF523" i="2"/>
  <c r="AF524" i="2"/>
  <c r="AF525" i="2"/>
  <c r="AF528" i="2"/>
  <c r="AF529" i="2"/>
  <c r="AF530" i="2"/>
  <c r="AF531" i="2"/>
  <c r="AF532" i="2"/>
  <c r="AF533" i="2"/>
  <c r="AF569" i="2"/>
  <c r="AF570" i="2"/>
  <c r="AF571" i="2"/>
  <c r="AF572" i="2"/>
  <c r="AF575" i="2"/>
  <c r="AF576" i="2"/>
  <c r="AF577" i="2"/>
  <c r="AF578" i="2"/>
  <c r="AF579" i="2"/>
  <c r="AF580" i="2"/>
  <c r="AF581" i="2"/>
  <c r="AF582" i="2"/>
  <c r="AF583" i="2"/>
  <c r="AF584" i="2"/>
  <c r="AF587" i="2"/>
  <c r="AF588" i="2"/>
  <c r="AF589" i="2"/>
  <c r="AF590" i="2"/>
  <c r="AF591" i="2"/>
  <c r="AF592" i="2"/>
  <c r="AF593" i="2"/>
  <c r="AF595" i="2"/>
  <c r="A569" i="2"/>
  <c r="B569" i="2"/>
  <c r="B570" i="2"/>
  <c r="C570" i="2"/>
  <c r="A571" i="2"/>
  <c r="B571" i="2"/>
  <c r="C571" i="2"/>
  <c r="A572" i="2"/>
  <c r="B572" i="2"/>
  <c r="C572" i="2"/>
  <c r="A573" i="2"/>
  <c r="B573" i="2"/>
  <c r="B574" i="2"/>
  <c r="C574" i="2"/>
  <c r="A575" i="2"/>
  <c r="B575" i="2"/>
  <c r="C575" i="2"/>
  <c r="A576" i="2"/>
  <c r="B576" i="2"/>
  <c r="C576" i="2"/>
  <c r="A577" i="2"/>
  <c r="B577" i="2"/>
  <c r="B578" i="2"/>
  <c r="C578" i="2"/>
  <c r="A579" i="2"/>
  <c r="B579" i="2"/>
  <c r="C579" i="2"/>
  <c r="A580" i="2"/>
  <c r="B580" i="2"/>
  <c r="C580" i="2"/>
  <c r="A581" i="2"/>
  <c r="B581" i="2"/>
  <c r="B582" i="2"/>
  <c r="C582" i="2"/>
  <c r="A583" i="2"/>
  <c r="B583" i="2"/>
  <c r="C583" i="2"/>
  <c r="A584" i="2"/>
  <c r="B584" i="2"/>
  <c r="C584" i="2"/>
  <c r="A585" i="2"/>
  <c r="B585" i="2"/>
  <c r="B586" i="2"/>
  <c r="C586" i="2"/>
  <c r="A587" i="2"/>
  <c r="B587" i="2"/>
  <c r="C587" i="2"/>
  <c r="A588" i="2"/>
  <c r="B588" i="2"/>
  <c r="C588" i="2"/>
  <c r="A589" i="2"/>
  <c r="B589" i="2"/>
  <c r="B590" i="2"/>
  <c r="C590" i="2"/>
  <c r="A591" i="2"/>
  <c r="B591" i="2"/>
  <c r="C591" i="2"/>
  <c r="A592" i="2"/>
  <c r="B592" i="2"/>
  <c r="C592" i="2"/>
  <c r="A593" i="2"/>
  <c r="B593" i="2"/>
  <c r="B595" i="2"/>
  <c r="C595" i="2"/>
  <c r="A224" i="2"/>
  <c r="B224" i="2"/>
  <c r="C224" i="2"/>
  <c r="A225" i="2"/>
  <c r="B225" i="2"/>
  <c r="C225" i="2"/>
  <c r="A491" i="2"/>
  <c r="B491" i="2"/>
  <c r="C491" i="2"/>
  <c r="A492" i="2"/>
  <c r="B492" i="2"/>
  <c r="C492" i="2"/>
  <c r="A493" i="2"/>
  <c r="B493" i="2"/>
  <c r="C493" i="2"/>
  <c r="A495" i="2"/>
  <c r="A496" i="2"/>
  <c r="B496" i="2"/>
  <c r="C496" i="2"/>
  <c r="A497" i="2"/>
  <c r="B497" i="2"/>
  <c r="C497" i="2"/>
  <c r="A498" i="2"/>
  <c r="B498" i="2"/>
  <c r="C498" i="2"/>
  <c r="A499" i="2"/>
  <c r="A500" i="2"/>
  <c r="B500" i="2"/>
  <c r="C500" i="2"/>
  <c r="A501" i="2"/>
  <c r="B501" i="2"/>
  <c r="C501" i="2"/>
  <c r="A502" i="2"/>
  <c r="B502" i="2"/>
  <c r="C502" i="2"/>
  <c r="A503" i="2"/>
  <c r="A504" i="2"/>
  <c r="B504" i="2"/>
  <c r="C504" i="2"/>
  <c r="A505" i="2"/>
  <c r="B505" i="2"/>
  <c r="C505" i="2"/>
  <c r="A508" i="2"/>
  <c r="A509" i="2"/>
  <c r="B509" i="2"/>
  <c r="C509" i="2"/>
  <c r="A510" i="2"/>
  <c r="B510" i="2"/>
  <c r="C510" i="2"/>
  <c r="A513" i="2"/>
  <c r="B513" i="2"/>
  <c r="C513" i="2"/>
  <c r="A514" i="2"/>
  <c r="A525" i="2"/>
  <c r="B525" i="2"/>
  <c r="C525" i="2"/>
  <c r="A529" i="2"/>
  <c r="B529" i="2"/>
  <c r="C529" i="2"/>
  <c r="A432" i="2"/>
  <c r="B432" i="2"/>
  <c r="C432" i="2"/>
  <c r="A435" i="2"/>
  <c r="A436" i="2"/>
  <c r="B436" i="2"/>
  <c r="C436" i="2"/>
  <c r="A437" i="2"/>
  <c r="B437" i="2"/>
  <c r="C437" i="2"/>
  <c r="A438" i="2"/>
  <c r="B438" i="2"/>
  <c r="C438" i="2"/>
  <c r="A441" i="2"/>
  <c r="A444" i="2"/>
  <c r="B444" i="2"/>
  <c r="C444" i="2"/>
  <c r="A445" i="2"/>
  <c r="B445" i="2"/>
  <c r="C445" i="2"/>
  <c r="A446" i="2"/>
  <c r="B446" i="2"/>
  <c r="C446" i="2"/>
  <c r="A447" i="2"/>
  <c r="A452" i="2"/>
  <c r="B452" i="2"/>
  <c r="C452" i="2"/>
  <c r="A455" i="2"/>
  <c r="B455" i="2"/>
  <c r="C455" i="2"/>
  <c r="A458" i="2"/>
  <c r="B458" i="2"/>
  <c r="C458" i="2"/>
  <c r="A462" i="2"/>
  <c r="A469" i="2"/>
  <c r="B469" i="2"/>
  <c r="C469" i="2"/>
  <c r="A470" i="2"/>
  <c r="B470" i="2"/>
  <c r="C470" i="2"/>
  <c r="A471" i="2"/>
  <c r="B471" i="2"/>
  <c r="C471" i="2"/>
  <c r="A474" i="2"/>
  <c r="B474" i="2"/>
  <c r="C474" i="2"/>
  <c r="A475" i="2"/>
  <c r="B475" i="2"/>
  <c r="C475" i="2"/>
  <c r="A476" i="2"/>
  <c r="B476" i="2"/>
  <c r="C476" i="2"/>
  <c r="A477" i="2"/>
  <c r="A478" i="2"/>
  <c r="B478" i="2"/>
  <c r="C478" i="2"/>
  <c r="A479" i="2"/>
  <c r="B479" i="2"/>
  <c r="C479" i="2"/>
  <c r="A480" i="2"/>
  <c r="B480" i="2"/>
  <c r="C480" i="2"/>
  <c r="A481" i="2"/>
  <c r="A482" i="2"/>
  <c r="B482" i="2"/>
  <c r="C482" i="2"/>
  <c r="AO4" i="2"/>
  <c r="AP4" i="2" s="1"/>
  <c r="AO5" i="2"/>
  <c r="AP5" i="2" s="1"/>
  <c r="AO6" i="2"/>
  <c r="AP6" i="2" s="1"/>
  <c r="AO7" i="2"/>
  <c r="AP7" i="2" s="1"/>
  <c r="AO8" i="2"/>
  <c r="AP8" i="2" s="1"/>
  <c r="AO9" i="2"/>
  <c r="AP9" i="2" s="1"/>
  <c r="AO11" i="2"/>
  <c r="AP11" i="2" s="1"/>
  <c r="AO14" i="2"/>
  <c r="AP14" i="2" s="1"/>
  <c r="AO15" i="2"/>
  <c r="AP15" i="2" s="1"/>
  <c r="AO16" i="2"/>
  <c r="AP16" i="2" s="1"/>
  <c r="AO17" i="2"/>
  <c r="AP17" i="2" s="1"/>
  <c r="AO18" i="2"/>
  <c r="AP18" i="2" s="1"/>
  <c r="AO19" i="2"/>
  <c r="AP19" i="2" s="1"/>
  <c r="AO20" i="2"/>
  <c r="AP20" i="2" s="1"/>
  <c r="AO21" i="2"/>
  <c r="AP21" i="2" s="1"/>
  <c r="AO22" i="2"/>
  <c r="AP22" i="2" s="1"/>
  <c r="AO23" i="2"/>
  <c r="AP23" i="2" s="1"/>
  <c r="AO26" i="2"/>
  <c r="AP26" i="2" s="1"/>
  <c r="AO27" i="2"/>
  <c r="AP27" i="2" s="1"/>
  <c r="AO28" i="2"/>
  <c r="AP28" i="2" s="1"/>
  <c r="AO29" i="2"/>
  <c r="AP29" i="2" s="1"/>
  <c r="AO30" i="2"/>
  <c r="AP30" i="2" s="1"/>
  <c r="AO31" i="2"/>
  <c r="AP31" i="2" s="1"/>
  <c r="AO32" i="2"/>
  <c r="AP32" i="2" s="1"/>
  <c r="AO33" i="2"/>
  <c r="AP33" i="2" s="1"/>
  <c r="AO34" i="2"/>
  <c r="AP34" i="2" s="1"/>
  <c r="AO35" i="2"/>
  <c r="AP35" i="2" s="1"/>
  <c r="AO67" i="2"/>
  <c r="AP67" i="2" s="1"/>
  <c r="AO68" i="2"/>
  <c r="AP68" i="2" s="1"/>
  <c r="AO69" i="2"/>
  <c r="AP69" i="2" s="1"/>
  <c r="AO70" i="2"/>
  <c r="AP70" i="2" s="1"/>
  <c r="AO71" i="2"/>
  <c r="AP71" i="2" s="1"/>
  <c r="AO72" i="2"/>
  <c r="AP72" i="2" s="1"/>
  <c r="AO73" i="2"/>
  <c r="AP73" i="2" s="1"/>
  <c r="AO74" i="2"/>
  <c r="AP74" i="2" s="1"/>
  <c r="AO75" i="2"/>
  <c r="AP75" i="2" s="1"/>
  <c r="AO76" i="2"/>
  <c r="AP76" i="2" s="1"/>
  <c r="AO79" i="2"/>
  <c r="AP79" i="2" s="1"/>
  <c r="AO229" i="2"/>
  <c r="AP229" i="2" s="1"/>
  <c r="AO80" i="2"/>
  <c r="AP80" i="2" s="1"/>
  <c r="AO81" i="2"/>
  <c r="AP81" i="2" s="1"/>
  <c r="AO82" i="2"/>
  <c r="AP82" i="2" s="1"/>
  <c r="AO83" i="2"/>
  <c r="AP83" i="2" s="1"/>
  <c r="AO84" i="2"/>
  <c r="AP84" i="2" s="1"/>
  <c r="AO85" i="2"/>
  <c r="AP85" i="2" s="1"/>
  <c r="AO86" i="2"/>
  <c r="AP86" i="2" s="1"/>
  <c r="AO88" i="2"/>
  <c r="AP88" i="2" s="1"/>
  <c r="AO89" i="2"/>
  <c r="AP89" i="2" s="1"/>
  <c r="AO90" i="2"/>
  <c r="AP90" i="2" s="1"/>
  <c r="AO91" i="2"/>
  <c r="AP91" i="2" s="1"/>
  <c r="AO92" i="2"/>
  <c r="AP92" i="2" s="1"/>
  <c r="AO93" i="2"/>
  <c r="AP93" i="2" s="1"/>
  <c r="AO94" i="2"/>
  <c r="AP94" i="2" s="1"/>
  <c r="AO95" i="2"/>
  <c r="AP95" i="2" s="1"/>
  <c r="AO96" i="2"/>
  <c r="AP96" i="2" s="1"/>
  <c r="AO97" i="2"/>
  <c r="AP97" i="2" s="1"/>
  <c r="AO98" i="2"/>
  <c r="AP98" i="2" s="1"/>
  <c r="AO99" i="2"/>
  <c r="AP99" i="2" s="1"/>
  <c r="AO100" i="2"/>
  <c r="AP100" i="2" s="1"/>
  <c r="AO101" i="2"/>
  <c r="AP101" i="2" s="1"/>
  <c r="AO103" i="2"/>
  <c r="AP103" i="2" s="1"/>
  <c r="AO104" i="2"/>
  <c r="AP104" i="2" s="1"/>
  <c r="AO105" i="2"/>
  <c r="AP105" i="2" s="1"/>
  <c r="AO106" i="2"/>
  <c r="AP106" i="2" s="1"/>
  <c r="AO107" i="2"/>
  <c r="AP107" i="2" s="1"/>
  <c r="AO108" i="2"/>
  <c r="AP108" i="2" s="1"/>
  <c r="AO109" i="2"/>
  <c r="AP109" i="2" s="1"/>
  <c r="AO110" i="2"/>
  <c r="AP110" i="2" s="1"/>
  <c r="AO111" i="2"/>
  <c r="AP111" i="2" s="1"/>
  <c r="AO112" i="2"/>
  <c r="AP112" i="2" s="1"/>
  <c r="AO113" i="2"/>
  <c r="AP113" i="2" s="1"/>
  <c r="AO114" i="2"/>
  <c r="AP114" i="2" s="1"/>
  <c r="AO115" i="2"/>
  <c r="AP115" i="2" s="1"/>
  <c r="AO116" i="2"/>
  <c r="AP116" i="2" s="1"/>
  <c r="AO118" i="2"/>
  <c r="AP118" i="2" s="1"/>
  <c r="AO119" i="2"/>
  <c r="AP119" i="2" s="1"/>
  <c r="AO120" i="2"/>
  <c r="AP120" i="2" s="1"/>
  <c r="AO121" i="2"/>
  <c r="AP121" i="2" s="1"/>
  <c r="AO122" i="2"/>
  <c r="AP122" i="2" s="1"/>
  <c r="AO123" i="2"/>
  <c r="AP123" i="2" s="1"/>
  <c r="AO124" i="2"/>
  <c r="AP124" i="2" s="1"/>
  <c r="AO125" i="2"/>
  <c r="AP125" i="2" s="1"/>
  <c r="AO126" i="2"/>
  <c r="AP126" i="2" s="1"/>
  <c r="AO127" i="2"/>
  <c r="AP127" i="2" s="1"/>
  <c r="AO128" i="2"/>
  <c r="AP128" i="2" s="1"/>
  <c r="AO130" i="2"/>
  <c r="AP130" i="2" s="1"/>
  <c r="AO131" i="2"/>
  <c r="AP131" i="2" s="1"/>
  <c r="AO132" i="2"/>
  <c r="AP132" i="2" s="1"/>
  <c r="AO133" i="2"/>
  <c r="AP133" i="2" s="1"/>
  <c r="AO134" i="2"/>
  <c r="AP134" i="2" s="1"/>
  <c r="AO135" i="2"/>
  <c r="AP135" i="2" s="1"/>
  <c r="AO136" i="2"/>
  <c r="AP136" i="2" s="1"/>
  <c r="AO137" i="2"/>
  <c r="AP137" i="2" s="1"/>
  <c r="AO138" i="2"/>
  <c r="AP138" i="2" s="1"/>
  <c r="AO139" i="2"/>
  <c r="AP139" i="2" s="1"/>
  <c r="AO140" i="2"/>
  <c r="AP140" i="2" s="1"/>
  <c r="AO141" i="2"/>
  <c r="AP141" i="2" s="1"/>
  <c r="AO142" i="2"/>
  <c r="AP142" i="2" s="1"/>
  <c r="AO143" i="2"/>
  <c r="AP143" i="2" s="1"/>
  <c r="AO144" i="2"/>
  <c r="AP144" i="2" s="1"/>
  <c r="AO145" i="2"/>
  <c r="AP145" i="2" s="1"/>
  <c r="AO146" i="2"/>
  <c r="AP146" i="2" s="1"/>
  <c r="AO147" i="2"/>
  <c r="AP147" i="2" s="1"/>
  <c r="AO148" i="2"/>
  <c r="AP148" i="2" s="1"/>
  <c r="AO149" i="2"/>
  <c r="AP149" i="2" s="1"/>
  <c r="AO150" i="2"/>
  <c r="AP150" i="2" s="1"/>
  <c r="AO151" i="2"/>
  <c r="AP151" i="2" s="1"/>
  <c r="AO152" i="2"/>
  <c r="AP152" i="2" s="1"/>
  <c r="AO153" i="2"/>
  <c r="AP153" i="2" s="1"/>
  <c r="AO154" i="2"/>
  <c r="AP154" i="2" s="1"/>
  <c r="AO155" i="2"/>
  <c r="AP155" i="2" s="1"/>
  <c r="AO156" i="2"/>
  <c r="AP156" i="2" s="1"/>
  <c r="AO157" i="2"/>
  <c r="AP157" i="2" s="1"/>
  <c r="AO158" i="2"/>
  <c r="AP158" i="2" s="1"/>
  <c r="AO159" i="2"/>
  <c r="AP159" i="2" s="1"/>
  <c r="AO160" i="2"/>
  <c r="AP160" i="2" s="1"/>
  <c r="AO161" i="2"/>
  <c r="AP161" i="2" s="1"/>
  <c r="AO162" i="2"/>
  <c r="AP162" i="2" s="1"/>
  <c r="AO163" i="2"/>
  <c r="AP163" i="2" s="1"/>
  <c r="AO164" i="2"/>
  <c r="AP164" i="2" s="1"/>
  <c r="AO165" i="2"/>
  <c r="AP165" i="2" s="1"/>
  <c r="AO166" i="2"/>
  <c r="AP166" i="2" s="1"/>
  <c r="AO167" i="2"/>
  <c r="AP167" i="2" s="1"/>
  <c r="AO168" i="2"/>
  <c r="AP168" i="2" s="1"/>
  <c r="AO169" i="2"/>
  <c r="AP169" i="2" s="1"/>
  <c r="AO170" i="2"/>
  <c r="AP170" i="2" s="1"/>
  <c r="AO371" i="2"/>
  <c r="AP371" i="2" s="1"/>
  <c r="AO372" i="2"/>
  <c r="AP372" i="2" s="1"/>
  <c r="AO171" i="2"/>
  <c r="AP171" i="2" s="1"/>
  <c r="AO172" i="2"/>
  <c r="AP172" i="2" s="1"/>
  <c r="AO173" i="2"/>
  <c r="AP173" i="2" s="1"/>
  <c r="AO174" i="2"/>
  <c r="AP174" i="2" s="1"/>
  <c r="AO175" i="2"/>
  <c r="AP175" i="2" s="1"/>
  <c r="AO176" i="2"/>
  <c r="AP176" i="2" s="1"/>
  <c r="AO177" i="2"/>
  <c r="AP177" i="2" s="1"/>
  <c r="AO178" i="2"/>
  <c r="AP178" i="2" s="1"/>
  <c r="AO179" i="2"/>
  <c r="AP179" i="2" s="1"/>
  <c r="AO180" i="2"/>
  <c r="AP180" i="2" s="1"/>
  <c r="AO181" i="2"/>
  <c r="AP181" i="2" s="1"/>
  <c r="AO182" i="2"/>
  <c r="AP182" i="2" s="1"/>
  <c r="AO183" i="2"/>
  <c r="AP183" i="2" s="1"/>
  <c r="AO184" i="2"/>
  <c r="AP184" i="2" s="1"/>
  <c r="AO185" i="2"/>
  <c r="AP185" i="2" s="1"/>
  <c r="AO186" i="2"/>
  <c r="AP186" i="2" s="1"/>
  <c r="AO187" i="2"/>
  <c r="AP187" i="2" s="1"/>
  <c r="AO188" i="2"/>
  <c r="AP188" i="2" s="1"/>
  <c r="AO189" i="2"/>
  <c r="AP189" i="2" s="1"/>
  <c r="AO190" i="2"/>
  <c r="AP190" i="2" s="1"/>
  <c r="AO191" i="2"/>
  <c r="AP191" i="2" s="1"/>
  <c r="AO192" i="2"/>
  <c r="AP192" i="2" s="1"/>
  <c r="AO193" i="2"/>
  <c r="AP193" i="2" s="1"/>
  <c r="AO194" i="2"/>
  <c r="AP194" i="2" s="1"/>
  <c r="AO195" i="2"/>
  <c r="AP195" i="2" s="1"/>
  <c r="AO196" i="2"/>
  <c r="AP196" i="2" s="1"/>
  <c r="AO197" i="2"/>
  <c r="AP197" i="2" s="1"/>
  <c r="AO198" i="2"/>
  <c r="AP198" i="2" s="1"/>
  <c r="AO199" i="2"/>
  <c r="AP199" i="2" s="1"/>
  <c r="AO200" i="2"/>
  <c r="AP200" i="2" s="1"/>
  <c r="AO201" i="2"/>
  <c r="AP201" i="2" s="1"/>
  <c r="AO202" i="2"/>
  <c r="AP202" i="2" s="1"/>
  <c r="AO203" i="2"/>
  <c r="AP203" i="2" s="1"/>
  <c r="AO204" i="2"/>
  <c r="AP204" i="2" s="1"/>
  <c r="AO205" i="2"/>
  <c r="AP205" i="2" s="1"/>
  <c r="AO206" i="2"/>
  <c r="AP206" i="2" s="1"/>
  <c r="AO207" i="2"/>
  <c r="AP207" i="2" s="1"/>
  <c r="AO208" i="2"/>
  <c r="AP208" i="2" s="1"/>
  <c r="AO209" i="2"/>
  <c r="AP209" i="2" s="1"/>
  <c r="AO210" i="2"/>
  <c r="AP210" i="2" s="1"/>
  <c r="AO211" i="2"/>
  <c r="AP211" i="2" s="1"/>
  <c r="AO212" i="2"/>
  <c r="AP212" i="2" s="1"/>
  <c r="AO221" i="2"/>
  <c r="AP221" i="2" s="1"/>
  <c r="AO222" i="2"/>
  <c r="AP222" i="2" s="1"/>
  <c r="AO223" i="2"/>
  <c r="AP223" i="2" s="1"/>
  <c r="AO224" i="2"/>
  <c r="AP224" i="2" s="1"/>
  <c r="AO225" i="2"/>
  <c r="AP225" i="2" s="1"/>
  <c r="AO226" i="2"/>
  <c r="AP226" i="2" s="1"/>
  <c r="AO227" i="2"/>
  <c r="AP227" i="2" s="1"/>
  <c r="AO228" i="2"/>
  <c r="AP228" i="2" s="1"/>
  <c r="AO234" i="2"/>
  <c r="AP234" i="2" s="1"/>
  <c r="AO237" i="2"/>
  <c r="AP237" i="2" s="1"/>
  <c r="AO238" i="2"/>
  <c r="AP238" i="2" s="1"/>
  <c r="AO241" i="2"/>
  <c r="AP241" i="2" s="1"/>
  <c r="AO242" i="2"/>
  <c r="AP242" i="2" s="1"/>
  <c r="AO243" i="2"/>
  <c r="AP243" i="2" s="1"/>
  <c r="AO244" i="2"/>
  <c r="AP244" i="2" s="1"/>
  <c r="AO245" i="2"/>
  <c r="AP245" i="2" s="1"/>
  <c r="AO246" i="2"/>
  <c r="AP246" i="2" s="1"/>
  <c r="AO247" i="2"/>
  <c r="AP247" i="2" s="1"/>
  <c r="AO248" i="2"/>
  <c r="AP248" i="2" s="1"/>
  <c r="AO249" i="2"/>
  <c r="AP249" i="2" s="1"/>
  <c r="AO250" i="2"/>
  <c r="AP250" i="2" s="1"/>
  <c r="AO251" i="2"/>
  <c r="AP251" i="2" s="1"/>
  <c r="AO252" i="2"/>
  <c r="AP252" i="2" s="1"/>
  <c r="AO253" i="2"/>
  <c r="AP253" i="2" s="1"/>
  <c r="AO254" i="2"/>
  <c r="AP254" i="2" s="1"/>
  <c r="AO255" i="2"/>
  <c r="AP255" i="2" s="1"/>
  <c r="AO258" i="2"/>
  <c r="AP258" i="2" s="1"/>
  <c r="AO259" i="2"/>
  <c r="AP259" i="2" s="1"/>
  <c r="AO260" i="2"/>
  <c r="AP260" i="2" s="1"/>
  <c r="AO261" i="2"/>
  <c r="AP261" i="2" s="1"/>
  <c r="AO262" i="2"/>
  <c r="AP262" i="2" s="1"/>
  <c r="AO263" i="2"/>
  <c r="AP263" i="2" s="1"/>
  <c r="AO264" i="2"/>
  <c r="AP264" i="2" s="1"/>
  <c r="AO265" i="2"/>
  <c r="AP265" i="2" s="1"/>
  <c r="AO266" i="2"/>
  <c r="AP266" i="2" s="1"/>
  <c r="AO267" i="2"/>
  <c r="AP267" i="2" s="1"/>
  <c r="AO268" i="2"/>
  <c r="AP268" i="2" s="1"/>
  <c r="AO269" i="2"/>
  <c r="AP269" i="2" s="1"/>
  <c r="AO270" i="2"/>
  <c r="AP270" i="2" s="1"/>
  <c r="AO271" i="2"/>
  <c r="AP271" i="2" s="1"/>
  <c r="AO272" i="2"/>
  <c r="AP272" i="2" s="1"/>
  <c r="AO273" i="2"/>
  <c r="AP273" i="2" s="1"/>
  <c r="AO274" i="2"/>
  <c r="AP274" i="2" s="1"/>
  <c r="AO275" i="2"/>
  <c r="AP275" i="2" s="1"/>
  <c r="AO276" i="2"/>
  <c r="AP276" i="2" s="1"/>
  <c r="AO277" i="2"/>
  <c r="AP277" i="2" s="1"/>
  <c r="AO278" i="2"/>
  <c r="AP278" i="2" s="1"/>
  <c r="AO279" i="2"/>
  <c r="AP279" i="2" s="1"/>
  <c r="AO280" i="2"/>
  <c r="AP280" i="2" s="1"/>
  <c r="AO281" i="2"/>
  <c r="AP281" i="2" s="1"/>
  <c r="AO282" i="2"/>
  <c r="AP282" i="2" s="1"/>
  <c r="AO283" i="2"/>
  <c r="AP283" i="2" s="1"/>
  <c r="AO284" i="2"/>
  <c r="AP284" i="2" s="1"/>
  <c r="AO285" i="2"/>
  <c r="AP285" i="2" s="1"/>
  <c r="AO286" i="2"/>
  <c r="AP286" i="2" s="1"/>
  <c r="AO287" i="2"/>
  <c r="AP287" i="2" s="1"/>
  <c r="AO288" i="2"/>
  <c r="AP288" i="2" s="1"/>
  <c r="AO289" i="2"/>
  <c r="AP289" i="2" s="1"/>
  <c r="AO290" i="2"/>
  <c r="AP290" i="2" s="1"/>
  <c r="AO291" i="2"/>
  <c r="AP291" i="2" s="1"/>
  <c r="AO292" i="2"/>
  <c r="AP292" i="2" s="1"/>
  <c r="AO293" i="2"/>
  <c r="AP293" i="2" s="1"/>
  <c r="AO294" i="2"/>
  <c r="AP294" i="2" s="1"/>
  <c r="AO295" i="2"/>
  <c r="AP295" i="2" s="1"/>
  <c r="AO296" i="2"/>
  <c r="AP296" i="2" s="1"/>
  <c r="AO297" i="2"/>
  <c r="AP297" i="2" s="1"/>
  <c r="AO298" i="2"/>
  <c r="AP298" i="2" s="1"/>
  <c r="AO299" i="2"/>
  <c r="AP299" i="2" s="1"/>
  <c r="AO300" i="2"/>
  <c r="AP300" i="2" s="1"/>
  <c r="AO301" i="2"/>
  <c r="AP301" i="2" s="1"/>
  <c r="AO302" i="2"/>
  <c r="AP302" i="2" s="1"/>
  <c r="AO303" i="2"/>
  <c r="AP303" i="2" s="1"/>
  <c r="AO304" i="2"/>
  <c r="AP304" i="2" s="1"/>
  <c r="AO305" i="2"/>
  <c r="AP305" i="2" s="1"/>
  <c r="AO306" i="2"/>
  <c r="AP306" i="2" s="1"/>
  <c r="AO307" i="2"/>
  <c r="AP307" i="2" s="1"/>
  <c r="AO308" i="2"/>
  <c r="AP308" i="2" s="1"/>
  <c r="AO309" i="2"/>
  <c r="AP309" i="2" s="1"/>
  <c r="AO310" i="2"/>
  <c r="AP310" i="2" s="1"/>
  <c r="AO311" i="2"/>
  <c r="AP311" i="2" s="1"/>
  <c r="AO312" i="2"/>
  <c r="AP312" i="2" s="1"/>
  <c r="AO313" i="2"/>
  <c r="AP313" i="2" s="1"/>
  <c r="AO314" i="2"/>
  <c r="AP314" i="2" s="1"/>
  <c r="AO315" i="2"/>
  <c r="AP315" i="2" s="1"/>
  <c r="AO316" i="2"/>
  <c r="AP316" i="2" s="1"/>
  <c r="AO317" i="2"/>
  <c r="AP317" i="2" s="1"/>
  <c r="AO318" i="2"/>
  <c r="AP318" i="2" s="1"/>
  <c r="AO319" i="2"/>
  <c r="AP319" i="2" s="1"/>
  <c r="AO320" i="2"/>
  <c r="AP320" i="2" s="1"/>
  <c r="AO321" i="2"/>
  <c r="AP321" i="2" s="1"/>
  <c r="AO322" i="2"/>
  <c r="AP322" i="2" s="1"/>
  <c r="AO323" i="2"/>
  <c r="AP323" i="2" s="1"/>
  <c r="AO324" i="2"/>
  <c r="AP324" i="2" s="1"/>
  <c r="AO325" i="2"/>
  <c r="AP325" i="2" s="1"/>
  <c r="AO326" i="2"/>
  <c r="AP326" i="2" s="1"/>
  <c r="AO327" i="2"/>
  <c r="AP327" i="2" s="1"/>
  <c r="AO329" i="2"/>
  <c r="AP329" i="2" s="1"/>
  <c r="AO332" i="2"/>
  <c r="AP332" i="2" s="1"/>
  <c r="AO333" i="2"/>
  <c r="AP333" i="2" s="1"/>
  <c r="AO334" i="2"/>
  <c r="AP334" i="2" s="1"/>
  <c r="AO335" i="2"/>
  <c r="AP335" i="2" s="1"/>
  <c r="AO336" i="2"/>
  <c r="AP336" i="2" s="1"/>
  <c r="AO337" i="2"/>
  <c r="AP337" i="2" s="1"/>
  <c r="AO338" i="2"/>
  <c r="AP338" i="2" s="1"/>
  <c r="AO339" i="2"/>
  <c r="AP339" i="2" s="1"/>
  <c r="AO340" i="2"/>
  <c r="AP340" i="2" s="1"/>
  <c r="AO341" i="2"/>
  <c r="AP341" i="2" s="1"/>
  <c r="AO342" i="2"/>
  <c r="AP342" i="2" s="1"/>
  <c r="AO343" i="2"/>
  <c r="AP343" i="2" s="1"/>
  <c r="AO344" i="2"/>
  <c r="AP344" i="2" s="1"/>
  <c r="AO345" i="2"/>
  <c r="AP345" i="2" s="1"/>
  <c r="AO351" i="2"/>
  <c r="AP351" i="2" s="1"/>
  <c r="AO369" i="2"/>
  <c r="AP369" i="2" s="1"/>
  <c r="AO370" i="2"/>
  <c r="AP370" i="2" s="1"/>
  <c r="AO373" i="2"/>
  <c r="AP373" i="2" s="1"/>
  <c r="AO374" i="2"/>
  <c r="AP374" i="2" s="1"/>
  <c r="AO375" i="2"/>
  <c r="AP375" i="2" s="1"/>
  <c r="AO377" i="2"/>
  <c r="AP377" i="2" s="1"/>
  <c r="AO381" i="2"/>
  <c r="AP381" i="2" s="1"/>
  <c r="AO382" i="2"/>
  <c r="AP382" i="2" s="1"/>
  <c r="AO383" i="2"/>
  <c r="AP383" i="2" s="1"/>
  <c r="AO384" i="2"/>
  <c r="AP384" i="2" s="1"/>
  <c r="AO385" i="2"/>
  <c r="AP385" i="2" s="1"/>
  <c r="AO386" i="2"/>
  <c r="AP386" i="2" s="1"/>
  <c r="AO387" i="2"/>
  <c r="AP387" i="2" s="1"/>
  <c r="AO388" i="2"/>
  <c r="AP388" i="2" s="1"/>
  <c r="AO389" i="2"/>
  <c r="AP389" i="2" s="1"/>
  <c r="AO390" i="2"/>
  <c r="AP390" i="2" s="1"/>
  <c r="AO391" i="2"/>
  <c r="AP391" i="2" s="1"/>
  <c r="AO392" i="2"/>
  <c r="AP392" i="2" s="1"/>
  <c r="AO393" i="2"/>
  <c r="AP393" i="2" s="1"/>
  <c r="AO394" i="2"/>
  <c r="AP394" i="2" s="1"/>
  <c r="AO395" i="2"/>
  <c r="AP395" i="2" s="1"/>
  <c r="AO397" i="2"/>
  <c r="AP397" i="2" s="1"/>
  <c r="AO398" i="2"/>
  <c r="AP398" i="2" s="1"/>
  <c r="AO399" i="2"/>
  <c r="AP399" i="2" s="1"/>
  <c r="AO400" i="2"/>
  <c r="AP400" i="2" s="1"/>
  <c r="AO401" i="2"/>
  <c r="AP401" i="2" s="1"/>
  <c r="AO402" i="2"/>
  <c r="AP402" i="2" s="1"/>
  <c r="AO403" i="2"/>
  <c r="AP403" i="2" s="1"/>
  <c r="AO404" i="2"/>
  <c r="AP404" i="2" s="1"/>
  <c r="AO405" i="2"/>
  <c r="AP405" i="2" s="1"/>
  <c r="AO406" i="2"/>
  <c r="AP406" i="2" s="1"/>
  <c r="AO407" i="2"/>
  <c r="AP407" i="2" s="1"/>
  <c r="AO408" i="2"/>
  <c r="AP408" i="2" s="1"/>
  <c r="AO409" i="2"/>
  <c r="AP409" i="2" s="1"/>
  <c r="AO410" i="2"/>
  <c r="AP410" i="2" s="1"/>
  <c r="AO411" i="2"/>
  <c r="AP411" i="2" s="1"/>
  <c r="AO412" i="2"/>
  <c r="AP412" i="2" s="1"/>
  <c r="AO413" i="2"/>
  <c r="AP413" i="2" s="1"/>
  <c r="AO414" i="2"/>
  <c r="AP414" i="2" s="1"/>
  <c r="AO415" i="2"/>
  <c r="AP415" i="2" s="1"/>
  <c r="AO416" i="2"/>
  <c r="AP416" i="2" s="1"/>
  <c r="AO417" i="2"/>
  <c r="AP417" i="2" s="1"/>
  <c r="AO418" i="2"/>
  <c r="AP418" i="2" s="1"/>
  <c r="AO419" i="2"/>
  <c r="AP419" i="2" s="1"/>
  <c r="AO420" i="2"/>
  <c r="AP420" i="2" s="1"/>
  <c r="AO421" i="2"/>
  <c r="AP421" i="2" s="1"/>
  <c r="AO422" i="2"/>
  <c r="AP422" i="2" s="1"/>
  <c r="AO423" i="2"/>
  <c r="AP423" i="2" s="1"/>
  <c r="AO424" i="2"/>
  <c r="AP424" i="2" s="1"/>
  <c r="AO425" i="2"/>
  <c r="AP425" i="2" s="1"/>
  <c r="AO426" i="2"/>
  <c r="AP426" i="2" s="1"/>
  <c r="AO427" i="2"/>
  <c r="AP427" i="2" s="1"/>
  <c r="AO428" i="2"/>
  <c r="AP428" i="2" s="1"/>
  <c r="AO429" i="2"/>
  <c r="AP429" i="2" s="1"/>
  <c r="AO430" i="2"/>
  <c r="AP430" i="2" s="1"/>
  <c r="AO431" i="2"/>
  <c r="AP431" i="2" s="1"/>
  <c r="AF3" i="2"/>
  <c r="AK3" i="2"/>
  <c r="AF4" i="2"/>
  <c r="AK4" i="2"/>
  <c r="AL4" i="2" s="1"/>
  <c r="AM4" i="2"/>
  <c r="AF5" i="2"/>
  <c r="AK5" i="2"/>
  <c r="AL5" i="2"/>
  <c r="AM5" i="2"/>
  <c r="AF6" i="2"/>
  <c r="AL6" i="2"/>
  <c r="AM6" i="2"/>
  <c r="AF7" i="2"/>
  <c r="AK7" i="2"/>
  <c r="AL7" i="2"/>
  <c r="AM7" i="2"/>
  <c r="AF8" i="2"/>
  <c r="AK8" i="2"/>
  <c r="AL8" i="2"/>
  <c r="AM8" i="2"/>
  <c r="AF9" i="2"/>
  <c r="AK9" i="2"/>
  <c r="AL9" i="2"/>
  <c r="AM9" i="2"/>
  <c r="AF11" i="2"/>
  <c r="AK11" i="2"/>
  <c r="AL11" i="2" s="1"/>
  <c r="AM11" i="2"/>
  <c r="AF12" i="2"/>
  <c r="AK12" i="2"/>
  <c r="AL12" i="2"/>
  <c r="AM12" i="2"/>
  <c r="AF13" i="2"/>
  <c r="AK13" i="2"/>
  <c r="AL13" i="2" s="1"/>
  <c r="AM13" i="2"/>
  <c r="AF14" i="2"/>
  <c r="AK14" i="2"/>
  <c r="AL14" i="2" s="1"/>
  <c r="AM14" i="2"/>
  <c r="AF15" i="2"/>
  <c r="AK15" i="2"/>
  <c r="AL15" i="2"/>
  <c r="AM15" i="2"/>
  <c r="AF16" i="2"/>
  <c r="AK16" i="2"/>
  <c r="AL16" i="2"/>
  <c r="AM16" i="2"/>
  <c r="AF17" i="2"/>
  <c r="AK17" i="2"/>
  <c r="AL17" i="2"/>
  <c r="AM17" i="2"/>
  <c r="AF18" i="2"/>
  <c r="AK18" i="2"/>
  <c r="AL18" i="2"/>
  <c r="AM18" i="2"/>
  <c r="AF19" i="2"/>
  <c r="AL19" i="2"/>
  <c r="AM19" i="2"/>
  <c r="AF20" i="2"/>
  <c r="AK20" i="2"/>
  <c r="AL20" i="2"/>
  <c r="AM20" i="2"/>
  <c r="AF21" i="2"/>
  <c r="AK21" i="2"/>
  <c r="AL21" i="2"/>
  <c r="AM21" i="2"/>
  <c r="AF22" i="2"/>
  <c r="AK22" i="2"/>
  <c r="AL22" i="2"/>
  <c r="AM22" i="2"/>
  <c r="AF23" i="2"/>
  <c r="AK23" i="2"/>
  <c r="AL23" i="2"/>
  <c r="AM23" i="2"/>
  <c r="AF24" i="2"/>
  <c r="AK24" i="2"/>
  <c r="AL24" i="2"/>
  <c r="AM24" i="2"/>
  <c r="AF25" i="2"/>
  <c r="AK25" i="2"/>
  <c r="AL25" i="2" s="1"/>
  <c r="AM25" i="2"/>
  <c r="AF26" i="2"/>
  <c r="AK26" i="2"/>
  <c r="AL26" i="2"/>
  <c r="AM26" i="2"/>
  <c r="AF27" i="2"/>
  <c r="AL27" i="2"/>
  <c r="AM27" i="2"/>
  <c r="AF28" i="2"/>
  <c r="AK28" i="2"/>
  <c r="AL28" i="2"/>
  <c r="AM28" i="2"/>
  <c r="AF29" i="2"/>
  <c r="AL29" i="2"/>
  <c r="AM29" i="2"/>
  <c r="AF30" i="2"/>
  <c r="AK30" i="2"/>
  <c r="AL30" i="2"/>
  <c r="AM30" i="2"/>
  <c r="AF31" i="2"/>
  <c r="AK31" i="2"/>
  <c r="AL31" i="2" s="1"/>
  <c r="AM31" i="2"/>
  <c r="AF32" i="2"/>
  <c r="AK32" i="2"/>
  <c r="AL32" i="2"/>
  <c r="AM32" i="2"/>
  <c r="AF33" i="2"/>
  <c r="AL33" i="2"/>
  <c r="AM33" i="2"/>
  <c r="AF34" i="2"/>
  <c r="AK34" i="2"/>
  <c r="AL34" i="2"/>
  <c r="AM34" i="2"/>
  <c r="AF35" i="2"/>
  <c r="AK35" i="2"/>
  <c r="AL35" i="2"/>
  <c r="AM35" i="2"/>
  <c r="AL36" i="2"/>
  <c r="AM36" i="2"/>
  <c r="AF55" i="2"/>
  <c r="AL55" i="2"/>
  <c r="AM55" i="2"/>
  <c r="AF67" i="2"/>
  <c r="AL67" i="2"/>
  <c r="AM67" i="2"/>
  <c r="AF68" i="2"/>
  <c r="AL68" i="2"/>
  <c r="AM68" i="2"/>
  <c r="AF69" i="2"/>
  <c r="AL69" i="2"/>
  <c r="AM69" i="2"/>
  <c r="AF70" i="2"/>
  <c r="AL70" i="2"/>
  <c r="AM70" i="2"/>
  <c r="AF71" i="2"/>
  <c r="AL71" i="2"/>
  <c r="AM71" i="2"/>
  <c r="AF72" i="2"/>
  <c r="AL72" i="2"/>
  <c r="AM72" i="2"/>
  <c r="AF73" i="2"/>
  <c r="AL73" i="2"/>
  <c r="AM73" i="2"/>
  <c r="AF74" i="2"/>
  <c r="AL74" i="2"/>
  <c r="AM74" i="2"/>
  <c r="AF75" i="2"/>
  <c r="AL75" i="2"/>
  <c r="AM75" i="2"/>
  <c r="AF76" i="2"/>
  <c r="AL76" i="2"/>
  <c r="AM76" i="2"/>
  <c r="AF77" i="2"/>
  <c r="AL77" i="2"/>
  <c r="AM77" i="2"/>
  <c r="AF78" i="2"/>
  <c r="AL78" i="2"/>
  <c r="AM78" i="2"/>
  <c r="AF79" i="2"/>
  <c r="AL79" i="2"/>
  <c r="AM79" i="2"/>
  <c r="AF80" i="2"/>
  <c r="AK80" i="2"/>
  <c r="AL80" i="2" s="1"/>
  <c r="AM80" i="2"/>
  <c r="AF81" i="2"/>
  <c r="AK81" i="2"/>
  <c r="AL81" i="2" s="1"/>
  <c r="AM81" i="2"/>
  <c r="AF82" i="2"/>
  <c r="AL82" i="2"/>
  <c r="AM82" i="2"/>
  <c r="AF83" i="2"/>
  <c r="AK83" i="2"/>
  <c r="AL83" i="2"/>
  <c r="AM83" i="2"/>
  <c r="AF84" i="2"/>
  <c r="AK84" i="2"/>
  <c r="AL84" i="2" s="1"/>
  <c r="AM84" i="2"/>
  <c r="AF85" i="2"/>
  <c r="AK85" i="2"/>
  <c r="AL85" i="2" s="1"/>
  <c r="AM85" i="2"/>
  <c r="AF86" i="2"/>
  <c r="AK86" i="2"/>
  <c r="AL86" i="2" s="1"/>
  <c r="AM86" i="2"/>
  <c r="AF87" i="2"/>
  <c r="AK87" i="2"/>
  <c r="AL87" i="2"/>
  <c r="AM87" i="2"/>
  <c r="AF88" i="2"/>
  <c r="AK88" i="2"/>
  <c r="AL88" i="2"/>
  <c r="AM88" i="2"/>
  <c r="AF89" i="2"/>
  <c r="AK89" i="2"/>
  <c r="AL89" i="2"/>
  <c r="AM89" i="2"/>
  <c r="AF90" i="2"/>
  <c r="AL90" i="2"/>
  <c r="AM90" i="2"/>
  <c r="AF91" i="2"/>
  <c r="AK91" i="2"/>
  <c r="AL91" i="2"/>
  <c r="AM91" i="2"/>
  <c r="AF92" i="2"/>
  <c r="AK92" i="2"/>
  <c r="AL92" i="2"/>
  <c r="AM92" i="2"/>
  <c r="AF93" i="2"/>
  <c r="AK93" i="2"/>
  <c r="AL93" i="2" s="1"/>
  <c r="AM93" i="2"/>
  <c r="AF94" i="2"/>
  <c r="AL94" i="2"/>
  <c r="AM94" i="2"/>
  <c r="AF95" i="2"/>
  <c r="AL95" i="2"/>
  <c r="AM95" i="2"/>
  <c r="AF96" i="2"/>
  <c r="AK96" i="2"/>
  <c r="AL96" i="2"/>
  <c r="AM96" i="2"/>
  <c r="AF97" i="2"/>
  <c r="AL97" i="2"/>
  <c r="AM97" i="2"/>
  <c r="AF98" i="2"/>
  <c r="AK98" i="2"/>
  <c r="AL98" i="2"/>
  <c r="AM98" i="2"/>
  <c r="AF99" i="2"/>
  <c r="AK99" i="2"/>
  <c r="AL99" i="2"/>
  <c r="AM99" i="2"/>
  <c r="AF100" i="2"/>
  <c r="AL100" i="2"/>
  <c r="AM100" i="2"/>
  <c r="AF101" i="2"/>
  <c r="AL101" i="2"/>
  <c r="AM101" i="2"/>
  <c r="AF103" i="2"/>
  <c r="AK103" i="2"/>
  <c r="AL103" i="2"/>
  <c r="AM103" i="2"/>
  <c r="AF104" i="2"/>
  <c r="AL104" i="2"/>
  <c r="AM104" i="2"/>
  <c r="AF105" i="2"/>
  <c r="AK105" i="2"/>
  <c r="AL105" i="2"/>
  <c r="AM105" i="2"/>
  <c r="AF106" i="2"/>
  <c r="AK106" i="2"/>
  <c r="AL106" i="2" s="1"/>
  <c r="AM106" i="2"/>
  <c r="AF107" i="2"/>
  <c r="AK107" i="2"/>
  <c r="AL107" i="2"/>
  <c r="AM107" i="2"/>
  <c r="AF108" i="2"/>
  <c r="AK108" i="2"/>
  <c r="AL108" i="2" s="1"/>
  <c r="AM108" i="2"/>
  <c r="AF109" i="2"/>
  <c r="AK109" i="2"/>
  <c r="AL109" i="2"/>
  <c r="AM109" i="2"/>
  <c r="AF110" i="2"/>
  <c r="AK110" i="2"/>
  <c r="AL110" i="2"/>
  <c r="AM110" i="2"/>
  <c r="AF111" i="2"/>
  <c r="AK111" i="2"/>
  <c r="AL111" i="2" s="1"/>
  <c r="AM111" i="2"/>
  <c r="AF112" i="2"/>
  <c r="AK112" i="2"/>
  <c r="AL112" i="2"/>
  <c r="AM112" i="2"/>
  <c r="AF113" i="2"/>
  <c r="AK113" i="2"/>
  <c r="AL113" i="2"/>
  <c r="AM113" i="2"/>
  <c r="AF114" i="2"/>
  <c r="AK114" i="2"/>
  <c r="AL114" i="2"/>
  <c r="AM114" i="2"/>
  <c r="AF115" i="2"/>
  <c r="AK115" i="2"/>
  <c r="AL115" i="2"/>
  <c r="AM115" i="2"/>
  <c r="AF116" i="2"/>
  <c r="AK116" i="2"/>
  <c r="AL116" i="2"/>
  <c r="AM116" i="2"/>
  <c r="AF118" i="2"/>
  <c r="AK118" i="2"/>
  <c r="AL118" i="2"/>
  <c r="AM118" i="2"/>
  <c r="AF119" i="2"/>
  <c r="AK119" i="2"/>
  <c r="AL119" i="2"/>
  <c r="AM119" i="2"/>
  <c r="AF120" i="2"/>
  <c r="AK120" i="2"/>
  <c r="AL120" i="2"/>
  <c r="AM120" i="2"/>
  <c r="AF121" i="2"/>
  <c r="AK121" i="2"/>
  <c r="AL121" i="2"/>
  <c r="AM121" i="2"/>
  <c r="AF122" i="2"/>
  <c r="AK122" i="2"/>
  <c r="AL122" i="2"/>
  <c r="AM122" i="2"/>
  <c r="AF123" i="2"/>
  <c r="AK123" i="2"/>
  <c r="AL123" i="2"/>
  <c r="AM123" i="2"/>
  <c r="AF124" i="2"/>
  <c r="AK124" i="2"/>
  <c r="AL124" i="2"/>
  <c r="AM124" i="2"/>
  <c r="AF125" i="2"/>
  <c r="AK125" i="2"/>
  <c r="AL125" i="2"/>
  <c r="AM125" i="2"/>
  <c r="AF126" i="2"/>
  <c r="AK126" i="2"/>
  <c r="AL126" i="2"/>
  <c r="AM126" i="2"/>
  <c r="AF127" i="2"/>
  <c r="AK127" i="2"/>
  <c r="AL127" i="2"/>
  <c r="AM127" i="2"/>
  <c r="AF128" i="2"/>
  <c r="AK128" i="2"/>
  <c r="AL128" i="2"/>
  <c r="AM128" i="2"/>
  <c r="AF130" i="2"/>
  <c r="AK130" i="2"/>
  <c r="AL130" i="2"/>
  <c r="AM130" i="2"/>
  <c r="AF131" i="2"/>
  <c r="AK131" i="2"/>
  <c r="AL131" i="2"/>
  <c r="AM131" i="2"/>
  <c r="AF132" i="2"/>
  <c r="AK132" i="2"/>
  <c r="AL132" i="2"/>
  <c r="AM132" i="2"/>
  <c r="AF133" i="2"/>
  <c r="AL133" i="2"/>
  <c r="AM133" i="2"/>
  <c r="AF134" i="2"/>
  <c r="AK134" i="2"/>
  <c r="AL134" i="2"/>
  <c r="AM134" i="2"/>
  <c r="AF135" i="2"/>
  <c r="AK135" i="2"/>
  <c r="AL135" i="2"/>
  <c r="AM135" i="2"/>
  <c r="AF136" i="2"/>
  <c r="AK136" i="2"/>
  <c r="AL136" i="2" s="1"/>
  <c r="AM136" i="2"/>
  <c r="AF137" i="2"/>
  <c r="AK137" i="2"/>
  <c r="AL137" i="2" s="1"/>
  <c r="AM137" i="2"/>
  <c r="AF138" i="2"/>
  <c r="AL138" i="2"/>
  <c r="AM138" i="2"/>
  <c r="AF139" i="2"/>
  <c r="AK139" i="2"/>
  <c r="AL139" i="2"/>
  <c r="AM139" i="2"/>
  <c r="AF140" i="2"/>
  <c r="AL140" i="2"/>
  <c r="AM140" i="2"/>
  <c r="AF141" i="2"/>
  <c r="AL141" i="2"/>
  <c r="AM141" i="2"/>
  <c r="AF142" i="2"/>
  <c r="AL142" i="2"/>
  <c r="AM142" i="2"/>
  <c r="AF143" i="2"/>
  <c r="AL143" i="2"/>
  <c r="AM143" i="2"/>
  <c r="AF144" i="2"/>
  <c r="AL144" i="2"/>
  <c r="AM144" i="2"/>
  <c r="AF145" i="2"/>
  <c r="AK145" i="2"/>
  <c r="AL145" i="2"/>
  <c r="AM145" i="2"/>
  <c r="AF146" i="2"/>
  <c r="AK146" i="2"/>
  <c r="AL146" i="2"/>
  <c r="AM146" i="2"/>
  <c r="AF147" i="2"/>
  <c r="AK147" i="2"/>
  <c r="AL147" i="2"/>
  <c r="AM147" i="2"/>
  <c r="AF148" i="2"/>
  <c r="AK148" i="2"/>
  <c r="AL148" i="2" s="1"/>
  <c r="AM148" i="2"/>
  <c r="AK149" i="2"/>
  <c r="AL149" i="2" s="1"/>
  <c r="AM149" i="2"/>
  <c r="AF150" i="2"/>
  <c r="AK150" i="2"/>
  <c r="AL150" i="2" s="1"/>
  <c r="AM150" i="2"/>
  <c r="AF151" i="2"/>
  <c r="AK151" i="2"/>
  <c r="AL151" i="2" s="1"/>
  <c r="AM151" i="2"/>
  <c r="AF152" i="2"/>
  <c r="AK152" i="2"/>
  <c r="AL152" i="2"/>
  <c r="AM152" i="2"/>
  <c r="AF153" i="2"/>
  <c r="AK153" i="2"/>
  <c r="AL153" i="2" s="1"/>
  <c r="AM153" i="2"/>
  <c r="AF154" i="2"/>
  <c r="AK154" i="2"/>
  <c r="AL154" i="2" s="1"/>
  <c r="AM154" i="2"/>
  <c r="AF155" i="2"/>
  <c r="AK155" i="2"/>
  <c r="AL155" i="2"/>
  <c r="AM155" i="2"/>
  <c r="AF156" i="2"/>
  <c r="AK156" i="2"/>
  <c r="AL156" i="2"/>
  <c r="AM156" i="2"/>
  <c r="AF157" i="2"/>
  <c r="AL157" i="2"/>
  <c r="AM157" i="2"/>
  <c r="AF158" i="2"/>
  <c r="AL158" i="2"/>
  <c r="AM158" i="2"/>
  <c r="AF159" i="2"/>
  <c r="AL159" i="2"/>
  <c r="AM159" i="2"/>
  <c r="AF160" i="2"/>
  <c r="AK160" i="2"/>
  <c r="AL160" i="2"/>
  <c r="AM160" i="2"/>
  <c r="AF161" i="2"/>
  <c r="AL161" i="2"/>
  <c r="AM161" i="2"/>
  <c r="AF162" i="2"/>
  <c r="AK162" i="2"/>
  <c r="AL162" i="2"/>
  <c r="AM162" i="2"/>
  <c r="AF163" i="2"/>
  <c r="AL163" i="2"/>
  <c r="AM163" i="2"/>
  <c r="AF164" i="2"/>
  <c r="AL164" i="2"/>
  <c r="AM164" i="2"/>
  <c r="AF165" i="2"/>
  <c r="AL165" i="2"/>
  <c r="AM165" i="2"/>
  <c r="AF166" i="2"/>
  <c r="AK166" i="2"/>
  <c r="AL166" i="2"/>
  <c r="AM166" i="2"/>
  <c r="AF167" i="2"/>
  <c r="AM167" i="2"/>
  <c r="AF168" i="2"/>
  <c r="AL168" i="2"/>
  <c r="AM168" i="2"/>
  <c r="AF169" i="2"/>
  <c r="AL169" i="2"/>
  <c r="AM169" i="2"/>
  <c r="AF170" i="2"/>
  <c r="AK170" i="2"/>
  <c r="AL170" i="2" s="1"/>
  <c r="AM170" i="2"/>
  <c r="AF171" i="2"/>
  <c r="AK171" i="2"/>
  <c r="AL171" i="2" s="1"/>
  <c r="AM171" i="2"/>
  <c r="AF172" i="2"/>
  <c r="AL172" i="2"/>
  <c r="AM172" i="2"/>
  <c r="AF173" i="2"/>
  <c r="AL173" i="2"/>
  <c r="AM173" i="2"/>
  <c r="AF174" i="2"/>
  <c r="AK174" i="2"/>
  <c r="AL174" i="2" s="1"/>
  <c r="AM174" i="2"/>
  <c r="AF175" i="2"/>
  <c r="AK175" i="2"/>
  <c r="AL175" i="2" s="1"/>
  <c r="AM175" i="2"/>
  <c r="AF176" i="2"/>
  <c r="AK176" i="2"/>
  <c r="AL176" i="2" s="1"/>
  <c r="AM176" i="2"/>
  <c r="AF177" i="2"/>
  <c r="AL177" i="2"/>
  <c r="AM177" i="2"/>
  <c r="AF178" i="2"/>
  <c r="AL178" i="2"/>
  <c r="AM178" i="2"/>
  <c r="AF179" i="2"/>
  <c r="AL179" i="2"/>
  <c r="AM179" i="2"/>
  <c r="AF180" i="2"/>
  <c r="AL180" i="2"/>
  <c r="AM180" i="2"/>
  <c r="AF181" i="2"/>
  <c r="AL181" i="2"/>
  <c r="AM181" i="2"/>
  <c r="AF182" i="2"/>
  <c r="AK182" i="2"/>
  <c r="AL182" i="2"/>
  <c r="AM182" i="2"/>
  <c r="AF183" i="2"/>
  <c r="AK183" i="2"/>
  <c r="AL183" i="2"/>
  <c r="AM183" i="2"/>
  <c r="AF184" i="2"/>
  <c r="AK184" i="2"/>
  <c r="AL184" i="2"/>
  <c r="AM184" i="2"/>
  <c r="AF185" i="2"/>
  <c r="AK185" i="2"/>
  <c r="AL185" i="2"/>
  <c r="AM185" i="2"/>
  <c r="AF186" i="2"/>
  <c r="AK186" i="2"/>
  <c r="AL186" i="2"/>
  <c r="AM186" i="2"/>
  <c r="AF187" i="2"/>
  <c r="AK187" i="2"/>
  <c r="AL187" i="2" s="1"/>
  <c r="AM187" i="2"/>
  <c r="AK188" i="2"/>
  <c r="AL188" i="2"/>
  <c r="AM188" i="2"/>
  <c r="AF189" i="2"/>
  <c r="AK189" i="2"/>
  <c r="AL189" i="2" s="1"/>
  <c r="AM189" i="2"/>
  <c r="AF190" i="2"/>
  <c r="AK190" i="2"/>
  <c r="AL190" i="2"/>
  <c r="AM190" i="2"/>
  <c r="AF191" i="2"/>
  <c r="AK191" i="2"/>
  <c r="AL191" i="2"/>
  <c r="AM191" i="2"/>
  <c r="AF192" i="2"/>
  <c r="AK192" i="2"/>
  <c r="AL192" i="2" s="1"/>
  <c r="AM192" i="2"/>
  <c r="AF193" i="2"/>
  <c r="AL193" i="2"/>
  <c r="AM193" i="2"/>
  <c r="AF194" i="2"/>
  <c r="AM194" i="2"/>
  <c r="AF195" i="2"/>
  <c r="AK195" i="2"/>
  <c r="AL195" i="2"/>
  <c r="AM195" i="2"/>
  <c r="AF196" i="2"/>
  <c r="AK196" i="2"/>
  <c r="AL196" i="2"/>
  <c r="AM196" i="2"/>
  <c r="AF197" i="2"/>
  <c r="AK197" i="2"/>
  <c r="AL197" i="2"/>
  <c r="AM197" i="2"/>
  <c r="AF198" i="2"/>
  <c r="AK198" i="2"/>
  <c r="AL198" i="2"/>
  <c r="AM198" i="2"/>
  <c r="AF199" i="2"/>
  <c r="AL199" i="2"/>
  <c r="AM199" i="2"/>
  <c r="AF200" i="2"/>
  <c r="AL200" i="2"/>
  <c r="AM200" i="2"/>
  <c r="AF201" i="2"/>
  <c r="AK201" i="2"/>
  <c r="AL201" i="2"/>
  <c r="AM201" i="2"/>
  <c r="AF202" i="2"/>
  <c r="AM202" i="2"/>
  <c r="AF203" i="2"/>
  <c r="AK203" i="2"/>
  <c r="AL203" i="2" s="1"/>
  <c r="AM203" i="2"/>
  <c r="AF204" i="2"/>
  <c r="AL204" i="2"/>
  <c r="AM204" i="2"/>
  <c r="AF205" i="2"/>
  <c r="AK205" i="2"/>
  <c r="AL205" i="2"/>
  <c r="AM205" i="2"/>
  <c r="AF206" i="2"/>
  <c r="AL206" i="2"/>
  <c r="AM206" i="2"/>
  <c r="AF207" i="2"/>
  <c r="AK207" i="2"/>
  <c r="AL207" i="2"/>
  <c r="AM207" i="2"/>
  <c r="AF208" i="2"/>
  <c r="AK208" i="2"/>
  <c r="AL208" i="2"/>
  <c r="AM208" i="2"/>
  <c r="AF209" i="2"/>
  <c r="AM209" i="2"/>
  <c r="AF210" i="2"/>
  <c r="AL210" i="2"/>
  <c r="AM210" i="2"/>
  <c r="AF211" i="2"/>
  <c r="AK211" i="2"/>
  <c r="AL211" i="2"/>
  <c r="AM211" i="2"/>
  <c r="AF212" i="2"/>
  <c r="AL212" i="2"/>
  <c r="AM212" i="2"/>
  <c r="AF221" i="2"/>
  <c r="AK221" i="2"/>
  <c r="AL221" i="2"/>
  <c r="AM221" i="2"/>
  <c r="AF222" i="2"/>
  <c r="AK222" i="2"/>
  <c r="AL222" i="2"/>
  <c r="AM222" i="2"/>
  <c r="AF223" i="2"/>
  <c r="AK223" i="2"/>
  <c r="AL223" i="2"/>
  <c r="AM223" i="2"/>
  <c r="AF224" i="2"/>
  <c r="AK224" i="2"/>
  <c r="AL224" i="2" s="1"/>
  <c r="AM224" i="2"/>
  <c r="AF225" i="2"/>
  <c r="AK225" i="2"/>
  <c r="AL225" i="2" s="1"/>
  <c r="AM225" i="2"/>
  <c r="AF226" i="2"/>
  <c r="AK226" i="2"/>
  <c r="AL226" i="2"/>
  <c r="AM226" i="2"/>
  <c r="AF227" i="2"/>
  <c r="AL227" i="2"/>
  <c r="AM227" i="2"/>
  <c r="AF228" i="2"/>
  <c r="AK228" i="2"/>
  <c r="AL228" i="2"/>
  <c r="AM228" i="2"/>
  <c r="AF374" i="2"/>
  <c r="AL374" i="2"/>
  <c r="AM374" i="2"/>
  <c r="AF375" i="2"/>
  <c r="AL375" i="2"/>
  <c r="AM375" i="2"/>
  <c r="AF377" i="2"/>
  <c r="AK377" i="2"/>
  <c r="AL377" i="2"/>
  <c r="AM377" i="2"/>
  <c r="AF381" i="2"/>
  <c r="AK381" i="2"/>
  <c r="AL381" i="2"/>
  <c r="AM381" i="2"/>
  <c r="AF382" i="2"/>
  <c r="AK382" i="2"/>
  <c r="AL382" i="2"/>
  <c r="AM382" i="2"/>
  <c r="AF383" i="2"/>
  <c r="AK383" i="2"/>
  <c r="AL383" i="2"/>
  <c r="AM383" i="2"/>
  <c r="AF384" i="2"/>
  <c r="AK384" i="2"/>
  <c r="AL384" i="2"/>
  <c r="AM384" i="2"/>
  <c r="AF385" i="2"/>
  <c r="AK385" i="2"/>
  <c r="AL385" i="2"/>
  <c r="AM385" i="2"/>
  <c r="AF386" i="2"/>
  <c r="AL386" i="2"/>
  <c r="AM386" i="2"/>
  <c r="AF387" i="2"/>
  <c r="AK387" i="2"/>
  <c r="AL387" i="2"/>
  <c r="AM387" i="2"/>
  <c r="AF388" i="2"/>
  <c r="AL388" i="2"/>
  <c r="AM388" i="2"/>
  <c r="AF389" i="2"/>
  <c r="AL389" i="2"/>
  <c r="AM389" i="2"/>
  <c r="AF390" i="2"/>
  <c r="AK390" i="2"/>
  <c r="AL390" i="2"/>
  <c r="AM390" i="2"/>
  <c r="AF391" i="2"/>
  <c r="AK391" i="2"/>
  <c r="AL391" i="2"/>
  <c r="AM391" i="2"/>
  <c r="AF392" i="2"/>
  <c r="AK392" i="2"/>
  <c r="AL392" i="2"/>
  <c r="AM392" i="2"/>
  <c r="AF393" i="2"/>
  <c r="AK393" i="2"/>
  <c r="AL393" i="2"/>
  <c r="AM393" i="2"/>
  <c r="AF394" i="2"/>
  <c r="AL394" i="2"/>
  <c r="AM394" i="2"/>
  <c r="AF395" i="2"/>
  <c r="AL395" i="2"/>
  <c r="AM395" i="2"/>
  <c r="AF397" i="2"/>
  <c r="AK397" i="2"/>
  <c r="AL397" i="2"/>
  <c r="AM397" i="2"/>
  <c r="AF398" i="2"/>
  <c r="AK398" i="2"/>
  <c r="AL398" i="2" s="1"/>
  <c r="AM398" i="2"/>
  <c r="AF399" i="2"/>
  <c r="AK399" i="2"/>
  <c r="AL399" i="2"/>
  <c r="AM399" i="2"/>
  <c r="AF400" i="2"/>
  <c r="AK400" i="2"/>
  <c r="AL400" i="2"/>
  <c r="AM400" i="2"/>
  <c r="AF401" i="2"/>
  <c r="AK401" i="2"/>
  <c r="AL401" i="2"/>
  <c r="AM401" i="2"/>
  <c r="AF402" i="2"/>
  <c r="AL402" i="2"/>
  <c r="AM402" i="2"/>
  <c r="AF403" i="2"/>
  <c r="AL403" i="2"/>
  <c r="AM403" i="2"/>
  <c r="AF404" i="2"/>
  <c r="AK404" i="2"/>
  <c r="AL404" i="2"/>
  <c r="AM404" i="2"/>
  <c r="AF405" i="2"/>
  <c r="AK405" i="2"/>
  <c r="AL405" i="2"/>
  <c r="AM405" i="2"/>
  <c r="AF406" i="2"/>
  <c r="AL406" i="2"/>
  <c r="AM406" i="2"/>
  <c r="AF407" i="2"/>
  <c r="AK407" i="2"/>
  <c r="AL407" i="2"/>
  <c r="AM407" i="2"/>
  <c r="AF408" i="2"/>
  <c r="AK408" i="2"/>
  <c r="AL408" i="2"/>
  <c r="AM408" i="2"/>
  <c r="AF409" i="2"/>
  <c r="AK409" i="2"/>
  <c r="AL409" i="2"/>
  <c r="AM409" i="2"/>
  <c r="AF410" i="2"/>
  <c r="AK410" i="2"/>
  <c r="AL410" i="2" s="1"/>
  <c r="AM410" i="2"/>
  <c r="AF411" i="2"/>
  <c r="AK411" i="2"/>
  <c r="AL411" i="2" s="1"/>
  <c r="AM411" i="2"/>
  <c r="AF412" i="2"/>
  <c r="AK412" i="2"/>
  <c r="AL412" i="2" s="1"/>
  <c r="AM412" i="2"/>
  <c r="AF413" i="2"/>
  <c r="AK413" i="2"/>
  <c r="AL413" i="2" s="1"/>
  <c r="AM413" i="2"/>
  <c r="AF414" i="2"/>
  <c r="AL414" i="2"/>
  <c r="AM414" i="2"/>
  <c r="AF415" i="2"/>
  <c r="AL415" i="2"/>
  <c r="AM415" i="2"/>
  <c r="AF416" i="2"/>
  <c r="AK416" i="2"/>
  <c r="AL416" i="2" s="1"/>
  <c r="AM416" i="2"/>
  <c r="AF417" i="2"/>
  <c r="AK417" i="2"/>
  <c r="AL417" i="2" s="1"/>
  <c r="AM417" i="2"/>
  <c r="AF418" i="2"/>
  <c r="AK418" i="2"/>
  <c r="AL418" i="2" s="1"/>
  <c r="AM418" i="2"/>
  <c r="AF419" i="2"/>
  <c r="AK419" i="2"/>
  <c r="AL419" i="2" s="1"/>
  <c r="AM419" i="2"/>
  <c r="AF420" i="2"/>
  <c r="AL420" i="2"/>
  <c r="AM420" i="2"/>
  <c r="AF421" i="2"/>
  <c r="AL421" i="2"/>
  <c r="AM421" i="2"/>
  <c r="AF422" i="2"/>
  <c r="AK422" i="2"/>
  <c r="AL422" i="2"/>
  <c r="AM422" i="2"/>
  <c r="AF423" i="2"/>
  <c r="AK423" i="2"/>
  <c r="AL423" i="2"/>
  <c r="AM423" i="2"/>
  <c r="AF424" i="2"/>
  <c r="AK424" i="2"/>
  <c r="AL424" i="2"/>
  <c r="AM424" i="2"/>
  <c r="AF425" i="2"/>
  <c r="AK425" i="2"/>
  <c r="AL425" i="2"/>
  <c r="AM425" i="2"/>
  <c r="AF426" i="2"/>
  <c r="AL426" i="2"/>
  <c r="AM426" i="2"/>
  <c r="AF427" i="2"/>
  <c r="AK427" i="2"/>
  <c r="AL427" i="2"/>
  <c r="AM427" i="2"/>
  <c r="AF428" i="2"/>
  <c r="AK428" i="2"/>
  <c r="AL428" i="2"/>
  <c r="AM428" i="2"/>
  <c r="AF429" i="2"/>
  <c r="AK429" i="2"/>
  <c r="AL429" i="2"/>
  <c r="AM429" i="2"/>
  <c r="AF430" i="2"/>
  <c r="AL430" i="2"/>
  <c r="AM430" i="2"/>
  <c r="AF431" i="2"/>
  <c r="AL431" i="2"/>
  <c r="AM431" i="2"/>
  <c r="A369" i="2"/>
  <c r="B369" i="2"/>
  <c r="C369" i="2"/>
  <c r="A370" i="2"/>
  <c r="B370" i="2"/>
  <c r="C370" i="2"/>
  <c r="A373" i="2"/>
  <c r="B373" i="2"/>
  <c r="C373" i="2"/>
  <c r="A374" i="2"/>
  <c r="B374" i="2"/>
  <c r="C374" i="2"/>
  <c r="A375" i="2"/>
  <c r="B375" i="2"/>
  <c r="C375" i="2"/>
  <c r="A377" i="2"/>
  <c r="B377" i="2"/>
  <c r="C377" i="2"/>
  <c r="A381" i="2"/>
  <c r="B381" i="2"/>
  <c r="C381" i="2"/>
  <c r="A382" i="2"/>
  <c r="B382" i="2"/>
  <c r="C382" i="2"/>
  <c r="A383" i="2"/>
  <c r="B383" i="2"/>
  <c r="C383" i="2"/>
  <c r="A384" i="2"/>
  <c r="B384" i="2"/>
  <c r="C384" i="2"/>
  <c r="A385" i="2"/>
  <c r="B385" i="2"/>
  <c r="C385" i="2"/>
  <c r="A386" i="2"/>
  <c r="B386" i="2"/>
  <c r="C386" i="2"/>
  <c r="A387" i="2"/>
  <c r="B387" i="2"/>
  <c r="C387" i="2"/>
  <c r="A388" i="2"/>
  <c r="B388" i="2"/>
  <c r="C388" i="2"/>
  <c r="A389" i="2"/>
  <c r="B389" i="2"/>
  <c r="C389" i="2"/>
  <c r="A390" i="2"/>
  <c r="B390" i="2"/>
  <c r="C390" i="2"/>
  <c r="A391" i="2"/>
  <c r="B391" i="2"/>
  <c r="C391" i="2"/>
  <c r="A392" i="2"/>
  <c r="B392" i="2"/>
  <c r="C392" i="2"/>
  <c r="A393" i="2"/>
  <c r="B393" i="2"/>
  <c r="C393" i="2"/>
  <c r="A394" i="2"/>
  <c r="B394" i="2"/>
  <c r="C394" i="2"/>
  <c r="A395" i="2"/>
  <c r="B395" i="2"/>
  <c r="C395" i="2"/>
  <c r="A397" i="2"/>
  <c r="B397" i="2"/>
  <c r="C397" i="2"/>
  <c r="A398" i="2"/>
  <c r="B398" i="2"/>
  <c r="C398" i="2"/>
  <c r="A399" i="2"/>
  <c r="B399" i="2"/>
  <c r="C399" i="2"/>
  <c r="A400" i="2"/>
  <c r="B400" i="2"/>
  <c r="C400" i="2"/>
  <c r="A401" i="2"/>
  <c r="B401" i="2"/>
  <c r="C401" i="2"/>
  <c r="A402" i="2"/>
  <c r="B402" i="2"/>
  <c r="C402" i="2"/>
  <c r="A403" i="2"/>
  <c r="B403" i="2"/>
  <c r="C403" i="2"/>
  <c r="A404" i="2"/>
  <c r="B404" i="2"/>
  <c r="C404" i="2"/>
  <c r="A405" i="2"/>
  <c r="B405" i="2"/>
  <c r="C405" i="2"/>
  <c r="A406" i="2"/>
  <c r="B406" i="2"/>
  <c r="C406" i="2"/>
  <c r="A407" i="2"/>
  <c r="B407" i="2"/>
  <c r="C407" i="2"/>
  <c r="A408" i="2"/>
  <c r="B408" i="2"/>
  <c r="C408" i="2"/>
  <c r="A409" i="2"/>
  <c r="B409" i="2"/>
  <c r="A410" i="2"/>
  <c r="B410" i="2"/>
  <c r="C410" i="2"/>
  <c r="A411" i="2"/>
  <c r="B411" i="2"/>
  <c r="C411" i="2"/>
  <c r="A412" i="2"/>
  <c r="B412" i="2"/>
  <c r="C412" i="2"/>
  <c r="A413" i="2"/>
  <c r="B413" i="2"/>
  <c r="C413" i="2"/>
  <c r="A414" i="2"/>
  <c r="B414" i="2"/>
  <c r="C414" i="2"/>
  <c r="A415" i="2"/>
  <c r="B415" i="2"/>
  <c r="C415" i="2"/>
  <c r="A416" i="2"/>
  <c r="B416" i="2"/>
  <c r="C416" i="2"/>
  <c r="A417" i="2"/>
  <c r="B417" i="2"/>
  <c r="C417" i="2"/>
  <c r="A418" i="2"/>
  <c r="B418" i="2"/>
  <c r="C418" i="2"/>
  <c r="A419" i="2"/>
  <c r="B419" i="2"/>
  <c r="C419" i="2"/>
  <c r="A420" i="2"/>
  <c r="B420" i="2"/>
  <c r="C420" i="2"/>
  <c r="A421" i="2"/>
  <c r="B421" i="2"/>
  <c r="C421" i="2"/>
  <c r="A422" i="2"/>
  <c r="B422" i="2"/>
  <c r="C422" i="2"/>
  <c r="A423" i="2"/>
  <c r="B423" i="2"/>
  <c r="C423" i="2"/>
  <c r="A424" i="2"/>
  <c r="B424" i="2"/>
  <c r="C424" i="2"/>
  <c r="A425" i="2"/>
  <c r="B425" i="2"/>
  <c r="C425" i="2"/>
  <c r="A426" i="2"/>
  <c r="B426" i="2"/>
  <c r="C426" i="2"/>
  <c r="A427" i="2"/>
  <c r="B427" i="2"/>
  <c r="C427" i="2"/>
  <c r="A428" i="2"/>
  <c r="B428" i="2"/>
  <c r="C428" i="2"/>
  <c r="A429" i="2"/>
  <c r="B429" i="2"/>
  <c r="C429" i="2"/>
  <c r="A430" i="2"/>
  <c r="B430" i="2"/>
  <c r="C430" i="2"/>
  <c r="A431" i="2"/>
  <c r="B431" i="2"/>
  <c r="C431" i="2"/>
  <c r="A234" i="2"/>
  <c r="B234" i="2"/>
  <c r="C234" i="2"/>
  <c r="A238" i="2"/>
  <c r="B238" i="2"/>
  <c r="C238" i="2"/>
  <c r="A242" i="2"/>
  <c r="B242" i="2"/>
  <c r="C242" i="2"/>
  <c r="A247" i="2"/>
  <c r="B247" i="2"/>
  <c r="C247" i="2"/>
  <c r="A252" i="2"/>
  <c r="B252" i="2"/>
  <c r="C252" i="2"/>
  <c r="A254" i="2"/>
  <c r="B254" i="2"/>
  <c r="C254" i="2"/>
  <c r="A255" i="2"/>
  <c r="B255" i="2"/>
  <c r="C255" i="2"/>
  <c r="A258" i="2"/>
  <c r="B258" i="2"/>
  <c r="C258" i="2"/>
  <c r="A259" i="2"/>
  <c r="B259" i="2"/>
  <c r="C259" i="2"/>
  <c r="A260" i="2"/>
  <c r="B260" i="2"/>
  <c r="C260" i="2"/>
  <c r="A261" i="2"/>
  <c r="B261" i="2"/>
  <c r="C261" i="2"/>
  <c r="A262" i="2"/>
  <c r="B262" i="2"/>
  <c r="C262" i="2"/>
  <c r="B264" i="2"/>
  <c r="C264" i="2"/>
  <c r="A265" i="2"/>
  <c r="B265" i="2"/>
  <c r="C265" i="2"/>
  <c r="A266" i="2"/>
  <c r="B266" i="2"/>
  <c r="C266" i="2"/>
  <c r="A267" i="2"/>
  <c r="B267" i="2"/>
  <c r="C267" i="2"/>
  <c r="A268" i="2"/>
  <c r="B268" i="2"/>
  <c r="C268" i="2"/>
  <c r="A269" i="2"/>
  <c r="B269" i="2"/>
  <c r="C269" i="2"/>
  <c r="A270" i="2"/>
  <c r="B270" i="2"/>
  <c r="C270" i="2"/>
  <c r="A271" i="2"/>
  <c r="B271" i="2"/>
  <c r="C271" i="2"/>
  <c r="A272" i="2"/>
  <c r="B272" i="2"/>
  <c r="C272" i="2"/>
  <c r="A273" i="2"/>
  <c r="B273" i="2"/>
  <c r="C273" i="2"/>
  <c r="A274" i="2"/>
  <c r="B274" i="2"/>
  <c r="C274" i="2"/>
  <c r="A275" i="2"/>
  <c r="B275" i="2"/>
  <c r="C275" i="2"/>
  <c r="B276" i="2"/>
  <c r="C276" i="2"/>
  <c r="A277" i="2"/>
  <c r="B277" i="2"/>
  <c r="C277" i="2"/>
  <c r="A282" i="2"/>
  <c r="B282" i="2"/>
  <c r="C282" i="2"/>
  <c r="A293" i="2"/>
  <c r="B293" i="2"/>
  <c r="C293" i="2"/>
  <c r="A294" i="2"/>
  <c r="B294" i="2"/>
  <c r="C294" i="2"/>
  <c r="A295" i="2"/>
  <c r="B295" i="2"/>
  <c r="C295" i="2"/>
  <c r="A296" i="2"/>
  <c r="B296" i="2"/>
  <c r="C296" i="2"/>
  <c r="A299" i="2"/>
  <c r="B299" i="2"/>
  <c r="C299" i="2"/>
  <c r="A300" i="2"/>
  <c r="B300" i="2"/>
  <c r="C300" i="2"/>
  <c r="A305" i="2"/>
  <c r="B305" i="2"/>
  <c r="C305" i="2"/>
  <c r="A306" i="2"/>
  <c r="B306" i="2"/>
  <c r="C306" i="2"/>
  <c r="A307" i="2"/>
  <c r="B307" i="2"/>
  <c r="C307" i="2"/>
  <c r="A308" i="2"/>
  <c r="B308" i="2"/>
  <c r="C308" i="2"/>
  <c r="A311" i="2"/>
  <c r="B311" i="2"/>
  <c r="C311" i="2"/>
  <c r="A312" i="2"/>
  <c r="B312" i="2"/>
  <c r="C312" i="2"/>
  <c r="A313" i="2"/>
  <c r="B313" i="2"/>
  <c r="C313" i="2"/>
  <c r="A314" i="2"/>
  <c r="B314" i="2"/>
  <c r="C314" i="2"/>
  <c r="A315" i="2"/>
  <c r="B315" i="2"/>
  <c r="C315" i="2"/>
  <c r="A318" i="2"/>
  <c r="B318" i="2"/>
  <c r="C318" i="2"/>
  <c r="A319" i="2"/>
  <c r="B319" i="2"/>
  <c r="C319" i="2"/>
  <c r="A320" i="2"/>
  <c r="B320" i="2"/>
  <c r="C320" i="2"/>
  <c r="A321" i="2"/>
  <c r="B321" i="2"/>
  <c r="C321" i="2"/>
  <c r="A327" i="2"/>
  <c r="B327" i="2"/>
  <c r="C327" i="2"/>
  <c r="A329" i="2"/>
  <c r="B329" i="2"/>
  <c r="C329" i="2"/>
  <c r="A331" i="2"/>
  <c r="B331" i="2"/>
  <c r="C331" i="2"/>
  <c r="A332" i="2"/>
  <c r="B332" i="2"/>
  <c r="C332" i="2"/>
  <c r="A334" i="2"/>
  <c r="B334" i="2"/>
  <c r="C334" i="2"/>
  <c r="A335" i="2"/>
  <c r="B335" i="2"/>
  <c r="C335" i="2"/>
  <c r="A336" i="2"/>
  <c r="B336" i="2"/>
  <c r="C336" i="2"/>
  <c r="A337" i="2"/>
  <c r="B337" i="2"/>
  <c r="C337" i="2"/>
  <c r="A342" i="2"/>
  <c r="B342" i="2"/>
  <c r="C342" i="2"/>
  <c r="A343" i="2"/>
  <c r="B343" i="2"/>
  <c r="C343" i="2"/>
  <c r="A344" i="2"/>
  <c r="B344" i="2"/>
  <c r="C344" i="2"/>
  <c r="A345" i="2"/>
  <c r="B345" i="2"/>
  <c r="C345" i="2"/>
  <c r="C226" i="2"/>
  <c r="B226" i="2"/>
  <c r="A226" i="2"/>
  <c r="C228" i="2"/>
  <c r="B228" i="2"/>
  <c r="A228" i="2"/>
  <c r="C227" i="2"/>
  <c r="B227" i="2"/>
  <c r="A227" i="2"/>
  <c r="A30" i="2"/>
  <c r="B30" i="2"/>
  <c r="C30" i="2"/>
  <c r="A31" i="2"/>
  <c r="B31" i="2"/>
  <c r="C31" i="2"/>
  <c r="A32" i="2"/>
  <c r="B32" i="2"/>
  <c r="C32" i="2"/>
  <c r="A33" i="2"/>
  <c r="B33" i="2"/>
  <c r="C33" i="2"/>
  <c r="A34" i="2"/>
  <c r="B34" i="2"/>
  <c r="C34" i="2"/>
  <c r="A35" i="2"/>
  <c r="B35" i="2"/>
  <c r="C35" i="2"/>
  <c r="A36" i="2"/>
  <c r="B36" i="2"/>
  <c r="C36" i="2"/>
  <c r="A222" i="2"/>
  <c r="B222" i="2"/>
  <c r="C222" i="2"/>
  <c r="A223" i="2"/>
  <c r="B223" i="2"/>
  <c r="C223" i="2"/>
  <c r="A193" i="2"/>
  <c r="B193" i="2"/>
  <c r="C193" i="2"/>
  <c r="A194" i="2"/>
  <c r="B194" i="2"/>
  <c r="C194" i="2"/>
  <c r="A195" i="2"/>
  <c r="B195" i="2"/>
  <c r="C195" i="2"/>
  <c r="A196" i="2"/>
  <c r="B196" i="2"/>
  <c r="C196" i="2"/>
  <c r="A197" i="2"/>
  <c r="B197" i="2"/>
  <c r="C197" i="2"/>
  <c r="A198" i="2"/>
  <c r="B198" i="2"/>
  <c r="C198" i="2"/>
  <c r="A199" i="2"/>
  <c r="B199" i="2"/>
  <c r="C199" i="2"/>
  <c r="A200" i="2"/>
  <c r="B200" i="2"/>
  <c r="C200" i="2"/>
  <c r="A201" i="2"/>
  <c r="B201" i="2"/>
  <c r="C201" i="2"/>
  <c r="A202" i="2"/>
  <c r="B202" i="2"/>
  <c r="C202" i="2"/>
  <c r="A203" i="2"/>
  <c r="B203" i="2"/>
  <c r="C203" i="2"/>
  <c r="A204" i="2"/>
  <c r="B204" i="2"/>
  <c r="C204" i="2"/>
  <c r="A205" i="2"/>
  <c r="B205" i="2"/>
  <c r="C205" i="2"/>
  <c r="A206" i="2"/>
  <c r="B206" i="2"/>
  <c r="C206" i="2"/>
  <c r="A207" i="2"/>
  <c r="B207" i="2"/>
  <c r="C207" i="2"/>
  <c r="A208" i="2"/>
  <c r="B208" i="2"/>
  <c r="C208" i="2"/>
  <c r="A209" i="2"/>
  <c r="B209" i="2"/>
  <c r="C209" i="2"/>
  <c r="A211" i="2"/>
  <c r="B211" i="2"/>
  <c r="C211" i="2"/>
  <c r="A212" i="2"/>
  <c r="B212" i="2"/>
  <c r="C212" i="2"/>
  <c r="A221" i="2"/>
  <c r="B221" i="2"/>
  <c r="C221" i="2"/>
  <c r="C186" i="2"/>
  <c r="B186" i="2"/>
  <c r="A186"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372" i="2"/>
  <c r="B372" i="2"/>
  <c r="A372" i="2"/>
  <c r="C371" i="2"/>
  <c r="B371" i="2"/>
  <c r="A371" i="2"/>
  <c r="C170" i="2"/>
  <c r="B170" i="2"/>
  <c r="A170" i="2"/>
  <c r="C169" i="2"/>
  <c r="B169" i="2"/>
  <c r="A169" i="2"/>
  <c r="C166" i="2"/>
  <c r="B166" i="2"/>
  <c r="A166" i="2"/>
  <c r="C155" i="2"/>
  <c r="B155" i="2"/>
  <c r="A155" i="2"/>
  <c r="C138" i="2"/>
  <c r="B138" i="2"/>
  <c r="C103" i="2"/>
  <c r="C104" i="2"/>
  <c r="C105" i="2"/>
  <c r="C106" i="2"/>
  <c r="C107" i="2"/>
  <c r="C108" i="2"/>
  <c r="C109" i="2"/>
  <c r="C110" i="2"/>
  <c r="C111" i="2"/>
  <c r="C112" i="2"/>
  <c r="C113" i="2"/>
  <c r="C114" i="2"/>
  <c r="C115" i="2"/>
  <c r="C116" i="2"/>
  <c r="C118" i="2"/>
  <c r="C119" i="2"/>
  <c r="C120" i="2"/>
  <c r="C121" i="2"/>
  <c r="C122" i="2"/>
  <c r="C123" i="2"/>
  <c r="C124" i="2"/>
  <c r="C125" i="2"/>
  <c r="C126" i="2"/>
  <c r="C127" i="2"/>
  <c r="C128" i="2"/>
  <c r="C130" i="2"/>
  <c r="C131" i="2"/>
  <c r="C132" i="2"/>
  <c r="C133" i="2"/>
  <c r="C134" i="2"/>
  <c r="C135" i="2"/>
  <c r="C136" i="2"/>
  <c r="C137" i="2"/>
  <c r="B103" i="2"/>
  <c r="B104" i="2"/>
  <c r="B105" i="2"/>
  <c r="B106" i="2"/>
  <c r="B107" i="2"/>
  <c r="B108" i="2"/>
  <c r="B109" i="2"/>
  <c r="B110" i="2"/>
  <c r="B111" i="2"/>
  <c r="B112" i="2"/>
  <c r="B113" i="2"/>
  <c r="B114" i="2"/>
  <c r="B115" i="2"/>
  <c r="B116" i="2"/>
  <c r="B118" i="2"/>
  <c r="B119" i="2"/>
  <c r="B120" i="2"/>
  <c r="B121" i="2"/>
  <c r="B122" i="2"/>
  <c r="B123" i="2"/>
  <c r="B124" i="2"/>
  <c r="B125" i="2"/>
  <c r="B126" i="2"/>
  <c r="B127" i="2"/>
  <c r="B128" i="2"/>
  <c r="B130" i="2"/>
  <c r="B131" i="2"/>
  <c r="B132" i="2"/>
  <c r="B133" i="2"/>
  <c r="B134" i="2"/>
  <c r="B135" i="2"/>
  <c r="B136" i="2"/>
  <c r="B137" i="2"/>
  <c r="A103" i="2"/>
  <c r="A104" i="2"/>
  <c r="A105" i="2"/>
  <c r="A106" i="2"/>
  <c r="A107" i="2"/>
  <c r="A108" i="2"/>
  <c r="A109" i="2"/>
  <c r="A110" i="2"/>
  <c r="A111" i="2"/>
  <c r="A112" i="2"/>
  <c r="A113" i="2"/>
  <c r="A114" i="2"/>
  <c r="A115" i="2"/>
  <c r="A116" i="2"/>
  <c r="A118" i="2"/>
  <c r="A119" i="2"/>
  <c r="A120" i="2"/>
  <c r="A121" i="2"/>
  <c r="A122" i="2"/>
  <c r="A123" i="2"/>
  <c r="A124" i="2"/>
  <c r="A125" i="2"/>
  <c r="A126" i="2"/>
  <c r="A127" i="2"/>
  <c r="A128" i="2"/>
  <c r="A130" i="2"/>
  <c r="A131" i="2"/>
  <c r="A132" i="2"/>
  <c r="A133" i="2"/>
  <c r="A134" i="2"/>
  <c r="A135" i="2"/>
  <c r="A136" i="2"/>
  <c r="A80" i="2"/>
  <c r="B80" i="2"/>
  <c r="C80" i="2"/>
  <c r="A81" i="2"/>
  <c r="B81" i="2"/>
  <c r="C81" i="2"/>
  <c r="A82" i="2"/>
  <c r="B82" i="2"/>
  <c r="C82" i="2"/>
  <c r="A83" i="2"/>
  <c r="B83" i="2"/>
  <c r="C83" i="2"/>
  <c r="A84" i="2"/>
  <c r="B84" i="2"/>
  <c r="C84" i="2"/>
  <c r="A85" i="2"/>
  <c r="B85" i="2"/>
  <c r="C85" i="2"/>
  <c r="A86" i="2"/>
  <c r="B86" i="2"/>
  <c r="C86" i="2"/>
  <c r="A87" i="2"/>
  <c r="B87" i="2"/>
  <c r="C87" i="2"/>
  <c r="A88" i="2"/>
  <c r="B88" i="2"/>
  <c r="C88" i="2"/>
  <c r="A89" i="2"/>
  <c r="B89" i="2"/>
  <c r="C89" i="2"/>
  <c r="A90" i="2"/>
  <c r="B90" i="2"/>
  <c r="C90" i="2"/>
  <c r="A91" i="2"/>
  <c r="B91" i="2"/>
  <c r="C91" i="2"/>
  <c r="A92" i="2"/>
  <c r="B92" i="2"/>
  <c r="C92" i="2"/>
  <c r="A93" i="2"/>
  <c r="B93" i="2"/>
  <c r="C93" i="2"/>
  <c r="A94" i="2"/>
  <c r="B94" i="2"/>
  <c r="C94" i="2"/>
  <c r="A95" i="2"/>
  <c r="B95" i="2"/>
  <c r="C95" i="2"/>
  <c r="A96" i="2"/>
  <c r="B96" i="2"/>
  <c r="C96" i="2"/>
  <c r="A97" i="2"/>
  <c r="B97" i="2"/>
  <c r="C97" i="2"/>
  <c r="A98" i="2"/>
  <c r="B98" i="2"/>
  <c r="C98" i="2"/>
  <c r="A99" i="2"/>
  <c r="B99" i="2"/>
  <c r="C99" i="2"/>
  <c r="A100" i="2"/>
  <c r="B100" i="2"/>
  <c r="C100" i="2"/>
  <c r="A101" i="2"/>
  <c r="B101" i="2"/>
  <c r="C101" i="2"/>
  <c r="A79" i="2"/>
  <c r="B79" i="2"/>
  <c r="C79" i="2"/>
  <c r="AO3" i="2"/>
  <c r="AP3" i="2" s="1"/>
  <c r="AO2" i="2"/>
  <c r="AP2" i="2" s="1"/>
  <c r="AM2" i="2"/>
  <c r="AK2" i="2"/>
  <c r="AL2" i="2" s="1"/>
  <c r="AF2" i="2"/>
  <c r="C3" i="2"/>
  <c r="C4" i="2"/>
  <c r="C11" i="2"/>
  <c r="C12" i="2"/>
  <c r="C13" i="2"/>
  <c r="C16" i="2"/>
  <c r="C17" i="2"/>
  <c r="C18" i="2"/>
  <c r="C19" i="2"/>
  <c r="C20" i="2"/>
  <c r="C21" i="2"/>
  <c r="C25" i="2"/>
  <c r="C26" i="2"/>
  <c r="C27" i="2"/>
  <c r="C28" i="2"/>
  <c r="C29" i="2"/>
  <c r="C55" i="2"/>
  <c r="C67" i="2"/>
  <c r="C68" i="2"/>
  <c r="C69" i="2"/>
  <c r="C70" i="2"/>
  <c r="C71" i="2"/>
  <c r="C72" i="2"/>
  <c r="C73" i="2"/>
  <c r="C74" i="2"/>
  <c r="C75" i="2"/>
  <c r="C76" i="2"/>
  <c r="C77" i="2"/>
  <c r="C78" i="2"/>
  <c r="B3" i="2"/>
  <c r="B4" i="2"/>
  <c r="B11" i="2"/>
  <c r="B12" i="2"/>
  <c r="B13" i="2"/>
  <c r="B16" i="2"/>
  <c r="B17" i="2"/>
  <c r="B18" i="2"/>
  <c r="B19" i="2"/>
  <c r="B20" i="2"/>
  <c r="B21" i="2"/>
  <c r="B25" i="2"/>
  <c r="B26" i="2"/>
  <c r="B27" i="2"/>
  <c r="B28" i="2"/>
  <c r="B29" i="2"/>
  <c r="B55" i="2"/>
  <c r="B69" i="2"/>
  <c r="B70" i="2"/>
  <c r="B71" i="2"/>
  <c r="B72" i="2"/>
  <c r="B73" i="2"/>
  <c r="B74" i="2"/>
  <c r="B75" i="2"/>
  <c r="B76" i="2"/>
  <c r="B77" i="2"/>
  <c r="B78" i="2"/>
  <c r="A3" i="2"/>
  <c r="A4" i="2"/>
  <c r="A11" i="2"/>
  <c r="A12" i="2"/>
  <c r="A13" i="2"/>
  <c r="A16" i="2"/>
  <c r="A17" i="2"/>
  <c r="A18" i="2"/>
  <c r="A19" i="2"/>
  <c r="A20" i="2"/>
  <c r="A21" i="2"/>
  <c r="A25" i="2"/>
  <c r="A26" i="2"/>
  <c r="A27" i="2"/>
  <c r="A28" i="2"/>
  <c r="A29" i="2"/>
  <c r="A55" i="2"/>
  <c r="A69" i="2"/>
  <c r="A70" i="2"/>
  <c r="A71" i="2"/>
  <c r="A72" i="2"/>
  <c r="A73" i="2"/>
  <c r="A74" i="2"/>
  <c r="A75" i="2"/>
  <c r="A76" i="2"/>
  <c r="A77" i="2"/>
  <c r="A78" i="2"/>
  <c r="C2" i="2"/>
  <c r="B2" i="2"/>
  <c r="A2" i="2"/>
  <c r="H12" i="13"/>
  <c r="I4" i="13"/>
  <c r="I5" i="13"/>
  <c r="I6" i="13"/>
  <c r="I7" i="13"/>
  <c r="I8" i="13"/>
  <c r="I9" i="13"/>
  <c r="I10" i="13"/>
  <c r="I11" i="13"/>
  <c r="I12" i="13"/>
  <c r="I13" i="13"/>
  <c r="I14" i="13"/>
  <c r="I15" i="13"/>
  <c r="I16" i="13"/>
  <c r="I17" i="13"/>
  <c r="H4" i="13"/>
  <c r="H5" i="13"/>
  <c r="H6" i="13"/>
  <c r="H7" i="13"/>
  <c r="H8" i="13"/>
  <c r="H9" i="13"/>
  <c r="H10" i="13"/>
  <c r="H11" i="13"/>
  <c r="H13" i="13"/>
  <c r="H14" i="13"/>
  <c r="H15" i="13"/>
  <c r="H16" i="13"/>
  <c r="H17" i="13"/>
  <c r="H3" i="13"/>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5" i="12"/>
  <c r="A304" i="2" l="1"/>
  <c r="B365" i="2"/>
  <c r="C366" i="2"/>
  <c r="B364" i="2"/>
  <c r="C365" i="2"/>
  <c r="B366" i="2"/>
  <c r="A364" i="2"/>
  <c r="A365" i="2"/>
  <c r="A366" i="2"/>
  <c r="C364" i="2"/>
  <c r="B453" i="2"/>
  <c r="C460" i="2"/>
  <c r="C485" i="2"/>
  <c r="B531" i="2"/>
  <c r="A286" i="2"/>
  <c r="C284" i="2"/>
  <c r="C298" i="2"/>
  <c r="B376" i="2"/>
  <c r="C376" i="2"/>
  <c r="AO328" i="2"/>
  <c r="AP328" i="2" s="1"/>
  <c r="AF376" i="2"/>
  <c r="A7" i="2"/>
  <c r="AO376" i="2"/>
  <c r="AP376" i="2" s="1"/>
  <c r="A328" i="2"/>
  <c r="B328" i="2"/>
  <c r="C328" i="2"/>
  <c r="A376" i="2"/>
  <c r="C531" i="2"/>
  <c r="C610" i="2"/>
  <c r="AO610" i="2"/>
  <c r="AP610" i="2" s="1"/>
  <c r="AF610" i="2"/>
  <c r="A610" i="2"/>
  <c r="B610" i="2"/>
  <c r="C310" i="2"/>
  <c r="B485" i="2"/>
  <c r="B191" i="2"/>
  <c r="A253" i="2"/>
  <c r="B310" i="2"/>
  <c r="B507" i="2"/>
  <c r="B187" i="2"/>
  <c r="B256" i="2"/>
  <c r="C324" i="2"/>
  <c r="C518" i="2"/>
  <c r="B324" i="2"/>
  <c r="C528" i="2"/>
  <c r="C233" i="2"/>
  <c r="A279" i="2"/>
  <c r="B333" i="2"/>
  <c r="B527" i="2"/>
  <c r="B232" i="2"/>
  <c r="C292" i="2"/>
  <c r="C353" i="2"/>
  <c r="A537" i="2"/>
  <c r="AO604" i="2"/>
  <c r="AP604" i="2" s="1"/>
  <c r="C145" i="2"/>
  <c r="B171" i="2"/>
  <c r="B240" i="2"/>
  <c r="C291" i="2"/>
  <c r="C333" i="2"/>
  <c r="C507" i="2"/>
  <c r="C356" i="2"/>
  <c r="C51" i="2"/>
  <c r="B142" i="2"/>
  <c r="C183" i="2"/>
  <c r="A244" i="2"/>
  <c r="B286" i="2"/>
  <c r="A354" i="2"/>
  <c r="A521" i="2"/>
  <c r="B454" i="2"/>
  <c r="A541" i="2"/>
  <c r="AF562" i="2"/>
  <c r="AO566" i="2"/>
  <c r="AP566" i="2" s="1"/>
  <c r="A557" i="2"/>
  <c r="A561" i="2"/>
  <c r="AO559" i="2"/>
  <c r="AP559" i="2" s="1"/>
  <c r="B561" i="2"/>
  <c r="C557" i="2"/>
  <c r="C565" i="2"/>
  <c r="A562" i="2"/>
  <c r="AF597" i="2"/>
  <c r="A555" i="2"/>
  <c r="B596" i="2"/>
  <c r="B555" i="2"/>
  <c r="C555" i="2"/>
  <c r="AF555" i="2"/>
  <c r="AF560" i="2"/>
  <c r="AO557" i="2"/>
  <c r="AP557" i="2" s="1"/>
  <c r="AF558" i="2"/>
  <c r="AO562" i="2"/>
  <c r="AP562" i="2" s="1"/>
  <c r="B558" i="2"/>
  <c r="B562" i="2"/>
  <c r="B566" i="2"/>
  <c r="AF596" i="2"/>
  <c r="AF563" i="2"/>
  <c r="AO567" i="2"/>
  <c r="AP567" i="2" s="1"/>
  <c r="C558" i="2"/>
  <c r="C562" i="2"/>
  <c r="AO560" i="2"/>
  <c r="AP560" i="2" s="1"/>
  <c r="A567" i="2"/>
  <c r="B559" i="2"/>
  <c r="C559" i="2"/>
  <c r="AO555" i="2"/>
  <c r="AP555" i="2" s="1"/>
  <c r="B567" i="2"/>
  <c r="AF566" i="2"/>
  <c r="C567" i="2"/>
  <c r="AF556" i="2"/>
  <c r="AF561" i="2"/>
  <c r="AO558" i="2"/>
  <c r="AP558" i="2" s="1"/>
  <c r="AF559" i="2"/>
  <c r="AO563" i="2"/>
  <c r="AP563" i="2" s="1"/>
  <c r="A556" i="2"/>
  <c r="A560" i="2"/>
  <c r="A564" i="2"/>
  <c r="AO596" i="2"/>
  <c r="AP596" i="2" s="1"/>
  <c r="AF564" i="2"/>
  <c r="B556" i="2"/>
  <c r="B560" i="2"/>
  <c r="B564" i="2"/>
  <c r="AO597" i="2"/>
  <c r="AP597" i="2" s="1"/>
  <c r="AO556" i="2"/>
  <c r="AP556" i="2" s="1"/>
  <c r="AF557" i="2"/>
  <c r="AO561" i="2"/>
  <c r="AP561" i="2" s="1"/>
  <c r="C556" i="2"/>
  <c r="C560" i="2"/>
  <c r="C564" i="2"/>
  <c r="A565" i="2"/>
  <c r="AF567" i="2"/>
  <c r="B557" i="2"/>
  <c r="B565" i="2"/>
  <c r="AO564" i="2"/>
  <c r="AP564" i="2" s="1"/>
  <c r="C561" i="2"/>
  <c r="AF565" i="2"/>
  <c r="A558" i="2"/>
  <c r="A566" i="2"/>
  <c r="C566" i="2"/>
  <c r="A596" i="2"/>
  <c r="A559" i="2"/>
  <c r="A563" i="2"/>
  <c r="AO565" i="2"/>
  <c r="AP565" i="2" s="1"/>
  <c r="B563" i="2"/>
  <c r="C596" i="2"/>
  <c r="C563" i="2"/>
  <c r="A231" i="2"/>
  <c r="AO331" i="2"/>
  <c r="AP331" i="2" s="1"/>
  <c r="B603" i="2"/>
  <c r="C541" i="2"/>
  <c r="B523" i="2"/>
  <c r="A472" i="2"/>
  <c r="A449" i="2"/>
  <c r="B354" i="2"/>
  <c r="C325" i="2"/>
  <c r="B304" i="2"/>
  <c r="C286" i="2"/>
  <c r="C279" i="2"/>
  <c r="C253" i="2"/>
  <c r="B244" i="2"/>
  <c r="C236" i="2"/>
  <c r="C187" i="2"/>
  <c r="A184" i="2"/>
  <c r="C156" i="2"/>
  <c r="B162" i="2"/>
  <c r="C142" i="2"/>
  <c r="B148" i="2"/>
  <c r="C154" i="2"/>
  <c r="A52" i="2"/>
  <c r="C15" i="2"/>
  <c r="AF149" i="2"/>
  <c r="AO348" i="2"/>
  <c r="AP348" i="2" s="1"/>
  <c r="AF600" i="2"/>
  <c r="AO486" i="2"/>
  <c r="AP486" i="2" s="1"/>
  <c r="A276" i="2"/>
  <c r="AO535" i="2"/>
  <c r="AP535" i="2" s="1"/>
  <c r="AF542" i="2"/>
  <c r="C396" i="2"/>
  <c r="A551" i="2"/>
  <c r="A379" i="2"/>
  <c r="AO594" i="2"/>
  <c r="AP594" i="2" s="1"/>
  <c r="AO63" i="2"/>
  <c r="AP63" i="2" s="1"/>
  <c r="AO56" i="2"/>
  <c r="AP56" i="2" s="1"/>
  <c r="C66" i="2"/>
  <c r="B62" i="2"/>
  <c r="AO50" i="2"/>
  <c r="AP50" i="2" s="1"/>
  <c r="B220" i="2"/>
  <c r="AO48" i="2"/>
  <c r="AP48" i="2" s="1"/>
  <c r="B37" i="2"/>
  <c r="A42" i="2"/>
  <c r="AO437" i="2"/>
  <c r="AP437" i="2" s="1"/>
  <c r="AO453" i="2"/>
  <c r="AP453" i="2" s="1"/>
  <c r="AO467" i="2"/>
  <c r="AP467" i="2" s="1"/>
  <c r="AO480" i="2"/>
  <c r="AP480" i="2" s="1"/>
  <c r="A102" i="2"/>
  <c r="AO256" i="2"/>
  <c r="AP256" i="2" s="1"/>
  <c r="C603" i="2"/>
  <c r="A543" i="2"/>
  <c r="C523" i="2"/>
  <c r="C463" i="2"/>
  <c r="A451" i="2"/>
  <c r="C354" i="2"/>
  <c r="A326" i="2"/>
  <c r="C304" i="2"/>
  <c r="C287" i="2"/>
  <c r="C280" i="2"/>
  <c r="A248" i="2"/>
  <c r="B246" i="2"/>
  <c r="A237" i="2"/>
  <c r="A188" i="2"/>
  <c r="B184" i="2"/>
  <c r="A157" i="2"/>
  <c r="C162" i="2"/>
  <c r="A143" i="2"/>
  <c r="B149" i="2"/>
  <c r="A45" i="2"/>
  <c r="B52" i="2"/>
  <c r="A5" i="2"/>
  <c r="AO609" i="2"/>
  <c r="AP609" i="2" s="1"/>
  <c r="AO349" i="2"/>
  <c r="AP349" i="2" s="1"/>
  <c r="AF601" i="2"/>
  <c r="AO487" i="2"/>
  <c r="AP487" i="2" s="1"/>
  <c r="AO608" i="2"/>
  <c r="AP608" i="2" s="1"/>
  <c r="AO536" i="2"/>
  <c r="AP536" i="2" s="1"/>
  <c r="AF546" i="2"/>
  <c r="AF396" i="2"/>
  <c r="B551" i="2"/>
  <c r="B379" i="2"/>
  <c r="C594" i="2"/>
  <c r="A56" i="2"/>
  <c r="A63" i="2"/>
  <c r="AO51" i="2"/>
  <c r="AP51" i="2" s="1"/>
  <c r="C220" i="2"/>
  <c r="AF37" i="2"/>
  <c r="C37" i="2"/>
  <c r="B42" i="2"/>
  <c r="AO438" i="2"/>
  <c r="AP438" i="2" s="1"/>
  <c r="AO454" i="2"/>
  <c r="AP454" i="2" s="1"/>
  <c r="AO468" i="2"/>
  <c r="AP468" i="2" s="1"/>
  <c r="AO481" i="2"/>
  <c r="AP481" i="2" s="1"/>
  <c r="AO503" i="2"/>
  <c r="AP503" i="2" s="1"/>
  <c r="AO515" i="2"/>
  <c r="AP515" i="2" s="1"/>
  <c r="B102" i="2"/>
  <c r="C609" i="2"/>
  <c r="A545" i="2"/>
  <c r="A524" i="2"/>
  <c r="B465" i="2"/>
  <c r="B451" i="2"/>
  <c r="C338" i="2"/>
  <c r="A316" i="2"/>
  <c r="A297" i="2"/>
  <c r="A288" i="2"/>
  <c r="A281" i="2"/>
  <c r="B248" i="2"/>
  <c r="C246" i="2"/>
  <c r="B237" i="2"/>
  <c r="B189" i="2"/>
  <c r="C184" i="2"/>
  <c r="B157" i="2"/>
  <c r="C164" i="2"/>
  <c r="B143" i="2"/>
  <c r="C149" i="2"/>
  <c r="B46" i="2"/>
  <c r="C52" i="2"/>
  <c r="B5" i="2"/>
  <c r="AO598" i="2"/>
  <c r="AP598" i="2" s="1"/>
  <c r="AO350" i="2"/>
  <c r="AP350" i="2" s="1"/>
  <c r="AF602" i="2"/>
  <c r="AF488" i="2"/>
  <c r="AO605" i="2"/>
  <c r="AP605" i="2" s="1"/>
  <c r="AO537" i="2"/>
  <c r="AP537" i="2" s="1"/>
  <c r="AF547" i="2"/>
  <c r="C551" i="2"/>
  <c r="C379" i="2"/>
  <c r="AO66" i="2"/>
  <c r="AP66" i="2" s="1"/>
  <c r="AO59" i="2"/>
  <c r="AP59" i="2" s="1"/>
  <c r="B56" i="2"/>
  <c r="B63" i="2"/>
  <c r="AO52" i="2"/>
  <c r="AP52" i="2" s="1"/>
  <c r="C346" i="2"/>
  <c r="AF38" i="2"/>
  <c r="A38" i="2"/>
  <c r="C42" i="2"/>
  <c r="AO441" i="2"/>
  <c r="AP441" i="2" s="1"/>
  <c r="AO455" i="2"/>
  <c r="AP455" i="2" s="1"/>
  <c r="AO469" i="2"/>
  <c r="AP469" i="2" s="1"/>
  <c r="AO482" i="2"/>
  <c r="AP482" i="2" s="1"/>
  <c r="AO504" i="2"/>
  <c r="AP504" i="2" s="1"/>
  <c r="AO516" i="2"/>
  <c r="AP516" i="2" s="1"/>
  <c r="C102" i="2"/>
  <c r="A597" i="2"/>
  <c r="B547" i="2"/>
  <c r="A506" i="2"/>
  <c r="C465" i="2"/>
  <c r="C451" i="2"/>
  <c r="A340" i="2"/>
  <c r="B316" i="2"/>
  <c r="C297" i="2"/>
  <c r="B289" i="2"/>
  <c r="B281" i="2"/>
  <c r="C248" i="2"/>
  <c r="A239" i="2"/>
  <c r="B229" i="2"/>
  <c r="B190" i="2"/>
  <c r="A185" i="2"/>
  <c r="C157" i="2"/>
  <c r="A165" i="2"/>
  <c r="C143" i="2"/>
  <c r="A150" i="2"/>
  <c r="B47" i="2"/>
  <c r="A22" i="2"/>
  <c r="B6" i="2"/>
  <c r="AO599" i="2"/>
  <c r="AP599" i="2" s="1"/>
  <c r="AF379" i="2"/>
  <c r="A487" i="2"/>
  <c r="AO606" i="2"/>
  <c r="AP606" i="2" s="1"/>
  <c r="AO538" i="2"/>
  <c r="AP538" i="2" s="1"/>
  <c r="AF218" i="2"/>
  <c r="A552" i="2"/>
  <c r="A347" i="2"/>
  <c r="AF63" i="2"/>
  <c r="AF56" i="2"/>
  <c r="A57" i="2"/>
  <c r="A64" i="2"/>
  <c r="AF49" i="2"/>
  <c r="AO37" i="2"/>
  <c r="AP37" i="2" s="1"/>
  <c r="AF39" i="2"/>
  <c r="B38" i="2"/>
  <c r="A43" i="2"/>
  <c r="AO442" i="2"/>
  <c r="AP442" i="2" s="1"/>
  <c r="AO456" i="2"/>
  <c r="AP456" i="2" s="1"/>
  <c r="AO470" i="2"/>
  <c r="AP470" i="2" s="1"/>
  <c r="AO490" i="2"/>
  <c r="AP490" i="2" s="1"/>
  <c r="AO505" i="2"/>
  <c r="AP505" i="2" s="1"/>
  <c r="AO517" i="2"/>
  <c r="AP517" i="2" s="1"/>
  <c r="AO528" i="2"/>
  <c r="AP528" i="2" s="1"/>
  <c r="AO576" i="2"/>
  <c r="AP576" i="2" s="1"/>
  <c r="AO589" i="2"/>
  <c r="AP589" i="2" s="1"/>
  <c r="AF10" i="2"/>
  <c r="B597" i="2"/>
  <c r="A548" i="2"/>
  <c r="C506" i="2"/>
  <c r="A466" i="2"/>
  <c r="C443" i="2"/>
  <c r="C341" i="2"/>
  <c r="C309" i="2"/>
  <c r="A298" i="2"/>
  <c r="C289" i="2"/>
  <c r="C281" i="2"/>
  <c r="C250" i="2"/>
  <c r="B239" i="2"/>
  <c r="C229" i="2"/>
  <c r="C190" i="2"/>
  <c r="B185" i="2"/>
  <c r="A158" i="2"/>
  <c r="B165" i="2"/>
  <c r="A144" i="2"/>
  <c r="B150" i="2"/>
  <c r="C47" i="2"/>
  <c r="B22" i="2"/>
  <c r="C6" i="2"/>
  <c r="AO600" i="2"/>
  <c r="AP600" i="2" s="1"/>
  <c r="AF603" i="2"/>
  <c r="B487" i="2"/>
  <c r="AO607" i="2"/>
  <c r="AP607" i="2" s="1"/>
  <c r="AO539" i="2"/>
  <c r="AP539" i="2" s="1"/>
  <c r="AF534" i="2"/>
  <c r="AF219" i="2"/>
  <c r="AO396" i="2"/>
  <c r="AP396" i="2" s="1"/>
  <c r="B552" i="2"/>
  <c r="B348" i="2"/>
  <c r="C56" i="2"/>
  <c r="B57" i="2"/>
  <c r="B64" i="2"/>
  <c r="AF52" i="2"/>
  <c r="AO38" i="2"/>
  <c r="AP38" i="2" s="1"/>
  <c r="AF40" i="2"/>
  <c r="C38" i="2"/>
  <c r="B43" i="2"/>
  <c r="AO443" i="2"/>
  <c r="AP443" i="2" s="1"/>
  <c r="AO457" i="2"/>
  <c r="AP457" i="2" s="1"/>
  <c r="AO471" i="2"/>
  <c r="AP471" i="2" s="1"/>
  <c r="AO491" i="2"/>
  <c r="AP491" i="2" s="1"/>
  <c r="AO518" i="2"/>
  <c r="AP518" i="2" s="1"/>
  <c r="AO529" i="2"/>
  <c r="AP529" i="2" s="1"/>
  <c r="AO577" i="2"/>
  <c r="AP577" i="2" s="1"/>
  <c r="AO590" i="2"/>
  <c r="AP590" i="2" s="1"/>
  <c r="C53" i="2"/>
  <c r="A531" i="2"/>
  <c r="A527" i="2"/>
  <c r="A507" i="2"/>
  <c r="A459" i="2"/>
  <c r="C440" i="2"/>
  <c r="A333" i="2"/>
  <c r="A310" i="2"/>
  <c r="B298" i="2"/>
  <c r="B290" i="2"/>
  <c r="A264" i="2"/>
  <c r="A251" i="2"/>
  <c r="C239" i="2"/>
  <c r="A232" i="2"/>
  <c r="A191" i="2"/>
  <c r="C185" i="2"/>
  <c r="B159" i="2"/>
  <c r="C165" i="2"/>
  <c r="B144" i="2"/>
  <c r="C151" i="2"/>
  <c r="A48" i="2"/>
  <c r="C22" i="2"/>
  <c r="A8" i="2"/>
  <c r="AO601" i="2"/>
  <c r="AP601" i="2" s="1"/>
  <c r="AF604" i="2"/>
  <c r="C487" i="2"/>
  <c r="AF608" i="2"/>
  <c r="AO540" i="2"/>
  <c r="AP540" i="2" s="1"/>
  <c r="AF535" i="2"/>
  <c r="AF220" i="2"/>
  <c r="A378" i="2"/>
  <c r="C552" i="2"/>
  <c r="C348" i="2"/>
  <c r="AF66" i="2"/>
  <c r="AF59" i="2"/>
  <c r="C57" i="2"/>
  <c r="A58" i="2"/>
  <c r="A65" i="2"/>
  <c r="A218" i="2"/>
  <c r="AO39" i="2"/>
  <c r="AP39" i="2" s="1"/>
  <c r="AF41" i="2"/>
  <c r="A39" i="2"/>
  <c r="C43" i="2"/>
  <c r="AO444" i="2"/>
  <c r="AP444" i="2" s="1"/>
  <c r="AO458" i="2"/>
  <c r="AP458" i="2" s="1"/>
  <c r="AO492" i="2"/>
  <c r="AP492" i="2" s="1"/>
  <c r="AO506" i="2"/>
  <c r="AP506" i="2" s="1"/>
  <c r="AO519" i="2"/>
  <c r="AP519" i="2" s="1"/>
  <c r="A230" i="2"/>
  <c r="B536" i="2"/>
  <c r="A518" i="2"/>
  <c r="B484" i="2"/>
  <c r="A461" i="2"/>
  <c r="C433" i="2"/>
  <c r="B322" i="2"/>
  <c r="B301" i="2"/>
  <c r="A285" i="2"/>
  <c r="A292" i="2"/>
  <c r="B257" i="2"/>
  <c r="A243" i="2"/>
  <c r="B241" i="2"/>
  <c r="B210" i="2"/>
  <c r="A192" i="2"/>
  <c r="C167" i="2"/>
  <c r="A161" i="2"/>
  <c r="C139" i="2"/>
  <c r="A147" i="2"/>
  <c r="B153" i="2"/>
  <c r="A49" i="2"/>
  <c r="B14" i="2"/>
  <c r="A9" i="2"/>
  <c r="AO352" i="2"/>
  <c r="AP352" i="2" s="1"/>
  <c r="AO484" i="2"/>
  <c r="AP484" i="2" s="1"/>
  <c r="C488" i="2"/>
  <c r="AF607" i="2"/>
  <c r="AO546" i="2"/>
  <c r="AP546" i="2" s="1"/>
  <c r="AF538" i="2"/>
  <c r="AF550" i="2"/>
  <c r="C601" i="2"/>
  <c r="C349" i="2"/>
  <c r="C60" i="2"/>
  <c r="B60" i="2"/>
  <c r="B67" i="2"/>
  <c r="A219" i="2"/>
  <c r="AO42" i="2"/>
  <c r="AP42" i="2" s="1"/>
  <c r="AF44" i="2"/>
  <c r="C40" i="2"/>
  <c r="AO433" i="2"/>
  <c r="AP433" i="2" s="1"/>
  <c r="AO447" i="2"/>
  <c r="AP447" i="2" s="1"/>
  <c r="AO461" i="2"/>
  <c r="AP461" i="2" s="1"/>
  <c r="AO476" i="2"/>
  <c r="AP476" i="2" s="1"/>
  <c r="AO496" i="2"/>
  <c r="AP496" i="2" s="1"/>
  <c r="AO509" i="2"/>
  <c r="AP509" i="2" s="1"/>
  <c r="AO522" i="2"/>
  <c r="AP522" i="2" s="1"/>
  <c r="AO569" i="2"/>
  <c r="AP569" i="2" s="1"/>
  <c r="AO582" i="2"/>
  <c r="AP582" i="2" s="1"/>
  <c r="AO595" i="2"/>
  <c r="AP595" i="2" s="1"/>
  <c r="AF440" i="2"/>
  <c r="AF452" i="2"/>
  <c r="AF464" i="2"/>
  <c r="AF475" i="2"/>
  <c r="AF505" i="2"/>
  <c r="AF516" i="2"/>
  <c r="AF526" i="2"/>
  <c r="AF573" i="2"/>
  <c r="AF585" i="2"/>
  <c r="C569" i="2"/>
  <c r="C573" i="2"/>
  <c r="C577" i="2"/>
  <c r="C581" i="2"/>
  <c r="C585" i="2"/>
  <c r="C589" i="2"/>
  <c r="C593" i="2"/>
  <c r="B495" i="2"/>
  <c r="B499" i="2"/>
  <c r="B503" i="2"/>
  <c r="B508" i="2"/>
  <c r="B514" i="2"/>
  <c r="B435" i="2"/>
  <c r="B441" i="2"/>
  <c r="B447" i="2"/>
  <c r="B462" i="2"/>
  <c r="B477" i="2"/>
  <c r="B481" i="2"/>
  <c r="AO12" i="2"/>
  <c r="AP12" i="2" s="1"/>
  <c r="AO24" i="2"/>
  <c r="AP24" i="2" s="1"/>
  <c r="AO36" i="2"/>
  <c r="AP36" i="2" s="1"/>
  <c r="AO77" i="2"/>
  <c r="AP77" i="2" s="1"/>
  <c r="C536" i="2"/>
  <c r="B518" i="2"/>
  <c r="A485" i="2"/>
  <c r="A453" i="2"/>
  <c r="C434" i="2"/>
  <c r="C322" i="2"/>
  <c r="C301" i="2"/>
  <c r="B285" i="2"/>
  <c r="B292" i="2"/>
  <c r="C257" i="2"/>
  <c r="B243" i="2"/>
  <c r="C241" i="2"/>
  <c r="C210" i="2"/>
  <c r="B192" i="2"/>
  <c r="A168" i="2"/>
  <c r="B161" i="2"/>
  <c r="A140" i="2"/>
  <c r="B147" i="2"/>
  <c r="C153" i="2"/>
  <c r="B49" i="2"/>
  <c r="C14" i="2"/>
  <c r="B9" i="2"/>
  <c r="AO353" i="2"/>
  <c r="AP353" i="2" s="1"/>
  <c r="AF609" i="2"/>
  <c r="A489" i="2"/>
  <c r="AO553" i="2"/>
  <c r="AP553" i="2" s="1"/>
  <c r="AO547" i="2"/>
  <c r="AP547" i="2" s="1"/>
  <c r="AF539" i="2"/>
  <c r="AF551" i="2"/>
  <c r="AO378" i="2"/>
  <c r="AP378" i="2" s="1"/>
  <c r="A602" i="2"/>
  <c r="A350" i="2"/>
  <c r="C61" i="2"/>
  <c r="A61" i="2"/>
  <c r="A68" i="2"/>
  <c r="B219" i="2"/>
  <c r="AO43" i="2"/>
  <c r="AP43" i="2" s="1"/>
  <c r="AF45" i="2"/>
  <c r="A41" i="2"/>
  <c r="AO434" i="2"/>
  <c r="AP434" i="2" s="1"/>
  <c r="AO448" i="2"/>
  <c r="AP448" i="2" s="1"/>
  <c r="AO462" i="2"/>
  <c r="AP462" i="2" s="1"/>
  <c r="AO477" i="2"/>
  <c r="AP477" i="2" s="1"/>
  <c r="AO497" i="2"/>
  <c r="AP497" i="2" s="1"/>
  <c r="AO510" i="2"/>
  <c r="AP510" i="2" s="1"/>
  <c r="AO570" i="2"/>
  <c r="AP570" i="2" s="1"/>
  <c r="AO583" i="2"/>
  <c r="AP583" i="2" s="1"/>
  <c r="AO346" i="2"/>
  <c r="AP346" i="2" s="1"/>
  <c r="AF441" i="2"/>
  <c r="AF453" i="2"/>
  <c r="AF465" i="2"/>
  <c r="AF476" i="2"/>
  <c r="AF494" i="2"/>
  <c r="AF517" i="2"/>
  <c r="AF527" i="2"/>
  <c r="AF574" i="2"/>
  <c r="AF586" i="2"/>
  <c r="A570" i="2"/>
  <c r="A574" i="2"/>
  <c r="A578" i="2"/>
  <c r="A582" i="2"/>
  <c r="A586" i="2"/>
  <c r="A590" i="2"/>
  <c r="A595" i="2"/>
  <c r="C409" i="2"/>
  <c r="C495" i="2"/>
  <c r="C499" i="2"/>
  <c r="C503" i="2"/>
  <c r="C508" i="2"/>
  <c r="C514" i="2"/>
  <c r="C435" i="2"/>
  <c r="C441" i="2"/>
  <c r="C447" i="2"/>
  <c r="C462" i="2"/>
  <c r="C477" i="2"/>
  <c r="C481" i="2"/>
  <c r="AO13" i="2"/>
  <c r="AP13" i="2" s="1"/>
  <c r="AO25" i="2"/>
  <c r="AP25" i="2" s="1"/>
  <c r="AO55" i="2"/>
  <c r="AP55" i="2" s="1"/>
  <c r="AO78" i="2"/>
  <c r="AP78" i="2" s="1"/>
  <c r="AO87" i="2"/>
  <c r="AP87" i="2" s="1"/>
  <c r="A605" i="2"/>
  <c r="B230" i="2"/>
  <c r="AF373" i="2"/>
  <c r="AO236" i="2"/>
  <c r="AP236" i="2" s="1"/>
  <c r="AF102" i="2"/>
  <c r="AO102" i="2"/>
  <c r="AP102" i="2" s="1"/>
  <c r="A351" i="2"/>
  <c r="A439" i="2"/>
  <c r="C454" i="2"/>
  <c r="B460" i="2"/>
  <c r="A465" i="2"/>
  <c r="C484" i="2"/>
  <c r="B506" i="2"/>
  <c r="A523" i="2"/>
  <c r="A515" i="2"/>
  <c r="C547" i="2"/>
  <c r="B541" i="2"/>
  <c r="A536" i="2"/>
  <c r="C600" i="2"/>
  <c r="B609" i="2"/>
  <c r="A603" i="2"/>
  <c r="C362" i="2"/>
  <c r="AF370" i="2"/>
  <c r="C359" i="2"/>
  <c r="AO330" i="2"/>
  <c r="AP330" i="2" s="1"/>
  <c r="B53" i="2"/>
  <c r="C535" i="2"/>
  <c r="B600" i="2"/>
  <c r="A609" i="2"/>
  <c r="B359" i="2"/>
  <c r="A53" i="2"/>
  <c r="C326" i="2"/>
  <c r="A322" i="2"/>
  <c r="B338" i="2"/>
  <c r="B434" i="2"/>
  <c r="B443" i="2"/>
  <c r="A454" i="2"/>
  <c r="C459" i="2"/>
  <c r="B463" i="2"/>
  <c r="A484" i="2"/>
  <c r="C519" i="2"/>
  <c r="B528" i="2"/>
  <c r="A547" i="2"/>
  <c r="C540" i="2"/>
  <c r="B535" i="2"/>
  <c r="A600" i="2"/>
  <c r="A606" i="2"/>
  <c r="AO232" i="2"/>
  <c r="AP232" i="2" s="1"/>
  <c r="C363" i="2"/>
  <c r="B279" i="2"/>
  <c r="A290" i="2"/>
  <c r="C285" i="2"/>
  <c r="B297" i="2"/>
  <c r="A301" i="2"/>
  <c r="B326" i="2"/>
  <c r="C330" i="2"/>
  <c r="A338" i="2"/>
  <c r="A434" i="2"/>
  <c r="A443" i="2"/>
  <c r="C453" i="2"/>
  <c r="B459" i="2"/>
  <c r="A463" i="2"/>
  <c r="C524" i="2"/>
  <c r="B519" i="2"/>
  <c r="A528" i="2"/>
  <c r="C545" i="2"/>
  <c r="B540" i="2"/>
  <c r="A535" i="2"/>
  <c r="A598" i="2"/>
  <c r="C605" i="2"/>
  <c r="B360" i="2"/>
  <c r="AO231" i="2"/>
  <c r="AP231" i="2" s="1"/>
  <c r="AO363" i="2"/>
  <c r="AP363" i="2" s="1"/>
  <c r="B524" i="2"/>
  <c r="A519" i="2"/>
  <c r="C527" i="2"/>
  <c r="B545" i="2"/>
  <c r="A540" i="2"/>
  <c r="A532" i="2"/>
  <c r="C597" i="2"/>
  <c r="B605" i="2"/>
  <c r="AO54" i="2"/>
  <c r="AP54" i="2" s="1"/>
  <c r="AF371" i="2"/>
  <c r="A360" i="2"/>
  <c r="AO230" i="2"/>
  <c r="AP230" i="2" s="1"/>
  <c r="A363" i="2"/>
  <c r="AO355" i="2"/>
  <c r="AP355" i="2" s="1"/>
  <c r="AO359" i="2"/>
  <c r="AP359" i="2" s="1"/>
  <c r="AO233" i="2"/>
  <c r="AP233" i="2" s="1"/>
  <c r="C360" i="2"/>
  <c r="A355" i="2"/>
  <c r="AF54" i="2"/>
  <c r="B606" i="2"/>
  <c r="B598" i="2"/>
  <c r="B532" i="2"/>
  <c r="B537" i="2"/>
  <c r="B543" i="2"/>
  <c r="B548" i="2"/>
  <c r="B515" i="2"/>
  <c r="B521" i="2"/>
  <c r="B472" i="2"/>
  <c r="B466" i="2"/>
  <c r="B461" i="2"/>
  <c r="B449" i="2"/>
  <c r="B439" i="2"/>
  <c r="B351" i="2"/>
  <c r="B340" i="2"/>
  <c r="A323" i="2"/>
  <c r="C316" i="2"/>
  <c r="B302" i="2"/>
  <c r="C283" i="2"/>
  <c r="B288" i="2"/>
  <c r="A278" i="2"/>
  <c r="B263" i="2"/>
  <c r="A249" i="2"/>
  <c r="B245" i="2"/>
  <c r="A235" i="2"/>
  <c r="C232" i="2"/>
  <c r="B188" i="2"/>
  <c r="A182" i="2"/>
  <c r="C171" i="2"/>
  <c r="B158" i="2"/>
  <c r="A163" i="2"/>
  <c r="B141" i="2"/>
  <c r="A146" i="2"/>
  <c r="C150" i="2"/>
  <c r="B45" i="2"/>
  <c r="A50" i="2"/>
  <c r="B24" i="2"/>
  <c r="AO602" i="2"/>
  <c r="AP602" i="2" s="1"/>
  <c r="AF549" i="2"/>
  <c r="AO488" i="2"/>
  <c r="AP488" i="2" s="1"/>
  <c r="A490" i="2"/>
  <c r="A553" i="2"/>
  <c r="AO541" i="2"/>
  <c r="AP541" i="2" s="1"/>
  <c r="AF543" i="2"/>
  <c r="A129" i="2"/>
  <c r="C378" i="2"/>
  <c r="B554" i="2"/>
  <c r="B347" i="2"/>
  <c r="AF594" i="2"/>
  <c r="AO62" i="2"/>
  <c r="AP62" i="2" s="1"/>
  <c r="AF58" i="2"/>
  <c r="A357" i="2"/>
  <c r="AF369" i="2"/>
  <c r="AF372" i="2"/>
  <c r="B355" i="2"/>
  <c r="A54" i="2"/>
  <c r="C606" i="2"/>
  <c r="C598" i="2"/>
  <c r="C532" i="2"/>
  <c r="C537" i="2"/>
  <c r="C543" i="2"/>
  <c r="C548" i="2"/>
  <c r="C515" i="2"/>
  <c r="C521" i="2"/>
  <c r="C472" i="2"/>
  <c r="C466" i="2"/>
  <c r="C461" i="2"/>
  <c r="C449" i="2"/>
  <c r="C439" i="2"/>
  <c r="C351" i="2"/>
  <c r="C340" i="2"/>
  <c r="B323" i="2"/>
  <c r="A317" i="2"/>
  <c r="C302" i="2"/>
  <c r="A284" i="2"/>
  <c r="C288" i="2"/>
  <c r="B278" i="2"/>
  <c r="C263" i="2"/>
  <c r="B249" i="2"/>
  <c r="C245" i="2"/>
  <c r="B235" i="2"/>
  <c r="A233" i="2"/>
  <c r="C188" i="2"/>
  <c r="B182" i="2"/>
  <c r="A167" i="2"/>
  <c r="C158" i="2"/>
  <c r="B163" i="2"/>
  <c r="C141" i="2"/>
  <c r="B146" i="2"/>
  <c r="A151" i="2"/>
  <c r="C45" i="2"/>
  <c r="B50" i="2"/>
  <c r="C24" i="2"/>
  <c r="B7" i="2"/>
  <c r="AO379" i="2"/>
  <c r="AP379" i="2" s="1"/>
  <c r="AF129" i="2"/>
  <c r="AF489" i="2"/>
  <c r="B490" i="2"/>
  <c r="B553" i="2"/>
  <c r="AO542" i="2"/>
  <c r="AP542" i="2" s="1"/>
  <c r="AF553" i="2"/>
  <c r="AF544" i="2"/>
  <c r="B129" i="2"/>
  <c r="AF378" i="2"/>
  <c r="C554" i="2"/>
  <c r="C347" i="2"/>
  <c r="A594" i="2"/>
  <c r="AF65" i="2"/>
  <c r="AO57" i="2"/>
  <c r="AP57" i="2" s="1"/>
  <c r="C64" i="2"/>
  <c r="B59" i="2"/>
  <c r="B65" i="2"/>
  <c r="AF50" i="2"/>
  <c r="A346" i="2"/>
  <c r="AO46" i="2"/>
  <c r="AP46" i="2" s="1"/>
  <c r="AF46" i="2"/>
  <c r="A40" i="2"/>
  <c r="A44" i="2"/>
  <c r="AO439" i="2"/>
  <c r="AP439" i="2" s="1"/>
  <c r="AO451" i="2"/>
  <c r="AP451" i="2" s="1"/>
  <c r="AO463" i="2"/>
  <c r="AP463" i="2" s="1"/>
  <c r="AO474" i="2"/>
  <c r="AP474" i="2" s="1"/>
  <c r="AO493" i="2"/>
  <c r="AP493" i="2" s="1"/>
  <c r="AO500" i="2"/>
  <c r="AP500" i="2" s="1"/>
  <c r="AO511" i="2"/>
  <c r="AP511" i="2" s="1"/>
  <c r="AO523" i="2"/>
  <c r="AP523" i="2" s="1"/>
  <c r="AO533" i="2"/>
  <c r="AP533" i="2" s="1"/>
  <c r="AO580" i="2"/>
  <c r="AP580" i="2" s="1"/>
  <c r="AO360" i="2"/>
  <c r="AP360" i="2" s="1"/>
  <c r="B357" i="2"/>
  <c r="C355" i="2"/>
  <c r="B54" i="2"/>
  <c r="A608" i="2"/>
  <c r="A599" i="2"/>
  <c r="A533" i="2"/>
  <c r="A539" i="2"/>
  <c r="A544" i="2"/>
  <c r="A549" i="2"/>
  <c r="A517" i="2"/>
  <c r="A522" i="2"/>
  <c r="A511" i="2"/>
  <c r="A483" i="2"/>
  <c r="A473" i="2"/>
  <c r="A467" i="2"/>
  <c r="A457" i="2"/>
  <c r="A450" i="2"/>
  <c r="A440" i="2"/>
  <c r="A353" i="2"/>
  <c r="A341" i="2"/>
  <c r="C323" i="2"/>
  <c r="B317" i="2"/>
  <c r="C303" i="2"/>
  <c r="B284" i="2"/>
  <c r="A289" i="2"/>
  <c r="C278" i="2"/>
  <c r="A256" i="2"/>
  <c r="B250" i="2"/>
  <c r="A246" i="2"/>
  <c r="C235" i="2"/>
  <c r="B233" i="2"/>
  <c r="A189" i="2"/>
  <c r="B183" i="2"/>
  <c r="B167" i="2"/>
  <c r="A159" i="2"/>
  <c r="B164" i="2"/>
  <c r="A142" i="2"/>
  <c r="C146" i="2"/>
  <c r="B151" i="2"/>
  <c r="A46" i="2"/>
  <c r="B51" i="2"/>
  <c r="A14" i="2"/>
  <c r="C7" i="2"/>
  <c r="AO603" i="2"/>
  <c r="AP603" i="2" s="1"/>
  <c r="AO489" i="2"/>
  <c r="AP489" i="2" s="1"/>
  <c r="C490" i="2"/>
  <c r="C553" i="2"/>
  <c r="AO543" i="2"/>
  <c r="AP543" i="2" s="1"/>
  <c r="AF554" i="2"/>
  <c r="AF545" i="2"/>
  <c r="C129" i="2"/>
  <c r="A550" i="2"/>
  <c r="A601" i="2"/>
  <c r="A348" i="2"/>
  <c r="B594" i="2"/>
  <c r="AO64" i="2"/>
  <c r="AP64" i="2" s="1"/>
  <c r="AF60" i="2"/>
  <c r="C65" i="2"/>
  <c r="A60" i="2"/>
  <c r="A66" i="2"/>
  <c r="AF51" i="2"/>
  <c r="B346" i="2"/>
  <c r="AO47" i="2"/>
  <c r="AP47" i="2" s="1"/>
  <c r="AF47" i="2"/>
  <c r="B40" i="2"/>
  <c r="B44" i="2"/>
  <c r="AO440" i="2"/>
  <c r="AP440" i="2" s="1"/>
  <c r="AO452" i="2"/>
  <c r="AP452" i="2" s="1"/>
  <c r="AO464" i="2"/>
  <c r="AP464" i="2" s="1"/>
  <c r="AO475" i="2"/>
  <c r="AP475" i="2" s="1"/>
  <c r="AO501" i="2"/>
  <c r="AP501" i="2" s="1"/>
  <c r="AO361" i="2"/>
  <c r="AP361" i="2" s="1"/>
  <c r="C357" i="2"/>
  <c r="A356" i="2"/>
  <c r="C54" i="2"/>
  <c r="B608" i="2"/>
  <c r="B599" i="2"/>
  <c r="B533" i="2"/>
  <c r="B539" i="2"/>
  <c r="B544" i="2"/>
  <c r="B549" i="2"/>
  <c r="B517" i="2"/>
  <c r="B522" i="2"/>
  <c r="B511" i="2"/>
  <c r="B483" i="2"/>
  <c r="B473" i="2"/>
  <c r="B467" i="2"/>
  <c r="B457" i="2"/>
  <c r="B450" i="2"/>
  <c r="B440" i="2"/>
  <c r="B353" i="2"/>
  <c r="B341" i="2"/>
  <c r="A324" i="2"/>
  <c r="C317" i="2"/>
  <c r="AO362" i="2"/>
  <c r="AP362" i="2" s="1"/>
  <c r="A359" i="2"/>
  <c r="B356" i="2"/>
  <c r="A604" i="2"/>
  <c r="C608" i="2"/>
  <c r="C599" i="2"/>
  <c r="C533" i="2"/>
  <c r="C539" i="2"/>
  <c r="C544" i="2"/>
  <c r="C549" i="2"/>
  <c r="C517" i="2"/>
  <c r="C522" i="2"/>
  <c r="C511" i="2"/>
  <c r="C483" i="2"/>
  <c r="C473" i="2"/>
  <c r="C467" i="2"/>
  <c r="C457" i="2"/>
  <c r="C450" i="2"/>
  <c r="AO235" i="2"/>
  <c r="AP235" i="2" s="1"/>
  <c r="AO358" i="2"/>
  <c r="AP358" i="2" s="1"/>
  <c r="C339" i="2"/>
  <c r="C352" i="2"/>
  <c r="C442" i="2"/>
  <c r="C448" i="2"/>
  <c r="C456" i="2"/>
  <c r="C468" i="2"/>
  <c r="C464" i="2"/>
  <c r="C486" i="2"/>
  <c r="C494" i="2"/>
  <c r="C512" i="2"/>
  <c r="C520" i="2"/>
  <c r="C516" i="2"/>
  <c r="C526" i="2"/>
  <c r="C546" i="2"/>
  <c r="C542" i="2"/>
  <c r="C538" i="2"/>
  <c r="C534" i="2"/>
  <c r="C530" i="2"/>
  <c r="C607" i="2"/>
  <c r="A137" i="2"/>
  <c r="C231" i="2"/>
  <c r="B362" i="2"/>
  <c r="C361" i="2"/>
  <c r="C358" i="2"/>
  <c r="AO240" i="2"/>
  <c r="AP240" i="2" s="1"/>
  <c r="AO357" i="2"/>
  <c r="AP357" i="2" s="1"/>
  <c r="AF548" i="2"/>
  <c r="AO548" i="2"/>
  <c r="AP548" i="2" s="1"/>
  <c r="A10" i="2"/>
  <c r="A6" i="2"/>
  <c r="A24" i="2"/>
  <c r="A51" i="2"/>
  <c r="A47" i="2"/>
  <c r="A153" i="2"/>
  <c r="A149" i="2"/>
  <c r="A145" i="2"/>
  <c r="A141" i="2"/>
  <c r="A164" i="2"/>
  <c r="A160" i="2"/>
  <c r="A156" i="2"/>
  <c r="A183" i="2"/>
  <c r="A190" i="2"/>
  <c r="A210" i="2"/>
  <c r="A229" i="2"/>
  <c r="A241" i="2"/>
  <c r="A245" i="2"/>
  <c r="A250" i="2"/>
  <c r="A257" i="2"/>
  <c r="B280" i="2"/>
  <c r="B291" i="2"/>
  <c r="B287" i="2"/>
  <c r="B283" i="2"/>
  <c r="B303" i="2"/>
  <c r="B309" i="2"/>
  <c r="B325" i="2"/>
  <c r="B330" i="2"/>
  <c r="B339" i="2"/>
  <c r="B352" i="2"/>
  <c r="B442" i="2"/>
  <c r="B448" i="2"/>
  <c r="B456" i="2"/>
  <c r="B468" i="2"/>
  <c r="B464" i="2"/>
  <c r="B486" i="2"/>
  <c r="B494" i="2"/>
  <c r="B512" i="2"/>
  <c r="B520" i="2"/>
  <c r="B516" i="2"/>
  <c r="B526" i="2"/>
  <c r="B546" i="2"/>
  <c r="B542" i="2"/>
  <c r="B538" i="2"/>
  <c r="B534" i="2"/>
  <c r="B530" i="2"/>
  <c r="B607" i="2"/>
  <c r="C604" i="2"/>
  <c r="B231" i="2"/>
  <c r="B361" i="2"/>
  <c r="B358" i="2"/>
  <c r="AO239" i="2"/>
  <c r="AP239" i="2" s="1"/>
  <c r="AO356" i="2"/>
  <c r="AP356" i="2" s="1"/>
  <c r="AF487" i="2"/>
  <c r="AF552" i="2"/>
  <c r="AO552" i="2"/>
  <c r="AP552" i="2" s="1"/>
  <c r="C9" i="2"/>
  <c r="C5" i="2"/>
  <c r="C23" i="2"/>
  <c r="C50" i="2"/>
  <c r="C46" i="2"/>
  <c r="C152" i="2"/>
  <c r="C148" i="2"/>
  <c r="C144" i="2"/>
  <c r="C140" i="2"/>
  <c r="C163" i="2"/>
  <c r="C159" i="2"/>
  <c r="C168" i="2"/>
  <c r="C182" i="2"/>
  <c r="C189" i="2"/>
  <c r="C237" i="2"/>
  <c r="C240" i="2"/>
  <c r="C244" i="2"/>
  <c r="C249" i="2"/>
  <c r="C256" i="2"/>
  <c r="A280" i="2"/>
  <c r="A291" i="2"/>
  <c r="A287" i="2"/>
  <c r="A283" i="2"/>
  <c r="A303" i="2"/>
  <c r="A309" i="2"/>
  <c r="A325" i="2"/>
  <c r="A330" i="2"/>
  <c r="A339" i="2"/>
  <c r="A352" i="2"/>
  <c r="A442" i="2"/>
  <c r="A448" i="2"/>
  <c r="A456" i="2"/>
  <c r="A468" i="2"/>
  <c r="A464" i="2"/>
  <c r="A486" i="2"/>
  <c r="A494" i="2"/>
  <c r="A512" i="2"/>
  <c r="A520" i="2"/>
  <c r="A516" i="2"/>
  <c r="A526" i="2"/>
  <c r="A546" i="2"/>
  <c r="A542" i="2"/>
  <c r="A538" i="2"/>
  <c r="A534" i="2"/>
  <c r="A530" i="2"/>
  <c r="A607" i="2"/>
  <c r="B604" i="2"/>
  <c r="C230" i="2"/>
  <c r="A361" i="2"/>
  <c r="A358" i="2"/>
  <c r="AO257" i="2"/>
  <c r="AP257" i="2" s="1"/>
  <c r="I3" i="13"/>
  <c r="L157" i="12" l="1"/>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alcChain>
</file>

<file path=xl/sharedStrings.xml><?xml version="1.0" encoding="utf-8"?>
<sst xmlns="http://schemas.openxmlformats.org/spreadsheetml/2006/main" count="20126" uniqueCount="2589">
  <si>
    <t>Insprint Yes/No</t>
  </si>
  <si>
    <t>Yes</t>
  </si>
  <si>
    <t>(Multiple Items)</t>
  </si>
  <si>
    <t>Module count for Mar 28 insprint</t>
  </si>
  <si>
    <t>PT Lead</t>
  </si>
  <si>
    <t>(All)</t>
  </si>
  <si>
    <t>PT lead</t>
  </si>
  <si>
    <t>No of US for insprint</t>
  </si>
  <si>
    <t>Modules Count</t>
  </si>
  <si>
    <t>Module names</t>
  </si>
  <si>
    <t>ETA for pipeline readiness for Prod</t>
  </si>
  <si>
    <t>Excluded code from</t>
  </si>
  <si>
    <t>Count of Parent Title</t>
  </si>
  <si>
    <t>Column Labels</t>
  </si>
  <si>
    <t>Row Labels</t>
  </si>
  <si>
    <t>Pirtheebaa</t>
  </si>
  <si>
    <t>PCAT Dashboard
Learn
SA Team manager
View MMS Details
Opportunity Workflow
Manage SA
Review Approval
Transition To Delivery
Define Team
WRWS
Estimators/Calculators</t>
  </si>
  <si>
    <t>completed</t>
  </si>
  <si>
    <t>No</t>
  </si>
  <si>
    <t>(blank)</t>
  </si>
  <si>
    <t>Partial</t>
  </si>
  <si>
    <t>Grand Total</t>
  </si>
  <si>
    <t>Values</t>
  </si>
  <si>
    <t>Power BI report validation</t>
  </si>
  <si>
    <t>Himanshu</t>
  </si>
  <si>
    <t>PLD</t>
  </si>
  <si>
    <t>no</t>
  </si>
  <si>
    <t>Anand</t>
  </si>
  <si>
    <t>Insprint Tester</t>
  </si>
  <si>
    <t>Average of If insprint YES - % of completion</t>
  </si>
  <si>
    <t>Complex user story which involves multiple screen validation and multiple roles validation and requires more time to automate</t>
  </si>
  <si>
    <t>Shini</t>
  </si>
  <si>
    <t>BPMS and DCSO</t>
  </si>
  <si>
    <t>Mar 24 EOD</t>
  </si>
  <si>
    <t>Devika</t>
  </si>
  <si>
    <t>k.tamilzharasu</t>
  </si>
  <si>
    <t>Fresh Deal creation required everytime</t>
  </si>
  <si>
    <t>SI Online</t>
  </si>
  <si>
    <t>Hajara</t>
  </si>
  <si>
    <t>r.maheen.abu.backer</t>
  </si>
  <si>
    <t>IMS BAU</t>
  </si>
  <si>
    <t>Nandini</t>
  </si>
  <si>
    <t>Estimator Calculator Workflow, Value Shaping, Asset Calculator,Automation Calculator</t>
  </si>
  <si>
    <t>PR pending</t>
  </si>
  <si>
    <t>nitish.kumar.prusty</t>
  </si>
  <si>
    <t>Technical US - Full regression Required</t>
  </si>
  <si>
    <t>GEN AI</t>
  </si>
  <si>
    <t>Mar 26 EOD</t>
  </si>
  <si>
    <t>Jaya</t>
  </si>
  <si>
    <t>s.boya.kumarii</t>
  </si>
  <si>
    <t>Complex KDA metrics validation in excel</t>
  </si>
  <si>
    <t>Leena</t>
  </si>
  <si>
    <t>DSP</t>
  </si>
  <si>
    <t>In progress</t>
  </si>
  <si>
    <t>Kavi</t>
  </si>
  <si>
    <t>sairam.pamarthi</t>
  </si>
  <si>
    <t>LLM Dynamic response generation User story which is not partially automatable</t>
  </si>
  <si>
    <t>AMS_OCP_DCTA</t>
  </si>
  <si>
    <t>lakshmi.e.j</t>
  </si>
  <si>
    <t>PCW User Story</t>
  </si>
  <si>
    <t>SI OCP, DCTA-MMP</t>
  </si>
  <si>
    <t>pending 2 stories will not be considered . They can be run stand alone by insprint testers</t>
  </si>
  <si>
    <t>n.sargurunathan</t>
  </si>
  <si>
    <t>200+ nudges validation and resposne time greater than 15 mins</t>
  </si>
  <si>
    <t>Omkar</t>
  </si>
  <si>
    <t>santhwana.m.r</t>
  </si>
  <si>
    <t>BPMS BAU</t>
  </si>
  <si>
    <t>Raji</t>
  </si>
  <si>
    <t>nithish.mode</t>
  </si>
  <si>
    <t>Agent SCA Testing</t>
  </si>
  <si>
    <t>Rajeswari</t>
  </si>
  <si>
    <t>karnati.aruna.jyothi</t>
  </si>
  <si>
    <t>MDA Power BI to DSP Integration</t>
  </si>
  <si>
    <t>r.e.muthusamy</t>
  </si>
  <si>
    <t>Everytime new User validation</t>
  </si>
  <si>
    <t>Surbhi</t>
  </si>
  <si>
    <t>amresh.l.kumar</t>
  </si>
  <si>
    <t>external Integration validation</t>
  </si>
  <si>
    <t>Vaidheki</t>
  </si>
  <si>
    <t>sai.Priyanka.vasa</t>
  </si>
  <si>
    <t>User story validation for SM and Above career level</t>
  </si>
  <si>
    <t>shaik.yasin</t>
  </si>
  <si>
    <t>Complex User story will be delivered April 28th and not enough time to complete Insprint</t>
  </si>
  <si>
    <t>gayatri.korikana</t>
  </si>
  <si>
    <t>ganga.m.reddy.padala</t>
  </si>
  <si>
    <t>Removed Screen Validation cannot be automated because x path will not be found</t>
  </si>
  <si>
    <t>jeba.momin</t>
  </si>
  <si>
    <t>Basic email validation after just login</t>
  </si>
  <si>
    <t>pujitha.r.gogireddy</t>
  </si>
  <si>
    <t>m.sheik.fusulee.a</t>
  </si>
  <si>
    <t>naga.v.pachipulusu</t>
  </si>
  <si>
    <t>vignesh.jagathisan</t>
  </si>
  <si>
    <t>bandi.sunanda</t>
  </si>
  <si>
    <t>vadde.bindu</t>
  </si>
  <si>
    <t>Saranya.datla</t>
  </si>
  <si>
    <t>nalluri.vishnupriya</t>
  </si>
  <si>
    <t>shivaprasad.malekar</t>
  </si>
  <si>
    <t>arun.thangapandian</t>
  </si>
  <si>
    <t>pawan.m.kumar.singh</t>
  </si>
  <si>
    <t>Mary.jacob</t>
  </si>
  <si>
    <t>s.af.natarajan</t>
  </si>
  <si>
    <t>sowndarya.sowrirajan</t>
  </si>
  <si>
    <t>anto.aldrin.missier</t>
  </si>
  <si>
    <t>p.mohandass</t>
  </si>
  <si>
    <t>jabeen.iqbal</t>
  </si>
  <si>
    <t>h.kouser</t>
  </si>
  <si>
    <t>vadde.veena.sree</t>
  </si>
  <si>
    <t>divya.sree.chatla</t>
  </si>
  <si>
    <t>Jothika.sundaram</t>
  </si>
  <si>
    <t>prasanna.pandian</t>
  </si>
  <si>
    <t>n.selvakumar</t>
  </si>
  <si>
    <t>madhuri.p.nandam</t>
  </si>
  <si>
    <t>harish.vijiyakumar</t>
  </si>
  <si>
    <t>guddeti.srilekha</t>
  </si>
  <si>
    <t>s.manmit.vanarase</t>
  </si>
  <si>
    <t>v.uma.maheswari</t>
  </si>
  <si>
    <t>Sushmeta.rajkumar</t>
  </si>
  <si>
    <t>anitha.a.ramesh</t>
  </si>
  <si>
    <t>s.namdev.suryawanshi</t>
  </si>
  <si>
    <t>Ayush.ad.singh</t>
  </si>
  <si>
    <t>sohana.khan</t>
  </si>
  <si>
    <t>hanshika.saday</t>
  </si>
  <si>
    <t>sujana.panigrahi</t>
  </si>
  <si>
    <t>Vinayak.Sangale</t>
  </si>
  <si>
    <t>mohammad.samreen</t>
  </si>
  <si>
    <t>debjit.adak</t>
  </si>
  <si>
    <t>reshmi.doddi</t>
  </si>
  <si>
    <t>r.yuvanitharsana</t>
  </si>
  <si>
    <t>ihsana.p.abdulla</t>
  </si>
  <si>
    <t>bhavana.reddy.alla</t>
  </si>
  <si>
    <t>Shalini.b.pandey</t>
  </si>
  <si>
    <t>namrata.g.umardand</t>
  </si>
  <si>
    <t>reshma.sundar</t>
  </si>
  <si>
    <t>navya.majji</t>
  </si>
  <si>
    <t>Naveen.arunachalam</t>
  </si>
  <si>
    <t>Manisha.m.sharma</t>
  </si>
  <si>
    <t>Count of Title</t>
  </si>
  <si>
    <t>Lead</t>
  </si>
  <si>
    <t>Predefined Reason</t>
  </si>
  <si>
    <t>If insprint YES - % of completion</t>
  </si>
  <si>
    <t>User story Freeze Date</t>
  </si>
  <si>
    <t>Cut off for PT hand over</t>
  </si>
  <si>
    <t>Cut off for UAT hand over</t>
  </si>
  <si>
    <t>UAT Completion</t>
  </si>
  <si>
    <t>Functional Bug closure</t>
  </si>
  <si>
    <t>Regression</t>
  </si>
  <si>
    <r>
      <t>Regression bug Closure</t>
    </r>
    <r>
      <rPr>
        <sz val="12"/>
        <color rgb="FF000000"/>
        <rFont val="Aptos"/>
        <family val="2"/>
      </rPr>
      <t xml:space="preserve"> </t>
    </r>
  </si>
  <si>
    <t>Code Freeze</t>
  </si>
  <si>
    <t>Initial GNG decision</t>
  </si>
  <si>
    <t>Final Go/No Go Decision</t>
  </si>
  <si>
    <t>Final Go-Live</t>
  </si>
  <si>
    <t>29-April to 4-May</t>
  </si>
  <si>
    <t>Details for Count of Title - Pre defined No Reason: Excel Validation, Insprint Yes/No: No, PT Lead: Anand (+)</t>
  </si>
  <si>
    <t>Module (TextVerification)</t>
  </si>
  <si>
    <t>Parent Title</t>
  </si>
  <si>
    <t>Feature ID</t>
  </si>
  <si>
    <t>Title</t>
  </si>
  <si>
    <t>ID</t>
  </si>
  <si>
    <t>Primary tester</t>
  </si>
  <si>
    <t>Secondary Tester</t>
  </si>
  <si>
    <t>If Insprint NO - Reason</t>
  </si>
  <si>
    <t>Pre defined No Reason</t>
  </si>
  <si>
    <t>Complexity</t>
  </si>
  <si>
    <t>In sprint test case count</t>
  </si>
  <si>
    <t>Automated cases generated from GHC</t>
  </si>
  <si>
    <t>Useful Automated cases from GHC</t>
  </si>
  <si>
    <t>Tester created automated count (not given by GHC)</t>
  </si>
  <si>
    <t>Reviwed Final automation count</t>
  </si>
  <si>
    <t>Coverage for automated test case from GHC%</t>
  </si>
  <si>
    <t>Accuracy of Automated Test case from GHC%</t>
  </si>
  <si>
    <t>Test Planning</t>
  </si>
  <si>
    <t>BA Review</t>
  </si>
  <si>
    <t>TFS upload</t>
  </si>
  <si>
    <t>PT Status</t>
  </si>
  <si>
    <t>Manual Test cases generated from GHC</t>
  </si>
  <si>
    <t>Useful Test cases from GHC</t>
  </si>
  <si>
    <t>Tester Created test case count</t>
  </si>
  <si>
    <t>Reviwed Final Test case count</t>
  </si>
  <si>
    <t>Coverage for Manual Test cases from GHC%</t>
  </si>
  <si>
    <t>Accuracy for Manual test cases from GHC%</t>
  </si>
  <si>
    <t>TFS state</t>
  </si>
  <si>
    <t>Passed</t>
  </si>
  <si>
    <t>Failed</t>
  </si>
  <si>
    <t>Blocked</t>
  </si>
  <si>
    <t>Not Run</t>
  </si>
  <si>
    <t>Total</t>
  </si>
  <si>
    <t>Execution %</t>
  </si>
  <si>
    <t>Pass %</t>
  </si>
  <si>
    <t>Comments</t>
  </si>
  <si>
    <t>Node Name</t>
  </si>
  <si>
    <t>MPOC</t>
  </si>
  <si>
    <t>DCSO</t>
  </si>
  <si>
    <t>myISP - Digital DCSO Summary sections addition and Other changes</t>
  </si>
  <si>
    <t>As a Solution Architect, I want imported DCSO editable fields retained when Generate is clicked again for IMS/AMS/SI and mandatory Excel header comments added, so that my data is preserved and the template is self-guiding</t>
  </si>
  <si>
    <t xml:space="preserve">Arun </t>
  </si>
  <si>
    <t>Excel inport export functionality</t>
  </si>
  <si>
    <t>Excel Validation</t>
  </si>
  <si>
    <t>Not Started</t>
  </si>
  <si>
    <t>New</t>
  </si>
  <si>
    <t>TechStars</t>
  </si>
  <si>
    <t>mohanraj.a.selvaraj</t>
  </si>
  <si>
    <t>As a DCSO user, I want the Skill Reference field in the DCSO template to be editable, mandatory and location-validated, so that the correct skill reference is always captured accurately and incorrect entries are flagged before submission</t>
  </si>
  <si>
    <t>Shital</t>
  </si>
  <si>
    <t>Excel Export Import Functionality</t>
  </si>
  <si>
    <t>Completed</t>
  </si>
  <si>
    <t>PCW</t>
  </si>
  <si>
    <t>PCW - IPC Toolkit Cost Update</t>
  </si>
  <si>
    <t>As a PCW user, I want IPC API integrations updated to align with the Differentiation screen decommissioning so that auto-sync workflows function via the new Attach Calculator DB.</t>
  </si>
  <si>
    <t>Sairam</t>
  </si>
  <si>
    <t>Naveen S</t>
  </si>
  <si>
    <t>As a PCW user, I want to see 3 new IPC exemption reasons in the 'Reasons for not configuring IPC' dropdown on the Pricing sheet so that the exemption rationale is captured consistently between PCW and myISP</t>
  </si>
  <si>
    <t>myISP SI</t>
  </si>
  <si>
    <t>Expand format limit for staffing OU</t>
  </si>
  <si>
    <t>As a Solution Architect, I want the offline utility for the Staffing Baseline to support exporting and importing up to 5000 records, so that I can efficiently manage large staffing datasets without system or UI limitations.</t>
  </si>
  <si>
    <t>Viji</t>
  </si>
  <si>
    <t>Offline Utility OU related(Excel) Functionality Cannot be Automated</t>
  </si>
  <si>
    <t>In Progress</t>
  </si>
  <si>
    <t>TechAvengers</t>
  </si>
  <si>
    <t>mervinkumar.manickam</t>
  </si>
  <si>
    <t>Solution Review Agent</t>
  </si>
  <si>
    <t>[Gen AI - SRA] - Addition of Weighted average, Score, RAG columns in the Review Output Document.</t>
  </si>
  <si>
    <t>[Gen AI - SRA] - Solution to Win Excel Checklist Upgrade - As a myISP User, I should be able to view additional columns in the Review Agent Output document displaying accurate RAG insights for L2-level nudges.</t>
  </si>
  <si>
    <t>Pratik</t>
  </si>
  <si>
    <t>Vignesh</t>
  </si>
  <si>
    <t>p.haribhau.tadke</t>
  </si>
  <si>
    <t>Excel Related functionality cannot be automated</t>
  </si>
  <si>
    <t>Gen AI - Solution Review Agent</t>
  </si>
  <si>
    <t>n.d.krishnakumar</t>
  </si>
  <si>
    <t>Review Agent</t>
  </si>
  <si>
    <t>[SSA - SRA] - Displaying appropriate error messages when DSP ingestion failed.</t>
  </si>
  <si>
    <t>[SSA - SRA] - As a MyISP user, I want to see the exact reason for a DSP ingestion failure displayed in the error message.</t>
  </si>
  <si>
    <t>Harshitha</t>
  </si>
  <si>
    <t>Reshma</t>
  </si>
  <si>
    <t>h.udhayakumar</t>
  </si>
  <si>
    <t>Upload functionality not feasible to automate</t>
  </si>
  <si>
    <t>CDAT</t>
  </si>
  <si>
    <t>CDAT Gen AI Enhancements.</t>
  </si>
  <si>
    <t>As a myISP user, I want the assessment output to be downloaded in both Excel and Word format, so that I can analyze nudge data, findings, gap analysis, and document processing status</t>
  </si>
  <si>
    <t>Narmatha</t>
  </si>
  <si>
    <t>Komal</t>
  </si>
  <si>
    <t>n.g.senthil.kumar</t>
  </si>
  <si>
    <t>This involves the data validation in excel file, which is not feasible as we need to validate for all nudges in all 3 SG</t>
  </si>
  <si>
    <t>Active</t>
  </si>
  <si>
    <t>GENAI-CDAT</t>
  </si>
  <si>
    <t>Value Shaping</t>
  </si>
  <si>
    <t>Value Shaping CR | May Scope</t>
  </si>
  <si>
    <t>VS - As a myISP user I want Total Value Potential summary included in PDF and Excel downloads,   So that exported artifacts retain the same value insights seen in the application.</t>
  </si>
  <si>
    <t>Yasin</t>
  </si>
  <si>
    <t>Bindu</t>
  </si>
  <si>
    <t> </t>
  </si>
  <si>
    <t>cannot automate, verifying downloaded PDF and excel data with UI</t>
  </si>
  <si>
    <t>Spartans</t>
  </si>
  <si>
    <t>nityanand.giri</t>
  </si>
  <si>
    <t>VS - As a myISP User I want the Benchmark Target tooltip to show the actual benchmark source, So that I can validate benchmark credibility directly while reviewing KPI details.</t>
  </si>
  <si>
    <t>cannot automate, verifying downloaded excel data with UI tool tip</t>
  </si>
  <si>
    <t>IPC Calculator</t>
  </si>
  <si>
    <t>IPC Calculator | Package and Cost screen UI changes</t>
  </si>
  <si>
    <t>As a mySP user, I should be able to see an auto created version of IPC from WRWS with updated cost in standard package when solution version is created for the first time</t>
  </si>
  <si>
    <t>Srilekha</t>
  </si>
  <si>
    <t>Pawan</t>
  </si>
  <si>
    <t>This story has a lot of calculation with dependancy on excel based validations</t>
  </si>
  <si>
    <t>TechWarriors</t>
  </si>
  <si>
    <t>sowjanya.kari</t>
  </si>
  <si>
    <t>Mobilization Calculator</t>
  </si>
  <si>
    <t>Mobilization Calculator -Bottom Up CRs</t>
  </si>
  <si>
    <t>As a Mobilization SME, i should be able to see the Phase Wise Cost Summary in the Ramp Summary export</t>
  </si>
  <si>
    <t>Reshmi</t>
  </si>
  <si>
    <t>Excel template Import/Export related US and data validation</t>
  </si>
  <si>
    <t>Everest</t>
  </si>
  <si>
    <t>As a mySP user, I want to see the updated UI of Package and Cost screen due to the updated cost of standard package</t>
  </si>
  <si>
    <t>It is completly new UI changes which included calculations using excel sheet</t>
  </si>
  <si>
    <t>TitansPlus</t>
  </si>
  <si>
    <t>Value Shaping –Enhancements</t>
  </si>
  <si>
    <t>Value Shaping - As a myISP user, I should be able to download output (Global View) as excel from summary screen of SVP page, so that it can be used for other purposes</t>
  </si>
  <si>
    <t>cannot automate, verifying downloaded excel data with UI</t>
  </si>
  <si>
    <t>Value Shaping - As a myISP user, I should be able to download output (Benchmark and size of prize View) as excel from summary screen of SVP page, so that it can be used for other purposes</t>
  </si>
  <si>
    <t>Value Shaping - As a myISP user, I should be able to download output (Tree View) as excel from summary screen of SVP page, so that it can be used for other purposes</t>
  </si>
  <si>
    <t>Value Shaping -As a myISP user, I should be able to download output (Tech Transformation View) as excel from summary screen of SVP page, so that it can be used for other purposes</t>
  </si>
  <si>
    <t>Value Shaping - As a myISP user, I should be able to download output (Value Led AM View) as excel from summary screen of SVP page, so that it can be used for other purposes</t>
  </si>
  <si>
    <t>Value Shaping - As a myISP user, I should be able to download output (360 Dimension View) as excel from summary screen of SVP page, so that it can be used for other purposes</t>
  </si>
  <si>
    <t>Calculator</t>
  </si>
  <si>
    <t>Attach Calculator</t>
  </si>
  <si>
    <t>[Attach Calculator] AMS  As a myISP user, I want to implement Document download functionality in Attach calculator, so that the Attach Calculator experience aligns with defined business standards</t>
  </si>
  <si>
    <t>Amalarasi</t>
  </si>
  <si>
    <t>Sunanda</t>
  </si>
  <si>
    <t>SI</t>
  </si>
  <si>
    <t>Dynamic Target Pricing - Remaining Scope - May Release</t>
  </si>
  <si>
    <t>SI | As a SA, Role Type should be mandatory for applicable SSGs on Staffing Baseline - OU</t>
  </si>
  <si>
    <t>In Development</t>
  </si>
  <si>
    <t>CON-CAS - PCW</t>
  </si>
  <si>
    <t>Standard Role Implementation in PCW &amp; Online SI - May Release</t>
  </si>
  <si>
    <t>PCW - Add Technology Role and Standard Role Columns in Staffing Baseline for CON-CAS</t>
  </si>
  <si>
    <t>Tech Ensemble</t>
  </si>
  <si>
    <t>AMS OCP</t>
  </si>
  <si>
    <t>AMS-OCP: AMS - Cluster based KDA Phase 1 - OCP KDA UI and Excel reports</t>
  </si>
  <si>
    <t>AMS-OCP-View KDA Excel: As a mySolutionPlanner user, I want the KDA Excel download to include one additional tab per configured cluster showing the cluster-specific KDA matrix, So that use can view the updated View KDA excel report.</t>
  </si>
  <si>
    <t>Ayush</t>
  </si>
  <si>
    <t>Anu</t>
  </si>
  <si>
    <t>Export excels Validation</t>
  </si>
  <si>
    <t>CreativeCoders</t>
  </si>
  <si>
    <t>K.devaraj</t>
  </si>
  <si>
    <t>BPMS OCP</t>
  </si>
  <si>
    <t>BPMS Negotiation Contingency</t>
  </si>
  <si>
    <t>BPMS - As a myISP SA, I want to enter a negotiation contingency % in Solution Workbench so that the system calculates and displays the negotiation contingency value in Financials and sends it to all downstream modules.</t>
  </si>
  <si>
    <t>cannot be automated, it involves calculation and excel reports validation</t>
  </si>
  <si>
    <t>PT In Test</t>
  </si>
  <si>
    <t xml:space="preserve">AMS </t>
  </si>
  <si>
    <t>AMS: Increasing Staffing records in LBS UI for OU report</t>
  </si>
  <si>
    <t>AMS: As a mySolutionPlanner user, I want the Staffing screen LBS tab to display up to 4,000 records in the UI, So that the UI record display limit is aligned with the OU export and import limit of 4,000 records.</t>
  </si>
  <si>
    <t>Priyanka</t>
  </si>
  <si>
    <t>Export and import report of OU staffing cannot be validated</t>
  </si>
  <si>
    <t>Complex</t>
  </si>
  <si>
    <t>TechMavericks</t>
  </si>
  <si>
    <t>Francis.Deepak</t>
  </si>
  <si>
    <t>BPMS DCTA</t>
  </si>
  <si>
    <t>As a myISP SA I want the Negotiation Contingency to be displayed on the Financials screen for DCTA route deals So that I can review the contingency buffer applied to pricing without switching to BPMS, enabling complete financial visibility in one view.</t>
  </si>
  <si>
    <t>Jothika</t>
  </si>
  <si>
    <t>Simulators</t>
  </si>
  <si>
    <t>IMS Multi tower pricing</t>
  </si>
  <si>
    <t>IMS Multi Tower pricing (IMS+SI+CON)</t>
  </si>
  <si>
    <t>IMS-OCP &gt; CY/FY/MOM/Graph view reports: s a mySolutionPlanner user, I want the CY, FY, Month-on-Month (MoM), and Graph View reports to be enabled and available for SI (SI+CON) in addition to IMS, accessible at the deal level only (IMS or SI+CON)</t>
  </si>
  <si>
    <t>Sriram</t>
  </si>
  <si>
    <t>Excel Parts cannot be validated</t>
  </si>
  <si>
    <t>CodingCrusaders</t>
  </si>
  <si>
    <t>myISP DCSO - Delivery Lead Assignments</t>
  </si>
  <si>
    <t>As a Delivery Lead, I want to be able to download and import DCSO files from the DCSO screen so that I can review, share and upload DCSO data without depending on other team members.</t>
  </si>
  <si>
    <t>Pavithra</t>
  </si>
  <si>
    <t>Export Import Functionality</t>
  </si>
  <si>
    <t>myISP - Digital DCSO Reports</t>
  </si>
  <si>
    <t>As a Solution Architect, I want to export DCSO Report data for offline sharing and analysis</t>
  </si>
  <si>
    <t>Jeba</t>
  </si>
  <si>
    <t>Sakshi</t>
  </si>
  <si>
    <t xml:space="preserve">Export data functionality </t>
  </si>
  <si>
    <t>SolutionDataLake</t>
  </si>
  <si>
    <t>vishal.v.nadpurohit</t>
  </si>
  <si>
    <t>As a Solution Architect, I want Transition and SD resource line items to be merged into a single row when they belong to the same group in the DCSO report so that the report is concise and easier to review</t>
  </si>
  <si>
    <t>Arun</t>
  </si>
  <si>
    <t>myISP- Digital DCSO - Publish functionality</t>
  </si>
  <si>
    <t>**As a** Solution Architect   **I want** the system to validate that each resource line's FTE Start Date is at least 16 calendar days ahead of the Publish Date when I click Publish   **So that** Publish is successful</t>
  </si>
  <si>
    <t>Mahesh</t>
  </si>
  <si>
    <t>Nithish</t>
  </si>
  <si>
    <t>Excel sheet validation</t>
  </si>
  <si>
    <t>**As a** Solution Architect   **I want** the Publish icon to be enabled only after a DCSO has been successfully imported   **So that** I cannot accidentally publish incomplete or unimported DCSO data to the HR tool</t>
  </si>
  <si>
    <t>Import Functionaity</t>
  </si>
  <si>
    <t>SI DCTA</t>
  </si>
  <si>
    <t>Billable expense parameter split in Financial UI</t>
  </si>
  <si>
    <t>As a myISP SA, I want to view 6 billable expense metrics on the KDA screen for the DCTA route (same as OCP), so that I can accurately assess financials with and without billable expense for DCTA engagements.</t>
  </si>
  <si>
    <t>Sohana</t>
  </si>
  <si>
    <t>Amresh</t>
  </si>
  <si>
    <t xml:space="preserve">Require excel report validation </t>
  </si>
  <si>
    <t>SI KDA</t>
  </si>
  <si>
    <t>WFH - ATCI and WFH ATCP to include updated logic from DNP</t>
  </si>
  <si>
    <t>As a mysolution planner Solution Architect, I want the WFO details to fetch from SI DNP screen and update in SI KDA(DATA/MMP-FFP/OCP/DCTA KDA) So that user can view updated logic for WFH metrics in view KDA</t>
  </si>
  <si>
    <t>Sai/Bhavana</t>
  </si>
  <si>
    <t>Sathya</t>
  </si>
  <si>
    <t xml:space="preserve">Involves calculation &amp; excel report validation is not possible </t>
  </si>
  <si>
    <t>Insurgents</t>
  </si>
  <si>
    <t>IPC Calculator | New Exemption Reasons</t>
  </si>
  <si>
    <t>As a myISP user, I want Harmonized KDA to reflect the same IPC RAG outcome for the three new exemption reasons so that downstream governance reporting remains aligned.</t>
  </si>
  <si>
    <t>Ready for Test</t>
  </si>
  <si>
    <t>Differentiation</t>
  </si>
  <si>
    <t>Differentiation Decommission</t>
  </si>
  <si>
    <t>SI only- As a Solution Architect I want the Harmonized KDA report to consume Attach Calculator index score in place of Differentiation So that Harmonized KDA report data remains accurate after the Differentiation screen is decommissioned</t>
  </si>
  <si>
    <t>As a mysolution planner Solution Architect, I want the WFH ATCI and WFH ATCP fields in SI KDA(OCP KDA route) to include the updated logic from DNP, So that user can view updated logic for WFH metrics</t>
  </si>
  <si>
    <t>As a Solution Architect , I want the YearonYear (YoY) values received from DNP to be updated in SI WFH metrics and displayed for existing deals, So that existing records correctly reflect YoY data from DNP</t>
  </si>
  <si>
    <t>Involves calculation &amp;excel report validation of YOY Split for all KDAs is not possible</t>
  </si>
  <si>
    <t>As a mysolution planner Solution Architect, I want the WFH ATCI and WFH ATCP fields in Harmonized KDA, Analytics to show the updated logic from SI KDA, So that user can view updated logic for WFH metrics</t>
  </si>
  <si>
    <t>Excel report validation is not possible</t>
  </si>
  <si>
    <t>As a mysolution planner Solution Architect, I want to view WFH% details for ATCI and ATCP with an option to expand and see Y1-Y10 values in SI DATA KDA , So that user can view YoY details</t>
  </si>
  <si>
    <t>Involves calculation &amp; excel report validation of YOY Split is not possible</t>
  </si>
  <si>
    <t>As a mysolution planner Solution Architect, I want the WFH ATCI and WFH ATCP fields in SI KDA(DATA KDA) to include the updated logic from DNP, So that user can view updated logic for WFH metrics</t>
  </si>
  <si>
    <t>As a mysolution planner Solution Architect, I want to view WFH% details for ATCI and ATCP with an option to expand and see Y1-Y10 values in SI OCP KDA , So that user can view YoY details</t>
  </si>
  <si>
    <t>As a mysolution planner Solution Architect, I want to view WFH% details for ATCI and ATCP with an option to expand and see Y1-Y10 values in SI DCTA KDA , So that user can view YoY details</t>
  </si>
  <si>
    <t>As a mysolution planner Solution Architect, I want to view WFH% details for ATCI and ATCP with an option to expand and see Y1-Y10 values in SI MMP-FFP KDA , So that user can view YoY details</t>
  </si>
  <si>
    <t>As a mysolution planner Solution Architect, I want the WFH ATCI and WFH ATCP fields in SI KDA(DCTA KDA route) to include the updated logic from DNP, So that user can view updated logic for WFH metrics</t>
  </si>
  <si>
    <t>As a mysolution planner Solution Architect, I want the WFH ATCI and WFH ATCP fields in SI KDA(MMP-FFP route) to include the updated logic from DNP, So that user can view updated logic for WFH metrics</t>
  </si>
  <si>
    <t>AMS/SI As a Solution Architect I want the KDA report to consume Attach Calculator index score in place of Differentiation So that KDA report data remains accurate after the Differentiation screen is decommissioned</t>
  </si>
  <si>
    <t>As a myISP user, I want View KDA to apply the same exemption behavior for the three new IPC reasons so that governance output remains consistent with existing logic.</t>
  </si>
  <si>
    <t>Online SI</t>
  </si>
  <si>
    <t>As a SA, I want MMP FFP Role (Accenture Role/Rate) populated in Staffing Baseline and exported to MMP FFP template</t>
  </si>
  <si>
    <t>Require FFP excel template validation</t>
  </si>
  <si>
    <t>DevStormers</t>
  </si>
  <si>
    <t>As a Solution Architect I want the MMP-FFP report to be updated to use Attach Calculator data in place of Differentiation So that MMP-FFP reporting remains accurate after the Differentiation screen is decommissioned</t>
  </si>
  <si>
    <t>Offline Utility</t>
  </si>
  <si>
    <t>As a SA, add MMP FFP Role column next to Role Type in Staffing Baseline - OU changes</t>
  </si>
  <si>
    <t>Manisa</t>
  </si>
  <si>
    <t>Involves OU Excel Validations</t>
  </si>
  <si>
    <t>TechWizards</t>
  </si>
  <si>
    <t>FFP</t>
  </si>
  <si>
    <t>As a SA, add MMP FFP Role column next to Role Type in Staffing Baseline</t>
  </si>
  <si>
    <t>Involves Excel Validations</t>
  </si>
  <si>
    <t>|Query | 11th Oct | UAT | PCW|MMP FFP| Not Getting value for Activity (BPMS) column for MMP FFP template when generated via Online, however PCW offline export template is displaying value.</t>
  </si>
  <si>
    <t>Online SI FFP | As a Solution Architect, I want to see Activity(BPMS only) in FFP Template when BPMS SG is solutioned in SI Staffing Baseline</t>
  </si>
  <si>
    <t>Ready to Deploy</t>
  </si>
  <si>
    <t>As a Solution Architect I want DCTA to be updated to use Attach Calculator data in place of Differentiation So that DCTA functionality remains accurate after the Differentiation screen is decommissioned</t>
  </si>
  <si>
    <t>Require excel report validation &amp; Calculation</t>
  </si>
  <si>
    <t>TechSprinters</t>
  </si>
  <si>
    <t>SI MMP FFP</t>
  </si>
  <si>
    <t>SI-MMP FFP, Data: Updating the logic for populating the Deal Rag Status in KDA Variance Analysis Report</t>
  </si>
  <si>
    <t>SI-MMP FFP: As a mySolutionPlanner developer, I want to update the logic for deal RAG status to display in KDA Variance Analysis when the user triggers KDA, so that RAG color is aligned with the RAG color displayed for Adherence score in View KDA.</t>
  </si>
  <si>
    <t>Bhavana</t>
  </si>
  <si>
    <t>CodeCrafters</t>
  </si>
  <si>
    <t>sona.job</t>
  </si>
  <si>
    <t>BPMS Onboarding to CDAT</t>
  </si>
  <si>
    <t>As a CDAT Lead, I want to download links for the PMO Extract &amp; CDAT Online Extract Download via PMO Dashboard</t>
  </si>
  <si>
    <t>Sowndarya</t>
  </si>
  <si>
    <t>Excel validation</t>
  </si>
  <si>
    <t>TechTribe</t>
  </si>
  <si>
    <t>pandidurai.ks</t>
  </si>
  <si>
    <t>As a CDAT SME user or CDAT CM SME or CDAT Reviewer, I want a new editable dropdown field "Contract Submission Status" on the Assessment Details page</t>
  </si>
  <si>
    <t>Jabeen</t>
  </si>
  <si>
    <t>Shiva</t>
  </si>
  <si>
    <t xml:space="preserve">Excel validation </t>
  </si>
  <si>
    <t>SI Data</t>
  </si>
  <si>
    <t>SI-Data: As a mySolutionPlanner developer, I want to update the logic for deal RAG status to display in KDA Variance Analysis when the user triggers KDA, so that RAG color is aligned with the RAG color displayed for Adherence score in View KDA.</t>
  </si>
  <si>
    <t>As a CDAT PMO, I want to Onboard BPMS Opportunities to PMO Tracker Dashboard with Filtering, MMS ID Hyperlink, and Standard PMO Edit Access</t>
  </si>
  <si>
    <t>myISP_ DNP</t>
  </si>
  <si>
    <t>DNP - seat charges WFO design change (YOY WFO % level) - Online SI and PCW</t>
  </si>
  <si>
    <t>As a Solution Architect, I want to add Adjustment % at the Contract Year level in the DNP screen so that, I can calculate Seat Charges (Work from Office) based on the yearly adjustment %- Cart &amp; Copy</t>
  </si>
  <si>
    <t>Kiruthiga</t>
  </si>
  <si>
    <t>Different combinations of Sourec version (PCW) needs to be checked which is not feasible to automate</t>
  </si>
  <si>
    <t>IPC Calculator | Cost Update to Standard Package</t>
  </si>
  <si>
    <t>Sneha</t>
  </si>
  <si>
    <t>API - Save the Adjustment % of Hourly Seat Charges from DNP Baseline into YoY adjustment % columns for all the Contract Years across the Deal Duration</t>
  </si>
  <si>
    <t>TechAvatar</t>
  </si>
  <si>
    <t>As a CDAT SME / CDAT CM SME / Lead SA, I want to add comment on number of GAPS on  BPMS Assessment Outcome Screen</t>
  </si>
  <si>
    <t>MMP FFP Export update - May release</t>
  </si>
  <si>
    <t>PCW - Update the FFP Roles at SSG level in Staffing Baseline</t>
  </si>
  <si>
    <t>Rate card screen UI change</t>
  </si>
  <si>
    <t>As a SA, I need to fix Ratecard UI display and redesign tab order for improved user journey</t>
  </si>
  <si>
    <t>UI Improvement and Offline utility OU (excel) functionality cannot be automated</t>
  </si>
  <si>
    <t>4468481(L),4469090(M),4467094(L)</t>
  </si>
  <si>
    <t>PCW - IPC Month-of-Month ACN Cost Conversion to Deal Currency in DNP Baseline and DNP Forecast</t>
  </si>
  <si>
    <t>myISP UI</t>
  </si>
  <si>
    <t>PCW CRs - Jan Release</t>
  </si>
  <si>
    <t>Export the Fixed cost types to Online SDL even if no matching profile is available in Staffing for PCW versions</t>
  </si>
  <si>
    <t>As a Solution Architect, I want to add Adjustment % at the Contract Year level in the DNP screen so that, I can calculate Seat Charges (Work from Office) based on the yearly adjustment %- OU changes.</t>
  </si>
  <si>
    <t>Add new IPC Cost Types for PCW versions and update existing IPC Cost Type</t>
  </si>
  <si>
    <t>PCW Enhancements and User Feedback - March Release</t>
  </si>
  <si>
    <t>Carting - IPC Toolkit cost in PCW versions</t>
  </si>
  <si>
    <t>PCW API | Move Rate Card Career Level from Solution Level to Solution Version Level with One-Time Data Migration</t>
  </si>
  <si>
    <t>PCW - MMP FFP Export: Send only filtered staffing rows to API for Role Type, Accenture Role/Rate and Pricing Workstream identification</t>
  </si>
  <si>
    <t>DNP Simplification - May Release</t>
  </si>
  <si>
    <t>PCW - Auto-populate Local Currency in DNP sheets when Local Currency is blank</t>
  </si>
  <si>
    <t>OCP</t>
  </si>
  <si>
    <t>Online SI CR - March</t>
  </si>
  <si>
    <t>As a SA i want to automatically update Staffing Baseline when Rate Per Hour is changed in Rate Card</t>
  </si>
  <si>
    <t>Excel related needs to generate all pricing routes, SDL,OCP,DCTA and MMP FFP. Hence it is not feasibile to automate</t>
  </si>
  <si>
    <t>SI - PCW</t>
  </si>
  <si>
    <t>PCW - Add a new field in Pricing to determine if the deal is Pure Technology Service deal</t>
  </si>
  <si>
    <t>API - Identify if the deal is Pure Technology Service/Capability Deal</t>
  </si>
  <si>
    <t>Handle 'Overwrite Role Type' column during carting and copying to create myISP PCW versions</t>
  </si>
  <si>
    <t>As a CDAT PMO user, I want the ability to upload an exported excel Upload for Edited PMO Export</t>
  </si>
  <si>
    <t>Primary Tester</t>
  </si>
  <si>
    <t>If Insprint NO/Partial - Reason</t>
  </si>
  <si>
    <t>Reviewed Final automation count</t>
  </si>
  <si>
    <t>As a myISP user, I want to see "BPMS" as a support option alongside AMS, SI, and IMS in both the "Email" and "Raise a Ticket" support sections on all 10-step screens. So that I can easily raise BPMS-related support requests.</t>
  </si>
  <si>
    <t>Mary</t>
  </si>
  <si>
    <t>Janardhan/Sadhik</t>
  </si>
  <si>
    <t>Email Functionality included.Till email functionality we can automate</t>
  </si>
  <si>
    <t>Email validation</t>
  </si>
  <si>
    <t>Medium</t>
  </si>
  <si>
    <t>As an myISP user, I want the Scope Services/Offerings section to display only the security-specific services when the Opportunity RDE is set to "Security", So that users see only relevant AMS and SI security services.</t>
  </si>
  <si>
    <t>As a myISP User, I should be able to view the Market Maker Enterprise Solution Architect role from MMS in MMS Team Details so that team visibility and consistent across myISP</t>
  </si>
  <si>
    <t>Partial as this US includes scenario where data should flow from MMS .Data available in UI can be verified in insprint automation</t>
  </si>
  <si>
    <t>Simple</t>
  </si>
  <si>
    <t>[PMO] As a PMO user, I should be able to navigate to Manage / Dashboard screen with the new URL from Opportunity Workflow page</t>
  </si>
  <si>
    <t>Vinayak</t>
  </si>
  <si>
    <t>Saranya</t>
  </si>
  <si>
    <t>[PMO] As a PMO user, I should be able to navigate to Manage / Dashboard screen with the new URL from Define Team</t>
  </si>
  <si>
    <t>[PMO] As a PMO user, I should be able to navigate to Manage / Dashboard screen with the new URL from WRWS</t>
  </si>
  <si>
    <t>[PMO] As a PMO user, I should be able to navigate to Manage screen with the new URL</t>
  </si>
  <si>
    <t>[PMO] As a PMO user, I should be able to navigate to PMO Dashboard screen with the new URL</t>
  </si>
  <si>
    <t>**As a** Solution Architect, **I want** to verify that all fields sent from myCalendar to the SA Bandwidth Report continue to function correctly after the myCalendar revamp changes, **So that** the SA Bandwidth Report accurately reflects all related data</t>
  </si>
  <si>
    <t>As a Business User, I should receive Raise Request emails with standardized deal value and date formats so that information is clear and consistent</t>
  </si>
  <si>
    <t>All the Acceptance Criteria validation is required particularly in Email body templete so can not be automatable</t>
  </si>
  <si>
    <t>As a Business User, I should be able to enter special characters, spaces, and bullet-point text for all 5 Opportunity on a Page questions so that I can capture complete client context clearly</t>
  </si>
  <si>
    <t>As a Business User, I should see Stage Update Date on the Timeline screen under View MMS Details so that the latest stage change information is visible and fetched from the correct DB mapping</t>
  </si>
  <si>
    <t>DB Change in UI we can just check the date is displaying or not as part of insprint</t>
  </si>
  <si>
    <t>As a Business User, I should see the Deal Hierarchy info text at the right-bottom of the MMS Details screen so that the message is visible without disturbing the data grid</t>
  </si>
  <si>
    <t>[PMO] As a PMO user, I should be able to navigate to PMOInterimCreation(Sample Deal) screen with the new URL</t>
  </si>
  <si>
    <t>As a SA Team Manager user, I want Deployment, Capability, and Alignment fields to behave conditionally and dependently on the SA Team Manager screen so that selections are accurate and consistent.</t>
  </si>
  <si>
    <t>Manisha</t>
  </si>
  <si>
    <t>Namrata</t>
  </si>
  <si>
    <t>As a user registering through the Register Now pop‑up, I want conditional auto‑population and searchable alignment for Operations deployment so that I can complete registration accurately.</t>
  </si>
  <si>
    <t>Register Now is 1 time activity, which can't be enabled everytime in all the env's. Not feasible to automate</t>
  </si>
  <si>
    <t>As a PMO , I want conditional auto‑population and searchable alignment for Operations in pending user requests tab so that requests are reviewed and processed accurately.</t>
  </si>
  <si>
    <t>As a Solution Architect, I want the Estimators screen's Create and Edit Estimator popups to have improved usability, So that I can efficiently view, enter, and review workstream hours without confusion or excessive scrolling.</t>
  </si>
  <si>
    <t>Realted to design changes need to check the column gaps between the grid .Not feasible to automate</t>
  </si>
  <si>
    <t>As a PMO, I want Full Time SA, Reports to Lead, and Comments to be mandatory in Pending User Request tab so that incomplete registrations are not processed</t>
  </si>
  <si>
    <t>As an SA Team Manager, I want Full Time SA, Reports to Lead, and Comments to be mandatory in the SA Team Manager tab so that incomplete registrations are not processed</t>
  </si>
  <si>
    <t>As a myISP User, I want to Add "Sync All from MMS" button for an Opportunity in (Opportunity On A Page) under WRWS to sync all 5  answers from MMS to myISP so that user can get the answers in in one go.</t>
  </si>
  <si>
    <t>As a myISP user I should be able to see expand and collapse icon in WRWS screen as per UI revamp standards</t>
  </si>
  <si>
    <t>As a myISP User, I want to view the definitions of the various "Service "on Hover in Service / Offerings section under WRWS so that acceptance criteria are achieved</t>
  </si>
  <si>
    <t>IMS: AMS: As a mySolutionPlanner user, I want to enhance the Generative AI screen with conditional non-mandatory fields for “In Progress” status, sync Agentic Productivity fields with the PMO Extract Report, and update the Gen AI Productivity info message.</t>
  </si>
  <si>
    <t>Shalini</t>
  </si>
  <si>
    <t>Nivetha</t>
  </si>
  <si>
    <t xml:space="preserve">Delivered to UAT </t>
  </si>
  <si>
    <t>AMS: As a mySolutionPlanner user, I want to enhance the Generative AI screen with conditional non-mandatory fields for “In Progress” status, sync Agentic Productivity fields with the PMO Extract Report, and update the Gen AI Productivity info message.</t>
  </si>
  <si>
    <t xml:space="preserve">PMO Reports Validation </t>
  </si>
  <si>
    <t>SI: As a mySolutionPlanner user, I want to enhance the Generative AI screen with conditional non-mandatory fields for “In Progress” status, sync Agentic Productivity fields with the PMO Extract Report, and update the Gen AI Productivity info message.</t>
  </si>
  <si>
    <t>vinayak.sangale</t>
  </si>
  <si>
    <t>**As a RA stakeholder user managing the Meeting Tracker   **I want** to see a warning popup when I attempt to delete a meeting that is linked to one or more reviewer/approver records in View Approval Requests  So that I am  preventing unintended data loss</t>
  </si>
  <si>
    <t>As a RA module stakeholder I want** to see a "Send Reminder" action button in the Actions Pane of the Request Grid   **So that** I can manually trigger a reminder email to the assigned Reviewer/Approver without waiting for the next automatic reminder cycle</t>
  </si>
  <si>
    <t>Completely Email Scenario and includes reminder emails</t>
  </si>
  <si>
    <t>As a Delivery Lead - ATCI, I want to access the WRWS tile in read-only mode so that I can view workflow details without making any changes.</t>
  </si>
  <si>
    <t>As an SA Team Manager user, I want to add “Ops Activation” as an option in the Alignment dropdown in Register now pop up so that operations-related users can be correctly aligned across all SA Team Manager workflows.</t>
  </si>
  <si>
    <t>As an SA Team Manager user, I want the Alignment field to support multi?select when Deployment and Capability are Operations so that multiple operational alignments can be captured accurately.</t>
  </si>
  <si>
    <t>As an SA Team Manager user, I want the Alignment field to support multi‑select when Deployment and Capability are Operations in Register now pop, so that multiple operational alignments can be captured accurately.</t>
  </si>
  <si>
    <t>As an SA Team Manager user, I want the Alignment field to support multi‑select when Deployment and Capability are Operations in Pending user request tab, so that multiple operational alignments can be captured accurately.</t>
  </si>
  <si>
    <t>As an SA Team Manager user, I want to add “Ops Activation” as an option in the Alignment dropdown in SA team manager dashboard so that operations-related users can be correctly aligned across all SA Team Manager workflows. - Copy</t>
  </si>
  <si>
    <t>As an SA Team Manager user, I want to add “Ops Activation” as an option in the Alignment dropdown in Pending user requests tab so that operations-related users can be correctly aligned across all SA Team Manager workflows.</t>
  </si>
  <si>
    <t>Related to Pending request tab which will not have access.</t>
  </si>
  <si>
    <t>As a Solution Architect, I want to view all my saved absence entries listed in the Special Absence (Dates) column for each week row, so that I can see a summary of all logged absences and add more if needed</t>
  </si>
  <si>
    <t>As a Solution Architect, I want to edit or delete an existing absence entry from the Special Absence (Dates) column, so that I can correct or remove previously logged absence details without recreating the data from scratch</t>
  </si>
  <si>
    <t>As a Solution Architect, I want to add a Special Absence entry for a specific week on the Create Event tab, so that I can log my planned leave or absence periods with the relevant event type and date details</t>
  </si>
  <si>
    <t>Includes email functionality.</t>
  </si>
  <si>
    <t>As a Solution Architect, I want to be navigated to the Create Event tab when I click Create event from View Events empty state, so that I can quickly enter my availability details for the selected month</t>
  </si>
  <si>
    <t>As a Solution Architect, I want to select multiple Opportunities/Tasks and add Special Absence entries per week on the Create Event tab, so that I can accurately capture my weekly availability commitments and planned leave periods</t>
  </si>
  <si>
    <t>As a solution architect, I want to land on the My availability screen on clicking of view details from manage screen, so that user can log their events.</t>
  </si>
  <si>
    <t>As a solution Architect, I want My Availability to be added in Manage screen , so that user can navigate from manage screen to My Availability screen</t>
  </si>
  <si>
    <t>As a Delivery Lead - ATCI/ATCP/Global, I want to access the Opportunity workflow for AMS/IMS/SI so that I can view workflow details without making any changes.</t>
  </si>
  <si>
    <t>As a Solution Architect, I want to enter my availability percentage for each week row in the Create Event tab, so that I can accurately communicate how much of my time is available for solution activities that week.</t>
  </si>
  <si>
    <t>As a BPMS User, I want to fill in additional organisational details when adding an absence entry in the Create Event tab, so that the system captures OOO delegation, backup ownership, and lead assignments relevant to my role.</t>
  </si>
  <si>
    <t xml:space="preserve">Includes email functionality </t>
  </si>
  <si>
    <t>As a Solution Architect, I want to view all my saved availability events for the selected month in the View Events tab and edit any absence entry inline, so that I can review and update my calendar data without switching to the Create Event tab.</t>
  </si>
  <si>
    <t>As a Solution Architect, I want an Edit Event button on the View Events screen, so that I can navigate directly to the Create Event screen to add or modify absence entries</t>
  </si>
  <si>
    <t>[PMO] As a PMO user, I should be able to navigate to Manage / Dashboard screen with the new URL from Estimator/Calculator</t>
  </si>
  <si>
    <t>[PMO] As a PMO user, I should be able to navigate to Manage / Dashboard screen with the new URL from Review Approval</t>
  </si>
  <si>
    <t>[PMO] As a PMO user, I should be able to navigate to Manage / Dashboard screen with the new URL from Transition to Delivery</t>
  </si>
  <si>
    <t>[PMO] As a PMO user, I should be able to navigate to Manage / Dashboard screen with the new URL from Solution Component - AMS</t>
  </si>
  <si>
    <t>As a myISP platform administrator I want to update the "Give Feedback" link across all touchpoints in myISP to point to the new feedback form So that user feedback is routed to the correct owner</t>
  </si>
  <si>
    <t xml:space="preserve">As a myISP platform administrator I want to update the "Give Feedback" link across all touchpoints in myISP to point to the new feedback form So that user feedback is routed to the correct owner
</t>
  </si>
  <si>
    <t>As a myISP CDAT PMO user, I want the "CDAT request method" column and "initial mailer date" column in the PMO dashboard to be automatically updated by myISP when auto mailer is triggered So that I can have accurate tracking without manual data entry</t>
  </si>
  <si>
    <t>Mailer  - Fresh deal  required</t>
  </si>
  <si>
    <t>Agnes</t>
  </si>
  <si>
    <t>As a CDAT SME user or CDAT CM SME or CDAT Reviewer, I want the system to display a Validation Popup for Contract Submission Status During First Cut Analysis Generation</t>
  </si>
  <si>
    <t>Requires fresh deal everytime to configure</t>
  </si>
  <si>
    <t>Shivaprasad</t>
  </si>
  <si>
    <t>As a CDAT SME / CDAT Lead / CDAT Reviewer, I want to land on the Assessment Detail page via Solution to Contract Analysis</t>
  </si>
  <si>
    <t>As a CDAT user I want BPMS deals created and managed in myISP to flow seamlessly into the CDAT platform So that all BPMS deals are centrally available for assessment, tracking, review, and governance within CDAT.</t>
  </si>
  <si>
    <t>More complex which includes multiple roles and multiple screens validation</t>
  </si>
  <si>
    <t>As a CDAT Solution Architect (SA) I want to navigate CDAT Summary Tile for BPMS on DSP via Solution to Contract Analysis (CDAT SME Driven)</t>
  </si>
  <si>
    <t>As a CDAT SME / CDAT CM SME, I want to add and manage BPMS Documents</t>
  </si>
  <si>
    <t>As a CDAT user, I want to View Assessment Summary from Solution to Contract Analysis</t>
  </si>
  <si>
    <t>As a CDAT user, I want to View and Update Tracker Details from Solution to Contract Analysis</t>
  </si>
  <si>
    <t>As a CDAT Lead I want to Populate BPMS Question Master Repository</t>
  </si>
  <si>
    <t>As a myISP user, I want a follow‑on revenue clarification reminder 1 so that CDAT review applicability can be determined accurately.</t>
  </si>
  <si>
    <t>Sowndarya/Revisit</t>
  </si>
  <si>
    <t>As a myISP user, I want to send CDAT Mailer – Future Dated but Won Deal Confirmation [Follow up reason]</t>
  </si>
  <si>
    <t>As a myISP user, I want a follow‑on revenue clarification reminder 2 so that CDAT review applicability can be determined accurately.</t>
  </si>
  <si>
    <t>As a myISP user, I want the system to send a First reminder deal email for CDAT‑eligible opportunities with an upcoming proposal submission date so that key stakeholders engage at the right time for CDAT readiness and review</t>
  </si>
  <si>
    <t>As a myISP user, I want the system to send a Second reminder email for CDAT‑eligible opportunities with an upcoming proposal submission deal date so that key stakeholders engage at the right time for CDAT readiness and review</t>
  </si>
  <si>
    <t>As a CDAT PMO I want reminder emails to be triggered using the correct template based on the Follow‑Up Reason and Reminder Status selected in the PMO Dashboard So that stakeholders receive accurate, context‑specific follow‑ups.</t>
  </si>
  <si>
    <t>As a CDAT system I want to trigger reminders emails based on proposal submission date that stakeholders receive timely follow‑ups. [Scenarios]</t>
  </si>
  <si>
    <t>As a CDAT system I want to validate strict preconditions and eligibility rules before sending reminder emails So that reminders are sent only for valid, in‑scope, and pending deals.</t>
  </si>
  <si>
    <t>As a user working on a BPMS opportunity (SA / CDAT SME / CDAT Lead / CDAT PMO / Reviewer / CM SME) I want the 9th tile CDAT SME Driven to be enabled for BPMS deals So that BPMS opportunities are consistently assessed through the standard CDAT process</t>
  </si>
  <si>
    <t>As a CDAT SME / Lead SA, I want to create BPMS Version Creation, First Cut Workflow &amp; List of Areas Navigation</t>
  </si>
  <si>
    <t>As a CDAT PMO I want to Configure BPMS Role Catalog for Define Team so that I can go ahead with CDAT flow for BPMS deals</t>
  </si>
  <si>
    <t>As a Solution Architect I want the SDL to be updated to use Attach Calculator data in place of Differentiation So that SDL functionality remains accurate after the Differentiation screen is decommissioned</t>
  </si>
  <si>
    <t>Delivered to Parallel UAT</t>
  </si>
  <si>
    <t>sai.sneha.l.malapati</t>
  </si>
  <si>
    <t>BUg : 4490583 (C)</t>
  </si>
  <si>
    <t>kiruthiga</t>
  </si>
  <si>
    <t>As a Solution Architect, I want the Attach Estimate screen's Create and Edit Estimator popups to have improved usability, So that I can efficiently view, enter, and review workstream hours without confusion or excessive scrolling.</t>
  </si>
  <si>
    <t>Perfomance upgrade Cannot be automated</t>
  </si>
  <si>
    <t>Review required</t>
  </si>
  <si>
    <t>Bug id : 4482797(M)</t>
  </si>
  <si>
    <t>v.b.sivakumar</t>
  </si>
  <si>
    <t>As a Solution Architect, I want to calculate Seat Charges (Work from Office) based on the yearly adjustment % so that all calculation scenarios are accurately covered.</t>
  </si>
  <si>
    <t>This uesr story needs to exceuted with different logics and caluculation Hence it is not feasible to automate</t>
  </si>
  <si>
    <t>As a Solution Architect, I want the Adjustment % and Local Currency fields to be excluded from the lock feature, So that the latest updated data gets reflected on fly</t>
  </si>
  <si>
    <t>As a Solution Architect, I want to add Adjustment % at the Contract Year level in the DNP screen so that, I can calculate Seat Charges (Work from Office) based on the yearly adjustment %- UI changes.</t>
  </si>
  <si>
    <t>UI Improvement - Functioanlity is already automated</t>
  </si>
  <si>
    <t>As a myISP Solution Architect, I want to update the SI profile screen to include the new restricted SSGs (SI/AMS/IMS/BPMS) and display revised messages in the info, So that user can identify which SSGs have staffing restrictions and pricing limitations.</t>
  </si>
  <si>
    <t>As a Solution Architect, I want the cost type attribute values aligned with MRDB data and Local Currency defaults corrected in the DNP Master Cost, so that DNP cost calculations use accurate profiles and deal currency values.</t>
  </si>
  <si>
    <t>This uesr story needs to executed with different calculations for each of the cost type. Hence it is not feasible to automate</t>
  </si>
  <si>
    <t>Complex user story which involves multiple cost type calculation which is different for each of them</t>
  </si>
  <si>
    <t>As a mySP user, I need to see updated costs being displayed when auto sync functionality for IPC Calculator is initiated by adding Lead PMO role in Staffing Baseline</t>
  </si>
  <si>
    <t xml:space="preserve">Due to dynamic backend‑driven cost calculations, versioned calculators, and async auto‑sync , we cannot automable </t>
  </si>
  <si>
    <t>As a mySP user, I need to configure the staffing baseline as per the updated career level guidance for IPC Lead PMO in staffing baseline screen</t>
  </si>
  <si>
    <t>Revenue details to be fetched from MMS ID for different RAG status which will be complex to automate</t>
  </si>
  <si>
    <t>Carting &amp; Copying - Dynamic Target Pricing fields to be handled for PCW and Online SI Versions</t>
  </si>
  <si>
    <t>As a mysolution planner Solution Architect, I want the WFH ATCI and WFH ATCP fields in KDA Variance analysis and Review Approval mail to show the updated logic from SI KDA, So that user can view updated logic for WFH metrics</t>
  </si>
  <si>
    <t>Dynamic input needed, external site integration and excel report validation</t>
  </si>
  <si>
    <t>As a myISP user, I want KDA Variance Analysis to display the correct name for the three new IPC exemption reasons so that variance reporting stays accurate and easy to understand.</t>
  </si>
  <si>
    <t>Amala</t>
  </si>
  <si>
    <t>Extrenal Integration validation</t>
  </si>
  <si>
    <t>manisa.bid</t>
  </si>
  <si>
    <t>a.poobalarayen.p</t>
  </si>
  <si>
    <t>As a myISP SA, I want to send metrics applicable for Solution-Based KDA and SI Data KDA to MMD via API so that it can be used for MMD data processing</t>
  </si>
  <si>
    <t>Sai/Sathya</t>
  </si>
  <si>
    <t>Need to validate the calculation logic for 300 metrics using the developer-provided Excel dump, without performing any UI validations.</t>
  </si>
  <si>
    <t>sai.v.nagannapudi</t>
  </si>
  <si>
    <t>Multiple calculations and dynamic inputs</t>
  </si>
  <si>
    <t>Dynamic input needed and excel report validation</t>
  </si>
  <si>
    <t>As a myISP SA I want the OCP rate card validation error to display the same message as the DCTA error, including the specific release name So that I can quickly identify which release is missing a rate card and resolve it without confusion.</t>
  </si>
  <si>
    <t>sathya.senthilkumar</t>
  </si>
  <si>
    <t>Eexternal site integration and excel report validation</t>
  </si>
  <si>
    <t>External Integration Validation</t>
  </si>
  <si>
    <t>[PMO] As a PMO user, I should be able to navigate to Manage / Dashboard screen with the new URL from SI - OCP/DCTA</t>
  </si>
  <si>
    <t>Requires multiple role navigation checks</t>
  </si>
  <si>
    <t>[DFD Request Cancellation mail] As a DFD Requestor, I should get an email notification popup when the SA request is cancelled in DFD</t>
  </si>
  <si>
    <t>karpagapriya</t>
  </si>
  <si>
    <t>logapriya</t>
  </si>
  <si>
    <t>k.p.palanisamy</t>
  </si>
  <si>
    <t>Email Funationality</t>
  </si>
  <si>
    <t>[DFD Request Cancellation mail] As a DFD Requestor, I should get an email notification when the SME request is cancelled in DFD</t>
  </si>
  <si>
    <t>Sangeetha</t>
  </si>
  <si>
    <t>Anusha</t>
  </si>
  <si>
    <t>sangeetha.pandian</t>
  </si>
  <si>
    <t>As an Solution Architect, I want the filters to be applied based on Market, Market Unit, and Client Group filters in the SA Bandwidth Report from PLD, so that users see a relevant default report view</t>
  </si>
  <si>
    <t>Logapriya</t>
  </si>
  <si>
    <t>Karpagapriya</t>
  </si>
  <si>
    <t>logapriya.govindaraj</t>
  </si>
  <si>
    <t>Reports US can't be Automate</t>
  </si>
  <si>
    <t>[DFD Request Cancellation mail] As a DFD Requestor, I should get an email notification popup when the SME request is cancelled in DFD</t>
  </si>
  <si>
    <t>[DFD Request Cancellation mail] As a DFD Requestor, I should get an email notification when the SA request is cancelled in DFD</t>
  </si>
  <si>
    <t>anusha.goriparthi</t>
  </si>
  <si>
    <t>Song[Opportunities Dashboard &amp; PLD] -As a myISP User ,I want to provide a one-time update for existing deals and update the RAG and Score as per the Song Compliance Logic So that all historical and active deals reflect accurate compliance status</t>
  </si>
  <si>
    <t>This is onetime update US</t>
  </si>
  <si>
    <t>Song [PLD] - As a Song PLD User ,I want a Compliance Score column to be available in the Assigned tab So that I can view the compliance score for the assigned opportunity and inspect the score breakdown when needed</t>
  </si>
  <si>
    <t>Calculation related user story cannt be autoatable</t>
  </si>
  <si>
    <t>review required</t>
  </si>
  <si>
    <t>Delivered to UAT with Low bug - 4483241</t>
  </si>
  <si>
    <t>[PMO] As a PMO user, I should be able to see the DFD request in read only format when redirected from PMO Dashboard</t>
  </si>
  <si>
    <t xml:space="preserve">PMO - DFD Integration Scenario </t>
  </si>
  <si>
    <t xml:space="preserve">Bug - 4477418, 4486396
</t>
  </si>
  <si>
    <t>Some scenarios can be validated from backend</t>
  </si>
  <si>
    <t>4487642 - C</t>
  </si>
  <si>
    <t>As a myISP user, I want to enabled Countries to Support tab under "Scope" section for BPMS SG so that BPMS user can select and filled the listed countries without  sync from BPMS INSPIRE.</t>
  </si>
  <si>
    <t>As a BPMS Solution Architect, I Want to See Rolled Up BPMS Revenue used in the compliance score of Opportunity workflow</t>
  </si>
  <si>
    <t>As a Solution Architect, I want the Publish icon to be permanently disabled for Extension deals, Restricted Opportunities, Interim Deals, Ventures and Acquisitions deals, and Closed deals So that these deal data are not published to the HR tool</t>
  </si>
  <si>
    <t>**As a** Solution Architect   **I want** the Delete icon to be disabled once a DCSO has been successfully published   **So that** published DCSO data sent to the HR tool cannot be accidentally deleted, ensuring data integrity</t>
  </si>
  <si>
    <t>**As a** Solution Architect   **I want** the system to validate the DCSO version sync status when user click Publish, and show an error if the status is "Not In Sync"   **So that** Not in Sync DCSO is not published to HR tool</t>
  </si>
  <si>
    <t>**As a** Solution Architect   **I want** the system to publish the DCSO data to the HR tool after all validations pass   **So that** HR receives accurate, validated staffing data for processing</t>
  </si>
  <si>
    <t>As a Solution Architect   I want to be able to generate a DCSO for Ventures &amp; Acquisitions deals, Restricted Opportunities, Extension deals, Interim deals, and Closed deals   So that staffing plans can be created</t>
  </si>
  <si>
    <t>As a Solution Architect   I want to access and launch the Digital DCSO module directly from the Opportunity Workflow page for IMS/AMS/SI So that I can generate and manage DCSO</t>
  </si>
  <si>
    <t>As a Solution Architect   I want to access Digital DCSO functionality inside the Digital Documentation module for IMS/AMS/SI  So that I can view and manage DCSO staffing data</t>
  </si>
  <si>
    <t>4474996-H</t>
  </si>
  <si>
    <t>As a user, I want to see a Summary section on the DCSO Versions tab so that I can get a quick overview of version counts</t>
  </si>
  <si>
    <t>As a user, I want to see Solution Versions count with AMS, SI, IMS, BPMS category breakdown in the Summary section</t>
  </si>
  <si>
    <t>As a user, I want to see DCSO Versions count with AMS, SI, IMS, BPMS category breakdown in the Summary section</t>
  </si>
  <si>
    <t>As a user, I want to see DCSO versions published to myScheduling/SMART count with category breakdown in Summary</t>
  </si>
  <si>
    <t>As a user, I want to expand and collapse the Summary section so that I can manage DCSO screen</t>
  </si>
  <si>
    <t>As a user, I want the Summary section counts to dynamically reflect actual data so the overview is always accurate</t>
  </si>
  <si>
    <t>As a Solution Architect, I want the DCSO template data to be integrated and sent to SMART and myScheduling so that solutioning tools receive the required details for downstream planning</t>
  </si>
  <si>
    <t>Technical US need to do backend validation</t>
  </si>
  <si>
    <t>As a Solution Architect, I want the DL Assignment popup grid to display only the selected SG versions so that I only assign DLs to relevant Service Groups</t>
  </si>
  <si>
    <t>Lakshmi</t>
  </si>
  <si>
    <t>As a Solution Architect, I want the Delivery Lead Category based on the country selected in the version with Global always available so that DL options are contextually relevant</t>
  </si>
  <si>
    <t>As a Solution Architect, I want the Save and Confirm  button to be disabled when DL assignment is incomplete on Click of Generate DCSO for AMS/SI/IMS so that I cannot proceed with missing DL data</t>
  </si>
  <si>
    <t>As a Solution Architect, I want to review and update existing Delivery Lead assignments via Manage popup so that I can confirm or modify DLs before DCSO generation</t>
  </si>
  <si>
    <t>pavithra.b.palani</t>
  </si>
  <si>
    <t>DL Assignment</t>
  </si>
  <si>
    <t>As a Solution Architect, I want to see the Assign Delivery Lead popup on first-time Generate DCSO and via Manage action so that I can assign DLs before DCSO generation</t>
  </si>
  <si>
    <t>As a Solution Architect, I want to search and select Delivery Leads by Enterprise ID in the DL Assignment popup so that I can accurately assign the correct DL to each SG</t>
  </si>
  <si>
    <t>As a myISP user, I need to see a new tab named "CTW Readiness" and some new fields mapped in it for Mobilization CXTA Calculator</t>
  </si>
  <si>
    <t>As a myISP user, I need to see some new fields being introduced in UI in different tabs in Mobilization CXTA Calculator</t>
  </si>
  <si>
    <t>As a myISP user, I need to see the updated names of some of the fields in Mobilization CXTA Calculator</t>
  </si>
  <si>
    <t>As a DCSO system user, I want the DCSO approver details to be sent to Staffing tools so that the correct approver information is available for downstream staffing and reporting.</t>
  </si>
  <si>
    <t>jeba</t>
  </si>
  <si>
    <t xml:space="preserve">Need to verify in backend </t>
  </si>
  <si>
    <t>As a Solution Architect, I want Delivery Lead ATCI, Delivery Lead ATCP, and Delivery Lead Global to appear in the Define Teams screen as read-only roles so that these roles are visible for reference .</t>
  </si>
  <si>
    <t>Mohamed</t>
  </si>
  <si>
    <t>pavithra</t>
  </si>
  <si>
    <t>As a Solution Architect, I want the Delivery Lead ATCI, ATCP, and Global user IDs in Define Teams to automatically sync with the DCSO screen for AMS/IMS/SI so that both screens always remain consistent.</t>
  </si>
  <si>
    <t>As a BPMS user, I want Auto Reminder section for Transition Status &amp; Tech for OPS Status streams, so that timely status update reminders are sent to relevant team members</t>
  </si>
  <si>
    <t>Email functionality</t>
  </si>
  <si>
    <t>As a BPMS user, I want a dedicated Tech for Ops row in the Define Team email notification, so that Lead SA - Tech for Ops and Support SA - Tech for Ops are not grouped under the generic Lead SA and Support SA rows</t>
  </si>
  <si>
    <t>As a BPMS user managing TfO Attributes, I want the "Reason for No OATL" text box to be enabled only when the OATL toggle is set to No, so that the rationale for not having an OATL is captured only when applicable</t>
  </si>
  <si>
    <t>As a myIntegrated Solution Planner user, I want to send reminder email for Transition Status in Status Update for an Opportunity, so that other Transition roles are notified when the BPMS stream status update is overdue</t>
  </si>
  <si>
    <t>As a myIntegrated Solution Planner user, I want to send reminder email for Tech for OPS Status in Status Update for an Opportunity, so that Tech for Ops stakeholders are notified when the BPMS stream status update is overdue</t>
  </si>
  <si>
    <t>As a DCSO System user, I want to send SA Assigned, Solution Version Created, and MMP FFP Used for Pricing indicators to staffing tools if they send the opportunity ID, so that it can determine staffing readiness for that opportunity</t>
  </si>
  <si>
    <t>As a BPMS Reporting user, I want rolled up revenue included in Benchmark Report, so that benchmark analysis uses complete revenue context</t>
  </si>
  <si>
    <t>As a BPMS user, I want Ops.Transformation.Solutioning removed from CC in myISP Transformation Solution Architect emails, so that email notifications are sent only to valid intended recipients</t>
  </si>
  <si>
    <t xml:space="preserve">Email functionality - Need to check directly in production </t>
  </si>
  <si>
    <t>As a System Developer, I should ensure that FTS flags are consistently updated when FTS email is triggered from Operations Attributes screen so that users see accurate FTS status across all screens</t>
  </si>
  <si>
    <t>Email functionality - Need to check in a fresh deal</t>
  </si>
  <si>
    <t>Unable to create new deal due to MMS link issue</t>
  </si>
  <si>
    <t>As a System Developer, I should ensure that FTS flags are consistently updated when FTS email is triggered from INSPIRE Sync integration so that users see accurate FTS status across all screens</t>
  </si>
  <si>
    <t>As a System Developer, I should ensure that FTS flags are consistently updated when FTS email is triggered from WRWS screen so that users see accurate FTS status across all screens</t>
  </si>
  <si>
    <t>As a System Developer, I should ensure that FTS flags are consistently updated when FTS email is triggered from Self Assign screen so that users see accurate FTS status across all screens</t>
  </si>
  <si>
    <t>As a System Developer, I should ensure that FTS flags are consistently updated when FTS email is triggered from Define Team integration so that users see accurate FTS status across all screens</t>
  </si>
  <si>
    <t>As a Solution Architect, I want delivery leads assigned from the DCSO screen to be added under review approver permissions for IMS/AMS/SI Sgs  so that delivery leads can seamlessly access appropriate workflows</t>
  </si>
  <si>
    <t>As a delivery lead I want read-only access to SME request charter for IMS/AMS/SI SGs so that I can view information without modification ability</t>
  </si>
  <si>
    <t>As a Solution Architect, I want the Manage Delivery Lead popup to show accessible Service Groups, enforce Global/ATCI/ATCP order, and disable Save and Confirm until minimum Delivery Lead is assigned.</t>
  </si>
  <si>
    <t>As a Solution Architect, I want Generate DCSO to validate the required Delivery Lead category based on staffing location and suppress the Delivery Lead popup for same or related versions, so that DCSO generation is accurate.</t>
  </si>
  <si>
    <t>[PMO] As a PMO user, I should be able to navigate to Manage / Dashboard screen with the new URL from MFhost screens</t>
  </si>
  <si>
    <t>As a Delivery Lead - ATCP, I want to access the WRWS tile in read-only mode so that I can view workflow details without making any changes.</t>
  </si>
  <si>
    <t>100%</t>
  </si>
  <si>
    <t>90%</t>
  </si>
  <si>
    <t>[PMO] As a PMO user, I should be able to navigate to Manage / Dashboard screen with the new URL from Value Shaping</t>
  </si>
  <si>
    <t>As a Delivery Lead - Global, I want to access the WRWS tile in read-only mode so that I can view workflow details without making any changes.</t>
  </si>
  <si>
    <t>As a myISP Solution Planner, I want to receive pricing details sent from IMS so that the solution pricing in myISP stays in sync with IMS without manual re-entry</t>
  </si>
  <si>
    <t>AMS/SI As a Solution Architect I want OCP report generation to use Attach Calculator configuration in place of Differentiation So that OCP pricing is not blocked by the decommissioning of the Differentiation screen</t>
  </si>
  <si>
    <t>Abhijit</t>
  </si>
  <si>
    <t>Bug - 4483795(L)</t>
  </si>
  <si>
    <t>BPMS DCTA: As a mySolutionPlanner developer, I want to update the logic for identifying PMO Cost, so that while referring the column "Activity" we should consider all the applicable values for PMO.</t>
  </si>
  <si>
    <t>Calcualations -more no of scenario validations requried, cannot cover in automation</t>
  </si>
  <si>
    <t>BPMS OCP: As a mySolutionPlanner developer, I want to update the logic for identifying PMO Cost, so that while referring the column "Activity" we should consider all the applicable values for PMO.</t>
  </si>
  <si>
    <t>4483571(M)</t>
  </si>
  <si>
    <t>AMS, BPMS-OCP/MMP - MMD: As a mySolutionPlanner developer, I want to update the KDA data export to include LCR excluding seat charges and Payroll cost metrics, so that MMD team can access the updated required details..</t>
  </si>
  <si>
    <t>MMD is fully based on calculations so cannot be automated</t>
  </si>
  <si>
    <t>IMS-OCP/MMP - MMD: As a mySolutionPlanner developer, I want to update the KDA data export to include LCR excluding seat charges and Payroll cost metrics, so that MMD team can access the updated required details.. - Copy</t>
  </si>
  <si>
    <t>Purely based on MMD calculations</t>
  </si>
  <si>
    <t>AMS-OCP-View KDA UI: As a mySolutionPlanner user, I want to view KDA metrics at the cluster level in the View KDA UI, so that users can analyse KDA performance for specific clusters independently without impacting overall deal-level reporting.</t>
  </si>
  <si>
    <t>a.nanditha.uddaraju</t>
  </si>
  <si>
    <t>Complex story, so many  checkpoints needs to be validated.</t>
  </si>
  <si>
    <t>As an AMS SCA user, I want to display the exported Named Resource Report (NRR) file with a download icon after I import an NRR file, so that I can easily download and access the results of the imported data.</t>
  </si>
  <si>
    <t>Ramya</t>
  </si>
  <si>
    <t>Monisha</t>
  </si>
  <si>
    <t>Agent testing is prompt-driven and highly dependent on dynamic inputs. Hence it cannot be automated</t>
  </si>
  <si>
    <t>IMS-OCP&gt; Detailed report:  As a mySolutionPlanner developer, I want the OCP Detailed Report to support IMS Multi Tower Pricing, So that user can analyze pricing data separately for IMS and SI towers, with detailed Revenue SG breakdown for SI.</t>
  </si>
  <si>
    <t>sriram.a.karthikeyan</t>
  </si>
  <si>
    <t xml:space="preserve">Multiple Screen Validation and cost/data validation </t>
  </si>
  <si>
    <t>IMS-OCP&gt; Resource Level View Report UI &amp; Excel: As a mySolutionPlanner user, I want the existing Service Group column in the Resource Level Report UI and Excel download to reflect the Revenue SG value (SI / CON) for SI+CON deal selection.</t>
  </si>
  <si>
    <t>4477260(H), 4480571(M), 4482591(M) (Delivered to UAT)</t>
  </si>
  <si>
    <t>As an AMS SCA Agent User, I want to update the MSDA prompt in the SCA Prompt library.</t>
  </si>
  <si>
    <t>Vaishnavi</t>
  </si>
  <si>
    <t>Nagaratna</t>
  </si>
  <si>
    <t>4476841-H</t>
  </si>
  <si>
    <t>As an AMS Solution Configuration Agent user, I want to display live tracking status for Solution Version data sync to MSDA from both OCP Simulation and Pricing Factor screens, so that Multi-Service Deal Analytics reflects real-time sync progress</t>
  </si>
  <si>
    <t>As an AMS SCA Agent user, I want to retrieve direct URLs to specific MyISP screens by providing a prompt,So that I can quickly navigate to the relevant configuration or reporting screen for a specific solution version</t>
  </si>
  <si>
    <t>4491193-H, 4491186-H, 4491433-H,  4490793-L, 4491449-M</t>
  </si>
  <si>
    <t>As an AMS SCA Agent user, I want to override the default pyramid using agent prompts so I can easily adjust staffing configurations without needing to manually edit them.</t>
  </si>
  <si>
    <t>As an AMS SCA user, I want to update all editable fields in the Parameter and Profile screens using prompts in the Solution Configuration Agent (SCA), so that I can modify solution details without using the UI</t>
  </si>
  <si>
    <t>AMS- As a Solution Architect I want DCTA to be updated to use Attach Calculator data in place of Differentiation So that DCTA functionality remains accurate after the Differentiation screen is decommissioned</t>
  </si>
  <si>
    <t>AMS OCP/DCTA: As a mySolutionPlanner developer, I want to update the blending logic for Effort Ratio for Offshore LCR, Offshore Pyramid Index, and Offshore Pyramid metrics in the ATCI guidance logic to use Offshore SD Effort instead of Total SD Effort.</t>
  </si>
  <si>
    <t>As an AMS SCA user, I want the Generative AI screen and functionality enhanced including conditional “In Progress” and an updated GenWizard API that uses the new Attach Calculator for asset utilization so that I can manage Gen AI configurations accurately.</t>
  </si>
  <si>
    <t>4490775-H,4491156-M,4491430-M</t>
  </si>
  <si>
    <t>AMS OCP/DCTA: As a mySolutionPlanner developer, I should be able to get the Export/Import status tab in Available Hours screen</t>
  </si>
  <si>
    <t>AMS OCP/DCTA: As a mySolutionPlanner developer, I should be able to get the Export option in Available Hours template for Staffing</t>
  </si>
  <si>
    <t>AMS OCP/DCTA: As a mySolutionPlanner developer, I should be able to get the Export option in Available Hours template for PMO</t>
  </si>
  <si>
    <t>AMS OCP/DCTA: As a mySolutionPlanner developer, I should be able to get the Import option in Available Hours template for Staffing</t>
  </si>
  <si>
    <t>ramya.s.jayasankar</t>
  </si>
  <si>
    <t>AMS OCP/DCTA: As a mySolutionPlanner developer, I should be able to get the Import option in Available Hours template for PMO</t>
  </si>
  <si>
    <t>[PMO] As a PMO user, I should be able to navigate to Manage / Dashboard screen with the new URL from BPMS - OCP/DCTA</t>
  </si>
  <si>
    <t>Multiple role validation is requried , so cannot be automated</t>
  </si>
  <si>
    <t>4488901(H)</t>
  </si>
  <si>
    <t>[PMO] As a PMO user, I should be able to navigate to Manage / Dashboard screen with the new URL from IMS - OCP/DCTA</t>
  </si>
  <si>
    <t>Multiple role Validation is required</t>
  </si>
  <si>
    <t>[PMO] As a PMO user, I should be able to navigate to Manage / Dashboard screen with the new URL from AMS - OCP/DCTA</t>
  </si>
  <si>
    <t>As a myISP AMS SCA user, I want to attach calculators to a solution and sync Automation and Security costs for accurate pricing</t>
  </si>
  <si>
    <t>As an AMS SCA user, I want enhanced NRR and EID export/import behavior with correct template downloads, country updates, consolidated exports, and optional profile inclusion, so that Named Resource data is handled accurately and as intended.</t>
  </si>
  <si>
    <t>FY26 [BPMS BAU] - Create "FY26 [BPMS BAU] - BPMS - OCP Negotiating Contingency % in the Billing JSON"</t>
  </si>
  <si>
    <t>Sindhuja</t>
  </si>
  <si>
    <t>Aman</t>
  </si>
  <si>
    <t>FY26 [BPMS BAU] - Log Reporting DB Sync Scenario, Version, and Timestamp in BDL Generation</t>
  </si>
  <si>
    <t>Roshini</t>
  </si>
  <si>
    <t>SI | As a SA, Role Type should be mandatory for applicable SSGs on Staffing Baseline - UI</t>
  </si>
  <si>
    <t>As a Solution Architect I want the ADL to be updated to use Attach Calculator data in place of Differentiation So that ADL functionality remains accurate after the Differentiation screen is decommissioned</t>
  </si>
  <si>
    <t>Yuvani</t>
  </si>
  <si>
    <t>As a myISP user, I want to view the submitted Productivity Assessment values in Automation Maturity as read-only, So that I can see the finalized assessment outcomes without modifying them.</t>
  </si>
  <si>
    <t>Debjit</t>
  </si>
  <si>
    <r>
      <t>Data validation is highly complex because the required information is integrated directly from the</t>
    </r>
    <r>
      <rPr>
        <b/>
        <sz val="11"/>
        <color theme="1"/>
        <rFont val="Aptos Narrow"/>
        <family val="2"/>
        <scheme val="minor"/>
      </rPr>
      <t>R2 (PA) screen</t>
    </r>
    <r>
      <rPr>
        <sz val="11"/>
        <color theme="1"/>
        <rFont val="Aptos Narrow"/>
        <family val="2"/>
        <scheme val="minor"/>
      </rPr>
      <t>, </t>
    </r>
    <r>
      <rPr>
        <b/>
        <sz val="11"/>
        <color theme="1"/>
        <rFont val="Aptos Narrow"/>
        <family val="2"/>
        <scheme val="minor"/>
      </rPr>
      <t>to Calc ROI screen ,Specific SG‑based criteria, scenario‑dependent,</t>
    </r>
  </si>
  <si>
    <t>As a myISP user, I want to view defaulted Productivity Assessment values in Automation Maturity as read-only, So that I can understand the estimated Automation Maturity when assessment is not yet submitted.</t>
  </si>
  <si>
    <t>Soundhar</t>
  </si>
  <si>
    <t>[Attach Calculator]As a myISP User, I want to implement attach functionality of cost in SI for Sustainability Calculator so that the DNP screen is aligned</t>
  </si>
  <si>
    <t>Shanmukii</t>
  </si>
  <si>
    <t>4491159(H)</t>
  </si>
  <si>
    <t>[Attach Calculator]As a myISP User, I want to implement attach functionality of cost in SI for Sustainability Calculator so that the Staffing Baseline screen is aligned</t>
  </si>
  <si>
    <t>4486099(H)</t>
  </si>
  <si>
    <t>[Attach Calculator] As a myISP User, I want to implement attach functionality of cost in SI for IPC Calculator so that the DNP screen is aligned</t>
  </si>
  <si>
    <t>UAT in Test</t>
  </si>
  <si>
    <t>[Attach Calculator]As a myISP User, I want to implement attach functionality of cost in SI for Security Calculator so that the DNP screen is aligned</t>
  </si>
  <si>
    <t>4488498(M)</t>
  </si>
  <si>
    <t>[Attach Calculator] As a myISP User, I want to implement attach functionality of cost in SI for Security Calculator so that the Staffing Baseline screen is aligned</t>
  </si>
  <si>
    <t>4488498(M),4486099(H)</t>
  </si>
  <si>
    <t>[Attach Calculator] As a myISP user, SI/SC/CON I want to implement the features of Editing, Attaching and Exempting in Actions column  in Attach calculator, so that the Attach Calculator experience aligns with defined business standards</t>
  </si>
  <si>
    <t>Anitha</t>
  </si>
  <si>
    <t>[[Attach Calculator] As a mySP user, I should be able to perform sync functionalities (attach, detach, exempt) from the Attach Calculator Screen in SI for IPC Calculator</t>
  </si>
  <si>
    <t xml:space="preserve">The user story has multiple scenarios and screen to validate </t>
  </si>
  <si>
    <t>[Attach Calculator]As a mySP user, I should be able to perform sync functionalities (attach, detach, exempt) from the Attach Calculator Screen in SI for Sustainability Calculator</t>
  </si>
  <si>
    <t>Ihsana</t>
  </si>
  <si>
    <t>[Attach Calculator]As a mySP user, I should be able to perform sync functionalities (attach, detach, exempt) from the Attach Calculator Screen in SI for Security Calculator</t>
  </si>
  <si>
    <t>[Attach Calculator] As a myISP user, I want to enable the R2 screen for the Attach Calculator flow for SI/SC/CON  Service Group, so that the Attach Calculator experience aligns with defined business standards.</t>
  </si>
  <si>
    <t>[Attach Calculator] AMS - As a myISP user, I want to implement the Calculators tab in Attach calculator(IPC, Sustainability and Security), so that the Attach Calculator experience aligns with defined business standards</t>
  </si>
  <si>
    <t>Multiple calculators with all the multiple screens validations included</t>
  </si>
  <si>
    <t>[Attach Calculator] AMS As a myISP user, I want to implement the Eligibility Criteria pop up in Attach calculator, so that the Attach Calculator experience aligns with defined business standards</t>
  </si>
  <si>
    <t>[Attach Calculator]As a mySP user, I should be able to perform sync functionalities (attach, detach, exempt) from the Attach Calculator Screen in AMS for Security Calculator</t>
  </si>
  <si>
    <t>[Attach Calculator] As a myISP user, I want to enable the R2 screen for the Attach Calculator flow for AMS  Service Group, so that the Attach Calculator experience aligns with defined business standards.</t>
  </si>
  <si>
    <t>Pujitha</t>
  </si>
  <si>
    <t>Ready for UAT</t>
  </si>
  <si>
    <t>[Attach Calculator] As a mySP user, I should be able to perform sync functionalities (attach, detach, exempt) from the Attach Calculator Screen in AMS for Sustainability Calculator</t>
  </si>
  <si>
    <t>partially we can download the file</t>
  </si>
  <si>
    <t>[Attach Calculator]  I want to push the costing details AMS for Asset Calculator  so that the Costing screen is aligned</t>
  </si>
  <si>
    <t>Divya Sree</t>
  </si>
  <si>
    <t>[Attach Calculator] As a myISP user, I want to implement edit/attach/detach functionality for Asset Calculator (AMS) in  Attach calculator, so that the Attach Calculator experience aligns with defined business standards</t>
  </si>
  <si>
    <t>[Attach Calculator] As a mySP user, I should be able to perform sync functionalities (attach, detach) from the Attach Calculator Screen in SI for Automation Calculator</t>
  </si>
  <si>
    <t>Harish</t>
  </si>
  <si>
    <t>Rohitha</t>
  </si>
  <si>
    <t> 36</t>
  </si>
  <si>
    <t> 15</t>
  </si>
  <si>
    <t> 80%</t>
  </si>
  <si>
    <t> 70%</t>
  </si>
  <si>
    <t>[Attach Calculator]As a mySP user, I should be able to perform sync functionalities (attach, detach) from the Attach Calculator Screen in AMS for Automation Calculator</t>
  </si>
  <si>
    <t> 38</t>
  </si>
  <si>
    <t> 6</t>
  </si>
  <si>
    <t> 9</t>
  </si>
  <si>
    <t>As a myISP user, I want to push the staffing rows from the VRO Calculator to staffing Baseline screen in SI when the calculator version is synced, so that the Staffing Baseline screen remains aligned</t>
  </si>
  <si>
    <t>rest the scenarios are dependent on the MAIL approvals by SMe
 and  multiple calculators cant be automatable</t>
  </si>
  <si>
    <t> 5</t>
  </si>
  <si>
    <t> 12</t>
  </si>
  <si>
    <t>As an IMS Mobilization Architect, I want to view and launch Mobilization calculator from the Estimator/Calculators tab - Gallery(API Creation)</t>
  </si>
  <si>
    <t>Uma</t>
  </si>
  <si>
    <t>As an Mobilization Architect, I want to create a new Mobilization version against IMS Solution version.</t>
  </si>
  <si>
    <t>This US has calculations so cannot be fully automated, few fields can be automated so marked it as partial</t>
  </si>
  <si>
    <t>As an Mobilization Architect, I want to provide inputs in the Package Selection Criteria tab.</t>
  </si>
  <si>
    <t>[Attach Calculator] As a myISP User, I want to implement attach functionality of cost in AMS for Security Calculator so that the Costing screen is aligned</t>
  </si>
  <si>
    <t>[Attach Calculator]As a myISP User, I want to implement attach functionality of cost in AMS for Security Calculator so that the Staffing screen is aligned</t>
  </si>
  <si>
    <t>bug-4486099(H)</t>
  </si>
  <si>
    <t>Suchita</t>
  </si>
  <si>
    <t>suchita.bandanadam</t>
  </si>
  <si>
    <t>`</t>
  </si>
  <si>
    <t>As a mobilization SME, i should be able to apply filter on the columns in weekly ramp screen</t>
  </si>
  <si>
    <t>Samreen</t>
  </si>
  <si>
    <t>Hanshika</t>
  </si>
  <si>
    <t>As a mySP user, I want to see custom package tile in package and cost screen as disabled when the user enters into a calculator version through the delivery governance tab in differentiation link</t>
  </si>
  <si>
    <t>excel validation</t>
  </si>
  <si>
    <t>Value Shaping - As a myISP user, I should be able to download output (360 Dimension View) as PDF from summary screen of SVP page, so that it can be used for other purposes</t>
  </si>
  <si>
    <t>cannot automate, verifying downloaded PDF data with UI</t>
  </si>
  <si>
    <t>Download PPT/PDF</t>
  </si>
  <si>
    <t>Value Shaping - As a myISP user, I should be able to download output (Value Led AM View) as PDF from summary screen of SVP page, so that it can be used for other purposes</t>
  </si>
  <si>
    <t>Value Shaping -As a myISP user, I should be able to download output (Tech Transformation View) as PDF from summary screen of SVP page, so that it can be used for other purposes</t>
  </si>
  <si>
    <t>As a mySP user, I need to enable Process Mining Calculator for all SA</t>
  </si>
  <si>
    <t>Reeshma</t>
  </si>
  <si>
    <t>Madhuri</t>
  </si>
  <si>
    <t>Need to be validated with mulitple SA roles with multiple deals</t>
  </si>
  <si>
    <t> 11</t>
  </si>
  <si>
    <t> 23</t>
  </si>
  <si>
    <t> 52%</t>
  </si>
  <si>
    <t> 100%</t>
  </si>
  <si>
    <t>As a mySP user, I need to enable Process Value Explorer Calculator for all SA</t>
  </si>
  <si>
    <t>Need to check for multiple SA roles</t>
  </si>
  <si>
    <t>As a mySP user, I need to enable Enterprise Value Targeting (EVT) Calculator for all SA</t>
  </si>
  <si>
    <t>As a mySP user, I need to enable Value Realization Office (VRO) Calculator for all SA</t>
  </si>
  <si>
    <t>As a Mobilization SME, I should be able to view both mapped and unmapped groups under Wave Mapping in the Map Groups &amp; Waves total FTE row.</t>
  </si>
  <si>
    <t>As a mySP user, I want all the SnC Calculators to be enabled for AMS Service Group and all SA from the Calculator Gallery screen and Calculator Dashboard screen</t>
  </si>
  <si>
    <t>As a mySP user, I should see the updated cost for the assets in Standard Package in Package and Cost screen inside the calculator</t>
  </si>
  <si>
    <t>The US has caluclations from different screens.</t>
  </si>
  <si>
    <t> Complex</t>
  </si>
  <si>
    <t>As a mySolutionPlanner dashboard user, I want a clear message to be shown when I hover over the delete icon for a system-generated version auto-created by mysolutionplanneradmin, So that the version cannot be deleted</t>
  </si>
  <si>
    <t>Heena</t>
  </si>
  <si>
    <t>As a myISP User , I want to� push the DNP  details SI for Asset Calculator so that the DNP screen is aligned</t>
  </si>
  <si>
    <t>[Attach Calculator]As a myISP User, I want to implement attach functionality of cost in AMS for Sustainability Calculator so that the Costing screen is aligned</t>
  </si>
  <si>
    <t>Raguvarshini</t>
  </si>
  <si>
    <t xml:space="preserve">Bug - 4491466(H) - Delivering the user story to UAT for parallel testing due to dependent user story delivered today
</t>
  </si>
  <si>
    <t>[Attach Calculator] As a myISP User, I want to implement attach functionality of cost in AMS for Sustainability Calculator so that the Staffing screen is aligned</t>
  </si>
  <si>
    <t>Asset Calculator - As a myISP User I want to implement S&amp;C calculator enabled for AMS and as non  taggable assets so that it aligns with business changes and the new design reframe - Copy</t>
  </si>
  <si>
    <t>Yuvani/Rohitha</t>
  </si>
  <si>
    <t>As a mySP user, I want Process Mining Calculator to be enabled for AMS Service Group from the Calculator Gallery screen</t>
  </si>
  <si>
    <t> 1</t>
  </si>
  <si>
    <t> 10</t>
  </si>
  <si>
    <t> 7</t>
  </si>
  <si>
    <t> 17</t>
  </si>
  <si>
    <t> 58%</t>
  </si>
  <si>
    <t>As a mySP user, I want Process Value Explorer Calculator to be enabled for AMS Service Group from the Calculator Gallery screen</t>
  </si>
  <si>
    <t>As a mySP user, I want EVT Calculator to be enabled for AMS Service Group from the Calculator Gallery screen</t>
  </si>
  <si>
    <t>As a mySP user, I want VRO Calculator to be enabled for AMS Service Group from the Calculator Gallery screen</t>
  </si>
  <si>
    <t>[Attach Calculator]As a myISP User, I want to implement attach functionality of cost in SI for Automation Calculator so that the Staffing Baseline screen is aligned</t>
  </si>
  <si>
    <t> 19</t>
  </si>
  <si>
    <t> 63%</t>
  </si>
  <si>
    <t>[Attach Calculator]As a myISP User, I want to implement attach functionality of cost in SI for Automation Calculator so that the DNP screen is aligned</t>
  </si>
  <si>
    <t>[Attach Calculator] As a myISP User, I want to implement attach functionality of cost in AMS for Automation Calculator so that the Staffing screen is aligned</t>
  </si>
  <si>
    <t>Bug : 4491065</t>
  </si>
  <si>
    <t>[Attach Calculator]As a myISP User, I want to implement attach functionality of cost in AMS for Automation Calculator so that the Costing screen is aligned</t>
  </si>
  <si>
    <t>[Attach Calculator]As a myISP solution architect (SA),  I want to select and save an exemption reason at Automation Calculator version level for both SI and AMS</t>
  </si>
  <si>
    <t>Bugs : 4491534, 4491550</t>
  </si>
  <si>
    <t>As a mySP user, I need to see updated costs being displayed when auto sync functionality for IPC Calculator is initiated</t>
  </si>
  <si>
    <t>New deal required everytime.</t>
  </si>
  <si>
    <t>As a mySP user, I should be able to see an auto created version of IPC with updated cost in standard package when solution version is created for the first time</t>
  </si>
  <si>
    <t>[Attach Calculator] SI/SC/CON- As a myISP user, I want to implement the Calculators tab in Attach calculator, so that the Attach Calculator (IPC, Sustainability, Security) experience aligns with defined business standards</t>
  </si>
  <si>
    <t>[Attach Calculator] SI/SC/CON As a myISP user, I want to implement the Eligibility Criteria pop up in Attach calculator, so that the Attach Calculator experience aligns with defined business standards</t>
  </si>
  <si>
    <t>[Attach Calculator] AMS As a myISP user, AMS I want to implement the features of Editing, Attaching and Exempting in Actions column  in Attach calculator, so that the Attach Calculator experience aligns with defined business standards</t>
  </si>
  <si>
    <t>[Attach Calculator] AMS As a myISP user, I want to implement Asset List tab  for Attach Calculator(IPC, Sustainability and SecurityCalculator) , so that the Attach Calculator experience aligns with defined business standards</t>
  </si>
  <si>
    <t>[Attach Calculator] SI/SC/CON  As a myISP user, I want to implement Document download functionality in Attach calculator, so that the Attach Calculator experience aligns with defined business standards</t>
  </si>
  <si>
    <t>[Attach Calculator] As a myISP User, I want to implement attach functionality of Cost in SI for Asset Calculator so that the DNP screen is aligned</t>
  </si>
  <si>
    <t>Bugs : 4486169</t>
  </si>
  <si>
    <t>[Attach Calculator]  I want to implement attach functionality of cost in AMS for Asset Calculator so that the Costing screen is aligned</t>
  </si>
  <si>
    <t> 90%</t>
  </si>
  <si>
    <t> 85%</t>
  </si>
  <si>
    <t>[Attach Calculator] As a myISP user, I want to implement edit/attach/detach functionality for Asset Calculator (SI/SC/CON) in  Attach calculator, so that the Attach Calculator experience aligns with defined business standards</t>
  </si>
  <si>
    <t>As a mySP user, I need to see a validation message being displayed for IPC Calculator occurs when user tries to sync a manually created older calculator version</t>
  </si>
  <si>
    <t>As a Mobilization Architect, I want to view the T-Shirt sizing determination in the Mobilization Approach tab based on total IMS Solution FTE count</t>
  </si>
  <si>
    <t>Vishnupriya</t>
  </si>
  <si>
    <t>User story has many calculations with multiple scenarios that needs to be verified and other screen like staffing also to be verified so difficult to automate</t>
  </si>
  <si>
    <t>As a Mobilization Architect, I want to view the Recommended Transition package with system-calculated costs in Mobilization Approach tab</t>
  </si>
  <si>
    <t>This US has calculations for each field so cannot be automated</t>
  </si>
  <si>
    <t>As a IMS Mobilization Architect, I want to select Custom Package and override transition costs in Mobilization Approach tab</t>
  </si>
  <si>
    <t>The user story has calculations with multiple scenarios</t>
  </si>
  <si>
    <t>As a Mobilization Architect, I want to view system-calculated Mobilization Staffing with default FTEs for Recommended Transition package</t>
  </si>
  <si>
    <t>Multiple screen configuration and data validation in UI</t>
  </si>
  <si>
    <t>As a Mobilization SME, I want to customize Mobilization Staffing with editable FTEs and add new roles for Custom Transition package</t>
  </si>
  <si>
    <t>As a Mobilization Architect, I want to view the consolidated cost summary with cost breakdown and standard variation analysis in Summary tab</t>
  </si>
  <si>
    <t>As a Mobilization Architect, I want to view Delivery Ramp and KR Ramp toggle tables with monthly ramp percentages in Summary tab</t>
  </si>
  <si>
    <t>As a Mobilization Architect, I want to use Back, Save as Draft, and Continue navigation buttons in Summary tab</t>
  </si>
  <si>
    <t>Multiple screen data validations, cannot be able to automate</t>
  </si>
  <si>
    <t>As a Solution Planner System, I want to apply business rules for mobilization cost calculations (Shift Allowance, Transport, Connectivity, Hiring, Delivery Ramp)</t>
  </si>
  <si>
    <t>As an IMS Mobilization Architect, I want to send the FTE's and Costs calculated in the Mobilization Calculator to IMS Solution Version for review(Sync API).</t>
  </si>
  <si>
    <t>IPC Calculator | As a mySP user, I need to see all the calculator details (cost/exemption) copied from source to target version when using the Copy functionality within same opportunity</t>
  </si>
  <si>
    <t>Multiple screens complex validations included</t>
  </si>
  <si>
    <t>As a myISP user, I want to select one of the three new IPC exemption reasons in Package Selection Criteria so that the exemption reason is captured clearly and consistently.</t>
  </si>
  <si>
    <t>As a myISP user, I want to see the newly selected IPC exemption reason on the Attach Calculator screen so that the rationale remains visible and consistent across the workflow.</t>
  </si>
  <si>
    <t>[Attach Calculator] UI : As a myISP user, I need to see the updated status and the associated RAG for all the calculators in Calculators Dashboard screen</t>
  </si>
  <si>
    <t>Multiple calculators and Multiple validations involved</t>
  </si>
  <si>
    <t>[Attach Calculator]AMS/SI: As a myISP user, I should be able to copy the contents from one version to another so that the copied contents reflect in the attach calculator screen [IPC, Sustainability and Security]</t>
  </si>
  <si>
    <t>VS- As a myISP User I want KPI hover tooltip to display KPI description when available, So that I always get meaningful context during KPI review</t>
  </si>
  <si>
    <t>[Asset Calculator] As a myISP ,I  want to implement I&amp;I Differentiator accordion and mapping-sheet-driven asset catalog behavior to work consistently with existing calculators, so that I can configure assets accurately and see correct rollups</t>
  </si>
  <si>
    <t> 22</t>
  </si>
  <si>
    <t> 68%</t>
  </si>
  <si>
    <t>[Asset Calculator] As a myISP User ,I want the Asset Catalog filter panel to reflect the correct business terminology , So that I can accurately filter assets by Classification and Asset Type (calculator name) per Service Group without UI redundancy</t>
  </si>
  <si>
    <t>[Attach Calculator]As a myISP user, I need to see the updated UI in Preference Setting screen when Attach Calculator  is introduced along with Differentiation screen</t>
  </si>
  <si>
    <t>VS - As myISP User, I want  governed per-objective TVP configuration in Configurator V2V Link, So that TVP setup is accurate, complete, and reusable in downstream views.</t>
  </si>
  <si>
    <t>VS (SVP)- As myISP User, I want configured TVP values visible in Summary -&gt; Benchmark view,   So that business objective value potential is transparent in proposition shaping.</t>
  </si>
  <si>
    <t>[Attach Calculator] SI/SC/CONAs a myISP user, I want to implement Asset List tab  for Attach Calculator (IPC, Sustainability, Security) , so that the Attach Calculator experience aligns with defined business standards</t>
  </si>
  <si>
    <t>[Attach Calculator]As a myISP user, I need to see the calculators available in Attach Calculator screen whose status is "Completed" and the status should be updated to ensure consistency</t>
  </si>
  <si>
    <t>As a myISP SA, I want the Automation Calculator to display default levers with zero assessment values when either AD or AM assessment is not completed in the Productivity Assessment screen</t>
  </si>
  <si>
    <t> Data validation is highly complex because the required information is integrated directly from theR2 (PA) screen, to Calc ROI screen ,Specific SG‑based criteria, scenario‑dependent,</t>
  </si>
  <si>
    <t>As a myISP (SA), I want the Automation Calculator to continue sending GenWizard assets to the AAI system even after the Differentiation tab is decommissioned</t>
  </si>
  <si>
    <t>Technical User Story</t>
  </si>
  <si>
    <t>As a myISP (SA), I want the Automation Calculator to continue sending GenWizard assets to the MMAD system after the Differentiation tab is decommissioned, So that MMAD integrations and downstream processes remain unaffected.</t>
  </si>
  <si>
    <t>Technical User Story need to validadte MMAD Intergration</t>
  </si>
  <si>
    <t>As a myISP (SA), I want the Automation Calculator to follow a consistent 10 step guided flow across all screens starting from the Package &amp; Cost screen through the SME Review Update screen</t>
  </si>
  <si>
    <t>Yuvani/Soundhar</t>
  </si>
  <si>
    <t>As a myISP Solution Architect, I want to see the Value Shaping - MFE App migrated to Angular 21</t>
  </si>
  <si>
    <t>Technical US- cannot automate</t>
  </si>
  <si>
    <t>As a myISP Solution Architect, I want to see the Generic Calculator App migrated to Angular 21</t>
  </si>
  <si>
    <t>Angular Upgrades</t>
  </si>
  <si>
    <t>As a myISP Solution Architect, I want to see the Automation Calculator App migrated to Angular 21</t>
  </si>
  <si>
    <t>As a Solution Architect using the 10-step stepper workflow in EstimatorsCalculators, I want the S&amp;C  Calculator to open within the same browser tab so that the workflow continuity is preserved</t>
  </si>
  <si>
    <t>[Attach Calculator] (AMS/SI)- As a myISP user, I want to implement the Calculators tab in Attach calculator (Asset Calculator), so that the Attach Calculator experience aligns with defined business standards</t>
  </si>
  <si>
    <t>Multiple calculators invloved for AMS and SI SG's  and need to validate Cost.  UI Validation as well</t>
  </si>
  <si>
    <t>Delivering the user story to UAT for parallel testing</t>
  </si>
  <si>
    <t>[Attach Calculator] As a myISP user, I need to see the updated status and the associated RAG for all the calculators in Calculators Dashboard screen (Asset Calculator)</t>
  </si>
  <si>
    <t>[Attach Calculator] AMS/SI As a myISP user, I want to implement the Eligibility Criteria pop up in Attach calculator [Asset Calculator], so that the Attach Calculator experience aligns with defined business standards - Copy</t>
  </si>
  <si>
    <t>[Attach Calculator] As a myISP user, I need to see the updated status and the associated RAG for all the calculators in Calculators Dashboard screen (Automation Calculator)</t>
  </si>
  <si>
    <t xml:space="preserve">Multiple screens and multiple SG Validateion </t>
  </si>
  <si>
    <t>[Attach Calculator]A s a myISP user, I should be able to copy the contents from one version to another so that the copied contents reflect in the attach calculator screen [Asset Calculator)</t>
  </si>
  <si>
    <t>Multiple calculators involved and many screen configuration/validation</t>
  </si>
  <si>
    <t>As a myISP user, I should be able to copy the contents from one version to another so that the copied contents reflect in the attach calculator screen for Automation Calculator</t>
  </si>
  <si>
    <t> 14</t>
  </si>
  <si>
    <t>One-time Data Migration: Differentiation → Automation Calculator to Attach Calculator (Sync and draft status)</t>
  </si>
  <si>
    <t>Need to validate Existing versions (One time update)</t>
  </si>
  <si>
    <t>[Attach Calculator] UI : As a myISP user, I need to see the updated status and the associated RAG for all the calculators in Calculators Dashboard screen [IPC, Sustainability and Security]</t>
  </si>
  <si>
    <t>Samreen/Debjit</t>
  </si>
  <si>
    <t>Multiple calculators and Multiple screen validations included</t>
  </si>
  <si>
    <t>[Attach Calculator]As a myISP user, I need to see the updated UI in R2 screens when Attach Calculator will replace Differentiation screen</t>
  </si>
  <si>
    <t>As an Mobilization Architect, I want to view the Mobilization calculator for IMS in the Estimator/Calculators tab - Dashboard</t>
  </si>
  <si>
    <t>As an Mobilization Architect, I want to view and launch Mobilization calculator from the Estimator/Calculators tab - Gallery</t>
  </si>
  <si>
    <t>[PMO] As a PMO user, I should be able to navigate to Manage / Dashboard screen with the new URL from Estimator/Calculator - Asset</t>
  </si>
  <si>
    <t>Need to check for multiple SA roles
with assigned test id PLD dashboard doesn't have any testdata/deals</t>
  </si>
  <si>
    <t>Bugs:4491117 &amp; 4491109</t>
  </si>
  <si>
    <t>[PMO] As a PMO user, I should be able to navigate to Manage / Dashboard screen with the new URL from Estimator/Calculator - Automation</t>
  </si>
  <si>
    <t>Need to check multiple roles</t>
  </si>
  <si>
    <t> 66%</t>
  </si>
  <si>
    <t>[PMO] As a PMO user, I should be able to navigate to Manage / Dashboard screen with the new URL from Estimator/Calculator - IPc, SUs, Sec</t>
  </si>
  <si>
    <t>Madhuri/Srilekha</t>
  </si>
  <si>
    <t>multiple calculators and multiple roles
with assigned test id PLD dashboard doesn't have any testdata/deals</t>
  </si>
  <si>
    <t>[Attach Calculator]-Asset-As a Solution Architect, I want version options in the Select Version popup to display full asset names with clear separators and business-priority sorting, So that I can quickly choose valid attachable versions without ambiguity.</t>
  </si>
  <si>
    <t>[Attach Calculator]IPC/Sus/Sec As a Solution Architect, I want version options in the Select Version popup to display full asset names with separators and business-priority sorting, So that I can quickly choose valid attachable versions without ambiguity.</t>
  </si>
  <si>
    <t>[Attach Calculator]As a myISP SA, I want version options in the Select Version popup to display full asset names with clear separators and business-priority sorting, So that I can quickly choose valid attachable versions without ambiguity.- Automation</t>
  </si>
  <si>
    <t>[Asset Calculator] - As a myISP User I want to remove Platform Asset Blueprint from Gallery so that it is meeting business standards</t>
  </si>
  <si>
    <t> Simple</t>
  </si>
  <si>
    <t> 4</t>
  </si>
  <si>
    <t>[Attach Calculator] AMS As a myISP user, I want to implement Asset List tab  for Attach Calculator (Asset Calculator) , so that the Attach Calculator experience aligns with defined business standards</t>
  </si>
  <si>
    <t>As a Solution Architect using the Automation Calculator, I want to see a clear ineligibility message on the Automation Maturity screen when my deal does not meet eligibility criteria and the Productivity Assessment has not been submitted</t>
  </si>
  <si>
    <t>[Attach Calculator] IPC/Sus/Sec As a Solution Architect, I want the attach icon to be the single entry point for version selection and lifecycle actions, So that attachment, override, detach, and exemption are consistent and auditable.</t>
  </si>
  <si>
    <t>[Attach Calculator] -Asset-As a Solution Architect, I want the attach icon to be the single entry point for version selection and lifecycle actions, So that attachment, override, detach, and exemption are consistent and auditable.</t>
  </si>
  <si>
    <t>[Attach Calculator] As a Solution Architect, I want the attach icon to be the single entry point for version selection and lifecycle actions, So that attachment, override, detach, and exemption are consistent and auditable.- Automation</t>
  </si>
  <si>
    <t>As a Solution Architect (SA) / user I want retain the Differentiation screen for Index Score functionalities, while all sync, exemption, and calculator-related actions will be handled in the Attach Calculator So that all functionalities are retained</t>
  </si>
  <si>
    <t>Tabs of Differentiation screen is disabled. So cannot automate</t>
  </si>
  <si>
    <t>As a myISP user, I want sync-related controls disabled for Automation calculator but asset selection and index score functionalities retained in Assets and Platform</t>
  </si>
  <si>
    <t>[Attach Calculator] AMS As a myISP user, I want to implement Asset List tab for Attach Calculator(automation Calculator), so that the Attach Calculator experience aligns with defined business standards</t>
  </si>
  <si>
    <t>Multiple screen validations</t>
  </si>
  <si>
    <t>[Attach Calculator] SI/SC/CONAs a myISP user, I want to implement Asset List tab  for Attach Calculator (Asset Calculator) , so that the Attach Calculator experience aligns with defined business standards</t>
  </si>
  <si>
    <t xml:space="preserve">Document Validation Required </t>
  </si>
  <si>
    <t>As an IMS Solution Architect, I want to navigate to Modernization flow on clicking Solution Components tab and have the Estimators/Calculators enabled.</t>
  </si>
  <si>
    <t>As an myISP user, I want to have the Estimators/Calculators enabled.</t>
  </si>
  <si>
    <t>[Attach Calculator] myISP to AAI Integration - Update Payload Mapping Service to Include Exemption Reason in Descriptions Field</t>
  </si>
  <si>
    <t>External dependency</t>
  </si>
  <si>
    <t>External integration validation</t>
  </si>
  <si>
    <t>As a Solution Architect, I want IMS Mobilization pricing auto-calculated by package so that deal estimates are consistent and auditable</t>
  </si>
  <si>
    <t>As a mysolution planner Solution Architect, I want the WFH ATCI and WFH ATCP fields in SIVT report to show the updated logic from KDA, So that user can view updated logic for WFH metrics</t>
  </si>
  <si>
    <t>Chaitanya</t>
  </si>
  <si>
    <t>Vamshi</t>
  </si>
  <si>
    <t>krishna.c.kolluru</t>
  </si>
  <si>
    <t>Till Excel download can be automated</t>
  </si>
  <si>
    <t>As a MyISP User, I should be able to view accurate and consistent BPMS reporting data so that I can rely on the reports for decision?making and operational activities - CCI delta against target margin(27%)</t>
  </si>
  <si>
    <t>Power BI validation cannot be automated</t>
  </si>
  <si>
    <t>As a BPMS Reporting user, I want 68 additional CXTA fields added to the BPMS CXTA Report with full DB mapping coverage, so that all required CXTA data across screens is captured and visible in the reporting layer</t>
  </si>
  <si>
    <t>As a BPMS Reporting user, I want 15 additional fields from MMS Team Details and INSPIRE added to the BPMS Reporting Layer and BPMS FTE Details, so that team composition and INSPIRE sync metadata are fully visible in reporting</t>
  </si>
  <si>
    <t>Alekhya</t>
  </si>
  <si>
    <t>As a myISP user, I want SIVT reports to include the three new IPC exemption reason names so that downstream reporting remains complete and aligned with source data.</t>
  </si>
  <si>
    <t>kristapati.v.reddy</t>
  </si>
  <si>
    <t>As a user of the Pipeline Extract report `W/O on SA Assignment Date &amp; Pipeline Entry Date`, I want to see the deal hierarchy value in the report as `Hierarchy Level`, so that I can see the hierarchy information directly in the report.</t>
  </si>
  <si>
    <t>AMS, SI, IMS: As a mySolutionPlanner developer, I want new Agentic AI Productivity columns to be added in the PMO Extract Report, So that users can captured the Agentic AI Productivity data on the Generative AI screen.</t>
  </si>
  <si>
    <t>[Technical]: As a myISP User I want the AMS and SI Key Solution Metrics QlikView reports to be replaced with Power BI versions</t>
  </si>
  <si>
    <t>As a PMO user, I want IMS‑specific KDA and compliance fields to be added to the PMO reporting layer, so that IMS compliance and approval status can be tracked accurately</t>
  </si>
  <si>
    <t>As a BPMS user, I want the BPMS Reporting Layer report to include "Overall Productivity" column, So that I can view the aggregated productivity value across all CY</t>
  </si>
  <si>
    <t>[Technical] As a System Developer, I should ensure that FTS related columns are fetched from FTSMailTracking table instead of PMOTrackerChecklistGenAI</t>
  </si>
  <si>
    <t>As a PMO , I want all columns from ISS and Tech table to be available in the Reporting Layer, So that I can generate reports on BPMS ISS and Tech Tool out-of-scope exception requests</t>
  </si>
  <si>
    <t>[MDA-IMS]: As a SA, I want to view Country % Split Column for in Yearly FTE tab under IMS FTE Deal Pivot breadcrumb, applicable only to deals with IMS SG for OCP and MMP routes, for the HC report</t>
  </si>
  <si>
    <t>Mohan</t>
  </si>
  <si>
    <t>Ankita</t>
  </si>
  <si>
    <t>Power BI report validation  can not be automated</t>
  </si>
  <si>
    <t>[MDA-IMS]: As a SA, I want to view Country % Split Column for in Half Yearly FTE tab under IMS FTE Deal Pivot breadcrumb, applicable only to deals with IMS SG for OCP and MMP routes, for the HC report</t>
  </si>
  <si>
    <t>[MDA-IMS]: As a SA, I want to view % of Shore Split for "On-Off Detailed View" tab under IMS FTE Deal Pivot breadcrumb, applicable only to deals with IMS SG for OCP and MMP routes, for the HC report</t>
  </si>
  <si>
    <t>Manasa</t>
  </si>
  <si>
    <t>[MDA-IMS]: As a SA, I want to view Country % Split in Service-Country tab under IMS FTE Deal Pivot breadcrumb, applicable only to deals with IMS SG for OCP and MMP routes, for the HC report</t>
  </si>
  <si>
    <t>[MDA-IMS]: As a SA, I want to view FTE Split % in Transition FTE tab under IMS FTE Deal Pivot breadcrumb, applicable only to deals with IMS SG for OCP and MMP routes, for the HC report</t>
  </si>
  <si>
    <t>[MDA-SI]: As a mySP user, I want to view the RAG logic in MSDA in sync with View KDA for 3 new exemption reasons for IPC DCT</t>
  </si>
  <si>
    <t>Sahithya</t>
  </si>
  <si>
    <t>[MDA-IMS]: As a SA, I want to enable navigation in Pyramid Report to Custom View page via IMS Pyramid Deal Pivot breadcrumb only for deals with IMS SG for MMP Route</t>
  </si>
  <si>
    <t>[MDA-SI] As a Solution Architect, I want to update WFH ATCI &amp; WFH ATCP Logic in MDA KDA Report to Align with DNP for OCP Route</t>
  </si>
  <si>
    <t>[MDA-SI] As a Solution Architect, I want to update WFH ATCI &amp; WFH ATCP Logic in MDA KDA Version Comparator to Align with DNP for OCP route</t>
  </si>
  <si>
    <t>[MDA-BPMS] As a SA, I want the graph to display Cumulative Productivity instead of YOY Productivity so that it aligns correctly with the label shown in the visualization</t>
  </si>
  <si>
    <t>[MDA-IMS]: As a SA, I want to enable navigation in DNP Report (Other Cost Assumption Tab-OCPA) to a dedicated page-Custom View via the DNP Deal pivot link only for IMS Service Group</t>
  </si>
  <si>
    <t>[MDA-IMS]: As a SA, I want to append 2 new static tabs SubService_Ratio and ActDesc_Ratio under the Headcount Report within the IMS FTE Deal Pivot for OCP route</t>
  </si>
  <si>
    <t>[MDA-AMS]: As a SA, I want the graph to display Cumulative Productivity instead of YOY Productivity so that it aligns correctly with the label shown in the visualization</t>
  </si>
  <si>
    <t>[MDA-SI] As a Solution Architect, I want to update WFH% ATCI &amp; WFH% ATCP Logic in MDA KDA Report to Align with DNP for MMP Route</t>
  </si>
  <si>
    <t>[MDA-SI] As a Solution Architect, I want to update WFH ATCI &amp; WFH ATCP Logic in MDA KDA Version Comparator to Align with DNP for MMP route</t>
  </si>
  <si>
    <t>[PMO] As a PMO user, I should be able to navigate to Manage / Dashboard screen with the new URL from MDA</t>
  </si>
  <si>
    <t>Requires multiple roles validation</t>
  </si>
  <si>
    <t>User story requires multiple screen and roles validation and requires more time to automate</t>
  </si>
  <si>
    <t>[MDA-IMS]: As a SA, I want to enable navigation in DNP Report (Other Cost Assumption Tab-OCPA) to multiple reporting Static tabs via the DNP Deal pivot link only for IMS Service Group</t>
  </si>
  <si>
    <t>As an Advisory song SA, I want to access the Multi service deal analytics tile in read-only mode so that I can maintain and view workflow continuity.</t>
  </si>
  <si>
    <t>Bug: 4488361(H)</t>
  </si>
  <si>
    <t>[MDA-AMS]: As a SA, I want to see Actual values for WFH % ATCI and ATCP metrics in MDA DNP report Cost Assumptions tab</t>
  </si>
  <si>
    <t>[MDA-IMS]: As a SA, I want to enable navigation in Headcount Report to Custom View page via IMS FTE Deal Pivot Headcount breadcrumb only for deals with IMS SG for MMP Route</t>
  </si>
  <si>
    <t>[MDA-IMS]: As a SA, I want to enable navigation in Headcount Report to Static Tab - Phase-Country via IMS FTE Deal Pivot Headcount breadcrumb only for deals with IMS SG for MMP Route</t>
  </si>
  <si>
    <t>Divya</t>
  </si>
  <si>
    <t>36</t>
  </si>
  <si>
    <t>18</t>
  </si>
  <si>
    <t>20</t>
  </si>
  <si>
    <t>[MDA-IMS]: As a SA, I want to enable navigation in Headcount Report to Static Tab: On/Off Split via IMS FTE Deal Pivot Headcount breadcrumb only for deals with IMS SG for MMP Route</t>
  </si>
  <si>
    <t>Blocked due to Bug ID-4485460(H)</t>
  </si>
  <si>
    <t>[MDA-IMS]: As a SA, I want to enable navigation in Headcount Report to Static Tab: Yearly FTE via IMS FTE Deal Pivot Headcount breadcrumb only for deals with IMS SG for MMP Route</t>
  </si>
  <si>
    <t>[MDA-IMS]: As a SA, I want to enable navigation in Headcount Report to Static Tab: Half Yearly FTE via IMS FTE Deal Pivot Headcount breadcrumb only for deals with IMS SG for MMP Route</t>
  </si>
  <si>
    <t>[MDA-IMS]: As a SA, I want to enable navigation in Headcount Report to Static Tab: On/Off Detailed View via IMS FTE Deal Pivot Headcount breadcrumb only for deals with IMS SG for MMP Route</t>
  </si>
  <si>
    <t>[MDA-IMS]: As a SA, I want to enable navigation in Headcount Report to Static Tab: Service-Country via IMS FTE Deal Pivot Headcount breadcrumb only for deals with IMS SG for MMP Route</t>
  </si>
  <si>
    <t>[MDA-IMS]: As a SA, I want to enable navigation in Headcount Report to Static Tab: Transition FTE via IMS FTE Deal Pivot Headcount breadcrumb only for deals with IMS SG for MMP Route</t>
  </si>
  <si>
    <t>[MDA-IMS]: As a SA, I want to see Open for SA Note Column in IMS Pyramid Deal Pivot All Phases tab for MMP Route</t>
  </si>
  <si>
    <t>[MDA-IMS] As a SA, I want the graph to display Cumulative Productivity instead of YOY Productivity so that it aligns correctly with the label shown in the visualization</t>
  </si>
  <si>
    <t>[MDA-IMS]: As a SA, I want to add I want to add a new Group filter in the Pyramid (PY) Report for OCP route</t>
  </si>
  <si>
    <t>[MDA-IMS]: As a SA, I want to add I want to add a new Group filter in the Pyramid (PY) Report for MMP route</t>
  </si>
  <si>
    <t>[MDA-BPMS]: As a SA, I want to add I want to add a new Group filter in the Pyramid (PY) Report for MMP route</t>
  </si>
  <si>
    <t>[MDA-BPMS]: As a SA, I want to add I want to add a new Group filter in the Pyramid (PY) Report for OCP route</t>
  </si>
  <si>
    <t>[MDA-SI]: As a SA, I want to add I want to add a new Resources filter in the Pyramid (PY) Report for OCP route</t>
  </si>
  <si>
    <t>[MDA-SI]: As a SA, I want to add I want to add a new Resources filter in the Pyramid (PY) Report for MMP route</t>
  </si>
  <si>
    <t>[MDA-IMS]: As a SA, I want to add I want to add a new Group filter in the Headcount (HC) Report for OCP route</t>
  </si>
  <si>
    <t>Bug4483467(C)</t>
  </si>
  <si>
    <t>[MDA-IMS]: As a SA, I want to add I want to add a new Group filter in the Headcount (HC) Report for MMP route</t>
  </si>
  <si>
    <t>Bug4485460:(H)</t>
  </si>
  <si>
    <t>[MDA-BPMS]: As a SA, I want to add I want to add a new Group filter in the Headcount (HC) Report for MMP route</t>
  </si>
  <si>
    <t>[MDA-BPMS]: As a SA, I want to add I want to add a new Group filter in the Headcount (HC) Report for OCP route</t>
  </si>
  <si>
    <t>[MDA-SI]: As a SA, I want to add I want to add a new Resources filter in the Headcount (HC) Report for OCP route</t>
  </si>
  <si>
    <t>[MDA-SI]: As a SA, I want to add I want to add a new Resources filter in the Headcount (HC) Report for MMP route</t>
  </si>
  <si>
    <t>[MDA-AMS]: As a SA, I want to add I want to add a new Group filter in the Financial Report for the OCP route</t>
  </si>
  <si>
    <t>[MDA-AMS]: As a SA, I want to add I want to add a new Group filter in the Financial Report for the MMP route</t>
  </si>
  <si>
    <t>[MDA-IMS]: As a SA, I want to view Row‑wise % by Country Value for "Phase-Country" tab under IMS FTE Deal Pivot breadcrumb, applicable only to deals with IMS SG for OCP and MMP routes, for the HC report</t>
  </si>
  <si>
    <t>[MDA-IMS]: As a SA, I want to view Shore wise % by Country Value for "On/Off Split" tab under IMS FTE Deal Pivot breadcrumb, applicable only to deals with IMS SG for OCP &amp; MMP Route, for HC report</t>
  </si>
  <si>
    <t>[MDA-IMS]: As a SA, I want to enable navigation in Pyramid Report to Static Tab "Phase-Country" via IMS Pyramid Deal Pivot breadcrumb only for deals with IMS SG for MMP Route</t>
  </si>
  <si>
    <t>[MDA-IMS]: As a SA, I want to enable navigation in Pyramid Report to Static Tab: "SDM/CSDM/PMO View" via IMS Pyramid Deal Pivot breadcrumb only for deals with IMS SG for MMP Route</t>
  </si>
  <si>
    <t>[MDA-IMS]: As a SA, I want to enable navigation in Pyramid Report to Static Tab: SD Yearly via IMS Pyramid Deal Pivot breadcrumb only for deals with IMS SG for MMP Route</t>
  </si>
  <si>
    <t>[MDA-IMS]: As a SA, I want to enable navigation in Pyramid Report to Static Tab: "All Phases" via IMS Pyramid Deal Pivot breadcrumb only for deals with IMS SG for MMP Route</t>
  </si>
  <si>
    <t>[MDA-IMS]: As a SA, I want to enable navigation in Pyramid Report to Static Tab: "Monthly Detail" via IMS Pyramid Deal Pivot breadcrumb only for deals with IMS SG for MMP Route</t>
  </si>
  <si>
    <t>[MDA-IMS]: As a SA, I want to enable navigation in Pyramid Report to Static Tab: "SD HY" via IMS Pyramid Deal Pivot breadcrumb only for deals with IMS SG for MMP Route</t>
  </si>
  <si>
    <t>Song [Digital Documentation]-As a myISP User, I want to provide onetime update for existing deals ,update the RAG , Score as per updated Song Compliance Logic so that all historical and active deals reflect accurate compliance status</t>
  </si>
  <si>
    <t>Gayatri</t>
  </si>
  <si>
    <t>Veena</t>
  </si>
  <si>
    <t>One time update cannot be automatable</t>
  </si>
  <si>
    <t>[DLC] Sync from MMS button to be added for both Commercials and Key roles in Deal Level Canvas.</t>
  </si>
  <si>
    <t>Sushmeta</t>
  </si>
  <si>
    <t>Prasanna</t>
  </si>
  <si>
    <t>We cannot automate validating the accuracy of the fetched data because that data originates from the MMSID site</t>
  </si>
  <si>
    <t>[DSP - Core Solution Plan] Cost Assumptions - DNP Slides Total Cost rows to be in bold in downloaded PPT/PDF for all SGs.</t>
  </si>
  <si>
    <t xml:space="preserve">PPT/PDF cannot be automated </t>
  </si>
  <si>
    <t>[DSP - Core Solution Plan] As a myISP user, I want to be able to view all updated changes within the MDA-related screens in both UI and PPT/PDF files for SI SG.</t>
  </si>
  <si>
    <t>Haritha</t>
  </si>
  <si>
    <t>haritha.bomma.reddy</t>
  </si>
  <si>
    <t xml:space="preserve">MDA - Power BI  cannot be automated </t>
  </si>
  <si>
    <t>[DSP - Core Solution Plan] As a myISP user, I want to be able to view all updated changes within the MDA-related screens in both UI and PPT/PDF files for AMS SG.</t>
  </si>
  <si>
    <t>[DSP - Core Solution Plan] As a myISP user, I want to be able to view all updated changes within the MDA-related screens in both UI and PPT/PDF files for BPMS SG.</t>
  </si>
  <si>
    <t>[DSP - Download Popup] Service Group Canvas and Deal level canvas to be added as selections in all Download popups for all SGs.</t>
  </si>
  <si>
    <t>4486874(M), 4487077(M)</t>
  </si>
  <si>
    <t>[DSP - Version Grid] Create New Version to be enabled in Digitl Solution Plan even if there is no solution version created in Solution Components.</t>
  </si>
  <si>
    <t>US is related to new deal and it cannot be automated in PROD since new versions cannot be created</t>
  </si>
  <si>
    <t>New deal creation</t>
  </si>
  <si>
    <t>[DSP - Core Solution Plan] Costing/Pricing Slides update as same as the UI in downloaded PPT/PDF</t>
  </si>
  <si>
    <t>[DSP] Slide Tagging for Downloaded PPT Across DSP Screens</t>
  </si>
  <si>
    <t xml:space="preserve">UI validation in downloaded PPT cannot be automated </t>
  </si>
  <si>
    <t>[DSP – Core Solution Plan] Download and upload templates to be updated as same as UI Risks/Assumptions/Dependency.</t>
  </si>
  <si>
    <t>BUG 4490800</t>
  </si>
  <si>
    <t>[DSP - Assumption] Add new column as Impact in Assumption screen for all SGs</t>
  </si>
  <si>
    <t>Navya</t>
  </si>
  <si>
    <t>Kalpana</t>
  </si>
  <si>
    <t>Delivered to UAT</t>
  </si>
  <si>
    <t>[DSP - Core Solution Plan] Assets List Summary data to be added in downloaded PPT/PDF for AMS/SI SG.</t>
  </si>
  <si>
    <t>Aruna</t>
  </si>
  <si>
    <t>Naveen Arunachalam</t>
  </si>
  <si>
    <t xml:space="preserve">MDA related so we Need to configure data in Differentiation screen </t>
  </si>
  <si>
    <t>[DSP – Core Solution Plan] RACI New Predefined templates to be included for all SGs</t>
  </si>
  <si>
    <t>Template download not feasible to automate</t>
  </si>
  <si>
    <t>[DSP – Core Solution Plan] DNP/Expenses slides to be updated with all the data as same as UI in downloaded PPT/PDF</t>
  </si>
  <si>
    <t>MDA related Cannot be automatable</t>
  </si>
  <si>
    <t>[DSP – Core Solution Plan] Key notes from notes section to be displayed in downloaded PPT for each slide</t>
  </si>
  <si>
    <t>[DSP – Core Solution Plan] Adherence Score Summary to be added in DSP KDA tile to view the adherence summary in DSP for AMS/SI/IMS SGs</t>
  </si>
  <si>
    <t>[DSP – Core Solution Plan] Bottom up mobilization calculator to be added in DSP Mobilization Calculator for AMS SG.</t>
  </si>
  <si>
    <t>Haripriya</t>
  </si>
  <si>
    <t>configured bottom up in RAMP UP screen so can't be automate</t>
  </si>
  <si>
    <t>[DSP – Core Solution Plan] Risks/Assumptions/Dependency sections will have additional column which is SG to have integrated Risks/Assumptions/Dependency</t>
  </si>
  <si>
    <t>[DSP - Core Solution Plan] Assets List Summary toggle to be added in Differentiation themes summary tile in DSP Core Solution Plan for AMS/SI SG.</t>
  </si>
  <si>
    <t>PPT/PDF related story so can't be automate</t>
  </si>
  <si>
    <t>[DSP - Core Solution Plan] Differentiation themes screen to be updated with new functionalities in DSP Core Solution plan for AMS/SI SG.</t>
  </si>
  <si>
    <t>MDA related as Need to configure Solution components for AMS ansd SI and Differentiation screen</t>
  </si>
  <si>
    <t>[DSP - Core Solution Plan] IPC Calculator Changes to be updated in DSP IPC Calculator screens for SI -UI.</t>
  </si>
  <si>
    <t>[DSP - Core Solution Plan] Automation Calculator Changes to be updated in DSP Automation Calculator screens for both AMS/SI -UI.</t>
  </si>
  <si>
    <t>[DSP - Core Solution Plan] As a myISP user, I want to be able to view all updated changes within the MDA-related screens in both UI and PPT/PDF files for IMS SG.</t>
  </si>
  <si>
    <t>[DSP - Core Solution Plan] Published Version Value Shaping data to be displayed in DSP Versions under Value Story Screen</t>
  </si>
  <si>
    <t>Bug:4490892(M)(Delivered to UAT)</t>
  </si>
  <si>
    <t>[DSP - Core Solution Plan] Adding custom slide functionality to be updated for all SGs in Core Solution Plan</t>
  </si>
  <si>
    <t>Bug:- 4491114(M)</t>
  </si>
  <si>
    <t>[DSP – Core Solution Plan] Remove Shift/On‑Call Coverage Tile from SI Service Group.</t>
  </si>
  <si>
    <t>[DSP - Core Solution Plan] KDA Variance Analysis screen to be added under KDA in DSP Core Solution Plan for all SGs</t>
  </si>
  <si>
    <t>[DSP Core solution plan] SCC data to be displayed in DSP - AMS &gt; add to contingency slide</t>
  </si>
  <si>
    <t>[GEN AI - HSP] Prompts update for 14 categories based on SG wise in HSP.</t>
  </si>
  <si>
    <t>Sujana</t>
  </si>
  <si>
    <t>Dinesh</t>
  </si>
  <si>
    <t>Dynamic prompt related story</t>
  </si>
  <si>
    <t>As a myISP User, I want to view the definitions of the various "Service "on Hover in Service / Offerings section under DSP for AMS and SI SG so that acceptance criteria are achieved</t>
  </si>
  <si>
    <t>Validating tooltip of all 60 Service Offering- Sub-sections are not feasible</t>
  </si>
  <si>
    <t>[SSA - SRA] - As a MyISP user, I want the Review Agent to be fully integrated into the SSA chat and obtain responses related to the Review Agent.</t>
  </si>
  <si>
    <t>Nayak</t>
  </si>
  <si>
    <t>Santhwana</t>
  </si>
  <si>
    <t>khageshwar.nayak</t>
  </si>
  <si>
    <t>can't be fully automated as story contains LLM response validation</t>
  </si>
  <si>
    <t>Prompt Driven Testing</t>
  </si>
  <si>
    <t>[SSA - SRA] - As a Solution Architect (SA) or Reviewer/Approver (RA) user, I want the Review Agent option to be visible and accessible in the SSA Agent Gallery based on my role.</t>
  </si>
  <si>
    <t>[SSA - SRA] - As a MyISP user, I want Review Agent to appear as a selectable agent in the agent gallery and under prompt library agent dropdown.</t>
  </si>
  <si>
    <t>Prompt related cannot be automated</t>
  </si>
  <si>
    <t>Prompt Driven testing</t>
  </si>
  <si>
    <t>[Gen AI - SSA] - As a myISP User, I want to add the current release updates module‑wise in the What’s New section so that I can quickly understand recent enhancements without navigating external documentation.</t>
  </si>
  <si>
    <t>[Gen AI - SSA] - As a MyISP user, I want to add allow user modification toggle switch in the 'Add Prompt' / 'Edit Prompt' popup that controls whether a prompt is auto-sent to the chat or placed in the chat input box for review.</t>
  </si>
  <si>
    <t>h.anbalagan.deepa</t>
  </si>
  <si>
    <t>Need Admin access to validate this story</t>
  </si>
  <si>
    <t>4476334-L</t>
  </si>
  <si>
    <t>[Gen AI - SSA] - As a myISP user, I should be able to view and play a “read aloud”  option for any SSA chat response so that I can listen to the content.</t>
  </si>
  <si>
    <t>Swati</t>
  </si>
  <si>
    <t>Varadha</t>
  </si>
  <si>
    <t>swati.bo.sharma</t>
  </si>
  <si>
    <t>audio icon is present can be validated</t>
  </si>
  <si>
    <t>Awaiting UAT deployment</t>
  </si>
  <si>
    <t>[GenAI-SSA] As a SSA Product Owner I want a fortnightly email with a summary of all PII reports submitted via SSA chat or module-based forms in the last 14 days So that I can review and action reported PII issues within the governance SLA</t>
  </si>
  <si>
    <t>[GenAI-SSA] As a myISP Product Owner I want an Excel attachment with the PII summary in each fortnightly email and report statuses auto-updated to "Under Review" So that I have an offline audit record and the system tracks pending reviews</t>
  </si>
  <si>
    <t>[GenAI-SSA] As a myISP SSA user I want telemetry captured automatically when I invoke an action-based prompt via SSA So that action usage patterns can be analysed to drive data-informed improvements to the SSA experience</t>
  </si>
  <si>
    <t>Automation is partially feasible because the UI functionality can be automated, but validation of telemetry requires access to network/API payloads, which is not supported in the current Robot Framework setup without additional tools or enhancements.</t>
  </si>
  <si>
    <t>[GenAI-SSA] As a SSA user I want to attach a document in the Edit Prompt pop-up and extract its content into the Instruction and Query fields So that I can author prompts from existing documents without manual copy-paste</t>
  </si>
  <si>
    <t>Related to Prompt Extact and Modify cant be automated</t>
  </si>
  <si>
    <t>[GenAI-SSA] As an SSA user I want to copy prompt by clicking a copy icon displayed beneath each prompt So that I can quickly reuse, share, or modify prompts without manually selecting and copying text</t>
  </si>
  <si>
    <t>[Gen AI - SSA] - Create persona-based RFP synthesis</t>
  </si>
  <si>
    <t>Not suitable for automation due to persona-conditioned GenAI output being non-deterministic and requiring human validation</t>
  </si>
  <si>
    <t>[Gen AI - SSA] - View existing RFP synthesis versions</t>
  </si>
  <si>
    <t>UI flow and persona selection can be automated, but validation of AI-generated persona-based output is non-deterministic and requires manual or heuristic validation.</t>
  </si>
  <si>
    <t>[Gen AI - SSA] - Compare two RFP synthesis versions</t>
  </si>
  <si>
    <t>Prompt related story not feasible to automate</t>
  </si>
  <si>
    <t>[Gen AI - SSA] - Prefill "What are we solving" from synthesis</t>
  </si>
  <si>
    <t>[Gen AI - SSA] - Create DLC from RFP synthesis</t>
  </si>
  <si>
    <t>[Gen AI - SSA] - Create DLC from Digital Solution Plan (DSP)</t>
  </si>
  <si>
    <t>[Gen AI - SSA] - DLC version listing with metadata-rich access</t>
  </si>
  <si>
    <t>[Gen AI - SSA] -Upload RFP documents for an opportunity</t>
  </si>
  <si>
    <t>[Gen AI - SSA] - Create RFP synthesis from uploaded documents</t>
  </si>
  <si>
    <t>[DSP - Core Solution Plan] Transition Solution  in Downloaded PPT/PDF Note should be shown - BPMS Sg.</t>
  </si>
  <si>
    <t xml:space="preserve">Download PPT/PDF Related cant be automated </t>
  </si>
  <si>
    <t>[DSP - Core Solution Plan] Tech for Ops Solution Details  in Downloaded PPT/PDF Note should be shown - BPMS Sg.</t>
  </si>
  <si>
    <t>[DSP - Core Solution Plan] Transition Solution will be enable for Mobilization CXTA users -BPMS sg.</t>
  </si>
  <si>
    <t>[DSP - Core Solution Plan] Tech for Ops Solution Details  should be enabled for tech ops users - BPMS Sg.</t>
  </si>
  <si>
    <t>[DSP - Core Solution Plan]Core solution detail -&gt; Sending location table and graph should be removed from both UI and PPT for BPMS sg.</t>
  </si>
  <si>
    <t>Removed screen cannot be validated  as there is no x-path</t>
  </si>
  <si>
    <t>[DSP - Core Solution Plan]Technology &amp; Archetype Slide in downloaded PPT should be removed for BPMS sg.</t>
  </si>
  <si>
    <t>[DSP - Core Solution Plan]TFO Governance should replaced under Tech ops solution Details - for BPMS sg only.</t>
  </si>
  <si>
    <t>This involves response generation for  200+ nudges. And first response generation will take upto 10-30 mins and sometimes 40 mins. So not feasible for automation</t>
  </si>
  <si>
    <t>4486036(L)</t>
  </si>
  <si>
    <t>As a myISP user, I want the same integration icon that exists at Level 1 nudges to be available at the Level 2 nudge level. So that I can selectively export gap data for each Level 2 nudge individually with the same behavior</t>
  </si>
  <si>
    <t>This involves 200+ nudges response generation and validating in CDAT platform</t>
  </si>
  <si>
    <t>As a myISP user, I want to refine existing AI prompts and add additional validation activities So that the quality, accuracy, and consistency of AI‑generated responses are improved across the platform.</t>
  </si>
  <si>
    <t>This involves response generation for  200+ nudges with updated prompts. And first response generation will take upto 10-30 mins and sometimes 40 mins. So not feasible for automation</t>
  </si>
  <si>
    <t>As a myISP user, I want to receive an email notification when my GenAI response is generated for the first time, So that I can know the response generation status along with nudge details and document processing outcomes.</t>
  </si>
  <si>
    <t>This involves response generation for  200+ nudges. And first response generation will take upto 10-30 mins and sometimes 40 mins. And for every response email validation is there hence its not feasible to automate</t>
  </si>
  <si>
    <t>[SSA - DLC] - As a MyISP user, I want only the applicable service groups for the selected opportunity to be displayed or enabled.</t>
  </si>
  <si>
    <t>[GEN AI - Opportunity Benchmark] - LLM - Enhancing the LLM inputs for OBM Opportunity Cost</t>
  </si>
  <si>
    <t>includes response generation-LLM related</t>
  </si>
  <si>
    <t>As a Solution Architect I want "Others" to be available as a selectable technology in the SI service group technology popup with the DSP-populated Primary Technology&amp;Archetype values visible on the landing page So that I can work on S2C contract content.</t>
  </si>
  <si>
    <t>v.w.chandrasekaran</t>
  </si>
  <si>
    <t>includes response generation-LLM related and includes 80+ nudges where automation is not feasible</t>
  </si>
  <si>
    <t>Validation of 80+ screens (GEN AI Nudge)</t>
  </si>
  <si>
    <t>As a Solution Architect on an Others deal mapped by DSP to Data AI / Data Migration, I want the system to show the correct PLS  when I open Predefined Legal Suggestions, So that I get legal definitions tailored to Data AI / Data Migration.</t>
  </si>
  <si>
    <t>As a SA working on an SI Others deal that does not match the Data AI + Data Migration, I want the system to show the Customised PLS Set B when I select “Predefined Legal Suggestions,” So that I always receive legally curated definitions</t>
  </si>
  <si>
    <t>includes response generation-LLM related and includes 80+ nudges where automation is not feasible and word doc validation.
And to download document all nudges should be generated with multiple technologies</t>
  </si>
  <si>
    <t>[GEN AI - QDI] Integrate Method One API with QDI for Actionable Advice Retrieval</t>
  </si>
  <si>
    <t>API Testing involves</t>
  </si>
  <si>
    <t>When a Nudge is configured with DSP mapping to read content from a file, the system should automatically then, the system should Identify the File Source , Read the File, Extract Relevant Data and Populate the Nudge</t>
  </si>
  <si>
    <t>includes response generation-LLM related and includes 80+ nudges where automation is not feasiblet. we can check for one SG and few nudges</t>
  </si>
  <si>
    <t>As a  SA I want S2C landing SG tiles to be enabled or disabled based on Security context and role So that Security deals are handled only by Security SA while keeping Reviewer access unchanged</t>
  </si>
  <si>
    <t>Involves Multiple deal switching with Different RDE and RDE override combinations and we need to generate SWD document multiple tilmes which require lot of time for automation</t>
  </si>
  <si>
    <t>As a Security SA  I want Security-specific nudges for Security  deals  So that guidance aligns with Security context and governance</t>
  </si>
  <si>
    <t>kalpana.boodidha</t>
  </si>
  <si>
    <t>4491189(H)</t>
  </si>
  <si>
    <t>As a SA or Reviewer I want RDE and RDE Override displayed in the S2C landing header next to MMS ID and Opportunity Name  So that I can confirm the deal?s governance context at the start of the S2C flow</t>
  </si>
  <si>
    <t>As a Security SA or Reviewer I want Security deal Scope &amp; Watchlist documents to include Security context in the file name  So that Security documents are clearly identifiable during review and handling</t>
  </si>
  <si>
    <t>As a SA, I want predefined legal suggestions to automatically populate when I select the Security-related parent nudge and click on "Predefined Legal Suggestions" so that I can quickly use legally approved, security-specific definitions.</t>
  </si>
  <si>
    <t>[GEN AI DLC] Inclusion of BPMS DSP Version for ingesting the DSP Documents in GEN AI DLC</t>
  </si>
  <si>
    <t>[GEN AI SGC] Inclusion of BPMS DSP Version for ingesting the DSP Documents in GEN AI SGC</t>
  </si>
  <si>
    <t>As a Solution Architect (SA) using the S2C module I want technology selection and technology‑driven sections to be suppressed when the deal’s RDE is Security and Service Group is SI</t>
  </si>
  <si>
    <t>Awaiting For UAT Deployement</t>
  </si>
  <si>
    <t>As a Solution Architect working on an IMS deal where RDE = “Security”, I want S2C to fetch Security nudge data from IMS Deal Configuration under Manage Capacity Services, So that I can generate Security-specific contract content within the IMS workflow</t>
  </si>
  <si>
    <t>As a Solution Architect (SA), I want the visibility and enablement of the S2C agent under SSA to be controlled based on the RDE value and RDE Override, So that the S2C agent is accessible only to the appropriate SA role (Security SA or other SAs)</t>
  </si>
  <si>
    <t>[SSA - QDI] - As a MyISP user, I want to design &amp; view the auto-generated learning in the Retrospective Insights and Learnings module.</t>
  </si>
  <si>
    <t>This involves Lead SA assignment scenario, where it requires new deal everytime to validate these  learning generation scenarios. hence not feasible for automation.</t>
  </si>
  <si>
    <t>[SSA - QDI] - As a MyISP user, I want the 'Client &amp; Competitive Insights' tab to display 2 sub-sections 'Client Insights' and 'Opportunity Insights' inside the auto-generated learning.</t>
  </si>
  <si>
    <t>[SSA - QDI] - As a MyISP user, I want to trigger the auto-generation of 'Starter Learning' when the first Lead SA assignment is done (or) Solution ID is created for the deal.</t>
  </si>
  <si>
    <t>[SSA - QDI] - As a MyISP user, I want to trigger mails for the Lead SAs and Enterprise SAs when the learning is auto-generated.</t>
  </si>
  <si>
    <t>[SSA - QDI] - As a MyISP user, I want to auto-generate the learning with default filters, on the Retrospective Insights and Learnings module Landing Page.</t>
  </si>
  <si>
    <t>[GenAI – SRA ] : SA Landing Page Enhancements.</t>
  </si>
  <si>
    <t>[Technical] [GenAI - SRA] - Improving Error Transparency Across Upload, Ingestion &amp; LLM Processing</t>
  </si>
  <si>
    <t>Can't be automated as story contains multiple complex LLM response validation testing(technical)</t>
  </si>
  <si>
    <t>[SSA - SRA] - Review Agent: Impact Metrics in the agent info. pane.</t>
  </si>
  <si>
    <t>4486499(M)</t>
  </si>
  <si>
    <t>[SSA - SRA] - As a MyISP user, I want the SSA chat to intelligently resolve my intent and route my queries to the Review Agent in the SSA chat.</t>
  </si>
  <si>
    <t>[SSA - SRA] - As a MyISP user, I want the SSA chat to be accessible as a small icon on the right side of the Review Agent module with expand and collapse options.</t>
  </si>
  <si>
    <t>[SSA - SRA] - Solution Architect's Consolidated Notes – Centralized Notes Management</t>
  </si>
  <si>
    <t>Complex scenario and multiple validation takes more time to automate</t>
  </si>
  <si>
    <t>[SSA - SRA] - As a MyISP user, I want the Review Outcomes displayed as visually rich tiles (cards) on the Review Agent Landing page.</t>
  </si>
  <si>
    <t>Multiple UI validation</t>
  </si>
  <si>
    <t>Bug - 4491106(H), 4489669(H)</t>
  </si>
  <si>
    <t>[SSA - SRA] - As a MyISP user, I want to enable and select 'IMS', 'BPMS', 'SI' service groups as sub-tags in Document management, after uploading the Solution Plan so that user can tag accordingly for the review.</t>
  </si>
  <si>
    <t>Assigned back to dev due to New change requirement</t>
  </si>
  <si>
    <t>[SRA] - As a MyISP user, I want to enable and select Solution Plans tagged under 'IMS' service group in the start new review pop-up and proceed with review.</t>
  </si>
  <si>
    <t xml:space="preserve">Not suitable for full automation .as it is response related user story </t>
  </si>
  <si>
    <t>Bug ID: 4483058-F(M)</t>
  </si>
  <si>
    <t>[Gen AI - SRA] : SA clicks on "Client Imposed Constraints" under Key References</t>
  </si>
  <si>
    <t xml:space="preserve">Require cross validation with mySP WRWS screen with Gen AI </t>
  </si>
  <si>
    <t>[Gen AI - SRA] : SA clicks on "MSDA" under Key References</t>
  </si>
  <si>
    <t>Involves multiple UI validation with powerBI report validation</t>
  </si>
  <si>
    <t>Power BI report Validation</t>
  </si>
  <si>
    <t>[Gen AI - SRA] : SA clicks on "DSP" under Key References</t>
  </si>
  <si>
    <t>Bug ID: 4491044-F(H)</t>
  </si>
  <si>
    <t>[Technical] [GenAI - SRA] - Controlled Email Notification for Review Agent Document Upload</t>
  </si>
  <si>
    <t>Document upload and Email validation required.</t>
  </si>
  <si>
    <t>Awaiting UAT Deployment</t>
  </si>
  <si>
    <t>[GenAI-SRA] - Enforce Service Group restriction based on SA–MMS ID mapping across Solution Review module</t>
  </si>
  <si>
    <t>Requires multi SA role validations with different SA-MMS ID-Service Group mappings</t>
  </si>
  <si>
    <t>[Gen AI - SRA] - Enable Solution Architect to create and manage notes</t>
  </si>
  <si>
    <t>[Gen AI -SRA] : SA to mark one of the Self Review Outcome as Final Version</t>
  </si>
  <si>
    <t>4491456(M), 4491498(M)</t>
  </si>
  <si>
    <t>[SSA - HSP] - Addition of SG-wise prompts for prompt category 'Dependencies'.</t>
  </si>
  <si>
    <t>Venkat</t>
  </si>
  <si>
    <t>v.imdabattuni</t>
  </si>
  <si>
    <t>LLM/Prompt related story</t>
  </si>
  <si>
    <t>[SSA - HSP] - Addition of SG-wise prompts for prompt category 'Differentiators'.</t>
  </si>
  <si>
    <t>[SSA - HSP] - Addition of SG-wise prompts for prompt category 'GenAI Differentiators'.</t>
  </si>
  <si>
    <t>[SSA - HSP] - Addition of SG-wise prompts for prompt category 'KDA'.</t>
  </si>
  <si>
    <t>[SSA - HSP] - Addition of SG-wise prompts for prompt category 'Productivity &amp; Levers'.</t>
  </si>
  <si>
    <t>[SSA - HSP] - Addition of SG-wise prompts for prompt category 'Assumptions'.</t>
  </si>
  <si>
    <t>ailla.dinesh.goud</t>
  </si>
  <si>
    <t>[SSA - HSP] - Addition of SG-wise prompts for prompt category 'Pyramids'.</t>
  </si>
  <si>
    <t>[SSA - HSP] - Addition of SG-wise prompts for prompt category 'Review and Approval'.</t>
  </si>
  <si>
    <t>[SSA - HSP] - Addition of SG-wise prompts for prompt category 'Risk'.</t>
  </si>
  <si>
    <t>[SSA - HSP] - Addition of SG-wise prompts for prompt category 'Staffing and Headcount'.</t>
  </si>
  <si>
    <t>[SSA - HSP] - Addition of SG-wise prompts for prompt category 'Transition'.</t>
  </si>
  <si>
    <t>[SSA - HSP] - Addition of SG-wise prompts for prompt category 'Program Delivery'.</t>
  </si>
  <si>
    <t>[SSA - HSP] - Addition of SG-wise prompts for prompt category 'Client Expectations'.</t>
  </si>
  <si>
    <t>[PMO] As a PMO user, I should be able to navigate to Manage / Dashboard screen with the new URL from Digital Documentation</t>
  </si>
  <si>
    <t>[SSA-SRA] - SA Review Preparation</t>
  </si>
  <si>
    <t>4491106(H)</t>
  </si>
  <si>
    <t>[SSA - SRA] - As a MyISP, I want to change the parameter check display format during attribute review.</t>
  </si>
  <si>
    <t>includes response generation</t>
  </si>
  <si>
    <t>[SSA - SRA] - Filter and Search Parameters in Left Navigation Panel on the Review Response Page</t>
  </si>
  <si>
    <t>multiple UI scenarios related story with multiple scenarios very complex to automate</t>
  </si>
  <si>
    <t>[SSA - SRA] - Feature Tray icons and their functionality.</t>
  </si>
  <si>
    <t>[SSA - DLC] - I want Solution Super Agent icon to intelligently open the deal level canvas module inside it.</t>
  </si>
  <si>
    <t>As a myISP Solution Architect, I want to see the DSP GenAI App migrated to Angular 21</t>
  </si>
  <si>
    <t>Sai Kumar</t>
  </si>
  <si>
    <t>sai.kumar.mandala</t>
  </si>
  <si>
    <t>US cannot be automated in PROD since new versions cannot be created</t>
  </si>
  <si>
    <t>Technical US - Full Regression required</t>
  </si>
  <si>
    <t>[DSP Core solution plan] SCC data to be displayed in DSP - AMS &gt; add to contingency slide For Download PPT/PDF , other template decks .</t>
  </si>
  <si>
    <t>[SSA- RFP Goal] As a Solution Architect, I want goal-based action nudges on the SSA landing page for RFP upload, context, and synthesis, so I can start an end-to-end RFP response from one place without switching modules.</t>
  </si>
  <si>
    <t>Prompt Validation needed for all Nudges</t>
  </si>
  <si>
    <t>[SSA-RFP Goal] As a Solution Architect, I want to upload or select an RFP in SSA chat via the P1 nudge or attach icon, with MMS ID validation, duplicate checks, and auto RFP tagging synced to Document Management.</t>
  </si>
  <si>
    <t>Prompt-related story and the document upload multiple files functionality - New story which will be delivered only around 27-28th Apr</t>
  </si>
  <si>
    <t>[SSA- RFP Goal] As a Solution Architect, I want real-time upload progress in SSA chat with the chat input locked and left navigation enabled, so I can track uploads while continuing to navigate SSA.</t>
  </si>
  <si>
    <t>Real Time Progress check and Switch between different agents and check backend document upload - New story which will be delivered only around 27-28th Apr</t>
  </si>
  <si>
    <t>[SSA- RFP Goal] As a Solution Architect, I want SSA to surface the 3 opportunity context questions from myISP with current answers and allow inline updates synced back to myISP, so RFPs stay aligned to client strategy without switching tools.</t>
  </si>
  <si>
    <t>Prompts Related testing which switching between 3 MMS ID and verify response and contains API validation.  - New story which will be delivered only around 27-28th Apr</t>
  </si>
  <si>
    <t>[SSA- RFP Goal] As a Solution Architect, I want SSA to auto-detect the persona from RDE, let me confirm or change it, generate a new synthesis, and expose a navigation tile, so I can create persona-fit RFPs without manual module navigation.</t>
  </si>
  <si>
    <t>LLM/Prompt related story - New story which will be delivered only around 27-28th Apr</t>
  </si>
  <si>
    <t>[SSA- RFP Goal] As a Solution Architect, I want to view and compare RFP synthesis versions (with Master flag) in SSA chat and get an AI comparison with a Modify option, so I can select the right version without leaving SSA.</t>
  </si>
  <si>
    <t>[GEN AI - Opportunity Benchmark] --SSA Chat Benchmark Cohort Picker Enhancement</t>
  </si>
  <si>
    <t>As OBM LLM Sotry, we will validate UI Fields as much as possible</t>
  </si>
  <si>
    <t>[GEN AI - Opportunity Benchmark] - GenAI Insights MMS ID Unmasking &amp; Client Name Display</t>
  </si>
  <si>
    <t>AS PBI Related story,  Dynamic insights can't be validated as values and text will change everytime based on Refresh</t>
  </si>
  <si>
    <t>[SSA-DLC Goal] - As a MyISP user, I want to create a new DLC version using Synthesized RFP version as input, through action-based prompts in the SSA chat.</t>
  </si>
  <si>
    <t>[SSA-DLC Goal] - As a MyISP user, I want to create a new DLC version using DSP version/Other documents as input, through action-based prompts in the SSA chat.</t>
  </si>
  <si>
    <t>[SSA- RFP Goal] As a Solution Architect, I want the SSA agent to suggest 2–3 relevant next actions after synthesis or comparison, aligned to my last step, so I can continue the RFP workflow without remembering the next action.</t>
  </si>
  <si>
    <t>LLM/Prompt related story as we need to validate he follow-up questions after response generation</t>
  </si>
  <si>
    <t>[GENAI - OBM] Unmasking the Client details in Benchmark Opportunity Picker for OBM.</t>
  </si>
  <si>
    <t>AS PBI Related story,  we will validate UI Fields as much as possible</t>
  </si>
  <si>
    <t>[GEN AI - OBM] Displaying all details in Demographics section without masking for both Cost and Metrics tabs.</t>
  </si>
  <si>
    <t>[SSA-DLC Goal] - As a MyISP user, I want to View &amp; open the existing DLC versions using Synthesized RFP version as input, through action-based prompts in the SSA chat.</t>
  </si>
  <si>
    <t>FY26 [BPMS BAU] - Impact of Productivity&amp;Impacted Screens_Employee&amp;HR _E2E_(EmpSupport &amp; WFDA)_Test Only_Part 2</t>
  </si>
  <si>
    <t>Aayushi</t>
  </si>
  <si>
    <t>FY26 [BPMS BAU] - Impact of Productivity&amp;Impacted Screens_Case Management__Test Only_Part 2</t>
  </si>
  <si>
    <t>Rubhashri</t>
  </si>
  <si>
    <t>FY26 [BPMS BAU] - Validate Productivity Dashboard Reflects Updated Values_Talent_Services</t>
  </si>
  <si>
    <t>FY26 [BPMS BAU] - Validate Pyramid Details, GDC, and Reports Reflect Updated Productivity_Talent_Services</t>
  </si>
  <si>
    <t xml:space="preserve"> FY26 [BPMS BAU] - New Service Component Onboarding_Talent_Services_Talent_Development_Learning Experience and Pathways - Test Only</t>
  </si>
  <si>
    <t>Vishnu</t>
  </si>
  <si>
    <t xml:space="preserve"> FY26 [BPMS BAU] - Introduction of new tools_System Generated_Manual and Retention of Foundational Tools for Employee HR_Talent_Part2</t>
  </si>
  <si>
    <t xml:space="preserve"> FY26 [BPMS BAU] - Introduction of new tools_System Generated_Manual and Retention of Foundational Tools for Employee HR_Talent_Part1</t>
  </si>
  <si>
    <t>As a Solution Architect, I want a dedicated SEP Pricing Inputs UI for SI with prerequisite validations, so that I can provide all mandatory inputs required to successfully trigger SI OCP generation</t>
  </si>
  <si>
    <t>Lohit</t>
  </si>
  <si>
    <t>As a Solution Architect, I want to define system-defined and custom groups for SI, so that pricing and contingency can be managed at the appropriate grouping level.</t>
  </si>
  <si>
    <t>As a Solution Architect, I want to define contractual coverage and FX risk details for SI, so that pricing reflects contract-driven risk exposure.</t>
  </si>
  <si>
    <t>As a Solution Architect, I want to define contingency and PMO parameters for SI, so that risk buffers are accurately included in pricing.</t>
  </si>
  <si>
    <t>As a Solution Architect, I want to configure billing terms and SLA service credits for SI, so that pricing aligns with contractual billing structures.</t>
  </si>
  <si>
    <t>As a Solution Architect, I want to choose between deal-wide pricing or pricing by group, so that SI pricing can be modeled accurately.</t>
  </si>
  <si>
    <t>As a Solution Architect, I want to configure rate cards for SI, so that labor pricing is calculated correctly in OCP.</t>
  </si>
  <si>
    <t>As a Solution Architect, I want to trigger the One Click Pricing (OCP) Engine for IMS and SI with clear sync behavior and user selection, so that cost and price simulations reflect exactly the service data I intend to sync.</t>
  </si>
  <si>
    <t>As a Solution Architect, I want the ability to abort an in‑progress Multi‑Service Deal Analytics (MSDA) sync from INSPIRE, so that I can stop long‑running or incorrect MSDA simulations without waiting for completion.</t>
  </si>
  <si>
    <t>As a system user, I want to configure new offerings, services, and sub‑services, So that the service catalog reflects expanded operational capabilities</t>
  </si>
  <si>
    <t>UAT CRs</t>
  </si>
  <si>
    <t>Monthly MRDB - May'26 Release</t>
  </si>
  <si>
    <t>May Release - Regression Testing</t>
  </si>
  <si>
    <t>Sonar Lint - 1</t>
  </si>
  <si>
    <t>Sonar Lint - 2</t>
  </si>
  <si>
    <t>Sonar Lint -3</t>
  </si>
  <si>
    <t>Node Js Upgrade - 1</t>
  </si>
  <si>
    <t>Node Js Upgarde - 2</t>
  </si>
  <si>
    <t>[PMO] As a PMO user, I should be able to navigate to Manage / Dashboard screen with the new URL from Solution Component - IMS</t>
  </si>
  <si>
    <t>As an IMS Solution Architect, I want the pricing details generated in IMS to be sent to DCSO through an API so that DCSO has the latest IMS pricing data for tracking and reporting</t>
  </si>
  <si>
    <t>INSPIRE Home Screen – Validation of Career Track and Economic Profile Combinations</t>
  </si>
  <si>
    <t>[PMO] As a PMO user, I should be able to navigate to Manage / Dashboard screen with the new URL from Solution Component - SI</t>
  </si>
  <si>
    <t>As a myISP Solution Architect, I want to see the BPMS Generic Calculator App migrated to Angular 21</t>
  </si>
  <si>
    <t>CXTA Full screen Regression required</t>
  </si>
  <si>
    <t>As a BPMS user working in the Reporting &amp; Compliance - Generative AI screen, I want an "Overall" summary column appended at the end of the Year-on-Year productivity grid (after CY10), So that I can view the aggregated productivity value across all CY</t>
  </si>
  <si>
    <t>[PMO] As a PMO user, I should be able to navigate to Manage / Dashboard screen with the new URL from Digital DCSO</t>
  </si>
  <si>
    <t>[PMO] As a PMO user, I should be able to navigate to Manage / Dashboard screen with the new URL from Solution Component - BPMS</t>
  </si>
  <si>
    <t xml:space="preserve">4446666
</t>
  </si>
  <si>
    <t>Akshay</t>
  </si>
  <si>
    <t>Prateek</t>
  </si>
  <si>
    <t>FY26 [BPMS BAU] - Changes related to custom parameter file</t>
  </si>
  <si>
    <t xml:space="preserve">4436384
</t>
  </si>
  <si>
    <t>[PMO] As a PMO user, I should be able to redirect to DFD request description page when clicked on Edit from PMO Dashboard</t>
  </si>
  <si>
    <t>This is an integration user story, hence cannot be automated(PMO - DFD Integration)</t>
  </si>
  <si>
    <t>As a DFD requestor, I should be able to get the updated routing logic for Song SA requests post creation and edit</t>
  </si>
  <si>
    <t>Manjunath</t>
  </si>
  <si>
    <t>Fresh deals  needs to be placed for each time for validating email</t>
  </si>
  <si>
    <t>As a DFD requestor, I should get updated routing logic for SC.GlobalNetwork.Platform.SAP.SA DL based on SGs (SC, SI or CON)</t>
  </si>
  <si>
    <t>As a System Developer, I should ensure that FTS flags are consistently updated when FTS email is triggered from PLD Dashboard screen so that users see accurate FTS status across all screens</t>
  </si>
  <si>
    <t xml:space="preserve">Sairam </t>
  </si>
  <si>
    <t>As a myisp Solution Architect, I want the DCSO tab to be removed from the SI KDA/Reports screen So that users do not access or generate DCSO information from the KDA / Reports interface.</t>
  </si>
  <si>
    <t>As a myisp Solution Architect, I want the DCSO tab to be removed from the AMS KDA/Reports screen So that users do not access or generate DCSO information from the KDA / Reports interface.</t>
  </si>
  <si>
    <t>FY26 [BPMS BAU] - DVE Naming Fix: Rename "DVE Revised Report" to "DVE FTE Planner"</t>
  </si>
  <si>
    <t>FY26 [BPMS BAU] - Align INSPIRE GST File Naming with Solution Models</t>
  </si>
  <si>
    <t>SI | CON-CAS | Technology Group should default to Consulting, Technology Role to be populated and Standard Role auto-populated as per mapping</t>
  </si>
  <si>
    <t>Partial / Need to validate Excel validation</t>
  </si>
  <si>
    <t>s</t>
  </si>
  <si>
    <t>Sum of Passed</t>
  </si>
  <si>
    <t>Sum of Failed</t>
  </si>
  <si>
    <t>Sum of Blocked</t>
  </si>
  <si>
    <t>Sum of Not Run</t>
  </si>
  <si>
    <t>Sum of Total</t>
  </si>
  <si>
    <t>Pass%</t>
  </si>
  <si>
    <t>Risk Points</t>
  </si>
  <si>
    <t>ETA to complete not run</t>
  </si>
  <si>
    <t>Blocker Bug ids</t>
  </si>
  <si>
    <t>4 user stories blocked with high bugs</t>
  </si>
  <si>
    <t>based on bug resolution</t>
  </si>
  <si>
    <t>High-4423607, 4423487, 4423233</t>
  </si>
  <si>
    <t>1 US not delivered PT
4 stories blocked with high bug</t>
  </si>
  <si>
    <t>Based on defect resoltuion</t>
  </si>
  <si>
    <t>High - 4427916, 4425106, 4424806</t>
  </si>
  <si>
    <t>3 not delivered to PT
OBM - there are data issues</t>
  </si>
  <si>
    <t>Rest not run ETA - Friday EOD
OBM - depend on data issues resolution</t>
  </si>
  <si>
    <t>High - 4372048, 4418785, 4426061, 4427785</t>
  </si>
  <si>
    <t>2 Blocked US because of high bug</t>
  </si>
  <si>
    <t>Rest not run ETA - Thursday EOD</t>
  </si>
  <si>
    <t>High-4426382,4426061,4425767</t>
  </si>
  <si>
    <t>2 not delivered to PT
4 US blocked with high bugs</t>
  </si>
  <si>
    <t>4428481(H), 4427044(H), 4427142(H), 4425522(H), 4425287(H)</t>
  </si>
  <si>
    <t>No blockers</t>
  </si>
  <si>
    <t>NOT run ETA - Thursday EOD</t>
  </si>
  <si>
    <t>13 Not delivered to PT 
2 US blocked with high bugs</t>
  </si>
  <si>
    <t>Rest not run ETA - Friday 1 PM</t>
  </si>
  <si>
    <t>4425220(H),</t>
  </si>
  <si>
    <t>1 US blocked with high bug</t>
  </si>
  <si>
    <t>4427422 - H</t>
  </si>
  <si>
    <t>Not Run - Friday 1 PM</t>
  </si>
  <si>
    <t>2 US blocked with C and H bug</t>
  </si>
  <si>
    <t>4427905 -C,4427541(H),4428646(H),4427330(H),4427541(H),4427684(H),4426302(H),4424934(H),4425358(H),4418463(H),4420794(H),4423481(H)</t>
  </si>
  <si>
    <t>System</t>
  </si>
  <si>
    <t>PT</t>
  </si>
  <si>
    <t xml:space="preserve">UAT </t>
  </si>
  <si>
    <t>myISP</t>
  </si>
  <si>
    <t xml:space="preserve">https://myspnextgen-ops.ciostage.accenture.com </t>
  </si>
  <si>
    <t xml:space="preserve">https://myISPnextgen1-uat.ciotest.accenture.com </t>
  </si>
  <si>
    <t>MMS</t>
  </si>
  <si>
    <t>https://accenture--AprAglTst.sandbox.my.salesforce.com/</t>
  </si>
  <si>
    <t>https://accenture--Q2Stg.sandbox.my.salesforce.com/</t>
  </si>
  <si>
    <t>Test Rebar beta - Switch on Jan 12th - Marqtrtst</t>
  </si>
  <si>
    <t xml:space="preserve"> after 16th march, Test MMS URL</t>
  </si>
  <si>
    <t>MMP</t>
  </si>
  <si>
    <t>MMP Test</t>
  </si>
  <si>
    <t>MMP Stage</t>
  </si>
  <si>
    <t xml:space="preserve">Test rebar stage - No change - Q2 stage. </t>
  </si>
  <si>
    <t>myISP - Mar 28th Release</t>
  </si>
  <si>
    <t>POC</t>
  </si>
  <si>
    <t>Release POCs</t>
  </si>
  <si>
    <t>IMS</t>
  </si>
  <si>
    <t>https://myispimsstage1-services.ciostage.accenture.com/</t>
  </si>
  <si>
    <t>https://myisp-imsuat1.ciostage.accenture.com</t>
  </si>
  <si>
    <t>Aqil/Release POCs</t>
  </si>
  <si>
    <t>BPMS</t>
  </si>
  <si>
    <t>https://bpmssolutionestimator.uat.accenture.com</t>
  </si>
  <si>
    <t>MDA</t>
  </si>
  <si>
    <t>MDA Instance 2</t>
  </si>
  <si>
    <t>Analytics</t>
  </si>
  <si>
    <t>Analytics Instance 2</t>
  </si>
  <si>
    <t>DATA KDA</t>
  </si>
  <si>
    <t>SSA</t>
  </si>
  <si>
    <t>SSA PT </t>
  </si>
  <si>
    <t>SSA Demo</t>
  </si>
  <si>
    <t>SCA</t>
  </si>
  <si>
    <t>SCA PT</t>
  </si>
  <si>
    <t>SCA UAT </t>
  </si>
  <si>
    <t>Costing SCC</t>
  </si>
  <si>
    <t xml:space="preserve">AC- Gen Wizard </t>
  </si>
  <si>
    <t>Gen AI</t>
  </si>
  <si>
    <t>IDRA</t>
  </si>
  <si>
    <t xml:space="preserve">AAI - Apps </t>
  </si>
  <si>
    <t>AC - Gen AI Assets</t>
  </si>
  <si>
    <t>mydiagnostics</t>
  </si>
  <si>
    <t>mySP Initiative</t>
  </si>
  <si>
    <t>Sub Initiative</t>
  </si>
  <si>
    <t>TextVerification</t>
  </si>
  <si>
    <t>Parent</t>
  </si>
  <si>
    <t>State</t>
  </si>
  <si>
    <t>Testing POC</t>
  </si>
  <si>
    <t>Planned for PT Date</t>
  </si>
  <si>
    <t>Actual PT Date</t>
  </si>
  <si>
    <t>Planned UAT Date</t>
  </si>
  <si>
    <t>Actual UAT Date</t>
  </si>
  <si>
    <t>Assigned To</t>
  </si>
  <si>
    <t>Production Deployment Date</t>
  </si>
  <si>
    <t>Story Points</t>
  </si>
  <si>
    <t>Original Estimate</t>
  </si>
  <si>
    <t>Priority</t>
  </si>
  <si>
    <t>ETA</t>
  </si>
  <si>
    <t>UT Results Attached</t>
  </si>
  <si>
    <t>Code Review Completed</t>
  </si>
  <si>
    <t>Created By</t>
  </si>
  <si>
    <t>Created Date</t>
  </si>
  <si>
    <t>Tags</t>
  </si>
  <si>
    <t>Area Path</t>
  </si>
  <si>
    <t>Iteration Path</t>
  </si>
  <si>
    <t>Plan</t>
  </si>
  <si>
    <t>Remaining</t>
  </si>
  <si>
    <t>TextVerification1</t>
  </si>
  <si>
    <t>ExternalRef ID</t>
  </si>
  <si>
    <t>Services - Learn &amp; Launch enhancements with BPMS support button</t>
  </si>
  <si>
    <t>Platform Consolidation</t>
  </si>
  <si>
    <t>NextGen</t>
  </si>
  <si>
    <t>Learn</t>
  </si>
  <si>
    <t>As a myISP user, I want to see "BPMS" as a support option alongside AMS, SI, and IMS in both the "Email" support sections on all 10-step screens. So that I can easily raise BPMS-related support requests.</t>
  </si>
  <si>
    <t>Test Complete</t>
  </si>
  <si>
    <t>MYISP_Revamp_UI</t>
  </si>
  <si>
    <t>Krishnan, Pirtheebaa &lt;pirtheebaa.krishnan@accenture.com&gt;</t>
  </si>
  <si>
    <t>Shaik, Sadhik A. &lt;sadhik.a.shaik@accenture.com&gt;</t>
  </si>
  <si>
    <t>Kaliki, Tulasi Reddy &lt;tulasi.reddy.kaliki@accenture.com&gt;</t>
  </si>
  <si>
    <t>9th May; Learn; MFE Host; UAT Testing Not Required</t>
  </si>
  <si>
    <t>AutomationProcess_29697\mySPIntegratedSolutionPlatform\MYISP_Revamp_UI</t>
  </si>
  <si>
    <t>AutomationProcess_29697\mySolutionPlanner\R44\Sprint 107</t>
  </si>
  <si>
    <t>Launch, &amp; Services (PART 1)</t>
  </si>
  <si>
    <t>vikrant.r.mohite</t>
  </si>
  <si>
    <t>Angular upgrade version 19 to version 21 - 9th May</t>
  </si>
  <si>
    <t>Rapid Soln</t>
  </si>
  <si>
    <t>Drop 4 - Angular upgrade v19 to v21</t>
  </si>
  <si>
    <t>Baskaran, Nandini &lt;nandini.baskaran@accenture.com&gt;</t>
  </si>
  <si>
    <t>Bindu, Vadde &lt;vadde.bindu@accenture.com&gt;</t>
  </si>
  <si>
    <t>Kamble, Pallavi &lt;pallavi.kamble@accenture.com&gt;</t>
  </si>
  <si>
    <t>Angular upgrade v19 to v21; PT Regression; UAT Testing Not Required; ValueShaping - MFE</t>
  </si>
  <si>
    <t>AutomationProcess_29697\mySolutionPlannerIntegratedSolutionPlatform</t>
  </si>
  <si>
    <t>Value Shaping - MFE</t>
  </si>
  <si>
    <t>Ramkumar, Yuvanitharsana &lt;r.yuvanitharsana@accenture.com&gt;</t>
  </si>
  <si>
    <t>Angular upgrade v19 to v21; Generic Calculator App; PT Regression; UAT Testing Not Required</t>
  </si>
  <si>
    <t>Generic Calculator App</t>
  </si>
  <si>
    <t>Pachipulusu, Naga Venkata Sai Durga Rohitha &lt;naga.v.pachipulusu@accenture.com&gt;</t>
  </si>
  <si>
    <t>NA</t>
  </si>
  <si>
    <t>Angular upgrade v19 to v21; Automation Calculator App; PT Regression; UAT Testing Not Required</t>
  </si>
  <si>
    <t>Automation Calculator App</t>
  </si>
  <si>
    <t>Vv, Shini &lt;shini.vv@accenture.com&gt;</t>
  </si>
  <si>
    <t>E J, Lakshmi &lt;lakshmi.e.j@accenture.com&gt;</t>
  </si>
  <si>
    <t>Angular upgrade v19 to v21; BPMS Generic Calculator App; PT Regression; UAT Testing Not Required</t>
  </si>
  <si>
    <t>BPMS Generic Calculator App</t>
  </si>
  <si>
    <t>[PMO] URL update for Manage and Dashboard screens</t>
  </si>
  <si>
    <t>PMO</t>
  </si>
  <si>
    <t>Sheik Fusulee A, Mohamed &lt;m.sheik.fusulee.a@accenture.com&gt;</t>
  </si>
  <si>
    <t>Vijay Deshpande, Prajakta &lt;p.vijay.deshpande@accenture.com&gt;</t>
  </si>
  <si>
    <t>9th May; MFE Host; UAT Testing Not Required</t>
  </si>
  <si>
    <t>PMO - Manage</t>
  </si>
  <si>
    <t>V2V</t>
  </si>
  <si>
    <t>[Attach Calculator]As a myISP user, I need to see the updated UI in R2 screens when Attach Calculator is introduced along with Differentiation screen</t>
  </si>
  <si>
    <t>UAT In Test</t>
  </si>
  <si>
    <t>Magundanavar, Dinesh &lt;dinesh.magundanavar@accenture.com&gt;</t>
  </si>
  <si>
    <t>Pandey, Ansh &lt;ansh.pandey@accenture.com&gt;</t>
  </si>
  <si>
    <t>9th May; CCB Approved; MFE Host</t>
  </si>
  <si>
    <t>AutomationProcess_29697</t>
  </si>
  <si>
    <t>Preference Setting</t>
  </si>
  <si>
    <t>Das, Leena &lt;leena.a.das@accenture.com&gt;</t>
  </si>
  <si>
    <t>Babu, Csd &lt;csd.babu@accenture.com&gt;</t>
  </si>
  <si>
    <t>Angular upgrade v19 to v21; CCB Yet to Approve; DSPGenAI; PT Regression; UAT Testing Not Required</t>
  </si>
  <si>
    <t>DSP GenAI</t>
  </si>
  <si>
    <t>Services - Learn &amp; Launch enhancements</t>
  </si>
  <si>
    <t>As a myISP platform administrator I want to update the "Give Feedback" link across all touchpoints in MFHost, myISP to point to the new feedback form So that user feedback is routed to the correct owner</t>
  </si>
  <si>
    <t>Umardand, Namrata G. &lt;namrata.g.umardand@accenture.com&gt;</t>
  </si>
  <si>
    <t>CCB Approved; Development Request; Learn; UAT Testing Not Required</t>
  </si>
  <si>
    <t>Inspire</t>
  </si>
  <si>
    <t>May Release</t>
  </si>
  <si>
    <t>INSPIRE Home Screen � Validation of Career Track and Economic Profile Combinations</t>
  </si>
  <si>
    <t>myISP_IMS</t>
  </si>
  <si>
    <t>P K, Prabitha &lt;prabitha.p.k@accenture.com&gt;</t>
  </si>
  <si>
    <t>Srinivasan, Vaidheki &lt;vaidheki.srinivasan@accenture.com&gt;</t>
  </si>
  <si>
    <t>AutomationProcess_29697\mySPIntegratedSolutionPlatform\myISP_IMS</t>
  </si>
  <si>
    <t>AutomationProcess_29697\mySolutionPlannerRapidSolutioning\R65\Sprint165</t>
  </si>
  <si>
    <t>INSPIRE</t>
  </si>
  <si>
    <t>supriya.a.dhingra</t>
  </si>
  <si>
    <t>IMS Modernization common screens</t>
  </si>
  <si>
    <t>Solution Components- Navigation</t>
  </si>
  <si>
    <t>Indra, Vandana &lt;vandana.indra@accenture.com&gt;</t>
  </si>
  <si>
    <t>Zanpure, Priti &lt;priti.s.zanpure@accenture.com&gt;</t>
  </si>
  <si>
    <t>CCB Approved; IMS Modernization</t>
  </si>
  <si>
    <t>AutomationProcess_29697\mySPRapidSolutioning\TechWarriors</t>
  </si>
  <si>
    <t>AutomationProcess_29697\mySolutionPlannerRapidSolutioning\IMSModernization\MVP1.3-Drop2</t>
  </si>
  <si>
    <t>Supriya.a.dhingra</t>
  </si>
  <si>
    <t>IMS BAU - Multi Tower Pricing (OCP for SI)</t>
  </si>
  <si>
    <t>IMS BAU; UAT Testing Not Required</t>
  </si>
  <si>
    <t>MDA personalization</t>
  </si>
  <si>
    <t>As a Solution Architect, I want the ability to abort an in?progress Multi?Service Deal Analytics (MSDA) sync from INSPIRE, so that I can stop long?running or incorrect MSDA simulations without waiting for completion.</t>
  </si>
  <si>
    <t>IMS BAU - Change Requests</t>
  </si>
  <si>
    <t>As a system user, I want to configure new offerings, services, and sub?services, So that the service catalog reflects expanded operational capabilities</t>
  </si>
  <si>
    <t>IMS BAU - Monthy MRDB</t>
  </si>
  <si>
    <t>IMS BAU - Regression Testing</t>
  </si>
  <si>
    <t>IMS BAU - Technical User Stories</t>
  </si>
  <si>
    <t>Ls, Srividhya &lt;srividhya.ls@accenture.com&gt;</t>
  </si>
  <si>
    <t>Ashok, Sindhuja &lt;sindhuja.ashok@accenture.com&gt;</t>
  </si>
  <si>
    <t>DCSO; myISP Adv; UAT Testing Not Required</t>
  </si>
  <si>
    <t>GoRetro</t>
  </si>
  <si>
    <t>Jain, Himanshu &lt;himanshu.m.jain@accenture.com&gt;</t>
  </si>
  <si>
    <t>Gawad, Prachiti &lt;prachiti.mohan.gawad@accenture.com&gt;</t>
  </si>
  <si>
    <t>UAT Testing Not Required</t>
  </si>
  <si>
    <t>AutomationProcess_29697\mySPIntegratedSolutionPlatform\GoRetro</t>
  </si>
  <si>
    <t>As a Delivery Lead - ATCI, I want to access the WRWS tile in read-only mode for AMS/IMS/SI so that I can view workflow details without making any changes.</t>
  </si>
  <si>
    <t>Kiranmai, Enuga &lt;enuga.kiranmai@accenture.com&gt;</t>
  </si>
  <si>
    <t>DCSO; myISP Adv</t>
  </si>
  <si>
    <t>AutomationProcess_29697\mySolutionPlannerRapidSolutioning</t>
  </si>
  <si>
    <t>As a Delivery Lead - ATCP, I want to access the WRWS tile in read-only mode for AMS/IMS/SI so that I can view workflow details without making any changes.</t>
  </si>
  <si>
    <t>Thangaraj, Dinesh &lt;dinesh.thangaraj@accenture.com&gt;</t>
  </si>
  <si>
    <t>As a Delivery Lead - Global, I want to access the WRWS tile in read-only mode for AMS/IMS/SI so that I can view workflow details without making any changes.</t>
  </si>
  <si>
    <t>Taqi, Mohd Kumail &lt;mohd.kumail.taqi@accenture.com&gt;</t>
  </si>
  <si>
    <t>TechPhantoms</t>
  </si>
  <si>
    <t>Raju Mandapati, Vijaykumar &lt;v.raju.mandapati@accenture.com&gt;</t>
  </si>
  <si>
    <t>AutomationProcess_29697\mySPIntegratedSolutionPlatform\TechPhantoms</t>
  </si>
  <si>
    <t>FTS Email and Backend Flag Synchronization Across All Trigger Sources</t>
  </si>
  <si>
    <t>myISP_BPMS</t>
  </si>
  <si>
    <t>BPMS Onboarding</t>
  </si>
  <si>
    <t>Namdev Suryawanshi, Sakshi &lt;s.namdev.suryawanshi@accenture.com&gt;</t>
  </si>
  <si>
    <t>Rajendra Anikhindi, Akshata &lt;a.rajendra.anikhindi@accenture.com&gt;</t>
  </si>
  <si>
    <t>BPMS; FTS-FlagSync; May 9th</t>
  </si>
  <si>
    <t>isFTS</t>
  </si>
  <si>
    <t>Singh, Priyanka &lt;priyanka.ca.singh@accenture.com&gt;</t>
  </si>
  <si>
    <t>PMO Dashboard</t>
  </si>
  <si>
    <t>PMO - Sample Deal</t>
  </si>
  <si>
    <t>SA Team manager UI updates.1. Capability to be autopopulate for Operations 2. Dependency of Deployment field for capability in left side slicer.</t>
  </si>
  <si>
    <t>SA Team manager</t>
  </si>
  <si>
    <t>Sharma, Manisha &lt;m.manisha@accenture.com&gt;</t>
  </si>
  <si>
    <t>As a user registering through the Register Now pop?up, I want conditional auto?population and searchable alignment for Operations deployment so that I can complete registration accurately.</t>
  </si>
  <si>
    <t>As a PMO , I want conditional auto?population and searchable alignment for Operations in pending user requests tab so that requests are reviewed and processed accurately.</t>
  </si>
  <si>
    <t>Raise Request Email Template Standardization - Deal Value and Date Format</t>
  </si>
  <si>
    <t>Sangale, Vinayak L. &lt;vinayak.l.sangale@accenture.com&gt;</t>
  </si>
  <si>
    <t>BPMS; May 9th</t>
  </si>
  <si>
    <t>Raise Request emails</t>
  </si>
  <si>
    <t>Enter special characters, spaces, and bullet-point text for all 5 Opportunity on a Page questions</t>
  </si>
  <si>
    <t>Common</t>
  </si>
  <si>
    <t>BPMS; OpportunityOnAPage; TextFormatting</t>
  </si>
  <si>
    <t>Special characters</t>
  </si>
  <si>
    <t>Stage Update Date on the Timeline screen</t>
  </si>
  <si>
    <t>Jacob, Mary &lt;mary.jacob@accenture.com&gt;</t>
  </si>
  <si>
    <t>StageUpdateDate; Timeline; UAT Testing Not Required; ViewMMSDetails</t>
  </si>
  <si>
    <t>Stage Update Date</t>
  </si>
  <si>
    <t>Deal Hierarchy info text at the right-bottom of the MMS Details screen</t>
  </si>
  <si>
    <t>common</t>
  </si>
  <si>
    <t>DealHierarchy; MMSDetails; UAT Testing Not Required; UI-Alignment</t>
  </si>
  <si>
    <t>Info text</t>
  </si>
  <si>
    <t>Automailer, Follow-Ups &amp; Escalation Steps</t>
  </si>
  <si>
    <t>As a myISP user, I want the system to send a First reminder deal email for CDAT?eligible opportunities with an upcoming proposal submission date so that key stakeholders engage at the right time for CDAT readiness and review</t>
  </si>
  <si>
    <t>Kalia Moorthy, Rajarajeswari &lt;r.kalia.moorthy@accenture.com&gt;</t>
  </si>
  <si>
    <t>Rambhau Siraskar, Jivan &lt;j.rambhau.siraskar@accenture.com&gt;</t>
  </si>
  <si>
    <t>Maheshwari, Kunal &lt;kunal.a.maheshwari@accenture.com&gt;</t>
  </si>
  <si>
    <t>Automailer; CDAT; UAT Testing Not Required</t>
  </si>
  <si>
    <t>AutomationProcess_29697\mySolutionPlannerIntegratedSolutionPlatform\R60.1\Sprint151.1</t>
  </si>
  <si>
    <t>Solution ID</t>
  </si>
  <si>
    <t>As a myISP user, I want the system to send a Second reminder email for CDAT?eligible opportunities with an upcoming proposal submission deal date so that key stakeholders engage at the right time for CDAT readiness and review</t>
  </si>
  <si>
    <t>Security-specific services when the Opportunity RDE is set to "Security"</t>
  </si>
  <si>
    <t>Adala, Hreshikesh &lt;hreshikesh.adala@accenture.com&gt;</t>
  </si>
  <si>
    <t>AMS Scope Change; mySolutionPlanner; RDE:Security; UAT Testing Not Required; WRWS</t>
  </si>
  <si>
    <t>security-specific services</t>
  </si>
  <si>
    <t>Market Maker Enterprise Solution Architect role from MMS in MMS Team Details</t>
  </si>
  <si>
    <t xml:space="preserve">Common </t>
  </si>
  <si>
    <t>BPMS; Market Maker ESA; MMS Team Details; reporting; UAT Testing Not Required</t>
  </si>
  <si>
    <t>Market Maker ESA</t>
  </si>
  <si>
    <t>As a CDAT PMO I want reminder emails to be triggered using the correct template based on the Follow?Up Reason and Reminder Status selected in the PMO Dashboard So that stakeholders receive accurate, context?specific follow?ups.</t>
  </si>
  <si>
    <t>Shukla, Tanmay &lt;tanmay.a.shukla@accenture.com&gt;</t>
  </si>
  <si>
    <t>myCalendar: Simplify calender funtionality for Solution Architect</t>
  </si>
  <si>
    <t>myCalendar</t>
  </si>
  <si>
    <t>As a Solution Architect, I want to view and edit all my saved absence entries listed in the Special Absence (Dates) column for each week row, so that I can see a summary of all logged absences and add more if needed</t>
  </si>
  <si>
    <t>NGTransformers</t>
  </si>
  <si>
    <t>Satpute, Pavanraj &lt;p.suryakant.satpute@accenture.com&gt;</t>
  </si>
  <si>
    <t>Po Input</t>
  </si>
  <si>
    <t>AutomationProcess_29697\mySolutionPlanner Team - NextGen\NGTransformers</t>
  </si>
  <si>
    <t>Medapati, Satish Reddy &lt;satish.r.medapati@accenture.com&gt;</t>
  </si>
  <si>
    <t>As a user, I want to add �Ops Activation� as an option in the Alignment dropdown in Register now pop up so that operations-related users can be correctly aligned across all SA Team Manager workflows.</t>
  </si>
  <si>
    <t>KATTAMEDI, HARI PRIYA &lt;hari.priya.kattamedi@accenture.com&gt;</t>
  </si>
  <si>
    <t>Rottesabugari, Shalu Basha &lt;shalu.rottesabugari@accenture.com&gt;</t>
  </si>
  <si>
    <t>myCalendar; Po Input</t>
  </si>
  <si>
    <t>CCB Approved; DCSO; myISP Adv; Po Input; PO inputs</t>
  </si>
  <si>
    <t>CCB Approved; Po Input; PO inputs</t>
  </si>
  <si>
    <t>Gunasekar, Shirley Praylin &lt;shirley.p.gunasekar@accenture.com&gt;</t>
  </si>
  <si>
    <t>BA Miss; CCB Approved; CDAT; CDAT_BPMS Onboarding; UAT Testing Not Required</t>
  </si>
  <si>
    <t>AutomationProcess_29697\mySolutionPlannerIntegratedSolutionPlatform\R60</t>
  </si>
  <si>
    <t>As an SA Team Manager user, I want the Alignment field to support multi?select when Deployment and Capability are Operations in Register now pop, so that multiple operational alignments can be captured accurately.</t>
  </si>
  <si>
    <t>Choubey, Dev Mangal &lt;dev.mangal.choubey@accenture.com&gt;</t>
  </si>
  <si>
    <t>CCB Approved; dev request; UAT Testing Not Required</t>
  </si>
  <si>
    <t>As an SA Team Manager user, I want the Alignment field to support multi?select when Deployment and Capability are Operations in Pending user request tab, so that multiple operational alignments can be captured accurately.</t>
  </si>
  <si>
    <t>Prabahar, James Vasanth &lt;james.v.prabahar@accenture.com&gt;</t>
  </si>
  <si>
    <t>As an SA Team Manager user, I want to add �Ops Activation� as an option in the Alignment dropdown in SA team manager dashboard so that operations-related users can be correctly aligned across all SA Team Manager workflows. - Copy</t>
  </si>
  <si>
    <t>As an SA Team Manager user, I want to add �Ops Activation� as an option in the Alignment dropdown in Pending user requests tab so that operations-related users can be correctly aligned across all SA Team Manager workflows.</t>
  </si>
  <si>
    <t>Learn; UAT Testing Not Required</t>
  </si>
  <si>
    <t>Sai Manoj Kumar, Lachhanagari &lt;l.sai.manoj.kumar@accenture.com&gt;</t>
  </si>
  <si>
    <t>CCB Approved; Development Request</t>
  </si>
  <si>
    <t>Navigation Changes</t>
  </si>
  <si>
    <t>Nallasamy, Karthika &lt;karthika.nallasamy@accenture.com&gt;</t>
  </si>
  <si>
    <t>Kumar M, Ashok &lt;ashok.k.manikandan@accenture.com&gt;</t>
  </si>
  <si>
    <t>CCB Approved; IMS Modernization; Solution components</t>
  </si>
  <si>
    <t>AutomationProcess_29697\mySolutionPlannerV2V\R64\Sprint160</t>
  </si>
  <si>
    <t>Estimators/Calculators</t>
  </si>
  <si>
    <t>As a myISP user, I want a follow?on revenue clarification reminder 1 so that CDAT review applicability can be determined accurately.</t>
  </si>
  <si>
    <t>New user Registration for Song changes in SA team manager</t>
  </si>
  <si>
    <t>PMO; SA Team Manager; UAT Testing Not Required</t>
  </si>
  <si>
    <t>SA Team Manager; UAT Testing Not Required</t>
  </si>
  <si>
    <t>SI - Estimators/Calculators(Opp level screen) &amp; Attach Estimates(Version level screen) - feedback alignment</t>
  </si>
  <si>
    <t>NextGen SI</t>
  </si>
  <si>
    <t>Nair, Aravindh &lt;aravindh.nair@accenture.com&gt;</t>
  </si>
  <si>
    <t>AutomationProcess_29697\mySolutionPlannerIntegratedSolutionPlatform\R64\Sprint162</t>
  </si>
  <si>
    <t>AttachEstimates</t>
  </si>
  <si>
    <t>As a Solution Architect I want to access and launch the Digital DCSO module directly from the Opportunity Workflow page for IMS/AMS/SI So that I can generate and manage DCSO</t>
  </si>
  <si>
    <t>As a myISP user, I want to send CDAT Mailer � Future Dated but Won Deal Confirmation [Follow up reason]</t>
  </si>
  <si>
    <t>Auto Reminders for Tech and Mob Architects</t>
  </si>
  <si>
    <t>Padala, Maheswara Reddy &lt;ganga.m.reddy.padala@accenture.com&gt;</t>
  </si>
  <si>
    <t>Auto reminder</t>
  </si>
  <si>
    <t>Lead SA in Define Team Email Notification</t>
  </si>
  <si>
    <t>Palani, Pavithra &lt;pavithra.b.palani@accenture.com&gt;</t>
  </si>
  <si>
    <t>Lead SA Sum up</t>
  </si>
  <si>
    <t>As a myISP user, I want a follow?on revenue clarification reminder 2 so that CDAT review applicability can be determined accurately.</t>
  </si>
  <si>
    <t>Transition Status reminder email</t>
  </si>
  <si>
    <t>Tech for OPS Status reminder email</t>
  </si>
  <si>
    <t>Calculator Dashboard</t>
  </si>
  <si>
    <t>RAG Status</t>
  </si>
  <si>
    <t>BPMS Trigger Emails - Remove Ops.Transformation.Solutioning from TO/CC</t>
  </si>
  <si>
    <t>BPMS; CR; Email Trigger; May 9th; Raise Request; TO/CC</t>
  </si>
  <si>
    <t>TO/CC recipient cleanup for trigger emails</t>
  </si>
  <si>
    <t>Estimator/Calculator - Expand-Collapse icon Type and Position</t>
  </si>
  <si>
    <t>WRWS</t>
  </si>
  <si>
    <t>Muzafar Sayed, Rehan &lt;rehan.muzafar.sayed@accenture.com&gt;</t>
  </si>
  <si>
    <t>Verma, Sarita &lt;sarita.verma@accenture.com&gt;</t>
  </si>
  <si>
    <t>Feb 21st myISP; UAT Testing Not Required</t>
  </si>
  <si>
    <t>March Release NextGen Enhancements</t>
  </si>
  <si>
    <t>myISP Enhancements</t>
  </si>
  <si>
    <t>AutomationProcess_29697\mySolutionPlanner\R45\Sprint 111</t>
  </si>
  <si>
    <t>CDAT PMO_ UI changes and addition of email template</t>
  </si>
  <si>
    <t>Auto-mailers</t>
  </si>
  <si>
    <t>Joy Joseph, Joshina &lt;joshina.joy.joseph@accenture.com&gt;</t>
  </si>
  <si>
    <t>UAT Testing Not Required; UI changes</t>
  </si>
  <si>
    <t>AutomationProcess_29697\mySolutionPlannerIntegratedSolutionPlatform\R52</t>
  </si>
  <si>
    <t>SnC Calculator | Enabling Access for AMS Service Group and enable sync functionality in both SI and AMS</t>
  </si>
  <si>
    <t>SnC Calculator</t>
  </si>
  <si>
    <t>AMS/SI - As a mySP user, I want all the SnC Calculators to be enabled for AMS Service Group and all SA from the Calculator Gallery screen and Calculator Dashboard screen</t>
  </si>
  <si>
    <t>Nandam, Madhuri Pushpa &lt;madhuri.p.nandam@accenture.com&gt;</t>
  </si>
  <si>
    <t>Calculator Gallery</t>
  </si>
  <si>
    <t>CDAT Enhancements</t>
  </si>
  <si>
    <t xml:space="preserve">CDAT </t>
  </si>
  <si>
    <t>CDAT_BPMS Onboarding; UAT Testing Not Required</t>
  </si>
  <si>
    <t>CDAT Role access</t>
  </si>
  <si>
    <t>Calculator - Hover message for Default version</t>
  </si>
  <si>
    <t>Automation Calculator</t>
  </si>
  <si>
    <t>Anandhapadmanaban, Megana &lt;m.anandhapadmanaban@accenture.com&gt;</t>
  </si>
  <si>
    <t>Auto version - delete hover message</t>
  </si>
  <si>
    <t>As a myISP User, I want to Add "Sync All from MMS" button for an Opportunity in (Opportunity On A Page) under WRWS to sync all 5 answers from MMS to myISP so that user can get the answers in in one go.</t>
  </si>
  <si>
    <t>Sharma, Pranay &lt;pranay.d.sharma@accenture.com&gt;</t>
  </si>
  <si>
    <t xml:space="preserve">BPMS onboarding </t>
  </si>
  <si>
    <t>As a myISP user, I want to enabled Countries to Support tab under "Scope" section for BPMS SG so that BPMS user can select and filled the listed countries without sync from BPMS INSPIRE.</t>
  </si>
  <si>
    <t>AutomationProcess_29697\mySolutionPlannerIntegratedSolutionPlatform\R52\Sprint131</t>
  </si>
  <si>
    <t>WRWS_Scope_CountriesToSupport</t>
  </si>
  <si>
    <t>Auto Creation</t>
  </si>
  <si>
    <t>IMS Mobilization Calculator enablement-Top Down/Bottom Up</t>
  </si>
  <si>
    <t>IMS Mobilization Calculator</t>
  </si>
  <si>
    <t>IMS Mobilization-Top Down</t>
  </si>
  <si>
    <t>IMS Top- Down</t>
  </si>
  <si>
    <t>IMS Mobilization-Top Down; IMS Modernization</t>
  </si>
  <si>
    <t>IMS - Top Down</t>
  </si>
  <si>
    <t>Rolled Up Revenue in Compliance Score and Other Places (2nd Iteration)</t>
  </si>
  <si>
    <t>BPMS Rolled up revenue</t>
  </si>
  <si>
    <t>CDAT Auto-mailers</t>
  </si>
  <si>
    <t>As a CDAT system I want to trigger reminders emails based on proposal submission date that stakeholders receive timely follow?ups. [Scenarios]</t>
  </si>
  <si>
    <t>Automailer; UAT Testing Not Required</t>
  </si>
  <si>
    <t>Increase in Frequency</t>
  </si>
  <si>
    <t>As a CDAT system I want to validate strict preconditions and eligibility rules before sending reminder emails So that reminders are sent only for valid, in?scope, and pending deals.</t>
  </si>
  <si>
    <t>KDA</t>
  </si>
  <si>
    <t>Selvamani, Kavichandrika &lt;k.b.selvamani@accenture.com&gt;</t>
  </si>
  <si>
    <t>Sri Pandhiri, Navya &lt;navya.sri.pandhiri@accenture.com&gt;</t>
  </si>
  <si>
    <t>AutomationProcess_29697\mySPIntegratedSolutionPlatform\CodeCrafters</t>
  </si>
  <si>
    <t>Panchal, Dhwani &lt;dhwani.panchal@accenture.com&gt;</t>
  </si>
  <si>
    <t>Rolled up revenue - Benchmark Report</t>
  </si>
  <si>
    <t>BPMS; FTS-FlagSync; May 9th; Parallel UAT</t>
  </si>
  <si>
    <t>RA - Option to send reminder manually to the approver</t>
  </si>
  <si>
    <t>Reviewer Approver</t>
  </si>
  <si>
    <t>As a RA module stakeholder I want** to see a "Send Reminder" action button in the Actions Pane of the Request Grid **So that** I can manually trigger a reminder email to the assigned Reviewer/Approver without waiting for the next automatic reminder cycle</t>
  </si>
  <si>
    <t>BPMSBloggers</t>
  </si>
  <si>
    <t>Jagtap, Shreetesh Sanjay &lt;shreetesh.s.jagtap@accenture.com&gt;</t>
  </si>
  <si>
    <t>AutomationProcess_29697\mySPIntegratedSolutionPlatform\myISP_BPMS\BPMSBloggers</t>
  </si>
  <si>
    <t>AutomationProcess_29697\mySolutionPlannerIntegratedSolutionPlatform\R65</t>
  </si>
  <si>
    <t>RA Enhancements</t>
  </si>
  <si>
    <t>TfO Attributes - Reason for No OATL Text Box</t>
  </si>
  <si>
    <t>Tfo attribute</t>
  </si>
  <si>
    <t>**As a RA stakeholder managing the Meeting Tracker I want** to disable the delete icon when I attempt to delete a meeting that is linked to one or more reviewer/approver records in View Approval Requests So that I am preventing unintended data loss</t>
  </si>
  <si>
    <t>Ravindra Yadav, Niraj &lt;niraj.ravindra.yadav@accenture.com&gt;</t>
  </si>
  <si>
    <t>DFD - SA Cancellation mail functionality</t>
  </si>
  <si>
    <t>DFD</t>
  </si>
  <si>
    <t>BackDoorGuardians</t>
  </si>
  <si>
    <t>Thirumanikumar, Sneha &lt;sneha.thirumanikumar@accenture.com&gt;</t>
  </si>
  <si>
    <t>May09th_DFDStories; UAT Testing Not Required</t>
  </si>
  <si>
    <t>AutomationProcess_29697\BackDoorGuardians</t>
  </si>
  <si>
    <t>DFD Cancellation</t>
  </si>
  <si>
    <t>Kumar, Amresh &lt;amresh.l.kumar@accenture.com&gt;</t>
  </si>
  <si>
    <t>KDA Variance Analysis</t>
  </si>
  <si>
    <t>Sholingar, Moneesha &lt;moneesha.sholingar@accenture.com&gt;</t>
  </si>
  <si>
    <t>DFD cancellation</t>
  </si>
  <si>
    <t>Ponnusamy, Prathikshaa &lt;p.c.ponnusamy@accenture.com&gt;</t>
  </si>
  <si>
    <t>Alladi, Mahesh &lt;mahesh.alladi@accenture.com&gt;</t>
  </si>
  <si>
    <t>DFD Routing logic update</t>
  </si>
  <si>
    <t>Blocked in PT</t>
  </si>
  <si>
    <t>Pandian, Sangeetha &lt;sangeetha.pandian@accenture.com&gt;</t>
  </si>
  <si>
    <t>CCB Approved; Po Input; UAT Testing Not Required</t>
  </si>
  <si>
    <t>DFD - Routing</t>
  </si>
  <si>
    <t>Reporting &amp; Compliance - Generative AI: Enhance Year-on-Year Productivity Grid with Overall Summary Column and Informational Note</t>
  </si>
  <si>
    <t>BPMS; CCB Approved; May 9th; New Requirement; PO inputs</t>
  </si>
  <si>
    <t>Overall Productivity</t>
  </si>
  <si>
    <t>Ishwar Jaxanni, Manjunath &lt;m.ishwar.jaxanni@accenture.com&gt;</t>
  </si>
  <si>
    <t>Poobalarayen P, Amalarasi &lt;a.poobalarayen.p@accenture.com&gt;</t>
  </si>
  <si>
    <t>Sharma, Megha &lt;megha.bo.sharma@accenture.com&gt;</t>
  </si>
  <si>
    <t>MMP FFP; SI</t>
  </si>
  <si>
    <t>Enhancement in Generative AI for AMS, SI, IMS service group</t>
  </si>
  <si>
    <t>GenAI</t>
  </si>
  <si>
    <t>IMS: As a mySolutionPlanner user, I want to enhance the Generative AI screen with conditional non-mandatory fields for �In Progress�status, add and sync Agentic AI Productivity fields with the PMO Extract Report, and update the Gen AI Productivity message.</t>
  </si>
  <si>
    <t>IMS; PO inputs</t>
  </si>
  <si>
    <t xml:space="preserve">Generative AI </t>
  </si>
  <si>
    <t>AMS</t>
  </si>
  <si>
    <t>AMS: As a mySolutionPlanner user, I want the Generative AI screen to be enhanced with conditional non-mandatory fields when Gen AI Tracking Status is �In Progress�, two new Agentic AI Productivity fields with an enabling checkbox are added.</t>
  </si>
  <si>
    <t>AMS; PO inputs; Reporting &amp; Compliance</t>
  </si>
  <si>
    <t>Generative AI</t>
  </si>
  <si>
    <t>SI: As a mySolutionPlanner user, I want to enhance the Generative AI screen with conditional non-mandatory fields for �In Progress� status, add and sync Agentic AI Productivity fields with the PMO Extract Report, and update the Gen AI Productivity message.</t>
  </si>
  <si>
    <t>Po Input; PO inputs; Reporting &amp; Compliance; SI</t>
  </si>
  <si>
    <t>Generative AI tab</t>
  </si>
  <si>
    <t>Song Compliant Update | May Scope</t>
  </si>
  <si>
    <t>PLD Enhancements</t>
  </si>
  <si>
    <t>DevNinjas</t>
  </si>
  <si>
    <t>Mohan, Vindhiya &lt;vindhiya.mohan@accenture.com&gt;</t>
  </si>
  <si>
    <t>AutomationProcess_29697\mySolutionPlanner Team - NextGen\DevNinjas</t>
  </si>
  <si>
    <t>AutomationProcess_29697\mySolutionPlannerIntegratedSolutionPlatform\R65\Sprint163</t>
  </si>
  <si>
    <t>Song PLD</t>
  </si>
  <si>
    <t>Data; SI</t>
  </si>
  <si>
    <t>DFD-myISP</t>
  </si>
  <si>
    <t>Singh, Amit &lt;amit.ch.singh@accenture.com&gt;</t>
  </si>
  <si>
    <t>Compliant Status</t>
  </si>
  <si>
    <t>Pacemakers</t>
  </si>
  <si>
    <t>AutomationProcess_29697\mySPIntegratedSolutionPlatform\Pacemakers</t>
  </si>
  <si>
    <t>Goriparthi, Anusha &lt;anusha.goriparthi@accenture.com&gt;</t>
  </si>
  <si>
    <t>AMS SCA MVP3 May 9th Release Scope</t>
  </si>
  <si>
    <t>AMS Solution Configuration Agent</t>
  </si>
  <si>
    <t>As an AMS SCA user, I want the Generative AI screen and functionality enhanced UI functionality and an updated GenWizard API for asset utilization so that I can manage Gen AI configurations accurately.</t>
  </si>
  <si>
    <t>agentcrafters</t>
  </si>
  <si>
    <t>Damodaran, J. &lt;j.damodaran@accenture.com&gt;</t>
  </si>
  <si>
    <t>Shridhar Naik, Nagaratna &lt;nagaratna.naik@accenture.com&gt;</t>
  </si>
  <si>
    <t>Pradhan, Kiran &lt;kiran.pradhan@accenture.com&gt;</t>
  </si>
  <si>
    <t>SSA - SCA (MVP3)</t>
  </si>
  <si>
    <t>AutomationProcess_29697\mySPRapidSolutioning\agentcrafters</t>
  </si>
  <si>
    <t>AMS Solution flow</t>
  </si>
  <si>
    <t>shwetha.shriyan</t>
  </si>
  <si>
    <t xml:space="preserve">AMS Solution Configuration Agent </t>
  </si>
  <si>
    <t>As a SCA User, I want to create, configure, attach, switch, remove, sync, and exempt AMS calculators via the agent, So that calculator versions are created, validated, attached to my solution version, and costs synced.</t>
  </si>
  <si>
    <t>Gurajala, Rupa &lt;rupa.g.s@accenture.com&gt;</t>
  </si>
  <si>
    <t>As an AMS Solution Configuration Agent user, I want to request the current status of the Solution Version data sync to MSDA from the OCP Simulation and Pricing Factor screens.</t>
  </si>
  <si>
    <t xml:space="preserve"> AMS Solution flow</t>
  </si>
  <si>
    <t>Rani Agurla, Sowmya &lt;sowmya.rani.agurla@accenture.com&gt;</t>
  </si>
  <si>
    <t>As an?AMS SCA user, I want to update all editable fields in the Parameter and Profile screens using prompts in the Solution Configuration Agent (SCA), so that I can modify solution details without using the UI</t>
  </si>
  <si>
    <t>Darade, Sada &lt;sada.darade@accenture.com&gt;</t>
  </si>
  <si>
    <t>CDAT; UAT Testing Not Required; UI changes</t>
  </si>
  <si>
    <t>AutomationProcess_29697\mySPRapidSolutioning\TechTribe</t>
  </si>
  <si>
    <t>Aldrin Missier, Anto Agnes Virgin &lt;anto.aldrin.missier@accenture.com&gt;</t>
  </si>
  <si>
    <t>[Gen AI - SSA] - Goal based action for RFP Sythesis</t>
  </si>
  <si>
    <t>GEN AI - Solution Super Agent</t>
  </si>
  <si>
    <t>Saxena, Shreya &lt;shreya.i.saxena@accenture.com&gt;</t>
  </si>
  <si>
    <t>Saxena, Akshay &lt;akshay.c.saxena@accenture.com&gt;</t>
  </si>
  <si>
    <t>LLM</t>
  </si>
  <si>
    <t>AutomationProcess_29697\mySPIntegratedSolutionPlatform\GEN AI - Solution Super Agent</t>
  </si>
  <si>
    <t>Solution Super Agent</t>
  </si>
  <si>
    <t>Chavan, Pooja &lt;p.shrikant.chavan@accenture.com&gt;</t>
  </si>
  <si>
    <t>Ganesan, Palani A. &lt;palani.a.ganesan@accenture.com&gt;</t>
  </si>
  <si>
    <t>LLM; llm+UI+API</t>
  </si>
  <si>
    <t>[Gen AI - SSA] - Goal based action for DLC</t>
  </si>
  <si>
    <t>Madiraju, Lahitha Varma &lt;lahitha.v.madiraju@accenture.com&gt;</t>
  </si>
  <si>
    <t>Goal based; LLM</t>
  </si>
  <si>
    <t>[Gen AI - SSA] - Create DLC from Digital Solution Plan (DSP) / other documents</t>
  </si>
  <si>
    <t>Ekambaram, Sureshkumar &lt;suresh.bd.kumar@accenture.com&gt;</t>
  </si>
  <si>
    <t>Security Governance in S2C</t>
  </si>
  <si>
    <t>PATRA, SOUMODEEP &lt;soumodeep.patra@accenture.com&gt;</t>
  </si>
  <si>
    <t>Shanmuganathan, Kayalvizhi &lt;k.b.shanmuganathan@accenture.com&gt;</t>
  </si>
  <si>
    <t>S2C_Security; UI</t>
  </si>
  <si>
    <t>AutomationProcess_29697\mySolutionPlannerIntegratedSolutionPlatform\R61\Sprint154</t>
  </si>
  <si>
    <t>Solution to Contract</t>
  </si>
  <si>
    <t>Vutlapalli, Jyosna &lt;jyosna.vutlapalli@accenture.com&gt;</t>
  </si>
  <si>
    <t>Sowrirajan, Sowndarya &lt;sowndarya.sowrirajan@accenture.com&gt;</t>
  </si>
  <si>
    <t>Malekar, Shivaprasad &lt;shivaprasad.malekar@accenture.com&gt;</t>
  </si>
  <si>
    <t>Iqbal, Jabeen &lt;jabeen.iqbal@accenture.com&gt;</t>
  </si>
  <si>
    <t>BA Miss; CCB Approved; CDAT; UAT Testing Not Required</t>
  </si>
  <si>
    <t>As a CDAT SME / CDAT CM SME / Lead SA, I want to add comment on number of GAPS on BPMS Assessment Outcome Screen</t>
  </si>
  <si>
    <t>As a CDAT SME user, I want to View and Update Tracker Details from Solution to Contract Analysis</t>
  </si>
  <si>
    <t>HSP - Adding SG-wise prompts for 13 Nudge categories in HSP</t>
  </si>
  <si>
    <t>HSP</t>
  </si>
  <si>
    <t>Harvesting solutionPlan</t>
  </si>
  <si>
    <t>Ramesh, Aarthi &lt;aarthi.f.ramesh@accenture.com&gt;</t>
  </si>
  <si>
    <t>Kiran Kumar, Alugolu &lt;alugolu.kiran.kumar@accenture.com&gt;</t>
  </si>
  <si>
    <t>CCB Approved; dev request</t>
  </si>
  <si>
    <t>AutomationProcess_29697\mySPIntegratedSolutionPlatform\Harvesting solutionPlan</t>
  </si>
  <si>
    <t>SG-Wise Prompts</t>
  </si>
  <si>
    <t>DSP Core Solution Plan Enhancements</t>
  </si>
  <si>
    <t>Pirates</t>
  </si>
  <si>
    <t>SAMANTA, SHANTANU &lt;shantanu.samanta@accenture.com&gt;</t>
  </si>
  <si>
    <t>D S, Chandana &lt;c.d.s@accenture.com&gt;</t>
  </si>
  <si>
    <t>CCB Approved; Po Input</t>
  </si>
  <si>
    <t>AutomationProcess_29697\myISP_DSP\Pirates</t>
  </si>
  <si>
    <t>adding TFO governance under tech ops</t>
  </si>
  <si>
    <t>Ninjawarriors</t>
  </si>
  <si>
    <t>Arunachalam, NAVEEN &lt;naveen.arunachalam@accenture.com&gt;</t>
  </si>
  <si>
    <t>AutomationProcess_29697\myISP_DSP\Ninjawarriors</t>
  </si>
  <si>
    <t>Technology &amp; Archetype</t>
  </si>
  <si>
    <t>Pixel Pioneers</t>
  </si>
  <si>
    <t>Aruna Jyothi, Karnati &lt;karnati.aruna.jyothi@accenture.com&gt;</t>
  </si>
  <si>
    <t>AutomationProcess_29697\myISP_DSP\Pixel Pioneers</t>
  </si>
  <si>
    <t>Core solution detail</t>
  </si>
  <si>
    <t>[DSP - Core Solution Plan] Tech for Ops Solution Details should be enabled for tech ops users - BPMS Sg.</t>
  </si>
  <si>
    <t>Korikana, Gayatri &lt;gayatri.korikana@accenture.com&gt;</t>
  </si>
  <si>
    <t>Tech for Ops solution detail</t>
  </si>
  <si>
    <t>Transition solution</t>
  </si>
  <si>
    <t>[DSP - Core Solution Plan] Tech for Ops Solution Details in Downloaded PPT/PDF Note should be shown - BPMS Sg.</t>
  </si>
  <si>
    <t>Pandian, Prasanna &lt;prasanna.pandian@accenture.com&gt;</t>
  </si>
  <si>
    <t xml:space="preserve">DSP download ppt </t>
  </si>
  <si>
    <t>[DSP - Core Solution Plan] Transition Solution in Downloaded PPT/PDF Note should be shown - BPMS Sg.</t>
  </si>
  <si>
    <t>DSP Download PPT</t>
  </si>
  <si>
    <t>Soni, Riya &lt;riya.b.soni@accenture.com&gt;</t>
  </si>
  <si>
    <t>Kaushikkumar Joshi, Vivek &lt;v.kaushikkumar.joshi@accenture.com&gt;</t>
  </si>
  <si>
    <t>Prasad, Roshan &lt;roshan.prasad@accenture.com&gt;</t>
  </si>
  <si>
    <t>Retrospective Learnings - Opportunity Benchmarks</t>
  </si>
  <si>
    <t>Ayyubkhan, Hajara &lt;hajara.ayyubkhan@accenture.com&gt;</t>
  </si>
  <si>
    <t>Madhanraj, Madhusree &lt;madhusree.madhanraj@accenture.com&gt;</t>
  </si>
  <si>
    <t>CCB Approved; LLM; OBM; UI</t>
  </si>
  <si>
    <t>Opportunity Benchmark</t>
  </si>
  <si>
    <t>DSP-core solution plan</t>
  </si>
  <si>
    <t>SSA_RFP_DLC Goal Based Agent</t>
  </si>
  <si>
    <t>Alwarappan, Janani &lt;janani.alwarappan@accenture.com&gt;</t>
  </si>
  <si>
    <t>Shalom Fernando, Monica &lt;m.shalom.fernando@accenture.com&gt;</t>
  </si>
  <si>
    <t>CCB Yet to Approve; PO inputs; UI</t>
  </si>
  <si>
    <t>AutomationProcess_29697\mySolutionPlannerRapidSolutioning\R63\Sprint159</t>
  </si>
  <si>
    <t>Goal Based RFP_UI</t>
  </si>
  <si>
    <t>Sekar, Kalaivani &lt;kalaivani.sekar@accenture.com&gt;</t>
  </si>
  <si>
    <t>API; CCB Yet to Approve; LLM; PO inputs; UI</t>
  </si>
  <si>
    <t>CCB Yet to Approve; PO inputs; UI / API</t>
  </si>
  <si>
    <t>Palanisami, Subramaniyam &lt;s.v.palanisami@accenture.com&gt;</t>
  </si>
  <si>
    <t>M Raj Prohit, Mahinder &lt;m.m.raj.prohit@accenture.com&gt;</t>
  </si>
  <si>
    <t>Boddu, Tejaswi &lt;tejaswi.boddu@accenture.com&gt;</t>
  </si>
  <si>
    <t>DLC version through RFP</t>
  </si>
  <si>
    <t>DLC version through DSP/Other documents</t>
  </si>
  <si>
    <t>[SSA- RFP Goal] As a Solution Architect, I want the SSA agent to suggest 2�3 relevant next actions after synthesis or comparison, aligned to my last step, so I can continue the RFP workflow without remembering the next action.</t>
  </si>
  <si>
    <t>[GenAI - SSA] - Solution Super Agent Additional features</t>
  </si>
  <si>
    <t>GEN AI; SSA; UI</t>
  </si>
  <si>
    <t>Copy Icon</t>
  </si>
  <si>
    <t>Srivastava, Chhavi &lt;chhavi.srivastava@accenture.com&gt;</t>
  </si>
  <si>
    <t>Venkata Durgarao, Adabala &lt;a.venkata.durgarao@accenture.com&gt;</t>
  </si>
  <si>
    <t>PPT/PDF</t>
  </si>
  <si>
    <t>Bomma Reddy, Haritha &lt;haritha.bomma.reddy@accenture.com&gt;</t>
  </si>
  <si>
    <t>Slides Tagging</t>
  </si>
  <si>
    <t>[DSP � Core Solution Plan] Download and upload templates to be updated as same as UI Risks/Assumptions/Dependency.</t>
  </si>
  <si>
    <t>Risks/Assumptions templates update</t>
  </si>
  <si>
    <t>Majji, Navya &lt;navya.majji@accenture.com&gt;</t>
  </si>
  <si>
    <t xml:space="preserve">Assumptions </t>
  </si>
  <si>
    <t>Dondapati, Kavitha &lt;k.dondapati@accenture.com&gt;</t>
  </si>
  <si>
    <t>Jayasankar, Ramya Sruthi &lt;ramya.s.jayasankar@accenture.com&gt;</t>
  </si>
  <si>
    <t>API; SSA - SCA (MVP3)</t>
  </si>
  <si>
    <t>Jaiswal, Shivani &lt;shivani.b.jaiswal@accenture.com&gt;</t>
  </si>
  <si>
    <t>[GenAI-SSA] Add Prompt Document with Attachment &amp; Extract to Instruction/Query Fields</t>
  </si>
  <si>
    <t>SSA; UI / API</t>
  </si>
  <si>
    <t>Telemetry Metric</t>
  </si>
  <si>
    <t>[GenAI-SSA] Agent Info Pane updates</t>
  </si>
  <si>
    <t>[Gen AI - SSA] - As a myISP User, I want to add the current release updates module?wise in the What�s New section so that I can quickly understand recent enhancements without navigating external documentation.</t>
  </si>
  <si>
    <t>Krubanithi, Sivaprawin &lt;s.krubanithi@accenture.com&gt;</t>
  </si>
  <si>
    <t>SSA; UI</t>
  </si>
  <si>
    <t>What's New</t>
  </si>
  <si>
    <t>[PMO] | Transition to Delivery | As a PMO user, I should be able to navigate to Manage / Dashboard screen with the new URL from Transition to Delivery</t>
  </si>
  <si>
    <t>HustleHub</t>
  </si>
  <si>
    <t>Selvakumar, Nivetha &lt;n.selvakumar@accenture.com&gt;</t>
  </si>
  <si>
    <t>T2D; UAT Testing Not Required</t>
  </si>
  <si>
    <t>AutomationProcess_29697\myISP_DSP\HustleHub</t>
  </si>
  <si>
    <t>[GenAI-SSA] Capture Action and View Based Telemetry metric that get prompted Via SSA</t>
  </si>
  <si>
    <t>M R, Santhwana &lt;santhwana.m.r@accenture.com&gt;</t>
  </si>
  <si>
    <t>[GenAI -SSA] Fortnightly PII Report Summary Email Notification to Product Owners</t>
  </si>
  <si>
    <t>Babu Arvapalli, Madhu &lt;madhu.babu.arvapalli@accenture.com&gt;</t>
  </si>
  <si>
    <t>API; UI</t>
  </si>
  <si>
    <t>PII</t>
  </si>
  <si>
    <t>API</t>
  </si>
  <si>
    <t>[Gen AI - SSA] - Prompt Library changes.</t>
  </si>
  <si>
    <t>Anbalagan Deepa, Haripriya &lt;h.anbalagan.deepa@accenture.com&gt;</t>
  </si>
  <si>
    <t>Admin toggle</t>
  </si>
  <si>
    <t>[Gen AI - SSA] -Upload RFP documents</t>
  </si>
  <si>
    <t>CDAT; CDAT_BPMS Onboarding; UAT Testing Not Required</t>
  </si>
  <si>
    <t>[SSA - SRA] - Integration of Review Agent - SSA Chat enablement</t>
  </si>
  <si>
    <t>Satwika, Vuyyuru &lt;vuyyuru.satwika@accenture.com&gt;</t>
  </si>
  <si>
    <t>AutomationProcess_29697\mySolutionPlannerIntegratedSolutionPlatform\R64\Sprint160</t>
  </si>
  <si>
    <t>SSA Chat Integration</t>
  </si>
  <si>
    <t>Bussa, Hima Sri &lt;hima.sri.bussa@accenture.com&gt;</t>
  </si>
  <si>
    <t>Role Restriction</t>
  </si>
  <si>
    <t>As a Solution Architect I want to access Digital DCSO functionality inside the Digital Documentation module for IMS/AMS/SI So that I can view and manage DCSO staffing data</t>
  </si>
  <si>
    <t>Mode, Nithish &lt;nithish.mode@accenture.com&gt;</t>
  </si>
  <si>
    <t>Lekshimi Mariappan, Jaya &lt;j.lekshimi.mariappan@accenture.com&gt;</t>
  </si>
  <si>
    <t>Total Rows to be bold</t>
  </si>
  <si>
    <t>DSP MDA May Enhancements</t>
  </si>
  <si>
    <t>Sundarraj, Shreeranjani &lt;s.b.sundarraj@accenture.com&gt;</t>
  </si>
  <si>
    <t>SI MDA</t>
  </si>
  <si>
    <t>AMS MDA</t>
  </si>
  <si>
    <t>Rakesh Dhari Singh, Vaishnavi &lt;v.rakesh.dhari.singh@accenture.com&gt;</t>
  </si>
  <si>
    <t>BPMS MDA</t>
  </si>
  <si>
    <t>Learn from past Solutions (Harvesting Solution Plan)SG wise prompt updates</t>
  </si>
  <si>
    <t>Agarwal, Saurabh &lt;saurabh.p.agarwal@accenture.com&gt;</t>
  </si>
  <si>
    <t>API; LLM; UI</t>
  </si>
  <si>
    <t>Nayak, Khageswar &lt;khageswar.nayak@accenture.com&gt;</t>
  </si>
  <si>
    <t>Impact metrics</t>
  </si>
  <si>
    <t>Value Story</t>
  </si>
  <si>
    <t>Custom slide functionality change</t>
  </si>
  <si>
    <t>[DSP � Core Solution Plan] Remove Shift/On?Call Coverage Tile from SI Service Group.</t>
  </si>
  <si>
    <t>Removal of Shift/On Call Coverage</t>
  </si>
  <si>
    <t>Soni, Naman B. &lt;naman.b.soni@accenture.com&gt;</t>
  </si>
  <si>
    <t>Differentiation themes</t>
  </si>
  <si>
    <t>Attilli, Supritha &lt;supritha.attilli@accenture.com&gt;</t>
  </si>
  <si>
    <t>Jaiswal, Jayanti &lt;jayanti.jaiswal@accenture.com&gt;</t>
  </si>
  <si>
    <t>SCA; SSA - SCA (MVP3); UI</t>
  </si>
  <si>
    <t>[DSP � Core Solution Plan] RACI New Predefined templates to be included for all SGs</t>
  </si>
  <si>
    <t>New Predefined templates</t>
  </si>
  <si>
    <t>[DSP � Core Solution Plan] DNP/Expenses slides to be updated with all the data as same as UI in downloaded PPT/PDF</t>
  </si>
  <si>
    <t>Chadaram, Roshini &lt;roshini.chadaram@accenture.com&gt;</t>
  </si>
  <si>
    <t>DNP/Expenses</t>
  </si>
  <si>
    <t>[DSP � Core Solution Plan] Key notes from notes section to be displayed in downloaded PPT for each slide</t>
  </si>
  <si>
    <t>Key notes</t>
  </si>
  <si>
    <t>[DSP � Core Solution Plan] Adherence Score Summary to be added in DSP KDA tile to view the adherence summary in DSP for AMS/SI/IMS SGs</t>
  </si>
  <si>
    <t>Adherence Score Summary</t>
  </si>
  <si>
    <t>[DSP � Core Solution Plan] Bottom up mobilization calculator to be added in DSP Mobilization Calculator for AMS SG.</t>
  </si>
  <si>
    <t>Chakravorty, Ananya &lt;ananya.chakravorty@accenture.com&gt;</t>
  </si>
  <si>
    <t>Bottom up calculator</t>
  </si>
  <si>
    <t>[DSP � Core Solution Plan] Risks/Assumptions/Dependency sections will have additional column which is SG to have integrated Risks/Assumptions/Dependency</t>
  </si>
  <si>
    <t>Risks/Assumptions/Dependency</t>
  </si>
  <si>
    <t>[Gen AI - SSA] - As a myISP user, I should be able to view and play a �read aloud� option for any SSA chat response so that I can listen to the content.</t>
  </si>
  <si>
    <t>Veena Sree, Vadde &lt;vadde.veena.sree@accenture.com&gt;</t>
  </si>
  <si>
    <t>Read aloud</t>
  </si>
  <si>
    <t>Tracker Update</t>
  </si>
  <si>
    <t>SGC and DLC</t>
  </si>
  <si>
    <t>R Kumar, Ajith &lt;ajith.a.r.kumar@accenture.com&gt;</t>
  </si>
  <si>
    <t>Version Grid</t>
  </si>
  <si>
    <t>Costing/Pricing</t>
  </si>
  <si>
    <t xml:space="preserve">DLC </t>
  </si>
  <si>
    <t xml:space="preserve">Sync from MMS </t>
  </si>
  <si>
    <t>Krishnakumar, Hemamalini &lt;hemamalini.k.krishna@accenture.com&gt;</t>
  </si>
  <si>
    <t>MDA DSP</t>
  </si>
  <si>
    <t>IMS MSDA</t>
  </si>
  <si>
    <t>UI / API</t>
  </si>
  <si>
    <t>SSA Integration</t>
  </si>
  <si>
    <t>Rana, Kusum &lt;kusum.rana@accenture.com&gt;</t>
  </si>
  <si>
    <t>Feb 21st myISP</t>
  </si>
  <si>
    <t>Joshi, Prashant &lt;prashant.g.joshi@accenture.com&gt;</t>
  </si>
  <si>
    <t>AutomationProcess_29697\mySPVisionToValue\TitansPlus</t>
  </si>
  <si>
    <t>AutomationProcess_29697\mySolutionPlannerV2V\R65\Sprint165</t>
  </si>
  <si>
    <t>Differentiation Link</t>
  </si>
  <si>
    <t>Terupally, Bhanu Teja &lt;bhanu.teja.terupally@accenture.com&gt;</t>
  </si>
  <si>
    <t>AutomationProcess_29697\mySPVisionToValue\Spartans</t>
  </si>
  <si>
    <t>Value Shaping - SVP</t>
  </si>
  <si>
    <t>Deepthi Priya, Katugunta &lt;k.deepthi.priya@accenture.com&gt;</t>
  </si>
  <si>
    <t>S&amp;C Calculator Updated Access Functionality for all SA</t>
  </si>
  <si>
    <t>Codeplayers</t>
  </si>
  <si>
    <t>Shama Maheen Abu Backer, Reeshma &lt;r.maheen.abu.backer@accenture.com&gt;</t>
  </si>
  <si>
    <t>AutomationProcess_29697\mySPVisionToValue\Codeplayers</t>
  </si>
  <si>
    <t>Process Mining</t>
  </si>
  <si>
    <t>Process Value Explorer</t>
  </si>
  <si>
    <t>Doddi, Reshmi &lt;reshmi.doddi@accenture.com&gt;</t>
  </si>
  <si>
    <t>Enterprise Value Targeting</t>
  </si>
  <si>
    <t>Value Realization Office</t>
  </si>
  <si>
    <t>Srilekha, Guddeti &lt;guddeti.srilekha@accenture.com&gt;</t>
  </si>
  <si>
    <t>Infancia Sermugam, Angel &lt;a.infancia.sermugam@accenture.com&gt;</t>
  </si>
  <si>
    <t>AutomationProcess_29697\mySPVisionToValue\Everest</t>
  </si>
  <si>
    <t>AutomationProcess_29697\mySolutionPlannerIntegratedSolutionPlatform\R51\Sprint129</t>
  </si>
  <si>
    <t>Bottom Up</t>
  </si>
  <si>
    <t>Gupta, Rohan &lt;rohan.c.gupta@accenture.com&gt;</t>
  </si>
  <si>
    <t>Kumar, Abhishek &lt;a.iw.kumar@accenture.com&gt;</t>
  </si>
  <si>
    <t>Kumari, Julie &lt;julie.a.kumari@accenture.com&gt;</t>
  </si>
  <si>
    <t>Jaysing Gurkha, Sarika &lt;s.jaysing.gurkha@accenture.com&gt;</t>
  </si>
  <si>
    <t>Chaudhary, Siddhartha &lt;siddhartha.chaudhary@accenture.com&gt;</t>
  </si>
  <si>
    <t>As an IMS Mobilization Architect, I want to view and launch Mobilization calculator from the Estimator/Calculators tab - Dashboard &amp; Gallery(API Creation)</t>
  </si>
  <si>
    <t>Vangara, Uma Maheswari &lt;v.uma.maheswari@accenture.com&gt;</t>
  </si>
  <si>
    <t>IMS-Top Down</t>
  </si>
  <si>
    <t>As an Mobilization Architect, I want to create a new Mobilization version against IMS Solution version (API).</t>
  </si>
  <si>
    <t>Parallel UAT</t>
  </si>
  <si>
    <t>AutomationProcess_29697\mySolutionPlannerV2V\R65\Sprint163</t>
  </si>
  <si>
    <t xml:space="preserve">IPC DNP </t>
  </si>
  <si>
    <t>Boya Kumarii, Shanmukii &lt;s.boya.kumarii@accenture.com&gt;</t>
  </si>
  <si>
    <t>DNP Screen</t>
  </si>
  <si>
    <t>Staffing Baseline Screen</t>
  </si>
  <si>
    <t>Attach Calculator - S&amp;C Sync</t>
  </si>
  <si>
    <t>Attach Calculators</t>
  </si>
  <si>
    <t>As a myISP user, I need to see the updated status and the associated RAG for all the calculators in Calculators Dashboard screen (S&amp;C Calculator)</t>
  </si>
  <si>
    <t>Solanki, Abhishek &lt;abhishek.c.solanki@accenture.com&gt;</t>
  </si>
  <si>
    <t>VRO-EVT</t>
  </si>
  <si>
    <t>Aniket Gunjal, Priyanka &lt;p.bhausaheb.awari@accenture.com&gt;</t>
  </si>
  <si>
    <t>Package and Cost Screen</t>
  </si>
  <si>
    <t>Abdulla, Ihsana Parveen &lt;ihsana.p.abdulla@accenture.com&gt;</t>
  </si>
  <si>
    <t>Costing Screen</t>
  </si>
  <si>
    <t>AutomationProcess_29697\mySolutionPlannerV2V\R64\Sprint161</t>
  </si>
  <si>
    <t>Staffing Screen</t>
  </si>
  <si>
    <t>AutomationProcess_29697\mySolutionPlannerV2V\R63\Sprint159</t>
  </si>
  <si>
    <t>Attach Calculator Screen</t>
  </si>
  <si>
    <t>Sync Functionality</t>
  </si>
  <si>
    <t>Gogireddy, Pujitha Reddy &lt;pujitha.r.gogireddy@accenture.com&gt;</t>
  </si>
  <si>
    <t>Ramesh, Anitha &lt;anitha.a.ramesh@accenture.com&gt;</t>
  </si>
  <si>
    <t>[Attach Calculator] As a myISP user, I want to enable the R2 screen for the Attach Calculator flow for AMS Service Group, so that the Attach Calculator experience aligns with defined business standards.</t>
  </si>
  <si>
    <t>Attach Calculator R2 Screen AMS</t>
  </si>
  <si>
    <t>[Attach Calculator] As a myISP user, I want to enable the R2 screen for the Attach Calculator flow for SI/SC/CON Service Group, so that the Attach Calculator experience aligns with defined business standards.</t>
  </si>
  <si>
    <t>Attach Calculator R2 screen for SI</t>
  </si>
  <si>
    <t>Kumar Singh, Pawan &lt;pawan.m.kumar.singh@accenture.com&gt;</t>
  </si>
  <si>
    <t>Attach Calculator - AMS</t>
  </si>
  <si>
    <t>Attach Calculator - Eligibility Criteria</t>
  </si>
  <si>
    <t>[Attach Calculator] As a myISP user, SI/SC/CON I want to implement the features of Editing, Attaching and Exempting in Actions column in Attach calculator, so that the Attach Calculator experience aligns with defined business standards</t>
  </si>
  <si>
    <t>[Attach Calculator] SI/SC/CONAs a myISP user, I want to implement Asset List tab for Attach Calculator (IPC, Sustainability, Security) , so that the Attach Calculator experience aligns with defined business standards</t>
  </si>
  <si>
    <t>Adak, Debjit &lt;debjit.adak@accenture.com&gt;</t>
  </si>
  <si>
    <t>[Attach Calculator] AMS As a myISP user, I want to implement Document download functionality in Attach calculator, so that the Attach Calculator experience aligns with defined business standards</t>
  </si>
  <si>
    <t>[Attach Calculator] I want to implement attach functionality of cost in AMS for Asset Calculator so that the Costing screen is aligned</t>
  </si>
  <si>
    <t>TechSavers</t>
  </si>
  <si>
    <t>Gannavarapu, Sai Meghana &lt;sai.m.gannavarapu@accenture.com&gt;</t>
  </si>
  <si>
    <t>AutomationProcess_29697\mySPVisionToValue\TechSavers</t>
  </si>
  <si>
    <t>[Attach Calculator] As a myISP user, I want to implement edit/attach/detach functionality for Asset Calculator (SI/SC/CON) in Attach calculator, so that the Attach Calculator experience aligns with defined business standards</t>
  </si>
  <si>
    <t>Auto Sync</t>
  </si>
  <si>
    <t>Vishnupriya, Nalluri &lt;nalluri.vishnupriya@accenture.com&gt;</t>
  </si>
  <si>
    <t>Vyas, Dhruv &lt;dhruvkumar.vyas@accenture.com&gt;</t>
  </si>
  <si>
    <t>YARAMATI, RAJESH BABU &lt;rajesh.babu.yaramati@accenture.com&gt;</t>
  </si>
  <si>
    <t>Namasivayam, Vijayalakshmi &lt;v.a.namasivayam@accenture.com&gt;</t>
  </si>
  <si>
    <t>Shirwar, Global &lt;global.shirwar@accenture.com&gt;</t>
  </si>
  <si>
    <t>Bhogapurapu, Chaitanya &lt;c.bhogapurapu@accenture.com&gt;</t>
  </si>
  <si>
    <t>Pilli, Naga Raghavendra &lt;naga.r.pilli@accenture.com&gt;</t>
  </si>
  <si>
    <t>Sharma, Shyam &lt;shyam.b.sharma@accenture.com&gt;</t>
  </si>
  <si>
    <t>IMS Top - Down</t>
  </si>
  <si>
    <t>[Attach Calculator] AMS As a myISP user, AMS I want to implement the features of Editing, Attaching and Exempting in Actions column in Attach calculator, so that the Attach Calculator experience aligns with defined business standards</t>
  </si>
  <si>
    <t>Kouser, Heena &lt;h.kouser@accenture.com&gt;</t>
  </si>
  <si>
    <t>[Attach Calculator] AMS As a myISP user, I want to implement Asset List tab for Attach Calculator(Sustainability and SecurityCalculator) , so that the Attach Calculator experience aligns with defined business standards</t>
  </si>
  <si>
    <t>Saday, Hanshika &lt;hanshika.saday@accenture.com&gt;</t>
  </si>
  <si>
    <t>[Attach Calculator] SI/SC/CON As a myISP user, I want to implement Document download functionality in Attach calculator, so that the Attach Calculator experience aligns with defined business standards</t>
  </si>
  <si>
    <t>Alla, Bhavana Reddy &lt;bhavana.reddy.alla@accenture.com&gt;</t>
  </si>
  <si>
    <t>Chatla, Divya Sree &lt;divya.sree.chatla@accenture.com&gt;</t>
  </si>
  <si>
    <t>AutomationProcess_29697\mySolutionPlannerV2V\R65</t>
  </si>
  <si>
    <t>Automation calculator - Attach Calculator</t>
  </si>
  <si>
    <t>CrazyCoders</t>
  </si>
  <si>
    <t>Ravindra, Ratnamala &lt;ratnamala.ravindra@accenture.com&gt;</t>
  </si>
  <si>
    <t>CCB Yet to Approve; Development Request; PO inputs; UAT Testing Not Required</t>
  </si>
  <si>
    <t>AutomationProcess_29697\mySPVisionToValue\CrazyCoders</t>
  </si>
  <si>
    <t>AutomationProcess_29697\mySolutionPlannerV2V\R64\Sprint162</t>
  </si>
  <si>
    <t xml:space="preserve">ROI - Default PA values </t>
  </si>
  <si>
    <t>IPC Calculator; UAT Testing Not Required</t>
  </si>
  <si>
    <t>IPC Calculator Copy</t>
  </si>
  <si>
    <t>Sanmugam, Ammu &lt;ammu.sanmugam@accenture.com&gt;</t>
  </si>
  <si>
    <t>Dakoori, Divya Sri &lt;divya.sri.dakoori@accenture.com&gt;</t>
  </si>
  <si>
    <t>Rabiya Basri, Mohammad &lt;m.rabiya.basri@accenture.com&gt;</t>
  </si>
  <si>
    <t>[Attach Calculator]As a myISP solution architect (SA), I want to select and save an exemption reason at Automation Calculator version level for both SI and AMS</t>
  </si>
  <si>
    <t>Dakshinamurthy, Dharani &lt;d.dakshinamurthy@accenture.com&gt;</t>
  </si>
  <si>
    <t>[Attach Calculator] As a myISP user, I want to implement edit/attach/detach functionality for Asset Calculator (AMS) in Attach calculator, so that the Attach Calculator experience aligns with defined business standards</t>
  </si>
  <si>
    <t>Attach Calculators - Automation, EVT,VRO</t>
  </si>
  <si>
    <t>Staffing Baseline</t>
  </si>
  <si>
    <t>Muthusamy, Raguvarshini &lt;r.e.muthusamy@accenture.com&gt;</t>
  </si>
  <si>
    <t>Asset Calculator -  Asset accordions to be added  in Asset Catalog</t>
  </si>
  <si>
    <t>Asset Calculator - As a myISP User I want to implement S&amp;C calculator enabled for AMS and as non taggable assets so that it aligns with business changes and the new design reframe - Copy</t>
  </si>
  <si>
    <t>Generic Calculator</t>
  </si>
  <si>
    <t>VS- As a myISP User I want information icon ahead of each KPI to display KPI description when available, So that I always get meaningful context during KPI review</t>
  </si>
  <si>
    <t>Rama Naidu Mutyala, V. &lt;v.rama.naidu.mutyala@accenture.com&gt;</t>
  </si>
  <si>
    <t>Yasin, Shaik &lt;shaik.yasin@accenture.com&gt;</t>
  </si>
  <si>
    <t>Asset Calculator CR | May Scope</t>
  </si>
  <si>
    <t>Asset Calculator</t>
  </si>
  <si>
    <t>[Asset Calculator] As a myISP ,I want to implement I&amp;I Differentiator accordion and mapping-sheet-driven asset catalog behavior to work consistently with existing calculators, so that I can configure assets accurately and see correct rollups</t>
  </si>
  <si>
    <t xml:space="preserve">Asset Calculator - I&amp;I Differentiator </t>
  </si>
  <si>
    <t>VS - As myISP User, I want governed per-objective TVP configuration in Configurator V2V Link, So that TVP setup is accurate, complete, and reusable in downstream views.</t>
  </si>
  <si>
    <t>S KOUNDINYA, ADARSH &lt;adarsh.s.koundinya@accenture.com&gt;</t>
  </si>
  <si>
    <t>VS (SVP)- As myISP User, I want configured TVP values visible in Summary -&gt; Benchmark view, So that business objective value potential is transparent in proposition shaping.</t>
  </si>
  <si>
    <t>VS - As a myISP user I want Total Value Potential summary included in PDF and Excel downloads, So that exported artifacts retain the same value insights seen in the application.</t>
  </si>
  <si>
    <t>Poduri, Vasantha &lt;vasantha.poduri@accenture.com&gt;</t>
  </si>
  <si>
    <t>Copy Functionality</t>
  </si>
  <si>
    <t>Package Selection Criteria</t>
  </si>
  <si>
    <t>Mobilization CXTA CR</t>
  </si>
  <si>
    <t>Mobilization CXTA</t>
  </si>
  <si>
    <t>CodeCatalyst</t>
  </si>
  <si>
    <t>AutomationProcess_29697\mySPVisionToValue\CodeCatalyst</t>
  </si>
  <si>
    <t>New Field Mapping</t>
  </si>
  <si>
    <t>Shift Productivity Assessment under Automation Calculator as " Automation Maturity. Mandatory for eligible AMS deals</t>
  </si>
  <si>
    <t>As a Solution Architect using the 10-step stepper workflow in EstimatorsCalculators, I want the S&amp;C Calculator to open within the same browser tab so that the workflow continuity is preserved</t>
  </si>
  <si>
    <t>Productivity Assessment</t>
  </si>
  <si>
    <t>Attach Calculator - AMS/SI</t>
  </si>
  <si>
    <t>[Attach Calculator] SI/SC/CONAs a myISP user, I want to implement Asset List tab for Attach Calculator (Asset Calculator) , so that the Attach Calculator experience aligns with defined business standards</t>
  </si>
  <si>
    <t>Natarajan, Soundhararajan &lt;s.af.natarajan@accenture.com&gt;</t>
  </si>
  <si>
    <t>[Attach Calculator] AMS As a myISP user, I want to implement Asset List tab for Attach Calculator (Asset Calculator) , so that the Attach Calculator experience aligns with defined business standards</t>
  </si>
  <si>
    <t>ROI - Default levers and Summary PDF changes</t>
  </si>
  <si>
    <t>Sunanda, Bandi &lt;bandi.sunanda@accenture.com&gt;</t>
  </si>
  <si>
    <t>Krishna Sandeep, Vatturi &lt;v.krishna.sandeep@accenture.com&gt;</t>
  </si>
  <si>
    <t>Sumanth, Gunda &lt;gunda.sumanth@accenture.com&gt;</t>
  </si>
  <si>
    <t>IMS Top Down</t>
  </si>
  <si>
    <t>CCB Approved; Development Request; UAT Testing Not Required</t>
  </si>
  <si>
    <t>Decommission</t>
  </si>
  <si>
    <t>Saravanan, sandhiya &lt;sandhiya.d.saravanan@accenture.com&gt;</t>
  </si>
  <si>
    <t>CCB Approved; PO inputs; UAT Testing Not Required</t>
  </si>
  <si>
    <t>Ramesh Kumar, Kajal &lt;kajal.ramesh.kumar@accenture.com&gt;</t>
  </si>
  <si>
    <t>Biswas, Tanmoy &lt;tanmoy.biswas@accenture.com&gt;</t>
  </si>
  <si>
    <t>[Attach] As a Solution Architect (SA) user I want retain the Differentiation screen for Index Score functionalities, while all sync, exemption, and calculator-related actions will be handled in the Attach Calculator So that all functionalities are retained</t>
  </si>
  <si>
    <t>Vijiyakumar, Harish &lt;harish.vijiyakumar@accenture.com&gt;</t>
  </si>
  <si>
    <t>Narayan, Ramya &lt;ramya.a.narayan@accenture.com&gt;</t>
  </si>
  <si>
    <t>R Devi, Lalitha &lt;lalitha.r.devi@accenture.com&gt;</t>
  </si>
  <si>
    <t>CCB Approved; PO inputs</t>
  </si>
  <si>
    <t>As a myISP user, I need to see the updated status and the associated RAG for all the calculators in Calculators Dashboard screen [IPC, Sustainability and Security]</t>
  </si>
  <si>
    <t>Syed, Farheen &lt;farheen.a.syed@accenture.com&gt;</t>
  </si>
  <si>
    <t>One-time Data Migration: Differentiation ? Automation Calculator to Attach Calculator (Sync and draft status)</t>
  </si>
  <si>
    <t>[SSA - SRA] - SA Review Preparation</t>
  </si>
  <si>
    <t>Reddy, Chaitra &lt;chaitra.reddy@accenture.com&gt;</t>
  </si>
  <si>
    <t>CCB Approved; Group2</t>
  </si>
  <si>
    <t>AutomationProcess_29697\mySPIntegratedSolutionPlatform\Gen AI - Solution Review Agent</t>
  </si>
  <si>
    <t>AutomationProcess_29697\mySolutionPlannerIntegratedSolutionPlatform\R63\Sprint158</t>
  </si>
  <si>
    <t>Review Preparation</t>
  </si>
  <si>
    <t>[SSA - SRA] - Review response page optimization.</t>
  </si>
  <si>
    <t>Haribhau Tadke, Pratik &lt;p.haribhau.tadke@accenture.com&gt;</t>
  </si>
  <si>
    <t>Parameter Review check</t>
  </si>
  <si>
    <t>Udhayakumar, Harshitha &lt;h.udhayakumar@accenture.com&gt;</t>
  </si>
  <si>
    <t>Filtering Parameters</t>
  </si>
  <si>
    <t>Feature Tray</t>
  </si>
  <si>
    <t>[SSA - DLC] - Deal Level Canvas UI enhancements.</t>
  </si>
  <si>
    <t>Deal Level Canvas</t>
  </si>
  <si>
    <t>Code Mavin</t>
  </si>
  <si>
    <t>Rajkumar, Sushmeta &lt;sushmeta.rajkumar@accenture.com&gt;</t>
  </si>
  <si>
    <t>CCB Approved; GenAI_DLC_Revamp; PO inputs</t>
  </si>
  <si>
    <t>AutomationProcess_29697\myISP_DSP\Code Mavin</t>
  </si>
  <si>
    <t>SSA Navigation</t>
  </si>
  <si>
    <t>[GEN AI - Opportunity Benchmark] - LLM - GenAI Insights MMS ID Unmasking &amp; Client Name Display</t>
  </si>
  <si>
    <t>QDI - Opportunity Metrics</t>
  </si>
  <si>
    <t>S A, Janardhan &lt;janardhan.s.a@accenture.com&gt;</t>
  </si>
  <si>
    <t>CCB Approved; LLM; Technical</t>
  </si>
  <si>
    <t>AutomationProcess_29697\mySPIntegratedSolutionPlatform\QDI - Opportunity Metrics</t>
  </si>
  <si>
    <t>Umasking the Benchmark Opportunity and Demographics details in OBM</t>
  </si>
  <si>
    <t>Krishnan, Vidya &lt;vidya.a.krishnan@accenture.com&gt;</t>
  </si>
  <si>
    <t>CCB Approved; CR; Po Input</t>
  </si>
  <si>
    <t>Vyshaali Narendran, Shree Vyshaali &lt;s.vyshaali.narendran@accenture.com&gt;</t>
  </si>
  <si>
    <t>CCB Yet to Approve; CR; Po Input</t>
  </si>
  <si>
    <t>[Gen AI - SRA] - Notes Module</t>
  </si>
  <si>
    <t>[SSA-SRA] - Enable Solution Architect to create and manage notes</t>
  </si>
  <si>
    <t>Sundar, Reshma &lt;reshma.sundar@accenture.com&gt;</t>
  </si>
  <si>
    <t>Group4a</t>
  </si>
  <si>
    <t>SA Notes</t>
  </si>
  <si>
    <t>[SSA - SRA]  Overall Error and Exception Handling</t>
  </si>
  <si>
    <t>[Technical] [SSA-SRA] - Controlled Email Notification for Review Agent Document Upload</t>
  </si>
  <si>
    <t>Jagathisan, Vignesh &lt;vignesh.jagathisan@accenture.com&gt;</t>
  </si>
  <si>
    <t>Email notification</t>
  </si>
  <si>
    <t>CDAT Gen AI mail notification for Gen AI responses.</t>
  </si>
  <si>
    <t>CDAT Gen AI</t>
  </si>
  <si>
    <t>AutomationProcess_29697\mySPIntegratedSolutionPlatform\GENAI-CDAT</t>
  </si>
  <si>
    <t>[SSA - SRA] - Self Review Enablement for Additional Service Groups (SI, IMS, BPMS).</t>
  </si>
  <si>
    <t>[SSA-SRA] - Enforce Service Group restriction based on SA�MMS ID mapping across Solution Review module</t>
  </si>
  <si>
    <t>Group2</t>
  </si>
  <si>
    <t>SG Restriction</t>
  </si>
  <si>
    <t>[Technical] [SSA-SRA] - Improving Error Transparency Across Upload, Ingestion &amp; LLM Processing</t>
  </si>
  <si>
    <t>Kukkala, Nageshwari &lt;nageshwari.kukkala@accenture.com&gt;</t>
  </si>
  <si>
    <t>Error Handling</t>
  </si>
  <si>
    <t>[SSA - SRA] - Integration of DSP, MSDA and Client-Imposed Constraints.</t>
  </si>
  <si>
    <t>[SSA-SRA] : SA clicks on "DSP" under Key References</t>
  </si>
  <si>
    <t>Group1</t>
  </si>
  <si>
    <t>DSP - Opportunity Context</t>
  </si>
  <si>
    <t>SI Technology Expansion — Connected Solutions &amp; Others</t>
  </si>
  <si>
    <t>As SA/RA, working on SI service group deals I want S2C to recognise �Data and AI� and �Data Migration� as valid SI Primary Technologies from DSP ingestion So that I can generate contract content, and receive context?appropriate for Data Migration deals</t>
  </si>
  <si>
    <t>Ramalingam, Vishali &lt;vishali.ramalingam@accenture.com&gt;</t>
  </si>
  <si>
    <t>SI_Others</t>
  </si>
  <si>
    <t>AutomationProcess_29697\mySPIntegratedSolutionPlatform\Solution to Contract</t>
  </si>
  <si>
    <t>As a Solution Architect (SA) using the S2C module I want technology selection and technology?driven sections to be suppressed when the deal�s RDE is Security and Service Group is SI</t>
  </si>
  <si>
    <t>Boodidha, Kalpana &lt;kalpana.boodidha@accenture.com&gt;</t>
  </si>
  <si>
    <t>S2C_Security</t>
  </si>
  <si>
    <t>[SSA - QDI] - Auto generation of Learnings.</t>
  </si>
  <si>
    <t>Retrospective Insights and Learnings</t>
  </si>
  <si>
    <t>QualityDataInsights</t>
  </si>
  <si>
    <t>Mohan, Sanjay &lt;sanjay.a.mohan@accenture.com&gt;</t>
  </si>
  <si>
    <t>Auto Learning</t>
  </si>
  <si>
    <t>AutomationProcess_29697\mySPIntegratedSolutionPlatform\QualityDataInsights</t>
  </si>
  <si>
    <t>Client &amp; Competitive Insights</t>
  </si>
  <si>
    <t>Auto-generated learning</t>
  </si>
  <si>
    <t>[SSA-SRA] : SA clicks on "Client Imposed Constraints" under Key References</t>
  </si>
  <si>
    <t>Client-Imposed Constraints - Opportunity Context</t>
  </si>
  <si>
    <t>[SSA-SRA] : SA clicks on "MSDA" under Key References</t>
  </si>
  <si>
    <t>MSDA - Opportunity Context</t>
  </si>
  <si>
    <t>Gupta, Divya &lt;divya.am.gupta@accenture.com&gt;</t>
  </si>
  <si>
    <t>LLM+UI</t>
  </si>
  <si>
    <t>DSP Ingestion Error Messages.</t>
  </si>
  <si>
    <t>[SSA-SRA] : SA to mark one of the Self Review Outcome as Final Version</t>
  </si>
  <si>
    <t>Group3a</t>
  </si>
  <si>
    <t>Marking Final Review version</t>
  </si>
  <si>
    <t>[SSA - SRA] - Review Agent landing page changes.</t>
  </si>
  <si>
    <t>[SSA-SRA] : SA Landing Page Enhancements.</t>
  </si>
  <si>
    <t>Group3</t>
  </si>
  <si>
    <t>Landing Page</t>
  </si>
  <si>
    <t>[GEN AI - Opportunity Benchmark] - LLM - POC - Enhancing the LLM inputs for OBM Opportunity Cost</t>
  </si>
  <si>
    <t>Kumar, Akash &lt;akash.ce.kumar@accenture.com&gt;</t>
  </si>
  <si>
    <t>LLM; Technical; TestTag</t>
  </si>
  <si>
    <t>As a myISP user, I want to refine existing AI prompts and add additional validation activities So that the quality, accuracy, and consistency of AI?generated responses are improved across the platform.</t>
  </si>
  <si>
    <t>Senthilkumar, Narmatha &lt;n.g.senthil.kumar@accenture.com&gt;</t>
  </si>
  <si>
    <t>dev request; UI</t>
  </si>
  <si>
    <t>Additional Key References</t>
  </si>
  <si>
    <t>QDI Jan Enhancements</t>
  </si>
  <si>
    <t>DASH, SANDEEP &lt;sandeep.b.dash@accenture.com&gt;</t>
  </si>
  <si>
    <t>Dhabarde, Akanksha &lt;akanksha.dhabarde@accenture.com&gt;</t>
  </si>
  <si>
    <t>QDI</t>
  </si>
  <si>
    <t>[SSA - SRA] - As a MyISP user, I want to enable and select 'IMS', service group as sub-tags in Document management, after uploading the Solution Plan so that user can tag accordingly for the review.</t>
  </si>
  <si>
    <t>Additional Service Groups enablement</t>
  </si>
  <si>
    <t>IMS SG Self Review</t>
  </si>
  <si>
    <t>BPMS GEN AI DLC and SGC DSP Version Inclusion for the Prompts</t>
  </si>
  <si>
    <t>Fathima S, Furshana &lt;furshana.fathima.s@accenture.com&gt;</t>
  </si>
  <si>
    <t>DLC</t>
  </si>
  <si>
    <t>Radhakrishnan, Eswaran &lt;e.radhakrishnan@accenture.com&gt;</t>
  </si>
  <si>
    <t>SGC</t>
  </si>
  <si>
    <t>Chandrasekaran, Varadharaju &lt;v.w.chandrasekaran@accenture.com&gt;</t>
  </si>
  <si>
    <t>As a Solution Architect on an Others deal mapped by DSP to Data AI / Data Migration, I want the system to show the correct PLS when I open Predefined Legal Suggestions, So that I get legal definitions tailored to Data AI / Data Migration.</t>
  </si>
  <si>
    <t>As a SA I want the Scope and watchlist document to clearly display DSP supplied Primary Technology and Archetype below the document header and to remove redundant technology suffixess deals So that the SWD document professionally formatted.</t>
  </si>
  <si>
    <t>Rai, Arpit &lt;arpit.a.rai@accenture.com&gt;</t>
  </si>
  <si>
    <t>Barua, Pritam &lt;pritam.barua@accenture.com&gt;</t>
  </si>
  <si>
    <t>Auto-generation of Learning</t>
  </si>
  <si>
    <t>[SSA - SRA] - Solution Architect's Consolidated Notes � Centralized Notes Management</t>
  </si>
  <si>
    <t>Group4</t>
  </si>
  <si>
    <t>Consolidated Notes</t>
  </si>
  <si>
    <t xml:space="preserve">Review Outcome tiles </t>
  </si>
  <si>
    <t>Panigrahi, Sujana &lt;sujana.panigrahi@accenture.com&gt;</t>
  </si>
  <si>
    <t>GenAI_DLC_Revamp</t>
  </si>
  <si>
    <t>Applicable Service Groups</t>
  </si>
  <si>
    <t>Mail Trigger</t>
  </si>
  <si>
    <t>Kumar Veligondla, Kranti &lt;k.kumar.veligondla@accenture.com&gt;</t>
  </si>
  <si>
    <t>Auto-generated Learning</t>
  </si>
  <si>
    <t>As a SA I want S2C landing SG tiles to be enabled or disabled based on Security context and role So that Security deals are handled only by Security SA while keeping Reviewer access unchanged</t>
  </si>
  <si>
    <t>As a SA or Reviewer I want RDE and RDE Override displayed in the S2C landing header next to MMS ID and Opportunity Name So that I can confirm the deal?s governance context at the start of the S2C flow</t>
  </si>
  <si>
    <t>As a Security SA or Reviewer I want Security deal Scope &amp; Watchlist documents to include Security context in the file name So that Security documents are clearly identifiable during review and handling</t>
  </si>
  <si>
    <t>As a Security SA I want Security-specific nudges for Security deals So that guidance aligns with Security context and governance</t>
  </si>
  <si>
    <t>[SSA-SRA] - Solution to Win Excel Checklist Upgrade - As a myISP User, I should be able to view additional columns in the Review Agent Output document displaying accurate RAG insights for L2-level nudges.</t>
  </si>
  <si>
    <t>Output Document</t>
  </si>
  <si>
    <t>S2C_UI and Role Access  changes</t>
  </si>
  <si>
    <t>UI changes</t>
  </si>
  <si>
    <t>**As a** Solution Architect **I want** the Publish icon to be enabled only after a DCSO has been successfully imported **So that** I cannot accidentally publish incomplete or unimported DCSO data to the HR tool</t>
  </si>
  <si>
    <t>AutomationProcess_29697\mySPRapidSolutioning\TechStars</t>
  </si>
  <si>
    <t>As a Solution Architect I want to be able to generate a DCSO for Ventures &amp; Acquisitions deals, Restricted Opportunities, Extension deals, Interim deals, and Closed deals So that staffing plans can be created</t>
  </si>
  <si>
    <t>Harinadh, Peddinti &lt;peddinti.harinadh@accenture.com&gt;</t>
  </si>
  <si>
    <t>As a Solution Architect, I want Transition and SD resource line items to be merged into a single row in AMS and IMS SG when they belong to the same group in the DCSO report so that the report is concise and easier to review</t>
  </si>
  <si>
    <t>Harshith Rao, Gujja &lt;gujja.harshith.rao@accenture.com&gt;</t>
  </si>
  <si>
    <t>Mishal, Mohammad &lt;mohammad.mishal@accenture.com&gt;</t>
  </si>
  <si>
    <t>Harinisri, Thurimella &lt;t.naga.sai.harinisri@accenture.com&gt;</t>
  </si>
  <si>
    <t>As a Solution Architect, I want the Save and Confirm button to be disabled when DL assignment is incomplete on Click of Generate DCSO for AMS/SI/IMS so that I cannot proceed with missing DL data</t>
  </si>
  <si>
    <t>Srivastava, Krati A. &lt;krati.a.srivastava@accenture.com&gt;</t>
  </si>
  <si>
    <t>**As a** Solution Architect **I want** the Delete icon to be disabled once a DCSO has been successfully published **So that** published DCSO data sent to the HR tool cannot be accidentally deleted, ensuring data integrity</t>
  </si>
  <si>
    <t>**As a** Solution Architect **I want** the system to validate the DCSO version sync status and delivery lead assignments when user click Publish, and show an error if the status is "Not In Sync" **So that** Not in Sync DCSO is not published to HR tool</t>
  </si>
  <si>
    <t>**As a** Solution Architect **I want** the system to validate that each resource line's FTE Start Date is at least 16 calendar days ahead of the Publish Date when I click Publish **So that** Publish is successful</t>
  </si>
  <si>
    <t>On Hold</t>
  </si>
  <si>
    <t>**As a** Solution Architect **I want** the system to publish the DCSO data to the HR tool after all validations pass **So that** HR receives accurate, validated staffing data for processing</t>
  </si>
  <si>
    <t>Shivani, Aakula &lt;aakula.shivani@accenture.com&gt;</t>
  </si>
  <si>
    <t>As a Solution Architect, I want delivery leads assigned from the DCSO screen to be added under review approver permissions for IMS/AMS/SI Sgs so that delivery leads can seamlessly access appropriate workflows</t>
  </si>
  <si>
    <t>Gadugu, Sai Sumana &lt;sai.sumana.gadugu@accenture.com&gt;</t>
  </si>
  <si>
    <t>Elangovan, Naveen &lt;naveen.elangovan@accenture.com&gt;</t>
  </si>
  <si>
    <t>myISP - DCSO Validation</t>
  </si>
  <si>
    <t>As a Solution Architect, I want FTE Start Date validated (min 16 days ahead of Publish Date) on Reconcile, so that date issues are surfaced before Publish</t>
  </si>
  <si>
    <t>Pradhan, Hrushikesh &lt;hrushikesh.pradhan@accenture.com&gt;</t>
  </si>
  <si>
    <t>CCB Approved; DCSO; myISP Adv</t>
  </si>
  <si>
    <t>Thangapandian, Arun &lt;arun.thangapandian@accenture.com&gt;</t>
  </si>
  <si>
    <t>CCB Approved; DCSO; myISP Adv; Po Input</t>
  </si>
  <si>
    <t>CCB Approved; DCSO; myISP Adv; PO inputs</t>
  </si>
  <si>
    <t>B Gadad, Anand &lt;anand.b.gadad@accenture.com&gt;</t>
  </si>
  <si>
    <t>Shukla, H. F. &lt;h.f.shukla@accenture.com&gt;</t>
  </si>
  <si>
    <t>Manickam, Mervinkumar &lt;mervinkumar.manickam@accenture.com&gt;</t>
  </si>
  <si>
    <t>AutomationProcess_29697\mySPIntegratedSolutionPlatform\TechWizards</t>
  </si>
  <si>
    <t>AutomationProcess_29697\mySolutionPlannerIntegratedSolutionPlatform\R65\Sprint164</t>
  </si>
  <si>
    <t>SI Staffing Baseline</t>
  </si>
  <si>
    <t>Gula, Rajesh &lt;rajesh.gula@accenture.com&gt;</t>
  </si>
  <si>
    <t>Parivallal, Aiswarya &lt;aiswarya.parivallal@accenture.com&gt;</t>
  </si>
  <si>
    <t>AutomationProcess_29697\mySPIntegratedSolutionPlatform\TechAvengers</t>
  </si>
  <si>
    <t>SI Staffing Baseline OU</t>
  </si>
  <si>
    <t>PCW - Add Technology Role and Standard Role mapping in Staffing Baseline for CON-CAS</t>
  </si>
  <si>
    <t>D R, Sujay &lt;s.dasappa.rangappa@accenture.com&gt;</t>
  </si>
  <si>
    <t>AutomationProcess_29697\mySPIntegratedSolutionPlatform\Tech Ensemble</t>
  </si>
  <si>
    <t>DCTA</t>
  </si>
  <si>
    <t>KS, Ananthakrishnan &lt;ananthakrishnan.ks@accenture.com&gt;</t>
  </si>
  <si>
    <t>Yenurkar, Anushka &lt;anushka.r.yenurkar@accenture.com&gt;</t>
  </si>
  <si>
    <t>CCB Approved; PCW; PO inputs</t>
  </si>
  <si>
    <t>DNP</t>
  </si>
  <si>
    <t>Reddy Kambham, Varun &lt;varun.reddy.kambham@accenture.com&gt;</t>
  </si>
  <si>
    <t>AutomationProcess_29697\mySPIntegratedSolutionPlatform\TechAvatar</t>
  </si>
  <si>
    <t>AutomationProcess_29697\mySolutionPlannerIntegratedSolutionPlatform\R65\Sprint165</t>
  </si>
  <si>
    <t>Tamilzharasu, Kiruthiga T &lt;k.tamilzharasu@accenture.com&gt;</t>
  </si>
  <si>
    <t>DNP Baseline, DNP Forecast</t>
  </si>
  <si>
    <t>Bathina, Sri Manasvi &lt;sri.manasvi.bathina@accenture.com&gt;</t>
  </si>
  <si>
    <t>AutomationProcess_29697\mySPRapidSolutioning\DevStormers</t>
  </si>
  <si>
    <t>AutomationProcess_29697\mySolutionPlannerRapidSolutioning\R65\Sprint163</t>
  </si>
  <si>
    <t>MMP FFP</t>
  </si>
  <si>
    <t>Sargurunathan, Naveenkumar &lt;n.sargurunathan@accenture.com&gt;</t>
  </si>
  <si>
    <t>Devarajan, Suresh &lt;suresh.devarajan@accenture.com&gt;</t>
  </si>
  <si>
    <t>Carting</t>
  </si>
  <si>
    <t>Online SI May Cr's</t>
  </si>
  <si>
    <t>myISP_DNP</t>
  </si>
  <si>
    <t>Lock/unlock</t>
  </si>
  <si>
    <t>Malapati, Sai Sneha Latha &lt;sai.sneha.l.malapati@accenture.com&gt;</t>
  </si>
  <si>
    <t>Ganesan, Mathangi &lt;mathangi.a.ganesan@accenture.com&gt;</t>
  </si>
  <si>
    <t>Master Cost</t>
  </si>
  <si>
    <t>Kumar Alamuri, Sudheer &lt;a.sudheer.kumar@accenture.com&gt;</t>
  </si>
  <si>
    <t>Akbar Basha, Musrath &lt;musrath.akbar.basha@accenture.com&gt;</t>
  </si>
  <si>
    <t>PCW; PO inputs</t>
  </si>
  <si>
    <t>Sivakumar, Vijayalakshmi &lt;v.b.sivakumar@accenture.com&gt;</t>
  </si>
  <si>
    <t>CCB Approved</t>
  </si>
  <si>
    <t>As a myISP SA, I want to display validation message while triggering Request Pricing</t>
  </si>
  <si>
    <t>As a myISP SA, I want the system to automatically classify a deal as Pure Technology based on certain conditions So that correct mandatory field rules apply automatically during DCTA pricing without manual classification</t>
  </si>
  <si>
    <t>Dhir, Neha &lt;neha.dhir@accenture.com&gt;</t>
  </si>
  <si>
    <t>Aggarwal, Sugandha &lt;sugandha.a.aggarwal@accenture.com&gt;</t>
  </si>
  <si>
    <t>AI-Generated; DCTA; PureTechnology; StandardRole</t>
  </si>
  <si>
    <t>AutomationProcess_29697\mySPIntegratedSolutionPlatform\TechSprinters</t>
  </si>
  <si>
    <t>AutomationProcess_29697\mySolutionPlannerIntegratedSolutionPlatform\R63\Sprint159</t>
  </si>
  <si>
    <t>[Attach Calculator]As a myISP user, I need to see the updated UI in Preference Setting screen when Attach Calculator is introduced along with Differentiation screen</t>
  </si>
  <si>
    <t>YOY Seat Charges</t>
  </si>
  <si>
    <t>Namdeo Kadam, Manisha &lt;manisha.namdeo.kadam@accenture.com&gt;</t>
  </si>
  <si>
    <t>Update the restricted SSGs in profile screen info</t>
  </si>
  <si>
    <t xml:space="preserve">SI Profile </t>
  </si>
  <si>
    <t>Pamarthi, Sairam &lt;sairam.pamarthi@accenture.com&gt;</t>
  </si>
  <si>
    <t>SI Profile</t>
  </si>
  <si>
    <t>Khan, Sohana &lt;sohana.khan@accenture.com&gt;</t>
  </si>
  <si>
    <t>YOY Seat charges Cost</t>
  </si>
  <si>
    <t>Musthyala, Niharika &lt;niharika.musthyala@accenture.com&gt;</t>
  </si>
  <si>
    <t>SDL</t>
  </si>
  <si>
    <t>Rate card</t>
  </si>
  <si>
    <t>IPC Calculator | Updated RAG logic for IPC Delivery Toolkit and IPC Lead PMO</t>
  </si>
  <si>
    <t>Asset Blueprint Calculators</t>
  </si>
  <si>
    <t>As a myISP User , I want to push the DNP details SI for Asset Calculator so that the DNP screen is aligned</t>
  </si>
  <si>
    <t>STD Role</t>
  </si>
  <si>
    <t>Ragu, Indu &lt;indu.ragu@accenture.com&gt;</t>
  </si>
  <si>
    <t>Std Role</t>
  </si>
  <si>
    <t>As a Solution Architect I want the MMP-FFP report to be updated to use Attach Calculator data in place of Differentiation So that MMP-FFP reporting remains accurate</t>
  </si>
  <si>
    <t>Anjum Parvez, Syed &lt;syed.anjum.parvez@accenture.com&gt;</t>
  </si>
  <si>
    <t>As a Solution Architect I want DCTA to be updated to use Attach Calculator data in place of Differentiation So that DCTA functionality remains accurate</t>
  </si>
  <si>
    <t>Dawle, Datta lingram &lt;datta.lingram.dawle@accenture.com&gt;</t>
  </si>
  <si>
    <t>As a Solution Architect I want the SDL to be updated to use Attach Calculator data in place of Differentiation So that SDL functionality remains accurate</t>
  </si>
  <si>
    <t>FY26 [BPMS BAU] - Productivity Updates - Talent Services</t>
  </si>
  <si>
    <t xml:space="preserve"> Introduction of new tools_System Generated_Manual and Retention of Foundational Tools for Employee HR_Talent_Part2</t>
  </si>
  <si>
    <t>FY26 [BPMS BAU] - Introduction of new tools_System Generated_Manual and Retention of Foundational Tools for Employee HR_Talent_Part2</t>
  </si>
  <si>
    <t>Pinocchio</t>
  </si>
  <si>
    <t>Gandavarapu, Omkar &lt;omkar.gandavarapu@accenture.com&gt;</t>
  </si>
  <si>
    <t>Shaikh, M.Zeeshan &lt;m.zeeshan.shaikh@accenture.com&gt;</t>
  </si>
  <si>
    <t>Kannan, Aishwarya &lt;aishwarya.f.kannan@accenture.com&gt;</t>
  </si>
  <si>
    <t>BPMS; BPMS BAU; FY26; myISP; UAT Testing Not Required</t>
  </si>
  <si>
    <t>AutomationProcess_29697\mySPIntegratedSolutionPlatform\myISP_BPMS\Pinocchio</t>
  </si>
  <si>
    <t>INSPIRE BPMS BAU</t>
  </si>
  <si>
    <t>m.ohlan</t>
  </si>
  <si>
    <t>As a System Developer, I should ensure that FTS flags are consistently updated when FTS email is triggered from INSPIRE Sync , so that users see accurate FTS status across all screens</t>
  </si>
  <si>
    <t>Kumar Sharma, Saurabh &lt;s.aj.kumar.sharma@accenture.com&gt;</t>
  </si>
  <si>
    <t>Changes related to custome parameter file</t>
  </si>
  <si>
    <t>Ready to develop</t>
  </si>
  <si>
    <t>Pluto</t>
  </si>
  <si>
    <t>Suman, Surbhi C. &lt;surbhi.c.suman@accenture.com&gt;</t>
  </si>
  <si>
    <t>Kumari, Shikha A. &lt;shikha.a.kumari@accenture.com&gt;</t>
  </si>
  <si>
    <t>AutomationProcess_29697\mySPIntegratedSolutionPlatform\myISP_BPMS\Pluto</t>
  </si>
  <si>
    <t>New Service Component Onboarding_Talent_Services_Learning Experience and Pathways</t>
  </si>
  <si>
    <t>FY26 [BPMS BAU] - New Service Component Onboarding_Talent_Services_Talent_Development_Learning Experience and Pathways - Test Only</t>
  </si>
  <si>
    <t>Singh, Anu B. &lt;anu.b.singh@accenture.com&gt;</t>
  </si>
  <si>
    <t>DVE Naming Fix: Rename "DVE Revised Report" to "DVE FTE Planner"</t>
  </si>
  <si>
    <t>BPMS; CCB Yet to Approve; FY26; myISP; UAT Testing Not Required</t>
  </si>
  <si>
    <t>Align INSPIRE GST File Naming with Solution Models</t>
  </si>
  <si>
    <t>FY26 [BPMS BAU] - MMP - DCTA integration enhancements</t>
  </si>
  <si>
    <t>Create "FY26 [BPMS BAU] - BPMS - OCP Negotiating Contingency % in the Billing JSON"</t>
  </si>
  <si>
    <t>Sindhuja, Akaram &lt;akaram.sindhuja@accenture.com&gt;</t>
  </si>
  <si>
    <t>BPMS; BPMS BAU; FY26; myISP</t>
  </si>
  <si>
    <t>Simba</t>
  </si>
  <si>
    <t>Pardeshi, Akshay &lt;akshay.pardeshi@accenture.com&gt;</t>
  </si>
  <si>
    <t>AutomationProcess_29697\mySPIntegratedSolutionPlatform\myISP_BPMS\Simba</t>
  </si>
  <si>
    <t>FY26 [BPMS BAU] - Enhancements and CRs related to Models, Excel Input uplaod, Templates  and Reports_March 2026_Release</t>
  </si>
  <si>
    <t xml:space="preserve"> Log Reporting DB Sync Scenario, Version, and Timestamp in BDL Generation</t>
  </si>
  <si>
    <t>Introduction of new tools_System Generated_Manual and Retention of Foundational Tools for Employee HR_Talent_Part1</t>
  </si>
  <si>
    <t>FY26 [BPMS BAU] - Introduction of new tools_System Generated_Manual and Retention of Foundational Tools for Employee HR_Talent_Part1</t>
  </si>
  <si>
    <t>Validate Productivity Dashboard Reflects Updated Values_Talent_Services</t>
  </si>
  <si>
    <t>Validate Pyramid Details, GDC, and Reports Reflect Updated Productivity_Talent_Services</t>
  </si>
  <si>
    <t>FY26 [BPMS BAU] - Productivity Updates - Employee and HR</t>
  </si>
  <si>
    <t>Impact of Productivity&amp;Impacted Screens_Employee&amp;HR _E2E_(EmpSupport &amp; WFDA)_Test Only_Part 2</t>
  </si>
  <si>
    <t>BPMS; BPMS BAU; CCB Approved; FY26; myISP; UAT Testing Not Required</t>
  </si>
  <si>
    <t>Meenakshi Sundaram, Jothika &lt;jothika.sundaram@accenture.com&gt;</t>
  </si>
  <si>
    <t>AutomationProcess_29697\mySPRapidSolutioning\Simulators</t>
  </si>
  <si>
    <t>Karthikeyan, Sriram &lt;sriram.a.karthikeyan@accenture.com&gt;</t>
  </si>
  <si>
    <t>A S, Sureka &lt;s.arunkumar.sathiya@accenture.com&gt;</t>
  </si>
  <si>
    <t>AMS; KDA; OCP; PO inputs</t>
  </si>
  <si>
    <t>AutomationProcess_29697\mySPRapidSolutioning\CreativeCoders</t>
  </si>
  <si>
    <t>AutomationProcess_29697\mySolutionPlannerRapidSolutioning\R63\Sprint158</t>
  </si>
  <si>
    <t>View KDA Excel report</t>
  </si>
  <si>
    <t>Sending metrices applicable for SI Solution based KDA and SI Data KDA to MMD</t>
  </si>
  <si>
    <t>Nagannapudi, Sai Vinodini &lt;sai.v.nagannapudi@accenture.com&gt;</t>
  </si>
  <si>
    <t>CCB Approved; dev request; Testing NA - Only For UAT</t>
  </si>
  <si>
    <t>BPMS OCP/DCTA: CR - Enhancement changes ( update the logic for identifying PMO Cost)</t>
  </si>
  <si>
    <t>BPMS; DCTA</t>
  </si>
  <si>
    <t>AutomationProcess_29697\mySolutionPlannerRapidSolutioning\R53\Sprint135</t>
  </si>
  <si>
    <t>BPMS; OCP</t>
  </si>
  <si>
    <t>AutomationProcess_29697\mySPRapidSolutioning\CodingCrusaders</t>
  </si>
  <si>
    <t>BPMS - As a myISP SA, I want to enter a negotiation contingency % in Solution Workbench so that I can review the contingency buffer applied to pricing without switching to BPMS, enabling complete financial visibility in one view.</t>
  </si>
  <si>
    <t>AMS OCP/DCTA — ATCI Effort Ratio Logic Update for Offshore Metrics</t>
  </si>
  <si>
    <t>Singh, Ayush &lt;ayush.ad.singh@accenture.com&gt;</t>
  </si>
  <si>
    <t>AMS; DCTA; OCP</t>
  </si>
  <si>
    <t>OCP/DCTA</t>
  </si>
  <si>
    <t>Sowsheel, Ghulekar &lt;ghulekar.sowsheel@accenture.com&gt;</t>
  </si>
  <si>
    <t>MMD: Request to include LCR and Payroll without seat charges on the KDA data</t>
  </si>
  <si>
    <t>AMS, BPMS</t>
  </si>
  <si>
    <t>Nanditha Uddaraju, Anuradha &lt;a.nanditha.uddaraju@accenture.com&gt;</t>
  </si>
  <si>
    <t>AMS; BPMS; KDA; MMD; MMP; OCP; Testing NA-Only For UAT; UAT Testing Not Required</t>
  </si>
  <si>
    <t>KDA data to MMD</t>
  </si>
  <si>
    <t>AutomationProcess_29697\mySPRapidSolutioning\Insurgents</t>
  </si>
  <si>
    <t>View KDA</t>
  </si>
  <si>
    <t>Harmonized KDA</t>
  </si>
  <si>
    <t>THANGAVEL PANDIAN, NITHIYA SRI &lt;n.thangavel.pandian@accenture.com&gt;</t>
  </si>
  <si>
    <t>Pramodh Kumar, Miriyala &lt;m.pramodh.kumar@accenture.com&gt;</t>
  </si>
  <si>
    <t>IMS; KDA; MMD; MMP; OCP; Testing NA-Only For UAT; UAT Testing Not Required</t>
  </si>
  <si>
    <t>Validation error while simulating OCP without ratecard configuration in Staffing screen</t>
  </si>
  <si>
    <t>SI OCP</t>
  </si>
  <si>
    <t>IMS MUlti tower</t>
  </si>
  <si>
    <t>IMS-OCP&gt; Detailed report: As a mySolutionPlanner developer, I want the OCP Detailed Report to support IMS Multi Tower Pricing, So that user can analyze pricing data separately for IMS and SI towers, with detailed Revenue SG breakdown for SI.</t>
  </si>
  <si>
    <t>Saha, Ankita &lt;a.h.saha@accenture.com&gt;</t>
  </si>
  <si>
    <t>IMS; OCP; Po Input; SI</t>
  </si>
  <si>
    <t>Detailed report</t>
  </si>
  <si>
    <t>IMS Multi Tower</t>
  </si>
  <si>
    <t>Somana, Anika Angel &lt;anika.angel.somana@accenture.com&gt;</t>
  </si>
  <si>
    <t>IMS; OCP; PO inputs; SI</t>
  </si>
  <si>
    <t>Resource Level View Report</t>
  </si>
  <si>
    <t>Shinde, Sarita &lt;sarita.shinde@accenture.com&gt;</t>
  </si>
  <si>
    <t>IMS; OCP; SI</t>
  </si>
  <si>
    <t>CY/FY/MOM/ Graph View</t>
  </si>
  <si>
    <t>K O L H E, N I H A R I K A &lt;niharika.kolhe@accenture.com&gt;</t>
  </si>
  <si>
    <t>AMS; Group; KDA; OCP; PO inputs</t>
  </si>
  <si>
    <t>Yarlagadda, Apoorva &lt;apoorva.yarlagadda@accenture.com&gt;</t>
  </si>
  <si>
    <t>T K, Vikash Raj &lt;vikash.raj.t.k@accenture.com&gt;</t>
  </si>
  <si>
    <t>myISP - Digital DCSO</t>
  </si>
  <si>
    <t>Jaisankar, Priyadharsini &lt;p.a.jaisankar@accenture.com&gt;</t>
  </si>
  <si>
    <t>Autocreate; DCSO</t>
  </si>
  <si>
    <t>AMS/SI As a Solution Architect I want OCP report generation to use Attach Calculator configuration in place of Differentiation So that OCP pricing is not blocked</t>
  </si>
  <si>
    <t>Nandi, Abhijit &lt;abhijit.a.nandi@accenture.com&gt;</t>
  </si>
  <si>
    <t>UT in Progress</t>
  </si>
  <si>
    <t>[Attach Calculator] I want to push the costing details AMS for Asset Calculator so that the Costing screen is aligned</t>
  </si>
  <si>
    <t>Chaudhari, Prathmesh &lt;p.a.vijay.chaudhari@accenture.com&gt;</t>
  </si>
  <si>
    <t>AutomationProcess_29697\mySPRapidSolutioning\TechMavericks</t>
  </si>
  <si>
    <t>Available Hours OU Report</t>
  </si>
  <si>
    <t>Pathan, Shabana &lt;shabana.pathan@accenture.com&gt;</t>
  </si>
  <si>
    <t>CCB Approved; Parallel UAT</t>
  </si>
  <si>
    <t>AMS - Available Hours</t>
  </si>
  <si>
    <t>TechCoders</t>
  </si>
  <si>
    <t>AutomationProcess_29697\mySPRapidSolutioning\TechCoders</t>
  </si>
  <si>
    <t>Kavyasri, Jangam &lt;jangam.kavyasri@accenture.com&gt;</t>
  </si>
  <si>
    <t>AMS; LBS</t>
  </si>
  <si>
    <t>LBS OU report</t>
  </si>
  <si>
    <t>As a Solution Architect I want the ADL to be updated to use Attach Calculator data in place of Differentiation, so that ADL functionality remains accurate</t>
  </si>
  <si>
    <t>AutomationProcess_29697\mySolutionPlannerRapidSolutioning\R64\Sprint162</t>
  </si>
  <si>
    <t>AMS- As a Solution Architect I want DCTA to be updated to use Attach Calculator data in place of Differentiation So that DCTA functionality remains accurate</t>
  </si>
  <si>
    <t>MDA IMS Personalization - Calculation Column addition for Static tabs Under HC FTE Deal Pivot-May Release</t>
  </si>
  <si>
    <t>MSDA</t>
  </si>
  <si>
    <t>Kalaivanan, Devika &lt;devika.kalaivanan@accenture.com&gt;</t>
  </si>
  <si>
    <t>Reddy, Abhilash M. &lt;abhilash.m.reddy@accenture.com&gt;</t>
  </si>
  <si>
    <t>Laha, Subarna &lt;subarna.laha@accenture.com&gt;</t>
  </si>
  <si>
    <t>MDA; MDA-HC; MDA-IMS</t>
  </si>
  <si>
    <t>AutomationProcess_29697\mySPIntegratedSolutionPlatform\SolutionDataLake</t>
  </si>
  <si>
    <t>AutomationProcess_29697\mySolutionPlannerIntegratedSolutionPlatform\R63</t>
  </si>
  <si>
    <t>booshan.manjunathan</t>
  </si>
  <si>
    <t>Bid, Manisa &lt;manisa.bid@accenture.com&gt;</t>
  </si>
  <si>
    <t>MDA IMS Personalization - Calculation Column addition for Static tabs Under Pyramid Deal Pivot-May Release</t>
  </si>
  <si>
    <t>[MDA-IMS]: As a SA, I want to view Pyramid Shape per Country logic for "Phase-Country" tab under IMS Pyramid Deal Pivot breadcrumb, applicable only to deals with IMS SG for OCP and MMP routes, for the PY report</t>
  </si>
  <si>
    <t>Kiran Pisolkar, Shital &lt;shital.k.pisolkar@accenture.com&gt;</t>
  </si>
  <si>
    <t>[MDA-IMS]: As a SA, I want to view Pyramid Split % in "SDM/CSDM/PMO View" tab under IMS Pyramid Deal Pivot breadcrumb, applicable only to deals with IMS SG for OCP and MMP routes, for the PY report</t>
  </si>
  <si>
    <t>[MDA-IMS]: As a SA, I want to view Pyramid Split % in "SD Yearly" tab under IMS Pyramid Deal Pivot breadcrumb, applicable only to deals with IMS SG for OCP and MMP routes, for the PY report</t>
  </si>
  <si>
    <t>[MDA-IMS]: As a SA, I want to view row-wise Grand Total in "All Phases" tabs under IMS Pyramid Deal Pivot breadcrumb, applicable only to deals with IMS SG for OCP and MMP routes, for the PY report</t>
  </si>
  <si>
    <t>[MDA-IMS]: As a SA, I want to view row-wise Grand Total in "Monthly Detail" tab under IMS Pyramid Deal Pivot breadcrumb, applicable only to deals with IMS SG for OCP and MMP routes, for the PY report</t>
  </si>
  <si>
    <t>[MDA-IMS]: As a SA, I want to view row-wise Grand Total in "SD HY" tab under IMS Pyramid Deal Pivot breadcrumb, applicable only to deals with IMS SG for OCP and MMP routes, for the PY report</t>
  </si>
  <si>
    <t>Ravindra Uttarwar, Kalyani &lt;k.ravindra.uttarwar@accenture.com&gt;</t>
  </si>
  <si>
    <t>[MDA‑AMS, BPMS, IMS]: Display OCP consumed Cumulative Productivity in Productivity Graph</t>
  </si>
  <si>
    <t xml:space="preserve">MDA </t>
  </si>
  <si>
    <t>Harigovind Sharma, Rohit &lt;r.harigovind.sharma@accenture.com&gt;</t>
  </si>
  <si>
    <t>MDA; MDA-BPMS; MDA-DNP</t>
  </si>
  <si>
    <t>[MDA-SI, IMS &amp; BPMS]: View Release-wise &amp; Group-wise Data Across Headcount &amp; Pyramid Reports for Both OCP &amp; MMP routes</t>
  </si>
  <si>
    <t>B K, Manasa &lt;manasa.kumara.swamy@accenture.com&gt;</t>
  </si>
  <si>
    <t>MDA; MDA-IMS</t>
  </si>
  <si>
    <t>[MDA-SI]: As a SA, I want to add a new "Releases" filter in the Pyramid (PY) Report for OCP route</t>
  </si>
  <si>
    <t>Bhattacharya, Ankita &lt;ankita.bhattacharya@accenture.com&gt;</t>
  </si>
  <si>
    <t>[MDA-SI]: As a SA, I want to add I want to add a new "Releases" filter in the Pyramid (PY) Report for MMP route</t>
  </si>
  <si>
    <t>Sivasankaran, Mohanraj &lt;m.b.sivasankaran@accenture.com&gt;</t>
  </si>
  <si>
    <t>[MDA-SI]: As a SA, I want to add I want to add a new "Releases" filter in the Headcount (HC) Report for OCP route</t>
  </si>
  <si>
    <t>[MDA-SI]: As a SA, I want to add I want to add a new "Releases" filter in the Headcount (HC) Report for MMP route</t>
  </si>
  <si>
    <t>[MDA-AMS]: View Group-wise Data in Financial Summary for Both OCP &amp; MMP routes</t>
  </si>
  <si>
    <t>Koneti, Divya Sree &lt;divya.sree.koneti@accenture.com&gt;</t>
  </si>
  <si>
    <t>MDA; MDA-AMS</t>
  </si>
  <si>
    <t>Neeharika, Manem &lt;manem.neeharika@accenture.com&gt;</t>
  </si>
  <si>
    <t>[MDA-IMS]: As a SA, I want to view Row?wise % by Country Value for "Phase-Country" tab under IMS FTE Deal Pivot breadcrumb, applicable only to deals with IMS SG for OCP and MMP routes, for the HC report</t>
  </si>
  <si>
    <t>Kalavala, Naga Sai Anil &lt;naga.sai.kalavala@accenture.com&gt;</t>
  </si>
  <si>
    <t>MDA IMS Personalization - PY Report (MMP Route)- May Release</t>
  </si>
  <si>
    <t>Belli, Divya &lt;divya.belli@accenture.com&gt;</t>
  </si>
  <si>
    <t>MDA IMS Personalization - HC Report (MMP Route)- May Release</t>
  </si>
  <si>
    <t>Baby Sahithya, Challuru &lt;c.baby.sahithya@accenture.com&gt;</t>
  </si>
  <si>
    <t>MDA; MDA Personalization; MDA-HC; MDA-IMS</t>
  </si>
  <si>
    <t>MDA KDA</t>
  </si>
  <si>
    <t>MDA IMS Personalization – HC Report – Append 2 New Static Tabs (May Release)</t>
  </si>
  <si>
    <t>Gupta, Sanchit &lt;sanchit.l.gupta@accenture.com&gt;</t>
  </si>
  <si>
    <t>WFH ATCI/ATCP Metric Alignment with DNP Logic Across MDA KDA &amp; VC</t>
  </si>
  <si>
    <t>MDA; MDA-KDA; MDA-SI</t>
  </si>
  <si>
    <t>Thangaraj, Gobika &lt;gobika.thangaraj@accenture.com&gt;</t>
  </si>
  <si>
    <t>MDA IMS Personalization - DNP May Release (Spill over March Release)</t>
  </si>
  <si>
    <t>MDA; MDA-DNP; MDA-IMS</t>
  </si>
  <si>
    <t>Nagaraj Madivala, Archana &lt;a.nagaraj.madivala@accenture.com&gt;</t>
  </si>
  <si>
    <t>MDA DNP Report - Display Actual values for WFH% ATCI and ATCP metrics in Cost Assumptions tab</t>
  </si>
  <si>
    <t>PLD - Advisory SA Role</t>
  </si>
  <si>
    <t>Small Deal SME PLD</t>
  </si>
  <si>
    <t>Basty Ananth Shenoy &lt;basty.ananth.shenoy@accenture.com&gt;</t>
  </si>
  <si>
    <t>Tiadi, Ananya &lt;ananya.tiadi@accenture.com&gt;</t>
  </si>
  <si>
    <t>Development Request; MDA; MDA-DNP; MDA-IMS</t>
  </si>
  <si>
    <t>AutomationProcess_29697\mySolutionPlannerIntegratedSolutionPlatform\R64</t>
  </si>
  <si>
    <t>Cognilytics</t>
  </si>
  <si>
    <t>Malik, Sania &lt;sania.malik@accenture.com&gt;</t>
  </si>
  <si>
    <t>AutomationProcess_29697\mySPIntegratedSolutionPlatform\Cognilytics</t>
  </si>
  <si>
    <t>anil.kadiri</t>
  </si>
  <si>
    <t>CCI delta against target margin(27%) technical change</t>
  </si>
  <si>
    <t>AutomationProcess_29697\mySolutionPlannerIntegratedSolutionPlatform\R62\Sprint156</t>
  </si>
  <si>
    <t>Reporting Layer</t>
  </si>
  <si>
    <t>CXTA Fields in Reporting Layer - Full Coverage</t>
  </si>
  <si>
    <t>Devarakonda, Rajesh Kumar &lt;rajesh.k.devarakonda@accenture.com&gt;</t>
  </si>
  <si>
    <t>CXTA fields</t>
  </si>
  <si>
    <t>Additional Fields in Reporting Layer</t>
  </si>
  <si>
    <t>Additional fields</t>
  </si>
  <si>
    <t>Mishra, Sujeet &lt;sujeet.a.mishra@accenture.com&gt;</t>
  </si>
  <si>
    <t>SIVT Report</t>
  </si>
  <si>
    <t>SA bandwidth report sheet filters should be aligned as PLD access, should be based on M, MU and CG</t>
  </si>
  <si>
    <t>Gorakhnath Jadhav, Shweta &lt;shweta.g.jadhav@accenture.com&gt;</t>
  </si>
  <si>
    <t>SA Bandwidth report</t>
  </si>
  <si>
    <t>AMS and SI Key Solution Metrics QlikView reports</t>
  </si>
  <si>
    <t xml:space="preserve"> QlikView Reports to Power BI</t>
  </si>
  <si>
    <t>In Test</t>
  </si>
  <si>
    <t>Alekhyareddy, Osuru &lt;osuru.alekhyareddy@accenture.com&gt;</t>
  </si>
  <si>
    <t>Sapru, Tushar &lt;tushar.sapru@accenture.com&gt;</t>
  </si>
  <si>
    <t>AMS, SI, IMS</t>
  </si>
  <si>
    <t>Anikhindi, Rakshita &lt;r.ravindra.anikhindi@accenture.com&gt;</t>
  </si>
  <si>
    <t>AMS; PO inputs; SI</t>
  </si>
  <si>
    <t>PMO Extract Report</t>
  </si>
  <si>
    <t>Addition of Deal Hierarchy Details in Pipeline Extract Report</t>
  </si>
  <si>
    <t>Pradeep Dawale, Priya &lt;priya.pradeep.dawale@accenture.com&gt;</t>
  </si>
  <si>
    <t>Pipeline extract Report</t>
  </si>
  <si>
    <t>As a PMO user, I want IMS?specific KDA and compliance fields to be added to the PMO reporting layer, so that IMS compliance and approval status can be tracked accurately</t>
  </si>
  <si>
    <t>Satravada, Rakesh &lt;r.a.satravada@accenture.com&gt;</t>
  </si>
  <si>
    <t>AutomationProcess_29697\mySolutionPlannerV2V\R49\Sprint121</t>
  </si>
  <si>
    <t>Reporting &amp; Compliance</t>
  </si>
  <si>
    <t>anil.kadari</t>
  </si>
  <si>
    <t>Count of Test Planning</t>
  </si>
  <si>
    <t>Count of BA Review</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</si>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</sst>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Aptos Narrow"/>
      <family val="2"/>
      <scheme val="minor"/>
    </font>
    <font>
      <u/>
      <sz val="11"/>
      <color theme="10"/>
      <name val="Aptos Narrow"/>
      <family val="2"/>
      <scheme val="minor"/>
    </font>
    <font>
      <sz val="9"/>
      <color rgb="FF000000"/>
      <name val="Calibri"/>
      <family val="2"/>
    </font>
    <font>
      <sz val="9"/>
      <color theme="1"/>
      <name val="Calibri"/>
      <family val="2"/>
    </font>
    <font>
      <sz val="9"/>
      <color theme="1"/>
      <name val="Aptos Narrow"/>
      <family val="2"/>
      <scheme val="minor"/>
    </font>
    <font>
      <b/>
      <sz val="9"/>
      <color rgb="FF000000"/>
      <name val="Calibri"/>
      <family val="2"/>
    </font>
    <font>
      <sz val="12"/>
      <color rgb="FF000000"/>
      <name val="Aptos"/>
      <family val="2"/>
    </font>
    <font>
      <sz val="9"/>
      <color theme="0"/>
      <name val="Calibri"/>
      <family val="2"/>
    </font>
    <font>
      <u/>
      <sz val="9"/>
      <color theme="10"/>
      <name val="Aptos Narrow"/>
      <family val="2"/>
      <scheme val="minor"/>
    </font>
    <font>
      <sz val="9"/>
      <color rgb="FF000000"/>
      <name val="Aptos Narrow"/>
      <family val="2"/>
    </font>
    <font>
      <sz val="10"/>
      <color rgb="FF000000"/>
      <name val="Calibri"/>
      <family val="2"/>
    </font>
    <font>
      <sz val="10"/>
      <color rgb="FFFFFFFF"/>
      <name val="Calibri"/>
      <family val="2"/>
    </font>
    <font>
      <sz val="10"/>
      <color theme="1"/>
      <name val="Aptos Narrow"/>
      <family val="2"/>
      <scheme val="minor"/>
    </font>
    <font>
      <sz val="11"/>
      <color theme="1"/>
      <name val="Aptos Narrow"/>
      <family val="2"/>
      <scheme val="minor"/>
    </font>
    <font>
      <sz val="9"/>
      <color theme="1"/>
      <name val="Calibri"/>
      <family val="2"/>
    </font>
    <font>
      <b/>
      <sz val="9"/>
      <color theme="0"/>
      <name val="Calibri"/>
      <family val="2"/>
    </font>
    <font>
      <sz val="11"/>
      <color rgb="FF000000"/>
      <name val="Aptos Narrow"/>
      <family val="2"/>
    </font>
    <font>
      <sz val="10"/>
      <color theme="1"/>
      <name val="Calibri"/>
      <family val="2"/>
    </font>
    <font>
      <u/>
      <sz val="10"/>
      <color theme="10"/>
      <name val="Calibri"/>
      <family val="2"/>
    </font>
    <font>
      <sz val="9"/>
      <color rgb="FF000000"/>
      <name val="Aptos Narrow"/>
      <family val="2"/>
      <scheme val="minor"/>
    </font>
    <font>
      <sz val="11"/>
      <color theme="0"/>
      <name val="Aptos Narrow"/>
      <family val="2"/>
    </font>
    <font>
      <sz val="9"/>
      <color rgb="FF000000"/>
      <name val="Segoe UI"/>
      <family val="2"/>
    </font>
    <font>
      <b/>
      <sz val="11"/>
      <color theme="1"/>
      <name val="Aptos Narrow"/>
      <family val="2"/>
      <scheme val="minor"/>
    </font>
    <font>
      <b/>
      <sz val="9"/>
      <color theme="1"/>
      <name val="Aptos Narrow"/>
      <family val="2"/>
      <scheme val="minor"/>
    </font>
    <font>
      <sz val="10"/>
      <color rgb="FF000000"/>
      <name val="Aptos Narrow"/>
      <family val="2"/>
    </font>
    <font>
      <u/>
      <sz val="9"/>
      <color rgb="FF467886"/>
      <name val="Aptos Narrow"/>
      <family val="2"/>
    </font>
    <font>
      <sz val="13"/>
      <color rgb="FF000000"/>
      <name val="Aptos Narrow"/>
      <family val="2"/>
    </font>
    <font>
      <sz val="9"/>
      <color rgb="FF000000"/>
      <name val="Calibri"/>
    </font>
    <font>
      <sz val="9"/>
      <color theme="1"/>
      <name val="Calibri"/>
    </font>
    <font>
      <sz val="9"/>
      <color rgb="FF000000"/>
      <name val="Aptos Narrow"/>
    </font>
    <font>
      <sz val="11"/>
      <color rgb="FF000000"/>
      <name val="Aptos Narrow"/>
    </font>
    <font>
      <sz val="9"/>
      <color rgb="FF000000"/>
      <name val="Aptos Narrow"/>
      <charset val="1"/>
    </font>
    <font>
      <sz val="9"/>
      <color rgb="FF9C5700"/>
      <name val="Aptos Narrow"/>
      <family val="2"/>
    </font>
    <font>
      <sz val="13"/>
      <color rgb="FF000000"/>
      <name val="Segoe UI VSS (Regular)"/>
      <charset val="1"/>
    </font>
    <font>
      <sz val="9"/>
      <color theme="0"/>
      <name val="Calibri"/>
    </font>
    <font>
      <sz val="11"/>
      <color rgb="FF242424"/>
      <name val="Aptos Narrow"/>
      <charset val="1"/>
    </font>
    <font>
      <b/>
      <sz val="9"/>
      <color rgb="FFFFFFFF"/>
      <name val="Calibri"/>
    </font>
    <font>
      <sz val="9"/>
      <color rgb="FFFFFFFF"/>
      <name val="Calibri"/>
    </font>
  </fonts>
  <fills count="25">
    <fill>
      <patternFill patternType="none"/>
    </fill>
    <fill>
      <patternFill patternType="gray125"/>
    </fill>
    <fill>
      <patternFill patternType="solid">
        <fgColor rgb="FFFFC000"/>
        <bgColor rgb="FF000000"/>
      </patternFill>
    </fill>
    <fill>
      <patternFill patternType="solid">
        <fgColor rgb="FF305496"/>
        <bgColor rgb="FFD9D9D9"/>
      </patternFill>
    </fill>
    <fill>
      <patternFill patternType="solid">
        <fgColor rgb="FF7030A0"/>
        <bgColor rgb="FFD9D9D9"/>
      </patternFill>
    </fill>
    <fill>
      <patternFill patternType="solid">
        <fgColor rgb="FFFFC000"/>
        <bgColor indexed="64"/>
      </patternFill>
    </fill>
    <fill>
      <patternFill patternType="solid">
        <fgColor rgb="FF7030A0"/>
        <bgColor indexed="64"/>
      </patternFill>
    </fill>
    <fill>
      <patternFill patternType="solid">
        <fgColor rgb="FFFFFF99"/>
        <bgColor rgb="FF000000"/>
      </patternFill>
    </fill>
    <fill>
      <patternFill patternType="solid">
        <fgColor rgb="FFFFCC99"/>
        <bgColor rgb="FF000000"/>
      </patternFill>
    </fill>
    <fill>
      <patternFill patternType="solid">
        <fgColor rgb="FF008000"/>
        <bgColor rgb="FF000000"/>
      </patternFill>
    </fill>
    <fill>
      <patternFill patternType="solid">
        <fgColor rgb="FFF7C7AC"/>
        <bgColor rgb="FF000000"/>
      </patternFill>
    </fill>
    <fill>
      <patternFill patternType="solid">
        <fgColor rgb="FF7030A0"/>
        <bgColor rgb="FF000000"/>
      </patternFill>
    </fill>
    <fill>
      <patternFill patternType="solid">
        <fgColor theme="9" tint="0.39997558519241921"/>
        <bgColor indexed="64"/>
      </patternFill>
    </fill>
    <fill>
      <patternFill patternType="solid">
        <fgColor theme="0"/>
        <bgColor indexed="64"/>
      </patternFill>
    </fill>
    <fill>
      <patternFill patternType="solid">
        <fgColor rgb="FFFFFFFF"/>
        <bgColor rgb="FF000000"/>
      </patternFill>
    </fill>
    <fill>
      <patternFill patternType="solid">
        <fgColor rgb="FFFFFF00"/>
        <bgColor indexed="64"/>
      </patternFill>
    </fill>
    <fill>
      <patternFill patternType="solid">
        <fgColor rgb="FF00B050"/>
        <bgColor rgb="FFD9D9D9"/>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rgb="FF92D050"/>
        <bgColor indexed="64"/>
      </patternFill>
    </fill>
    <fill>
      <patternFill patternType="solid">
        <fgColor theme="9" tint="0.59999389629810485"/>
        <bgColor indexed="64"/>
      </patternFill>
    </fill>
    <fill>
      <patternFill patternType="solid">
        <fgColor rgb="FF92D050"/>
        <bgColor rgb="FF000000"/>
      </patternFill>
    </fill>
    <fill>
      <patternFill patternType="solid">
        <fgColor rgb="FF00B050"/>
        <bgColor rgb="FF000000"/>
      </patternFill>
    </fill>
    <fill>
      <patternFill patternType="solid">
        <fgColor rgb="FFFFEB9C"/>
        <bgColor rgb="FF000000"/>
      </patternFill>
    </fill>
    <fill>
      <patternFill patternType="solid">
        <fgColor rgb="FFFF000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top/>
      <bottom style="thin">
        <color indexed="64"/>
      </bottom>
      <diagonal/>
    </border>
    <border>
      <left/>
      <right/>
      <top/>
      <bottom style="thin">
        <color rgb="FF000000"/>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style="thin">
        <color indexed="64"/>
      </top>
      <bottom/>
      <diagonal/>
    </border>
  </borders>
  <cellStyleXfs count="3">
    <xf numFmtId="0" fontId="0" fillId="0" borderId="0"/>
    <xf numFmtId="0" fontId="1" fillId="0" borderId="0" applyNumberFormat="0" applyFill="0" applyBorder="0" applyAlignment="0" applyProtection="0"/>
    <xf numFmtId="9" fontId="13" fillId="0" borderId="0" applyFont="0" applyFill="0" applyBorder="0" applyAlignment="0" applyProtection="0"/>
  </cellStyleXfs>
  <cellXfs count="307">
    <xf numFmtId="0" fontId="0" fillId="0" borderId="0" xfId="0"/>
    <xf numFmtId="0" fontId="5" fillId="7" borderId="8"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8" borderId="9" xfId="0" applyFont="1" applyFill="1" applyBorder="1" applyAlignment="1">
      <alignment horizontal="center" vertical="center" wrapText="1"/>
    </xf>
    <xf numFmtId="0" fontId="5" fillId="9" borderId="9" xfId="0" applyFont="1" applyFill="1" applyBorder="1" applyAlignment="1">
      <alignment horizontal="center" vertical="center" wrapText="1"/>
    </xf>
    <xf numFmtId="15"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7" fillId="6" borderId="1" xfId="0" applyFont="1" applyFill="1" applyBorder="1" applyAlignment="1">
      <alignment vertical="top" wrapText="1"/>
    </xf>
    <xf numFmtId="0" fontId="3" fillId="0" borderId="0" xfId="0" applyFont="1" applyAlignment="1">
      <alignment vertical="top"/>
    </xf>
    <xf numFmtId="0" fontId="2" fillId="0" borderId="1" xfId="0" applyFont="1" applyBorder="1" applyAlignment="1">
      <alignment vertical="top" wrapText="1"/>
    </xf>
    <xf numFmtId="0" fontId="2" fillId="0" borderId="7" xfId="0" applyFont="1" applyBorder="1" applyAlignment="1">
      <alignment vertical="top" wrapText="1"/>
    </xf>
    <xf numFmtId="0" fontId="2" fillId="0" borderId="0" xfId="0" applyFont="1" applyAlignment="1">
      <alignment vertical="top" wrapText="1"/>
    </xf>
    <xf numFmtId="0" fontId="3" fillId="0" borderId="0" xfId="0" applyFont="1" applyAlignment="1">
      <alignment vertical="top" wrapText="1"/>
    </xf>
    <xf numFmtId="16" fontId="3" fillId="0" borderId="0" xfId="0" applyNumberFormat="1" applyFont="1" applyAlignment="1">
      <alignment vertical="top"/>
    </xf>
    <xf numFmtId="0" fontId="3" fillId="0" borderId="1" xfId="0" applyFont="1" applyBorder="1" applyAlignment="1">
      <alignment vertical="top" wrapText="1"/>
    </xf>
    <xf numFmtId="0" fontId="3" fillId="0" borderId="1" xfId="0" applyFont="1" applyBorder="1" applyAlignment="1">
      <alignment vertical="top"/>
    </xf>
    <xf numFmtId="0" fontId="4" fillId="0" borderId="1" xfId="0" applyFont="1" applyBorder="1" applyAlignment="1" applyProtection="1">
      <alignment horizontal="left" vertical="top"/>
      <protection locked="0"/>
    </xf>
    <xf numFmtId="0" fontId="4" fillId="0" borderId="1" xfId="0" applyFont="1" applyBorder="1" applyAlignment="1" applyProtection="1">
      <alignment vertical="top"/>
      <protection locked="0"/>
    </xf>
    <xf numFmtId="0" fontId="4" fillId="0" borderId="4" xfId="0" applyFont="1" applyBorder="1" applyAlignment="1" applyProtection="1">
      <alignment vertical="top"/>
      <protection locked="0"/>
    </xf>
    <xf numFmtId="0" fontId="4" fillId="0" borderId="5" xfId="0" applyFont="1" applyBorder="1" applyAlignment="1" applyProtection="1">
      <alignment vertical="top"/>
      <protection locked="0"/>
    </xf>
    <xf numFmtId="0" fontId="4" fillId="0" borderId="1" xfId="0" applyFont="1" applyBorder="1" applyAlignment="1" applyProtection="1">
      <alignment vertical="top" wrapText="1"/>
      <protection locked="0"/>
    </xf>
    <xf numFmtId="0" fontId="4" fillId="0" borderId="1" xfId="0" applyFont="1" applyBorder="1" applyAlignment="1">
      <alignment vertical="top"/>
    </xf>
    <xf numFmtId="0" fontId="8" fillId="0" borderId="0" xfId="1" applyFont="1"/>
    <xf numFmtId="0" fontId="4" fillId="0" borderId="4" xfId="0" applyFont="1" applyBorder="1" applyAlignment="1" applyProtection="1">
      <alignment horizontal="left" vertical="top"/>
      <protection locked="0"/>
    </xf>
    <xf numFmtId="0" fontId="2" fillId="0" borderId="3" xfId="0" applyFont="1" applyBorder="1" applyAlignment="1" applyProtection="1">
      <alignment horizontal="left" vertical="top"/>
      <protection locked="0"/>
    </xf>
    <xf numFmtId="0" fontId="4" fillId="0" borderId="3" xfId="0" applyFont="1" applyBorder="1" applyAlignment="1" applyProtection="1">
      <alignment vertical="top"/>
      <protection locked="0"/>
    </xf>
    <xf numFmtId="0" fontId="11" fillId="11" borderId="2" xfId="0" applyFont="1" applyFill="1" applyBorder="1" applyAlignment="1">
      <alignment horizontal="center" vertical="top"/>
    </xf>
    <xf numFmtId="0" fontId="1" fillId="0" borderId="1" xfId="1" applyBorder="1" applyAlignment="1">
      <alignment vertical="top"/>
    </xf>
    <xf numFmtId="0" fontId="7" fillId="6" borderId="0" xfId="0" applyFont="1" applyFill="1" applyAlignment="1">
      <alignment vertical="top" wrapText="1"/>
    </xf>
    <xf numFmtId="0" fontId="10" fillId="0" borderId="1" xfId="0" applyFont="1" applyBorder="1" applyAlignment="1">
      <alignment vertical="top"/>
    </xf>
    <xf numFmtId="0" fontId="10" fillId="0" borderId="5" xfId="0" applyFont="1" applyBorder="1" applyAlignment="1">
      <alignment vertical="top"/>
    </xf>
    <xf numFmtId="0" fontId="3" fillId="12" borderId="1" xfId="0" applyFont="1" applyFill="1" applyBorder="1" applyAlignment="1">
      <alignment vertical="top"/>
    </xf>
    <xf numFmtId="0" fontId="4" fillId="0" borderId="3" xfId="0" applyFont="1" applyBorder="1" applyAlignment="1" applyProtection="1">
      <alignment horizontal="center" vertical="top"/>
      <protection locked="0"/>
    </xf>
    <xf numFmtId="9" fontId="4" fillId="0" borderId="1" xfId="2" applyFont="1" applyBorder="1" applyAlignment="1" applyProtection="1">
      <alignment horizontal="center" vertical="top"/>
      <protection locked="0"/>
    </xf>
    <xf numFmtId="0" fontId="0" fillId="0" borderId="0" xfId="0" applyAlignment="1">
      <alignment horizontal="center"/>
    </xf>
    <xf numFmtId="0" fontId="0" fillId="0" borderId="3" xfId="0" applyBorder="1"/>
    <xf numFmtId="0" fontId="0" fillId="0" borderId="3" xfId="0" pivotButton="1" applyBorder="1"/>
    <xf numFmtId="0" fontId="0" fillId="0" borderId="3" xfId="0" applyBorder="1" applyAlignment="1">
      <alignment horizontal="left"/>
    </xf>
    <xf numFmtId="0" fontId="2" fillId="0" borderId="3" xfId="0" applyFont="1" applyBorder="1" applyAlignment="1" applyProtection="1">
      <alignment horizontal="center" vertical="top"/>
      <protection locked="0"/>
    </xf>
    <xf numFmtId="10" fontId="2" fillId="0" borderId="3" xfId="0" applyNumberFormat="1" applyFont="1" applyBorder="1" applyAlignment="1" applyProtection="1">
      <alignment horizontal="center" vertical="top"/>
      <protection locked="0"/>
    </xf>
    <xf numFmtId="0" fontId="14" fillId="0" borderId="0" xfId="0" applyFont="1"/>
    <xf numFmtId="0" fontId="15" fillId="6" borderId="1" xfId="0" applyFont="1" applyFill="1" applyBorder="1"/>
    <xf numFmtId="0" fontId="3" fillId="0" borderId="3" xfId="0" applyFont="1" applyBorder="1" applyAlignment="1" applyProtection="1">
      <alignment horizontal="center" vertical="top"/>
      <protection locked="0"/>
    </xf>
    <xf numFmtId="0" fontId="3" fillId="0" borderId="0" xfId="0" applyFont="1"/>
    <xf numFmtId="10" fontId="3" fillId="0" borderId="1" xfId="0" applyNumberFormat="1" applyFont="1" applyBorder="1"/>
    <xf numFmtId="0" fontId="4" fillId="0" borderId="1" xfId="0" applyFont="1" applyBorder="1" applyAlignment="1" applyProtection="1">
      <alignment horizontal="center" vertical="top" wrapText="1"/>
      <protection locked="0"/>
    </xf>
    <xf numFmtId="0" fontId="2" fillId="13" borderId="3" xfId="0" applyFont="1" applyFill="1" applyBorder="1" applyAlignment="1" applyProtection="1">
      <alignment horizontal="left" vertical="top"/>
      <protection locked="0"/>
    </xf>
    <xf numFmtId="0" fontId="1" fillId="0" borderId="1" xfId="1" applyBorder="1" applyAlignment="1">
      <alignment vertical="top" readingOrder="1"/>
    </xf>
    <xf numFmtId="0" fontId="1" fillId="0" borderId="1" xfId="1" applyBorder="1"/>
    <xf numFmtId="0" fontId="4" fillId="0" borderId="2" xfId="0" applyFont="1" applyBorder="1" applyAlignment="1">
      <alignment vertical="top"/>
    </xf>
    <xf numFmtId="0" fontId="4" fillId="0" borderId="2" xfId="0" applyFont="1" applyBorder="1" applyAlignment="1" applyProtection="1">
      <alignment vertical="top"/>
      <protection locked="0"/>
    </xf>
    <xf numFmtId="0" fontId="4" fillId="0" borderId="7" xfId="0" applyFont="1" applyBorder="1" applyAlignment="1" applyProtection="1">
      <alignment vertical="top"/>
      <protection locked="0"/>
    </xf>
    <xf numFmtId="0" fontId="9" fillId="0" borderId="14" xfId="0" applyFont="1" applyBorder="1"/>
    <xf numFmtId="0" fontId="12" fillId="0" borderId="15" xfId="0" applyFont="1" applyBorder="1" applyAlignment="1">
      <alignment vertical="top"/>
    </xf>
    <xf numFmtId="0" fontId="3" fillId="0" borderId="15" xfId="0" applyFont="1" applyBorder="1" applyAlignment="1">
      <alignment vertical="top"/>
    </xf>
    <xf numFmtId="0" fontId="10" fillId="0" borderId="15" xfId="0" applyFont="1" applyBorder="1" applyAlignment="1">
      <alignment vertical="top"/>
    </xf>
    <xf numFmtId="0" fontId="10" fillId="0" borderId="7" xfId="0" applyFont="1" applyBorder="1" applyAlignment="1">
      <alignment vertical="top"/>
    </xf>
    <xf numFmtId="0" fontId="4" fillId="0" borderId="12" xfId="0" applyFont="1" applyBorder="1" applyAlignment="1" applyProtection="1">
      <alignment horizontal="left" vertical="top"/>
      <protection locked="0"/>
    </xf>
    <xf numFmtId="0" fontId="4" fillId="0" borderId="1" xfId="0" applyFont="1" applyBorder="1" applyAlignment="1" applyProtection="1">
      <alignment horizontal="left" vertical="top" wrapText="1"/>
      <protection locked="0"/>
    </xf>
    <xf numFmtId="0" fontId="4" fillId="0" borderId="13" xfId="0" applyFont="1" applyBorder="1" applyAlignment="1" applyProtection="1">
      <alignment vertical="top"/>
      <protection locked="0"/>
    </xf>
    <xf numFmtId="0" fontId="10" fillId="10" borderId="4" xfId="0" applyFont="1" applyFill="1" applyBorder="1" applyAlignment="1">
      <alignment horizontal="center" vertical="top"/>
    </xf>
    <xf numFmtId="0" fontId="11" fillId="11" borderId="4" xfId="0" applyFont="1" applyFill="1" applyBorder="1" applyAlignment="1">
      <alignment horizontal="center" vertical="top"/>
    </xf>
    <xf numFmtId="0" fontId="17" fillId="0" borderId="1" xfId="0" applyFont="1" applyBorder="1"/>
    <xf numFmtId="0" fontId="18" fillId="0" borderId="1" xfId="1" applyFont="1" applyBorder="1"/>
    <xf numFmtId="9" fontId="4" fillId="0" borderId="7" xfId="2" applyFont="1" applyBorder="1" applyAlignment="1" applyProtection="1">
      <alignment horizontal="center" vertical="top"/>
      <protection locked="0"/>
    </xf>
    <xf numFmtId="0" fontId="19" fillId="13" borderId="3" xfId="0" applyFont="1" applyFill="1" applyBorder="1" applyAlignment="1">
      <alignment horizontal="left" vertical="top"/>
    </xf>
    <xf numFmtId="0" fontId="9" fillId="0" borderId="16" xfId="0" applyFont="1" applyBorder="1"/>
    <xf numFmtId="0" fontId="16" fillId="0" borderId="0" xfId="0" applyFont="1"/>
    <xf numFmtId="9" fontId="4" fillId="0" borderId="0" xfId="2" applyFont="1" applyBorder="1" applyAlignment="1" applyProtection="1">
      <alignment horizontal="center" vertical="top"/>
      <protection locked="0"/>
    </xf>
    <xf numFmtId="9" fontId="4" fillId="0" borderId="1" xfId="2" applyFont="1" applyBorder="1" applyAlignment="1" applyProtection="1">
      <alignment horizontal="center" vertical="top" wrapText="1"/>
      <protection locked="0"/>
    </xf>
    <xf numFmtId="0" fontId="20" fillId="6" borderId="0" xfId="0" applyFont="1" applyFill="1"/>
    <xf numFmtId="0" fontId="4" fillId="0" borderId="1" xfId="2" applyNumberFormat="1" applyFont="1" applyBorder="1" applyAlignment="1" applyProtection="1">
      <alignment horizontal="center" vertical="top" wrapText="1"/>
      <protection locked="0"/>
    </xf>
    <xf numFmtId="0" fontId="8" fillId="0" borderId="3" xfId="1" applyFont="1" applyBorder="1" applyAlignment="1">
      <alignment horizontal="center" vertical="top"/>
    </xf>
    <xf numFmtId="9" fontId="9" fillId="0" borderId="4" xfId="0" applyNumberFormat="1" applyFont="1" applyBorder="1" applyAlignment="1">
      <alignment horizontal="center"/>
    </xf>
    <xf numFmtId="0" fontId="9" fillId="0" borderId="1" xfId="0" applyFont="1" applyBorder="1" applyAlignment="1">
      <alignment horizontal="center"/>
    </xf>
    <xf numFmtId="0" fontId="4" fillId="0" borderId="3" xfId="0" applyFont="1" applyBorder="1" applyAlignment="1" applyProtection="1">
      <alignment vertical="top" wrapText="1"/>
      <protection locked="0"/>
    </xf>
    <xf numFmtId="9" fontId="0" fillId="0" borderId="0" xfId="0" applyNumberFormat="1"/>
    <xf numFmtId="9" fontId="19" fillId="0" borderId="1" xfId="0" applyNumberFormat="1" applyFont="1" applyBorder="1" applyAlignment="1">
      <alignment horizontal="center"/>
    </xf>
    <xf numFmtId="0" fontId="4" fillId="0" borderId="1" xfId="0" applyFont="1" applyBorder="1" applyAlignment="1" applyProtection="1">
      <alignment horizontal="center" vertical="top"/>
      <protection locked="0"/>
    </xf>
    <xf numFmtId="9" fontId="9" fillId="0" borderId="6" xfId="0" applyNumberFormat="1" applyFont="1" applyBorder="1" applyAlignment="1">
      <alignment horizontal="center"/>
    </xf>
    <xf numFmtId="9" fontId="21" fillId="0" borderId="6" xfId="0" applyNumberFormat="1" applyFont="1" applyBorder="1" applyAlignment="1">
      <alignment horizontal="center"/>
    </xf>
    <xf numFmtId="1" fontId="0" fillId="0" borderId="3" xfId="0" applyNumberFormat="1" applyBorder="1" applyAlignment="1">
      <alignment horizontal="center"/>
    </xf>
    <xf numFmtId="9" fontId="0" fillId="0" borderId="3" xfId="0" applyNumberFormat="1" applyBorder="1" applyAlignment="1">
      <alignment horizontal="center"/>
    </xf>
    <xf numFmtId="0" fontId="9" fillId="0" borderId="4" xfId="0" applyFont="1" applyBorder="1" applyAlignment="1">
      <alignment horizontal="center"/>
    </xf>
    <xf numFmtId="9" fontId="9" fillId="0" borderId="16" xfId="0" applyNumberFormat="1" applyFont="1" applyBorder="1" applyAlignment="1">
      <alignment horizontal="center"/>
    </xf>
    <xf numFmtId="9" fontId="9" fillId="0" borderId="17" xfId="0" applyNumberFormat="1" applyFont="1" applyBorder="1" applyAlignment="1">
      <alignment horizontal="center"/>
    </xf>
    <xf numFmtId="9" fontId="9" fillId="0" borderId="1" xfId="0" applyNumberFormat="1" applyFont="1" applyBorder="1" applyAlignment="1">
      <alignment horizontal="center"/>
    </xf>
    <xf numFmtId="0" fontId="19" fillId="0" borderId="3" xfId="0" applyFont="1" applyBorder="1" applyAlignment="1" applyProtection="1">
      <alignment vertical="top"/>
      <protection locked="0"/>
    </xf>
    <xf numFmtId="0" fontId="0" fillId="0" borderId="3" xfId="0" applyBorder="1" applyAlignment="1">
      <alignment horizontal="center"/>
    </xf>
    <xf numFmtId="0" fontId="0" fillId="0" borderId="0" xfId="0" pivotButton="1"/>
    <xf numFmtId="0" fontId="0" fillId="0" borderId="20" xfId="0" pivotButton="1" applyBorder="1"/>
    <xf numFmtId="0" fontId="0" fillId="0" borderId="12" xfId="0" applyBorder="1" applyAlignment="1">
      <alignment horizontal="left"/>
    </xf>
    <xf numFmtId="0" fontId="0" fillId="0" borderId="20" xfId="0" applyBorder="1" applyAlignment="1">
      <alignment horizontal="left"/>
    </xf>
    <xf numFmtId="0" fontId="0" fillId="0" borderId="11" xfId="0" applyBorder="1"/>
    <xf numFmtId="0" fontId="0" fillId="0" borderId="20" xfId="0" applyBorder="1"/>
    <xf numFmtId="9" fontId="4" fillId="0" borderId="2" xfId="2" applyFont="1" applyBorder="1" applyAlignment="1" applyProtection="1">
      <alignment horizontal="center" vertical="top"/>
      <protection locked="0"/>
    </xf>
    <xf numFmtId="0" fontId="4" fillId="0" borderId="14" xfId="0" applyFont="1" applyBorder="1" applyAlignment="1" applyProtection="1">
      <alignment vertical="top"/>
      <protection locked="0"/>
    </xf>
    <xf numFmtId="0" fontId="2" fillId="0" borderId="1" xfId="0" applyFont="1" applyBorder="1"/>
    <xf numFmtId="0" fontId="0" fillId="0" borderId="11" xfId="0" pivotButton="1" applyBorder="1"/>
    <xf numFmtId="0" fontId="4" fillId="0" borderId="3" xfId="0" applyFont="1" applyBorder="1" applyAlignment="1" applyProtection="1">
      <alignment horizontal="left" vertical="top"/>
      <protection locked="0"/>
    </xf>
    <xf numFmtId="0" fontId="9" fillId="0" borderId="12" xfId="0" applyFont="1" applyBorder="1"/>
    <xf numFmtId="0" fontId="9" fillId="0" borderId="4" xfId="0" applyFont="1" applyBorder="1"/>
    <xf numFmtId="0" fontId="9" fillId="0" borderId="16" xfId="0" applyFont="1" applyBorder="1" applyAlignment="1">
      <alignment horizontal="center"/>
    </xf>
    <xf numFmtId="0" fontId="1" fillId="0" borderId="0" xfId="1" applyAlignment="1"/>
    <xf numFmtId="0" fontId="9" fillId="0" borderId="17" xfId="0" applyFont="1" applyBorder="1"/>
    <xf numFmtId="0" fontId="9" fillId="0" borderId="17" xfId="0" applyFont="1" applyBorder="1" applyAlignment="1">
      <alignment horizontal="center"/>
    </xf>
    <xf numFmtId="0" fontId="9" fillId="0" borderId="1" xfId="0" applyFont="1" applyBorder="1"/>
    <xf numFmtId="0" fontId="4" fillId="0" borderId="0" xfId="0" applyFont="1"/>
    <xf numFmtId="0" fontId="4" fillId="0" borderId="1" xfId="0" applyFont="1" applyBorder="1"/>
    <xf numFmtId="0" fontId="4" fillId="0" borderId="2" xfId="0" applyFont="1" applyBorder="1"/>
    <xf numFmtId="0" fontId="4" fillId="0" borderId="7" xfId="0" applyFont="1" applyBorder="1" applyAlignment="1" applyProtection="1">
      <alignment horizontal="center" vertical="top"/>
      <protection locked="0"/>
    </xf>
    <xf numFmtId="0" fontId="2" fillId="14" borderId="14" xfId="0" applyFont="1" applyFill="1" applyBorder="1"/>
    <xf numFmtId="0" fontId="2" fillId="14" borderId="10" xfId="0" applyFont="1" applyFill="1" applyBorder="1"/>
    <xf numFmtId="0" fontId="9" fillId="0" borderId="10" xfId="0" applyFont="1" applyBorder="1"/>
    <xf numFmtId="49" fontId="4" fillId="0" borderId="1" xfId="2" applyNumberFormat="1" applyFont="1" applyBorder="1" applyAlignment="1" applyProtection="1">
      <alignment horizontal="center" vertical="top"/>
      <protection locked="0"/>
    </xf>
    <xf numFmtId="0" fontId="3" fillId="0" borderId="1" xfId="0" applyFont="1" applyBorder="1"/>
    <xf numFmtId="0" fontId="9" fillId="0" borderId="0" xfId="0" applyFont="1"/>
    <xf numFmtId="0" fontId="4" fillId="0" borderId="2" xfId="0" applyFont="1" applyBorder="1" applyAlignment="1" applyProtection="1">
      <alignment horizontal="center" vertical="top"/>
      <protection locked="0"/>
    </xf>
    <xf numFmtId="0" fontId="1" fillId="0" borderId="0" xfId="1"/>
    <xf numFmtId="0" fontId="4" fillId="0" borderId="1" xfId="0" pivotButton="1" applyFont="1" applyBorder="1" applyAlignment="1">
      <alignment horizontal="center"/>
    </xf>
    <xf numFmtId="0" fontId="4" fillId="0" borderId="1" xfId="0" applyFont="1" applyBorder="1" applyAlignment="1">
      <alignment horizontal="center"/>
    </xf>
    <xf numFmtId="0" fontId="23" fillId="17" borderId="1" xfId="0" applyFont="1" applyFill="1" applyBorder="1" applyAlignment="1">
      <alignment horizontal="center"/>
    </xf>
    <xf numFmtId="10" fontId="4" fillId="0" borderId="1" xfId="0" applyNumberFormat="1" applyFont="1" applyBorder="1" applyAlignment="1">
      <alignment horizontal="center"/>
    </xf>
    <xf numFmtId="0" fontId="23" fillId="17" borderId="5" xfId="0" applyFont="1" applyFill="1" applyBorder="1" applyAlignment="1">
      <alignment horizontal="center"/>
    </xf>
    <xf numFmtId="10" fontId="4" fillId="0" borderId="5" xfId="0" applyNumberFormat="1" applyFont="1" applyBorder="1" applyAlignment="1">
      <alignment horizontal="center"/>
    </xf>
    <xf numFmtId="0" fontId="23" fillId="17" borderId="3" xfId="0" applyFont="1" applyFill="1" applyBorder="1" applyAlignment="1">
      <alignment horizontal="center"/>
    </xf>
    <xf numFmtId="0" fontId="4" fillId="0" borderId="3" xfId="0" applyFont="1" applyBorder="1"/>
    <xf numFmtId="0" fontId="4" fillId="0" borderId="3" xfId="0" applyFont="1" applyBorder="1" applyAlignment="1">
      <alignment wrapText="1"/>
    </xf>
    <xf numFmtId="0" fontId="23" fillId="17" borderId="3" xfId="0" applyFont="1" applyFill="1" applyBorder="1" applyAlignment="1">
      <alignment horizontal="center" wrapText="1"/>
    </xf>
    <xf numFmtId="0" fontId="0" fillId="0" borderId="0" xfId="0" applyAlignment="1">
      <alignment wrapText="1"/>
    </xf>
    <xf numFmtId="0" fontId="0" fillId="18" borderId="3" xfId="0" applyFill="1" applyBorder="1"/>
    <xf numFmtId="0" fontId="0" fillId="18" borderId="3" xfId="0" applyFill="1" applyBorder="1" applyAlignment="1">
      <alignment horizontal="center"/>
    </xf>
    <xf numFmtId="0" fontId="0" fillId="18" borderId="3" xfId="0" applyFill="1" applyBorder="1" applyAlignment="1">
      <alignment horizontal="left"/>
    </xf>
    <xf numFmtId="0" fontId="0" fillId="18" borderId="3" xfId="0" applyFill="1" applyBorder="1" applyAlignment="1">
      <alignment horizontal="left" vertical="top"/>
    </xf>
    <xf numFmtId="3" fontId="4" fillId="0" borderId="3" xfId="0" applyNumberFormat="1" applyFont="1" applyBorder="1" applyAlignment="1">
      <alignment wrapText="1"/>
    </xf>
    <xf numFmtId="9" fontId="0" fillId="0" borderId="0" xfId="0" applyNumberFormat="1" applyAlignment="1">
      <alignment horizontal="center"/>
    </xf>
    <xf numFmtId="0" fontId="4" fillId="0" borderId="21" xfId="0" applyFont="1" applyBorder="1" applyAlignment="1" applyProtection="1">
      <alignment vertical="top"/>
      <protection locked="0"/>
    </xf>
    <xf numFmtId="9" fontId="19" fillId="0" borderId="0" xfId="0" applyNumberFormat="1" applyFont="1" applyAlignment="1">
      <alignment horizontal="center"/>
    </xf>
    <xf numFmtId="0" fontId="4" fillId="0" borderId="22" xfId="0" applyFont="1" applyBorder="1" applyAlignment="1" applyProtection="1">
      <alignment vertical="top"/>
      <protection locked="0"/>
    </xf>
    <xf numFmtId="0" fontId="3" fillId="0" borderId="3" xfId="0" applyFont="1" applyBorder="1" applyAlignment="1">
      <alignment vertical="top"/>
    </xf>
    <xf numFmtId="0" fontId="16" fillId="0" borderId="1" xfId="0" applyFont="1" applyBorder="1"/>
    <xf numFmtId="0" fontId="8" fillId="0" borderId="12" xfId="1" applyFont="1" applyBorder="1" applyAlignment="1">
      <alignment horizontal="center" vertical="top"/>
    </xf>
    <xf numFmtId="0" fontId="4" fillId="0" borderId="22" xfId="0" applyFont="1" applyBorder="1" applyAlignment="1" applyProtection="1">
      <alignment horizontal="left" vertical="top"/>
      <protection locked="0"/>
    </xf>
    <xf numFmtId="0" fontId="9" fillId="0" borderId="2" xfId="0" applyFont="1" applyBorder="1"/>
    <xf numFmtId="0" fontId="2" fillId="0" borderId="3" xfId="0" applyFont="1" applyBorder="1"/>
    <xf numFmtId="0" fontId="2" fillId="0" borderId="14" xfId="0" applyFont="1" applyBorder="1"/>
    <xf numFmtId="0" fontId="2" fillId="0" borderId="18" xfId="0" applyFont="1" applyBorder="1"/>
    <xf numFmtId="0" fontId="4" fillId="0" borderId="3" xfId="0" applyFont="1" applyBorder="1" applyAlignment="1">
      <alignment vertical="top"/>
    </xf>
    <xf numFmtId="22" fontId="16" fillId="0" borderId="0" xfId="0" applyNumberFormat="1" applyFont="1"/>
    <xf numFmtId="0" fontId="8" fillId="0" borderId="1" xfId="1" applyFont="1" applyBorder="1" applyAlignment="1">
      <alignment horizontal="center" vertical="top"/>
    </xf>
    <xf numFmtId="0" fontId="8" fillId="0" borderId="11" xfId="1" applyFont="1" applyBorder="1" applyAlignment="1">
      <alignment horizontal="center" vertical="top"/>
    </xf>
    <xf numFmtId="0" fontId="3" fillId="0" borderId="14" xfId="0" applyFont="1" applyBorder="1" applyAlignment="1">
      <alignment vertical="top"/>
    </xf>
    <xf numFmtId="0" fontId="8" fillId="0" borderId="14" xfId="1" applyFont="1" applyBorder="1" applyAlignment="1">
      <alignment horizontal="center" vertical="top"/>
    </xf>
    <xf numFmtId="0" fontId="8" fillId="0" borderId="1" xfId="1" applyFont="1" applyBorder="1" applyAlignment="1">
      <alignment horizontal="center"/>
    </xf>
    <xf numFmtId="0" fontId="8" fillId="0" borderId="1" xfId="1" applyFont="1" applyBorder="1" applyAlignment="1">
      <alignment horizontal="center" vertical="center"/>
    </xf>
    <xf numFmtId="0" fontId="2" fillId="0" borderId="0" xfId="0" applyFont="1"/>
    <xf numFmtId="0" fontId="2" fillId="0" borderId="0" xfId="0" applyFont="1" applyAlignment="1" applyProtection="1">
      <alignment horizontal="center" vertical="top"/>
      <protection locked="0"/>
    </xf>
    <xf numFmtId="0" fontId="8" fillId="0" borderId="0" xfId="1" applyFont="1" applyAlignment="1">
      <alignment horizontal="center"/>
    </xf>
    <xf numFmtId="0" fontId="3" fillId="0" borderId="11" xfId="0" applyFont="1" applyBorder="1" applyAlignment="1">
      <alignment vertical="top"/>
    </xf>
    <xf numFmtId="0" fontId="9" fillId="0" borderId="24" xfId="0" applyFont="1" applyBorder="1"/>
    <xf numFmtId="0" fontId="4" fillId="13" borderId="11" xfId="0" applyFont="1" applyFill="1" applyBorder="1" applyAlignment="1">
      <alignment horizontal="left"/>
    </xf>
    <xf numFmtId="0" fontId="0" fillId="0" borderId="1" xfId="0" applyBorder="1"/>
    <xf numFmtId="0" fontId="2" fillId="0" borderId="6" xfId="0" applyFont="1" applyBorder="1"/>
    <xf numFmtId="0" fontId="2" fillId="0" borderId="10" xfId="0" applyFont="1" applyBorder="1"/>
    <xf numFmtId="0" fontId="8" fillId="0" borderId="20" xfId="1" applyFont="1" applyBorder="1" applyAlignment="1">
      <alignment horizontal="center" vertical="top"/>
    </xf>
    <xf numFmtId="0" fontId="8" fillId="0" borderId="23" xfId="1" applyFont="1" applyBorder="1" applyAlignment="1">
      <alignment horizontal="center" vertical="top"/>
    </xf>
    <xf numFmtId="0" fontId="3" fillId="0" borderId="18" xfId="0" applyFont="1" applyBorder="1" applyAlignment="1">
      <alignment vertical="top"/>
    </xf>
    <xf numFmtId="0" fontId="8" fillId="0" borderId="25" xfId="1" applyFont="1" applyBorder="1" applyAlignment="1">
      <alignment horizontal="center" vertical="top"/>
    </xf>
    <xf numFmtId="0" fontId="9" fillId="0" borderId="5" xfId="0" applyFont="1" applyBorder="1"/>
    <xf numFmtId="0" fontId="9" fillId="0" borderId="13" xfId="0" applyFont="1" applyBorder="1"/>
    <xf numFmtId="0" fontId="23" fillId="0" borderId="3" xfId="0" applyFont="1" applyBorder="1"/>
    <xf numFmtId="0" fontId="4" fillId="0" borderId="4" xfId="0" applyFont="1" applyBorder="1" applyAlignment="1" applyProtection="1">
      <alignment horizontal="center" vertical="center"/>
      <protection locked="0"/>
    </xf>
    <xf numFmtId="0" fontId="8" fillId="0" borderId="5" xfId="1" applyFont="1" applyBorder="1" applyAlignment="1">
      <alignment horizontal="center" vertical="top"/>
    </xf>
    <xf numFmtId="0" fontId="24" fillId="0" borderId="1" xfId="0" applyFont="1" applyBorder="1"/>
    <xf numFmtId="0" fontId="9" fillId="0" borderId="24" xfId="0" applyFont="1" applyBorder="1" applyAlignment="1">
      <alignment horizontal="center"/>
    </xf>
    <xf numFmtId="0" fontId="8" fillId="0" borderId="3" xfId="1" applyFont="1" applyFill="1" applyBorder="1" applyAlignment="1">
      <alignment horizontal="center" vertical="top"/>
    </xf>
    <xf numFmtId="0" fontId="4" fillId="13" borderId="1" xfId="0" applyFont="1" applyFill="1" applyBorder="1" applyAlignment="1">
      <alignment horizontal="left"/>
    </xf>
    <xf numFmtId="0" fontId="4" fillId="0" borderId="2" xfId="0" applyFont="1" applyBorder="1" applyAlignment="1" applyProtection="1">
      <alignment horizontal="left" vertical="top" wrapText="1"/>
      <protection locked="0"/>
    </xf>
    <xf numFmtId="0" fontId="4" fillId="0" borderId="7" xfId="0" applyFont="1" applyBorder="1" applyAlignment="1" applyProtection="1">
      <alignment horizontal="left" vertical="top" wrapText="1"/>
      <protection locked="0"/>
    </xf>
    <xf numFmtId="0" fontId="4" fillId="0" borderId="3" xfId="0" applyFont="1" applyBorder="1" applyAlignment="1">
      <alignment vertical="top" wrapText="1"/>
    </xf>
    <xf numFmtId="0" fontId="4" fillId="0" borderId="0" xfId="0" applyFont="1" applyAlignment="1" applyProtection="1">
      <alignment vertical="top"/>
      <protection locked="0"/>
    </xf>
    <xf numFmtId="0" fontId="8" fillId="0" borderId="1" xfId="1" applyFont="1" applyBorder="1" applyAlignment="1">
      <alignment horizontal="center" vertical="top" wrapText="1"/>
    </xf>
    <xf numFmtId="0" fontId="4" fillId="19" borderId="1" xfId="0" applyFont="1" applyFill="1" applyBorder="1" applyAlignment="1" applyProtection="1">
      <alignment vertical="top"/>
      <protection locked="0"/>
    </xf>
    <xf numFmtId="0" fontId="4" fillId="0" borderId="0" xfId="0" applyFont="1" applyAlignment="1">
      <alignment vertical="top"/>
    </xf>
    <xf numFmtId="0" fontId="3" fillId="0" borderId="3" xfId="0" applyFont="1" applyBorder="1" applyAlignment="1">
      <alignment vertical="top" wrapText="1"/>
    </xf>
    <xf numFmtId="0" fontId="4" fillId="12" borderId="1" xfId="0" applyFont="1" applyFill="1" applyBorder="1" applyAlignment="1" applyProtection="1">
      <alignment vertical="top"/>
      <protection locked="0"/>
    </xf>
    <xf numFmtId="0" fontId="25" fillId="0" borderId="6" xfId="0" applyFont="1" applyBorder="1"/>
    <xf numFmtId="0" fontId="9" fillId="0" borderId="1" xfId="0" applyFont="1" applyBorder="1" applyAlignment="1">
      <alignment wrapText="1"/>
    </xf>
    <xf numFmtId="0" fontId="0" fillId="15" borderId="3" xfId="0" applyFill="1" applyBorder="1" applyAlignment="1">
      <alignment horizontal="left" wrapText="1"/>
    </xf>
    <xf numFmtId="0" fontId="0" fillId="15" borderId="3" xfId="0" applyFill="1" applyBorder="1" applyAlignment="1">
      <alignment horizontal="center"/>
    </xf>
    <xf numFmtId="0" fontId="4" fillId="18" borderId="1" xfId="0" applyFont="1" applyFill="1" applyBorder="1" applyAlignment="1" applyProtection="1">
      <alignment vertical="top"/>
      <protection locked="0"/>
    </xf>
    <xf numFmtId="0" fontId="4" fillId="15" borderId="1" xfId="0" applyFont="1" applyFill="1" applyBorder="1" applyAlignment="1" applyProtection="1">
      <alignment vertical="top"/>
      <protection locked="0"/>
    </xf>
    <xf numFmtId="0" fontId="4" fillId="5" borderId="1" xfId="0" applyFont="1" applyFill="1" applyBorder="1" applyAlignment="1" applyProtection="1">
      <alignment vertical="top"/>
      <protection locked="0"/>
    </xf>
    <xf numFmtId="0" fontId="22" fillId="0" borderId="0" xfId="0" applyFont="1"/>
    <xf numFmtId="0" fontId="4" fillId="20" borderId="1" xfId="0" applyFont="1" applyFill="1" applyBorder="1" applyAlignment="1" applyProtection="1">
      <alignment vertical="top"/>
      <protection locked="0"/>
    </xf>
    <xf numFmtId="0" fontId="4" fillId="0" borderId="4" xfId="0" applyFont="1" applyBorder="1"/>
    <xf numFmtId="0" fontId="9" fillId="0" borderId="6" xfId="0" applyFont="1" applyBorder="1"/>
    <xf numFmtId="0" fontId="25" fillId="0" borderId="10" xfId="0" applyFont="1" applyBorder="1"/>
    <xf numFmtId="0" fontId="2" fillId="0" borderId="16" xfId="0" applyFont="1" applyBorder="1"/>
    <xf numFmtId="9" fontId="9" fillId="0" borderId="16" xfId="0" applyNumberFormat="1" applyFont="1" applyBorder="1"/>
    <xf numFmtId="0" fontId="9" fillId="21" borderId="16" xfId="0" applyFont="1" applyFill="1" applyBorder="1"/>
    <xf numFmtId="0" fontId="9" fillId="22" borderId="16" xfId="0" applyFont="1" applyFill="1" applyBorder="1"/>
    <xf numFmtId="0" fontId="9" fillId="0" borderId="16" xfId="0" applyFont="1" applyBorder="1" applyAlignment="1">
      <alignment wrapText="1"/>
    </xf>
    <xf numFmtId="0" fontId="26" fillId="0" borderId="0" xfId="0" applyFont="1"/>
    <xf numFmtId="0" fontId="9" fillId="0" borderId="4" xfId="0" applyFont="1" applyBorder="1" applyAlignment="1">
      <alignment wrapText="1"/>
    </xf>
    <xf numFmtId="0" fontId="24" fillId="0" borderId="0" xfId="0" applyFont="1"/>
    <xf numFmtId="0" fontId="1" fillId="0" borderId="18" xfId="1" applyBorder="1"/>
    <xf numFmtId="0" fontId="25" fillId="0" borderId="4" xfId="0" applyFont="1" applyBorder="1"/>
    <xf numFmtId="0" fontId="25" fillId="0" borderId="16" xfId="0" applyFont="1" applyBorder="1"/>
    <xf numFmtId="0" fontId="1" fillId="0" borderId="10" xfId="1" applyBorder="1"/>
    <xf numFmtId="0" fontId="9" fillId="0" borderId="17" xfId="0" applyFont="1" applyBorder="1" applyAlignment="1">
      <alignment wrapText="1"/>
    </xf>
    <xf numFmtId="0" fontId="9" fillId="0" borderId="6" xfId="0" applyFont="1" applyBorder="1" applyAlignment="1">
      <alignment wrapText="1"/>
    </xf>
    <xf numFmtId="0" fontId="16" fillId="0" borderId="10" xfId="0" applyFont="1" applyBorder="1"/>
    <xf numFmtId="0" fontId="27" fillId="0" borderId="10" xfId="0" applyFont="1" applyBorder="1"/>
    <xf numFmtId="0" fontId="27" fillId="0" borderId="27" xfId="0" applyFont="1" applyBorder="1"/>
    <xf numFmtId="0" fontId="2" fillId="0" borderId="27" xfId="0" applyFont="1" applyBorder="1"/>
    <xf numFmtId="0" fontId="27" fillId="0" borderId="3" xfId="0" applyFont="1" applyBorder="1"/>
    <xf numFmtId="0" fontId="27" fillId="0" borderId="14" xfId="0" applyFont="1" applyBorder="1"/>
    <xf numFmtId="0" fontId="27" fillId="0" borderId="26" xfId="0" applyFont="1" applyBorder="1"/>
    <xf numFmtId="0" fontId="9" fillId="0" borderId="23" xfId="0" applyFont="1" applyBorder="1"/>
    <xf numFmtId="0" fontId="2" fillId="0" borderId="4" xfId="0" applyFont="1" applyBorder="1"/>
    <xf numFmtId="0" fontId="2" fillId="0" borderId="12" xfId="0" applyFont="1" applyBorder="1" applyAlignment="1" applyProtection="1">
      <alignment horizontal="left" vertical="top"/>
      <protection locked="0"/>
    </xf>
    <xf numFmtId="0" fontId="2" fillId="13" borderId="11" xfId="0" applyFont="1" applyFill="1" applyBorder="1" applyAlignment="1" applyProtection="1">
      <alignment horizontal="left" vertical="top"/>
      <protection locked="0"/>
    </xf>
    <xf numFmtId="0" fontId="2" fillId="13" borderId="18" xfId="0" applyFont="1" applyFill="1" applyBorder="1" applyAlignment="1" applyProtection="1">
      <alignment horizontal="left" vertical="top"/>
      <protection locked="0"/>
    </xf>
    <xf numFmtId="0" fontId="2" fillId="13" borderId="14" xfId="0" applyFont="1" applyFill="1" applyBorder="1" applyAlignment="1" applyProtection="1">
      <alignment horizontal="left" vertical="top"/>
      <protection locked="0"/>
    </xf>
    <xf numFmtId="0" fontId="2" fillId="13" borderId="1" xfId="0" applyFont="1" applyFill="1" applyBorder="1" applyAlignment="1" applyProtection="1">
      <alignment horizontal="left" vertical="top"/>
      <protection locked="0"/>
    </xf>
    <xf numFmtId="0" fontId="4" fillId="0" borderId="5" xfId="0" applyFont="1" applyBorder="1" applyAlignment="1">
      <alignment vertical="top"/>
    </xf>
    <xf numFmtId="0" fontId="9" fillId="0" borderId="22" xfId="0" applyFont="1" applyBorder="1"/>
    <xf numFmtId="9" fontId="9" fillId="0" borderId="1" xfId="0" applyNumberFormat="1" applyFont="1" applyBorder="1"/>
    <xf numFmtId="9" fontId="16" fillId="0" borderId="1" xfId="0" applyNumberFormat="1" applyFont="1" applyBorder="1"/>
    <xf numFmtId="9" fontId="9" fillId="0" borderId="1" xfId="0" applyNumberFormat="1" applyFont="1" applyBorder="1" applyAlignment="1">
      <alignment wrapText="1"/>
    </xf>
    <xf numFmtId="0" fontId="16" fillId="0" borderId="1" xfId="0" applyFont="1" applyBorder="1" applyAlignment="1">
      <alignment wrapText="1"/>
    </xf>
    <xf numFmtId="9" fontId="16" fillId="0" borderId="1" xfId="0" applyNumberFormat="1" applyFont="1" applyBorder="1" applyAlignment="1">
      <alignment wrapText="1"/>
    </xf>
    <xf numFmtId="10" fontId="9" fillId="0" borderId="1" xfId="0" applyNumberFormat="1" applyFont="1" applyBorder="1" applyAlignment="1">
      <alignment wrapText="1"/>
    </xf>
    <xf numFmtId="0" fontId="29" fillId="0" borderId="16" xfId="0" applyFont="1" applyBorder="1"/>
    <xf numFmtId="9" fontId="16" fillId="0" borderId="10" xfId="0" applyNumberFormat="1" applyFont="1" applyBorder="1"/>
    <xf numFmtId="0" fontId="28" fillId="0" borderId="3" xfId="0" applyFont="1" applyBorder="1" applyAlignment="1" applyProtection="1">
      <alignment horizontal="center" vertical="top"/>
      <protection locked="0"/>
    </xf>
    <xf numFmtId="9" fontId="29" fillId="0" borderId="1" xfId="0" applyNumberFormat="1" applyFont="1" applyBorder="1"/>
    <xf numFmtId="0" fontId="30" fillId="0" borderId="1" xfId="0" applyFont="1" applyBorder="1"/>
    <xf numFmtId="0" fontId="28" fillId="0" borderId="3" xfId="0" applyFont="1" applyBorder="1" applyAlignment="1">
      <alignment vertical="top"/>
    </xf>
    <xf numFmtId="9" fontId="16" fillId="0" borderId="0" xfId="0" applyNumberFormat="1" applyFont="1"/>
    <xf numFmtId="0" fontId="4" fillId="0" borderId="1" xfId="2" applyNumberFormat="1" applyFont="1" applyBorder="1" applyAlignment="1" applyProtection="1">
      <alignment horizontal="center" vertical="top"/>
      <protection locked="0"/>
    </xf>
    <xf numFmtId="0" fontId="16" fillId="0" borderId="0" xfId="0" applyFont="1" applyAlignment="1">
      <alignment wrapText="1"/>
    </xf>
    <xf numFmtId="0" fontId="2" fillId="0" borderId="3" xfId="0" applyFont="1" applyBorder="1" applyAlignment="1">
      <alignment horizontal="center" vertical="center"/>
    </xf>
    <xf numFmtId="0" fontId="3" fillId="0" borderId="4" xfId="0" applyFont="1" applyBorder="1" applyAlignment="1">
      <alignment vertical="top" wrapText="1"/>
    </xf>
    <xf numFmtId="0" fontId="3" fillId="0" borderId="2" xfId="0" applyFont="1" applyBorder="1"/>
    <xf numFmtId="0" fontId="3" fillId="0" borderId="16" xfId="0" applyFont="1" applyBorder="1"/>
    <xf numFmtId="0" fontId="3" fillId="0" borderId="7" xfId="0" applyFont="1" applyBorder="1"/>
    <xf numFmtId="0" fontId="24" fillId="0" borderId="7" xfId="0" applyFont="1" applyBorder="1"/>
    <xf numFmtId="9" fontId="4" fillId="0" borderId="4" xfId="0" applyNumberFormat="1" applyFont="1" applyBorder="1" applyAlignment="1" applyProtection="1">
      <alignment horizontal="center" vertical="center"/>
      <protection locked="0"/>
    </xf>
    <xf numFmtId="0" fontId="29" fillId="0" borderId="4" xfId="0" applyFont="1" applyBorder="1"/>
    <xf numFmtId="0" fontId="29" fillId="0" borderId="10" xfId="0" applyFont="1" applyBorder="1"/>
    <xf numFmtId="0" fontId="31" fillId="0" borderId="0" xfId="0" applyFont="1"/>
    <xf numFmtId="0" fontId="32" fillId="23" borderId="1" xfId="0" applyFont="1" applyFill="1" applyBorder="1"/>
    <xf numFmtId="0" fontId="33" fillId="0" borderId="0" xfId="0" applyFont="1" applyAlignment="1">
      <alignment vertical="top"/>
    </xf>
    <xf numFmtId="0" fontId="29" fillId="0" borderId="1" xfId="0" applyFont="1" applyBorder="1" applyAlignment="1">
      <alignment wrapText="1"/>
    </xf>
    <xf numFmtId="0" fontId="30" fillId="0" borderId="0" xfId="0" applyFont="1"/>
    <xf numFmtId="0" fontId="29" fillId="0" borderId="14" xfId="0" applyFont="1" applyBorder="1"/>
    <xf numFmtId="0" fontId="28" fillId="0" borderId="1" xfId="0" applyFont="1" applyBorder="1" applyAlignment="1">
      <alignment vertical="top"/>
    </xf>
    <xf numFmtId="22" fontId="30" fillId="0" borderId="0" xfId="0" applyNumberFormat="1" applyFont="1"/>
    <xf numFmtId="0" fontId="27" fillId="0" borderId="3" xfId="0" applyFont="1" applyBorder="1" applyAlignment="1" applyProtection="1">
      <alignment horizontal="center" vertical="top"/>
      <protection locked="0"/>
    </xf>
    <xf numFmtId="10" fontId="27" fillId="0" borderId="3" xfId="0" applyNumberFormat="1" applyFont="1" applyBorder="1" applyAlignment="1" applyProtection="1">
      <alignment horizontal="center" vertical="top"/>
      <protection locked="0"/>
    </xf>
    <xf numFmtId="0" fontId="29" fillId="0" borderId="15" xfId="0" applyFont="1" applyBorder="1"/>
    <xf numFmtId="0" fontId="4" fillId="13" borderId="2" xfId="0" applyFont="1" applyFill="1" applyBorder="1" applyAlignment="1">
      <alignment horizontal="left"/>
    </xf>
    <xf numFmtId="0" fontId="4" fillId="0" borderId="7" xfId="0" applyFont="1" applyBorder="1" applyAlignment="1" applyProtection="1">
      <alignment horizontal="left" vertical="top"/>
      <protection locked="0"/>
    </xf>
    <xf numFmtId="0" fontId="29" fillId="0" borderId="1" xfId="0" applyFont="1" applyBorder="1"/>
    <xf numFmtId="0" fontId="28" fillId="0" borderId="1" xfId="0" pivotButton="1" applyFont="1" applyBorder="1"/>
    <xf numFmtId="0" fontId="28" fillId="0" borderId="1" xfId="0" applyFont="1" applyBorder="1"/>
    <xf numFmtId="0" fontId="34" fillId="6" borderId="1" xfId="0" applyFont="1" applyFill="1" applyBorder="1"/>
    <xf numFmtId="0" fontId="28" fillId="0" borderId="1" xfId="0" applyFont="1" applyBorder="1" applyAlignment="1">
      <alignment horizontal="center" vertical="center"/>
    </xf>
    <xf numFmtId="0" fontId="34" fillId="6" borderId="1" xfId="0" applyFont="1" applyFill="1" applyBorder="1" applyAlignment="1">
      <alignment horizontal="center" vertical="center"/>
    </xf>
    <xf numFmtId="9" fontId="29" fillId="0" borderId="1" xfId="0" applyNumberFormat="1" applyFont="1" applyBorder="1" applyAlignment="1">
      <alignment wrapText="1"/>
    </xf>
    <xf numFmtId="0" fontId="29" fillId="0" borderId="0" xfId="0" applyFont="1"/>
    <xf numFmtId="9" fontId="29" fillId="0" borderId="4" xfId="0" applyNumberFormat="1" applyFont="1" applyBorder="1" applyAlignment="1">
      <alignment horizontal="center"/>
    </xf>
    <xf numFmtId="0" fontId="29" fillId="0" borderId="16" xfId="0" applyFont="1" applyBorder="1" applyAlignment="1">
      <alignment horizontal="center"/>
    </xf>
    <xf numFmtId="0" fontId="0" fillId="0" borderId="3" xfId="0" pivotButton="1" applyBorder="1" applyAlignment="1">
      <alignment horizontal="left" vertical="top"/>
    </xf>
    <xf numFmtId="0" fontId="0" fillId="0" borderId="3" xfId="0" pivotButton="1" applyBorder="1" applyAlignment="1">
      <alignment horizontal="center"/>
    </xf>
    <xf numFmtId="0" fontId="4" fillId="24" borderId="1" xfId="0" applyFont="1" applyFill="1" applyBorder="1" applyAlignment="1" applyProtection="1">
      <alignment vertical="top"/>
      <protection locked="0"/>
    </xf>
    <xf numFmtId="0" fontId="35" fillId="0" borderId="0" xfId="0" applyFont="1"/>
    <xf numFmtId="9" fontId="29" fillId="0" borderId="16" xfId="0" applyNumberFormat="1" applyFont="1" applyBorder="1"/>
    <xf numFmtId="0" fontId="29" fillId="0" borderId="17" xfId="0" applyFont="1" applyBorder="1" applyAlignment="1">
      <alignment wrapText="1"/>
    </xf>
    <xf numFmtId="9" fontId="4" fillId="0" borderId="4" xfId="2" applyFont="1" applyBorder="1" applyAlignment="1" applyProtection="1">
      <alignment horizontal="center" vertical="top"/>
      <protection locked="0"/>
    </xf>
    <xf numFmtId="0" fontId="27" fillId="0" borderId="3" xfId="0" applyFont="1" applyBorder="1" applyAlignment="1" applyProtection="1">
      <alignment horizontal="left" vertical="top"/>
      <protection locked="0"/>
    </xf>
    <xf numFmtId="0" fontId="27" fillId="13" borderId="3" xfId="0" applyFont="1" applyFill="1" applyBorder="1" applyAlignment="1" applyProtection="1">
      <alignment horizontal="left" vertical="top"/>
      <protection locked="0"/>
    </xf>
    <xf numFmtId="0" fontId="28" fillId="0" borderId="4" xfId="0" applyFont="1" applyBorder="1" applyAlignment="1">
      <alignment vertical="top" wrapText="1"/>
    </xf>
    <xf numFmtId="0" fontId="8" fillId="0" borderId="0" xfId="1" applyFont="1" applyAlignment="1">
      <alignment horizontal="center" vertical="center"/>
    </xf>
    <xf numFmtId="0" fontId="1" fillId="0" borderId="3" xfId="1" applyBorder="1" applyAlignment="1" applyProtection="1">
      <alignment horizontal="center" vertical="top"/>
      <protection locked="0"/>
    </xf>
    <xf numFmtId="0" fontId="27" fillId="0" borderId="1" xfId="0" applyFont="1" applyBorder="1"/>
    <xf numFmtId="0" fontId="4" fillId="0" borderId="6" xfId="0" applyFont="1" applyBorder="1" applyAlignment="1" applyProtection="1">
      <alignment horizontal="center" vertical="top"/>
      <protection locked="0"/>
    </xf>
    <xf numFmtId="0" fontId="36" fillId="2" borderId="1" xfId="0" applyFont="1" applyFill="1" applyBorder="1"/>
    <xf numFmtId="0" fontId="36" fillId="2" borderId="4" xfId="0" applyFont="1" applyFill="1" applyBorder="1"/>
    <xf numFmtId="0" fontId="36" fillId="3" borderId="4" xfId="0" applyFont="1" applyFill="1" applyBorder="1"/>
    <xf numFmtId="0" fontId="36" fillId="3" borderId="22" xfId="0" applyFont="1" applyFill="1" applyBorder="1"/>
    <xf numFmtId="0" fontId="36" fillId="4" borderId="6" xfId="0" applyFont="1" applyFill="1" applyBorder="1"/>
    <xf numFmtId="0" fontId="36" fillId="4" borderId="28" xfId="0" applyFont="1" applyFill="1" applyBorder="1"/>
    <xf numFmtId="0" fontId="36" fillId="4" borderId="6" xfId="0" applyFont="1" applyFill="1" applyBorder="1" applyAlignment="1">
      <alignment wrapText="1"/>
    </xf>
    <xf numFmtId="0" fontId="36" fillId="16" borderId="6" xfId="0" applyFont="1" applyFill="1" applyBorder="1"/>
    <xf numFmtId="0" fontId="37" fillId="3" borderId="6" xfId="0" applyFont="1" applyFill="1" applyBorder="1"/>
    <xf numFmtId="0" fontId="37" fillId="2" borderId="6" xfId="0" applyFont="1" applyFill="1" applyBorder="1"/>
    <xf numFmtId="0" fontId="37" fillId="11" borderId="6" xfId="0" applyFont="1" applyFill="1" applyBorder="1"/>
    <xf numFmtId="0" fontId="36" fillId="3" borderId="4" xfId="0" applyFont="1" applyFill="1" applyBorder="1" applyAlignment="1">
      <alignment horizontal="center"/>
    </xf>
    <xf numFmtId="0" fontId="9" fillId="0" borderId="26" xfId="0" applyFont="1" applyBorder="1"/>
    <xf numFmtId="0" fontId="22" fillId="17" borderId="12" xfId="0" applyFont="1" applyFill="1" applyBorder="1" applyAlignment="1">
      <alignment horizontal="center"/>
    </xf>
    <xf numFmtId="0" fontId="22" fillId="17" borderId="19" xfId="0" applyFont="1" applyFill="1" applyBorder="1" applyAlignment="1">
      <alignment horizontal="center"/>
    </xf>
    <xf numFmtId="0" fontId="22" fillId="17" borderId="6" xfId="0" applyFont="1" applyFill="1" applyBorder="1" applyAlignment="1">
      <alignment horizontal="center"/>
    </xf>
    <xf numFmtId="0" fontId="17" fillId="15" borderId="1" xfId="0" applyFont="1" applyFill="1" applyBorder="1" applyAlignment="1">
      <alignment horizontal="center"/>
    </xf>
    <xf numFmtId="0" fontId="12" fillId="0" borderId="15" xfId="0" applyFont="1" applyBorder="1" applyAlignment="1">
      <alignment horizontal="center" vertical="top"/>
    </xf>
  </cellXfs>
  <cellStyles count="3">
    <cellStyle name="Hyperlink" xfId="1" builtinId="8"/>
    <cellStyle name="Normal" xfId="0" builtinId="0"/>
    <cellStyle name="Percent" xfId="2" builtinId="5"/>
  </cellStyles>
  <dxfs count="225">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alignment vertical="center"/>
    </dxf>
    <dxf>
      <alignment horizontal="center"/>
    </dxf>
    <dxf>
      <fill>
        <patternFill patternType="solid">
          <fgColor indexed="64"/>
          <bgColor rgb="FF7030A0"/>
        </patternFill>
      </fill>
    </dxf>
    <dxf>
      <fill>
        <patternFill patternType="solid">
          <fgColor indexed="64"/>
          <bgColor rgb="FF7030A0"/>
        </patternFill>
      </fill>
    </dxf>
    <dxf>
      <font>
        <color theme="0"/>
      </font>
    </dxf>
    <dxf>
      <font>
        <color theme="0"/>
      </font>
    </dxf>
    <dxf>
      <fill>
        <patternFill patternType="solid">
          <fgColor indexed="64"/>
          <bgColor rgb="FF7030A0"/>
        </patternFill>
      </fill>
    </dxf>
    <dxf>
      <fill>
        <patternFill patternType="solid">
          <fgColor indexed="64"/>
          <bgColor rgb="FF7030A0"/>
        </patternFill>
      </fill>
    </dxf>
    <dxf>
      <fill>
        <patternFill patternType="solid">
          <fgColor indexed="64"/>
          <bgColor rgb="FF7030A0"/>
        </patternFill>
      </fill>
    </dxf>
    <dxf>
      <font>
        <color theme="0"/>
      </font>
    </dxf>
    <dxf>
      <font>
        <color theme="0"/>
      </font>
    </dxf>
    <dxf>
      <font>
        <color theme="0"/>
      </font>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7030A0"/>
        </patternFill>
      </fill>
    </dxf>
    <dxf>
      <font>
        <color theme="0"/>
      </font>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ont>
        <sz val="9"/>
      </font>
    </dxf>
    <dxf>
      <font>
        <sz val="9"/>
      </font>
    </dxf>
    <dxf>
      <font>
        <sz val="9"/>
      </font>
    </dxf>
    <dxf>
      <font>
        <sz val="9"/>
      </font>
    </dxf>
    <dxf>
      <font>
        <sz val="9"/>
      </font>
    </dxf>
    <dxf>
      <font>
        <sz val="9"/>
      </font>
    </dxf>
    <dxf>
      <alignment horizontal="center"/>
    </dxf>
    <dxf>
      <alignment horizontal="center"/>
    </dxf>
    <dxf>
      <alignment horizontal="center"/>
    </dxf>
    <dxf>
      <alignment horizontal="center"/>
    </dxf>
    <dxf>
      <alignment horizontal="center"/>
    </dxf>
    <dxf>
      <alignment horizontal="center"/>
    </dxf>
    <dxf>
      <font>
        <sz val="9"/>
      </font>
    </dxf>
    <dxf>
      <font>
        <sz val="9"/>
      </font>
    </dxf>
    <dxf>
      <font>
        <sz val="9"/>
      </font>
    </dxf>
    <dxf>
      <font>
        <sz val="9"/>
      </font>
    </dxf>
    <dxf>
      <font>
        <sz val="9"/>
      </font>
    </dxf>
    <dxf>
      <font>
        <sz val="9"/>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wrapText="1"/>
    </dxf>
    <dxf>
      <alignment vertical="top"/>
    </dxf>
    <dxf>
      <alignment horizontal="left"/>
    </dxf>
    <dxf>
      <alignment horizontal="genera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horizontal="center"/>
    </dxf>
    <dxf>
      <alignment horizontal="center"/>
    </dxf>
    <dxf>
      <numFmt numFmtId="13"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23</xdr:col>
      <xdr:colOff>600075</xdr:colOff>
      <xdr:row>129</xdr:row>
      <xdr:rowOff>0</xdr:rowOff>
    </xdr:from>
    <xdr:to>
      <xdr:col>23</xdr:col>
      <xdr:colOff>609600</xdr:colOff>
      <xdr:row>13708</xdr:row>
      <xdr:rowOff>149293</xdr:rowOff>
    </xdr:to>
    <xdr:pic>
      <xdr:nvPicPr>
        <xdr:cNvPr id="3" name="Picture 1">
          <a:extLst>
            <a:ext uri="{FF2B5EF4-FFF2-40B4-BE49-F238E27FC236}">
              <a16:creationId xmlns:a16="http://schemas.microsoft.com/office/drawing/2014/main" id="{0C28DDA4-F31C-96C3-0A0D-273F0D8F9A93}"/>
            </a:ext>
          </a:extLst>
        </xdr:cNvPr>
        <xdr:cNvPicPr>
          <a:picLocks noChangeAspect="1"/>
        </xdr:cNvPicPr>
      </xdr:nvPicPr>
      <xdr:blipFill>
        <a:blip xmlns:r="http://schemas.openxmlformats.org/officeDocument/2006/relationships" r:embed="rId1"/>
        <a:stretch>
          <a:fillRect/>
        </a:stretch>
      </xdr:blipFill>
      <xdr:spPr>
        <a:xfrm>
          <a:off x="28708350" y="238125"/>
          <a:ext cx="9525" cy="145475325"/>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ED7210D-B462-4196-8D82-45F3D51E54EA}"/>
  <namedSheetView name="View2" id="{67519ACD-FE09-482C-93CD-C6C697D73734}"/>
  <namedSheetView name="View3" id="{E3451CC4-92CF-4A23-A42B-71612164F570}"/>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s, Leena" refreshedDate="46132.746006597219" createdVersion="8" refreshedVersion="8" minRefreshableVersion="3" recordCount="626" xr:uid="{93BC8ED3-21FB-4B3B-B187-A825BA6DFD33}">
  <cacheSource type="worksheet">
    <worksheetSource ref="A1:AP1048576" sheet="PT status"/>
  </cacheSource>
  <cacheFields count="42">
    <cacheField name="Module (TextVerification)" numFmtId="0">
      <sharedItems containsBlank="1" containsMixedTypes="1" containsNumber="1" containsInteger="1" minValue="1" maxValue="1"/>
    </cacheField>
    <cacheField name="Parent Title" numFmtId="0">
      <sharedItems containsBlank="1" containsMixedTypes="1" containsNumber="1" containsInteger="1" minValue="0" maxValue="0" count="150">
        <s v="Services - Learn &amp; Launch enhancements with BPMS support button"/>
        <s v="Security-specific services when the Opportunity RDE is set to &quot;Security&quot;"/>
        <s v="Market Maker Enterprise Solution Architect role from MMS in MMS Team Details"/>
        <s v="[PMO] URL update for Manage and Dashboard screens"/>
        <s v="myCalendar: Simplify calender funtionality for Solution Architect"/>
        <s v="Raise Request Email Template Standardization - Deal Value and Date Format"/>
        <s v="Enter special characters, spaces, and bullet-point text for all 5 Opportunity on a Page questions"/>
        <s v="Stage Update Date on the Timeline screen"/>
        <s v="Deal Hierarchy info text at the right-bottom of the MMS Details screen"/>
        <s v="SA Team manager UI updates.1. Capability to be autopopulate for Operations 2. Dependency of Deployment field for capability in left side slicer."/>
        <s v="SI - Estimators/Calculators(Opp level screen) &amp; Attach Estimates(Version level screen) - feedback alignment"/>
        <s v="New user Registration for Song changes in SA team manager"/>
        <s v="March Release NextGen Enhancements"/>
        <s v="Estimator/Calculator - Expand-Collapse icon Type and Position"/>
        <s v="Enhancement in Generative AI for AMS, SI, IMS service group"/>
        <s v="RA - Option to send reminder manually to the approver"/>
        <s v="myISP DCSO - Delivery Lead Assignments"/>
        <s v="Services - Learn &amp; Launch enhancements"/>
        <s v="CDAT PMO_ UI changes and addition of email template"/>
        <s v="BPMS Onboarding to CDAT"/>
        <s v="Automailer, Follow-Ups &amp; Escalation Steps"/>
        <s v="CDAT Enhancements"/>
        <s v="Differentiation Decommission"/>
        <s v="Standard Role Implementation in PCW &amp; Online SI - May Release"/>
        <s v="Online SI CR - March"/>
        <s v="DNP Simplification - May Release"/>
        <s v="MMP FFP Export update - May release"/>
        <s v="PCW Enhancements and User Feedback - March Release"/>
        <s v="IPC Calculator | Cost Update to Standard Package"/>
        <s v="DNP - seat charges WFO design change (YOY WFO % level) - Online SI and PCW"/>
        <s v="PCW CRs - Jan Release"/>
        <s v="Online SI May Cr's"/>
        <s v="Rate card screen UI change"/>
        <s v="Update the restricted SSGs in profile screen info"/>
        <s v="IPC Calculator | Package and Cost screen UI changes"/>
        <s v="IPC Calculator | Updated RAG logic for IPC Delivery Toolkit and IPC Lead PMO"/>
        <s v="Dynamic Target Pricing - Remaining Scope - May Release"/>
        <s v="WFH - ATCI and WFH ATCP to include updated logic from DNP"/>
        <s v="IPC Calculator | New Exemption Reasons"/>
        <s v="SI-MMP FFP, Data: Updating the logic for populating the Deal Rag Status in KDA Variance Analysis Report"/>
        <s v="|Query | 11th Oct | UAT | PCW|MMP FFP| Not Getting value for Activity (BPMS) column for MMP FFP template when generated via Online, however PCW offline export template is displaying value."/>
        <m/>
        <s v="Validation error while simulating OCP without ratecard configuration in Staffing screen"/>
        <s v="Billable expense parameter split in Financial UI"/>
        <s v="DFD - SA Cancellation mail functionality"/>
        <s v="SA bandwidth report sheet filters should be aligned as PLD access, should be based on M, MU and CG"/>
        <s v="Song Compliant Update | May Scope"/>
        <s v="myISP- Digital DCSO - Publish functionality"/>
        <s v="Rolled Up Revenue in Compliance Score and Other Places (2nd Iteration)"/>
        <s v="myISP - Digital DCSO Summary sections addition and Other changes"/>
        <s v="Mobilization CXTA CR"/>
        <s v="Auto Reminders for Tech and Mob Architects"/>
        <s v="Lead SA in Define Team Email Notification"/>
        <s v="TfO Attributes - Reason for No OATL Text Box"/>
        <s v="BPMS Trigger Emails - Remove Ops.Transformation.Solutioning from TO/CC"/>
        <s v="FTS Email and Backend Flag Synchronization Across All Trigger Sources"/>
        <s v="BPMS OCP/DCTA: CR - Enhancement changes ( update the logic for identifying PMO Cost)"/>
        <s v="MMD: Request to include LCR and Payroll without seat charges on the KDA data"/>
        <s v="AMS-OCP: AMS - Cluster based KDA Phase 1 - OCP KDA UI and Excel reports"/>
        <s v="AMS SCA MVP3 May 9th Release Scope"/>
        <s v="IMS Multi Tower pricing (IMS+SI+CON)"/>
        <s v="BPMS Negotiation Contingency"/>
        <s v="AMS: Increasing Staffing records in LBS UI for OU report"/>
        <s v="AMS OCP/DCTA — ATCI Effort Ratio Logic Update for Offshore Metrics"/>
        <s v="Available Hours OU Report"/>
        <s v="FY26 [BPMS BAU] - MMP - DCTA integration enhancements"/>
        <s v="FY26 [BPMS BAU] - Enhancements and CRs related to Models, Excel Input uplaod, Templates  and Reports_March 2026_Release"/>
        <s v="Shift Productivity Assessment under Automation Calculator as &quot; Automation Maturity. Mandatory for eligible AMS deals"/>
        <s v="Attach Calculator"/>
        <s v="Automation calculator - Attach Calculator"/>
        <s v="Attach Calculator - S&amp;C Sync"/>
        <s v="IMS Mobilization Calculator enablement-Top Down/Bottom Up"/>
        <s v="Value Shaping –Enhancements"/>
        <s v="Mobilization Calculator -Bottom Up CRs"/>
        <s v="S&amp;C Calculator Updated Access Functionality for all SA"/>
        <s v="SnC Calculator | Enabling Access for AMS Service Group and enable sync functionality in both SI and AMS"/>
        <s v="Calculator - Hover message for Default version"/>
        <s v="Asset Calculator -  Asset accordions to be added  in Asset Catalog"/>
        <s v="Value Shaping CR | May Scope"/>
        <s v="Asset Calculator CR | May Scope"/>
        <s v="ROI - Default levers and Summary PDF changes"/>
        <s v="Angular upgrade version 19 to version 21 - 9th May"/>
        <s v="IMS Modernization common screens"/>
        <n v="0"/>
        <s v="CCI delta against target margin(27%) technical change"/>
        <s v="CXTA Fields in Reporting Layer - Full Coverage"/>
        <s v="Additional Fields in Reporting Layer"/>
        <s v="Addition of Deal Hierarchy Details in Pipeline Extract Report"/>
        <s v="AMS and SI Key Solution Metrics QlikView reports"/>
        <s v="Reporting &amp; Compliance - Generative AI: Enhance Year-on-Year Productivity Grid with Overall Summary Column and Informational Note"/>
        <e v="#N/A"/>
        <s v="MDA IMS Personalization - Calculation Column addition for Static tabs Under HC FTE Deal Pivot-May Release"/>
        <s v="MDA IMS Personalization - PY Report (MMP Route)- May Release"/>
        <s v="WFH ATCI/ATCP Metric Alignment with DNP Logic Across MDA KDA &amp; VC"/>
        <s v="[MDA‑AMS, BPMS, IMS]: Display OCP consumed Cumulative Productivity in Productivity Graph"/>
        <s v="MDA IMS Personalization - DNP May Release (Spill over March Release)"/>
        <s v="MDA IMS Personalization – HC Report – Append 2 New Static Tabs (May Release)"/>
        <s v="PLD - Advisory SA Role"/>
        <s v="MDA DNP Report - Display Actual values for WFH% ATCI and ATCP metrics in Cost Assumptions tab"/>
        <s v="MDA IMS Personalization - HC Report (MMP Route)- May Release"/>
        <s v="[MDA-SI, IMS &amp; BPMS]: View Release-wise &amp; Group-wise Data Across Headcount &amp; Pyramid Reports for Both OCP &amp; MMP routes"/>
        <s v="[MDA-AMS]: View Group-wise Data in Financial Summary for Both OCP &amp; MMP routes"/>
        <s v="DSP Core Solution Plan Enhancements"/>
        <s v="DSP MDA May Enhancements"/>
        <s v="Learn from past Solutions (Harvesting Solution Plan)SG wise prompt updates"/>
        <s v="[SSA - SRA] - Integration of Review Agent - SSA Chat enablement"/>
        <s v="[GenAI-SSA] Agent Info Pane updates"/>
        <s v="[Gen AI - SSA] - Prompt Library changes."/>
        <s v="[GenAI - SSA] - Solution Super Agent Additional features"/>
        <s v="[GenAI -SSA] Fortnightly PII Report Summary Email Notification to Product Owners"/>
        <s v="[GenAI-SSA] Capture Action and View Based Telemetry metric that get prompted Via SSA"/>
        <s v="[GenAI-SSA] Add Prompt Document with Attachment &amp; Extract to Instruction/Query Fields"/>
        <s v="[Gen AI - SSA] - Goal based action for RFP Sythesis"/>
        <s v="[Gen AI - SSA] - Goal based action for DLC"/>
        <s v="CDAT Gen AI Enhancements."/>
        <s v="CDAT Gen AI mail notification for Gen AI responses."/>
        <s v="[SSA - DLC] - Deal Level Canvas UI enhancements."/>
        <s v="Retrospective Learnings - Opportunity Benchmarks"/>
        <s v="SI Technology Expansion — Connected Solutions &amp; Others"/>
        <s v="QDI Jan Enhancements"/>
        <s v="S2C_UI and Role Access  changes"/>
        <s v="Security Governance in S2C"/>
        <s v="BPMS GEN AI DLC and SGC DSP Version Inclusion for the Prompts"/>
        <s v="[SSA - QDI] - Auto generation of Learnings."/>
        <s v="[SSA - SRA] - Review Agent landing page changes."/>
        <s v="[SSA - SRA]  Overall Error and Exception Handling"/>
        <s v="[Gen AI - SRA] - Notes Module"/>
        <s v="[SSA - SRA] - Self Review Enablement for Additional Service Groups (SI, IMS, BPMS)."/>
        <s v="[SSA - SRA] - Displaying appropriate error messages when DSP ingestion failed."/>
        <s v="[SSA - SRA] - Integration of DSP, MSDA and Client-Imposed Constraints."/>
        <s v="[Gen AI - SRA] - Addition of Weighted average, Score, RAG columns in the Review Output Document."/>
        <s v="[SSA - SRA] - Review response page optimization."/>
        <s v="HSP - Adding SG-wise prompts for 13 Nudge categories in HSP"/>
        <s v="[SSA - SRA] - SA Review Preparation"/>
        <s v="SSA_RFP_DLC Goal Based Agent"/>
        <s v="Umasking the Benchmark Opportunity and Demographics details in OBM"/>
        <s v="FY26 [BPMS BAU] - Productivity Updates - Employee and HR"/>
        <s v="FY26 [BPMS BAU] - Productivity Updates - Talent Services"/>
        <s v="IMS BAU - Multi Tower Pricing (OCP for SI)"/>
        <s v="MDA personalization"/>
        <s v="IMS BAU - Change Requests"/>
        <s v="UAT CRs"/>
        <s v="IMS BAU - Monthy MRDB"/>
        <s v="IMS BAU - Regression Testing"/>
        <s v="IMS BAU - Technical User Stories"/>
        <s v="PCW - IPC Toolkit Cost Update"/>
        <s v="FY26 [BPMS BAU] - Changes related to custom parameter file"/>
        <s v="DFD Routing logic update"/>
        <s v="FY26 [BPMS BAU] - DVE Naming Fix: Rename &quot;DVE Revised Report&quot; to &quot;DVE FTE Planner&quot;"/>
        <s v="FY26 [BPMS BAU] - Align INSPIRE GST File Naming with Solution Models"/>
      </sharedItems>
    </cacheField>
    <cacheField name="Feature ID" numFmtId="0">
      <sharedItems containsBlank="1" containsMixedTypes="1" containsNumber="1" containsInteger="1" minValue="0" maxValue="4485495" count="401">
        <n v="4443474"/>
        <n v="4443757"/>
        <n v="4443779"/>
        <n v="4440976"/>
        <n v="4447848"/>
        <n v="4441965"/>
        <n v="4441971"/>
        <n v="4441973"/>
        <n v="4441977"/>
        <n v="4441867"/>
        <n v="4445141"/>
        <n v="4425959"/>
        <n v="4365826"/>
        <n v="4174547"/>
        <n v="4443485"/>
        <n v="4437646"/>
        <n v="4446526"/>
        <n v="4443471"/>
        <n v="4017211"/>
        <n v="4459051"/>
        <n v="4349307"/>
        <n v="4392317"/>
        <n v="4372017"/>
        <n v="4436131"/>
        <n v="4283187"/>
        <n v="4436144"/>
        <n v="4436136"/>
        <n v="4389866"/>
        <n v="4341363"/>
        <n v="4262937"/>
        <n v="4268320"/>
        <n v="4334542"/>
        <n v="4151502"/>
        <n v="4282657"/>
        <n v="4313249"/>
        <n v="4341338"/>
        <n v="4422839"/>
        <n v="4250760"/>
        <n v="4428652"/>
        <n v="4441807"/>
        <n v="4165954"/>
        <m/>
        <n v="4446027"/>
        <n v="4446026"/>
        <n v="4429551"/>
        <n v="4432738"/>
        <n v="4446210"/>
        <n v="4420374"/>
        <n v="4437425"/>
        <n v="4446711"/>
        <n v="4434343"/>
        <n v="4437418"/>
        <n v="4437420"/>
        <n v="4437428"/>
        <n v="4439528"/>
        <n v="4440060"/>
        <n v="4392134"/>
        <n v="4441811"/>
        <n v="4438595"/>
        <n v="4439786"/>
        <n v="4439712"/>
        <n v="4446028"/>
        <n v="4443033"/>
        <n v="4446614"/>
        <n v="4439196"/>
        <n v="4319026"/>
        <n v="4161205"/>
        <n v="4311794"/>
        <n v="4372279"/>
        <n v="4387285"/>
        <n v="4366166"/>
        <n v="4386528"/>
        <n v="4330994"/>
        <n v="4232673"/>
        <n v="4327715"/>
        <n v="4341384"/>
        <n v="4366167"/>
        <n v="4331001"/>
        <n v="4446213"/>
        <n v="4446215"/>
        <n v="4452034"/>
        <n v="4444328"/>
        <n v="4413810"/>
        <n v="0"/>
        <n v="4449552"/>
        <n v="4437421"/>
        <n v="4437424"/>
        <n v="4446710"/>
        <n v="4485495"/>
        <n v="4459392"/>
        <e v="#N/A"/>
        <n v="4441711"/>
        <n v="4456095"/>
        <n v="4454588"/>
        <n v="4373965"/>
        <n v="4356899"/>
        <n v="4455343"/>
        <n v="4386527"/>
        <n v="4410599"/>
        <n v="4454772"/>
        <n v="4440653"/>
        <n v="4440901"/>
        <n v="4437844"/>
        <n v="4437200"/>
        <n v="4436327"/>
        <n v="4287584"/>
        <n v="4447241"/>
        <n v="4420090"/>
        <n v="4358170"/>
        <n v="4446398"/>
        <n v="4447234"/>
        <n v="4447238"/>
        <n v="4434675"/>
        <n v="4450308"/>
        <n v="4443461"/>
        <n v="4443465"/>
        <n v="4438558"/>
        <n v="4223629"/>
        <n v="4450105"/>
        <n v="4249003"/>
        <n v="4317766"/>
        <n v="4373584"/>
        <n v="4437199"/>
        <n v="4434514"/>
        <n v="4418789"/>
        <n v="4459031"/>
        <n v="4420088"/>
        <n v="4420081"/>
        <n v="4447242"/>
        <n v="4420814"/>
        <n v="4393834"/>
        <n v="4420086"/>
        <n v="4456146"/>
        <n v="4471096"/>
        <n v="4472827"/>
        <n v="4476840"/>
        <n v="4386636"/>
        <n v="4436246"/>
        <n v="4459024"/>
        <n v="4278295"/>
        <n v="4386339"/>
        <n v="4275871"/>
        <n v="4386335"/>
        <n v="4386333"/>
        <n v="4317300"/>
        <n v="4368214"/>
        <n v="4436379"/>
        <n v="4448487"/>
        <n v="4482777"/>
        <n v="4482781"/>
        <n v="4450212" u="1"/>
        <n v="4411167" u="1"/>
        <n v="4422271" u="1"/>
        <n v="3770067" u="1"/>
        <n v="4446883" u="1"/>
        <n v="4459583" u="1"/>
        <n v="4471473" u="1"/>
        <n v="4460637" u="1"/>
        <n v="4447812" u="1"/>
        <n v="4462171" u="1"/>
        <n v="4393835" u="1"/>
        <n v="4463633" u="1"/>
        <n v="4445149" u="1"/>
        <n v="4387279" u="1"/>
        <n v="4459888" u="1"/>
        <n v="4443794" u="1"/>
        <n v="4443786" u="1"/>
        <n v="4443788" u="1"/>
        <n v="4047082" u="1"/>
        <n v="4272030" u="1"/>
        <n v="4438543" u="1"/>
        <n v="4392075" u="1"/>
        <n v="4439491" u="1"/>
        <n v="4439284" u="1"/>
        <n v="4391929" u="1"/>
        <n v="4109361" u="1"/>
        <n v="4447628" u="1"/>
        <n v="4087259" u="1"/>
        <n v="4448139" u="1"/>
        <n v="4246864" u="1"/>
        <n v="4110659" u="1"/>
        <n v="4447066" u="1"/>
        <n v="4439524" u="1"/>
        <n v="4446333" u="1"/>
        <n v="4366165" u="1"/>
        <n v="4405953" u="1"/>
        <n v="4352723" u="1"/>
        <n v="4358702" u="1"/>
        <n v="4364046" u="1"/>
        <n v="4226586" u="1"/>
        <n v="4369027" u="1"/>
        <n v="4282653" u="1"/>
        <n v="4387609" u="1"/>
        <n v="4369575" u="1"/>
        <n v="4378908" u="1"/>
        <n v="4366466" u="1"/>
        <n v="4059417" u="1"/>
        <n v="4317843" u="1"/>
        <n v="4317244" u="1"/>
        <n v="4316934" u="1"/>
        <n v="4275381" u="1"/>
        <n v="4278081" u="1"/>
        <n v="4316945" u="1"/>
        <n v="4317373" u="1"/>
        <n v="4275996" u="1"/>
        <n v="4358815" u="1"/>
        <n v="4385939" u="1"/>
        <n v="4368357" u="1"/>
        <n v="4368359" u="1"/>
        <n v="4368361" u="1"/>
        <n v="4387610" u="1"/>
        <n v="4387613" u="1"/>
        <n v="4387615" u="1"/>
        <n v="4368954" u="1"/>
        <n v="4349735" u="1"/>
        <n v="4316104" u="1"/>
        <n v="4135829" u="1"/>
        <n v="4048583" u="1"/>
        <n v="4328940" u="1"/>
        <n v="4371748" u="1"/>
        <n v="4344500" u="1"/>
        <n v="4378932" u="1"/>
        <n v="4384974" u="1"/>
        <n v="4319934" u="1"/>
        <n v="4260380" u="1"/>
        <n v="4319932" u="1"/>
        <n v="4372101" u="1"/>
        <n v="4357664" u="1"/>
        <n v="4361786" u="1"/>
        <n v="4330816" u="1"/>
        <n v="4373741" u="1"/>
        <n v="4393292" u="1"/>
        <n v="4368560" u="1"/>
        <n v="4369470" u="1"/>
        <n v="4387681" u="1"/>
        <n v="4369453" u="1"/>
        <n v="4364399" u="1"/>
        <n v="4373652" u="1"/>
        <n v="4395058" u="1"/>
        <n v="4364390" u="1"/>
        <n v="4373561" u="1"/>
        <n v="4319556" u="1"/>
        <n v="4392680" u="1"/>
        <n v="4390945" u="1"/>
        <n v="4393838" u="1"/>
        <n v="4390197" u="1"/>
        <n v="4269015" u="1"/>
        <n v="4352766" u="1"/>
        <n v="4364026" u="1"/>
        <n v="4110461" u="1"/>
        <n v="4316161" u="1"/>
        <n v="4371812" u="1"/>
        <n v="4373529" u="1"/>
        <n v="4351343" u="1"/>
        <n v="4371602" u="1"/>
        <n v="4394114" u="1"/>
        <n v="4371610" u="1"/>
        <n v="4273057" u="1"/>
        <n v="4272104" u="1"/>
        <n v="4378855" u="1"/>
        <n v="4365879" u="1"/>
        <n v="4385941" u="1"/>
        <n v="4371914" u="1"/>
        <n v="4371834" u="1"/>
        <n v="4371836" u="1"/>
        <n v="4359602" u="1"/>
        <n v="4368157" u="1"/>
        <n v="4368212" u="1"/>
        <n v="4390100" u="1"/>
        <n v="4139936" u="1"/>
        <n v="4354186" u="1"/>
        <n v="4318937" u="1"/>
        <n v="4318876" u="1"/>
        <n v="4390112" u="1"/>
        <n v="4371605" u="1"/>
        <n v="4371607" u="1"/>
        <n v="4160933" u="1"/>
        <n v="4371753" u="1"/>
        <n v="4371783" u="1"/>
        <n v="4319034" u="1"/>
        <n v="4386347" u="1"/>
        <n v="4317352" u="1"/>
        <n v="4386334" u="1"/>
        <n v="4386341" u="1"/>
        <n v="4278294" u="1"/>
        <n v="4120361" u="1"/>
        <n v="4327472" u="1"/>
        <n v="4367340" u="1"/>
        <n v="4260483" u="1"/>
        <n v="4356728" u="1"/>
        <n v="4356901" u="1"/>
        <n v="4316947" u="1"/>
        <n v="4359406" u="1"/>
        <n v="4358863" u="1"/>
        <n v="4327171" u="1"/>
        <n v="4317765" u="1"/>
        <n v="4297381" u="1"/>
        <n v="4322578" u="1"/>
        <n v="4277388" u="1"/>
        <n v="4281663" u="1"/>
        <n v="4282777" u="1"/>
        <n v="4309721" u="1"/>
        <n v="4310296" u="1"/>
        <n v="4310219" u="1"/>
        <n v="4315968" u="1"/>
        <n v="4318935" u="1"/>
        <n v="4006005" u="1"/>
        <n v="4317678" u="1"/>
        <n v="4106427" u="1"/>
        <n v="4300535" u="1"/>
        <n v="4024945" u="1"/>
        <n v="4041211" u="1"/>
        <n v="4286469" u="1"/>
        <n v="4221721" u="1"/>
        <n v="4297379" u="1"/>
        <n v="4312426" u="1"/>
        <n v="4276810" u="1"/>
        <n v="4325869" u="1"/>
        <n v="4326891" u="1"/>
        <n v="4330841" u="1"/>
        <n v="4336238" u="1"/>
        <n v="4281722" u="1"/>
        <n v="4159336" u="1"/>
        <n v="4110843" u="1"/>
        <n v="4260486" u="1"/>
        <n v="4326894" u="1"/>
        <n v="4317001" u="1"/>
        <n v="4309648" u="1"/>
        <n v="4309637" u="1"/>
        <n v="4318286" u="1"/>
        <n v="4327952" u="1"/>
        <n v="4327966" u="1"/>
        <n v="4315825" u="1"/>
        <n v="4318922" u="1"/>
        <n v="4318945" u="1"/>
        <n v="4318920" u="1"/>
        <n v="4034031" u="1"/>
        <n v="4312443" u="1"/>
        <n v="4330383" u="1"/>
        <n v="4278753" u="1"/>
        <n v="4260487" u="1"/>
        <n v="4319598" u="1"/>
        <n v="4147777" u="1"/>
        <n v="4265971" u="1"/>
        <n v="4327196" u="1"/>
        <n v="4317767" u="1"/>
        <n v="4266045" u="1"/>
        <n v="4330819" u="1"/>
        <n v="4265616" u="1"/>
        <n v="4257059" u="1"/>
        <n v="4278604" u="1"/>
        <n v="4330936" u="1"/>
        <n v="4349807" u="1"/>
        <n v="4353738" u="1"/>
        <n v="4357547" u="1"/>
        <n v="4259041" u="1"/>
        <n v="4315766" u="1"/>
        <n v="4317877" u="1"/>
        <n v="4312254" u="1"/>
        <n v="4266011" u="1"/>
        <n v="4331510" u="1"/>
        <n v="4327720" u="1"/>
        <n v="4318153" u="1"/>
        <n v="4163171" u="1"/>
        <n v="4248291" u="1"/>
        <n v="4314178" u="1"/>
        <n v="4224870" u="1"/>
        <n v="4318938" u="1"/>
        <n v="4317845" u="1"/>
        <n v="4110807" u="1"/>
        <n v="4319574" u="1"/>
        <n v="4329399" u="1"/>
        <n v="4320928" u="1"/>
        <n v="4317981" u="1"/>
        <n v="4319023" u="1"/>
        <n v="4054252" u="1"/>
        <n v="4054262" u="1"/>
        <n v="4054292" u="1"/>
        <n v="4115170" u="1"/>
        <n v="4089704" u="1"/>
        <n v="4224175" u="1"/>
        <n v="4187404" u="1"/>
        <n v="4332300" u="1"/>
        <n v="4306621" u="1"/>
        <n v="4316944" u="1"/>
        <n v="4317432" u="1"/>
        <n v="4317371" u="1"/>
        <n v="4278502" u="1"/>
        <n v="4329298" u="1"/>
        <n v="4316958" u="1"/>
        <n v="4328640" u="1"/>
        <n v="4317310" u="1"/>
        <n v="4317357" u="1"/>
        <n v="4317342" u="1"/>
        <n v="4319792" u="1"/>
        <n v="3771652" u="1"/>
        <n v="3770073" u="1"/>
        <n v="4357110" u="1"/>
        <n v="3804356" u="1"/>
        <n v="4063730" u="1"/>
        <n v="4340066" u="1"/>
      </sharedItems>
    </cacheField>
    <cacheField name="PT Lead" numFmtId="0">
      <sharedItems containsBlank="1" count="15">
        <s v="Pirtheebaa"/>
        <s v="Rajeswari"/>
        <s v="Anand"/>
        <s v="Kavi"/>
        <s v="Himanshu"/>
        <s v="Shini"/>
        <s v="Jaya"/>
        <s v="Surbhi"/>
        <s v="Nandini"/>
        <s v="Devika"/>
        <s v="Leena"/>
        <s v="Hajara"/>
        <s v="Omkar"/>
        <s v="Vaidheki"/>
        <m/>
      </sharedItems>
    </cacheField>
    <cacheField name="Title" numFmtId="0">
      <sharedItems containsBlank="1" longText="1"/>
    </cacheField>
    <cacheField name="ID" numFmtId="0">
      <sharedItems containsBlank="1" containsMixedTypes="1" containsNumber="1" containsInteger="1" minValue="3967653" maxValue="4486268"/>
    </cacheField>
    <cacheField name="Primary Tester" numFmtId="0">
      <sharedItems containsBlank="1"/>
    </cacheField>
    <cacheField name="Secondary Tester" numFmtId="0">
      <sharedItems containsBlank="1"/>
    </cacheField>
    <cacheField name="Insprint Tester" numFmtId="0">
      <sharedItems containsBlank="1" count="126">
        <s v="Mary.jacob"/>
        <s v="Vinayak.Sangale"/>
        <s v="Saranya.datla"/>
        <m/>
        <s v="Manisha.m.sharma"/>
        <s v="namrata.g.umardand"/>
        <s v="Shalini.b.pandey"/>
        <s v="n.selvakumar"/>
        <s v="anto.aldrin.missier"/>
        <s v="shivaprasad.malekar"/>
        <s v="jabeen.iqbal"/>
        <s v="sowndarya.sowrirajan"/>
        <s v="p.mohandass"/>
        <s v="sairam.pamarthi"/>
        <s v="sai.sneha.l.malapati"/>
        <s v="k.tamilzharasu"/>
        <s v="v.b.sivakumar"/>
        <s v="n.sargurunathan"/>
        <s v="amresh.l.kumar"/>
        <s v="manisa.bid"/>
        <s v="sohana.khan"/>
        <s v="a.poobalarayen.p"/>
        <s v="sai.v.nagannapudi"/>
        <s v="sathya.senthilkumar"/>
        <s v="k.p.palanisamy"/>
        <s v="sangeetha.pandian"/>
        <s v="logapriya.govindaraj"/>
        <s v="anusha.goriparthi"/>
        <s v="ganga.m.reddy.padala"/>
        <s v="jeba.momin"/>
        <s v="s.namdev.suryawanshi"/>
        <s v="arun.thangapandian"/>
        <s v="nithish.mode"/>
        <s v="nitish.kumar.prusty"/>
        <s v="lakshmi.e.j"/>
        <s v="pavithra.b.palani"/>
        <s v="m.sheik.fusulee.a"/>
        <s v="s.manmit.vanarase"/>
        <s v="Jothika.sundaram"/>
        <s v="a.nanditha.uddaraju"/>
        <s v="sriram.a.karthikeyan"/>
        <s v="sai.Priyanka.vasa"/>
        <s v="Ayush.ad.singh"/>
        <s v="ramya.s.jayasankar"/>
        <s v="bandi.sunanda"/>
        <s v="r.yuvanitharsana"/>
        <s v="pawan.m.kumar.singh"/>
        <s v="anitha.a.ramesh"/>
        <s v="guddeti.srilekha"/>
        <s v="ihsana.p.abdulla"/>
        <s v=" "/>
        <s v="s.boya.kumarii"/>
        <s v="pujitha.r.gogireddy"/>
        <s v="divya.sree.chatla"/>
        <s v="harish.vijiyakumar"/>
        <s v="v.uma.maheswari"/>
        <s v="s.af.natarajan"/>
        <s v="suchita.bandanadam"/>
        <s v="vadde.bindu"/>
        <s v="shaik.yasin"/>
        <s v="mohammad.samreen"/>
        <s v="h.kouser"/>
        <s v="debjit.adak"/>
        <s v="reshmi.doddi"/>
        <s v="r.maheen.abu.backer"/>
        <s v="madhuri.p.nandam"/>
        <s v="naga.v.pachipulusu"/>
        <s v="bhavana.reddy.alla"/>
        <s v="hanshika.saday"/>
        <s v="nalluri.vishnupriya"/>
        <s v="r.e.muthusamy"/>
        <s v="krishna.c.kolluru"/>
        <s v="kristapati.v.reddy"/>
        <s v="Vamshi"/>
        <s v="gayatri.korikana"/>
        <s v="Sushmeta.rajkumar"/>
        <s v="haritha.bomma.reddy"/>
        <s v="navya.majji"/>
        <s v="karnati.aruna.jyothi"/>
        <s v="h.udhayakumar"/>
        <s v="Naveen.arunachalam"/>
        <s v="sujana.panigrahi"/>
        <s v="khageshwar.nayak"/>
        <s v="p.haribhau.tadke"/>
        <s v="prasanna.pandian"/>
        <s v="h.anbalagan.deepa"/>
        <s v="swati.bo.sharma"/>
        <s v="santhwana.m.r"/>
        <s v="Komal"/>
        <s v="n.g.senthil.kumar"/>
        <s v="v.w.chandrasekaran"/>
        <s v="vadde.veena.sree"/>
        <s v="kalpana.boodidha"/>
        <s v="reshma.sundar"/>
        <s v="vignesh.jagathisan"/>
        <s v="v.imdabattuni"/>
        <s v="ailla.dinesh.goud"/>
        <s v="sai.kumar.mandala"/>
        <s v="Naveen Arunachalam" u="1"/>
        <s v="m.ishwar.jaxanni" u="1"/>
        <s v="ankita.bhattacharya" u="1"/>
        <s v="m.b.sivasankaran" u="1"/>
        <s v="Sangeetha" u="1"/>
        <s v="Logapriya" u="1"/>
        <s v="Manjunath" u="1"/>
        <s v="Anusha" u="1"/>
        <s v="karpagapriya" u="1"/>
        <s v="Arun" u="1"/>
        <s v="gudetti.srilekha" u="1"/>
        <s v="suchita.bandanam" u="1"/>
        <s v="S" u="1"/>
        <s v="shivaprasad.malekar,_x000a_p.mohandass," u="1"/>
        <s v="shivaprasad.malekar,_x000a_p.mohandass,_x000a_sowndarya.sowrirajan" u="1"/>
        <s v="Abhijit.a.nandi" u="1"/>
        <s v="komal.balu.darekar" u="1"/>
        <s v="Sai Kumar" u="1"/>
        <s v="Harshitha" u="1"/>
        <s v="Aruna" u="1"/>
        <s v="Haripriya" u="1"/>
        <s v="ShaliniB.Pandey" u="1"/>
        <s v="sagarika.a.singh" u="1"/>
        <s v="shyam.pranav.vs" u="1"/>
        <s v="divya.belli" u="1"/>
        <s v="khageswar.nayak" u="1"/>
        <s v="Vinesha" u="1"/>
        <s v="Vinesha.ravi" u="1"/>
      </sharedItems>
    </cacheField>
    <cacheField name="Insprint Yes/No" numFmtId="0">
      <sharedItems containsBlank="1" count="5">
        <s v="Partial"/>
        <s v="Yes"/>
        <s v="No"/>
        <m/>
        <s v="No " u="1"/>
      </sharedItems>
    </cacheField>
    <cacheField name="If Insprint NO/Partial - Reason" numFmtId="0">
      <sharedItems containsBlank="1"/>
    </cacheField>
    <cacheField name="Pre defined No Reason" numFmtId="0">
      <sharedItems containsBlank="1" count="63">
        <s v="Email validation"/>
        <m/>
        <s v="external Integration validation"/>
        <s v="Basic email validation after just login"/>
        <s v="Technical US - Full regression Required"/>
        <s v="Everytime new User validation"/>
        <s v="Power BI report validation"/>
        <s v="Fresh Deal creation required everytime"/>
        <s v="Excel Validation"/>
        <s v="Complex user story which involves multiple screen validation and multiple roles validation and requires more time to automate"/>
        <s v="PCW User Story"/>
        <s v="Review required"/>
        <s v="Complex user story which involves multiple cost type calculation which is different for each of them"/>
        <s v="Complex KDA metrics validation in excel"/>
        <s v="User story validation for SM and Above career level"/>
        <s v="Agent SCA Testing"/>
        <s v="BPMS BAU"/>
        <s v=" "/>
        <s v="Download PPT/PDF"/>
        <s v="Removed Screen Validation cannot be automated because x path will not be found"/>
        <s v="User story requires multiple screen and roles validation and requires more time to automate"/>
        <s v="MDA Power BI to DSP Integration"/>
        <s v="New deal creation"/>
        <s v="LLM Dynamic response generation User story which is not partially automatable"/>
        <s v="Prompt Driven Testing"/>
        <s v="200+ nudges validation and resposne time greater than 15 mins"/>
        <s v="Validation of 80+ screens (GEN AI Nudge)"/>
        <s v="Multiple UI validation"/>
        <s v="Complex User story will be delivered April 28th and not enough time to complete Insprint"/>
        <s v="IMS BAU"/>
        <s v="Basic email validation" u="1"/>
        <s v="SM and Above validation required" u="1"/>
        <s v=" MMP Griddy &amp; Excel Validation" u="1"/>
        <s v="Fresh deal validation" u="1"/>
        <s v="Many nudges Validation" u="1"/>
        <s v=" Multiple complex LLM response validation testing, requires more time to automate." u="1"/>
        <s v="Technical US " u="1"/>
        <s v="Complex story with multiple roles and screens validation including PBI screens." u="1"/>
        <s v="Complex scenario and multiple validation" u="1"/>
        <s v="DL Assignment" u="1"/>
        <s v="As Discussed with Vishnu , waiting for automation team comments" u="1"/>
        <s v="Complex user story which involves multiple cost  type validation" u="1"/>
        <s v="MDA related US " u="1"/>
        <s v="Download PPT/PDF Validation" u="1"/>
        <s v="PDF Validation" u="1"/>
        <s v="Technical US" u="1"/>
        <s v="complex" u="1"/>
        <s v="RAG Staus validation depends Power BI" u="1"/>
        <s v="Requirment in progress" u="1"/>
        <s v="Complex story to automate in insprint - can be covered in regression automation" u="1"/>
        <s v="Download PDF/PPT" u="1"/>
        <s v="External Team Integration" u="1"/>
        <s v="Too many screen validation involved and complex to automate within insprint timeline" u="1"/>
        <s v="PPT/PDF Validation" u="1"/>
        <s v="Excel functionality" u="1"/>
        <s v="Full regression required" u="1"/>
        <s v="Email functionality" u="1"/>
        <s v="One time update related" u="1"/>
        <s v="UI alignment and Font related" u="1"/>
        <s v="Prompt related testing" u="1"/>
        <s v="OBM (GEN AI) Not possible to automate" u="1"/>
        <s v="PBI report validation" u="1"/>
        <s v="Involves multiple screens " u="1"/>
      </sharedItems>
    </cacheField>
    <cacheField name="Complexity" numFmtId="0">
      <sharedItems containsBlank="1"/>
    </cacheField>
    <cacheField name="In sprint test case count" numFmtId="0">
      <sharedItems containsBlank="1" containsMixedTypes="1" containsNumber="1" containsInteger="1" minValue="1" maxValue="15"/>
    </cacheField>
    <cacheField name="If insprint YES - % of completion" numFmtId="0">
      <sharedItems containsBlank="1" containsMixedTypes="1" containsNumber="1" minValue="0" maxValue="1" count="24">
        <n v="0.05"/>
        <n v="0.1"/>
        <n v="0.2"/>
        <m/>
        <n v="0.4"/>
        <n v="0.25"/>
        <n v="0"/>
        <n v="0.15"/>
        <n v="0.8"/>
        <n v="0.45"/>
        <n v="0.35"/>
        <n v="0.6"/>
        <n v="0.9"/>
        <n v="0.3"/>
        <n v="0.7"/>
        <n v="0.5"/>
        <n v="1"/>
        <s v=" "/>
        <s v="`"/>
        <s v=" 100%"/>
        <n v="0.03"/>
        <n v="0.02"/>
        <n v="0.06"/>
        <n v="0.08" u="1"/>
      </sharedItems>
    </cacheField>
    <cacheField name="Automated cases generated from GHC" numFmtId="0">
      <sharedItems containsBlank="1" containsMixedTypes="1" containsNumber="1" minValue="0.04" maxValue="56"/>
    </cacheField>
    <cacheField name="Useful Automated cases from GHC" numFmtId="0">
      <sharedItems containsBlank="1" containsMixedTypes="1" containsNumber="1" minValue="0" maxValue="30"/>
    </cacheField>
    <cacheField name="Tester created automated count (not given by GHC)" numFmtId="0">
      <sharedItems containsBlank="1" containsMixedTypes="1" containsNumber="1" minValue="0" maxValue="37"/>
    </cacheField>
    <cacheField name="Reviewed Final automation count" numFmtId="0">
      <sharedItems containsBlank="1" containsMixedTypes="1" containsNumber="1" minValue="0.01" maxValue="50"/>
    </cacheField>
    <cacheField name="Coverage for automated test case from GHC%" numFmtId="0">
      <sharedItems containsBlank="1" containsMixedTypes="1" containsNumber="1" minValue="0.05" maxValue="80"/>
    </cacheField>
    <cacheField name="Accuracy of Automated Test case from GHC%" numFmtId="0">
      <sharedItems containsBlank="1" containsMixedTypes="1" containsNumber="1" minValue="0.02" maxValue="90"/>
    </cacheField>
    <cacheField name="Test Planning" numFmtId="0">
      <sharedItems containsBlank="1" count="5">
        <s v="Completed"/>
        <s v="Not Started"/>
        <m/>
        <s v="In Progress"/>
        <s v="Inprogress" u="1"/>
      </sharedItems>
    </cacheField>
    <cacheField name="BA Review" numFmtId="0">
      <sharedItems containsBlank="1" count="5">
        <s v="Completed"/>
        <s v="Not Started"/>
        <s v="In Progress"/>
        <m/>
        <s v="inprogress" u="1"/>
      </sharedItems>
    </cacheField>
    <cacheField name="TFS upload" numFmtId="0">
      <sharedItems containsBlank="1"/>
    </cacheField>
    <cacheField name="PT Status" numFmtId="0">
      <sharedItems containsBlank="1"/>
    </cacheField>
    <cacheField name="Manual Test cases generated from GHC" numFmtId="0">
      <sharedItems containsBlank="1" containsMixedTypes="1" containsNumber="1" containsInteger="1" minValue="5" maxValue="95"/>
    </cacheField>
    <cacheField name="Useful Test cases from GHC" numFmtId="0">
      <sharedItems containsBlank="1" containsMixedTypes="1" containsNumber="1" containsInteger="1" minValue="0" maxValue="68"/>
    </cacheField>
    <cacheField name="Tester Created test case count" numFmtId="0">
      <sharedItems containsBlank="1" containsMixedTypes="1" containsNumber="1" containsInteger="1" minValue="0" maxValue="36"/>
    </cacheField>
    <cacheField name="Reviwed Final Test case count" numFmtId="0">
      <sharedItems containsBlank="1" containsMixedTypes="1" containsNumber="1" containsInteger="1" minValue="2" maxValue="67"/>
    </cacheField>
    <cacheField name="Coverage for Manual Test cases from GHC%" numFmtId="0">
      <sharedItems containsBlank="1" containsMixedTypes="1" containsNumber="1" minValue="0.1" maxValue="100"/>
    </cacheField>
    <cacheField name="Accuracy for Manual test cases from GHC%" numFmtId="0">
      <sharedItems containsBlank="1" containsMixedTypes="1" containsNumber="1" minValue="0.05" maxValue="100"/>
    </cacheField>
    <cacheField name="TFS state" numFmtId="0">
      <sharedItems containsBlank="1"/>
    </cacheField>
    <cacheField name="Passed" numFmtId="0">
      <sharedItems containsString="0" containsBlank="1" containsNumber="1" containsInteger="1" minValue="0" maxValue="66"/>
    </cacheField>
    <cacheField name="Failed" numFmtId="0">
      <sharedItems containsString="0" containsBlank="1" containsNumber="1" containsInteger="1" minValue="0" maxValue="10"/>
    </cacheField>
    <cacheField name="Blocked" numFmtId="0">
      <sharedItems containsString="0" containsBlank="1" containsNumber="1" containsInteger="1" minValue="0" maxValue="53"/>
    </cacheField>
    <cacheField name="Not Run" numFmtId="0">
      <sharedItems containsString="0" containsBlank="1" containsNumber="1" containsInteger="1" minValue="0" maxValue="67"/>
    </cacheField>
    <cacheField name="Total" numFmtId="0">
      <sharedItems containsString="0" containsBlank="1" containsNumber="1" containsInteger="1" minValue="0" maxValue="68"/>
    </cacheField>
    <cacheField name="Execution %" numFmtId="0">
      <sharedItems containsString="0" containsBlank="1" containsNumber="1" minValue="0" maxValue="1"/>
    </cacheField>
    <cacheField name="Pass %" numFmtId="0">
      <sharedItems containsString="0" containsBlank="1" containsNumber="1" minValue="0" maxValue="1"/>
    </cacheField>
    <cacheField name="Comments" numFmtId="0">
      <sharedItems containsBlank="1" containsMixedTypes="1" containsNumber="1" containsInteger="1" minValue="4487642" maxValue="4487642"/>
    </cacheField>
    <cacheField name="Node Name" numFmtId="0">
      <sharedItems containsBlank="1" containsMixedTypes="1" containsNumber="1" containsInteger="1" minValue="0" maxValue="0" count="53">
        <s v="MYISP_Revamp_UI"/>
        <s v="TechWarriors"/>
        <s v="GoRetro"/>
        <s v="TechPhantoms"/>
        <m/>
        <s v="CodeCrafters"/>
        <s v="BPMSBloggers"/>
        <s v="NGTransformers"/>
        <s v="HustleHub"/>
        <s v="TechMavericks"/>
        <s v="TechTribe"/>
        <s v="Pixel Pioneers"/>
        <s v="DevStormers"/>
        <s v="TechWizards"/>
        <s v="Tech Ensemble"/>
        <s v="TechAvengers"/>
        <s v="TechAvatar"/>
        <s v="TechSprinters"/>
        <s v="Insurgents"/>
        <s v="Simulators"/>
        <s v="BackDoorGuardians"/>
        <s v="Cognilytics"/>
        <s v="DevNinjas"/>
        <s v="TechStars"/>
        <s v="Pirates"/>
        <s v="CodeCatalyst"/>
        <s v="Pinocchio"/>
        <s v="Spartans"/>
        <s v="CodingCrusaders"/>
        <s v="CreativeCoders"/>
        <s v="GEN AI - Solution Super Agent"/>
        <s v="agentcrafters"/>
        <s v="TechCoders"/>
        <s v="Pluto"/>
        <s v="Codeplayers"/>
        <s v="TitansPlus"/>
        <s v="TechSavers"/>
        <s v="CrazyCoders"/>
        <s v="Everest"/>
        <e v="#N/A"/>
        <s v="SolutionDataLake"/>
        <s v="Ninjawarriors"/>
        <s v="Harvesting solutionPlan"/>
        <s v="GENAI-CDAT"/>
        <s v="Code Mavin"/>
        <s v="QDI - Opportunity Metrics"/>
        <s v="Solution to Contract"/>
        <s v="QualityDataInsights"/>
        <s v="Gen AI - Solution Review Agent"/>
        <s v="myISP_IMS"/>
        <s v="Simba"/>
        <s v="Pacemakers"/>
        <n v="0" u="1"/>
      </sharedItems>
    </cacheField>
    <cacheField name="MPOC" numFmtId="0">
      <sharedItems containsBlank="1" containsMixedTypes="1" containsNumber="1" containsInteger="1" minValue="0" maxValue="0" count="18">
        <s v="vikrant.r.mohite"/>
        <s v="Supriya.a.dhingra"/>
        <s v="sowjanya.kari"/>
        <m/>
        <s v="sona.job"/>
        <s v="pandidurai.ks"/>
        <s v="Francis.Deepak"/>
        <s v="mervinkumar.manickam"/>
        <s v="K.devaraj"/>
        <s v="anil.kadiri"/>
        <s v="mohanraj.a.selvaraj"/>
        <s v="nityanand.giri"/>
        <s v="m.ohlan"/>
        <s v="shwetha.shriyan"/>
        <e v="#N/A"/>
        <s v="booshan.manjunathan"/>
        <s v="n.d.krishnakumar"/>
        <n v="0"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6">
  <r>
    <s v="Learn"/>
    <x v="0"/>
    <x v="0"/>
    <x v="0"/>
    <s v="As a myISP user, I want to see &quot;BPMS&quot; as a support option alongside AMS, SI, and IMS in both the &quot;Email&quot; and &quot;Raise a Ticket&quot; support sections on all 10-step screens. So that I can easily raise BPMS-related support requests."/>
    <n v="4435598"/>
    <s v="Mary"/>
    <s v="Janardhan/Sadhik"/>
    <x v="0"/>
    <x v="0"/>
    <s v="Email Functionality included.Till email functionality we can automate"/>
    <x v="0"/>
    <s v="Medium"/>
    <n v="5"/>
    <x v="0"/>
    <n v="20"/>
    <n v="5"/>
    <n v="1"/>
    <m/>
    <m/>
    <m/>
    <x v="0"/>
    <x v="0"/>
    <s v="Completed"/>
    <s v="Completed"/>
    <n v="55"/>
    <n v="11"/>
    <n v="0"/>
    <n v="11"/>
    <n v="0.95"/>
    <n v="0.8"/>
    <s v="Test Complete"/>
    <n v="11"/>
    <n v="0"/>
    <n v="0"/>
    <n v="0"/>
    <n v="11"/>
    <n v="1"/>
    <n v="1"/>
    <m/>
    <x v="0"/>
    <x v="0"/>
  </r>
  <r>
    <s v="Common"/>
    <x v="1"/>
    <x v="1"/>
    <x v="0"/>
    <s v="As an myISP user, I want the Scope Services/Offerings section to display only the security-specific services when the Opportunity RDE is set to &quot;Security&quot;, So that users see only relevant AMS and SI security services."/>
    <n v="4443754"/>
    <s v="Mary"/>
    <s v="Janardhan/Sadhik"/>
    <x v="0"/>
    <x v="1"/>
    <m/>
    <x v="1"/>
    <s v="Medium"/>
    <n v="5"/>
    <x v="0"/>
    <n v="20"/>
    <n v="5"/>
    <n v="0"/>
    <m/>
    <m/>
    <m/>
    <x v="0"/>
    <x v="1"/>
    <s v="Completed"/>
    <s v="Not Started"/>
    <n v="50"/>
    <n v="9"/>
    <n v="1"/>
    <n v="10"/>
    <n v="0.95"/>
    <n v="0.8"/>
    <s v="Active"/>
    <n v="0"/>
    <n v="0"/>
    <n v="0"/>
    <n v="10"/>
    <n v="10"/>
    <n v="0"/>
    <n v="0"/>
    <m/>
    <x v="1"/>
    <x v="1"/>
  </r>
  <r>
    <s v="Common "/>
    <x v="2"/>
    <x v="2"/>
    <x v="0"/>
    <s v="As a myISP User, I should be able to view the Market Maker Enterprise Solution Architect role from MMS in MMS Team Details so that team visibility and consistent across myISP"/>
    <n v="4443764"/>
    <s v="Mary"/>
    <s v="Janardhan/Sadhik"/>
    <x v="0"/>
    <x v="0"/>
    <s v="Partial as this US includes scenario where data should flow from MMS .Data available in UI can be verified in insprint automation"/>
    <x v="2"/>
    <s v="Simple"/>
    <n v="5"/>
    <x v="1"/>
    <n v="20"/>
    <n v="5"/>
    <n v="1"/>
    <m/>
    <m/>
    <m/>
    <x v="0"/>
    <x v="0"/>
    <s v="Completed"/>
    <s v="Completed"/>
    <n v="40"/>
    <n v="7"/>
    <n v="0"/>
    <n v="7"/>
    <n v="0.95"/>
    <n v="0.8"/>
    <s v="PT In Test"/>
    <n v="7"/>
    <n v="0"/>
    <n v="0"/>
    <n v="0"/>
    <n v="7"/>
    <n v="1"/>
    <n v="1"/>
    <m/>
    <x v="2"/>
    <x v="2"/>
  </r>
  <r>
    <s v="PMO"/>
    <x v="3"/>
    <x v="3"/>
    <x v="0"/>
    <s v="[PMO] As a PMO user, I should be able to navigate to Manage / Dashboard screen with the new URL from Opportunity Workflow page"/>
    <n v="4443502"/>
    <s v="Vinayak"/>
    <s v="Saranya"/>
    <x v="1"/>
    <x v="1"/>
    <m/>
    <x v="1"/>
    <s v="Simple"/>
    <m/>
    <x v="1"/>
    <m/>
    <m/>
    <m/>
    <m/>
    <m/>
    <m/>
    <x v="0"/>
    <x v="0"/>
    <s v="Completed"/>
    <s v="Not Started"/>
    <m/>
    <m/>
    <m/>
    <m/>
    <m/>
    <m/>
    <s v="Active"/>
    <n v="0"/>
    <n v="0"/>
    <n v="0"/>
    <n v="7"/>
    <n v="7"/>
    <n v="0"/>
    <n v="0"/>
    <m/>
    <x v="1"/>
    <x v="1"/>
  </r>
  <r>
    <s v="PMO"/>
    <x v="3"/>
    <x v="3"/>
    <x v="0"/>
    <s v="[PMO] As a PMO user, I should be able to navigate to Manage / Dashboard screen with the new URL from Define Team"/>
    <n v="4443510"/>
    <s v="Vinayak"/>
    <s v="Saranya"/>
    <x v="1"/>
    <x v="1"/>
    <m/>
    <x v="1"/>
    <s v="Simple"/>
    <m/>
    <x v="1"/>
    <m/>
    <m/>
    <m/>
    <m/>
    <m/>
    <m/>
    <x v="0"/>
    <x v="0"/>
    <s v="Completed"/>
    <s v="In Progress"/>
    <m/>
    <m/>
    <m/>
    <m/>
    <m/>
    <m/>
    <s v="PT In Test"/>
    <n v="8"/>
    <n v="0"/>
    <n v="0"/>
    <n v="4"/>
    <n v="12"/>
    <n v="0.66666666666666663"/>
    <n v="1"/>
    <m/>
    <x v="3"/>
    <x v="2"/>
  </r>
  <r>
    <s v="PMO"/>
    <x v="3"/>
    <x v="3"/>
    <x v="0"/>
    <s v="[PMO] As a PMO user, I should be able to navigate to Manage / Dashboard screen with the new URL from WRWS"/>
    <n v="4443516"/>
    <s v="Vinayak"/>
    <s v="Saranya"/>
    <x v="1"/>
    <x v="1"/>
    <m/>
    <x v="1"/>
    <s v="Simple"/>
    <m/>
    <x v="1"/>
    <m/>
    <m/>
    <m/>
    <m/>
    <m/>
    <m/>
    <x v="0"/>
    <x v="0"/>
    <s v="Completed"/>
    <s v="Not Started"/>
    <m/>
    <m/>
    <m/>
    <m/>
    <m/>
    <m/>
    <s v="New"/>
    <n v="0"/>
    <n v="0"/>
    <n v="0"/>
    <n v="6"/>
    <n v="6"/>
    <n v="0"/>
    <n v="0"/>
    <m/>
    <x v="1"/>
    <x v="1"/>
  </r>
  <r>
    <s v="PMO"/>
    <x v="3"/>
    <x v="3"/>
    <x v="0"/>
    <s v="[PMO] As a PMO user, I should be able to navigate to Manage screen with the new URL"/>
    <n v="4440990"/>
    <s v="Vinayak"/>
    <s v="Saranya"/>
    <x v="2"/>
    <x v="1"/>
    <m/>
    <x v="1"/>
    <s v="Simple"/>
    <n v="2"/>
    <x v="2"/>
    <m/>
    <m/>
    <m/>
    <m/>
    <m/>
    <m/>
    <x v="0"/>
    <x v="0"/>
    <s v="Completed"/>
    <s v="Not Started"/>
    <m/>
    <m/>
    <m/>
    <m/>
    <m/>
    <m/>
    <s v="In Development"/>
    <n v="0"/>
    <n v="0"/>
    <n v="0"/>
    <n v="12"/>
    <n v="12"/>
    <n v="0"/>
    <n v="0"/>
    <m/>
    <x v="2"/>
    <x v="2"/>
  </r>
  <r>
    <s v="PMO"/>
    <x v="3"/>
    <x v="3"/>
    <x v="0"/>
    <s v="[PMO] As a PMO user, I should be able to navigate to PMO Dashboard screen with the new URL"/>
    <n v="4441001"/>
    <s v="Vinayak"/>
    <s v="Saranya"/>
    <x v="2"/>
    <x v="1"/>
    <m/>
    <x v="1"/>
    <s v="Medium"/>
    <n v="2"/>
    <x v="2"/>
    <m/>
    <m/>
    <m/>
    <m/>
    <m/>
    <m/>
    <x v="0"/>
    <x v="0"/>
    <s v="Completed"/>
    <s v="Not Started"/>
    <m/>
    <m/>
    <m/>
    <m/>
    <m/>
    <m/>
    <s v="In Development"/>
    <n v="0"/>
    <n v="0"/>
    <n v="0"/>
    <n v="4"/>
    <n v="4"/>
    <n v="0"/>
    <n v="0"/>
    <m/>
    <x v="2"/>
    <x v="2"/>
  </r>
  <r>
    <s v="myCalendar"/>
    <x v="4"/>
    <x v="4"/>
    <x v="0"/>
    <s v="**As a** Solution Architect, **I want** to verify that all fields sent from myCalendar to the SA Bandwidth Report continue to function correctly after the myCalendar revamp changes, **So that** the SA Bandwidth Report accurately reflects all related data"/>
    <n v="4467824"/>
    <s v="Mary"/>
    <s v="Janardhan/Sadhik"/>
    <x v="1"/>
    <x v="1"/>
    <m/>
    <x v="1"/>
    <s v="Medium"/>
    <m/>
    <x v="0"/>
    <m/>
    <m/>
    <m/>
    <m/>
    <m/>
    <m/>
    <x v="0"/>
    <x v="1"/>
    <s v="Completed"/>
    <s v="Not Started"/>
    <n v="56"/>
    <n v="37"/>
    <n v="0"/>
    <n v="37"/>
    <n v="0.95"/>
    <n v="0.8"/>
    <s v="Active"/>
    <n v="0"/>
    <n v="0"/>
    <n v="0"/>
    <n v="37"/>
    <n v="37"/>
    <n v="0"/>
    <n v="0"/>
    <m/>
    <x v="4"/>
    <x v="3"/>
  </r>
  <r>
    <s v="BPMS Onboarding"/>
    <x v="5"/>
    <x v="5"/>
    <x v="0"/>
    <s v="As a Business User, I should receive Raise Request emails with standardized deal value and date formats so that information is clear and consistent"/>
    <n v="4441959"/>
    <s v="Vinayak"/>
    <s v="Saranya"/>
    <x v="3"/>
    <x v="2"/>
    <s v="All the Acceptance Criteria validation is required particularly in Email body templete so can not be automatable"/>
    <x v="3"/>
    <m/>
    <m/>
    <x v="3"/>
    <m/>
    <m/>
    <m/>
    <m/>
    <m/>
    <m/>
    <x v="0"/>
    <x v="0"/>
    <s v="Completed"/>
    <s v="In Progress"/>
    <m/>
    <m/>
    <m/>
    <m/>
    <m/>
    <m/>
    <s v="PT In Test"/>
    <n v="5"/>
    <n v="0"/>
    <n v="0"/>
    <n v="2"/>
    <n v="7"/>
    <n v="0.7142857142857143"/>
    <n v="1"/>
    <m/>
    <x v="3"/>
    <x v="2"/>
  </r>
  <r>
    <s v="Common"/>
    <x v="6"/>
    <x v="6"/>
    <x v="0"/>
    <s v="As a Business User, I should be able to enter special characters, spaces, and bullet-point text for all 5 Opportunity on a Page questions so that I can capture complete client context clearly"/>
    <n v="4441970"/>
    <s v="Mary"/>
    <s v="Janardhan/Sadhik"/>
    <x v="0"/>
    <x v="1"/>
    <m/>
    <x v="1"/>
    <s v="Medium"/>
    <n v="5"/>
    <x v="0"/>
    <n v="20"/>
    <n v="5"/>
    <n v="1"/>
    <m/>
    <m/>
    <m/>
    <x v="0"/>
    <x v="1"/>
    <s v="Completed"/>
    <s v="Not Started"/>
    <n v="70"/>
    <n v="7"/>
    <n v="0"/>
    <n v="7"/>
    <n v="0.95"/>
    <n v="0.8"/>
    <s v="Active"/>
    <n v="0"/>
    <n v="0"/>
    <n v="0"/>
    <n v="7"/>
    <n v="7"/>
    <n v="0"/>
    <n v="0"/>
    <m/>
    <x v="1"/>
    <x v="1"/>
  </r>
  <r>
    <s v="Common"/>
    <x v="7"/>
    <x v="7"/>
    <x v="0"/>
    <s v="As a Business User, I should see Stage Update Date on the Timeline screen under View MMS Details so that the latest stage change information is visible and fetched from the correct DB mapping"/>
    <n v="4441972"/>
    <s v="Mary"/>
    <s v="Janardhan/Sadhik"/>
    <x v="0"/>
    <x v="0"/>
    <s v="DB Change in UI we can just check the date is displaying or not as part of insprint"/>
    <x v="4"/>
    <s v="Simple"/>
    <n v="5"/>
    <x v="4"/>
    <n v="31"/>
    <n v="5"/>
    <n v="0"/>
    <m/>
    <m/>
    <m/>
    <x v="0"/>
    <x v="0"/>
    <s v="Completed"/>
    <s v="Completed"/>
    <n v="36"/>
    <n v="7"/>
    <n v="0"/>
    <n v="7"/>
    <n v="0.95"/>
    <n v="0.8"/>
    <s v="Test Complete"/>
    <n v="7"/>
    <n v="0"/>
    <n v="0"/>
    <n v="0"/>
    <n v="7"/>
    <n v="1"/>
    <n v="1"/>
    <m/>
    <x v="2"/>
    <x v="2"/>
  </r>
  <r>
    <s v="Common"/>
    <x v="8"/>
    <x v="8"/>
    <x v="0"/>
    <s v="As a Business User, I should see the Deal Hierarchy info text at the right-bottom of the MMS Details screen so that the message is visible without disturbing the data grid"/>
    <n v="4441975"/>
    <s v="Mary"/>
    <s v="Janardhan/Sadhik"/>
    <x v="0"/>
    <x v="1"/>
    <m/>
    <x v="1"/>
    <s v="Simple"/>
    <n v="5"/>
    <x v="5"/>
    <n v="21"/>
    <n v="5"/>
    <n v="0"/>
    <m/>
    <m/>
    <m/>
    <x v="0"/>
    <x v="0"/>
    <s v="Completed"/>
    <s v="Completed"/>
    <n v="56"/>
    <n v="14"/>
    <n v="0"/>
    <n v="14"/>
    <n v="0.95"/>
    <n v="0.8"/>
    <s v="Test Complete"/>
    <n v="14"/>
    <n v="0"/>
    <n v="0"/>
    <n v="0"/>
    <n v="14"/>
    <n v="1"/>
    <n v="1"/>
    <m/>
    <x v="2"/>
    <x v="2"/>
  </r>
  <r>
    <s v="PMO"/>
    <x v="3"/>
    <x v="3"/>
    <x v="0"/>
    <s v="[PMO] As a PMO user, I should be able to navigate to PMOInterimCreation(Sample Deal) screen with the new URL"/>
    <n v="4441883"/>
    <s v="Vinayak"/>
    <s v="Saranya"/>
    <x v="2"/>
    <x v="1"/>
    <m/>
    <x v="1"/>
    <s v="Medium"/>
    <n v="2"/>
    <x v="2"/>
    <m/>
    <m/>
    <m/>
    <m/>
    <m/>
    <m/>
    <x v="0"/>
    <x v="0"/>
    <s v="Completed"/>
    <s v="Not Started"/>
    <m/>
    <m/>
    <m/>
    <m/>
    <m/>
    <m/>
    <s v="In Development"/>
    <n v="0"/>
    <n v="0"/>
    <n v="0"/>
    <n v="7"/>
    <n v="7"/>
    <n v="0"/>
    <n v="0"/>
    <m/>
    <x v="2"/>
    <x v="2"/>
  </r>
  <r>
    <s v="SA Team manager"/>
    <x v="9"/>
    <x v="9"/>
    <x v="0"/>
    <s v="As a SA Team Manager user, I want Deployment, Capability, and Alignment fields to behave conditionally and dependently on the SA Team Manager screen so that selections are accurate and consistent."/>
    <n v="4441886"/>
    <s v="Manisha"/>
    <s v="Namrata"/>
    <x v="4"/>
    <x v="1"/>
    <m/>
    <x v="1"/>
    <s v="Medium"/>
    <m/>
    <x v="6"/>
    <m/>
    <m/>
    <m/>
    <m/>
    <m/>
    <m/>
    <x v="0"/>
    <x v="0"/>
    <s v="Not Started"/>
    <s v="In Progress"/>
    <m/>
    <m/>
    <m/>
    <m/>
    <m/>
    <m/>
    <s v="PT In Test"/>
    <n v="0"/>
    <n v="0"/>
    <n v="0"/>
    <n v="25"/>
    <n v="25"/>
    <n v="0"/>
    <n v="0"/>
    <m/>
    <x v="2"/>
    <x v="2"/>
  </r>
  <r>
    <s v="SA Team manager"/>
    <x v="9"/>
    <x v="9"/>
    <x v="0"/>
    <s v="As a user registering through the Register Now pop‑up, I want conditional auto‑population and searchable alignment for Operations deployment so that I can complete registration accurately."/>
    <n v="4441890"/>
    <s v="Manisha"/>
    <s v="Namrata"/>
    <x v="3"/>
    <x v="2"/>
    <s v="Register Now is 1 time activity, which can't be enabled everytime in all the env's. Not feasible to automate"/>
    <x v="5"/>
    <m/>
    <m/>
    <x v="3"/>
    <m/>
    <m/>
    <m/>
    <m/>
    <m/>
    <m/>
    <x v="0"/>
    <x v="0"/>
    <s v="Not Started"/>
    <s v="In Progress"/>
    <m/>
    <m/>
    <m/>
    <m/>
    <m/>
    <m/>
    <s v="Test Complete"/>
    <n v="0"/>
    <n v="0"/>
    <n v="0"/>
    <n v="0"/>
    <n v="0"/>
    <n v="0"/>
    <n v="0"/>
    <m/>
    <x v="2"/>
    <x v="2"/>
  </r>
  <r>
    <s v="SA Team manager"/>
    <x v="9"/>
    <x v="9"/>
    <x v="0"/>
    <s v="As a PMO , I want conditional auto‑population and searchable alignment for Operations in pending user requests tab so that requests are reviewed and processed accurately."/>
    <n v="4441892"/>
    <s v="Manisha"/>
    <s v="Namrata"/>
    <x v="3"/>
    <x v="2"/>
    <s v="Register Now is 1 time activity, which can't be enabled everytime in all the env's. Not feasible to automate"/>
    <x v="5"/>
    <m/>
    <m/>
    <x v="3"/>
    <m/>
    <m/>
    <m/>
    <m/>
    <m/>
    <m/>
    <x v="0"/>
    <x v="0"/>
    <s v="Not Started"/>
    <s v="In Progress"/>
    <m/>
    <m/>
    <m/>
    <m/>
    <m/>
    <m/>
    <s v="Test Complete"/>
    <n v="0"/>
    <n v="0"/>
    <n v="0"/>
    <n v="0"/>
    <n v="0"/>
    <n v="0"/>
    <n v="0"/>
    <m/>
    <x v="2"/>
    <x v="2"/>
  </r>
  <r>
    <s v="myISP"/>
    <x v="10"/>
    <x v="10"/>
    <x v="0"/>
    <s v="As a Solution Architect, I want the Estimators screen's Create and Edit Estimator popups to have improved usability, So that I can efficiently view, enter, and review workstream hours without confusion or excessive scrolling."/>
    <n v="4424629"/>
    <s v="Manisha"/>
    <s v="Namrata"/>
    <x v="3"/>
    <x v="2"/>
    <s v="Realted to design changes need to check the column gaps between the grid .Not feasible to automate"/>
    <x v="5"/>
    <m/>
    <m/>
    <x v="3"/>
    <m/>
    <m/>
    <m/>
    <m/>
    <m/>
    <m/>
    <x v="0"/>
    <x v="0"/>
    <s v="Not Started"/>
    <s v="Not Started"/>
    <m/>
    <m/>
    <m/>
    <m/>
    <m/>
    <m/>
    <s v="Active"/>
    <n v="0"/>
    <n v="0"/>
    <n v="0"/>
    <n v="0"/>
    <n v="0"/>
    <n v="0"/>
    <n v="0"/>
    <m/>
    <x v="1"/>
    <x v="1"/>
  </r>
  <r>
    <s v="SA Team manager"/>
    <x v="11"/>
    <x v="11"/>
    <x v="0"/>
    <s v="As a PMO, I want Full Time SA, Reports to Lead, and Comments to be mandatory in Pending User Request tab so that incomplete registrations are not processed"/>
    <n v="4425965"/>
    <s v="Manisha"/>
    <s v="Namrata"/>
    <x v="3"/>
    <x v="2"/>
    <s v="Register Now is 1 time activity, which can't be enabled everytime in all the env's. Not feasible to automate"/>
    <x v="5"/>
    <m/>
    <m/>
    <x v="3"/>
    <m/>
    <m/>
    <m/>
    <m/>
    <m/>
    <m/>
    <x v="0"/>
    <x v="0"/>
    <s v="Not Started"/>
    <s v="In Progress"/>
    <m/>
    <m/>
    <m/>
    <m/>
    <m/>
    <m/>
    <s v="Test Complete"/>
    <n v="0"/>
    <n v="0"/>
    <n v="0"/>
    <n v="0"/>
    <n v="0"/>
    <n v="0"/>
    <n v="0"/>
    <m/>
    <x v="2"/>
    <x v="2"/>
  </r>
  <r>
    <s v="SA Team manager"/>
    <x v="11"/>
    <x v="11"/>
    <x v="0"/>
    <s v="As an SA Team Manager, I want Full Time SA, Reports to Lead, and Comments to be mandatory in the SA Team Manager tab so that incomplete registrations are not processed"/>
    <n v="4425971"/>
    <s v="Manisha"/>
    <s v="Namrata"/>
    <x v="5"/>
    <x v="1"/>
    <m/>
    <x v="1"/>
    <s v="Complex"/>
    <m/>
    <x v="0"/>
    <m/>
    <m/>
    <m/>
    <m/>
    <m/>
    <m/>
    <x v="0"/>
    <x v="0"/>
    <s v="Not Started"/>
    <s v="In Progress"/>
    <m/>
    <m/>
    <m/>
    <m/>
    <m/>
    <m/>
    <s v="Test Complete"/>
    <n v="0"/>
    <n v="0"/>
    <n v="0"/>
    <n v="20"/>
    <n v="20"/>
    <n v="0"/>
    <n v="0"/>
    <m/>
    <x v="2"/>
    <x v="2"/>
  </r>
  <r>
    <s v="myISP Enhancements"/>
    <x v="12"/>
    <x v="12"/>
    <x v="0"/>
    <s v="As a myISP User, I want to Add &quot;Sync All from MMS&quot; button for an Opportunity in (Opportunity On A Page) under WRWS to sync all 5  answers from MMS to myISP so that user can get the answers in in one go."/>
    <n v="4358782"/>
    <s v="Vinayak"/>
    <s v="Saranya"/>
    <x v="1"/>
    <x v="1"/>
    <m/>
    <x v="1"/>
    <s v="Medium"/>
    <m/>
    <x v="1"/>
    <m/>
    <m/>
    <m/>
    <m/>
    <m/>
    <m/>
    <x v="0"/>
    <x v="0"/>
    <s v="Completed"/>
    <s v="Not Started"/>
    <m/>
    <m/>
    <m/>
    <m/>
    <m/>
    <m/>
    <s v="Active"/>
    <n v="0"/>
    <n v="0"/>
    <n v="0"/>
    <n v="24"/>
    <n v="24"/>
    <n v="0"/>
    <n v="0"/>
    <m/>
    <x v="1"/>
    <x v="1"/>
  </r>
  <r>
    <s v="WRWS"/>
    <x v="13"/>
    <x v="13"/>
    <x v="0"/>
    <s v="As a myISP user I should be able to see expand and collapse icon in WRWS screen as per UI revamp standards"/>
    <n v="4174624"/>
    <s v="Vinayak"/>
    <s v="Saranya"/>
    <x v="0"/>
    <x v="1"/>
    <m/>
    <x v="1"/>
    <s v="Simple"/>
    <n v="15"/>
    <x v="4"/>
    <n v="28"/>
    <n v="14"/>
    <n v="1"/>
    <n v="15"/>
    <n v="0.95"/>
    <n v="0.9"/>
    <x v="0"/>
    <x v="0"/>
    <s v="Completed"/>
    <s v="Not Started"/>
    <m/>
    <m/>
    <m/>
    <m/>
    <m/>
    <m/>
    <s v="Active"/>
    <n v="0"/>
    <n v="0"/>
    <n v="0"/>
    <n v="10"/>
    <n v="10"/>
    <n v="0"/>
    <n v="0"/>
    <m/>
    <x v="1"/>
    <x v="1"/>
  </r>
  <r>
    <s v="myISP Enhancements"/>
    <x v="12"/>
    <x v="12"/>
    <x v="0"/>
    <s v="As a myISP User, I want to view the definitions of the various &quot;Service &quot;on Hover in Service / Offerings section under WRWS so that acceptance criteria are achieved"/>
    <n v="4271493"/>
    <s v="Vinayak"/>
    <s v="Saranya"/>
    <x v="2"/>
    <x v="1"/>
    <m/>
    <x v="1"/>
    <s v="Medium"/>
    <n v="2"/>
    <x v="2"/>
    <m/>
    <m/>
    <m/>
    <m/>
    <m/>
    <m/>
    <x v="0"/>
    <x v="0"/>
    <s v="Completed"/>
    <s v="Not Started"/>
    <m/>
    <m/>
    <m/>
    <m/>
    <m/>
    <m/>
    <s v="Active"/>
    <n v="0"/>
    <n v="0"/>
    <n v="0"/>
    <n v="9"/>
    <n v="9"/>
    <n v="0"/>
    <n v="0"/>
    <m/>
    <x v="1"/>
    <x v="1"/>
  </r>
  <r>
    <s v="IMS"/>
    <x v="14"/>
    <x v="14"/>
    <x v="0"/>
    <s v="IMS: AMS: As a mySolutionPlanner user, I want to enhance the Generative AI screen with conditional non-mandatory fields for “In Progress” status, sync Agentic Productivity fields with the PMO Extract Report, and update the Gen AI Productivity info message."/>
    <n v="4443505"/>
    <s v="Shalini"/>
    <s v="Nivetha"/>
    <x v="6"/>
    <x v="1"/>
    <m/>
    <x v="1"/>
    <s v="Complex"/>
    <m/>
    <x v="0"/>
    <m/>
    <m/>
    <m/>
    <m/>
    <m/>
    <m/>
    <x v="0"/>
    <x v="0"/>
    <s v="Completed"/>
    <s v="Completed"/>
    <n v="53"/>
    <n v="19"/>
    <n v="8"/>
    <n v="27"/>
    <n v="0.75"/>
    <n v="0.7"/>
    <s v="UAT In Test"/>
    <n v="27"/>
    <n v="0"/>
    <n v="0"/>
    <n v="0"/>
    <n v="27"/>
    <n v="1"/>
    <n v="1"/>
    <s v="Delivered to UAT "/>
    <x v="5"/>
    <x v="4"/>
  </r>
  <r>
    <s v="AMS"/>
    <x v="14"/>
    <x v="14"/>
    <x v="0"/>
    <s v="AMS: As a mySolutionPlanner user, I want to enhance the Generative AI screen with conditional non-mandatory fields for “In Progress” status, sync Agentic Productivity fields with the PMO Extract Report, and update the Gen AI Productivity info message."/>
    <n v="4443486"/>
    <s v="Manisha"/>
    <s v="Namrata"/>
    <x v="4"/>
    <x v="0"/>
    <s v="PMO Reports Validation "/>
    <x v="6"/>
    <m/>
    <m/>
    <x v="6"/>
    <m/>
    <m/>
    <m/>
    <m/>
    <m/>
    <m/>
    <x v="0"/>
    <x v="0"/>
    <s v="Not Started"/>
    <s v="In Progress"/>
    <m/>
    <m/>
    <m/>
    <m/>
    <m/>
    <m/>
    <s v="UAT In Test"/>
    <n v="0"/>
    <n v="0"/>
    <n v="0"/>
    <n v="0"/>
    <n v="0"/>
    <n v="0"/>
    <n v="0"/>
    <m/>
    <x v="5"/>
    <x v="4"/>
  </r>
  <r>
    <s v="SI"/>
    <x v="14"/>
    <x v="14"/>
    <x v="0"/>
    <s v="SI: As a mySolutionPlanner user, I want to enhance the Generative AI screen with conditional non-mandatory fields for “In Progress” status, sync Agentic Productivity fields with the PMO Extract Report, and update the Gen AI Productivity info message."/>
    <n v="4443500"/>
    <s v="Vinayak"/>
    <s v="Saranya"/>
    <x v="1"/>
    <x v="1"/>
    <m/>
    <x v="1"/>
    <s v="Complex"/>
    <m/>
    <x v="1"/>
    <m/>
    <m/>
    <m/>
    <m/>
    <m/>
    <m/>
    <x v="0"/>
    <x v="0"/>
    <s v="Completed"/>
    <s v="Completed"/>
    <m/>
    <m/>
    <m/>
    <m/>
    <m/>
    <m/>
    <s v="UAT In Test"/>
    <n v="17"/>
    <n v="0"/>
    <n v="0"/>
    <n v="0"/>
    <n v="17"/>
    <n v="1"/>
    <n v="1"/>
    <m/>
    <x v="5"/>
    <x v="4"/>
  </r>
  <r>
    <s v="Reviewer Approver"/>
    <x v="15"/>
    <x v="15"/>
    <x v="0"/>
    <s v="**As a RA stakeholder user managing the Meeting Tracker   **I want** to see a warning popup when I attempt to delete a meeting that is linked to one or more reviewer/approver records in View Approval Requests  So that I am  preventing unintended data loss"/>
    <n v="4437663"/>
    <s v="Manisha"/>
    <s v="Namrata"/>
    <x v="4"/>
    <x v="1"/>
    <m/>
    <x v="1"/>
    <s v="Medium"/>
    <m/>
    <x v="6"/>
    <m/>
    <m/>
    <m/>
    <m/>
    <m/>
    <m/>
    <x v="0"/>
    <x v="0"/>
    <s v="Not Started"/>
    <s v="Completed"/>
    <m/>
    <m/>
    <m/>
    <m/>
    <m/>
    <m/>
    <s v="UAT In Test"/>
    <n v="0"/>
    <n v="0"/>
    <n v="0"/>
    <n v="0"/>
    <n v="0"/>
    <n v="0"/>
    <n v="0"/>
    <m/>
    <x v="6"/>
    <x v="4"/>
  </r>
  <r>
    <s v="Reviewer Approver"/>
    <x v="15"/>
    <x v="15"/>
    <x v="0"/>
    <s v="As a RA module stakeholder I want** to see a &quot;Send Reminder&quot; action button in the Actions Pane of the Request Grid   **So that** I can manually trigger a reminder email to the assigned Reviewer/Approver without waiting for the next automatic reminder cycle"/>
    <n v="4437636"/>
    <s v="Mary"/>
    <s v="Janardhan/Sadhik"/>
    <x v="3"/>
    <x v="2"/>
    <s v="Completely Email Scenario and includes reminder emails"/>
    <x v="3"/>
    <m/>
    <m/>
    <x v="3"/>
    <m/>
    <m/>
    <m/>
    <m/>
    <m/>
    <m/>
    <x v="0"/>
    <x v="0"/>
    <s v="Completed"/>
    <s v="Not Started"/>
    <n v="55"/>
    <n v="13"/>
    <n v="2"/>
    <n v="15"/>
    <n v="0.95"/>
    <n v="0.8"/>
    <s v="Active"/>
    <n v="0"/>
    <n v="0"/>
    <n v="0"/>
    <n v="15"/>
    <n v="15"/>
    <n v="0"/>
    <n v="0"/>
    <m/>
    <x v="6"/>
    <x v="4"/>
  </r>
  <r>
    <s v="DCSO"/>
    <x v="16"/>
    <x v="16"/>
    <x v="0"/>
    <s v="As a Delivery Lead - ATCI, I want to access the WRWS tile in read-only mode so that I can view workflow details without making any changes."/>
    <n v="4446470"/>
    <s v="Vinayak"/>
    <s v="Saranya"/>
    <x v="4"/>
    <x v="1"/>
    <m/>
    <x v="1"/>
    <m/>
    <m/>
    <x v="6"/>
    <m/>
    <m/>
    <m/>
    <m/>
    <m/>
    <m/>
    <x v="0"/>
    <x v="0"/>
    <s v="Completed"/>
    <s v="Not Started"/>
    <m/>
    <m/>
    <m/>
    <m/>
    <m/>
    <m/>
    <s v="New"/>
    <n v="0"/>
    <n v="0"/>
    <n v="0"/>
    <n v="8"/>
    <n v="8"/>
    <n v="0"/>
    <n v="0"/>
    <m/>
    <x v="1"/>
    <x v="1"/>
  </r>
  <r>
    <s v="SA Team manager"/>
    <x v="9"/>
    <x v="9"/>
    <x v="0"/>
    <s v="As an SA Team Manager user, I want to add “Ops Activation” as an option in the Alignment dropdown in Register now pop up so that operations-related users can be correctly aligned across all SA Team Manager workflows."/>
    <n v="4449855"/>
    <s v="Vinayak"/>
    <s v="Saranya"/>
    <x v="3"/>
    <x v="2"/>
    <s v="Register Now is 1 time activity, which can't be enabled everytime in all the env's. Not feasible to automate"/>
    <x v="5"/>
    <m/>
    <m/>
    <x v="3"/>
    <m/>
    <m/>
    <m/>
    <m/>
    <m/>
    <m/>
    <x v="0"/>
    <x v="0"/>
    <s v="Completed"/>
    <s v="In Progress"/>
    <m/>
    <m/>
    <m/>
    <m/>
    <m/>
    <m/>
    <s v="PT In Test"/>
    <n v="7"/>
    <n v="0"/>
    <n v="0"/>
    <n v="0"/>
    <n v="7"/>
    <n v="1"/>
    <n v="1"/>
    <m/>
    <x v="2"/>
    <x v="2"/>
  </r>
  <r>
    <s v="SA Team manager"/>
    <x v="9"/>
    <x v="9"/>
    <x v="0"/>
    <s v="As an SA Team Manager user, I want the Alignment field to support multi?select when Deployment and Capability are Operations so that multiple operational alignments can be captured accurately."/>
    <n v="4449887"/>
    <s v="Shalini"/>
    <s v="Nivetha"/>
    <x v="6"/>
    <x v="1"/>
    <m/>
    <x v="1"/>
    <s v="Medium"/>
    <m/>
    <x v="0"/>
    <m/>
    <m/>
    <m/>
    <m/>
    <m/>
    <m/>
    <x v="0"/>
    <x v="0"/>
    <s v="Completed"/>
    <s v="Not Started"/>
    <n v="30"/>
    <n v="9"/>
    <n v="3"/>
    <n v="12"/>
    <n v="0.95"/>
    <n v="0.95"/>
    <s v="In Development"/>
    <n v="0"/>
    <n v="0"/>
    <n v="0"/>
    <n v="12"/>
    <n v="12"/>
    <n v="0"/>
    <n v="0"/>
    <m/>
    <x v="2"/>
    <x v="2"/>
  </r>
  <r>
    <s v="SA Team manager"/>
    <x v="9"/>
    <x v="9"/>
    <x v="0"/>
    <s v="As an SA Team Manager user, I want the Alignment field to support multi‑select when Deployment and Capability are Operations in Register now pop, so that multiple operational alignments can be captured accurately."/>
    <n v="4450923"/>
    <s v="Shalini"/>
    <s v="Nivetha"/>
    <x v="3"/>
    <x v="2"/>
    <s v="Register Now is 1 time activity, which can't be enabled everytime in all the env's. Not feasible to automate"/>
    <x v="5"/>
    <m/>
    <m/>
    <x v="3"/>
    <m/>
    <m/>
    <m/>
    <m/>
    <m/>
    <m/>
    <x v="0"/>
    <x v="0"/>
    <s v="Completed"/>
    <s v="Not Started"/>
    <n v="40"/>
    <n v="12"/>
    <n v="0"/>
    <n v="12"/>
    <n v="1"/>
    <n v="1"/>
    <s v="In Development"/>
    <n v="0"/>
    <n v="0"/>
    <n v="0"/>
    <n v="11"/>
    <n v="11"/>
    <n v="0"/>
    <n v="0"/>
    <m/>
    <x v="2"/>
    <x v="2"/>
  </r>
  <r>
    <s v="SA Team manager"/>
    <x v="9"/>
    <x v="9"/>
    <x v="0"/>
    <s v="As an SA Team Manager user, I want the Alignment field to support multi‑select when Deployment and Capability are Operations in Pending user request tab, so that multiple operational alignments can be captured accurately."/>
    <n v="4450935"/>
    <s v="Manisha"/>
    <s v="Namrata"/>
    <x v="3"/>
    <x v="2"/>
    <s v="Register Now is 1 time activity, which can't be enabled everytime in all the env's. Not feasible to automate"/>
    <x v="5"/>
    <m/>
    <m/>
    <x v="3"/>
    <m/>
    <m/>
    <m/>
    <m/>
    <m/>
    <m/>
    <x v="0"/>
    <x v="0"/>
    <s v="Not Started"/>
    <s v="Not Started"/>
    <m/>
    <m/>
    <m/>
    <m/>
    <m/>
    <m/>
    <s v="In Development"/>
    <n v="0"/>
    <n v="0"/>
    <n v="0"/>
    <n v="17"/>
    <n v="17"/>
    <n v="0"/>
    <n v="0"/>
    <m/>
    <x v="2"/>
    <x v="2"/>
  </r>
  <r>
    <s v="SA Team manager"/>
    <x v="9"/>
    <x v="9"/>
    <x v="0"/>
    <s v="As an SA Team Manager user, I want to add “Ops Activation” as an option in the Alignment dropdown in SA team manager dashboard so that operations-related users can be correctly aligned across all SA Team Manager workflows. - Copy"/>
    <n v="4450948"/>
    <s v="Manisha"/>
    <s v="Namrata"/>
    <x v="4"/>
    <x v="1"/>
    <m/>
    <x v="1"/>
    <s v="Medium"/>
    <m/>
    <x v="6"/>
    <m/>
    <m/>
    <m/>
    <m/>
    <m/>
    <m/>
    <x v="0"/>
    <x v="0"/>
    <s v="Not Started"/>
    <s v="In Progress"/>
    <m/>
    <m/>
    <m/>
    <m/>
    <m/>
    <m/>
    <s v="PT In Test"/>
    <n v="0"/>
    <n v="0"/>
    <n v="0"/>
    <n v="7"/>
    <n v="7"/>
    <n v="0"/>
    <n v="0"/>
    <m/>
    <x v="2"/>
    <x v="2"/>
  </r>
  <r>
    <s v="SA Team manager"/>
    <x v="9"/>
    <x v="9"/>
    <x v="0"/>
    <s v="As an SA Team Manager user, I want to add “Ops Activation” as an option in the Alignment dropdown in Pending user requests tab so that operations-related users can be correctly aligned across all SA Team Manager workflows."/>
    <n v="4450949"/>
    <s v="Mary"/>
    <s v="Janardhan/Sadhik"/>
    <x v="3"/>
    <x v="2"/>
    <s v="Related to Pending request tab which will not have access."/>
    <x v="5"/>
    <m/>
    <m/>
    <x v="3"/>
    <m/>
    <m/>
    <m/>
    <m/>
    <m/>
    <m/>
    <x v="0"/>
    <x v="0"/>
    <s v="Completed"/>
    <s v="Completed"/>
    <n v="38"/>
    <n v="29"/>
    <n v="0"/>
    <n v="29"/>
    <n v="0.95"/>
    <n v="0.8"/>
    <s v="PT In Test"/>
    <n v="29"/>
    <n v="0"/>
    <n v="0"/>
    <n v="0"/>
    <n v="29"/>
    <n v="1"/>
    <n v="1"/>
    <m/>
    <x v="2"/>
    <x v="2"/>
  </r>
  <r>
    <s v="myCalendar"/>
    <x v="4"/>
    <x v="4"/>
    <x v="0"/>
    <s v="As a Solution Architect, I want to view all my saved absence entries listed in the Special Absence (Dates) column for each week row, so that I can see a summary of all logged absences and add more if needed"/>
    <n v="4450103"/>
    <s v="Shalini"/>
    <s v="Nivetha"/>
    <x v="6"/>
    <x v="1"/>
    <m/>
    <x v="1"/>
    <s v="Complex"/>
    <m/>
    <x v="0"/>
    <m/>
    <m/>
    <m/>
    <m/>
    <m/>
    <m/>
    <x v="0"/>
    <x v="0"/>
    <s v="Completed"/>
    <s v="Not Started"/>
    <n v="40"/>
    <n v="13"/>
    <n v="4"/>
    <n v="17"/>
    <n v="0.95"/>
    <n v="0.9"/>
    <s v="Active"/>
    <n v="0"/>
    <n v="0"/>
    <n v="0"/>
    <n v="15"/>
    <n v="15"/>
    <n v="0"/>
    <n v="0"/>
    <m/>
    <x v="7"/>
    <x v="2"/>
  </r>
  <r>
    <s v="myCalendar"/>
    <x v="4"/>
    <x v="4"/>
    <x v="0"/>
    <s v="As a Solution Architect, I want to edit or delete an existing absence entry from the Special Absence (Dates) column, so that I can correct or remove previously logged absence details without recreating the data from scratch"/>
    <n v="4450104"/>
    <s v="Manisha"/>
    <s v="Namrata"/>
    <x v="4"/>
    <x v="1"/>
    <m/>
    <x v="1"/>
    <s v="Medium"/>
    <m/>
    <x v="6"/>
    <m/>
    <m/>
    <m/>
    <m/>
    <m/>
    <m/>
    <x v="0"/>
    <x v="0"/>
    <s v="Not Started"/>
    <s v="Not Started"/>
    <m/>
    <m/>
    <m/>
    <m/>
    <m/>
    <m/>
    <s v="Active"/>
    <n v="0"/>
    <n v="0"/>
    <n v="0"/>
    <n v="0"/>
    <n v="0"/>
    <n v="0"/>
    <n v="0"/>
    <m/>
    <x v="7"/>
    <x v="2"/>
  </r>
  <r>
    <s v="myCalendar"/>
    <x v="4"/>
    <x v="4"/>
    <x v="0"/>
    <s v="As a Solution Architect, I want to add a Special Absence entry for a specific week on the Create Event tab, so that I can log my planned leave or absence periods with the relevant event type and date details"/>
    <n v="4449975"/>
    <s v="Mary"/>
    <s v="Janardhan/Sadhik"/>
    <x v="1"/>
    <x v="0"/>
    <s v="Includes email functionality."/>
    <x v="0"/>
    <s v="Complex"/>
    <m/>
    <x v="0"/>
    <m/>
    <m/>
    <m/>
    <m/>
    <m/>
    <m/>
    <x v="0"/>
    <x v="0"/>
    <s v="Completed"/>
    <s v="Not Started"/>
    <n v="48"/>
    <n v="34"/>
    <n v="0"/>
    <n v="34"/>
    <n v="0.95"/>
    <n v="0.8"/>
    <s v="Active"/>
    <n v="0"/>
    <n v="0"/>
    <n v="0"/>
    <n v="34"/>
    <n v="34"/>
    <n v="0"/>
    <n v="0"/>
    <m/>
    <x v="7"/>
    <x v="2"/>
  </r>
  <r>
    <s v="myCalendar"/>
    <x v="4"/>
    <x v="4"/>
    <x v="0"/>
    <s v="As a Solution Architect, I want to be navigated to the Create Event tab when I click Create event from View Events empty state, so that I can quickly enter my availability details for the selected month"/>
    <n v="4448855"/>
    <s v="Shalini"/>
    <s v="Nivetha"/>
    <x v="7"/>
    <x v="1"/>
    <m/>
    <x v="1"/>
    <s v="Medium"/>
    <m/>
    <x v="1"/>
    <m/>
    <m/>
    <m/>
    <m/>
    <m/>
    <m/>
    <x v="0"/>
    <x v="0"/>
    <s v="Completed"/>
    <s v="Not Started"/>
    <n v="51"/>
    <n v="17"/>
    <n v="4"/>
    <n v="21"/>
    <n v="0.95"/>
    <n v="0.9"/>
    <s v="Active"/>
    <n v="0"/>
    <n v="0"/>
    <n v="0"/>
    <n v="21"/>
    <n v="21"/>
    <n v="0"/>
    <n v="0"/>
    <m/>
    <x v="7"/>
    <x v="2"/>
  </r>
  <r>
    <s v="myCalendar"/>
    <x v="4"/>
    <x v="4"/>
    <x v="0"/>
    <s v="As a Solution Architect, I want to select multiple Opportunities/Tasks and add Special Absence entries per week on the Create Event tab, so that I can accurately capture my weekly availability commitments and planned leave periods"/>
    <n v="4448856"/>
    <s v="Shalini"/>
    <s v="Nivetha"/>
    <x v="6"/>
    <x v="1"/>
    <m/>
    <x v="1"/>
    <s v="Complex"/>
    <m/>
    <x v="0"/>
    <m/>
    <m/>
    <m/>
    <m/>
    <m/>
    <m/>
    <x v="0"/>
    <x v="0"/>
    <s v="Completed"/>
    <s v="Not Started"/>
    <n v="35"/>
    <n v="12"/>
    <n v="4"/>
    <n v="16"/>
    <n v="0.9"/>
    <n v="0.9"/>
    <s v="Active"/>
    <n v="0"/>
    <n v="0"/>
    <n v="0"/>
    <n v="16"/>
    <n v="16"/>
    <n v="0"/>
    <n v="0"/>
    <m/>
    <x v="7"/>
    <x v="2"/>
  </r>
  <r>
    <s v="myCalendar"/>
    <x v="4"/>
    <x v="4"/>
    <x v="0"/>
    <s v="As a solution architect, I want to land on the My availability screen on clicking of view details from manage screen, so that user can log their events."/>
    <n v="4448150"/>
    <s v="Shalini"/>
    <s v="Nivetha"/>
    <x v="7"/>
    <x v="1"/>
    <m/>
    <x v="1"/>
    <s v="Complex"/>
    <m/>
    <x v="2"/>
    <m/>
    <m/>
    <m/>
    <m/>
    <m/>
    <m/>
    <x v="0"/>
    <x v="0"/>
    <s v="Completed"/>
    <s v="Not Started"/>
    <n v="43"/>
    <n v="18"/>
    <n v="3"/>
    <n v="21"/>
    <n v="0.95"/>
    <n v="0.9"/>
    <s v="Active"/>
    <n v="0"/>
    <n v="0"/>
    <n v="0"/>
    <n v="21"/>
    <n v="21"/>
    <n v="0"/>
    <n v="0"/>
    <m/>
    <x v="7"/>
    <x v="2"/>
  </r>
  <r>
    <s v="myCalendar"/>
    <x v="4"/>
    <x v="4"/>
    <x v="0"/>
    <s v="As a solution Architect, I want My Availability to be added in Manage screen , so that user can navigate from manage screen to My Availability screen"/>
    <n v="4448151"/>
    <s v="Manisha"/>
    <s v="Namrata"/>
    <x v="5"/>
    <x v="1"/>
    <m/>
    <x v="1"/>
    <s v="Medium"/>
    <m/>
    <x v="0"/>
    <m/>
    <m/>
    <m/>
    <m/>
    <m/>
    <m/>
    <x v="0"/>
    <x v="0"/>
    <s v="Not Started"/>
    <s v="Not Started"/>
    <m/>
    <m/>
    <m/>
    <m/>
    <m/>
    <m/>
    <s v="Active"/>
    <n v="0"/>
    <n v="0"/>
    <n v="0"/>
    <n v="0"/>
    <n v="0"/>
    <n v="0"/>
    <n v="0"/>
    <m/>
    <x v="7"/>
    <x v="2"/>
  </r>
  <r>
    <s v="DCSO"/>
    <x v="16"/>
    <x v="16"/>
    <x v="0"/>
    <s v="As a Delivery Lead - ATCI/ATCP/Global, I want to access the Opportunity workflow for AMS/IMS/SI so that I can view workflow details without making any changes."/>
    <n v="4456104"/>
    <s v="Mary"/>
    <s v="Janardhan/Sadhik"/>
    <x v="0"/>
    <x v="1"/>
    <m/>
    <x v="2"/>
    <s v="Medium"/>
    <n v="5"/>
    <x v="0"/>
    <n v="20"/>
    <n v="5"/>
    <n v="0"/>
    <m/>
    <m/>
    <m/>
    <x v="0"/>
    <x v="0"/>
    <s v="Completed"/>
    <s v="Not Started"/>
    <n v="50"/>
    <n v="39"/>
    <n v="0"/>
    <n v="39"/>
    <n v="0.95"/>
    <n v="0.8"/>
    <s v="Active"/>
    <n v="0"/>
    <n v="0"/>
    <n v="0"/>
    <n v="39"/>
    <n v="39"/>
    <n v="0"/>
    <n v="0"/>
    <m/>
    <x v="1"/>
    <x v="1"/>
  </r>
  <r>
    <s v="myCalendar"/>
    <x v="4"/>
    <x v="4"/>
    <x v="0"/>
    <s v="As a Solution Architect, I want to enter my availability percentage for each week row in the Create Event tab, so that I can accurately communicate how much of my time is available for solution activities that week."/>
    <n v="4450161"/>
    <s v="Shalini"/>
    <s v="Nivetha"/>
    <x v="7"/>
    <x v="1"/>
    <m/>
    <x v="1"/>
    <s v="Complex"/>
    <m/>
    <x v="1"/>
    <m/>
    <m/>
    <m/>
    <m/>
    <m/>
    <m/>
    <x v="0"/>
    <x v="0"/>
    <s v="Completed"/>
    <s v="Not Started"/>
    <n v="12"/>
    <n v="12"/>
    <n v="0"/>
    <n v="12"/>
    <n v="0.95"/>
    <n v="0.9"/>
    <s v="Active"/>
    <n v="0"/>
    <n v="0"/>
    <n v="0"/>
    <n v="12"/>
    <n v="12"/>
    <n v="0"/>
    <n v="0"/>
    <m/>
    <x v="7"/>
    <x v="2"/>
  </r>
  <r>
    <s v="myCalendar"/>
    <x v="4"/>
    <x v="4"/>
    <x v="0"/>
    <s v="As a BPMS User, I want to fill in additional organisational details when adding an absence entry in the Create Event tab, so that the system captures OOO delegation, backup ownership, and lead assignments relevant to my role."/>
    <n v="4450197"/>
    <s v="Shalini"/>
    <s v="Nivetha"/>
    <x v="7"/>
    <x v="0"/>
    <s v="Includes email functionality "/>
    <x v="1"/>
    <s v="Complex"/>
    <m/>
    <x v="1"/>
    <m/>
    <m/>
    <m/>
    <m/>
    <m/>
    <m/>
    <x v="0"/>
    <x v="0"/>
    <s v="Completed"/>
    <s v="Not Started"/>
    <n v="50"/>
    <n v="50"/>
    <n v="1"/>
    <n v="51"/>
    <n v="0.95"/>
    <n v="0.9"/>
    <s v="Active"/>
    <n v="0"/>
    <n v="0"/>
    <n v="0"/>
    <n v="51"/>
    <n v="51"/>
    <n v="0"/>
    <n v="0"/>
    <m/>
    <x v="7"/>
    <x v="2"/>
  </r>
  <r>
    <s v="myCalendar"/>
    <x v="4"/>
    <x v="4"/>
    <x v="0"/>
    <s v="As a Solution Architect, I want to view all my saved availability events for the selected month in the View Events tab and edit any absence entry inline, so that I can review and update my calendar data without switching to the Create Event tab."/>
    <n v="4450214"/>
    <s v="Shalini"/>
    <s v="Nivetha"/>
    <x v="6"/>
    <x v="1"/>
    <m/>
    <x v="1"/>
    <s v="Complex"/>
    <m/>
    <x v="0"/>
    <m/>
    <m/>
    <m/>
    <m/>
    <m/>
    <m/>
    <x v="0"/>
    <x v="0"/>
    <s v="Completed"/>
    <s v="Not Started"/>
    <n v="21"/>
    <n v="17"/>
    <n v="1"/>
    <n v="18"/>
    <n v="0.9"/>
    <n v="0.9"/>
    <s v="Active"/>
    <n v="0"/>
    <n v="0"/>
    <n v="0"/>
    <n v="18"/>
    <n v="18"/>
    <n v="0"/>
    <n v="0"/>
    <m/>
    <x v="7"/>
    <x v="2"/>
  </r>
  <r>
    <s v="myCalendar"/>
    <x v="4"/>
    <x v="4"/>
    <x v="0"/>
    <s v="As a Solution Architect, I want an Edit Event button on the View Events screen, so that I can navigate directly to the Create Event screen to add or modify absence entries"/>
    <n v="4451718"/>
    <s v="Shalini"/>
    <s v="Nivetha"/>
    <x v="6"/>
    <x v="1"/>
    <m/>
    <x v="1"/>
    <s v="Medium"/>
    <m/>
    <x v="0"/>
    <m/>
    <m/>
    <m/>
    <m/>
    <m/>
    <m/>
    <x v="0"/>
    <x v="0"/>
    <s v="Completed"/>
    <s v="Not Started"/>
    <n v="12"/>
    <n v="12"/>
    <n v="0"/>
    <n v="12"/>
    <n v="0.95"/>
    <n v="0.95"/>
    <s v="Active"/>
    <n v="0"/>
    <n v="0"/>
    <n v="0"/>
    <n v="12"/>
    <n v="12"/>
    <n v="0"/>
    <n v="0"/>
    <m/>
    <x v="7"/>
    <x v="2"/>
  </r>
  <r>
    <s v="PMO"/>
    <x v="3"/>
    <x v="3"/>
    <x v="0"/>
    <s v="[PMO] As a PMO user, I should be able to navigate to Manage / Dashboard screen with the new URL from Estimator/Calculator"/>
    <n v="4446593"/>
    <s v="Shalini"/>
    <s v="Nivetha"/>
    <x v="6"/>
    <x v="1"/>
    <m/>
    <x v="1"/>
    <s v="Simple"/>
    <m/>
    <x v="0"/>
    <n v="20"/>
    <n v="5"/>
    <n v="2"/>
    <n v="7"/>
    <n v="0.8"/>
    <n v="0.4"/>
    <x v="0"/>
    <x v="0"/>
    <s v="Completed"/>
    <s v="Not Started"/>
    <n v="11"/>
    <n v="11"/>
    <n v="0"/>
    <n v="11"/>
    <n v="0.95"/>
    <n v="0.95"/>
    <s v="New"/>
    <n v="0"/>
    <n v="0"/>
    <n v="0"/>
    <n v="11"/>
    <n v="11"/>
    <n v="0"/>
    <n v="0"/>
    <m/>
    <x v="1"/>
    <x v="1"/>
  </r>
  <r>
    <s v="PMO"/>
    <x v="3"/>
    <x v="3"/>
    <x v="0"/>
    <s v="[PMO] As a PMO user, I should be able to navigate to Manage / Dashboard screen with the new URL from Review Approval"/>
    <n v="4446675"/>
    <s v="Manisha"/>
    <s v="Namrata"/>
    <x v="5"/>
    <x v="1"/>
    <m/>
    <x v="1"/>
    <s v="Simple"/>
    <m/>
    <x v="0"/>
    <m/>
    <m/>
    <m/>
    <m/>
    <m/>
    <m/>
    <x v="0"/>
    <x v="0"/>
    <s v="Not Started"/>
    <s v="Not Started"/>
    <m/>
    <m/>
    <m/>
    <m/>
    <m/>
    <m/>
    <s v="PT In Test"/>
    <n v="0"/>
    <n v="0"/>
    <n v="0"/>
    <n v="0"/>
    <n v="0"/>
    <n v="0"/>
    <n v="0"/>
    <m/>
    <x v="5"/>
    <x v="4"/>
  </r>
  <r>
    <s v="PMO"/>
    <x v="3"/>
    <x v="3"/>
    <x v="0"/>
    <s v="[PMO] As a PMO user, I should be able to navigate to Manage / Dashboard screen with the new URL from Transition to Delivery"/>
    <n v="4447065"/>
    <s v="Shalini"/>
    <s v="Nivetha"/>
    <x v="5"/>
    <x v="1"/>
    <m/>
    <x v="1"/>
    <s v="Simple"/>
    <m/>
    <x v="0"/>
    <m/>
    <m/>
    <m/>
    <m/>
    <m/>
    <m/>
    <x v="0"/>
    <x v="0"/>
    <s v="Completed"/>
    <s v="In Progress"/>
    <n v="20"/>
    <n v="19"/>
    <n v="0"/>
    <n v="19"/>
    <n v="0.95"/>
    <n v="0.95"/>
    <s v="PT In Test"/>
    <n v="16"/>
    <n v="0"/>
    <n v="0"/>
    <n v="3"/>
    <n v="19"/>
    <n v="0.84210526315789469"/>
    <n v="1"/>
    <m/>
    <x v="8"/>
    <x v="5"/>
  </r>
  <r>
    <s v="PMO"/>
    <x v="3"/>
    <x v="3"/>
    <x v="0"/>
    <s v="[PMO] As a PMO user, I should be able to navigate to Manage / Dashboard screen with the new URL from Solution Component - AMS"/>
    <n v="4446596"/>
    <s v="Mary"/>
    <s v="Janardhan/Sadhik"/>
    <x v="4"/>
    <x v="1"/>
    <m/>
    <x v="1"/>
    <s v="Simple"/>
    <m/>
    <x v="6"/>
    <m/>
    <m/>
    <m/>
    <m/>
    <m/>
    <m/>
    <x v="0"/>
    <x v="0"/>
    <s v="Completed"/>
    <s v="In Progress"/>
    <n v="52"/>
    <n v="20"/>
    <n v="0"/>
    <n v="20"/>
    <n v="0.95"/>
    <n v="0.8"/>
    <s v="PT In Test"/>
    <n v="1"/>
    <n v="0"/>
    <n v="0"/>
    <n v="19"/>
    <n v="20"/>
    <n v="0.05"/>
    <n v="1"/>
    <m/>
    <x v="9"/>
    <x v="6"/>
  </r>
  <r>
    <s v="Learn"/>
    <x v="17"/>
    <x v="17"/>
    <x v="0"/>
    <s v="As a myISP platform administrator I want to update the &quot;Give Feedback&quot; link across all touchpoints in myISP to point to the new feedback form So that user feedback is routed to the correct owner"/>
    <n v="4471400"/>
    <s v="Manisha"/>
    <s v="Namrata"/>
    <x v="5"/>
    <x v="1"/>
    <m/>
    <x v="1"/>
    <s v="Medium"/>
    <m/>
    <x v="0"/>
    <m/>
    <m/>
    <m/>
    <m/>
    <m/>
    <m/>
    <x v="0"/>
    <x v="0"/>
    <m/>
    <m/>
    <m/>
    <m/>
    <m/>
    <m/>
    <m/>
    <m/>
    <m/>
    <m/>
    <m/>
    <m/>
    <m/>
    <n v="0"/>
    <n v="0"/>
    <n v="0"/>
    <m/>
    <x v="4"/>
    <x v="3"/>
  </r>
  <r>
    <s v="Learn"/>
    <x v="17"/>
    <x v="17"/>
    <x v="0"/>
    <s v="As a myISP platform administrator I want to update the &quot;Give Feedback&quot; link across all touchpoints in myISP to point to the new feedback form So that user feedback is routed to the correct owner_x000a_"/>
    <n v="4450213"/>
    <s v="Manisha"/>
    <s v="Namrata"/>
    <x v="5"/>
    <x v="1"/>
    <m/>
    <x v="1"/>
    <s v="Medium"/>
    <m/>
    <x v="0"/>
    <m/>
    <m/>
    <m/>
    <m/>
    <m/>
    <m/>
    <x v="0"/>
    <x v="0"/>
    <s v="Not Started"/>
    <s v="Not Started"/>
    <m/>
    <m/>
    <m/>
    <m/>
    <m/>
    <m/>
    <s v="PT In Test"/>
    <n v="0"/>
    <n v="0"/>
    <n v="0"/>
    <n v="0"/>
    <n v="0"/>
    <n v="0"/>
    <n v="0"/>
    <m/>
    <x v="7"/>
    <x v="2"/>
  </r>
  <r>
    <s v="Auto-mailers"/>
    <x v="18"/>
    <x v="18"/>
    <x v="1"/>
    <s v="As a myISP CDAT PMO user, I want the &quot;CDAT request method&quot; column and &quot;initial mailer date&quot; column in the PMO dashboard to be automatically updated by myISP when auto mailer is triggered So that I can have accurate tracking without manual data entry"/>
    <n v="4272036"/>
    <s v="Pavithra"/>
    <s v="Sowndarya"/>
    <x v="3"/>
    <x v="2"/>
    <s v="Mailer  - Fresh deal  required"/>
    <x v="7"/>
    <m/>
    <m/>
    <x v="3"/>
    <m/>
    <m/>
    <m/>
    <m/>
    <m/>
    <m/>
    <x v="0"/>
    <x v="0"/>
    <s v="In Progress"/>
    <s v="Not Started"/>
    <n v="30"/>
    <n v="11"/>
    <n v="0"/>
    <m/>
    <m/>
    <m/>
    <s v="In Development"/>
    <n v="0"/>
    <n v="0"/>
    <n v="0"/>
    <n v="10"/>
    <n v="10"/>
    <n v="0"/>
    <n v="0"/>
    <m/>
    <x v="3"/>
    <x v="2"/>
  </r>
  <r>
    <s v="CDAT"/>
    <x v="19"/>
    <x v="19"/>
    <x v="1"/>
    <s v="As a CDAT SME user or CDAT CM SME or CDAT Reviewer, I want a new editable dropdown field &quot;Contract Submission Status&quot; on the Assessment Details page"/>
    <n v="4449651"/>
    <s v="Agnes"/>
    <s v="Shiva"/>
    <x v="8"/>
    <x v="1"/>
    <m/>
    <x v="8"/>
    <s v="Complex"/>
    <m/>
    <x v="7"/>
    <n v="12"/>
    <m/>
    <m/>
    <m/>
    <m/>
    <m/>
    <x v="0"/>
    <x v="0"/>
    <s v="In Progress"/>
    <s v="Not Started"/>
    <n v="40"/>
    <n v="9"/>
    <n v="3"/>
    <m/>
    <m/>
    <m/>
    <s v="PT In Test"/>
    <n v="0"/>
    <n v="0"/>
    <n v="0"/>
    <n v="11"/>
    <n v="11"/>
    <n v="0"/>
    <n v="0"/>
    <m/>
    <x v="10"/>
    <x v="5"/>
  </r>
  <r>
    <s v="CDAT"/>
    <x v="19"/>
    <x v="19"/>
    <x v="1"/>
    <s v="As a CDAT SME user or CDAT CM SME or CDAT Reviewer, I want the system to display a Validation Popup for Contract Submission Status During First Cut Analysis Generation"/>
    <n v="4450386"/>
    <s v="Sowndarya"/>
    <s v="Jabeen"/>
    <x v="3"/>
    <x v="2"/>
    <s v="Requires fresh deal everytime to configure"/>
    <x v="7"/>
    <m/>
    <m/>
    <x v="3"/>
    <m/>
    <m/>
    <m/>
    <m/>
    <m/>
    <m/>
    <x v="0"/>
    <x v="0"/>
    <s v="In Progress"/>
    <s v="Not Started"/>
    <n v="40"/>
    <n v="24"/>
    <n v="0"/>
    <m/>
    <m/>
    <m/>
    <s v="Ready for Test"/>
    <n v="0"/>
    <n v="0"/>
    <n v="0"/>
    <n v="24"/>
    <n v="24"/>
    <n v="0"/>
    <n v="0"/>
    <m/>
    <x v="10"/>
    <x v="5"/>
  </r>
  <r>
    <s v="CDAT"/>
    <x v="19"/>
    <x v="19"/>
    <x v="1"/>
    <s v="As a CDAT PMO, I want to Onboard BPMS Opportunities to PMO Tracker Dashboard with Filtering, MMS ID Hyperlink, and Standard PMO Edit Access"/>
    <n v="4450388"/>
    <s v="Shivaprasad"/>
    <s v="Jabeen"/>
    <x v="9"/>
    <x v="1"/>
    <m/>
    <x v="8"/>
    <m/>
    <m/>
    <x v="2"/>
    <n v="40"/>
    <m/>
    <m/>
    <m/>
    <m/>
    <m/>
    <x v="0"/>
    <x v="0"/>
    <s v="In Progress"/>
    <s v="Not Started"/>
    <n v="40"/>
    <n v="40"/>
    <n v="0"/>
    <m/>
    <m/>
    <m/>
    <s v="Ready for Test"/>
    <n v="0"/>
    <n v="0"/>
    <n v="0"/>
    <n v="40"/>
    <n v="40"/>
    <n v="0"/>
    <n v="0"/>
    <m/>
    <x v="10"/>
    <x v="5"/>
  </r>
  <r>
    <s v="CDAT"/>
    <x v="19"/>
    <x v="19"/>
    <x v="1"/>
    <s v="As a CDAT SME / CDAT Lead / CDAT Reviewer, I want to land on the Assessment Detail page via Solution to Contract Analysis"/>
    <n v="4450390"/>
    <s v="Jabeen"/>
    <s v="Shiva"/>
    <x v="10"/>
    <x v="1"/>
    <m/>
    <x v="1"/>
    <s v="Complex"/>
    <n v="15"/>
    <x v="7"/>
    <n v="33"/>
    <n v="15"/>
    <n v="1"/>
    <n v="15"/>
    <m/>
    <m/>
    <x v="0"/>
    <x v="0"/>
    <s v="In Progress"/>
    <s v="Blocked"/>
    <n v="70"/>
    <n v="53"/>
    <n v="0"/>
    <m/>
    <m/>
    <m/>
    <s v="Ready for Test"/>
    <n v="0"/>
    <n v="0"/>
    <n v="0"/>
    <n v="53"/>
    <n v="53"/>
    <n v="0"/>
    <n v="0"/>
    <m/>
    <x v="10"/>
    <x v="5"/>
  </r>
  <r>
    <s v="CDAT "/>
    <x v="19"/>
    <x v="19"/>
    <x v="1"/>
    <s v="As a CDAT user I want BPMS deals created and managed in myISP to flow seamlessly into the CDAT platform So that all BPMS deals are centrally available for assessment, tracking, review, and governance within CDAT."/>
    <n v="4392723"/>
    <s v="Jabeen"/>
    <s v="Shiva"/>
    <x v="3"/>
    <x v="2"/>
    <s v="More complex which includes multiple roles and multiple screens validation"/>
    <x v="4"/>
    <m/>
    <m/>
    <x v="3"/>
    <m/>
    <m/>
    <m/>
    <m/>
    <m/>
    <m/>
    <x v="0"/>
    <x v="0"/>
    <s v="In Progress"/>
    <s v="Blocked"/>
    <n v="40"/>
    <n v="12"/>
    <n v="0"/>
    <m/>
    <m/>
    <m/>
    <s v="Ready for Test"/>
    <n v="0"/>
    <n v="0"/>
    <n v="0"/>
    <n v="12"/>
    <n v="12"/>
    <n v="0"/>
    <n v="0"/>
    <m/>
    <x v="10"/>
    <x v="5"/>
  </r>
  <r>
    <s v="CDAT"/>
    <x v="19"/>
    <x v="19"/>
    <x v="1"/>
    <s v="As a CDAT Solution Architect (SA) I want to navigate CDAT Summary Tile for BPMS on DSP via Solution to Contract Analysis (CDAT SME Driven)"/>
    <n v="4432326"/>
    <s v="Jabeen"/>
    <s v="Shiva"/>
    <x v="3"/>
    <x v="2"/>
    <s v="More complex which includes multiple roles and multiple screens validation"/>
    <x v="9"/>
    <m/>
    <m/>
    <x v="3"/>
    <m/>
    <m/>
    <m/>
    <m/>
    <m/>
    <m/>
    <x v="0"/>
    <x v="0"/>
    <s v="In Progress"/>
    <s v="In Progress"/>
    <n v="70"/>
    <n v="62"/>
    <n v="0"/>
    <m/>
    <m/>
    <m/>
    <s v="PT In Test"/>
    <n v="17"/>
    <n v="0"/>
    <n v="0"/>
    <n v="45"/>
    <n v="62"/>
    <n v="0.27419354838709675"/>
    <n v="1"/>
    <m/>
    <x v="11"/>
    <x v="5"/>
  </r>
  <r>
    <s v="CDAT"/>
    <x v="19"/>
    <x v="19"/>
    <x v="1"/>
    <s v="As a CDAT SME / CDAT CM SME / Lead SA, I want to add comment on number of GAPS on  BPMS Assessment Outcome Screen"/>
    <n v="4450401"/>
    <s v="Agnes"/>
    <s v="Sowndarya"/>
    <x v="3"/>
    <x v="2"/>
    <s v="More complex which includes multiple roles and multiple screens validation"/>
    <x v="9"/>
    <m/>
    <m/>
    <x v="3"/>
    <m/>
    <m/>
    <m/>
    <m/>
    <m/>
    <m/>
    <x v="0"/>
    <x v="0"/>
    <s v="In Progress"/>
    <s v="Not Started"/>
    <n v="65"/>
    <n v="32"/>
    <n v="0"/>
    <m/>
    <m/>
    <m/>
    <s v="Ready for Test"/>
    <n v="0"/>
    <n v="0"/>
    <n v="0"/>
    <n v="32"/>
    <n v="32"/>
    <n v="0"/>
    <n v="0"/>
    <m/>
    <x v="10"/>
    <x v="5"/>
  </r>
  <r>
    <s v="CDAT"/>
    <x v="19"/>
    <x v="19"/>
    <x v="1"/>
    <s v="As a CDAT SME / CDAT CM SME, I want to add and manage BPMS Documents"/>
    <n v="4450402"/>
    <s v="Shivaprasad"/>
    <s v="Jabeen"/>
    <x v="9"/>
    <x v="1"/>
    <m/>
    <x v="1"/>
    <s v="Medium"/>
    <m/>
    <x v="2"/>
    <n v="38"/>
    <m/>
    <m/>
    <m/>
    <m/>
    <m/>
    <x v="0"/>
    <x v="0"/>
    <s v="In Progress"/>
    <s v="In Progress"/>
    <n v="76"/>
    <n v="11"/>
    <n v="0"/>
    <m/>
    <m/>
    <m/>
    <s v="Ready for Test"/>
    <n v="6"/>
    <n v="0"/>
    <n v="0"/>
    <n v="57"/>
    <n v="63"/>
    <n v="9.5238095238095233E-2"/>
    <n v="1"/>
    <m/>
    <x v="10"/>
    <x v="5"/>
  </r>
  <r>
    <s v="CDAT"/>
    <x v="19"/>
    <x v="19"/>
    <x v="1"/>
    <s v="As a CDAT user, I want to View Assessment Summary from Solution to Contract Analysis"/>
    <n v="4450405"/>
    <s v="Jabeen"/>
    <s v="Shiva"/>
    <x v="3"/>
    <x v="2"/>
    <s v="More complex which includes multiple roles and multiple screens validation"/>
    <x v="9"/>
    <m/>
    <m/>
    <x v="3"/>
    <m/>
    <m/>
    <m/>
    <m/>
    <m/>
    <m/>
    <x v="0"/>
    <x v="0"/>
    <s v="In Progress"/>
    <s v="Blocked"/>
    <n v="60"/>
    <n v="40"/>
    <n v="0"/>
    <m/>
    <m/>
    <m/>
    <s v="Ready for Test"/>
    <n v="0"/>
    <n v="0"/>
    <n v="0"/>
    <n v="40"/>
    <n v="40"/>
    <n v="0"/>
    <n v="0"/>
    <m/>
    <x v="10"/>
    <x v="5"/>
  </r>
  <r>
    <s v="CDAT"/>
    <x v="19"/>
    <x v="19"/>
    <x v="1"/>
    <s v="As a CDAT user, I want to View and Update Tracker Details from Solution to Contract Analysis"/>
    <n v="4450410"/>
    <s v="Shivaprasad"/>
    <s v="Jabeen"/>
    <x v="3"/>
    <x v="2"/>
    <s v="Requires fresh deal everytime to configure"/>
    <x v="7"/>
    <m/>
    <m/>
    <x v="3"/>
    <m/>
    <m/>
    <m/>
    <m/>
    <m/>
    <m/>
    <x v="0"/>
    <x v="0"/>
    <s v="In Progress"/>
    <s v="In Progress"/>
    <n v="70"/>
    <n v="68"/>
    <n v="0"/>
    <m/>
    <m/>
    <m/>
    <s v="Ready for Test"/>
    <n v="21"/>
    <n v="0"/>
    <n v="0"/>
    <n v="47"/>
    <n v="68"/>
    <n v="0.30882352941176472"/>
    <n v="1"/>
    <m/>
    <x v="10"/>
    <x v="5"/>
  </r>
  <r>
    <s v="CDAT"/>
    <x v="19"/>
    <x v="19"/>
    <x v="1"/>
    <s v="As a CDAT Lead I want to Populate BPMS Question Master Repository"/>
    <n v="4450395"/>
    <s v="Agnes"/>
    <s v="Sowndarya"/>
    <x v="11"/>
    <x v="1"/>
    <m/>
    <x v="9"/>
    <m/>
    <m/>
    <x v="7"/>
    <n v="44"/>
    <m/>
    <m/>
    <m/>
    <m/>
    <m/>
    <x v="0"/>
    <x v="0"/>
    <s v="In Progress"/>
    <s v="Not Started"/>
    <n v="49"/>
    <n v="20"/>
    <n v="0"/>
    <m/>
    <m/>
    <m/>
    <s v="Ready for Test"/>
    <n v="0"/>
    <n v="0"/>
    <n v="0"/>
    <n v="20"/>
    <n v="20"/>
    <n v="0"/>
    <n v="0"/>
    <m/>
    <x v="10"/>
    <x v="5"/>
  </r>
  <r>
    <s v="CDAT"/>
    <x v="20"/>
    <x v="20"/>
    <x v="1"/>
    <s v="As a myISP user, I want a follow‑on revenue clarification reminder 1 so that CDAT review applicability can be determined accurately."/>
    <n v="4432443"/>
    <s v="Pavithra"/>
    <s v="Sowndarya/Revisit"/>
    <x v="3"/>
    <x v="2"/>
    <s v="Mailer  - Fresh deal  required"/>
    <x v="7"/>
    <m/>
    <m/>
    <x v="3"/>
    <m/>
    <m/>
    <m/>
    <m/>
    <m/>
    <m/>
    <x v="0"/>
    <x v="0"/>
    <s v="In Progress"/>
    <s v="Not Started"/>
    <n v="60"/>
    <n v="53"/>
    <n v="0"/>
    <m/>
    <m/>
    <m/>
    <s v="In Development"/>
    <n v="0"/>
    <n v="0"/>
    <n v="0"/>
    <n v="53"/>
    <n v="53"/>
    <n v="0"/>
    <n v="0"/>
    <m/>
    <x v="3"/>
    <x v="2"/>
  </r>
  <r>
    <s v="CDAT"/>
    <x v="20"/>
    <x v="20"/>
    <x v="1"/>
    <s v="As a myISP user, I want to send CDAT Mailer – Future Dated but Won Deal Confirmation [Follow up reason]"/>
    <n v="4436336"/>
    <s v="Pavithra"/>
    <s v="Sowndarya/Revisit"/>
    <x v="3"/>
    <x v="2"/>
    <s v="Mailer  - Fresh deal  required"/>
    <x v="7"/>
    <m/>
    <m/>
    <x v="3"/>
    <m/>
    <m/>
    <m/>
    <m/>
    <m/>
    <m/>
    <x v="0"/>
    <x v="0"/>
    <s v="In Progress"/>
    <s v="Not Started"/>
    <n v="47"/>
    <n v="47"/>
    <n v="0"/>
    <m/>
    <m/>
    <m/>
    <s v="In Development"/>
    <n v="0"/>
    <n v="0"/>
    <n v="0"/>
    <n v="47"/>
    <n v="47"/>
    <n v="0"/>
    <n v="0"/>
    <m/>
    <x v="3"/>
    <x v="2"/>
  </r>
  <r>
    <s v="CDAT"/>
    <x v="20"/>
    <x v="20"/>
    <x v="1"/>
    <s v="As a myISP user, I want a follow‑on revenue clarification reminder 2 so that CDAT review applicability can be determined accurately."/>
    <n v="4437632"/>
    <s v="Pavithra"/>
    <s v="Sowndarya"/>
    <x v="3"/>
    <x v="2"/>
    <s v="Mailer  - Fresh deal  required"/>
    <x v="7"/>
    <m/>
    <m/>
    <x v="3"/>
    <m/>
    <m/>
    <m/>
    <m/>
    <m/>
    <m/>
    <x v="0"/>
    <x v="0"/>
    <s v="In Progress"/>
    <s v="Not Started"/>
    <n v="30"/>
    <n v="41"/>
    <n v="0"/>
    <m/>
    <m/>
    <m/>
    <s v="In Development"/>
    <n v="0"/>
    <n v="0"/>
    <n v="0"/>
    <n v="41"/>
    <n v="41"/>
    <n v="0"/>
    <n v="0"/>
    <m/>
    <x v="3"/>
    <x v="2"/>
  </r>
  <r>
    <s v="CDAT"/>
    <x v="20"/>
    <x v="20"/>
    <x v="1"/>
    <s v="As a myISP user, I want the system to send a First reminder deal email for CDAT‑eligible opportunities with an upcoming proposal submission date so that key stakeholders engage at the right time for CDAT readiness and review"/>
    <n v="4443793"/>
    <s v="Pavithra"/>
    <s v="Sowndarya"/>
    <x v="3"/>
    <x v="2"/>
    <s v="Mailer  - Fresh deal  required"/>
    <x v="7"/>
    <m/>
    <m/>
    <x v="3"/>
    <m/>
    <m/>
    <m/>
    <m/>
    <m/>
    <m/>
    <x v="0"/>
    <x v="0"/>
    <s v="In Progress"/>
    <s v="Not Started"/>
    <n v="57"/>
    <n v="57"/>
    <n v="0"/>
    <m/>
    <m/>
    <m/>
    <s v="In Development"/>
    <n v="0"/>
    <n v="0"/>
    <n v="0"/>
    <n v="57"/>
    <n v="57"/>
    <n v="0"/>
    <n v="0"/>
    <m/>
    <x v="3"/>
    <x v="2"/>
  </r>
  <r>
    <s v="CDAT"/>
    <x v="20"/>
    <x v="20"/>
    <x v="1"/>
    <s v="As a myISP user, I want the system to send a Second reminder email for CDAT‑eligible opportunities with an upcoming proposal submission deal date so that key stakeholders engage at the right time for CDAT readiness and review"/>
    <n v="4443800"/>
    <s v="Sowndarya"/>
    <s v="Pavithra"/>
    <x v="3"/>
    <x v="2"/>
    <s v="Mailer  - Fresh deal  required"/>
    <x v="7"/>
    <m/>
    <m/>
    <x v="3"/>
    <m/>
    <m/>
    <m/>
    <m/>
    <m/>
    <m/>
    <x v="0"/>
    <x v="0"/>
    <s v="In Progress"/>
    <s v="Not Started"/>
    <n v="50"/>
    <n v="19"/>
    <n v="0"/>
    <m/>
    <m/>
    <m/>
    <s v="In Development"/>
    <n v="0"/>
    <n v="0"/>
    <n v="0"/>
    <n v="25"/>
    <n v="25"/>
    <n v="0"/>
    <n v="0"/>
    <m/>
    <x v="3"/>
    <x v="2"/>
  </r>
  <r>
    <s v="CDAT"/>
    <x v="20"/>
    <x v="20"/>
    <x v="1"/>
    <s v="As a CDAT PMO I want reminder emails to be triggered using the correct template based on the Follow‑Up Reason and Reminder Status selected in the PMO Dashboard So that stakeholders receive accurate, context‑specific follow‑ups."/>
    <n v="4444184"/>
    <s v="Sowndarya"/>
    <s v="Pavithra"/>
    <x v="3"/>
    <x v="2"/>
    <s v="Mailer  - Fresh deal  required"/>
    <x v="7"/>
    <m/>
    <m/>
    <x v="3"/>
    <m/>
    <m/>
    <m/>
    <m/>
    <m/>
    <m/>
    <x v="0"/>
    <x v="0"/>
    <s v="In Progress"/>
    <s v="Not Started"/>
    <n v="50"/>
    <n v="32"/>
    <n v="0"/>
    <m/>
    <m/>
    <m/>
    <s v="In Development"/>
    <n v="0"/>
    <n v="0"/>
    <n v="0"/>
    <n v="32"/>
    <n v="32"/>
    <n v="0"/>
    <n v="0"/>
    <m/>
    <x v="3"/>
    <x v="2"/>
  </r>
  <r>
    <s v="CDAT Auto-mailers"/>
    <x v="20"/>
    <x v="20"/>
    <x v="1"/>
    <s v="As a CDAT system I want to trigger reminders emails based on proposal submission date that stakeholders receive timely follow‑ups. [Scenarios]"/>
    <n v="4392686"/>
    <s v="Sowndarya"/>
    <s v="Pavithra"/>
    <x v="3"/>
    <x v="2"/>
    <s v="Mailer  - Fresh deal  required"/>
    <x v="7"/>
    <m/>
    <m/>
    <x v="3"/>
    <m/>
    <m/>
    <m/>
    <m/>
    <m/>
    <m/>
    <x v="0"/>
    <x v="0"/>
    <s v="In Progress"/>
    <s v="Not Started"/>
    <n v="42"/>
    <n v="0"/>
    <n v="0"/>
    <m/>
    <m/>
    <m/>
    <s v="In Development"/>
    <n v="0"/>
    <n v="0"/>
    <n v="0"/>
    <n v="33"/>
    <n v="33"/>
    <n v="0"/>
    <n v="0"/>
    <m/>
    <x v="3"/>
    <x v="2"/>
  </r>
  <r>
    <s v="CDAT Auto-mailers"/>
    <x v="20"/>
    <x v="20"/>
    <x v="1"/>
    <s v="As a CDAT system I want to validate strict preconditions and eligibility rules before sending reminder emails So that reminders are sent only for valid, in‑scope, and pending deals."/>
    <n v="4392687"/>
    <s v="Sowndarya"/>
    <s v="Pavithra"/>
    <x v="3"/>
    <x v="2"/>
    <s v="Mailer  - Fresh deal  required"/>
    <x v="7"/>
    <m/>
    <m/>
    <x v="3"/>
    <m/>
    <m/>
    <m/>
    <m/>
    <m/>
    <m/>
    <x v="0"/>
    <x v="0"/>
    <s v="In Progress"/>
    <s v="Not Started"/>
    <n v="40"/>
    <n v="0"/>
    <n v="0"/>
    <m/>
    <m/>
    <m/>
    <s v="In Development"/>
    <n v="0"/>
    <n v="0"/>
    <n v="0"/>
    <n v="24"/>
    <n v="24"/>
    <n v="0"/>
    <n v="0"/>
    <m/>
    <x v="3"/>
    <x v="2"/>
  </r>
  <r>
    <s v="CDAT "/>
    <x v="21"/>
    <x v="21"/>
    <x v="1"/>
    <s v="As a user working on a BPMS opportunity (SA / CDAT SME / CDAT Lead / CDAT PMO / Reviewer / CM SME) I want the 9th tile CDAT SME Driven to be enabled for BPMS deals So that BPMS opportunities are consistently assessed through the standard CDAT process"/>
    <n v="4349320"/>
    <s v="Agnes"/>
    <s v="Shiva"/>
    <x v="3"/>
    <x v="2"/>
    <s v="More complex which includes multiple roles and multiple screens validation"/>
    <x v="4"/>
    <m/>
    <m/>
    <x v="3"/>
    <m/>
    <m/>
    <m/>
    <m/>
    <m/>
    <m/>
    <x v="0"/>
    <x v="0"/>
    <s v="In Progress"/>
    <s v="Not Started"/>
    <n v="42"/>
    <n v="21"/>
    <n v="0"/>
    <m/>
    <m/>
    <m/>
    <s v="Active"/>
    <n v="0"/>
    <n v="0"/>
    <n v="0"/>
    <n v="21"/>
    <n v="21"/>
    <n v="0"/>
    <n v="0"/>
    <m/>
    <x v="1"/>
    <x v="1"/>
  </r>
  <r>
    <s v="CDAT"/>
    <x v="19"/>
    <x v="19"/>
    <x v="1"/>
    <s v="As a CDAT SME / Lead SA, I want to create BPMS Version Creation, First Cut Workflow &amp; List of Areas Navigation"/>
    <n v="4450391"/>
    <s v="Jabeen"/>
    <s v="Shiva"/>
    <x v="3"/>
    <x v="2"/>
    <s v="Requires fresh deal everytime to configure"/>
    <x v="7"/>
    <m/>
    <m/>
    <x v="3"/>
    <m/>
    <m/>
    <m/>
    <m/>
    <m/>
    <m/>
    <x v="0"/>
    <x v="0"/>
    <s v="In Progress"/>
    <s v="Blocked"/>
    <n v="68"/>
    <n v="51"/>
    <n v="0"/>
    <m/>
    <m/>
    <m/>
    <s v="Ready for Test"/>
    <n v="0"/>
    <n v="0"/>
    <n v="0"/>
    <n v="51"/>
    <n v="51"/>
    <n v="0"/>
    <n v="0"/>
    <m/>
    <x v="10"/>
    <x v="5"/>
  </r>
  <r>
    <s v="CDAT"/>
    <x v="19"/>
    <x v="19"/>
    <x v="1"/>
    <s v="As a CDAT PMO user, I want the ability to upload an exported excel Upload for Edited PMO Export"/>
    <n v="4448602"/>
    <s v="Pavithra"/>
    <s v="Sowndarya"/>
    <x v="12"/>
    <x v="1"/>
    <m/>
    <x v="8"/>
    <m/>
    <m/>
    <x v="7"/>
    <n v="56"/>
    <n v="8"/>
    <n v="0"/>
    <m/>
    <m/>
    <m/>
    <x v="0"/>
    <x v="0"/>
    <s v="In Progress"/>
    <s v="Not Started"/>
    <n v="66"/>
    <n v="52"/>
    <n v="0"/>
    <n v="52"/>
    <m/>
    <m/>
    <s v="Active"/>
    <n v="0"/>
    <n v="0"/>
    <n v="0"/>
    <n v="52"/>
    <n v="52"/>
    <n v="0"/>
    <n v="0"/>
    <m/>
    <x v="10"/>
    <x v="5"/>
  </r>
  <r>
    <s v="CDAT"/>
    <x v="19"/>
    <x v="19"/>
    <x v="1"/>
    <s v="As a CDAT PMO I want to Configure BPMS Role Catalog for Define Team so that I can go ahead with CDAT flow for BPMS deals"/>
    <n v="4450399"/>
    <s v="Agnes"/>
    <s v="Pavithra"/>
    <x v="3"/>
    <x v="2"/>
    <s v="Mailer  - Fresh deal  required"/>
    <x v="7"/>
    <m/>
    <m/>
    <x v="3"/>
    <m/>
    <m/>
    <m/>
    <m/>
    <m/>
    <m/>
    <x v="0"/>
    <x v="0"/>
    <s v="In Progress"/>
    <s v="Not Started"/>
    <n v="55"/>
    <n v="19"/>
    <n v="0"/>
    <m/>
    <m/>
    <m/>
    <s v="In Development"/>
    <n v="0"/>
    <n v="0"/>
    <n v="0"/>
    <n v="19"/>
    <n v="19"/>
    <n v="0"/>
    <n v="0"/>
    <m/>
    <x v="3"/>
    <x v="2"/>
  </r>
  <r>
    <s v="Differentiation"/>
    <x v="22"/>
    <x v="22"/>
    <x v="2"/>
    <s v="As a Solution Architect I want the SDL to be updated to use Attach Calculator data in place of Differentiation So that SDL functionality remains accurate after the Differentiation screen is decommissioned"/>
    <n v="4362088"/>
    <s v="Sairam"/>
    <s v="Naveen S"/>
    <x v="13"/>
    <x v="1"/>
    <m/>
    <x v="1"/>
    <s v="Complex"/>
    <n v="1"/>
    <x v="2"/>
    <n v="4"/>
    <n v="2"/>
    <m/>
    <n v="1"/>
    <n v="0.5"/>
    <n v="0.4"/>
    <x v="0"/>
    <x v="0"/>
    <s v="In Progress"/>
    <s v="In Progress"/>
    <n v="12"/>
    <n v="3"/>
    <n v="5"/>
    <n v="8"/>
    <n v="0.4"/>
    <n v="0.3"/>
    <s v="PT In Test"/>
    <n v="6"/>
    <n v="0"/>
    <n v="0"/>
    <n v="3"/>
    <n v="9"/>
    <n v="0.66666666666666663"/>
    <n v="1"/>
    <m/>
    <x v="12"/>
    <x v="7"/>
  </r>
  <r>
    <s v="PCW"/>
    <x v="23"/>
    <x v="23"/>
    <x v="2"/>
    <s v="Handle 'Overwrite Role Type' column during carting and copying to create myISP PCW versions"/>
    <n v="4423815"/>
    <s v="Naveen S"/>
    <s v="Sneha"/>
    <x v="3"/>
    <x v="2"/>
    <s v="PCW User Story"/>
    <x v="10"/>
    <m/>
    <m/>
    <x v="3"/>
    <m/>
    <m/>
    <m/>
    <m/>
    <m/>
    <m/>
    <x v="0"/>
    <x v="2"/>
    <s v="Not Started"/>
    <s v="In Progress"/>
    <n v="30"/>
    <n v="16"/>
    <n v="4"/>
    <n v="20"/>
    <n v="0.98"/>
    <n v="1"/>
    <s v="Ready for Test"/>
    <n v="12"/>
    <n v="0"/>
    <n v="0"/>
    <n v="8"/>
    <n v="20"/>
    <n v="0.6"/>
    <n v="1"/>
    <s v="Delivered to Parallel UAT"/>
    <x v="12"/>
    <x v="7"/>
  </r>
  <r>
    <s v="OCP"/>
    <x v="24"/>
    <x v="24"/>
    <x v="2"/>
    <s v="As a SA i want to automatically update Staffing Baseline when Rate Per Hour is changed in Rate Card"/>
    <n v="4431151"/>
    <s v="Sneha"/>
    <s v="Viji"/>
    <x v="14"/>
    <x v="0"/>
    <s v="Excel related needs to generate all pricing routes, SDL,OCP,DCTA and MMP FFP. Hence it is not feasibile to automate"/>
    <x v="8"/>
    <m/>
    <m/>
    <x v="2"/>
    <m/>
    <m/>
    <m/>
    <m/>
    <m/>
    <m/>
    <x v="0"/>
    <x v="2"/>
    <s v="Not Started"/>
    <s v="Blocked"/>
    <n v="8"/>
    <n v="5"/>
    <n v="15"/>
    <n v="5"/>
    <n v="0.2"/>
    <n v="0.3"/>
    <s v="PT In Test"/>
    <n v="5"/>
    <n v="0"/>
    <n v="12"/>
    <n v="0"/>
    <n v="17"/>
    <n v="0.29411764705882354"/>
    <n v="0.29411764705882354"/>
    <s v="BUg : 4490583 (C)"/>
    <x v="13"/>
    <x v="7"/>
  </r>
  <r>
    <s v="PCW"/>
    <x v="25"/>
    <x v="25"/>
    <x v="2"/>
    <s v="PCW - Auto-populate Local Currency in DNP sheets when Local Currency is blank"/>
    <n v="4435907"/>
    <s v="Sairam"/>
    <s v="Kiruthiga"/>
    <x v="3"/>
    <x v="2"/>
    <s v="PCW User Story"/>
    <x v="10"/>
    <m/>
    <m/>
    <x v="3"/>
    <m/>
    <m/>
    <m/>
    <m/>
    <m/>
    <m/>
    <x v="0"/>
    <x v="0"/>
    <s v="In Progress"/>
    <s v="Not Started"/>
    <n v="14"/>
    <n v="5"/>
    <n v="3"/>
    <n v="8"/>
    <n v="0.6"/>
    <n v="0.25"/>
    <s v="Active"/>
    <n v="0"/>
    <n v="0"/>
    <n v="0"/>
    <n v="8"/>
    <n v="8"/>
    <n v="0"/>
    <n v="0"/>
    <m/>
    <x v="14"/>
    <x v="7"/>
  </r>
  <r>
    <s v="PCW"/>
    <x v="26"/>
    <x v="26"/>
    <x v="2"/>
    <s v="PCW - MMP FFP Export: Send only filtered staffing rows to API for Role Type, Accenture Role/Rate and Pricing Workstream identification"/>
    <n v="4436093"/>
    <s v="Viji"/>
    <s v="Kiruthiga"/>
    <x v="3"/>
    <x v="2"/>
    <s v="PCW User Story"/>
    <x v="10"/>
    <m/>
    <m/>
    <x v="3"/>
    <m/>
    <m/>
    <m/>
    <m/>
    <m/>
    <m/>
    <x v="0"/>
    <x v="2"/>
    <s v="Not Started"/>
    <s v="Not Started"/>
    <n v="15"/>
    <n v="15"/>
    <n v="8"/>
    <n v="11"/>
    <n v="1"/>
    <n v="0.85"/>
    <s v="New"/>
    <n v="0"/>
    <n v="0"/>
    <n v="0"/>
    <n v="11"/>
    <n v="11"/>
    <n v="0"/>
    <n v="0"/>
    <m/>
    <x v="14"/>
    <x v="7"/>
  </r>
  <r>
    <s v="myISP"/>
    <x v="10"/>
    <x v="10"/>
    <x v="2"/>
    <s v="As a Solution Architect, I want the Attach Estimate screen's Create and Edit Estimator popups to have improved usability, So that I can efficiently view, enter, and review workstream hours without confusion or excessive scrolling."/>
    <n v="3967653"/>
    <s v="Kiruthiga"/>
    <s v="Viji"/>
    <x v="15"/>
    <x v="0"/>
    <s v="Perfomance upgrade Cannot be automated"/>
    <x v="11"/>
    <s v="Medium"/>
    <n v="1"/>
    <x v="8"/>
    <n v="4"/>
    <n v="2"/>
    <n v="0"/>
    <n v="1"/>
    <n v="0.7"/>
    <n v="0.65"/>
    <x v="0"/>
    <x v="0"/>
    <s v="Not Started"/>
    <s v="In Progress"/>
    <n v="40"/>
    <n v="12"/>
    <n v="0"/>
    <n v="12"/>
    <n v="1"/>
    <n v="0.9"/>
    <s v="PT In Test"/>
    <n v="12"/>
    <n v="0"/>
    <n v="0"/>
    <n v="0"/>
    <n v="12"/>
    <n v="1"/>
    <n v="1"/>
    <m/>
    <x v="15"/>
    <x v="7"/>
  </r>
  <r>
    <s v="PCW"/>
    <x v="27"/>
    <x v="27"/>
    <x v="2"/>
    <s v="Carting - IPC Toolkit cost in PCW versions"/>
    <n v="4361280"/>
    <s v="Sneha"/>
    <s v="Sairam"/>
    <x v="3"/>
    <x v="2"/>
    <s v="PCW User Story"/>
    <x v="10"/>
    <m/>
    <m/>
    <x v="3"/>
    <m/>
    <m/>
    <m/>
    <m/>
    <m/>
    <m/>
    <x v="0"/>
    <x v="2"/>
    <s v="Not Started"/>
    <s v="In Progress"/>
    <n v="8"/>
    <n v="4"/>
    <n v="5"/>
    <n v="6"/>
    <n v="0.3"/>
    <n v="0.3"/>
    <s v="Blocked in PT"/>
    <n v="1"/>
    <n v="0"/>
    <n v="0"/>
    <n v="5"/>
    <n v="6"/>
    <n v="0.16666666666666666"/>
    <n v="1"/>
    <m/>
    <x v="12"/>
    <x v="7"/>
  </r>
  <r>
    <s v="PCW"/>
    <x v="28"/>
    <x v="28"/>
    <x v="2"/>
    <s v="Add new IPC Cost Types for PCW versions and update existing IPC Cost Type"/>
    <n v="4368217"/>
    <s v="Viji"/>
    <s v="Sneha"/>
    <x v="3"/>
    <x v="2"/>
    <s v="PCW User Story"/>
    <x v="10"/>
    <m/>
    <m/>
    <x v="3"/>
    <m/>
    <m/>
    <m/>
    <m/>
    <m/>
    <m/>
    <x v="0"/>
    <x v="2"/>
    <s v="Not Started"/>
    <s v="In Progress"/>
    <n v="15"/>
    <n v="10"/>
    <n v="5"/>
    <n v="10"/>
    <n v="1"/>
    <n v="0.85"/>
    <s v="Ready for Test"/>
    <n v="5"/>
    <n v="1"/>
    <n v="0"/>
    <n v="4"/>
    <n v="10"/>
    <n v="0.6"/>
    <n v="0.83333333333333337"/>
    <s v="Bug id : 4482797(M)"/>
    <x v="12"/>
    <x v="7"/>
  </r>
  <r>
    <s v="myISP_ DNP"/>
    <x v="29"/>
    <x v="29"/>
    <x v="2"/>
    <s v="As a Solution Architect, I want to add Adjustment % at the Contract Year level in the DNP screen so that, I can calculate Seat Charges (Work from Office) based on the yearly adjustment %- OU changes."/>
    <n v="4317632"/>
    <s v="Viji"/>
    <s v="Kiruthiga"/>
    <x v="16"/>
    <x v="0"/>
    <s v="Offline Utility OU related(Excel) Functionality Cannot be Automated"/>
    <x v="8"/>
    <s v="Complex"/>
    <m/>
    <x v="9"/>
    <n v="10"/>
    <n v="2"/>
    <n v="1"/>
    <n v="1"/>
    <n v="1"/>
    <n v="1"/>
    <x v="0"/>
    <x v="2"/>
    <s v="Not Started"/>
    <s v="Not Started"/>
    <n v="10"/>
    <n v="10"/>
    <n v="12"/>
    <n v="10"/>
    <n v="1"/>
    <n v="0.9"/>
    <s v="In Development"/>
    <n v="0"/>
    <n v="0"/>
    <n v="0"/>
    <n v="10"/>
    <n v="10"/>
    <n v="0"/>
    <n v="0"/>
    <m/>
    <x v="12"/>
    <x v="7"/>
  </r>
  <r>
    <s v="myISP UI"/>
    <x v="30"/>
    <x v="30"/>
    <x v="2"/>
    <s v="Export the Fixed cost types to Online SDL even if no matching profile is available in Staffing for PCW versions"/>
    <n v="4187514"/>
    <s v="Naveen S"/>
    <m/>
    <x v="3"/>
    <x v="2"/>
    <s v="PCW User Story"/>
    <x v="10"/>
    <m/>
    <m/>
    <x v="3"/>
    <m/>
    <m/>
    <m/>
    <m/>
    <m/>
    <m/>
    <x v="0"/>
    <x v="2"/>
    <s v="Not Started"/>
    <s v="In Progress"/>
    <n v="33"/>
    <n v="15"/>
    <n v="0"/>
    <n v="15"/>
    <n v="1"/>
    <n v="1"/>
    <s v="Ready to Deploy"/>
    <n v="2"/>
    <n v="0"/>
    <n v="0"/>
    <n v="13"/>
    <n v="15"/>
    <n v="0.13333333333333333"/>
    <n v="1"/>
    <m/>
    <x v="12"/>
    <x v="7"/>
  </r>
  <r>
    <s v="myISP_DNP"/>
    <x v="29"/>
    <x v="29"/>
    <x v="2"/>
    <s v="As a Solution Architect, I want to calculate Seat Charges (Work from Office) based on the yearly adjustment % so that all calculation scenarios are accurately covered."/>
    <n v="4261173"/>
    <s v="Viji"/>
    <s v="Kiruthiga"/>
    <x v="16"/>
    <x v="0"/>
    <s v="This uesr story needs to exceuted with different logics and caluculation Hence it is not feasible to automate"/>
    <x v="9"/>
    <s v="Complex"/>
    <m/>
    <x v="10"/>
    <n v="15"/>
    <n v="2"/>
    <n v="1"/>
    <n v="1"/>
    <n v="1"/>
    <n v="1"/>
    <x v="0"/>
    <x v="2"/>
    <s v="Not Started"/>
    <s v="Not Started"/>
    <n v="20"/>
    <n v="12"/>
    <n v="8"/>
    <n v="10"/>
    <n v="1"/>
    <n v="0.9"/>
    <s v="In Development"/>
    <n v="0"/>
    <n v="0"/>
    <n v="0"/>
    <n v="10"/>
    <n v="10"/>
    <n v="0"/>
    <n v="0"/>
    <m/>
    <x v="12"/>
    <x v="7"/>
  </r>
  <r>
    <s v="myISP_DNP"/>
    <x v="31"/>
    <x v="31"/>
    <x v="2"/>
    <s v="As a Solution Architect, I want the Adjustment % and Local Currency fields to be excluded from the lock feature, So that the latest updated data gets reflected on fly"/>
    <n v="4430431"/>
    <s v="Sairam"/>
    <s v="Kiruthiga"/>
    <x v="13"/>
    <x v="1"/>
    <m/>
    <x v="1"/>
    <s v="Complex"/>
    <n v="2"/>
    <x v="2"/>
    <n v="4"/>
    <n v="1"/>
    <n v="1"/>
    <n v="2"/>
    <n v="0.5"/>
    <n v="0.45"/>
    <x v="0"/>
    <x v="0"/>
    <s v="In Progress"/>
    <s v="Not Started"/>
    <n v="16"/>
    <n v="3"/>
    <n v="4"/>
    <n v="7"/>
    <n v="0.56999999999999995"/>
    <n v="0.35"/>
    <s v="In Development"/>
    <n v="0"/>
    <n v="0"/>
    <n v="0"/>
    <n v="7"/>
    <n v="7"/>
    <n v="0"/>
    <n v="0"/>
    <m/>
    <x v="12"/>
    <x v="7"/>
  </r>
  <r>
    <s v="myISP_ DNP"/>
    <x v="29"/>
    <x v="29"/>
    <x v="2"/>
    <s v="As a Solution Architect, I want to add Adjustment % at the Contract Year level in the DNP screen so that, I can calculate Seat Charges (Work from Office) based on the yearly adjustment %- UI changes."/>
    <n v="4184295"/>
    <s v="Sneha"/>
    <m/>
    <x v="14"/>
    <x v="0"/>
    <s v="This uesr story needs to exceuted with different logics and caluculation Hence it is not feasible to automate"/>
    <x v="9"/>
    <s v="Complex"/>
    <m/>
    <x v="2"/>
    <m/>
    <m/>
    <m/>
    <m/>
    <m/>
    <m/>
    <x v="0"/>
    <x v="2"/>
    <s v="Not Started"/>
    <s v="Not Started"/>
    <n v="8"/>
    <n v="3"/>
    <n v="36"/>
    <n v="40"/>
    <n v="0.4"/>
    <n v="0.4"/>
    <s v="In Development"/>
    <n v="0"/>
    <n v="0"/>
    <n v="0"/>
    <n v="40"/>
    <n v="40"/>
    <n v="0"/>
    <n v="0"/>
    <m/>
    <x v="12"/>
    <x v="7"/>
  </r>
  <r>
    <s v="PCW"/>
    <x v="28"/>
    <x v="28"/>
    <x v="2"/>
    <s v="PCW - IPC Month-of-Month ACN Cost Conversion to Deal Currency in DNP Baseline and DNP Forecast"/>
    <n v="4439846"/>
    <s v="Naveen S"/>
    <s v="Sneha"/>
    <x v="3"/>
    <x v="2"/>
    <s v="PCW User Story"/>
    <x v="10"/>
    <m/>
    <m/>
    <x v="3"/>
    <m/>
    <m/>
    <m/>
    <m/>
    <m/>
    <m/>
    <x v="0"/>
    <x v="2"/>
    <s v="Not Started"/>
    <s v="Not Started"/>
    <n v="36"/>
    <n v="20"/>
    <n v="4"/>
    <n v="24"/>
    <n v="0.9"/>
    <n v="1"/>
    <s v="Ready to Deploy"/>
    <n v="0"/>
    <n v="0"/>
    <n v="0"/>
    <n v="24"/>
    <n v="24"/>
    <n v="0"/>
    <n v="0"/>
    <m/>
    <x v="14"/>
    <x v="7"/>
  </r>
  <r>
    <s v="Online SI"/>
    <x v="32"/>
    <x v="32"/>
    <x v="2"/>
    <s v="As a SA, I need to fix Ratecard UI display and redesign tab order for improved user journey"/>
    <n v="4351779"/>
    <s v="Kiruthiga"/>
    <s v="Naveen S"/>
    <x v="15"/>
    <x v="1"/>
    <s v="UI Improvement - Functioanlity is already automated"/>
    <x v="11"/>
    <m/>
    <m/>
    <x v="11"/>
    <n v="4"/>
    <n v="3"/>
    <n v="0"/>
    <n v="1"/>
    <n v="0.9"/>
    <n v="1"/>
    <x v="0"/>
    <x v="0"/>
    <s v="Not Started"/>
    <s v="In Progress"/>
    <n v="52"/>
    <n v="25"/>
    <n v="5"/>
    <n v="30"/>
    <n v="0.9"/>
    <n v="0.95"/>
    <s v="PT In Test"/>
    <n v="30"/>
    <n v="3"/>
    <n v="0"/>
    <n v="0"/>
    <n v="33"/>
    <n v="1"/>
    <n v="0.90909090909090906"/>
    <m/>
    <x v="13"/>
    <x v="7"/>
  </r>
  <r>
    <s v="PCW"/>
    <x v="26"/>
    <x v="26"/>
    <x v="2"/>
    <s v="PCW - Update the FFP Roles at SSG level in Staffing Baseline"/>
    <n v="4368139"/>
    <s v="Kiruthiga"/>
    <s v="Sneha"/>
    <x v="3"/>
    <x v="2"/>
    <s v="PCW User Story"/>
    <x v="10"/>
    <m/>
    <m/>
    <x v="3"/>
    <m/>
    <m/>
    <m/>
    <m/>
    <m/>
    <m/>
    <x v="0"/>
    <x v="0"/>
    <s v="Not Started"/>
    <s v="Not Started"/>
    <n v="22"/>
    <n v="10"/>
    <n v="4"/>
    <n v="14"/>
    <n v="0.8"/>
    <n v="0.85"/>
    <s v="In Development"/>
    <n v="0"/>
    <n v="0"/>
    <n v="0"/>
    <n v="12"/>
    <n v="12"/>
    <n v="0"/>
    <n v="0"/>
    <m/>
    <x v="14"/>
    <x v="7"/>
  </r>
  <r>
    <s v="PCW"/>
    <x v="29"/>
    <x v="29"/>
    <x v="2"/>
    <s v="API - Save the Adjustment % of Hourly Seat Charges from DNP Baseline into YoY adjustment % columns for all the Contract Years across the Deal Duration"/>
    <n v="4265946"/>
    <s v="Sairam"/>
    <s v="Naveen S"/>
    <x v="3"/>
    <x v="2"/>
    <s v="PCW User Story"/>
    <x v="10"/>
    <m/>
    <m/>
    <x v="3"/>
    <m/>
    <m/>
    <m/>
    <m/>
    <m/>
    <m/>
    <x v="0"/>
    <x v="0"/>
    <s v="In Progress"/>
    <s v="Not Started"/>
    <n v="14"/>
    <n v="2"/>
    <n v="3"/>
    <n v="5"/>
    <n v="0.56999999999999995"/>
    <n v="0.25"/>
    <s v="Active"/>
    <n v="0"/>
    <n v="0"/>
    <n v="0"/>
    <n v="5"/>
    <n v="5"/>
    <n v="0"/>
    <n v="0"/>
    <m/>
    <x v="16"/>
    <x v="7"/>
  </r>
  <r>
    <s v="PCW"/>
    <x v="28"/>
    <x v="28"/>
    <x v="2"/>
    <s v="PCW - IPC Toolkit Cost Update"/>
    <n v="4368214"/>
    <s v="Sneha"/>
    <s v="Naveen S"/>
    <x v="3"/>
    <x v="2"/>
    <s v="PCW User Story"/>
    <x v="10"/>
    <m/>
    <m/>
    <x v="3"/>
    <m/>
    <m/>
    <m/>
    <m/>
    <m/>
    <m/>
    <x v="0"/>
    <x v="2"/>
    <s v="Not Started"/>
    <s v="Not Started"/>
    <n v="8"/>
    <n v="3"/>
    <n v="13"/>
    <n v="16"/>
    <n v="0.5"/>
    <n v="0.6"/>
    <s v="Ready to Deploy"/>
    <n v="0"/>
    <n v="0"/>
    <n v="0"/>
    <n v="16"/>
    <n v="16"/>
    <n v="0"/>
    <n v="0"/>
    <m/>
    <x v="14"/>
    <x v="7"/>
  </r>
  <r>
    <s v="SI Profile "/>
    <x v="33"/>
    <x v="33"/>
    <x v="2"/>
    <s v="As a myISP Solution Architect, I want to update the SI profile screen to include the new restricted SSGs (SI/AMS/IMS/BPMS) and display revised messages in the info, So that user can identify which SSGs have staffing restrictions and pricing limitations."/>
    <n v="4267330"/>
    <s v="Sairam"/>
    <s v="Sneha"/>
    <x v="13"/>
    <x v="1"/>
    <m/>
    <x v="1"/>
    <s v="Simple"/>
    <n v="1"/>
    <x v="12"/>
    <n v="4"/>
    <n v="2"/>
    <n v="1"/>
    <n v="1"/>
    <n v="0.6"/>
    <n v="0.6"/>
    <x v="0"/>
    <x v="0"/>
    <s v="In Progress"/>
    <s v="In Progress"/>
    <n v="17"/>
    <n v="3"/>
    <n v="2"/>
    <n v="2"/>
    <n v="0.56000000000000005"/>
    <n v="0.43"/>
    <s v="PT In Test"/>
    <n v="2"/>
    <n v="0"/>
    <n v="0"/>
    <n v="1"/>
    <n v="3"/>
    <n v="0.66666666666666663"/>
    <n v="1"/>
    <m/>
    <x v="13"/>
    <x v="7"/>
  </r>
  <r>
    <s v="myISP_DNP"/>
    <x v="31"/>
    <x v="31"/>
    <x v="2"/>
    <s v="As a Solution Architect, I want the cost type attribute values aligned with MRDB data and Local Currency defaults corrected in the DNP Master Cost, so that DNP cost calculations use accurate profiles and deal currency values."/>
    <n v="4424935"/>
    <s v="Naveen S"/>
    <s v="Viji"/>
    <x v="17"/>
    <x v="0"/>
    <s v="This uesr story needs to executed with different calculations for each of the cost type. Hence it is not feasible to automate"/>
    <x v="12"/>
    <m/>
    <m/>
    <x v="4"/>
    <m/>
    <m/>
    <m/>
    <m/>
    <m/>
    <m/>
    <x v="0"/>
    <x v="2"/>
    <s v="Not Started"/>
    <s v="In Progress"/>
    <n v="41"/>
    <n v="22"/>
    <n v="4"/>
    <n v="26"/>
    <n v="1"/>
    <n v="0.7"/>
    <s v="PT In Test"/>
    <n v="2"/>
    <n v="0"/>
    <n v="0"/>
    <n v="24"/>
    <n v="26"/>
    <n v="7.6923076923076927E-2"/>
    <n v="1"/>
    <m/>
    <x v="12"/>
    <x v="7"/>
  </r>
  <r>
    <s v="IPC Calculator"/>
    <x v="34"/>
    <x v="34"/>
    <x v="2"/>
    <s v="As a mySP user, I need to see updated costs being displayed when auto sync functionality for IPC Calculator is initiated by adding Lead PMO role in Staffing Baseline"/>
    <n v="4371247"/>
    <s v="Sneha"/>
    <s v="Viji"/>
    <x v="14"/>
    <x v="0"/>
    <s v="Due to dynamic backend‑driven cost calculations, versioned calculators, and async auto‑sync , we cannot automable "/>
    <x v="11"/>
    <m/>
    <m/>
    <x v="1"/>
    <m/>
    <m/>
    <m/>
    <m/>
    <m/>
    <m/>
    <x v="0"/>
    <x v="0"/>
    <s v="Not Started"/>
    <s v="Not Started"/>
    <n v="8"/>
    <n v="4"/>
    <n v="3"/>
    <n v="5"/>
    <n v="0.6"/>
    <n v="0.5"/>
    <s v="In Development"/>
    <n v="0"/>
    <n v="0"/>
    <n v="0"/>
    <n v="5"/>
    <n v="5"/>
    <n v="0"/>
    <n v="0"/>
    <m/>
    <x v="13"/>
    <x v="7"/>
  </r>
  <r>
    <s v="IPC Calculator"/>
    <x v="35"/>
    <x v="35"/>
    <x v="2"/>
    <s v="As a mySP user, I need to configure the staffing baseline as per the updated career level guidance for IPC Lead PMO in staffing baseline screen"/>
    <n v="4357874"/>
    <s v="Kiruthiga"/>
    <s v="Viji"/>
    <x v="3"/>
    <x v="2"/>
    <s v="Revenue details to be fetched from MMS ID for different RAG status which will be complex to automate"/>
    <x v="2"/>
    <m/>
    <m/>
    <x v="3"/>
    <m/>
    <m/>
    <m/>
    <m/>
    <m/>
    <m/>
    <x v="0"/>
    <x v="0"/>
    <s v="Not Started"/>
    <s v="Not Started"/>
    <n v="23"/>
    <n v="18"/>
    <n v="0"/>
    <n v="8"/>
    <n v="0.9"/>
    <n v="0.9"/>
    <s v="In Development"/>
    <n v="0"/>
    <n v="0"/>
    <n v="0"/>
    <n v="8"/>
    <n v="8"/>
    <n v="0"/>
    <n v="0"/>
    <m/>
    <x v="15"/>
    <x v="7"/>
  </r>
  <r>
    <s v="myISP_ DNP"/>
    <x v="29"/>
    <x v="29"/>
    <x v="2"/>
    <s v="As a Solution Architect, I want to add Adjustment % at the Contract Year level in the DNP screen so that, I can calculate Seat Charges (Work from Office) based on the yearly adjustment %- Cart &amp; Copy"/>
    <n v="4335613"/>
    <s v="Viji"/>
    <s v="Kiruthiga"/>
    <x v="3"/>
    <x v="2"/>
    <s v="Different combinations of Sourec version (PCW) needs to be checked which is not feasible to automate"/>
    <x v="10"/>
    <m/>
    <m/>
    <x v="3"/>
    <m/>
    <m/>
    <m/>
    <m/>
    <m/>
    <m/>
    <x v="0"/>
    <x v="2"/>
    <s v="Not Started"/>
    <s v="Not Started"/>
    <n v="20"/>
    <n v="13"/>
    <n v="10"/>
    <n v="13"/>
    <n v="1"/>
    <n v="1"/>
    <s v="In Development"/>
    <n v="0"/>
    <n v="0"/>
    <n v="0"/>
    <n v="13"/>
    <n v="13"/>
    <n v="0"/>
    <n v="0"/>
    <m/>
    <x v="12"/>
    <x v="7"/>
  </r>
  <r>
    <s v="SI"/>
    <x v="36"/>
    <x v="36"/>
    <x v="2"/>
    <s v="Carting &amp; Copying - Dynamic Target Pricing fields to be handled for PCW and Online SI Versions"/>
    <n v="4437691"/>
    <s v="Viji"/>
    <s v="Sairam"/>
    <x v="3"/>
    <x v="2"/>
    <s v="PCW User Story"/>
    <x v="10"/>
    <m/>
    <m/>
    <x v="3"/>
    <m/>
    <m/>
    <m/>
    <m/>
    <m/>
    <m/>
    <x v="0"/>
    <x v="2"/>
    <s v="Not Started"/>
    <s v="In Progress"/>
    <n v="25"/>
    <n v="9"/>
    <n v="7"/>
    <n v="9"/>
    <n v="1"/>
    <n v="1"/>
    <s v="PT In Test"/>
    <n v="1"/>
    <n v="0"/>
    <n v="0"/>
    <n v="8"/>
    <n v="9"/>
    <n v="0.1111111111111111"/>
    <n v="1"/>
    <m/>
    <x v="12"/>
    <x v="7"/>
  </r>
  <r>
    <s v="SI KDA"/>
    <x v="37"/>
    <x v="37"/>
    <x v="3"/>
    <s v="As a mysolution planner Solution Architect, I want the WFH ATCI and WFH ATCP fields in KDA Variance analysis and Review Approval mail to show the updated logic from SI KDA, So that user can view updated logic for WFH metrics"/>
    <n v="4371477"/>
    <s v="Sai/Bhavana"/>
    <s v="Sathya"/>
    <x v="3"/>
    <x v="2"/>
    <s v="Dynamic input needed, external site integration and excel report validation"/>
    <x v="2"/>
    <m/>
    <m/>
    <x v="3"/>
    <m/>
    <m/>
    <m/>
    <m/>
    <m/>
    <m/>
    <x v="0"/>
    <x v="0"/>
    <s v="Completed"/>
    <s v="Not Started"/>
    <n v="17"/>
    <n v="17"/>
    <n v="0"/>
    <n v="17"/>
    <n v="1"/>
    <n v="0.9"/>
    <s v="Ready to Deploy"/>
    <n v="0"/>
    <n v="0"/>
    <n v="0"/>
    <n v="17"/>
    <n v="17"/>
    <n v="0"/>
    <n v="0"/>
    <m/>
    <x v="5"/>
    <x v="4"/>
  </r>
  <r>
    <s v="IPC Calculator"/>
    <x v="38"/>
    <x v="38"/>
    <x v="3"/>
    <s v="As a myISP user, I want KDA Variance Analysis to display the correct name for the three new IPC exemption reasons so that variance reporting stays accurate and easy to understand."/>
    <n v="4428657"/>
    <s v="Amresh"/>
    <s v="Sohana"/>
    <x v="18"/>
    <x v="1"/>
    <m/>
    <x v="1"/>
    <s v="Medium"/>
    <m/>
    <x v="13"/>
    <n v="15"/>
    <n v="12"/>
    <n v="1"/>
    <n v="12"/>
    <n v="0.92"/>
    <n v="0.6"/>
    <x v="0"/>
    <x v="0"/>
    <s v="Not Started"/>
    <s v="In Progress"/>
    <n v="15"/>
    <n v="13"/>
    <n v="2"/>
    <n v="15"/>
    <n v="0.86"/>
    <n v="0.85"/>
    <s v="PT In Test"/>
    <n v="0"/>
    <n v="0"/>
    <n v="0"/>
    <n v="15"/>
    <n v="15"/>
    <n v="0"/>
    <n v="0"/>
    <m/>
    <x v="5"/>
    <x v="4"/>
  </r>
  <r>
    <s v="SI Data"/>
    <x v="39"/>
    <x v="39"/>
    <x v="3"/>
    <s v="SI-Data: As a mySolutionPlanner developer, I want to update the logic for deal RAG status to display in KDA Variance Analysis when the user triggers KDA, so that RAG color is aligned with the RAG color displayed for Adherence score in View KDA."/>
    <n v="4440942"/>
    <s v="Amala"/>
    <s v="Bhavana"/>
    <x v="3"/>
    <x v="2"/>
    <s v="Extrenal Integration validation"/>
    <x v="13"/>
    <m/>
    <m/>
    <x v="3"/>
    <m/>
    <m/>
    <m/>
    <m/>
    <m/>
    <m/>
    <x v="0"/>
    <x v="0"/>
    <s v="Completed"/>
    <s v="In Progress"/>
    <m/>
    <m/>
    <m/>
    <n v="13"/>
    <m/>
    <m/>
    <s v="PT In Test"/>
    <n v="6"/>
    <n v="0"/>
    <n v="0"/>
    <n v="8"/>
    <n v="14"/>
    <n v="0.42857142857142855"/>
    <n v="1"/>
    <m/>
    <x v="5"/>
    <x v="4"/>
  </r>
  <r>
    <s v="SI MMP FFP"/>
    <x v="39"/>
    <x v="39"/>
    <x v="3"/>
    <s v="SI-MMP FFP: As a mySolutionPlanner developer, I want to update the logic for deal RAG status to display in KDA Variance Analysis when the user triggers KDA, so that RAG color is aligned with the RAG color displayed for Adherence score in View KDA."/>
    <n v="4443542"/>
    <s v="Amala"/>
    <s v="Bhavana"/>
    <x v="3"/>
    <x v="2"/>
    <s v="Extrenal Integration validation"/>
    <x v="13"/>
    <m/>
    <m/>
    <x v="3"/>
    <m/>
    <m/>
    <m/>
    <m/>
    <m/>
    <m/>
    <x v="0"/>
    <x v="0"/>
    <s v="Completed"/>
    <s v="In Progress"/>
    <m/>
    <m/>
    <m/>
    <n v="13"/>
    <m/>
    <m/>
    <s v="PT In Test"/>
    <n v="6"/>
    <n v="0"/>
    <n v="0"/>
    <n v="8"/>
    <n v="14"/>
    <n v="0.42857142857142855"/>
    <n v="1"/>
    <m/>
    <x v="5"/>
    <x v="4"/>
  </r>
  <r>
    <s v="Differentiation"/>
    <x v="22"/>
    <x v="22"/>
    <x v="3"/>
    <s v="As a Solution Architect I want DCTA to be updated to use Attach Calculator data in place of Differentiation So that DCTA functionality remains accurate after the Differentiation screen is decommissioned"/>
    <n v="4362070"/>
    <s v="Amresh"/>
    <s v="Sohana"/>
    <x v="18"/>
    <x v="0"/>
    <s v="Require excel report validation &amp; Calculation"/>
    <x v="8"/>
    <s v="Complex"/>
    <m/>
    <x v="1"/>
    <n v="17"/>
    <n v="12"/>
    <n v="1"/>
    <n v="13"/>
    <n v="0.85"/>
    <n v="0.55000000000000004"/>
    <x v="0"/>
    <x v="0"/>
    <s v="Not Started"/>
    <s v="In Progress"/>
    <n v="24"/>
    <n v="14"/>
    <n v="3"/>
    <n v="17"/>
    <n v="0.82350000000000001"/>
    <n v="0.75"/>
    <s v="In Development"/>
    <n v="0"/>
    <n v="0"/>
    <n v="0"/>
    <n v="17"/>
    <n v="17"/>
    <n v="0"/>
    <n v="0"/>
    <m/>
    <x v="17"/>
    <x v="7"/>
  </r>
  <r>
    <s v="Online SI"/>
    <x v="40"/>
    <x v="40"/>
    <x v="3"/>
    <s v="Online SI FFP | As a Solution Architect, I want to see Activity(BPMS only) in FFP Template when BPMS SG is solutioned in SI Staffing Baseline"/>
    <n v="4183616"/>
    <s v="Sohana"/>
    <s v="Amresh"/>
    <x v="3"/>
    <x v="2"/>
    <s v="Extrenal Integration validation"/>
    <x v="13"/>
    <m/>
    <m/>
    <x v="3"/>
    <m/>
    <m/>
    <m/>
    <m/>
    <m/>
    <m/>
    <x v="0"/>
    <x v="0"/>
    <s v="Not Started"/>
    <s v="In Progress"/>
    <n v="26"/>
    <n v="14"/>
    <n v="1"/>
    <n v="15"/>
    <n v="0.94"/>
    <n v="0.95"/>
    <s v="PT In Test"/>
    <n v="6"/>
    <n v="0"/>
    <n v="0"/>
    <n v="9"/>
    <n v="15"/>
    <n v="0.4"/>
    <n v="1"/>
    <m/>
    <x v="12"/>
    <x v="7"/>
  </r>
  <r>
    <s v="FFP"/>
    <x v="36"/>
    <x v="36"/>
    <x v="3"/>
    <s v="As a SA, add MMP FFP Role column next to Role Type in Staffing Baseline"/>
    <n v="4390540"/>
    <s v="Manisa"/>
    <s v="Amala"/>
    <x v="19"/>
    <x v="0"/>
    <s v="Involves Excel Validations"/>
    <x v="8"/>
    <m/>
    <m/>
    <x v="6"/>
    <m/>
    <m/>
    <m/>
    <m/>
    <m/>
    <m/>
    <x v="0"/>
    <x v="0"/>
    <s v="Not Started"/>
    <s v="Not Started"/>
    <n v="35"/>
    <n v="33"/>
    <n v="0"/>
    <n v="33"/>
    <n v="1"/>
    <n v="0.9"/>
    <s v="In Development"/>
    <n v="0"/>
    <n v="0"/>
    <n v="0"/>
    <n v="33"/>
    <n v="33"/>
    <n v="0"/>
    <n v="0"/>
    <m/>
    <x v="13"/>
    <x v="7"/>
  </r>
  <r>
    <s v="Offline Utility"/>
    <x v="36"/>
    <x v="36"/>
    <x v="3"/>
    <s v="As a SA, add MMP FFP Role column next to Role Type in Staffing Baseline - OU changes"/>
    <n v="4390542"/>
    <s v="Manisa"/>
    <s v="Amala"/>
    <x v="3"/>
    <x v="2"/>
    <s v="Extrenal Integration validation"/>
    <x v="13"/>
    <m/>
    <m/>
    <x v="3"/>
    <m/>
    <m/>
    <m/>
    <m/>
    <m/>
    <m/>
    <x v="0"/>
    <x v="0"/>
    <s v="Not Started"/>
    <s v="Not Started"/>
    <n v="30"/>
    <n v="30"/>
    <n v="0"/>
    <n v="30"/>
    <n v="1"/>
    <n v="0.9"/>
    <s v="In Development"/>
    <n v="0"/>
    <n v="0"/>
    <n v="0"/>
    <n v="30"/>
    <n v="30"/>
    <n v="0"/>
    <n v="0"/>
    <m/>
    <x v="13"/>
    <x v="7"/>
  </r>
  <r>
    <s v="Differentiation"/>
    <x v="22"/>
    <x v="22"/>
    <x v="3"/>
    <s v="As a Solution Architect I want the MMP-FFP report to be updated to use Attach Calculator data in place of Differentiation So that MMP-FFP reporting remains accurate after the Differentiation screen is decommissioned"/>
    <n v="4372031"/>
    <s v="Sohana"/>
    <s v="Amresh"/>
    <x v="20"/>
    <x v="0"/>
    <s v="Extrenal Integration validation"/>
    <x v="8"/>
    <s v="Complex"/>
    <m/>
    <x v="13"/>
    <m/>
    <m/>
    <m/>
    <m/>
    <m/>
    <m/>
    <x v="0"/>
    <x v="0"/>
    <s v="Not Started"/>
    <s v="In Progress"/>
    <n v="49"/>
    <n v="35"/>
    <n v="2"/>
    <n v="37"/>
    <n v="0.94"/>
    <n v="0.92"/>
    <s v="PT In Test"/>
    <n v="7"/>
    <n v="0"/>
    <n v="0"/>
    <n v="30"/>
    <n v="37"/>
    <n v="0.1891891891891892"/>
    <n v="1"/>
    <m/>
    <x v="12"/>
    <x v="7"/>
  </r>
  <r>
    <s v="Online SI"/>
    <x v="36"/>
    <x v="36"/>
    <x v="3"/>
    <s v="As a SA, I want MMP FFP Role (Accenture Role/Rate) populated in Staffing Baseline and exported to MMP FFP template"/>
    <n v="4423306"/>
    <s v="Sohana"/>
    <s v="Amresh"/>
    <x v="3"/>
    <x v="2"/>
    <s v="Extrenal Integration validation"/>
    <x v="13"/>
    <m/>
    <m/>
    <x v="3"/>
    <m/>
    <m/>
    <m/>
    <m/>
    <m/>
    <m/>
    <x v="0"/>
    <x v="0"/>
    <s v="Not Started"/>
    <s v="Not Started"/>
    <n v="27"/>
    <n v="19"/>
    <n v="1"/>
    <n v="20"/>
    <n v="0.95"/>
    <n v="0.94"/>
    <s v="In Development"/>
    <n v="0"/>
    <n v="0"/>
    <n v="0"/>
    <n v="20"/>
    <n v="20"/>
    <n v="0"/>
    <n v="0"/>
    <m/>
    <x v="12"/>
    <x v="7"/>
  </r>
  <r>
    <s v="IPC Calculator"/>
    <x v="38"/>
    <x v="38"/>
    <x v="3"/>
    <s v="As a myISP user, I want View KDA to apply the same exemption behavior for the three new IPC reasons so that governance output remains consistent with existing logic."/>
    <n v="4428656"/>
    <s v="Amresh"/>
    <s v="Sohana"/>
    <x v="21"/>
    <x v="0"/>
    <s v="Require excel report validation "/>
    <x v="8"/>
    <m/>
    <m/>
    <x v="7"/>
    <m/>
    <m/>
    <m/>
    <m/>
    <m/>
    <m/>
    <x v="0"/>
    <x v="0"/>
    <s v="Not Started"/>
    <s v="In Progress"/>
    <n v="18"/>
    <n v="13"/>
    <n v="4"/>
    <n v="17"/>
    <n v="0.76"/>
    <n v="0.6"/>
    <s v="PT In Test"/>
    <n v="0"/>
    <n v="0"/>
    <n v="0"/>
    <n v="17"/>
    <n v="17"/>
    <n v="0"/>
    <n v="0"/>
    <m/>
    <x v="18"/>
    <x v="8"/>
  </r>
  <r>
    <s v="SI KDA"/>
    <x v="37"/>
    <x v="37"/>
    <x v="3"/>
    <s v="As a mysolution planner Solution Architect, I want the WFH ATCI and WFH ATCP fields in SI KDA(MMP-FFP route) to include the updated logic from DNP, So that user can view updated logic for WFH metrics"/>
    <n v="4413833"/>
    <s v="Sai/Bhavana"/>
    <s v="Sathya"/>
    <x v="3"/>
    <x v="2"/>
    <s v="Dynamic input needed, external site integration and excel report validation"/>
    <x v="13"/>
    <m/>
    <m/>
    <x v="3"/>
    <m/>
    <m/>
    <m/>
    <m/>
    <m/>
    <m/>
    <x v="0"/>
    <x v="0"/>
    <s v="Completed"/>
    <s v="Not Started"/>
    <n v="18"/>
    <n v="18"/>
    <n v="0"/>
    <n v="18"/>
    <n v="1"/>
    <n v="0.9"/>
    <s v="Active"/>
    <n v="0"/>
    <n v="0"/>
    <n v="0"/>
    <n v="18"/>
    <n v="18"/>
    <n v="0"/>
    <n v="0"/>
    <m/>
    <x v="18"/>
    <x v="8"/>
  </r>
  <r>
    <s v="SI KDA"/>
    <x v="37"/>
    <x v="37"/>
    <x v="3"/>
    <s v="As a mysolution planner Solution Architect, I want the WFH ATCI and WFH ATCP fields in SI KDA(DCTA KDA route) to include the updated logic from DNP, So that user can view updated logic for WFH metrics"/>
    <n v="4413836"/>
    <s v="Sai/Bhavana"/>
    <s v="Sathya"/>
    <x v="3"/>
    <x v="2"/>
    <s v="Dynamic input needed, external site integration and excel report validation"/>
    <x v="13"/>
    <m/>
    <m/>
    <x v="3"/>
    <m/>
    <m/>
    <m/>
    <m/>
    <m/>
    <m/>
    <x v="0"/>
    <x v="0"/>
    <s v="Completed"/>
    <s v="Not Started"/>
    <n v="18"/>
    <n v="17"/>
    <n v="0"/>
    <n v="17"/>
    <n v="1"/>
    <n v="0.85"/>
    <s v="Active"/>
    <n v="0"/>
    <n v="0"/>
    <n v="0"/>
    <n v="17"/>
    <n v="17"/>
    <n v="0"/>
    <n v="0"/>
    <m/>
    <x v="18"/>
    <x v="8"/>
  </r>
  <r>
    <s v="SI KDA"/>
    <x v="37"/>
    <x v="37"/>
    <x v="3"/>
    <s v="As a mysolution planner Solution Architect, I want to view WFH% details for ATCI and ATCP with an option to expand and see Y1-Y10 values in SI MMP-FFP KDA , So that user can view YoY details"/>
    <n v="4416198"/>
    <s v="Sai/Bhavana"/>
    <s v="Sathya"/>
    <x v="3"/>
    <x v="2"/>
    <s v="Dynamic input needed, external site integration and excel report validation"/>
    <x v="13"/>
    <m/>
    <m/>
    <x v="3"/>
    <m/>
    <m/>
    <m/>
    <m/>
    <m/>
    <m/>
    <x v="0"/>
    <x v="0"/>
    <s v="Completed"/>
    <s v="Not Started"/>
    <n v="16"/>
    <n v="16"/>
    <n v="1"/>
    <n v="17"/>
    <n v="0.94117647058823528"/>
    <n v="0.9"/>
    <s v="Active"/>
    <n v="0"/>
    <n v="0"/>
    <n v="0"/>
    <n v="17"/>
    <n v="17"/>
    <n v="0"/>
    <n v="0"/>
    <m/>
    <x v="18"/>
    <x v="8"/>
  </r>
  <r>
    <m/>
    <x v="41"/>
    <x v="41"/>
    <x v="3"/>
    <s v="As a myISP SA, I want to send metrics applicable for Solution-Based KDA and SI Data KDA to MMD via API so that it can be used for MMD data processing"/>
    <n v="4470085"/>
    <s v="Sai/Sathya"/>
    <s v="Bhavana"/>
    <x v="3"/>
    <x v="2"/>
    <s v="Need to validate the calculation logic for 300 metrics using the developer-provided Excel dump, without performing any UI validations."/>
    <x v="13"/>
    <m/>
    <m/>
    <x v="3"/>
    <m/>
    <m/>
    <m/>
    <m/>
    <m/>
    <m/>
    <x v="0"/>
    <x v="0"/>
    <s v="Completed"/>
    <s v="In Progress"/>
    <n v="20"/>
    <n v="4"/>
    <n v="14"/>
    <n v="18"/>
    <n v="0.22222222222222221"/>
    <n v="0.22"/>
    <m/>
    <n v="10"/>
    <n v="0"/>
    <n v="0"/>
    <n v="8"/>
    <n v="18"/>
    <n v="0.55555555555555558"/>
    <n v="1"/>
    <m/>
    <x v="4"/>
    <x v="3"/>
  </r>
  <r>
    <s v="SI KDA"/>
    <x v="37"/>
    <x v="37"/>
    <x v="3"/>
    <s v="As a mysolution planner Solution Architect, I want to view WFH% details for ATCI and ATCP with an option to expand and see Y1-Y10 values in SI DCTA KDA , So that user can view YoY details"/>
    <n v="4416199"/>
    <s v="Sai/Bhavana"/>
    <s v="Sathya"/>
    <x v="3"/>
    <x v="2"/>
    <s v="Dynamic input needed, external site integration and excel report validation"/>
    <x v="13"/>
    <m/>
    <m/>
    <x v="3"/>
    <m/>
    <m/>
    <m/>
    <m/>
    <m/>
    <m/>
    <x v="0"/>
    <x v="0"/>
    <s v="Completed"/>
    <s v="Not Started"/>
    <n v="16"/>
    <n v="15"/>
    <n v="1"/>
    <n v="17"/>
    <n v="0.88235294117647056"/>
    <n v="0.85"/>
    <s v="Active"/>
    <n v="0"/>
    <n v="0"/>
    <n v="0"/>
    <n v="17"/>
    <n v="17"/>
    <n v="0"/>
    <n v="0"/>
    <m/>
    <x v="18"/>
    <x v="8"/>
  </r>
  <r>
    <s v="SI KDA"/>
    <x v="37"/>
    <x v="37"/>
    <x v="3"/>
    <s v="As a mysolution planner Solution Architect, I want to view WFH% details for ATCI and ATCP with an option to expand and see Y1-Y10 values in SI OCP KDA , So that user can view YoY details"/>
    <n v="4416213"/>
    <s v="Sai/Bhavana"/>
    <s v="Sathya"/>
    <x v="22"/>
    <x v="0"/>
    <s v="Multiple calculations and dynamic inputs"/>
    <x v="8"/>
    <s v="Complex"/>
    <m/>
    <x v="2"/>
    <n v="16"/>
    <n v="6"/>
    <n v="2"/>
    <n v="8"/>
    <n v="0.75"/>
    <n v="0.7"/>
    <x v="0"/>
    <x v="0"/>
    <s v="Completed"/>
    <s v="Not Started"/>
    <n v="16"/>
    <n v="15"/>
    <n v="1"/>
    <n v="16"/>
    <n v="0.9375"/>
    <n v="0.85"/>
    <s v="Active"/>
    <n v="0"/>
    <n v="0"/>
    <n v="0"/>
    <n v="16"/>
    <n v="16"/>
    <n v="0"/>
    <n v="0"/>
    <m/>
    <x v="18"/>
    <x v="8"/>
  </r>
  <r>
    <s v="SI KDA"/>
    <x v="37"/>
    <x v="37"/>
    <x v="3"/>
    <s v="As a mysolution planner Solution Architect, I want the WFH ATCI and WFH ATCP fields in SI KDA(DATA KDA) to include the updated logic from DNP, So that user can view updated logic for WFH metrics"/>
    <n v="4250789"/>
    <s v="Sai/Bhavana"/>
    <s v="Sathya"/>
    <x v="3"/>
    <x v="2"/>
    <s v="Dynamic input needed, external site integration and excel report validation"/>
    <x v="13"/>
    <m/>
    <m/>
    <x v="3"/>
    <m/>
    <m/>
    <m/>
    <m/>
    <m/>
    <m/>
    <x v="0"/>
    <x v="0"/>
    <s v="Completed"/>
    <s v="Not Started"/>
    <n v="17"/>
    <n v="16"/>
    <n v="0"/>
    <n v="16"/>
    <n v="1"/>
    <n v="0.9"/>
    <s v="Active"/>
    <n v="0"/>
    <n v="0"/>
    <n v="0"/>
    <n v="16"/>
    <n v="16"/>
    <n v="0"/>
    <n v="0"/>
    <m/>
    <x v="18"/>
    <x v="8"/>
  </r>
  <r>
    <s v="SI KDA"/>
    <x v="37"/>
    <x v="37"/>
    <x v="3"/>
    <s v="As a mysolution planner Solution Architect, I want to view WFH% details for ATCI and ATCP with an option to expand and see Y1-Y10 values in SI DATA KDA , So that user can view YoY details"/>
    <n v="4252811"/>
    <s v="Sai/Bhavana"/>
    <s v="Sathya"/>
    <x v="3"/>
    <x v="2"/>
    <s v="Dynamic input needed, external site integration and excel report validation"/>
    <x v="13"/>
    <m/>
    <m/>
    <x v="3"/>
    <m/>
    <m/>
    <m/>
    <m/>
    <m/>
    <m/>
    <x v="0"/>
    <x v="0"/>
    <s v="Completed"/>
    <s v="Not Started"/>
    <n v="16"/>
    <n v="15"/>
    <n v="1"/>
    <n v="16"/>
    <n v="0.9375"/>
    <n v="0.85"/>
    <s v="Active"/>
    <n v="0"/>
    <n v="0"/>
    <n v="0"/>
    <n v="16"/>
    <n v="16"/>
    <n v="0"/>
    <n v="0"/>
    <m/>
    <x v="18"/>
    <x v="8"/>
  </r>
  <r>
    <s v="SI KDA"/>
    <x v="37"/>
    <x v="37"/>
    <x v="3"/>
    <s v="As a mysolution planner Solution Architect, I want the WFH ATCI and WFH ATCP fields in Harmonized KDA, Analytics to show the updated logic from SI KDA, So that user can view updated logic for WFH metrics"/>
    <n v="4312145"/>
    <s v="Sai/Bhavana"/>
    <s v="Sathya"/>
    <x v="3"/>
    <x v="2"/>
    <s v="Dynamic input needed, external site integration and excel report validation"/>
    <x v="13"/>
    <m/>
    <m/>
    <x v="3"/>
    <m/>
    <m/>
    <m/>
    <m/>
    <m/>
    <m/>
    <x v="0"/>
    <x v="0"/>
    <s v="Completed"/>
    <s v="Not Started"/>
    <n v="17"/>
    <n v="16"/>
    <n v="1"/>
    <n v="17"/>
    <n v="0.94117647058823528"/>
    <n v="0.85"/>
    <s v="UT in Progress"/>
    <n v="0"/>
    <n v="0"/>
    <n v="0"/>
    <n v="17"/>
    <n v="17"/>
    <n v="0"/>
    <n v="0"/>
    <m/>
    <x v="18"/>
    <x v="8"/>
  </r>
  <r>
    <s v="SI KDA"/>
    <x v="37"/>
    <x v="37"/>
    <x v="3"/>
    <s v="As a Solution Architect , I want the YearonYear (YoY) values received from DNP to be updated in SI WFH metrics and displayed for existing deals, So that existing records correctly reflect YoY data from DNP"/>
    <n v="4367388"/>
    <s v="Sai/Bhavana"/>
    <s v="Sathya"/>
    <x v="3"/>
    <x v="2"/>
    <s v="Involves calculation &amp;excel report validation of YOY Split for all KDAs is not possible"/>
    <x v="13"/>
    <m/>
    <m/>
    <x v="3"/>
    <m/>
    <m/>
    <m/>
    <m/>
    <m/>
    <m/>
    <x v="0"/>
    <x v="0"/>
    <s v="Completed"/>
    <s v="Not Started"/>
    <n v="16"/>
    <n v="14"/>
    <n v="0"/>
    <n v="14"/>
    <n v="1"/>
    <n v="0.8"/>
    <s v="Active"/>
    <n v="0"/>
    <n v="0"/>
    <n v="0"/>
    <n v="14"/>
    <n v="14"/>
    <n v="0"/>
    <n v="0"/>
    <m/>
    <x v="18"/>
    <x v="8"/>
  </r>
  <r>
    <s v="SI KDA"/>
    <x v="37"/>
    <x v="37"/>
    <x v="3"/>
    <s v="As a mysolution planner Solution Architect, I want the WFH ATCI and WFH ATCP fields in SI KDA(OCP KDA route) to include the updated logic from DNP, So that user can view updated logic for WFH metrics"/>
    <n v="4371721"/>
    <s v="Sai/Bhavana"/>
    <s v="Sathya"/>
    <x v="3"/>
    <x v="2"/>
    <s v="Dynamic input needed and excel report validation"/>
    <x v="13"/>
    <m/>
    <m/>
    <x v="3"/>
    <m/>
    <m/>
    <m/>
    <m/>
    <m/>
    <m/>
    <x v="0"/>
    <x v="0"/>
    <s v="Completed"/>
    <s v="Not Started"/>
    <n v="17"/>
    <n v="16"/>
    <n v="0"/>
    <n v="16"/>
    <n v="1"/>
    <n v="0.9"/>
    <s v="Active"/>
    <n v="0"/>
    <n v="0"/>
    <n v="0"/>
    <n v="16"/>
    <n v="16"/>
    <n v="0"/>
    <n v="0"/>
    <m/>
    <x v="18"/>
    <x v="8"/>
  </r>
  <r>
    <s v="SI OCP"/>
    <x v="42"/>
    <x v="42"/>
    <x v="3"/>
    <s v="As a myISP SA I want the OCP rate card validation error to display the same message as the DCTA error, including the specific release name So that I can quickly identify which release is missing a rate card and resolve it without confusion."/>
    <n v="4439547"/>
    <s v="Amresh"/>
    <s v="Sohana"/>
    <x v="20"/>
    <x v="1"/>
    <m/>
    <x v="1"/>
    <s v="Medium"/>
    <m/>
    <x v="1"/>
    <n v="16"/>
    <m/>
    <n v="1"/>
    <m/>
    <m/>
    <m/>
    <x v="0"/>
    <x v="0"/>
    <s v="Not Started"/>
    <s v="Not Started"/>
    <n v="16"/>
    <n v="13"/>
    <n v="1"/>
    <n v="14"/>
    <n v="0.93"/>
    <n v="0.85"/>
    <s v="PT In Test"/>
    <n v="0"/>
    <n v="0"/>
    <n v="0"/>
    <n v="14"/>
    <n v="14"/>
    <n v="0"/>
    <n v="0"/>
    <m/>
    <x v="19"/>
    <x v="8"/>
  </r>
  <r>
    <s v="IPC Calculator"/>
    <x v="38"/>
    <x v="38"/>
    <x v="3"/>
    <s v="As a myISP user, I want Harmonized KDA to reflect the same IPC RAG outcome for the three new exemption reasons so that downstream governance reporting remains aligned."/>
    <n v="4428664"/>
    <s v="Amresh"/>
    <s v="Sohana"/>
    <x v="23"/>
    <x v="0"/>
    <s v="Require excel report validation "/>
    <x v="8"/>
    <s v="Complex"/>
    <m/>
    <x v="2"/>
    <n v="16"/>
    <n v="11"/>
    <n v="2"/>
    <n v="13"/>
    <n v="0.84615384615384615"/>
    <n v="0.7"/>
    <x v="0"/>
    <x v="0"/>
    <s v="Not Started"/>
    <s v="In Progress"/>
    <n v="18"/>
    <n v="15"/>
    <n v="1"/>
    <n v="16"/>
    <n v="0.91"/>
    <n v="0.8"/>
    <s v="PT In Test"/>
    <n v="0"/>
    <n v="0"/>
    <n v="0"/>
    <n v="16"/>
    <n v="16"/>
    <n v="0"/>
    <n v="0"/>
    <m/>
    <x v="18"/>
    <x v="8"/>
  </r>
  <r>
    <s v="SI KDA"/>
    <x v="37"/>
    <x v="37"/>
    <x v="3"/>
    <s v="As a mysolution planner Solution Architect, I want the WFO details to fetch from SI DNP screen and update in SI KDA(DATA/MMP-FFP/OCP/DCTA KDA) So that user can view updated logic for WFH metrics in view KDA"/>
    <n v="4429069"/>
    <s v="Sai/Bhavana"/>
    <s v="Sathya"/>
    <x v="3"/>
    <x v="2"/>
    <s v="Eexternal site integration and excel report validation"/>
    <x v="13"/>
    <m/>
    <m/>
    <x v="3"/>
    <m/>
    <m/>
    <m/>
    <m/>
    <m/>
    <m/>
    <x v="0"/>
    <x v="0"/>
    <s v="Completed"/>
    <s v="Not Started"/>
    <n v="14"/>
    <n v="12"/>
    <n v="0"/>
    <n v="12"/>
    <n v="1"/>
    <n v="0.8"/>
    <s v="Active"/>
    <n v="0"/>
    <n v="0"/>
    <n v="0"/>
    <n v="12"/>
    <n v="12"/>
    <n v="0"/>
    <n v="0"/>
    <m/>
    <x v="18"/>
    <x v="8"/>
  </r>
  <r>
    <s v="SI DCTA"/>
    <x v="43"/>
    <x v="43"/>
    <x v="3"/>
    <s v="As a myISP SA, I want to view 6 billable expense metrics on the KDA screen for the DCTA route (same as OCP), so that I can accurately assess financials with and without billable expense for DCTA engagements."/>
    <n v="4435817"/>
    <s v="Sohana"/>
    <s v="Amresh"/>
    <x v="3"/>
    <x v="2"/>
    <s v="External Integration Validation"/>
    <x v="13"/>
    <m/>
    <m/>
    <x v="3"/>
    <m/>
    <m/>
    <m/>
    <m/>
    <m/>
    <m/>
    <x v="0"/>
    <x v="0"/>
    <s v="Not Started"/>
    <s v="Not Started"/>
    <n v="45"/>
    <n v="27"/>
    <n v="2"/>
    <n v="29"/>
    <n v="0.93"/>
    <n v="0.92"/>
    <s v="Active"/>
    <n v="0"/>
    <n v="0"/>
    <n v="0"/>
    <n v="29"/>
    <n v="29"/>
    <n v="0"/>
    <n v="0"/>
    <m/>
    <x v="19"/>
    <x v="8"/>
  </r>
  <r>
    <s v="PMO"/>
    <x v="3"/>
    <x v="3"/>
    <x v="3"/>
    <s v="[PMO] As a PMO user, I should be able to navigate to Manage / Dashboard screen with the new URL from SI - OCP/DCTA"/>
    <n v="4447063"/>
    <s v="Sohana"/>
    <s v="Amresh"/>
    <x v="21"/>
    <x v="0"/>
    <s v="Requires multiple role navigation checks"/>
    <x v="9"/>
    <s v="Complex"/>
    <m/>
    <x v="13"/>
    <m/>
    <m/>
    <m/>
    <m/>
    <m/>
    <m/>
    <x v="0"/>
    <x v="0"/>
    <s v="Not Started"/>
    <s v="In Progress"/>
    <n v="28"/>
    <n v="21"/>
    <n v="2"/>
    <n v="23"/>
    <n v="0.91"/>
    <n v="0.95"/>
    <s v="PT In Test"/>
    <n v="3"/>
    <n v="0"/>
    <n v="0"/>
    <n v="20"/>
    <n v="23"/>
    <n v="0.13043478260869565"/>
    <n v="1"/>
    <m/>
    <x v="4"/>
    <x v="3"/>
  </r>
  <r>
    <s v="DFD"/>
    <x v="44"/>
    <x v="44"/>
    <x v="4"/>
    <s v="[DFD Request Cancellation mail] As a DFD Requestor, I should get an email notification popup when the SA request is cancelled in DFD"/>
    <n v="4429554"/>
    <s v="karpagapriya"/>
    <s v="logapriya"/>
    <x v="24"/>
    <x v="0"/>
    <s v="Email Funationality"/>
    <x v="0"/>
    <m/>
    <m/>
    <x v="14"/>
    <m/>
    <m/>
    <m/>
    <m/>
    <m/>
    <m/>
    <x v="0"/>
    <x v="0"/>
    <s v="Not Started"/>
    <s v="Not Started"/>
    <n v="60"/>
    <n v="29"/>
    <n v="10"/>
    <n v="29"/>
    <n v="0.9"/>
    <n v="0.95"/>
    <s v="Active"/>
    <n v="0"/>
    <n v="0"/>
    <n v="0"/>
    <n v="29"/>
    <n v="29"/>
    <n v="0"/>
    <n v="0"/>
    <m/>
    <x v="20"/>
    <x v="4"/>
  </r>
  <r>
    <s v="DFD"/>
    <x v="44"/>
    <x v="44"/>
    <x v="4"/>
    <s v="[DFD Request Cancellation mail] As a DFD Requestor, I should get an email notification when the SME request is cancelled in DFD"/>
    <n v="4429581"/>
    <s v="Sangeetha"/>
    <s v="Anusha"/>
    <x v="25"/>
    <x v="0"/>
    <s v="Email Funationality"/>
    <x v="0"/>
    <m/>
    <m/>
    <x v="1"/>
    <m/>
    <m/>
    <m/>
    <m/>
    <m/>
    <m/>
    <x v="0"/>
    <x v="0"/>
    <s v="Not Started"/>
    <s v="Not Started"/>
    <n v="38"/>
    <n v="16"/>
    <n v="3"/>
    <n v="19"/>
    <n v="0.85"/>
    <n v="0.85"/>
    <s v="Active"/>
    <n v="0"/>
    <n v="0"/>
    <n v="0"/>
    <n v="19"/>
    <n v="19"/>
    <n v="0"/>
    <n v="0"/>
    <m/>
    <x v="20"/>
    <x v="4"/>
  </r>
  <r>
    <s v="Analytics"/>
    <x v="45"/>
    <x v="45"/>
    <x v="4"/>
    <s v="As an Solution Architect, I want the filters to be applied based on Market, Market Unit, and Client Group filters in the SA Bandwidth Report from PLD, so that users see a relevant default report view"/>
    <n v="4432786"/>
    <s v="Logapriya"/>
    <s v="Karpagapriya"/>
    <x v="26"/>
    <x v="0"/>
    <s v="Reports US can't be Automate"/>
    <x v="6"/>
    <m/>
    <m/>
    <x v="15"/>
    <m/>
    <m/>
    <m/>
    <m/>
    <m/>
    <m/>
    <x v="0"/>
    <x v="0"/>
    <s v="Not Started"/>
    <s v="Not Started"/>
    <n v="47"/>
    <n v="12"/>
    <n v="1"/>
    <n v="13"/>
    <n v="0.9"/>
    <n v="0.85"/>
    <s v="Active"/>
    <n v="0"/>
    <n v="0"/>
    <n v="0"/>
    <n v="0"/>
    <n v="0"/>
    <n v="0"/>
    <n v="0"/>
    <m/>
    <x v="21"/>
    <x v="9"/>
  </r>
  <r>
    <s v="DFD"/>
    <x v="44"/>
    <x v="44"/>
    <x v="4"/>
    <s v="[DFD Request Cancellation mail] As a DFD Requestor, I should get an email notification popup when the SME request is cancelled in DFD"/>
    <n v="4434050"/>
    <s v="Logapriya"/>
    <s v="Karpagapriya"/>
    <x v="26"/>
    <x v="0"/>
    <s v="Email Funationality"/>
    <x v="0"/>
    <m/>
    <m/>
    <x v="1"/>
    <m/>
    <m/>
    <m/>
    <m/>
    <m/>
    <m/>
    <x v="0"/>
    <x v="0"/>
    <s v="Not Started"/>
    <s v="Not Started"/>
    <n v="45"/>
    <n v="8"/>
    <n v="3"/>
    <n v="11"/>
    <n v="0.8"/>
    <n v="0.7"/>
    <s v="Active"/>
    <n v="0"/>
    <n v="0"/>
    <n v="0"/>
    <n v="0"/>
    <n v="0"/>
    <n v="0"/>
    <n v="0"/>
    <m/>
    <x v="20"/>
    <x v="4"/>
  </r>
  <r>
    <s v="DFD"/>
    <x v="44"/>
    <x v="44"/>
    <x v="4"/>
    <s v="[DFD Request Cancellation mail] As a DFD Requestor, I should get an email notification when the SA request is cancelled in DFD"/>
    <n v="4436381"/>
    <s v="Anusha"/>
    <s v="Sangeetha"/>
    <x v="27"/>
    <x v="0"/>
    <s v="Email Funationality"/>
    <x v="0"/>
    <m/>
    <m/>
    <x v="1"/>
    <m/>
    <m/>
    <m/>
    <m/>
    <m/>
    <m/>
    <x v="0"/>
    <x v="0"/>
    <s v="Not Started"/>
    <s v="Not Started"/>
    <n v="38"/>
    <n v="26"/>
    <n v="9"/>
    <n v="35"/>
    <n v="0.9"/>
    <n v="0.9"/>
    <s v="Active"/>
    <n v="0"/>
    <n v="0"/>
    <n v="0"/>
    <n v="35"/>
    <n v="35"/>
    <n v="0"/>
    <n v="0"/>
    <m/>
    <x v="20"/>
    <x v="4"/>
  </r>
  <r>
    <s v="DFD-myISP"/>
    <x v="46"/>
    <x v="46"/>
    <x v="4"/>
    <s v="Song[Opportunities Dashboard &amp; PLD] -As a myISP User ,I want to provide a one-time update for existing deals and update the RAG and Score as per the Song Compliance Logic So that all historical and active deals reflect accurate compliance status"/>
    <n v="4441955"/>
    <s v="Sangeetha"/>
    <s v="Anusha"/>
    <x v="3"/>
    <x v="2"/>
    <s v="This is onetime update US"/>
    <x v="4"/>
    <m/>
    <m/>
    <x v="3"/>
    <m/>
    <m/>
    <m/>
    <m/>
    <m/>
    <m/>
    <x v="0"/>
    <x v="0"/>
    <s v="Not Started"/>
    <s v="Not Started"/>
    <n v="20"/>
    <n v="9"/>
    <n v="3"/>
    <n v="12"/>
    <n v="0.85"/>
    <n v="0.8"/>
    <s v="Active"/>
    <n v="0"/>
    <n v="0"/>
    <n v="0"/>
    <n v="12"/>
    <n v="12"/>
    <n v="0"/>
    <n v="0"/>
    <m/>
    <x v="22"/>
    <x v="4"/>
  </r>
  <r>
    <s v="PLD Enhancements"/>
    <x v="46"/>
    <x v="46"/>
    <x v="4"/>
    <s v="Song [PLD] - As a Song PLD User ,I want a Compliance Score column to be available in the Assigned tab So that I can view the compliance score for the assigned opportunity and inspect the score breakdown when needed"/>
    <n v="4441963"/>
    <s v="karpagapriya"/>
    <s v="logapriya"/>
    <x v="24"/>
    <x v="0"/>
    <s v="Calculation related user story cannt be autoatable"/>
    <x v="11"/>
    <m/>
    <m/>
    <x v="16"/>
    <m/>
    <m/>
    <m/>
    <m/>
    <m/>
    <m/>
    <x v="0"/>
    <x v="0"/>
    <s v="Not Started"/>
    <s v="In Progress"/>
    <n v="55"/>
    <n v="21"/>
    <n v="15"/>
    <n v="21"/>
    <n v="0.9"/>
    <n v="0.95"/>
    <s v="UAT In Test"/>
    <n v="20"/>
    <n v="1"/>
    <n v="0"/>
    <n v="0"/>
    <n v="21"/>
    <n v="1"/>
    <n v="0.95238095238095233"/>
    <s v="Delivered to UAT with Low bug - 4483241"/>
    <x v="22"/>
    <x v="4"/>
  </r>
  <r>
    <s v="PMO"/>
    <x v="3"/>
    <x v="3"/>
    <x v="4"/>
    <s v="[PMO] As a PMO user, I should be able to see the DFD request in read only format when redirected from PMO Dashboard"/>
    <n v="4447591"/>
    <s v="Anusha"/>
    <s v="Sangeetha"/>
    <x v="3"/>
    <x v="2"/>
    <s v="PMO - DFD Integration Scenario "/>
    <x v="2"/>
    <m/>
    <m/>
    <x v="3"/>
    <m/>
    <m/>
    <m/>
    <m/>
    <m/>
    <m/>
    <x v="0"/>
    <x v="0"/>
    <s v="Not Started"/>
    <s v="Not Started"/>
    <n v="42"/>
    <n v="23"/>
    <n v="9"/>
    <n v="32"/>
    <n v="0.8"/>
    <n v="0.85"/>
    <s v="PT In Test"/>
    <n v="27"/>
    <n v="2"/>
    <n v="3"/>
    <n v="0"/>
    <n v="32"/>
    <n v="0.90625"/>
    <n v="0.84375"/>
    <s v="Bug - 4477418, 4486396_x000a_"/>
    <x v="20"/>
    <x v="4"/>
  </r>
  <r>
    <n v="1"/>
    <x v="47"/>
    <x v="47"/>
    <x v="5"/>
    <s v="**As a** Solution Architect   **I want** the Publish icon to be enabled only after a DCSO has been successfully imported   **So that** I cannot accidentally publish incomplete or unimported DCSO data to the HR tool"/>
    <n v="4278131"/>
    <s v="Mahesh"/>
    <s v="Nithish"/>
    <x v="28"/>
    <x v="0"/>
    <s v="Some scenarios can be validated from backend"/>
    <x v="8"/>
    <s v="Medium"/>
    <n v="3"/>
    <x v="5"/>
    <m/>
    <m/>
    <m/>
    <m/>
    <m/>
    <m/>
    <x v="0"/>
    <x v="0"/>
    <s v="Completed"/>
    <s v="Blocked"/>
    <n v="15"/>
    <n v="4"/>
    <n v="0"/>
    <n v="4"/>
    <n v="0.9"/>
    <n v="0.9"/>
    <s v="Blocked"/>
    <n v="2"/>
    <n v="0"/>
    <n v="0"/>
    <n v="2"/>
    <n v="4"/>
    <n v="0.5"/>
    <n v="1"/>
    <s v="4487642 - C"/>
    <x v="23"/>
    <x v="10"/>
  </r>
  <r>
    <s v="BPMS onboarding "/>
    <x v="12"/>
    <x v="12"/>
    <x v="5"/>
    <s v="As a myISP user, I want to enabled Countries to Support tab under &quot;Scope&quot; section for BPMS SG so that BPMS user can select and filled the listed countries without  sync from BPMS INSPIRE."/>
    <n v="4361416"/>
    <s v="Jeba"/>
    <s v="Pavithra"/>
    <x v="29"/>
    <x v="1"/>
    <m/>
    <x v="1"/>
    <s v="Medium"/>
    <m/>
    <x v="2"/>
    <m/>
    <m/>
    <m/>
    <m/>
    <m/>
    <m/>
    <x v="0"/>
    <x v="0"/>
    <s v="Completed"/>
    <s v="Not Started"/>
    <n v="20"/>
    <n v="4"/>
    <n v="0"/>
    <n v="4"/>
    <n v="0.8"/>
    <n v="0.8"/>
    <s v="Active"/>
    <n v="0"/>
    <n v="0"/>
    <n v="0"/>
    <n v="4"/>
    <n v="4"/>
    <n v="0"/>
    <n v="0"/>
    <m/>
    <x v="1"/>
    <x v="1"/>
  </r>
  <r>
    <s v="BPMS Onboarding"/>
    <x v="48"/>
    <x v="48"/>
    <x v="5"/>
    <s v="As a BPMS Solution Architect, I Want to See Rolled Up BPMS Revenue used in the compliance score of Opportunity workflow"/>
    <n v="4391602"/>
    <s v="Sakshi"/>
    <m/>
    <x v="30"/>
    <x v="1"/>
    <m/>
    <x v="1"/>
    <m/>
    <m/>
    <x v="1"/>
    <m/>
    <m/>
    <m/>
    <m/>
    <m/>
    <m/>
    <x v="0"/>
    <x v="0"/>
    <s v="Completed"/>
    <s v="Not Started"/>
    <n v="30"/>
    <n v="20"/>
    <n v="26"/>
    <n v="26"/>
    <n v="0.6"/>
    <n v="0.6"/>
    <s v="Active"/>
    <n v="0"/>
    <n v="0"/>
    <n v="0"/>
    <n v="0"/>
    <n v="26"/>
    <n v="0"/>
    <n v="0"/>
    <m/>
    <x v="1"/>
    <x v="1"/>
  </r>
  <r>
    <s v="DCSO"/>
    <x v="47"/>
    <x v="47"/>
    <x v="5"/>
    <s v="As a Solution Architect, I want the Publish icon to be permanently disabled for Extension deals, Restricted Opportunities, Interim Deals, Ventures and Acquisitions deals, and Closed deals So that these deal data are not published to the HR tool"/>
    <n v="4421576"/>
    <s v="Mahesh"/>
    <s v="Nithish"/>
    <x v="28"/>
    <x v="1"/>
    <m/>
    <x v="1"/>
    <s v="Medium"/>
    <n v="6"/>
    <x v="5"/>
    <n v="10"/>
    <n v="6"/>
    <n v="0"/>
    <n v="6"/>
    <n v="0.9"/>
    <n v="0.9"/>
    <x v="0"/>
    <x v="0"/>
    <s v="Completed"/>
    <s v="Blocked"/>
    <n v="10"/>
    <n v="6"/>
    <n v="0"/>
    <n v="6"/>
    <n v="0.9"/>
    <n v="0.9"/>
    <s v="Blocked"/>
    <n v="0"/>
    <n v="0"/>
    <n v="0"/>
    <n v="6"/>
    <n v="6"/>
    <n v="0"/>
    <n v="0"/>
    <s v="4487642 - C"/>
    <x v="23"/>
    <x v="10"/>
  </r>
  <r>
    <s v="DCSO"/>
    <x v="47"/>
    <x v="47"/>
    <x v="5"/>
    <s v="**As a** Solution Architect   **I want** the Delete icon to be disabled once a DCSO has been successfully published   **So that** published DCSO data sent to the HR tool cannot be accidentally deleted, ensuring data integrity"/>
    <n v="4421613"/>
    <s v="Mahesh"/>
    <s v="Nithish"/>
    <x v="28"/>
    <x v="1"/>
    <m/>
    <x v="1"/>
    <s v="Medium"/>
    <n v="6"/>
    <x v="5"/>
    <n v="15"/>
    <n v="4"/>
    <n v="2"/>
    <n v="6"/>
    <n v="0.7"/>
    <n v="0.7"/>
    <x v="0"/>
    <x v="0"/>
    <s v="Completed"/>
    <s v="Blocked"/>
    <n v="15"/>
    <n v="4"/>
    <n v="2"/>
    <n v="6"/>
    <n v="0.7"/>
    <n v="0.7"/>
    <s v="Blocked"/>
    <n v="1"/>
    <n v="0"/>
    <n v="0"/>
    <n v="5"/>
    <n v="6"/>
    <n v="0.16666666666666666"/>
    <n v="1"/>
    <s v="4487642 - C"/>
    <x v="23"/>
    <x v="10"/>
  </r>
  <r>
    <s v="DCSO"/>
    <x v="47"/>
    <x v="47"/>
    <x v="5"/>
    <s v="**As a** Solution Architect   **I want** the system to validate the DCSO version sync status when user click Publish, and show an error if the status is &quot;Not In Sync&quot;   **So that** Not in Sync DCSO is not published to HR tool"/>
    <n v="4421619"/>
    <s v="Mahesh"/>
    <s v="Nithish"/>
    <x v="28"/>
    <x v="1"/>
    <m/>
    <x v="1"/>
    <s v="Medium"/>
    <n v="3"/>
    <x v="5"/>
    <n v="11"/>
    <n v="4"/>
    <n v="1"/>
    <n v="5"/>
    <n v="0.85"/>
    <n v="0.85"/>
    <x v="0"/>
    <x v="0"/>
    <s v="Completed"/>
    <s v="Blocked"/>
    <n v="11"/>
    <n v="4"/>
    <n v="1"/>
    <n v="5"/>
    <n v="0.85"/>
    <n v="0.85"/>
    <s v="Blocked"/>
    <n v="0"/>
    <n v="0"/>
    <n v="0"/>
    <n v="5"/>
    <n v="5"/>
    <n v="0"/>
    <n v="0"/>
    <s v="4487642 - C"/>
    <x v="23"/>
    <x v="10"/>
  </r>
  <r>
    <s v="DCSO"/>
    <x v="47"/>
    <x v="47"/>
    <x v="5"/>
    <s v="**As a** Solution Architect   **I want** the system to validate that each resource line's FTE Start Date is at least 16 calendar days ahead of the Publish Date when I click Publish   **So that** Publish is successful"/>
    <n v="4422310"/>
    <s v="Mahesh"/>
    <s v="Nithish"/>
    <x v="28"/>
    <x v="1"/>
    <s v="Excel sheet validation"/>
    <x v="8"/>
    <s v="Medium"/>
    <m/>
    <x v="5"/>
    <m/>
    <m/>
    <m/>
    <m/>
    <m/>
    <m/>
    <x v="0"/>
    <x v="0"/>
    <s v="Completed"/>
    <s v="Blocked"/>
    <n v="20"/>
    <n v="9"/>
    <n v="2"/>
    <n v="11"/>
    <n v="0.7"/>
    <n v="0.7"/>
    <s v="On Hold"/>
    <n v="0"/>
    <n v="0"/>
    <n v="0"/>
    <n v="11"/>
    <n v="11"/>
    <n v="0"/>
    <n v="0"/>
    <s v="4487642 - C"/>
    <x v="23"/>
    <x v="10"/>
  </r>
  <r>
    <s v="DCSO"/>
    <x v="47"/>
    <x v="47"/>
    <x v="5"/>
    <s v="**As a** Solution Architect   **I want** the system to publish the DCSO data to the HR tool after all validations pass   **So that** HR receives accurate, validated staffing data for processing"/>
    <n v="4422354"/>
    <s v="Arun"/>
    <s v="Shital"/>
    <x v="31"/>
    <x v="1"/>
    <m/>
    <x v="1"/>
    <s v="Medium"/>
    <m/>
    <x v="2"/>
    <m/>
    <m/>
    <m/>
    <m/>
    <m/>
    <m/>
    <x v="0"/>
    <x v="0"/>
    <s v="Completed"/>
    <s v="Not Started"/>
    <n v="12"/>
    <n v="10"/>
    <n v="12"/>
    <n v="12"/>
    <n v="0.8"/>
    <n v="0.8"/>
    <s v="On Hold"/>
    <n v="0"/>
    <n v="0"/>
    <n v="1"/>
    <n v="11"/>
    <n v="12"/>
    <n v="0"/>
    <n v="0"/>
    <m/>
    <x v="23"/>
    <x v="10"/>
  </r>
  <r>
    <s v="DCSO"/>
    <x v="49"/>
    <x v="49"/>
    <x v="5"/>
    <s v="As a Solution Architect   I want to be able to generate a DCSO for Ventures &amp; Acquisitions deals, Restricted Opportunities, Extension deals, Interim deals, and Closed deals   So that staffing plans can be created"/>
    <n v="4423248"/>
    <s v="Nithish"/>
    <s v="Mahesh"/>
    <x v="32"/>
    <x v="1"/>
    <m/>
    <x v="1"/>
    <s v="Complex"/>
    <m/>
    <x v="1"/>
    <m/>
    <m/>
    <m/>
    <m/>
    <m/>
    <m/>
    <x v="0"/>
    <x v="0"/>
    <s v="Completed"/>
    <s v="Blocked"/>
    <n v="8"/>
    <n v="7"/>
    <n v="0"/>
    <n v="7"/>
    <n v="0.95"/>
    <n v="0.98"/>
    <s v="Ready for Test"/>
    <n v="0"/>
    <n v="0"/>
    <n v="0"/>
    <n v="7"/>
    <n v="7"/>
    <n v="0"/>
    <n v="0"/>
    <m/>
    <x v="23"/>
    <x v="10"/>
  </r>
  <r>
    <s v="DCSO"/>
    <x v="49"/>
    <x v="49"/>
    <x v="5"/>
    <s v="As a Solution Architect   I want to access and launch the Digital DCSO module directly from the Opportunity Workflow page for IMS/AMS/SI So that I can generate and manage DCSO"/>
    <n v="4423252"/>
    <s v="Nithish"/>
    <s v="Mahesh"/>
    <x v="32"/>
    <x v="1"/>
    <m/>
    <x v="1"/>
    <s v="Complex"/>
    <m/>
    <x v="2"/>
    <m/>
    <m/>
    <m/>
    <m/>
    <m/>
    <m/>
    <x v="0"/>
    <x v="0"/>
    <s v="Completed"/>
    <s v="Not Started"/>
    <n v="8"/>
    <n v="8"/>
    <n v="0"/>
    <n v="8"/>
    <n v="1"/>
    <n v="1"/>
    <s v="Active"/>
    <n v="0"/>
    <n v="0"/>
    <n v="0"/>
    <n v="8"/>
    <n v="8"/>
    <n v="0"/>
    <n v="0"/>
    <m/>
    <x v="1"/>
    <x v="1"/>
  </r>
  <r>
    <s v="DCSO"/>
    <x v="49"/>
    <x v="49"/>
    <x v="5"/>
    <s v="As a Solution Architect   I want to access Digital DCSO functionality inside the Digital Documentation module for IMS/AMS/SI  So that I can view and manage DCSO staffing data"/>
    <n v="4423255"/>
    <s v="Nithish"/>
    <s v="Mahesh"/>
    <x v="32"/>
    <x v="1"/>
    <m/>
    <x v="1"/>
    <s v="Complex"/>
    <m/>
    <x v="8"/>
    <m/>
    <m/>
    <m/>
    <m/>
    <m/>
    <m/>
    <x v="0"/>
    <x v="0"/>
    <s v="Completed"/>
    <s v="In Progress"/>
    <n v="8"/>
    <n v="8"/>
    <n v="0"/>
    <n v="8"/>
    <n v="1"/>
    <n v="1"/>
    <s v="PT In Test"/>
    <n v="7"/>
    <n v="1"/>
    <n v="0"/>
    <n v="0"/>
    <n v="8"/>
    <n v="1"/>
    <n v="0.875"/>
    <s v="4474996-H"/>
    <x v="24"/>
    <x v="5"/>
  </r>
  <r>
    <s v="DCSO"/>
    <x v="49"/>
    <x v="49"/>
    <x v="5"/>
    <s v="As a user, I want to see a Summary section on the DCSO Versions tab so that I can get a quick overview of version counts"/>
    <n v="4423291"/>
    <s v="Nithish"/>
    <s v="Mahesh"/>
    <x v="32"/>
    <x v="1"/>
    <m/>
    <x v="1"/>
    <s v="Medium"/>
    <m/>
    <x v="11"/>
    <m/>
    <m/>
    <m/>
    <m/>
    <m/>
    <m/>
    <x v="0"/>
    <x v="0"/>
    <s v="Completed"/>
    <s v="In Progress"/>
    <n v="7"/>
    <n v="7"/>
    <n v="0"/>
    <n v="7"/>
    <n v="1"/>
    <n v="1"/>
    <s v="PT In Test"/>
    <n v="4"/>
    <n v="3"/>
    <n v="0"/>
    <n v="0"/>
    <n v="7"/>
    <n v="1"/>
    <n v="0.5714285714285714"/>
    <s v="4474996-H"/>
    <x v="23"/>
    <x v="10"/>
  </r>
  <r>
    <s v="DCSO"/>
    <x v="49"/>
    <x v="49"/>
    <x v="5"/>
    <s v="As a user, I want to see Solution Versions count with AMS, SI, IMS, BPMS category breakdown in the Summary section"/>
    <n v="4423294"/>
    <s v="Nithish"/>
    <s v="Mahesh"/>
    <x v="32"/>
    <x v="1"/>
    <m/>
    <x v="1"/>
    <s v="Medium"/>
    <m/>
    <x v="2"/>
    <m/>
    <m/>
    <m/>
    <m/>
    <m/>
    <m/>
    <x v="0"/>
    <x v="0"/>
    <s v="Completed"/>
    <s v="In Progress"/>
    <n v="8"/>
    <n v="8"/>
    <n v="0"/>
    <n v="8"/>
    <n v="1"/>
    <n v="1"/>
    <s v="PT In Test"/>
    <n v="4"/>
    <n v="0"/>
    <n v="0"/>
    <n v="4"/>
    <n v="8"/>
    <n v="0.5"/>
    <n v="1"/>
    <m/>
    <x v="23"/>
    <x v="10"/>
  </r>
  <r>
    <s v="DCSO"/>
    <x v="49"/>
    <x v="49"/>
    <x v="5"/>
    <s v="As a user, I want to see DCSO Versions count with AMS, SI, IMS, BPMS category breakdown in the Summary section"/>
    <n v="4423296"/>
    <s v="Nithish"/>
    <s v="Mahesh"/>
    <x v="32"/>
    <x v="1"/>
    <m/>
    <x v="1"/>
    <s v="Medium"/>
    <m/>
    <x v="2"/>
    <m/>
    <m/>
    <m/>
    <m/>
    <m/>
    <m/>
    <x v="0"/>
    <x v="0"/>
    <s v="Completed"/>
    <s v="In Progress"/>
    <n v="7"/>
    <n v="7"/>
    <n v="0"/>
    <n v="7"/>
    <n v="1"/>
    <n v="1"/>
    <s v="PT In Test"/>
    <n v="4"/>
    <n v="0"/>
    <n v="0"/>
    <n v="3"/>
    <n v="7"/>
    <n v="0.5714285714285714"/>
    <n v="1"/>
    <m/>
    <x v="23"/>
    <x v="10"/>
  </r>
  <r>
    <s v="DCSO"/>
    <x v="49"/>
    <x v="49"/>
    <x v="5"/>
    <s v="As a user, I want to see DCSO versions published to myScheduling/SMART count with category breakdown in Summary"/>
    <n v="4423299"/>
    <s v="Nithish"/>
    <s v="Mahesh"/>
    <x v="32"/>
    <x v="1"/>
    <m/>
    <x v="1"/>
    <s v="Medium"/>
    <m/>
    <x v="1"/>
    <m/>
    <m/>
    <m/>
    <m/>
    <m/>
    <m/>
    <x v="0"/>
    <x v="0"/>
    <s v="Completed"/>
    <s v="Blocked"/>
    <n v="7"/>
    <n v="7"/>
    <n v="0"/>
    <n v="7"/>
    <n v="1"/>
    <n v="1"/>
    <s v="PT In Test"/>
    <n v="0"/>
    <n v="0"/>
    <n v="0"/>
    <n v="7"/>
    <n v="7"/>
    <n v="0"/>
    <n v="0"/>
    <n v="4487642"/>
    <x v="23"/>
    <x v="10"/>
  </r>
  <r>
    <s v="DCSO"/>
    <x v="49"/>
    <x v="49"/>
    <x v="5"/>
    <s v="As a user, I want to expand and collapse the Summary section so that I can manage DCSO screen"/>
    <n v="4423301"/>
    <s v="Nithish"/>
    <s v="Mahesh"/>
    <x v="33"/>
    <x v="1"/>
    <m/>
    <x v="1"/>
    <s v="Simple"/>
    <n v="6"/>
    <x v="16"/>
    <n v="6"/>
    <n v="2"/>
    <n v="4"/>
    <n v="6"/>
    <n v="0.4"/>
    <n v="0.5"/>
    <x v="0"/>
    <x v="0"/>
    <s v="Completed"/>
    <s v="In Progress"/>
    <n v="6"/>
    <n v="6"/>
    <n v="0"/>
    <n v="6"/>
    <n v="1"/>
    <n v="1"/>
    <s v="PT In Test"/>
    <n v="3"/>
    <n v="0"/>
    <n v="0"/>
    <n v="3"/>
    <n v="6"/>
    <n v="0.5"/>
    <n v="1"/>
    <m/>
    <x v="23"/>
    <x v="10"/>
  </r>
  <r>
    <s v="DCSO"/>
    <x v="49"/>
    <x v="49"/>
    <x v="5"/>
    <s v="As a user, I want the Summary section counts to dynamically reflect actual data so the overview is always accurate"/>
    <n v="4423304"/>
    <s v="Nithish"/>
    <s v="Mahesh"/>
    <x v="33"/>
    <x v="1"/>
    <m/>
    <x v="1"/>
    <s v="Medium"/>
    <m/>
    <x v="0"/>
    <m/>
    <m/>
    <m/>
    <m/>
    <m/>
    <m/>
    <x v="0"/>
    <x v="0"/>
    <s v="Completed"/>
    <s v="In Progress"/>
    <n v="7"/>
    <n v="7"/>
    <n v="0"/>
    <n v="7"/>
    <n v="1"/>
    <n v="1"/>
    <s v="PT In Test"/>
    <n v="5"/>
    <n v="0"/>
    <n v="0"/>
    <n v="2"/>
    <n v="7"/>
    <n v="0.7142857142857143"/>
    <n v="1"/>
    <m/>
    <x v="23"/>
    <x v="10"/>
  </r>
  <r>
    <s v="DCSO"/>
    <x v="49"/>
    <x v="49"/>
    <x v="5"/>
    <s v="As a Solution Architect, I want Transition and SD resource line items to be merged into a single row when they belong to the same group in the DCSO report so that the report is concise and easier to review"/>
    <n v="4425029"/>
    <s v="Arun"/>
    <s v="Shital"/>
    <x v="31"/>
    <x v="1"/>
    <s v="Export Import Functionality"/>
    <x v="8"/>
    <s v="Complex"/>
    <m/>
    <x v="2"/>
    <m/>
    <m/>
    <m/>
    <m/>
    <m/>
    <m/>
    <x v="0"/>
    <x v="0"/>
    <s v="Completed"/>
    <s v="Not Started"/>
    <n v="11"/>
    <n v="8"/>
    <n v="20"/>
    <n v="20"/>
    <n v="0.6"/>
    <n v="0.6"/>
    <s v="New"/>
    <n v="0"/>
    <n v="0"/>
    <n v="0"/>
    <n v="20"/>
    <n v="20"/>
    <n v="0"/>
    <n v="0"/>
    <m/>
    <x v="23"/>
    <x v="10"/>
  </r>
  <r>
    <s v="DCSO"/>
    <x v="47"/>
    <x v="47"/>
    <x v="5"/>
    <s v="As a Solution Architect, I want the DCSO template data to be integrated and sent to SMART and myScheduling so that solutioning tools receive the required details for downstream planning"/>
    <n v="4425459"/>
    <s v="Nithish"/>
    <s v="Mahesh"/>
    <x v="32"/>
    <x v="2"/>
    <s v="Technical US need to do backend validation"/>
    <x v="4"/>
    <s v="Complex"/>
    <m/>
    <x v="6"/>
    <m/>
    <m/>
    <m/>
    <m/>
    <m/>
    <m/>
    <x v="0"/>
    <x v="0"/>
    <s v="Completed"/>
    <s v="Not Started"/>
    <n v="8"/>
    <n v="8"/>
    <n v="1"/>
    <n v="9"/>
    <n v="0.95"/>
    <n v="0.98"/>
    <s v="PT In Test"/>
    <n v="0"/>
    <n v="0"/>
    <n v="0"/>
    <n v="9"/>
    <n v="9"/>
    <n v="0"/>
    <n v="0"/>
    <m/>
    <x v="23"/>
    <x v="10"/>
  </r>
  <r>
    <s v="DCSO"/>
    <x v="16"/>
    <x v="16"/>
    <x v="5"/>
    <s v="As a Solution Architect, I want the DL Assignment popup grid to display only the selected SG versions so that I only assign DLs to relevant Service Groups"/>
    <n v="4425950"/>
    <s v="Lakshmi"/>
    <s v="Mahesh"/>
    <x v="34"/>
    <x v="1"/>
    <m/>
    <x v="1"/>
    <s v="Medium"/>
    <m/>
    <x v="6"/>
    <m/>
    <m/>
    <m/>
    <m/>
    <m/>
    <m/>
    <x v="0"/>
    <x v="0"/>
    <s v="Completed"/>
    <s v="Not Started"/>
    <n v="6"/>
    <n v="5"/>
    <n v="1"/>
    <n v="5"/>
    <n v="0.6"/>
    <n v="0.6"/>
    <s v="In Development"/>
    <n v="0"/>
    <n v="0"/>
    <n v="0"/>
    <n v="5"/>
    <n v="5"/>
    <n v="0"/>
    <n v="0"/>
    <m/>
    <x v="23"/>
    <x v="10"/>
  </r>
  <r>
    <s v="DCSO"/>
    <x v="16"/>
    <x v="16"/>
    <x v="5"/>
    <s v="As a Solution Architect, I want the Delivery Lead Category based on the country selected in the version with Global always available so that DL options are contextually relevant"/>
    <n v="4425951"/>
    <s v="Lakshmi"/>
    <s v="Mahesh"/>
    <x v="34"/>
    <x v="1"/>
    <m/>
    <x v="1"/>
    <s v="Medium"/>
    <m/>
    <x v="6"/>
    <m/>
    <m/>
    <m/>
    <m/>
    <m/>
    <m/>
    <x v="0"/>
    <x v="0"/>
    <s v="Completed"/>
    <s v="Not Started"/>
    <n v="7"/>
    <n v="3"/>
    <n v="2"/>
    <n v="3"/>
    <n v="0.7"/>
    <n v="0.7"/>
    <s v="In Development"/>
    <n v="0"/>
    <n v="0"/>
    <n v="0"/>
    <n v="3"/>
    <n v="3"/>
    <n v="0"/>
    <n v="0"/>
    <m/>
    <x v="23"/>
    <x v="10"/>
  </r>
  <r>
    <s v="DCSO"/>
    <x v="16"/>
    <x v="16"/>
    <x v="5"/>
    <s v="As a Solution Architect, I want the Save and Confirm  button to be disabled when DL assignment is incomplete on Click of Generate DCSO for AMS/SI/IMS so that I cannot proceed with missing DL data"/>
    <n v="4425952"/>
    <s v="Lakshmi"/>
    <s v="Mahesh"/>
    <x v="34"/>
    <x v="1"/>
    <m/>
    <x v="1"/>
    <s v="Medium"/>
    <m/>
    <x v="6"/>
    <m/>
    <m/>
    <m/>
    <m/>
    <m/>
    <m/>
    <x v="0"/>
    <x v="0"/>
    <s v="Completed"/>
    <s v="Not Started"/>
    <n v="8"/>
    <n v="6"/>
    <n v="3"/>
    <n v="6"/>
    <n v="0.6"/>
    <n v="0.8"/>
    <s v="In Development"/>
    <n v="0"/>
    <n v="0"/>
    <n v="0"/>
    <n v="6"/>
    <n v="6"/>
    <n v="0"/>
    <n v="0"/>
    <m/>
    <x v="23"/>
    <x v="10"/>
  </r>
  <r>
    <s v="DCSO"/>
    <x v="16"/>
    <x v="16"/>
    <x v="5"/>
    <s v="As a Solution Architect, I want to review and update existing Delivery Lead assignments via Manage popup so that I can confirm or modify DLs before DCSO generation"/>
    <n v="4425953"/>
    <s v="Pavithra"/>
    <s v="Mahesh"/>
    <x v="35"/>
    <x v="2"/>
    <s v="DL Assignment"/>
    <x v="14"/>
    <m/>
    <m/>
    <x v="3"/>
    <m/>
    <m/>
    <m/>
    <m/>
    <m/>
    <m/>
    <x v="0"/>
    <x v="0"/>
    <s v="Completed"/>
    <s v="Not Started"/>
    <n v="11"/>
    <n v="8"/>
    <n v="0"/>
    <n v="8"/>
    <n v="0.75"/>
    <n v="0.8"/>
    <s v="In Development"/>
    <n v="0"/>
    <n v="0"/>
    <n v="0"/>
    <n v="8"/>
    <n v="8"/>
    <n v="0"/>
    <n v="0"/>
    <m/>
    <x v="23"/>
    <x v="10"/>
  </r>
  <r>
    <s v="DCSO"/>
    <x v="16"/>
    <x v="16"/>
    <x v="5"/>
    <s v="As a Solution Architect, I want to see the Assign Delivery Lead popup on first-time Generate DCSO and via Manage action so that I can assign DLs before DCSO generation"/>
    <n v="4425954"/>
    <s v="Lakshmi"/>
    <s v="Mahesh"/>
    <x v="34"/>
    <x v="1"/>
    <m/>
    <x v="1"/>
    <s v="Medium"/>
    <m/>
    <x v="6"/>
    <m/>
    <m/>
    <m/>
    <m/>
    <m/>
    <m/>
    <x v="0"/>
    <x v="0"/>
    <s v="Completed"/>
    <s v="Not Started"/>
    <n v="15"/>
    <n v="10"/>
    <n v="1"/>
    <n v="10"/>
    <n v="0.5"/>
    <n v="0.6"/>
    <s v="In Development"/>
    <n v="0"/>
    <n v="0"/>
    <n v="0"/>
    <n v="10"/>
    <n v="10"/>
    <n v="0"/>
    <n v="0"/>
    <m/>
    <x v="23"/>
    <x v="10"/>
  </r>
  <r>
    <s v="DCSO"/>
    <x v="16"/>
    <x v="16"/>
    <x v="5"/>
    <s v="As a Solution Architect, I want to search and select Delivery Leads by Enterprise ID in the DL Assignment popup so that I can accurately assign the correct DL to each SG"/>
    <n v="4425955"/>
    <s v="Arun"/>
    <s v="Shital"/>
    <x v="31"/>
    <x v="2"/>
    <s v="DL Assignment"/>
    <x v="14"/>
    <s v="Complex"/>
    <m/>
    <x v="3"/>
    <m/>
    <m/>
    <m/>
    <m/>
    <m/>
    <m/>
    <x v="0"/>
    <x v="0"/>
    <s v="Completed"/>
    <s v="Not Started"/>
    <n v="8"/>
    <n v="8"/>
    <n v="10"/>
    <n v="10"/>
    <n v="0.8"/>
    <n v="0.8"/>
    <s v="In Development"/>
    <n v="0"/>
    <n v="0"/>
    <n v="0"/>
    <n v="10"/>
    <n v="10"/>
    <n v="0"/>
    <n v="0"/>
    <m/>
    <x v="23"/>
    <x v="10"/>
  </r>
  <r>
    <s v="Mobilization CXTA"/>
    <x v="50"/>
    <x v="50"/>
    <x v="5"/>
    <s v="As a myISP user, I need to see a new tab named &quot;CTW Readiness&quot; and some new fields mapped in it for Mobilization CXTA Calculator"/>
    <n v="4434380"/>
    <s v="Lakshmi"/>
    <s v="Mahesh"/>
    <x v="34"/>
    <x v="1"/>
    <m/>
    <x v="1"/>
    <s v="Simple"/>
    <m/>
    <x v="12"/>
    <m/>
    <m/>
    <m/>
    <m/>
    <m/>
    <m/>
    <x v="0"/>
    <x v="0"/>
    <s v="Completed"/>
    <s v="Not Started"/>
    <n v="9"/>
    <n v="3"/>
    <n v="2"/>
    <n v="4"/>
    <n v="0.4"/>
    <n v="0.5"/>
    <s v="PT In Test"/>
    <n v="0"/>
    <n v="0"/>
    <n v="0"/>
    <n v="4"/>
    <n v="4"/>
    <n v="0"/>
    <n v="0"/>
    <m/>
    <x v="25"/>
    <x v="11"/>
  </r>
  <r>
    <s v="Mobilization CXTA"/>
    <x v="50"/>
    <x v="50"/>
    <x v="5"/>
    <s v="As a myISP user, I need to see some new fields being introduced in UI in different tabs in Mobilization CXTA Calculator"/>
    <n v="4434383"/>
    <s v="Lakshmi"/>
    <s v="Mahesh"/>
    <x v="34"/>
    <x v="1"/>
    <m/>
    <x v="1"/>
    <s v="Simple"/>
    <m/>
    <x v="16"/>
    <m/>
    <m/>
    <m/>
    <m/>
    <m/>
    <m/>
    <x v="0"/>
    <x v="0"/>
    <s v="Completed"/>
    <s v="In Progress"/>
    <n v="8"/>
    <n v="4"/>
    <n v="1"/>
    <n v="5"/>
    <n v="0.4"/>
    <n v="0.5"/>
    <s v="PT In Test"/>
    <n v="0"/>
    <n v="0"/>
    <n v="0"/>
    <n v="5"/>
    <n v="5"/>
    <n v="0"/>
    <n v="0"/>
    <m/>
    <x v="25"/>
    <x v="11"/>
  </r>
  <r>
    <s v="Mobilization CXTA"/>
    <x v="50"/>
    <x v="50"/>
    <x v="5"/>
    <s v="As a myISP user, I need to see the updated names of some of the fields in Mobilization CXTA Calculator"/>
    <n v="4434479"/>
    <s v="Lakshmi"/>
    <s v="Mahesh"/>
    <x v="34"/>
    <x v="1"/>
    <m/>
    <x v="1"/>
    <s v="Simple"/>
    <m/>
    <x v="16"/>
    <m/>
    <m/>
    <m/>
    <m/>
    <m/>
    <m/>
    <x v="0"/>
    <x v="0"/>
    <s v="Completed"/>
    <s v="In Progress"/>
    <n v="6"/>
    <n v="4"/>
    <n v="1"/>
    <n v="5"/>
    <n v="0.7"/>
    <n v="0.4"/>
    <s v="PT In Test"/>
    <n v="0"/>
    <n v="0"/>
    <n v="0"/>
    <n v="4"/>
    <n v="4"/>
    <n v="0"/>
    <n v="0"/>
    <m/>
    <x v="25"/>
    <x v="11"/>
  </r>
  <r>
    <s v="DCSO"/>
    <x v="47"/>
    <x v="47"/>
    <x v="5"/>
    <s v="As a DCSO system user, I want the DCSO approver details to be sent to Staffing tools so that the correct approver information is available for downstream staffing and reporting."/>
    <n v="4436594"/>
    <s v="Pavithra"/>
    <s v="jeba"/>
    <x v="35"/>
    <x v="2"/>
    <s v="Need to verify in backend "/>
    <x v="4"/>
    <m/>
    <m/>
    <x v="3"/>
    <m/>
    <m/>
    <m/>
    <m/>
    <m/>
    <m/>
    <x v="0"/>
    <x v="0"/>
    <s v="Completed"/>
    <s v="In Progress"/>
    <n v="15"/>
    <n v="5"/>
    <n v="0"/>
    <n v="5"/>
    <n v="0.8"/>
    <n v="0.75"/>
    <s v="PT In Test"/>
    <n v="1"/>
    <n v="0"/>
    <n v="0"/>
    <n v="4"/>
    <n v="5"/>
    <n v="0.2"/>
    <n v="1"/>
    <m/>
    <x v="23"/>
    <x v="10"/>
  </r>
  <r>
    <s v="DCSO"/>
    <x v="16"/>
    <x v="16"/>
    <x v="5"/>
    <s v="As a Solution Architect, I want Delivery Lead ATCI, Delivery Lead ATCP, and Delivery Lead Global to appear in the Define Teams screen as read-only roles so that these roles are visible for reference ."/>
    <n v="4437247"/>
    <s v="Mohamed"/>
    <s v="Pavithra"/>
    <x v="36"/>
    <x v="1"/>
    <m/>
    <x v="1"/>
    <s v="Medium"/>
    <m/>
    <x v="1"/>
    <m/>
    <m/>
    <m/>
    <m/>
    <m/>
    <m/>
    <x v="0"/>
    <x v="0"/>
    <s v="Completed"/>
    <s v="Not Started"/>
    <n v="15"/>
    <n v="1"/>
    <n v="4"/>
    <n v="5"/>
    <n v="0.7"/>
    <n v="0.6"/>
    <s v="In Development"/>
    <n v="0"/>
    <n v="0"/>
    <n v="0"/>
    <n v="5"/>
    <n v="5"/>
    <n v="0"/>
    <n v="0"/>
    <m/>
    <x v="3"/>
    <x v="2"/>
  </r>
  <r>
    <s v="DCSO"/>
    <x v="16"/>
    <x v="16"/>
    <x v="5"/>
    <s v="As a Solution Architect, I want the Delivery Lead ATCI, ATCP, and Global user IDs in Define Teams to automatically sync with the DCSO screen for AMS/IMS/SI so that both screens always remain consistent."/>
    <n v="4437254"/>
    <s v="Mohamed"/>
    <s v="Pavithra"/>
    <x v="36"/>
    <x v="1"/>
    <m/>
    <x v="1"/>
    <s v="Complex"/>
    <m/>
    <x v="1"/>
    <m/>
    <m/>
    <m/>
    <m/>
    <m/>
    <m/>
    <x v="0"/>
    <x v="0"/>
    <s v="Completed"/>
    <s v="Not Started"/>
    <n v="12"/>
    <n v="1"/>
    <n v="6"/>
    <n v="7"/>
    <n v="0.7"/>
    <n v="0.7"/>
    <s v="In Development"/>
    <n v="0"/>
    <n v="0"/>
    <n v="0"/>
    <n v="7"/>
    <n v="7"/>
    <n v="0"/>
    <n v="0"/>
    <m/>
    <x v="3"/>
    <x v="2"/>
  </r>
  <r>
    <s v="BPMS Onboarding"/>
    <x v="51"/>
    <x v="51"/>
    <x v="5"/>
    <s v="As a BPMS user, I want Auto Reminder section for Transition Status &amp; Tech for OPS Status streams, so that timely status update reminders are sent to relevant team members"/>
    <n v="4437397"/>
    <s v="Mahesh"/>
    <s v="Pavithra"/>
    <x v="28"/>
    <x v="0"/>
    <s v="Email functionality"/>
    <x v="0"/>
    <s v="Medium"/>
    <n v="5"/>
    <x v="15"/>
    <m/>
    <m/>
    <m/>
    <m/>
    <m/>
    <m/>
    <x v="0"/>
    <x v="0"/>
    <s v="Completed"/>
    <s v="In Progress"/>
    <n v="21"/>
    <n v="4"/>
    <n v="2"/>
    <n v="6"/>
    <n v="0.8"/>
    <n v="0.8"/>
    <s v="PT In Test"/>
    <n v="0"/>
    <n v="0"/>
    <n v="0"/>
    <n v="6"/>
    <n v="6"/>
    <n v="0"/>
    <n v="0"/>
    <m/>
    <x v="7"/>
    <x v="2"/>
  </r>
  <r>
    <s v="BPMS Onboarding"/>
    <x v="52"/>
    <x v="52"/>
    <x v="5"/>
    <s v="As a BPMS user, I want a dedicated Tech for Ops row in the Define Team email notification, so that Lead SA - Tech for Ops and Support SA - Tech for Ops are not grouped under the generic Lead SA and Support SA rows"/>
    <n v="4437399"/>
    <s v="Pavithra"/>
    <s v="jeba"/>
    <x v="35"/>
    <x v="0"/>
    <s v="Email functionality"/>
    <x v="0"/>
    <s v="Medium"/>
    <m/>
    <x v="4"/>
    <m/>
    <m/>
    <m/>
    <m/>
    <m/>
    <m/>
    <x v="0"/>
    <x v="0"/>
    <s v="Completed"/>
    <s v="In Progress"/>
    <n v="11"/>
    <n v="10"/>
    <n v="0"/>
    <n v="10"/>
    <n v="0.9"/>
    <n v="0.95"/>
    <s v="PT In Test"/>
    <n v="10"/>
    <n v="0"/>
    <n v="0"/>
    <n v="0"/>
    <n v="10"/>
    <n v="1"/>
    <n v="1"/>
    <m/>
    <x v="3"/>
    <x v="2"/>
  </r>
  <r>
    <s v="BPMS Onboarding"/>
    <x v="53"/>
    <x v="53"/>
    <x v="5"/>
    <s v="As a BPMS user managing TfO Attributes, I want the &quot;Reason for No OATL&quot; text box to be enabled only when the OATL toggle is set to No, so that the rationale for not having an OATL is captured only when applicable"/>
    <n v="4437408"/>
    <s v="Mohamed"/>
    <s v="Pavithra"/>
    <x v="36"/>
    <x v="1"/>
    <m/>
    <x v="1"/>
    <s v="Complex"/>
    <m/>
    <x v="14"/>
    <n v="4"/>
    <n v="2"/>
    <n v="1"/>
    <n v="2"/>
    <n v="0.8"/>
    <n v="0.7"/>
    <x v="0"/>
    <x v="0"/>
    <s v="Completed"/>
    <s v="In Progress"/>
    <n v="10"/>
    <n v="4"/>
    <n v="4"/>
    <n v="8"/>
    <n v="0.8"/>
    <n v="0.7"/>
    <s v="UAT In Test"/>
    <n v="0"/>
    <n v="0"/>
    <n v="0"/>
    <n v="0"/>
    <n v="0"/>
    <n v="0"/>
    <n v="0"/>
    <m/>
    <x v="5"/>
    <x v="4"/>
  </r>
  <r>
    <s v="BPMS Onboarding"/>
    <x v="51"/>
    <x v="51"/>
    <x v="5"/>
    <s v="As a myIntegrated Solution Planner user, I want to send reminder email for Transition Status in Status Update for an Opportunity, so that other Transition roles are notified when the BPMS stream status update is overdue"/>
    <n v="4437873"/>
    <s v="Mahesh"/>
    <s v="Pavithra"/>
    <x v="28"/>
    <x v="0"/>
    <s v="Email functionality"/>
    <x v="0"/>
    <s v="Medium"/>
    <n v="1"/>
    <x v="15"/>
    <m/>
    <m/>
    <m/>
    <m/>
    <m/>
    <m/>
    <x v="0"/>
    <x v="0"/>
    <s v="Completed"/>
    <s v="In Progress"/>
    <n v="21"/>
    <n v="7"/>
    <n v="1"/>
    <n v="8"/>
    <n v="0.8"/>
    <n v="0.8"/>
    <s v="PT In Test"/>
    <n v="0"/>
    <n v="0"/>
    <n v="0"/>
    <n v="8"/>
    <n v="8"/>
    <n v="0"/>
    <n v="0"/>
    <m/>
    <x v="7"/>
    <x v="2"/>
  </r>
  <r>
    <s v="BPMS Onboarding"/>
    <x v="51"/>
    <x v="51"/>
    <x v="5"/>
    <s v="As a myIntegrated Solution Planner user, I want to send reminder email for Tech for OPS Status in Status Update for an Opportunity, so that Tech for Ops stakeholders are notified when the BPMS stream status update is overdue"/>
    <n v="4437874"/>
    <s v="Mahesh"/>
    <s v="Pavithra"/>
    <x v="28"/>
    <x v="0"/>
    <s v="Email functionality"/>
    <x v="0"/>
    <s v="Medium"/>
    <n v="1"/>
    <x v="15"/>
    <m/>
    <m/>
    <m/>
    <m/>
    <m/>
    <m/>
    <x v="0"/>
    <x v="0"/>
    <s v="Completed"/>
    <s v="In Progress"/>
    <n v="20"/>
    <n v="5"/>
    <n v="2"/>
    <n v="7"/>
    <n v="0.75"/>
    <n v="0.75"/>
    <s v="PT In Test"/>
    <n v="0"/>
    <n v="0"/>
    <n v="0"/>
    <n v="7"/>
    <n v="7"/>
    <n v="0"/>
    <n v="0"/>
    <m/>
    <x v="7"/>
    <x v="2"/>
  </r>
  <r>
    <s v="DCSO"/>
    <x v="47"/>
    <x v="47"/>
    <x v="5"/>
    <s v="As a DCSO System user, I want to send SA Assigned, Solution Version Created, and MMP FFP Used for Pricing indicators to staffing tools if they send the opportunity ID, so that it can determine staffing readiness for that opportunity"/>
    <n v="4438249"/>
    <s v="Pavithra"/>
    <s v="jeba"/>
    <x v="35"/>
    <x v="2"/>
    <s v="Need to verify in backend "/>
    <x v="4"/>
    <m/>
    <m/>
    <x v="3"/>
    <m/>
    <m/>
    <m/>
    <m/>
    <m/>
    <m/>
    <x v="0"/>
    <x v="0"/>
    <s v="Completed"/>
    <s v="In Progress"/>
    <n v="14"/>
    <n v="8"/>
    <n v="0"/>
    <n v="8"/>
    <n v="0.8"/>
    <n v="0.75"/>
    <s v="PT In Test"/>
    <n v="0"/>
    <n v="4"/>
    <n v="0"/>
    <n v="4"/>
    <n v="8"/>
    <n v="0.5"/>
    <n v="0"/>
    <m/>
    <x v="23"/>
    <x v="10"/>
  </r>
  <r>
    <s v="BPMS Onboarding"/>
    <x v="48"/>
    <x v="48"/>
    <x v="5"/>
    <s v="As a BPMS Reporting user, I want rolled up revenue included in Benchmark Report, so that benchmark analysis uses complete revenue context"/>
    <n v="4439494"/>
    <s v="Jeba"/>
    <s v="Pavithra"/>
    <x v="29"/>
    <x v="1"/>
    <m/>
    <x v="1"/>
    <s v="Complex"/>
    <m/>
    <x v="4"/>
    <n v="9"/>
    <n v="6"/>
    <n v="1"/>
    <n v="7"/>
    <n v="0.65"/>
    <n v="0.6"/>
    <x v="0"/>
    <x v="0"/>
    <s v="Completed"/>
    <s v="Completed"/>
    <n v="9"/>
    <n v="6"/>
    <n v="1"/>
    <n v="7"/>
    <n v="0.8"/>
    <n v="0.8"/>
    <s v="UAT In Test"/>
    <n v="7"/>
    <n v="0"/>
    <n v="0"/>
    <n v="0"/>
    <n v="7"/>
    <n v="1"/>
    <n v="1"/>
    <m/>
    <x v="5"/>
    <x v="4"/>
  </r>
  <r>
    <s v="BPMS Onboarding"/>
    <x v="54"/>
    <x v="54"/>
    <x v="5"/>
    <s v="As a BPMS user, I want Ops.Transformation.Solutioning removed from CC in myISP Transformation Solution Architect emails, so that email notifications are sent only to valid intended recipients"/>
    <n v="4439525"/>
    <s v="Pavithra"/>
    <s v="jeba"/>
    <x v="35"/>
    <x v="2"/>
    <s v="Email functionality - Need to check directly in production "/>
    <x v="7"/>
    <m/>
    <m/>
    <x v="3"/>
    <m/>
    <m/>
    <m/>
    <m/>
    <m/>
    <m/>
    <x v="0"/>
    <x v="0"/>
    <s v="Completed"/>
    <s v="In Progress"/>
    <n v="10"/>
    <n v="3"/>
    <n v="0"/>
    <n v="3"/>
    <n v="0.9"/>
    <n v="0.95"/>
    <s v="PT In Test"/>
    <n v="3"/>
    <n v="0"/>
    <n v="0"/>
    <n v="0"/>
    <n v="3"/>
    <n v="1"/>
    <n v="1"/>
    <m/>
    <x v="3"/>
    <x v="2"/>
  </r>
  <r>
    <s v="BPMS Onboarding"/>
    <x v="55"/>
    <x v="55"/>
    <x v="5"/>
    <s v="As a System Developer, I should ensure that FTS flags are consistently updated when FTS email is triggered from Operations Attributes screen so that users see accurate FTS status across all screens"/>
    <n v="4440017"/>
    <s v="Sakshi"/>
    <s v="Pavithra"/>
    <x v="30"/>
    <x v="2"/>
    <s v="Email functionality - Need to check in a fresh deal"/>
    <x v="7"/>
    <m/>
    <m/>
    <x v="3"/>
    <m/>
    <m/>
    <m/>
    <m/>
    <m/>
    <m/>
    <x v="0"/>
    <x v="0"/>
    <s v="Completed"/>
    <s v="In Progress"/>
    <n v="30"/>
    <n v="5"/>
    <n v="7"/>
    <n v="7"/>
    <n v="0.5"/>
    <n v="0.5"/>
    <s v="UAT In Test"/>
    <n v="4"/>
    <n v="0"/>
    <n v="0"/>
    <n v="3"/>
    <n v="7"/>
    <n v="0.5714285714285714"/>
    <n v="1"/>
    <s v="Unable to create new deal due to MMS link issue"/>
    <x v="5"/>
    <x v="4"/>
  </r>
  <r>
    <s v="BPMS Onboarding"/>
    <x v="55"/>
    <x v="55"/>
    <x v="5"/>
    <s v="As a System Developer, I should ensure that FTS flags are consistently updated when FTS email is triggered from INSPIRE Sync integration so that users see accurate FTS status across all screens"/>
    <n v="4440018"/>
    <s v="Sakshi"/>
    <s v="Pavithra"/>
    <x v="30"/>
    <x v="2"/>
    <s v="Email functionality - Need to check in a fresh deal"/>
    <x v="7"/>
    <m/>
    <m/>
    <x v="3"/>
    <m/>
    <m/>
    <m/>
    <m/>
    <m/>
    <m/>
    <x v="0"/>
    <x v="0"/>
    <s v="Completed"/>
    <s v="Not Started"/>
    <n v="30"/>
    <n v="5"/>
    <n v="7"/>
    <n v="7"/>
    <n v="0.5"/>
    <n v="0.5"/>
    <s v="In Development"/>
    <n v="0"/>
    <n v="0"/>
    <n v="0"/>
    <n v="0"/>
    <n v="7"/>
    <n v="0"/>
    <n v="0"/>
    <m/>
    <x v="26"/>
    <x v="12"/>
  </r>
  <r>
    <s v="BPMS Onboarding"/>
    <x v="55"/>
    <x v="55"/>
    <x v="5"/>
    <s v="As a System Developer, I should ensure that FTS flags are consistently updated when FTS email is triggered from WRWS screen so that users see accurate FTS status across all screens"/>
    <n v="4440019"/>
    <s v="Sakshi"/>
    <s v="Pavithra"/>
    <x v="30"/>
    <x v="2"/>
    <s v="Email functionality - Need to check in a fresh deal"/>
    <x v="7"/>
    <m/>
    <m/>
    <x v="3"/>
    <m/>
    <m/>
    <m/>
    <m/>
    <m/>
    <m/>
    <x v="0"/>
    <x v="0"/>
    <s v="Completed"/>
    <s v="Not Started"/>
    <n v="30"/>
    <n v="5"/>
    <n v="7"/>
    <n v="7"/>
    <n v="0.5"/>
    <n v="0.5"/>
    <s v="Active"/>
    <n v="0"/>
    <n v="0"/>
    <n v="0"/>
    <n v="0"/>
    <n v="7"/>
    <n v="0"/>
    <n v="0"/>
    <m/>
    <x v="1"/>
    <x v="1"/>
  </r>
  <r>
    <s v="BPMS Onboarding"/>
    <x v="55"/>
    <x v="55"/>
    <x v="5"/>
    <s v="As a System Developer, I should ensure that FTS flags are consistently updated when FTS email is triggered from Self Assign screen so that users see accurate FTS status across all screens"/>
    <n v="4440020"/>
    <s v="Sakshi"/>
    <s v="Pavithra"/>
    <x v="30"/>
    <x v="2"/>
    <s v="Email functionality - Need to check in a fresh deal"/>
    <x v="7"/>
    <m/>
    <m/>
    <x v="3"/>
    <m/>
    <m/>
    <m/>
    <m/>
    <m/>
    <m/>
    <x v="0"/>
    <x v="0"/>
    <s v="Completed"/>
    <s v="Not Started"/>
    <n v="30"/>
    <n v="5"/>
    <n v="7"/>
    <n v="7"/>
    <n v="0.5"/>
    <n v="0.5"/>
    <s v="In Development"/>
    <n v="0"/>
    <n v="0"/>
    <n v="0"/>
    <n v="0"/>
    <n v="7"/>
    <n v="0"/>
    <n v="0"/>
    <m/>
    <x v="2"/>
    <x v="2"/>
  </r>
  <r>
    <s v="BPMS Onboarding"/>
    <x v="55"/>
    <x v="55"/>
    <x v="5"/>
    <s v="As a System Developer, I should ensure that FTS flags are consistently updated when FTS email is triggered from Define Team integration so that users see accurate FTS status across all screens"/>
    <n v="4440022"/>
    <s v="Sakshi"/>
    <s v="Pavithra"/>
    <x v="30"/>
    <x v="2"/>
    <s v="Email functionality - Need to check in a fresh deal"/>
    <x v="7"/>
    <m/>
    <m/>
    <x v="3"/>
    <m/>
    <m/>
    <m/>
    <m/>
    <m/>
    <m/>
    <x v="0"/>
    <x v="0"/>
    <s v="Completed"/>
    <s v="In Progress"/>
    <n v="30"/>
    <n v="5"/>
    <n v="7"/>
    <n v="7"/>
    <n v="0.5"/>
    <n v="0.5"/>
    <s v="PT In Test"/>
    <n v="3"/>
    <n v="0"/>
    <n v="0"/>
    <n v="4"/>
    <n v="7"/>
    <n v="0.42857142857142855"/>
    <n v="1"/>
    <s v="Unable to create new deal due to MMS link issue"/>
    <x v="3"/>
    <x v="2"/>
  </r>
  <r>
    <s v="DCSO"/>
    <x v="16"/>
    <x v="16"/>
    <x v="5"/>
    <s v="As a Solution Architect, I want delivery leads assigned from the DCSO screen to be added under review approver permissions for IMS/AMS/SI Sgs  so that delivery leads can seamlessly access appropriate workflows"/>
    <n v="4445248"/>
    <s v="Shital"/>
    <s v="Pavithra"/>
    <x v="37"/>
    <x v="0"/>
    <s v="User story validation for SM and Above career level"/>
    <x v="1"/>
    <s v="Medium"/>
    <m/>
    <x v="1"/>
    <m/>
    <m/>
    <m/>
    <m/>
    <m/>
    <m/>
    <x v="0"/>
    <x v="0"/>
    <s v="Completed"/>
    <s v="Not Started"/>
    <n v="25"/>
    <n v="15"/>
    <n v="6"/>
    <n v="21"/>
    <n v="1"/>
    <n v="0.9"/>
    <s v="In Development"/>
    <n v="0"/>
    <n v="0"/>
    <n v="0"/>
    <n v="21"/>
    <n v="21"/>
    <n v="0"/>
    <n v="0"/>
    <m/>
    <x v="23"/>
    <x v="10"/>
  </r>
  <r>
    <s v="DCSO"/>
    <x v="16"/>
    <x v="16"/>
    <x v="5"/>
    <s v="As a delivery lead I want read-only access to SME request charter for IMS/AMS/SI SGs so that I can view information without modification ability"/>
    <n v="4445274"/>
    <s v="Shital"/>
    <s v="Pavithra"/>
    <x v="37"/>
    <x v="2"/>
    <s v="User story validation for SM and Above career level"/>
    <x v="14"/>
    <s v="Simple"/>
    <m/>
    <x v="1"/>
    <m/>
    <m/>
    <m/>
    <m/>
    <m/>
    <m/>
    <x v="0"/>
    <x v="0"/>
    <s v="Completed"/>
    <s v="Not Started"/>
    <n v="20"/>
    <n v="12"/>
    <n v="2"/>
    <n v="14"/>
    <n v="1"/>
    <n v="0.9"/>
    <s v="In Development"/>
    <n v="0"/>
    <n v="0"/>
    <n v="0"/>
    <n v="14"/>
    <n v="14"/>
    <n v="0"/>
    <n v="0"/>
    <m/>
    <x v="3"/>
    <x v="2"/>
  </r>
  <r>
    <s v="DCSO"/>
    <x v="16"/>
    <x v="16"/>
    <x v="5"/>
    <s v="As a Solution Architect, I want the Manage Delivery Lead popup to show accessible Service Groups, enforce Global/ATCI/ATCP order, and disable Save and Confirm until minimum Delivery Lead is assigned."/>
    <n v="4445986"/>
    <s v="Arun "/>
    <s v="Pavithra"/>
    <x v="31"/>
    <x v="2"/>
    <m/>
    <x v="14"/>
    <s v="Complex"/>
    <m/>
    <x v="3"/>
    <m/>
    <m/>
    <m/>
    <m/>
    <m/>
    <m/>
    <x v="0"/>
    <x v="0"/>
    <s v="Completed"/>
    <s v="Not Started"/>
    <n v="8"/>
    <n v="8"/>
    <n v="8"/>
    <n v="8"/>
    <n v="1"/>
    <n v="1"/>
    <s v="In Development"/>
    <n v="0"/>
    <n v="0"/>
    <n v="0"/>
    <n v="8"/>
    <n v="8"/>
    <n v="0"/>
    <n v="0"/>
    <m/>
    <x v="23"/>
    <x v="10"/>
  </r>
  <r>
    <s v="DCSO"/>
    <x v="16"/>
    <x v="16"/>
    <x v="5"/>
    <s v="As a Solution Architect, I want Generate DCSO to validate the required Delivery Lead category based on staffing location and suppress the Delivery Lead popup for same or related versions, so that DCSO generation is accurate."/>
    <n v="4445987"/>
    <s v="Arun "/>
    <s v="Pavithra"/>
    <x v="31"/>
    <x v="2"/>
    <s v="DL Assignment"/>
    <x v="14"/>
    <s v="Complex"/>
    <m/>
    <x v="3"/>
    <m/>
    <m/>
    <m/>
    <m/>
    <m/>
    <m/>
    <x v="0"/>
    <x v="0"/>
    <s v="Completed"/>
    <s v="Not Started"/>
    <n v="10"/>
    <n v="8"/>
    <n v="10"/>
    <n v="10"/>
    <n v="0.8"/>
    <n v="0.8"/>
    <s v="In Development"/>
    <n v="0"/>
    <n v="0"/>
    <n v="0"/>
    <n v="10"/>
    <n v="10"/>
    <n v="0"/>
    <n v="0"/>
    <m/>
    <x v="23"/>
    <x v="10"/>
  </r>
  <r>
    <s v="DCSO"/>
    <x v="16"/>
    <x v="16"/>
    <x v="5"/>
    <s v="As a Delivery Lead, I want to be able to download and import DCSO files from the DCSO screen so that I can review, share and upload DCSO data without depending on other team members."/>
    <n v="4445991"/>
    <s v="Arun "/>
    <s v="Pavithra"/>
    <x v="31"/>
    <x v="1"/>
    <s v="Export Import Functionality"/>
    <x v="8"/>
    <s v="Simple"/>
    <m/>
    <x v="1"/>
    <m/>
    <m/>
    <m/>
    <m/>
    <m/>
    <m/>
    <x v="0"/>
    <x v="0"/>
    <s v="Completed"/>
    <s v="Not Started"/>
    <n v="9"/>
    <n v="8"/>
    <n v="9"/>
    <n v="9"/>
    <n v="1"/>
    <n v="1"/>
    <s v="In Development"/>
    <n v="0"/>
    <n v="0"/>
    <n v="0"/>
    <n v="9"/>
    <n v="9"/>
    <n v="0"/>
    <n v="0"/>
    <m/>
    <x v="23"/>
    <x v="10"/>
  </r>
  <r>
    <s v="PMO"/>
    <x v="3"/>
    <x v="3"/>
    <x v="5"/>
    <s v="[PMO] As a PMO user, I should be able to navigate to Manage / Dashboard screen with the new URL from MFhost screens"/>
    <n v="4446503"/>
    <s v="Mohamed"/>
    <s v="Pavithra"/>
    <x v="36"/>
    <x v="1"/>
    <m/>
    <x v="1"/>
    <s v="Complex"/>
    <m/>
    <x v="1"/>
    <m/>
    <m/>
    <m/>
    <m/>
    <m/>
    <m/>
    <x v="0"/>
    <x v="0"/>
    <s v="Completed"/>
    <s v="In Progress"/>
    <n v="15"/>
    <n v="1"/>
    <n v="3"/>
    <n v="4"/>
    <n v="1"/>
    <n v="0.4"/>
    <s v="PT In Test"/>
    <n v="0"/>
    <n v="0"/>
    <n v="0"/>
    <n v="4"/>
    <n v="4"/>
    <n v="0"/>
    <n v="0"/>
    <m/>
    <x v="0"/>
    <x v="0"/>
  </r>
  <r>
    <s v="DCSO"/>
    <x v="16"/>
    <x v="16"/>
    <x v="5"/>
    <s v="As a Delivery Lead - ATCP, I want to access the WRWS tile in read-only mode so that I can view workflow details without making any changes."/>
    <n v="4446548"/>
    <s v="Shital"/>
    <s v="Pavithra"/>
    <x v="37"/>
    <x v="2"/>
    <s v="User story validation for SM and Above career level"/>
    <x v="14"/>
    <s v="Simple"/>
    <m/>
    <x v="1"/>
    <m/>
    <m/>
    <m/>
    <m/>
    <m/>
    <m/>
    <x v="0"/>
    <x v="0"/>
    <s v="Completed"/>
    <s v="Not Started"/>
    <n v="15"/>
    <n v="9"/>
    <n v="0"/>
    <n v="9"/>
    <s v="100%"/>
    <s v="90%"/>
    <m/>
    <n v="0"/>
    <n v="0"/>
    <n v="0"/>
    <n v="9"/>
    <n v="9"/>
    <n v="0"/>
    <n v="0"/>
    <m/>
    <x v="1"/>
    <x v="1"/>
  </r>
  <r>
    <s v="PMO"/>
    <x v="3"/>
    <x v="3"/>
    <x v="5"/>
    <s v="[PMO] As a PMO user, I should be able to navigate to Manage / Dashboard screen with the new URL from Value Shaping"/>
    <n v="4446570"/>
    <s v="Mohamed"/>
    <s v="Pavithra"/>
    <x v="36"/>
    <x v="1"/>
    <m/>
    <x v="1"/>
    <s v="Complex"/>
    <m/>
    <x v="1"/>
    <m/>
    <m/>
    <m/>
    <m/>
    <m/>
    <m/>
    <x v="0"/>
    <x v="0"/>
    <s v="Completed"/>
    <s v="In Progress"/>
    <n v="15"/>
    <n v="1"/>
    <n v="4"/>
    <n v="5"/>
    <n v="1"/>
    <n v="0.4"/>
    <s v="PT In Test"/>
    <n v="0"/>
    <n v="0"/>
    <n v="0"/>
    <n v="5"/>
    <n v="5"/>
    <n v="0"/>
    <n v="0"/>
    <m/>
    <x v="27"/>
    <x v="11"/>
  </r>
  <r>
    <s v="DCSO"/>
    <x v="16"/>
    <x v="16"/>
    <x v="5"/>
    <s v="As a Delivery Lead - Global, I want to access the WRWS tile in read-only mode so that I can view workflow details without making any changes."/>
    <n v="4446571"/>
    <s v="Jeba"/>
    <s v="Pavithra"/>
    <x v="29"/>
    <x v="2"/>
    <s v="User story validation for SM and Above career level"/>
    <x v="14"/>
    <s v="Complex"/>
    <m/>
    <x v="3"/>
    <m/>
    <m/>
    <m/>
    <m/>
    <m/>
    <m/>
    <x v="0"/>
    <x v="0"/>
    <s v="Completed"/>
    <s v="Not Started"/>
    <n v="9"/>
    <n v="2"/>
    <n v="1"/>
    <n v="3"/>
    <n v="0.75"/>
    <n v="0.8"/>
    <s v="Active"/>
    <n v="0"/>
    <n v="0"/>
    <n v="0"/>
    <n v="3"/>
    <n v="3"/>
    <n v="0"/>
    <n v="0"/>
    <m/>
    <x v="1"/>
    <x v="1"/>
  </r>
  <r>
    <s v="DCSO"/>
    <x v="49"/>
    <x v="49"/>
    <x v="5"/>
    <s v="As a myISP Solution Planner, I want to receive pricing details sent from IMS so that the solution pricing in myISP stays in sync with IMS without manual re-entry"/>
    <n v="4446722"/>
    <s v="Arun "/>
    <s v="Pavithra"/>
    <x v="31"/>
    <x v="1"/>
    <m/>
    <x v="1"/>
    <s v="Medium"/>
    <m/>
    <x v="2"/>
    <m/>
    <m/>
    <m/>
    <m/>
    <m/>
    <m/>
    <x v="0"/>
    <x v="0"/>
    <s v="Completed"/>
    <s v="Not Started"/>
    <n v="8"/>
    <n v="8"/>
    <n v="8"/>
    <n v="8"/>
    <n v="1"/>
    <n v="1"/>
    <s v="In Development"/>
    <n v="0"/>
    <n v="0"/>
    <n v="0"/>
    <n v="8"/>
    <n v="8"/>
    <n v="0"/>
    <n v="0"/>
    <m/>
    <x v="23"/>
    <x v="10"/>
  </r>
  <r>
    <s v="Differentiation"/>
    <x v="22"/>
    <x v="22"/>
    <x v="6"/>
    <s v="AMS/SI As a Solution Architect I want OCP report generation to use Attach Calculator configuration in place of Differentiation So that OCP pricing is not blocked by the decommissioning of the Differentiation screen"/>
    <n v="4372032"/>
    <s v="Priyanka"/>
    <s v="Abhijit"/>
    <x v="38"/>
    <x v="1"/>
    <m/>
    <x v="1"/>
    <s v="Complex"/>
    <m/>
    <x v="7"/>
    <n v="8"/>
    <n v="6"/>
    <n v="0"/>
    <n v="6"/>
    <n v="0.85"/>
    <n v="1"/>
    <x v="0"/>
    <x v="0"/>
    <s v="Completed"/>
    <s v="In Progress"/>
    <n v="31"/>
    <n v="10"/>
    <n v="0"/>
    <n v="10"/>
    <n v="1"/>
    <n v="1"/>
    <s v="PT In Test"/>
    <n v="3"/>
    <n v="1"/>
    <n v="0"/>
    <n v="6"/>
    <n v="10"/>
    <n v="0.4"/>
    <n v="0.75"/>
    <s v="Bug - 4483795(L)"/>
    <x v="19"/>
    <x v="8"/>
  </r>
  <r>
    <s v="BPMS"/>
    <x v="56"/>
    <x v="56"/>
    <x v="6"/>
    <s v="BPMS DCTA: As a mySolutionPlanner developer, I want to update the logic for identifying PMO Cost, so that while referring the column &quot;Activity&quot; we should consider all the applicable values for PMO."/>
    <n v="4390184"/>
    <s v="Jothika"/>
    <s v="Anu"/>
    <x v="3"/>
    <x v="2"/>
    <s v="Calcualations -more no of scenario validations requried, cannot cover in automation"/>
    <x v="9"/>
    <m/>
    <m/>
    <x v="3"/>
    <m/>
    <m/>
    <m/>
    <m/>
    <m/>
    <m/>
    <x v="0"/>
    <x v="0"/>
    <s v="Completed"/>
    <s v="In Progress"/>
    <n v="18"/>
    <n v="13"/>
    <n v="6"/>
    <n v="19"/>
    <n v="0.7"/>
    <n v="0.8"/>
    <s v="Blocked in PT"/>
    <n v="0"/>
    <n v="0"/>
    <n v="0"/>
    <n v="19"/>
    <n v="19"/>
    <n v="0"/>
    <n v="0"/>
    <m/>
    <x v="19"/>
    <x v="8"/>
  </r>
  <r>
    <s v="BPMS"/>
    <x v="56"/>
    <x v="56"/>
    <x v="6"/>
    <s v="BPMS OCP: As a mySolutionPlanner developer, I want to update the logic for identifying PMO Cost, so that while referring the column &quot;Activity&quot; we should consider all the applicable values for PMO."/>
    <n v="4390192"/>
    <s v="Jothika"/>
    <s v="Sriram"/>
    <x v="3"/>
    <x v="2"/>
    <s v="Calcualations -more no of scenario validations requried, cannot cover in automation"/>
    <x v="9"/>
    <m/>
    <m/>
    <x v="3"/>
    <m/>
    <m/>
    <m/>
    <m/>
    <m/>
    <m/>
    <x v="0"/>
    <x v="0"/>
    <s v="Completed"/>
    <s v="In Progress"/>
    <n v="18"/>
    <n v="13"/>
    <n v="6"/>
    <n v="19"/>
    <n v="0.7"/>
    <n v="0.8"/>
    <s v="PT In Test"/>
    <n v="10"/>
    <n v="1"/>
    <n v="0"/>
    <n v="8"/>
    <n v="19"/>
    <n v="0.57894736842105265"/>
    <n v="0.90909090909090906"/>
    <s v="4483571(M)"/>
    <x v="28"/>
    <x v="8"/>
  </r>
  <r>
    <s v="AMS, BPMS"/>
    <x v="57"/>
    <x v="57"/>
    <x v="6"/>
    <s v="AMS, BPMS-OCP/MMP - MMD: As a mySolutionPlanner developer, I want to update the KDA data export to include LCR excluding seat charges and Payroll cost metrics, so that MMD team can access the updated required details.."/>
    <n v="4434927"/>
    <s v="Anu"/>
    <s v="Jothika"/>
    <x v="3"/>
    <x v="2"/>
    <s v="MMD is fully based on calculations so cannot be automated"/>
    <x v="2"/>
    <m/>
    <m/>
    <x v="3"/>
    <m/>
    <m/>
    <m/>
    <m/>
    <m/>
    <m/>
    <x v="0"/>
    <x v="0"/>
    <s v="Completed"/>
    <s v="Not Started"/>
    <n v="22"/>
    <n v="22"/>
    <n v="0"/>
    <m/>
    <m/>
    <m/>
    <s v="PT In Test"/>
    <n v="0"/>
    <n v="0"/>
    <n v="0"/>
    <n v="44"/>
    <n v="44"/>
    <n v="0"/>
    <n v="0"/>
    <m/>
    <x v="19"/>
    <x v="8"/>
  </r>
  <r>
    <s v="IMS"/>
    <x v="57"/>
    <x v="57"/>
    <x v="6"/>
    <s v="IMS-OCP/MMP - MMD: As a mySolutionPlanner developer, I want to update the KDA data export to include LCR excluding seat charges and Payroll cost metrics, so that MMD team can access the updated required details.. - Copy"/>
    <n v="4437640"/>
    <s v="Priyanka"/>
    <s v="Abhijit"/>
    <x v="3"/>
    <x v="2"/>
    <s v="Purely based on MMD calculations"/>
    <x v="2"/>
    <s v="Complex"/>
    <m/>
    <x v="3"/>
    <m/>
    <m/>
    <m/>
    <m/>
    <m/>
    <m/>
    <x v="0"/>
    <x v="0"/>
    <s v="Completed"/>
    <s v="Not Started"/>
    <n v="17"/>
    <n v="17"/>
    <n v="0"/>
    <n v="17"/>
    <n v="1"/>
    <n v="1"/>
    <s v="PT In Test"/>
    <n v="0"/>
    <n v="0"/>
    <n v="0"/>
    <n v="17"/>
    <n v="17"/>
    <n v="0"/>
    <n v="0"/>
    <m/>
    <x v="19"/>
    <x v="8"/>
  </r>
  <r>
    <s v="AMS OCP"/>
    <x v="58"/>
    <x v="58"/>
    <x v="6"/>
    <s v="AMS-OCP-View KDA UI: As a mySolutionPlanner user, I want to view KDA metrics at the cluster level in the View KDA UI, so that users can analyse KDA performance for specific clusters independently without impacting overall deal-level reporting."/>
    <n v="4438596"/>
    <s v="Anu"/>
    <s v="Ayush"/>
    <x v="39"/>
    <x v="0"/>
    <s v="Complex story, so many  checkpoints needs to be validated."/>
    <x v="9"/>
    <m/>
    <m/>
    <x v="1"/>
    <m/>
    <m/>
    <m/>
    <m/>
    <m/>
    <m/>
    <x v="0"/>
    <x v="0"/>
    <s v="Completed"/>
    <s v="Not Started"/>
    <n v="40"/>
    <n v="39"/>
    <n v="0"/>
    <n v="39"/>
    <n v="1"/>
    <n v="1"/>
    <s v="Active"/>
    <n v="0"/>
    <n v="0"/>
    <n v="0"/>
    <n v="39"/>
    <n v="39"/>
    <n v="0"/>
    <n v="0"/>
    <m/>
    <x v="29"/>
    <x v="8"/>
  </r>
  <r>
    <s v="AMS Solution Configuration Agent "/>
    <x v="59"/>
    <x v="59"/>
    <x v="6"/>
    <s v="As an AMS SCA user, I want to display the exported Named Resource Report (NRR) file with a download icon after I import an NRR file, so that I can easily download and access the results of the imported data."/>
    <n v="4439737"/>
    <s v="Ramya"/>
    <s v="Monisha"/>
    <x v="3"/>
    <x v="2"/>
    <s v="Agent testing is prompt-driven and highly dependent on dynamic inputs. Hence it cannot be automated"/>
    <x v="15"/>
    <m/>
    <m/>
    <x v="3"/>
    <m/>
    <m/>
    <m/>
    <m/>
    <m/>
    <m/>
    <x v="0"/>
    <x v="0"/>
    <s v="Not Started"/>
    <s v="Not Started"/>
    <n v="7"/>
    <n v="1"/>
    <n v="8"/>
    <n v="9"/>
    <n v="0.14000000000000001"/>
    <n v="1"/>
    <s v="Ready to Deploy"/>
    <n v="0"/>
    <n v="0"/>
    <n v="0"/>
    <n v="9"/>
    <n v="9"/>
    <n v="0"/>
    <n v="0"/>
    <m/>
    <x v="30"/>
    <x v="5"/>
  </r>
  <r>
    <s v="IMS MUlti tower"/>
    <x v="60"/>
    <x v="60"/>
    <x v="6"/>
    <s v="IMS-OCP&gt; Detailed report:  As a mySolutionPlanner developer, I want the OCP Detailed Report to support IMS Multi Tower Pricing, So that user can analyze pricing data separately for IMS and SI towers, with detailed Revenue SG breakdown for SI."/>
    <n v="4439746"/>
    <s v="Sriram"/>
    <s v="Jothika"/>
    <x v="40"/>
    <x v="0"/>
    <s v="Multiple Screen Validation and cost/data validation "/>
    <x v="9"/>
    <m/>
    <m/>
    <x v="1"/>
    <m/>
    <m/>
    <m/>
    <m/>
    <m/>
    <m/>
    <x v="0"/>
    <x v="0"/>
    <s v="Not Started"/>
    <s v="Not Started"/>
    <n v="64"/>
    <n v="57"/>
    <n v="0"/>
    <n v="57"/>
    <n v="1"/>
    <n v="1"/>
    <s v="Active"/>
    <n v="0"/>
    <n v="0"/>
    <n v="0"/>
    <n v="57"/>
    <n v="57"/>
    <n v="0"/>
    <n v="0"/>
    <m/>
    <x v="28"/>
    <x v="8"/>
  </r>
  <r>
    <s v="IMS Multi Tower"/>
    <x v="60"/>
    <x v="60"/>
    <x v="6"/>
    <s v="IMS-OCP&gt; Resource Level View Report UI &amp; Excel: As a mySolutionPlanner user, I want the existing Service Group column in the Resource Level Report UI and Excel download to reflect the Revenue SG value (SI / CON) for SI+CON deal selection."/>
    <n v="4439806"/>
    <s v="Sriram"/>
    <s v="Jothika"/>
    <x v="40"/>
    <x v="0"/>
    <s v="Multiple Screen Validation and cost/data validation "/>
    <x v="9"/>
    <m/>
    <m/>
    <x v="7"/>
    <m/>
    <m/>
    <m/>
    <m/>
    <m/>
    <m/>
    <x v="0"/>
    <x v="0"/>
    <s v="Not Started"/>
    <s v="Not Started"/>
    <n v="53"/>
    <n v="51"/>
    <n v="0"/>
    <n v="53"/>
    <n v="1"/>
    <n v="1"/>
    <s v="Active"/>
    <n v="0"/>
    <n v="0"/>
    <n v="0"/>
    <n v="53"/>
    <n v="53"/>
    <n v="0"/>
    <n v="0"/>
    <m/>
    <x v="28"/>
    <x v="8"/>
  </r>
  <r>
    <s v="IMS Multi tower pricing"/>
    <x v="60"/>
    <x v="60"/>
    <x v="6"/>
    <s v="IMS-OCP &gt; CY/FY/MOM/Graph view reports: s a mySolutionPlanner user, I want the CY, FY, Month-on-Month (MoM), and Graph View reports to be enabled and available for SI (SI+CON) in addition to IMS, accessible at the deal level only (IMS or SI+CON)"/>
    <n v="4439840"/>
    <s v="Sriram"/>
    <s v="Jothika"/>
    <x v="38"/>
    <x v="0"/>
    <s v="Excel Parts cannot be validated"/>
    <x v="8"/>
    <m/>
    <m/>
    <x v="1"/>
    <m/>
    <m/>
    <m/>
    <m/>
    <m/>
    <m/>
    <x v="0"/>
    <x v="0"/>
    <s v="Not Started"/>
    <s v="Not Started"/>
    <n v="54"/>
    <n v="52"/>
    <n v="0"/>
    <n v="52"/>
    <n v="1"/>
    <n v="1"/>
    <s v="Active"/>
    <n v="0"/>
    <n v="0"/>
    <n v="0"/>
    <n v="52"/>
    <n v="52"/>
    <n v="0"/>
    <n v="0"/>
    <m/>
    <x v="28"/>
    <x v="8"/>
  </r>
  <r>
    <s v="BPMS DCTA"/>
    <x v="61"/>
    <x v="61"/>
    <x v="6"/>
    <s v="As a myISP SA I want the Negotiation Contingency to be displayed on the Financials screen for DCTA route deals So that I can review the contingency buffer applied to pricing without switching to BPMS, enabling complete financial visibility in one view."/>
    <n v="4440929"/>
    <s v="Jothika"/>
    <s v="Anu"/>
    <x v="39"/>
    <x v="0"/>
    <s v="cannot be automated, it involves calculation and excel reports validation"/>
    <x v="8"/>
    <m/>
    <m/>
    <x v="0"/>
    <m/>
    <m/>
    <m/>
    <m/>
    <m/>
    <m/>
    <x v="0"/>
    <x v="0"/>
    <s v="Completed"/>
    <s v="In Progress"/>
    <n v="20"/>
    <n v="20"/>
    <n v="0"/>
    <n v="20"/>
    <n v="1"/>
    <n v="1"/>
    <s v="UAT In Test"/>
    <n v="17"/>
    <n v="3"/>
    <n v="0"/>
    <n v="0"/>
    <n v="20"/>
    <n v="1"/>
    <n v="0.85"/>
    <s v="4477260(H), 4480571(M), 4482591(M) (Delivered to UAT)"/>
    <x v="19"/>
    <x v="8"/>
  </r>
  <r>
    <s v="AMS Solution Configuration Agent "/>
    <x v="59"/>
    <x v="59"/>
    <x v="6"/>
    <s v="As an AMS SCA Agent User, I want to update the MSDA prompt in the SCA Prompt library."/>
    <n v="4441007"/>
    <s v="Vaishnavi"/>
    <s v="Nagaratna"/>
    <x v="3"/>
    <x v="2"/>
    <s v="Agent testing is prompt-driven and highly dependent on dynamic inputs. Hence it cannot be automated"/>
    <x v="15"/>
    <m/>
    <m/>
    <x v="3"/>
    <m/>
    <m/>
    <m/>
    <m/>
    <m/>
    <m/>
    <x v="0"/>
    <x v="2"/>
    <s v="Not Started"/>
    <s v="Blocked"/>
    <n v="5"/>
    <n v="2"/>
    <n v="5"/>
    <n v="7"/>
    <n v="0.4"/>
    <n v="0.71430000000000005"/>
    <s v="Ready for Test"/>
    <n v="2"/>
    <n v="0"/>
    <n v="0"/>
    <n v="5"/>
    <n v="7"/>
    <n v="0.2857142857142857"/>
    <n v="1"/>
    <s v="4476841-H"/>
    <x v="30"/>
    <x v="5"/>
  </r>
  <r>
    <s v="AMS Solution Configuration Agent"/>
    <x v="59"/>
    <x v="59"/>
    <x v="6"/>
    <s v="As an AMS Solution Configuration Agent user, I want to display live tracking status for Solution Version data sync to MSDA from both OCP Simulation and Pricing Factor screens, so that Multi-Service Deal Analytics reflects real-time sync progress"/>
    <n v="4442651"/>
    <s v="Monisha"/>
    <s v="Ramya"/>
    <x v="3"/>
    <x v="2"/>
    <s v="Agent testing is prompt-driven and highly dependent on dynamic inputs. Hence it cannot be automated"/>
    <x v="15"/>
    <m/>
    <m/>
    <x v="3"/>
    <m/>
    <m/>
    <m/>
    <m/>
    <m/>
    <m/>
    <x v="0"/>
    <x v="0"/>
    <s v="Not Started"/>
    <s v="Not Started"/>
    <n v="10"/>
    <n v="10"/>
    <n v="4"/>
    <n v="14"/>
    <n v="0.76"/>
    <n v="1"/>
    <s v="New"/>
    <n v="0"/>
    <n v="0"/>
    <n v="0"/>
    <n v="14"/>
    <n v="14"/>
    <n v="0"/>
    <n v="0"/>
    <m/>
    <x v="31"/>
    <x v="13"/>
  </r>
  <r>
    <s v="AMS "/>
    <x v="62"/>
    <x v="62"/>
    <x v="6"/>
    <s v="AMS: As a mySolutionPlanner user, I want the Staffing screen LBS tab to display up to 4,000 records in the UI, So that the UI record display limit is aligned with the OU export and import limit of 4,000 records."/>
    <n v="4443034"/>
    <s v="Priyanka"/>
    <s v="Ayush"/>
    <x v="41"/>
    <x v="0"/>
    <s v="Export and import report of OU staffing cannot be validated"/>
    <x v="8"/>
    <s v="Complex"/>
    <m/>
    <x v="13"/>
    <m/>
    <m/>
    <m/>
    <m/>
    <m/>
    <m/>
    <x v="0"/>
    <x v="0"/>
    <s v="Completed"/>
    <s v="Not Started"/>
    <n v="15"/>
    <n v="9"/>
    <n v="0"/>
    <n v="9"/>
    <n v="1"/>
    <n v="1"/>
    <s v="Active"/>
    <n v="0"/>
    <n v="0"/>
    <n v="0"/>
    <n v="9"/>
    <n v="9"/>
    <n v="0"/>
    <n v="0"/>
    <m/>
    <x v="9"/>
    <x v="6"/>
  </r>
  <r>
    <s v="AMS Solution Configuration Agent"/>
    <x v="59"/>
    <x v="59"/>
    <x v="6"/>
    <s v="As an AMS SCA Agent user, I want to retrieve direct URLs to specific MyISP screens by providing a prompt,So that I can quickly navigate to the relevant configuration or reporting screen for a specific solution version"/>
    <n v="4443558"/>
    <s v="Monisha"/>
    <s v="Ramya"/>
    <x v="3"/>
    <x v="2"/>
    <s v="Agent testing is prompt-driven and highly dependent on dynamic inputs. Hence it cannot be automated"/>
    <x v="15"/>
    <m/>
    <m/>
    <x v="3"/>
    <m/>
    <m/>
    <m/>
    <m/>
    <m/>
    <m/>
    <x v="0"/>
    <x v="0"/>
    <s v="Not Started"/>
    <s v="Not Started"/>
    <n v="16"/>
    <n v="16"/>
    <n v="4"/>
    <n v="20"/>
    <n v="0.75"/>
    <n v="1"/>
    <s v="New"/>
    <n v="1"/>
    <n v="5"/>
    <n v="0"/>
    <n v="14"/>
    <n v="20"/>
    <n v="0.3"/>
    <n v="0.16666666666666666"/>
    <s v="4491193-H, 4491186-H, 4491433-H,  4490793-L, 4491449-M"/>
    <x v="31"/>
    <x v="13"/>
  </r>
  <r>
    <s v="AMS Solution Configuration Agent "/>
    <x v="59"/>
    <x v="59"/>
    <x v="6"/>
    <s v="As an AMS SCA Agent user, I want to override the default pyramid using agent prompts so I can easily adjust staffing configurations without needing to manually edit them."/>
    <n v="4443807"/>
    <s v="Nagaratna"/>
    <s v="Vaishnavi"/>
    <x v="3"/>
    <x v="2"/>
    <s v="Agent testing is prompt-driven and highly dependent on dynamic inputs. Hence it cannot be automated"/>
    <x v="15"/>
    <m/>
    <m/>
    <x v="3"/>
    <n v="51"/>
    <n v="24"/>
    <n v="26"/>
    <n v="50"/>
    <n v="0.47099999999999997"/>
    <n v="0.48"/>
    <x v="0"/>
    <x v="2"/>
    <s v="Not Started"/>
    <s v="Not Started"/>
    <m/>
    <m/>
    <m/>
    <m/>
    <m/>
    <m/>
    <s v="New"/>
    <n v="0"/>
    <n v="0"/>
    <n v="0"/>
    <n v="50"/>
    <n v="50"/>
    <n v="0"/>
    <n v="0"/>
    <m/>
    <x v="31"/>
    <x v="13"/>
  </r>
  <r>
    <s v="AMS Solution Configuration Agent "/>
    <x v="59"/>
    <x v="59"/>
    <x v="6"/>
    <s v="As an AMS SCA user, I want to update all editable fields in the Parameter and Profile screens using prompts in the Solution Configuration Agent (SCA), so that I can modify solution details without using the UI"/>
    <n v="4444120"/>
    <s v="Ramya"/>
    <s v="Monisha"/>
    <x v="3"/>
    <x v="2"/>
    <s v="Agent testing is prompt-driven and highly dependent on dynamic inputs. Hence it cannot be automated"/>
    <x v="15"/>
    <m/>
    <m/>
    <x v="3"/>
    <m/>
    <m/>
    <m/>
    <m/>
    <m/>
    <m/>
    <x v="0"/>
    <x v="0"/>
    <s v="Not Started"/>
    <s v="Not Started"/>
    <n v="10"/>
    <n v="9"/>
    <n v="18"/>
    <n v="27"/>
    <n v="0.9"/>
    <n v="1"/>
    <s v="Active"/>
    <n v="0"/>
    <n v="0"/>
    <n v="0"/>
    <n v="27"/>
    <n v="27"/>
    <n v="0"/>
    <n v="0"/>
    <m/>
    <x v="31"/>
    <x v="13"/>
  </r>
  <r>
    <s v="BPMS OCP"/>
    <x v="61"/>
    <x v="61"/>
    <x v="6"/>
    <s v="BPMS - As a myISP SA, I want to enter a negotiation contingency % in Solution Workbench so that the system calculates and displays the negotiation contingency value in Financials and sends it to all downstream modules."/>
    <n v="4444316"/>
    <s v="Anu"/>
    <s v="Ayush"/>
    <x v="42"/>
    <x v="0"/>
    <s v="cannot be automated, it involves calculation and excel reports validation"/>
    <x v="8"/>
    <m/>
    <m/>
    <x v="6"/>
    <m/>
    <m/>
    <m/>
    <m/>
    <m/>
    <m/>
    <x v="0"/>
    <x v="0"/>
    <s v="Completed"/>
    <s v="In Progress"/>
    <n v="20"/>
    <n v="19"/>
    <n v="0"/>
    <n v="19"/>
    <n v="0.95"/>
    <n v="1"/>
    <s v="UAT In Test"/>
    <n v="16"/>
    <n v="3"/>
    <n v="0"/>
    <n v="0"/>
    <n v="19"/>
    <n v="1"/>
    <n v="0.84210526315789469"/>
    <s v="4477260(H), 4480571(M), 4482591(M) (Delivered to UAT)"/>
    <x v="29"/>
    <x v="8"/>
  </r>
  <r>
    <s v="Differentiation"/>
    <x v="22"/>
    <x v="22"/>
    <x v="6"/>
    <s v="AMS- As a Solution Architect I want DCTA to be updated to use Attach Calculator data in place of Differentiation So that DCTA functionality remains accurate after the Differentiation screen is decommissioned"/>
    <n v="4446426"/>
    <s v="Ayush"/>
    <s v="Priyanka"/>
    <x v="41"/>
    <x v="1"/>
    <m/>
    <x v="1"/>
    <m/>
    <m/>
    <x v="5"/>
    <m/>
    <m/>
    <m/>
    <m/>
    <m/>
    <m/>
    <x v="0"/>
    <x v="0"/>
    <s v="Completed"/>
    <s v="Not Started"/>
    <n v="33"/>
    <n v="10"/>
    <n v="0"/>
    <n v="10"/>
    <n v="1"/>
    <n v="1"/>
    <s v="Active"/>
    <n v="0"/>
    <n v="0"/>
    <n v="0"/>
    <n v="10"/>
    <n v="10"/>
    <n v="0"/>
    <n v="0"/>
    <m/>
    <x v="32"/>
    <x v="6"/>
  </r>
  <r>
    <s v="AMS"/>
    <x v="63"/>
    <x v="63"/>
    <x v="6"/>
    <s v="AMS OCP/DCTA: As a mySolutionPlanner developer, I want to update the blending logic for Effort Ratio for Offshore LCR, Offshore Pyramid Index, and Offshore Pyramid metrics in the ATCI guidance logic to use Offshore SD Effort instead of Total SD Effort."/>
    <n v="4446616"/>
    <s v="Anu"/>
    <s v="Ayush"/>
    <x v="42"/>
    <x v="0"/>
    <m/>
    <x v="9"/>
    <m/>
    <m/>
    <x v="6"/>
    <m/>
    <m/>
    <m/>
    <m/>
    <m/>
    <m/>
    <x v="0"/>
    <x v="0"/>
    <s v="Completed"/>
    <s v="Not Started"/>
    <n v="21"/>
    <n v="21"/>
    <n v="0"/>
    <n v="21"/>
    <n v="1"/>
    <n v="1"/>
    <s v="PT In Test"/>
    <n v="0"/>
    <n v="0"/>
    <n v="0"/>
    <n v="21"/>
    <n v="21"/>
    <n v="0"/>
    <n v="0"/>
    <m/>
    <x v="29"/>
    <x v="8"/>
  </r>
  <r>
    <s v="AMS Solution Configuration Agent"/>
    <x v="59"/>
    <x v="59"/>
    <x v="6"/>
    <s v="As an AMS SCA user, I want the Generative AI screen and functionality enhanced including conditional “In Progress” and an updated GenWizard API that uses the new Attach Calculator for asset utilization so that I can manage Gen AI configurations accurately."/>
    <n v="4447669"/>
    <s v="Nagaratna"/>
    <s v="Vaishnavi"/>
    <x v="3"/>
    <x v="2"/>
    <s v="Agent testing is prompt-driven and highly dependent on dynamic inputs. Hence it cannot be automated"/>
    <x v="15"/>
    <m/>
    <m/>
    <x v="3"/>
    <n v="44"/>
    <n v="13"/>
    <n v="37"/>
    <n v="50"/>
    <n v="0.26"/>
    <n v="0.24"/>
    <x v="0"/>
    <x v="2"/>
    <s v="Not Started"/>
    <s v="In Progress"/>
    <m/>
    <m/>
    <m/>
    <m/>
    <m/>
    <m/>
    <s v="PT In Test"/>
    <n v="14"/>
    <n v="3"/>
    <n v="0"/>
    <n v="33"/>
    <n v="50"/>
    <n v="0.34"/>
    <n v="0.82352941176470584"/>
    <s v="4490775-H,4491156-M,4491430-M"/>
    <x v="31"/>
    <x v="13"/>
  </r>
  <r>
    <s v="AMS"/>
    <x v="64"/>
    <x v="64"/>
    <x v="6"/>
    <s v="AMS OCP/DCTA: As a mySolutionPlanner developer, I should be able to get the Export/Import status tab in Available Hours screen"/>
    <n v="4439199"/>
    <s v="Anu"/>
    <s v="Priyanka"/>
    <x v="42"/>
    <x v="1"/>
    <m/>
    <x v="1"/>
    <m/>
    <m/>
    <x v="3"/>
    <m/>
    <m/>
    <m/>
    <m/>
    <m/>
    <m/>
    <x v="0"/>
    <x v="0"/>
    <s v="Completed"/>
    <m/>
    <m/>
    <m/>
    <m/>
    <m/>
    <m/>
    <m/>
    <m/>
    <m/>
    <m/>
    <m/>
    <m/>
    <m/>
    <m/>
    <m/>
    <m/>
    <x v="4"/>
    <x v="3"/>
  </r>
  <r>
    <s v="AMS"/>
    <x v="64"/>
    <x v="64"/>
    <x v="6"/>
    <s v="AMS OCP/DCTA: As a mySolutionPlanner developer, I should be able to get the Export option in Available Hours template for Staffing"/>
    <n v="4439323"/>
    <s v="Anu"/>
    <s v="Priyanka"/>
    <x v="42"/>
    <x v="0"/>
    <m/>
    <x v="1"/>
    <m/>
    <m/>
    <x v="3"/>
    <m/>
    <m/>
    <m/>
    <m/>
    <m/>
    <m/>
    <x v="0"/>
    <x v="0"/>
    <s v="Completed"/>
    <m/>
    <m/>
    <m/>
    <m/>
    <m/>
    <m/>
    <m/>
    <m/>
    <m/>
    <m/>
    <m/>
    <m/>
    <m/>
    <m/>
    <m/>
    <m/>
    <x v="4"/>
    <x v="3"/>
  </r>
  <r>
    <s v="AMS"/>
    <x v="64"/>
    <x v="64"/>
    <x v="6"/>
    <s v="AMS OCP/DCTA: As a mySolutionPlanner developer, I should be able to get the Export option in Available Hours template for PMO"/>
    <n v="4439343"/>
    <s v="Anu"/>
    <s v="Priyanka"/>
    <x v="41"/>
    <x v="0"/>
    <m/>
    <x v="1"/>
    <m/>
    <m/>
    <x v="3"/>
    <m/>
    <m/>
    <m/>
    <m/>
    <m/>
    <m/>
    <x v="0"/>
    <x v="0"/>
    <s v="Completed"/>
    <m/>
    <m/>
    <m/>
    <m/>
    <m/>
    <m/>
    <m/>
    <m/>
    <m/>
    <m/>
    <m/>
    <m/>
    <m/>
    <m/>
    <m/>
    <m/>
    <x v="4"/>
    <x v="3"/>
  </r>
  <r>
    <s v="AMS"/>
    <x v="64"/>
    <x v="64"/>
    <x v="6"/>
    <s v="AMS OCP/DCTA: As a mySolutionPlanner developer, I should be able to get the Import option in Available Hours template for Staffing"/>
    <n v="4439357"/>
    <s v="Anu"/>
    <s v="Priyanka"/>
    <x v="43"/>
    <x v="0"/>
    <m/>
    <x v="1"/>
    <m/>
    <m/>
    <x v="3"/>
    <m/>
    <m/>
    <m/>
    <m/>
    <m/>
    <m/>
    <x v="0"/>
    <x v="0"/>
    <s v="Completed"/>
    <m/>
    <m/>
    <m/>
    <m/>
    <m/>
    <m/>
    <m/>
    <m/>
    <m/>
    <m/>
    <m/>
    <m/>
    <m/>
    <m/>
    <m/>
    <m/>
    <x v="4"/>
    <x v="3"/>
  </r>
  <r>
    <s v="AMS"/>
    <x v="64"/>
    <x v="64"/>
    <x v="6"/>
    <s v="AMS OCP/DCTA: As a mySolutionPlanner developer, I should be able to get the Import option in Available Hours template for PMO"/>
    <n v="4439362"/>
    <s v="Anu"/>
    <s v="Priyanka"/>
    <x v="43"/>
    <x v="0"/>
    <s v="Export and import report of OU staffing cannot be validated"/>
    <x v="1"/>
    <m/>
    <m/>
    <x v="3"/>
    <m/>
    <m/>
    <m/>
    <m/>
    <m/>
    <m/>
    <x v="0"/>
    <x v="0"/>
    <s v="Completed"/>
    <m/>
    <m/>
    <m/>
    <m/>
    <m/>
    <m/>
    <m/>
    <m/>
    <m/>
    <m/>
    <m/>
    <m/>
    <m/>
    <m/>
    <m/>
    <m/>
    <x v="4"/>
    <x v="3"/>
  </r>
  <r>
    <s v="PMO"/>
    <x v="3"/>
    <x v="3"/>
    <x v="6"/>
    <s v="[PMO] As a PMO user, I should be able to navigate to Manage / Dashboard screen with the new URL from BPMS - OCP/DCTA"/>
    <n v="4455628"/>
    <s v="Jothika"/>
    <s v="Anu"/>
    <x v="38"/>
    <x v="0"/>
    <s v="Multiple role validation is requried , so cannot be automated"/>
    <x v="9"/>
    <m/>
    <m/>
    <x v="1"/>
    <m/>
    <m/>
    <m/>
    <m/>
    <m/>
    <m/>
    <x v="0"/>
    <x v="0"/>
    <s v="Completed"/>
    <s v="In Progress"/>
    <n v="17"/>
    <n v="13"/>
    <n v="0"/>
    <n v="13"/>
    <n v="0.95"/>
    <n v="1"/>
    <s v="PT In Test"/>
    <n v="7"/>
    <n v="1"/>
    <n v="0"/>
    <n v="5"/>
    <n v="13"/>
    <n v="0.61538461538461542"/>
    <n v="0.875"/>
    <s v="4488901(H)"/>
    <x v="4"/>
    <x v="3"/>
  </r>
  <r>
    <s v="PMO"/>
    <x v="3"/>
    <x v="3"/>
    <x v="6"/>
    <s v="[PMO] As a PMO user, I should be able to navigate to Manage / Dashboard screen with the new URL from IMS - OCP/DCTA"/>
    <n v="4455728"/>
    <s v="Sriram"/>
    <s v="Jothika"/>
    <x v="40"/>
    <x v="0"/>
    <s v="Multiple role Validation is required"/>
    <x v="9"/>
    <m/>
    <m/>
    <x v="1"/>
    <m/>
    <m/>
    <m/>
    <m/>
    <m/>
    <m/>
    <x v="0"/>
    <x v="0"/>
    <s v="Not Started"/>
    <s v="Not Started"/>
    <n v="8"/>
    <n v="8"/>
    <n v="0"/>
    <n v="8"/>
    <n v="1"/>
    <n v="1"/>
    <s v="PT In Test"/>
    <n v="3"/>
    <n v="0"/>
    <n v="0"/>
    <n v="5"/>
    <n v="8"/>
    <n v="0.375"/>
    <n v="1"/>
    <m/>
    <x v="4"/>
    <x v="3"/>
  </r>
  <r>
    <s v="PMO"/>
    <x v="3"/>
    <x v="3"/>
    <x v="6"/>
    <s v="[PMO] As a PMO user, I should be able to navigate to Manage / Dashboard screen with the new URL from AMS - OCP/DCTA"/>
    <n v="4447062"/>
    <s v="Ayush"/>
    <s v="Priyanka"/>
    <x v="42"/>
    <x v="1"/>
    <m/>
    <x v="1"/>
    <m/>
    <m/>
    <x v="1"/>
    <n v="8"/>
    <m/>
    <m/>
    <m/>
    <m/>
    <m/>
    <x v="0"/>
    <x v="0"/>
    <s v="Completed"/>
    <s v="Not Started"/>
    <n v="8"/>
    <n v="8"/>
    <n v="0"/>
    <n v="8"/>
    <n v="1"/>
    <n v="1"/>
    <s v="PT In Test"/>
    <n v="0"/>
    <n v="0"/>
    <n v="0"/>
    <n v="8"/>
    <n v="8"/>
    <n v="0"/>
    <n v="0"/>
    <m/>
    <x v="4"/>
    <x v="3"/>
  </r>
  <r>
    <s v="AMS Solution Configuration Agent "/>
    <x v="59"/>
    <x v="59"/>
    <x v="6"/>
    <s v="As a myISP AMS SCA user, I want to attach calculators to a solution and sync Automation and Security costs for accurate pricing"/>
    <n v="4447863"/>
    <s v="Vaishnavi"/>
    <s v="Monisha"/>
    <x v="3"/>
    <x v="2"/>
    <s v="Agent testing is prompt-driven and highly dependent on dynamic inputs. Hence it cannot be automated"/>
    <x v="15"/>
    <m/>
    <m/>
    <x v="3"/>
    <m/>
    <m/>
    <m/>
    <m/>
    <m/>
    <m/>
    <x v="0"/>
    <x v="2"/>
    <s v="Not Started"/>
    <s v="Not Started"/>
    <n v="22"/>
    <n v="5"/>
    <n v="9"/>
    <n v="14"/>
    <n v="0.22700000000000001"/>
    <n v="0.35709999999999997"/>
    <s v="New"/>
    <n v="0"/>
    <n v="0"/>
    <n v="0"/>
    <n v="14"/>
    <n v="14"/>
    <n v="0"/>
    <n v="0"/>
    <m/>
    <x v="31"/>
    <x v="13"/>
  </r>
  <r>
    <s v="AMS Solution Configuration Agent"/>
    <x v="59"/>
    <x v="59"/>
    <x v="6"/>
    <s v="As an AMS SCA user, I want enhanced NRR and EID export/import behavior with correct template downloads, country updates, consolidated exports, and optional profile inclusion, so that Named Resource data is handled accurately and as intended."/>
    <n v="4449945"/>
    <s v="Ramya"/>
    <s v="Monisha"/>
    <x v="3"/>
    <x v="2"/>
    <s v="Agent testing is prompt-driven and highly dependent on dynamic inputs. Hence it cannot be automated"/>
    <x v="15"/>
    <m/>
    <m/>
    <x v="3"/>
    <m/>
    <m/>
    <m/>
    <m/>
    <m/>
    <m/>
    <x v="0"/>
    <x v="0"/>
    <s v="Not Started"/>
    <s v="Not Started"/>
    <n v="7"/>
    <n v="1"/>
    <n v="14"/>
    <n v="15"/>
    <n v="0.14000000000000001"/>
    <n v="0.5"/>
    <s v="New"/>
    <n v="0"/>
    <n v="0"/>
    <n v="0"/>
    <n v="15"/>
    <n v="15"/>
    <n v="0"/>
    <n v="0"/>
    <m/>
    <x v="31"/>
    <x v="13"/>
  </r>
  <r>
    <s v="AMS OCP"/>
    <x v="58"/>
    <x v="58"/>
    <x v="6"/>
    <s v="AMS-OCP-View KDA Excel: As a mySolutionPlanner user, I want the KDA Excel download to include one additional tab per configured cluster showing the cluster-specific KDA matrix, So that use can view the updated View KDA excel report."/>
    <n v="4449948"/>
    <s v="Ayush"/>
    <s v="Anu"/>
    <x v="42"/>
    <x v="0"/>
    <s v="Export excels Validation"/>
    <x v="8"/>
    <m/>
    <m/>
    <x v="6"/>
    <m/>
    <m/>
    <m/>
    <m/>
    <m/>
    <m/>
    <x v="0"/>
    <x v="0"/>
    <s v="Completed"/>
    <s v="Not Started"/>
    <n v="35"/>
    <n v="35"/>
    <n v="0"/>
    <n v="35"/>
    <n v="1"/>
    <n v="1"/>
    <s v="Active"/>
    <n v="0"/>
    <n v="0"/>
    <n v="0"/>
    <n v="35"/>
    <n v="35"/>
    <n v="0"/>
    <n v="0"/>
    <m/>
    <x v="29"/>
    <x v="8"/>
  </r>
  <r>
    <s v="Create &quot;FY26 [BPMS BAU] - BPMS - OCP Negotiating Contingency % in the Billing JSON&quot;"/>
    <x v="65"/>
    <x v="65"/>
    <x v="7"/>
    <s v="FY26 [BPMS BAU] - Create &quot;FY26 [BPMS BAU] - BPMS - OCP Negotiating Contingency % in the Billing JSON&quot;"/>
    <n v="4440537"/>
    <s v="Sindhuja"/>
    <s v="Aman"/>
    <x v="3"/>
    <x v="2"/>
    <s v="BPMS BAU"/>
    <x v="16"/>
    <m/>
    <m/>
    <x v="3"/>
    <m/>
    <m/>
    <m/>
    <m/>
    <m/>
    <m/>
    <x v="0"/>
    <x v="0"/>
    <s v="Completed"/>
    <s v="Blocked"/>
    <m/>
    <m/>
    <m/>
    <m/>
    <m/>
    <m/>
    <s v="PT In Test"/>
    <n v="2"/>
    <n v="2"/>
    <n v="0"/>
    <n v="0"/>
    <n v="4"/>
    <n v="1"/>
    <n v="0.5"/>
    <m/>
    <x v="33"/>
    <x v="12"/>
  </r>
  <r>
    <s v=" Log Reporting DB Sync Scenario, Version, and Timestamp in BDL Generation"/>
    <x v="66"/>
    <x v="66"/>
    <x v="7"/>
    <s v="FY26 [BPMS BAU] - Log Reporting DB Sync Scenario, Version, and Timestamp in BDL Generation"/>
    <n v="4446089"/>
    <s v="Roshini"/>
    <s v="Sindhuja"/>
    <x v="3"/>
    <x v="2"/>
    <s v="BPMS BAU"/>
    <x v="16"/>
    <m/>
    <m/>
    <x v="3"/>
    <m/>
    <m/>
    <m/>
    <m/>
    <m/>
    <m/>
    <x v="0"/>
    <x v="0"/>
    <s v="Completed"/>
    <s v="In Progress"/>
    <m/>
    <m/>
    <m/>
    <m/>
    <m/>
    <m/>
    <s v="Ready for Test"/>
    <n v="6"/>
    <n v="0"/>
    <n v="0"/>
    <n v="10"/>
    <n v="16"/>
    <n v="0.375"/>
    <n v="1"/>
    <m/>
    <x v="33"/>
    <x v="12"/>
  </r>
  <r>
    <s v="CON-CAS - PCW"/>
    <x v="23"/>
    <x v="23"/>
    <x v="2"/>
    <s v="PCW - Add Technology Role and Standard Role Columns in Staffing Baseline for CON-CAS"/>
    <n v="4450157"/>
    <s v="Naveen S"/>
    <s v="Viji"/>
    <x v="3"/>
    <x v="2"/>
    <s v="PCW User Story"/>
    <x v="10"/>
    <m/>
    <m/>
    <x v="3"/>
    <m/>
    <m/>
    <m/>
    <m/>
    <m/>
    <m/>
    <x v="0"/>
    <x v="2"/>
    <s v="Not Started"/>
    <s v="Not Started"/>
    <n v="51"/>
    <n v="31"/>
    <n v="8"/>
    <n v="39"/>
    <n v="0.8"/>
    <n v="1"/>
    <s v="In Development"/>
    <n v="0"/>
    <n v="0"/>
    <n v="0"/>
    <n v="39"/>
    <n v="39"/>
    <n v="0"/>
    <n v="0"/>
    <m/>
    <x v="14"/>
    <x v="7"/>
  </r>
  <r>
    <s v="SI"/>
    <x v="36"/>
    <x v="36"/>
    <x v="2"/>
    <s v="SI | As a SA, Role Type should be mandatory for applicable SSGs on Staffing Baseline - UI"/>
    <n v="4449760"/>
    <s v="Naveen S"/>
    <s v="Viji"/>
    <x v="17"/>
    <x v="1"/>
    <m/>
    <x v="1"/>
    <s v="Medium"/>
    <m/>
    <x v="4"/>
    <m/>
    <m/>
    <m/>
    <m/>
    <m/>
    <m/>
    <x v="0"/>
    <x v="2"/>
    <s v="Not Started"/>
    <s v="Not Started"/>
    <n v="40"/>
    <n v="25"/>
    <n v="3"/>
    <n v="28"/>
    <n v="0.97"/>
    <n v="1"/>
    <s v="In Development"/>
    <n v="0"/>
    <n v="0"/>
    <n v="0"/>
    <n v="28"/>
    <n v="28"/>
    <n v="0"/>
    <n v="0"/>
    <m/>
    <x v="13"/>
    <x v="7"/>
  </r>
  <r>
    <s v="SI"/>
    <x v="36"/>
    <x v="36"/>
    <x v="2"/>
    <s v="SI | As a SA, Role Type should be mandatory for applicable SSGs on Staffing Baseline - OU"/>
    <n v="4449779"/>
    <s v="Viji"/>
    <s v="Sairam"/>
    <x v="16"/>
    <x v="0"/>
    <s v="Offline Utility OU related(Excel) Functionality Cannot be Automated"/>
    <x v="8"/>
    <s v="Complex"/>
    <m/>
    <x v="9"/>
    <n v="10"/>
    <n v="2"/>
    <n v="1"/>
    <n v="1"/>
    <n v="1"/>
    <n v="1"/>
    <x v="0"/>
    <x v="2"/>
    <s v="Not Started"/>
    <s v="Not Started"/>
    <n v="15"/>
    <n v="6"/>
    <n v="5"/>
    <n v="6"/>
    <n v="1"/>
    <n v="1"/>
    <s v="In Development"/>
    <n v="0"/>
    <n v="0"/>
    <n v="0"/>
    <n v="6"/>
    <n v="6"/>
    <n v="0"/>
    <n v="0"/>
    <m/>
    <x v="15"/>
    <x v="7"/>
  </r>
  <r>
    <s v="Differentiation"/>
    <x v="22"/>
    <x v="22"/>
    <x v="8"/>
    <s v="As a Solution Architect I want the ADL to be updated to use Attach Calculator data in place of Differentiation So that ADL functionality remains accurate after the Differentiation screen is decommissioned"/>
    <n v="4445116"/>
    <s v="Sunanda"/>
    <s v="Yuvani"/>
    <x v="44"/>
    <x v="1"/>
    <s v=" "/>
    <x v="17"/>
    <s v="Complex"/>
    <s v=" "/>
    <x v="7"/>
    <s v=" "/>
    <s v=" "/>
    <s v=" "/>
    <s v=" "/>
    <s v=" "/>
    <s v=" "/>
    <x v="0"/>
    <x v="0"/>
    <s v="Completed"/>
    <s v="Not Started"/>
    <n v="38"/>
    <n v="17"/>
    <n v="0"/>
    <n v="17"/>
    <n v="0.47"/>
    <n v="1"/>
    <s v="Active"/>
    <n v="0"/>
    <n v="0"/>
    <n v="0"/>
    <n v="17"/>
    <n v="17"/>
    <n v="0"/>
    <n v="0"/>
    <m/>
    <x v="32"/>
    <x v="6"/>
  </r>
  <r>
    <s v="Automation Calculator"/>
    <x v="67"/>
    <x v="67"/>
    <x v="8"/>
    <s v="As a myISP user, I want to view the submitted Productivity Assessment values in Automation Maturity as read-only, So that I can see the finalized assessment outcomes without modifying them."/>
    <n v="4468291"/>
    <s v="Yuvani"/>
    <s v="Debjit"/>
    <x v="45"/>
    <x v="0"/>
    <s v="Data validation is highly complex because the required information is integrated directly from theR2 (PA) screen, to Calc ROI screen ,Specific SG‑based criteria, scenario‑dependent,"/>
    <x v="9"/>
    <s v="Medium"/>
    <s v=" "/>
    <x v="1"/>
    <s v=" "/>
    <s v=" "/>
    <s v=" "/>
    <s v=" "/>
    <s v=" "/>
    <s v=" "/>
    <x v="0"/>
    <x v="0"/>
    <s v="In Progress"/>
    <s v="Not Started"/>
    <n v="50"/>
    <n v="23"/>
    <n v="0"/>
    <n v="23"/>
    <n v="0.5"/>
    <n v="0.85"/>
    <s v="Active"/>
    <n v="0"/>
    <n v="0"/>
    <n v="0"/>
    <n v="23"/>
    <n v="23"/>
    <n v="0"/>
    <n v="0"/>
    <m/>
    <x v="34"/>
    <x v="11"/>
  </r>
  <r>
    <s v="Automation Calculator"/>
    <x v="67"/>
    <x v="67"/>
    <x v="8"/>
    <s v="As a myISP user, I want to view defaulted Productivity Assessment values in Automation Maturity as read-only, So that I can understand the estimated Automation Maturity when assessment is not yet submitted."/>
    <n v="4468292"/>
    <s v="Sunanda"/>
    <s v="Soundhar"/>
    <x v="3"/>
    <x v="2"/>
    <s v="Data validation is highly complex because the required information is integrated directly from theR2 (PA) screen, to Calc ROI screen ,Specific SG‑based criteria, scenario‑dependent,"/>
    <x v="9"/>
    <s v=" "/>
    <s v=" "/>
    <x v="17"/>
    <s v=" "/>
    <s v=" "/>
    <s v=" "/>
    <s v=" "/>
    <s v=" "/>
    <s v=" "/>
    <x v="0"/>
    <x v="0"/>
    <s v="Completed"/>
    <s v="Not Started"/>
    <n v="22"/>
    <n v="22"/>
    <n v="0"/>
    <n v="22"/>
    <n v="1"/>
    <n v="1"/>
    <s v="Active"/>
    <n v="0"/>
    <n v="0"/>
    <n v="0"/>
    <n v="22"/>
    <n v="22"/>
    <n v="0"/>
    <n v="0"/>
    <m/>
    <x v="34"/>
    <x v="11"/>
  </r>
  <r>
    <s v="Attach Calculator"/>
    <x v="68"/>
    <x v="68"/>
    <x v="8"/>
    <s v="[Attach Calculator]As a myISP User, I want to implement attach functionality of cost in SI for Sustainability Calculator so that the DNP screen is aligned"/>
    <n v="4368340"/>
    <s v="Shanmukii"/>
    <s v="Yuvani"/>
    <x v="3"/>
    <x v="2"/>
    <s v="Multiple Screen Validation and cost/data validation "/>
    <x v="9"/>
    <s v=" "/>
    <s v=" "/>
    <x v="17"/>
    <s v=" "/>
    <s v=" "/>
    <s v=" "/>
    <s v=" "/>
    <s v=" "/>
    <s v=" "/>
    <x v="0"/>
    <x v="0"/>
    <s v="Completed"/>
    <s v="Blocked"/>
    <n v="65"/>
    <n v="21"/>
    <n v="0"/>
    <n v="21"/>
    <n v="0.4"/>
    <n v="0.3"/>
    <s v="Active"/>
    <n v="19"/>
    <n v="2"/>
    <n v="0"/>
    <n v="0"/>
    <n v="21"/>
    <n v="1"/>
    <n v="0.90476190476190477"/>
    <s v="4491159(H)"/>
    <x v="35"/>
    <x v="11"/>
  </r>
  <r>
    <s v="Attach Calculator"/>
    <x v="68"/>
    <x v="68"/>
    <x v="8"/>
    <s v="[Attach Calculator]As a myISP User, I want to implement attach functionality of cost in SI for Sustainability Calculator so that the Staffing Baseline screen is aligned"/>
    <n v="4368341"/>
    <s v="Shanmukii"/>
    <s v="Yuvani"/>
    <x v="3"/>
    <x v="2"/>
    <s v="Multiple Screen Validation and cost/data validation "/>
    <x v="9"/>
    <s v=" "/>
    <s v=" "/>
    <x v="17"/>
    <s v=" "/>
    <s v=" "/>
    <s v=" "/>
    <s v=" "/>
    <s v=" "/>
    <s v=" "/>
    <x v="0"/>
    <x v="0"/>
    <s v="Completed"/>
    <s v="Blocked"/>
    <n v="65"/>
    <n v="28"/>
    <n v="0"/>
    <n v="28"/>
    <n v="0.5"/>
    <n v="0.4"/>
    <s v="Active"/>
    <n v="23"/>
    <n v="2"/>
    <n v="0"/>
    <n v="3"/>
    <n v="28"/>
    <n v="0.8928571428571429"/>
    <n v="0.92"/>
    <s v="4486099(H)"/>
    <x v="35"/>
    <x v="11"/>
  </r>
  <r>
    <s v="Attach Calculator"/>
    <x v="68"/>
    <x v="68"/>
    <x v="8"/>
    <s v="[Attach Calculator] As a myISP User, I want to implement attach functionality of cost in SI for IPC Calculator so that the DNP screen is aligned"/>
    <n v="4358553"/>
    <s v="Pawan"/>
    <s v="Srilekha"/>
    <x v="46"/>
    <x v="0"/>
    <s v="Multiple Screen Validation and cost/data validation "/>
    <x v="9"/>
    <s v="Complex"/>
    <s v=" "/>
    <x v="0"/>
    <s v=" "/>
    <s v=" "/>
    <s v=" "/>
    <s v=" "/>
    <s v=" "/>
    <s v=" "/>
    <x v="0"/>
    <x v="0"/>
    <s v="Not Started"/>
    <s v="Completed"/>
    <n v="44"/>
    <n v="20"/>
    <n v="1"/>
    <n v="21"/>
    <n v="0.95"/>
    <n v="0.95"/>
    <s v="UAT In Test"/>
    <n v="21"/>
    <n v="0"/>
    <n v="0"/>
    <n v="0"/>
    <n v="21"/>
    <n v="1"/>
    <n v="1"/>
    <m/>
    <x v="35"/>
    <x v="11"/>
  </r>
  <r>
    <s v="Attach Calculator"/>
    <x v="68"/>
    <x v="68"/>
    <x v="8"/>
    <s v="[Attach Calculator]As a myISP User, I want to implement attach functionality of cost in SI for Security Calculator so that the DNP screen is aligned"/>
    <n v="4358614"/>
    <s v="Shanmukii"/>
    <s v="Yuvani"/>
    <x v="3"/>
    <x v="2"/>
    <s v="Multiple Screen Validation and cost/data validation "/>
    <x v="9"/>
    <s v=" "/>
    <s v=" "/>
    <x v="17"/>
    <s v=" "/>
    <s v=" "/>
    <s v=" "/>
    <s v=" "/>
    <s v=" "/>
    <s v=" "/>
    <x v="0"/>
    <x v="0"/>
    <s v="Completed"/>
    <s v="In Progress"/>
    <n v="58"/>
    <n v="15"/>
    <n v="0"/>
    <n v="15"/>
    <n v="0.5"/>
    <n v="0.4"/>
    <s v="Active"/>
    <n v="13"/>
    <n v="2"/>
    <n v="0"/>
    <n v="0"/>
    <n v="15"/>
    <n v="1"/>
    <n v="0.8666666666666667"/>
    <s v="4488498(M)"/>
    <x v="35"/>
    <x v="11"/>
  </r>
  <r>
    <s v="Attach Calculator"/>
    <x v="68"/>
    <x v="68"/>
    <x v="8"/>
    <s v="[Attach Calculator] As a myISP User, I want to implement attach functionality of cost in SI for Security Calculator so that the Staffing Baseline screen is aligned"/>
    <n v="4358616"/>
    <s v="Shanmukii"/>
    <s v="Yuvani"/>
    <x v="3"/>
    <x v="2"/>
    <s v="Multiple Screen Validation and cost/data validation "/>
    <x v="9"/>
    <s v=" "/>
    <s v=" "/>
    <x v="17"/>
    <s v=" "/>
    <s v=" "/>
    <s v=" "/>
    <s v=" "/>
    <s v=" "/>
    <s v=" "/>
    <x v="0"/>
    <x v="0"/>
    <s v="Completed"/>
    <s v="Blocked"/>
    <n v="59"/>
    <n v="30"/>
    <n v="0"/>
    <n v="30"/>
    <n v="0.6"/>
    <n v="0.5"/>
    <s v="Active"/>
    <n v="28"/>
    <n v="2"/>
    <n v="0"/>
    <n v="0"/>
    <n v="30"/>
    <n v="1"/>
    <n v="0.93333333333333335"/>
    <s v="4488498(M),4486099(H)"/>
    <x v="35"/>
    <x v="11"/>
  </r>
  <r>
    <s v="Calculator"/>
    <x v="68"/>
    <x v="68"/>
    <x v="8"/>
    <s v="[Attach Calculator] As a myISP user, SI/SC/CON I want to implement the features of Editing, Attaching and Exempting in Actions column  in Attach calculator, so that the Attach Calculator experience aligns with defined business standards"/>
    <n v="4367497"/>
    <s v="Anitha"/>
    <s v="Sunanda"/>
    <x v="47"/>
    <x v="1"/>
    <s v=" "/>
    <x v="17"/>
    <s v="Complex"/>
    <s v=" "/>
    <x v="1"/>
    <s v=" "/>
    <s v=" "/>
    <s v=" "/>
    <s v=" "/>
    <s v=" "/>
    <s v=" "/>
    <x v="0"/>
    <x v="0"/>
    <s v="Completed"/>
    <s v="Completed"/>
    <n v="24"/>
    <n v="22"/>
    <n v="0"/>
    <n v="22"/>
    <n v="0.91"/>
    <n v="0.95"/>
    <s v="Active"/>
    <n v="22"/>
    <n v="0"/>
    <n v="0"/>
    <n v="0"/>
    <n v="22"/>
    <n v="1"/>
    <n v="1"/>
    <m/>
    <x v="35"/>
    <x v="11"/>
  </r>
  <r>
    <s v="Attach Calculator"/>
    <x v="68"/>
    <x v="68"/>
    <x v="8"/>
    <s v="[[Attach Calculator] As a mySP user, I should be able to perform sync functionalities (attach, detach, exempt) from the Attach Calculator Screen in SI for IPC Calculator"/>
    <n v="4367141"/>
    <s v="Srilekha"/>
    <s v="Pawan"/>
    <x v="48"/>
    <x v="0"/>
    <s v="The user story has multiple scenarios and screen to validate "/>
    <x v="9"/>
    <s v="Complex"/>
    <s v=" "/>
    <x v="1"/>
    <s v=" "/>
    <s v=" "/>
    <s v=" "/>
    <s v=" "/>
    <s v=" "/>
    <s v=" "/>
    <x v="0"/>
    <x v="0"/>
    <s v="Completed"/>
    <s v="In Progress"/>
    <n v="70"/>
    <n v="49"/>
    <n v="0"/>
    <n v="49"/>
    <n v="1"/>
    <n v="0.8"/>
    <s v="Active"/>
    <n v="30"/>
    <n v="0"/>
    <n v="0"/>
    <n v="19"/>
    <n v="49"/>
    <n v="0.61224489795918369"/>
    <n v="1"/>
    <m/>
    <x v="35"/>
    <x v="11"/>
  </r>
  <r>
    <s v="Attach Calculator"/>
    <x v="68"/>
    <x v="68"/>
    <x v="8"/>
    <s v="[Attach Calculator]As a mySP user, I should be able to perform sync functionalities (attach, detach, exempt) from the Attach Calculator Screen in SI for Sustainability Calculator"/>
    <n v="4367142"/>
    <s v="Ihsana"/>
    <s v="Soundhar"/>
    <x v="49"/>
    <x v="1"/>
    <s v=" "/>
    <x v="17"/>
    <s v=" "/>
    <s v=" "/>
    <x v="0"/>
    <s v=" "/>
    <s v=" "/>
    <s v=" "/>
    <s v=" "/>
    <s v=" "/>
    <s v=" "/>
    <x v="0"/>
    <x v="0"/>
    <s v="Not Started"/>
    <s v="In Progress"/>
    <n v="50"/>
    <n v="37"/>
    <n v="0"/>
    <n v="37"/>
    <n v="1"/>
    <n v="1"/>
    <s v="Active"/>
    <n v="30"/>
    <n v="0"/>
    <n v="0"/>
    <n v="7"/>
    <n v="37"/>
    <n v="0.81081081081081086"/>
    <n v="1"/>
    <m/>
    <x v="35"/>
    <x v="11"/>
  </r>
  <r>
    <s v="Attach Calculator"/>
    <x v="68"/>
    <x v="68"/>
    <x v="8"/>
    <s v="[Attach Calculator]As a mySP user, I should be able to perform sync functionalities (attach, detach, exempt) from the Attach Calculator Screen in SI for Security Calculator"/>
    <n v="4367160"/>
    <s v="Ihsana"/>
    <s v="Soundhar"/>
    <x v="49"/>
    <x v="1"/>
    <s v=" "/>
    <x v="17"/>
    <s v=" "/>
    <s v=" "/>
    <x v="0"/>
    <s v=" "/>
    <s v=" "/>
    <s v=" "/>
    <s v=" "/>
    <s v=" "/>
    <s v=" "/>
    <x v="0"/>
    <x v="0"/>
    <s v="Not Started"/>
    <s v="In Progress"/>
    <n v="50"/>
    <n v="40"/>
    <n v="0"/>
    <n v="40"/>
    <n v="1"/>
    <n v="1"/>
    <s v="Active"/>
    <n v="37"/>
    <n v="0"/>
    <n v="0"/>
    <n v="3"/>
    <n v="40"/>
    <n v="0.92500000000000004"/>
    <n v="1"/>
    <m/>
    <x v="35"/>
    <x v="11"/>
  </r>
  <r>
    <s v="Attach Calculator"/>
    <x v="68"/>
    <x v="68"/>
    <x v="8"/>
    <s v="[Attach Calculator] As a myISP user, I want to enable the R2 screen for the Attach Calculator flow for SI/SC/CON  Service Group, so that the Attach Calculator experience aligns with defined business standards."/>
    <n v="4367481"/>
    <s v="Anitha"/>
    <s v="Sunanda"/>
    <x v="47"/>
    <x v="1"/>
    <s v=" "/>
    <x v="17"/>
    <s v="Simple"/>
    <s v=" "/>
    <x v="1"/>
    <s v=" "/>
    <s v=" "/>
    <s v=" "/>
    <s v=" "/>
    <s v=" "/>
    <s v=" "/>
    <x v="0"/>
    <x v="0"/>
    <s v="Completed"/>
    <s v="Completed"/>
    <n v="12"/>
    <n v="9"/>
    <n v="0"/>
    <n v="9"/>
    <n v="0.9"/>
    <n v="0.95"/>
    <s v="Active"/>
    <n v="5"/>
    <n v="0"/>
    <n v="0"/>
    <n v="0"/>
    <n v="5"/>
    <n v="1"/>
    <n v="1"/>
    <m/>
    <x v="35"/>
    <x v="11"/>
  </r>
  <r>
    <s v="Attach Calculator"/>
    <x v="68"/>
    <x v="68"/>
    <x v="8"/>
    <s v="[Attach Calculator] AMS - As a myISP user, I want to implement the Calculators tab in Attach calculator(IPC, Sustainability and Security), so that the Attach Calculator experience aligns with defined business standards"/>
    <n v="4367490"/>
    <s v="Pawan"/>
    <s v="Sunanda"/>
    <x v="50"/>
    <x v="2"/>
    <s v="Multiple calculators with all the multiple screens validations included"/>
    <x v="9"/>
    <s v="Complex"/>
    <s v=" "/>
    <x v="17"/>
    <s v=" "/>
    <s v=" "/>
    <s v=" "/>
    <s v=" "/>
    <s v=" "/>
    <s v=" "/>
    <x v="0"/>
    <x v="0"/>
    <s v="Not Started"/>
    <s v="In Progress"/>
    <n v="27"/>
    <n v="27"/>
    <n v="0"/>
    <n v="27"/>
    <n v="1"/>
    <n v="1"/>
    <s v="PT In Test"/>
    <n v="4"/>
    <n v="0"/>
    <n v="0"/>
    <n v="23"/>
    <n v="27"/>
    <n v="0.14814814814814814"/>
    <n v="1"/>
    <m/>
    <x v="35"/>
    <x v="11"/>
  </r>
  <r>
    <s v="Attach Calculator"/>
    <x v="68"/>
    <x v="68"/>
    <x v="8"/>
    <s v="[Attach Calculator] AMS As a myISP user, I want to implement the Eligibility Criteria pop up in Attach calculator, so that the Attach Calculator experience aligns with defined business standards"/>
    <n v="4367494"/>
    <s v="Shanmukii"/>
    <s v="Yuvani"/>
    <x v="51"/>
    <x v="1"/>
    <s v=" "/>
    <x v="17"/>
    <s v="Medium"/>
    <s v=" "/>
    <x v="9"/>
    <n v="5"/>
    <n v="1"/>
    <n v="0"/>
    <n v="1"/>
    <s v=" "/>
    <s v=" "/>
    <x v="0"/>
    <x v="0"/>
    <s v="Completed"/>
    <s v="Completed"/>
    <n v="75"/>
    <n v="17"/>
    <n v="0"/>
    <n v="17"/>
    <n v="0.5"/>
    <n v="0.4"/>
    <s v="Active"/>
    <n v="17"/>
    <n v="0"/>
    <n v="0"/>
    <n v="0"/>
    <n v="17"/>
    <n v="1"/>
    <n v="1"/>
    <m/>
    <x v="35"/>
    <x v="11"/>
  </r>
  <r>
    <s v="Attach Calculator"/>
    <x v="68"/>
    <x v="68"/>
    <x v="8"/>
    <s v="[Attach Calculator]As a mySP user, I should be able to perform sync functionalities (attach, detach, exempt) from the Attach Calculator Screen in AMS for Security Calculator"/>
    <n v="4367162"/>
    <s v="Anitha"/>
    <s v="Sunanda"/>
    <x v="47"/>
    <x v="1"/>
    <s v=" "/>
    <x v="17"/>
    <s v="Complex"/>
    <s v=" "/>
    <x v="1"/>
    <s v=" "/>
    <s v=" "/>
    <s v=" "/>
    <s v=" "/>
    <s v=" "/>
    <s v=" "/>
    <x v="0"/>
    <x v="0"/>
    <s v="Completed"/>
    <s v="In Progress"/>
    <n v="24"/>
    <n v="23"/>
    <n v="0"/>
    <n v="23"/>
    <n v="0.95"/>
    <n v="0.98"/>
    <s v="Active"/>
    <n v="20"/>
    <n v="0"/>
    <n v="0"/>
    <n v="3"/>
    <n v="23"/>
    <n v="0.86956521739130432"/>
    <n v="1"/>
    <m/>
    <x v="35"/>
    <x v="11"/>
  </r>
  <r>
    <s v="Attach Calculator"/>
    <x v="68"/>
    <x v="68"/>
    <x v="8"/>
    <s v="[Attach Calculator] As a myISP user, I want to enable the R2 screen for the Attach Calculator flow for AMS  Service Group, so that the Attach Calculator experience aligns with defined business standards."/>
    <n v="4367480"/>
    <s v="Pujitha"/>
    <s v="Sunanda"/>
    <x v="52"/>
    <x v="1"/>
    <s v=" "/>
    <x v="17"/>
    <s v="Medium"/>
    <s v=" "/>
    <x v="11"/>
    <s v=" "/>
    <s v=" "/>
    <s v=" "/>
    <s v=" "/>
    <s v=" "/>
    <s v=" "/>
    <x v="0"/>
    <x v="1"/>
    <s v="Not Started"/>
    <s v="Completed"/>
    <n v="18"/>
    <n v="9"/>
    <n v="0"/>
    <n v="9"/>
    <n v="0.7"/>
    <n v="0.6"/>
    <s v="PT In Test"/>
    <n v="8"/>
    <n v="0"/>
    <n v="0"/>
    <n v="0"/>
    <n v="8"/>
    <n v="1"/>
    <n v="1"/>
    <m/>
    <x v="35"/>
    <x v="11"/>
  </r>
  <r>
    <s v="Attach Calculator"/>
    <x v="68"/>
    <x v="68"/>
    <x v="8"/>
    <s v="[Attach Calculator] As a mySP user, I should be able to perform sync functionalities (attach, detach, exempt) from the Attach Calculator Screen in AMS for Sustainability Calculator"/>
    <n v="4367145"/>
    <s v="Pujitha"/>
    <s v="Debjit"/>
    <x v="52"/>
    <x v="1"/>
    <s v=" "/>
    <x v="17"/>
    <s v="Medium"/>
    <s v=" "/>
    <x v="2"/>
    <s v=" "/>
    <s v=" "/>
    <s v=" "/>
    <s v=" "/>
    <s v=" "/>
    <s v=" "/>
    <x v="0"/>
    <x v="1"/>
    <s v="Not Started"/>
    <s v="Completed"/>
    <n v="53"/>
    <n v="53"/>
    <n v="0"/>
    <n v="53"/>
    <n v="0.7"/>
    <n v="0.7"/>
    <s v="PT In Test"/>
    <n v="27"/>
    <n v="0"/>
    <n v="0"/>
    <n v="0"/>
    <n v="27"/>
    <n v="1"/>
    <n v="1"/>
    <m/>
    <x v="35"/>
    <x v="11"/>
  </r>
  <r>
    <s v="Calculator"/>
    <x v="68"/>
    <x v="68"/>
    <x v="8"/>
    <s v="[Attach Calculator] AMS  As a myISP user, I want to implement Document download functionality in Attach calculator, so that the Attach Calculator experience aligns with defined business standards"/>
    <n v="4367506"/>
    <s v="Pujitha"/>
    <s v="Yuvani"/>
    <x v="52"/>
    <x v="0"/>
    <s v="partially we can download the file"/>
    <x v="8"/>
    <s v=" "/>
    <s v=" "/>
    <x v="1"/>
    <s v=" "/>
    <s v=" "/>
    <s v=" "/>
    <s v=" "/>
    <s v=" "/>
    <s v=" "/>
    <x v="0"/>
    <x v="1"/>
    <s v="Not Started"/>
    <s v="Completed"/>
    <n v="11"/>
    <n v="10"/>
    <n v="0"/>
    <n v="10"/>
    <n v="0.8"/>
    <n v="0.8"/>
    <s v="PT In Test"/>
    <n v="12"/>
    <n v="0"/>
    <n v="0"/>
    <n v="0"/>
    <n v="12"/>
    <n v="1"/>
    <n v="1"/>
    <m/>
    <x v="35"/>
    <x v="11"/>
  </r>
  <r>
    <s v="Calculator"/>
    <x v="68"/>
    <x v="68"/>
    <x v="8"/>
    <s v="[Attach Calculator]  I want to push the costing details AMS for Asset Calculator  so that the Costing screen is aligned"/>
    <n v="4367508"/>
    <s v="Divya Sree"/>
    <s v="Sunanda"/>
    <x v="53"/>
    <x v="1"/>
    <s v=" "/>
    <x v="17"/>
    <s v="Complex"/>
    <s v=" "/>
    <x v="1"/>
    <s v=" "/>
    <s v=" "/>
    <s v=" "/>
    <s v=" "/>
    <s v=" "/>
    <s v=" "/>
    <x v="0"/>
    <x v="1"/>
    <s v="Not Started"/>
    <s v="Not Started"/>
    <n v="67"/>
    <n v="67"/>
    <n v="0"/>
    <n v="67"/>
    <n v="100"/>
    <n v="100"/>
    <s v="Active"/>
    <n v="0"/>
    <n v="0"/>
    <n v="0"/>
    <n v="67"/>
    <n v="67"/>
    <n v="0"/>
    <n v="0"/>
    <m/>
    <x v="9"/>
    <x v="6"/>
  </r>
  <r>
    <s v="Calculator"/>
    <x v="68"/>
    <x v="68"/>
    <x v="8"/>
    <s v="[Attach Calculator] As a myISP user, I want to implement edit/attach/detach functionality for Asset Calculator (AMS) in  Attach calculator, so that the Attach Calculator experience aligns with defined business standards"/>
    <n v="4367567"/>
    <s v="Pujitha"/>
    <s v="Sunanda"/>
    <x v="52"/>
    <x v="1"/>
    <s v=" "/>
    <x v="17"/>
    <s v="Medium"/>
    <s v=" "/>
    <x v="1"/>
    <s v=" "/>
    <s v=" "/>
    <s v=" "/>
    <s v=" "/>
    <s v=" "/>
    <s v=" "/>
    <x v="0"/>
    <x v="0"/>
    <s v="Not Started"/>
    <s v="In Progress"/>
    <n v="26"/>
    <n v="24"/>
    <n v="0"/>
    <n v="24"/>
    <n v="0.8"/>
    <n v="0.7"/>
    <s v="PT In Test"/>
    <n v="2"/>
    <n v="0"/>
    <n v="0"/>
    <n v="22"/>
    <n v="24"/>
    <n v="8.3333333333333329E-2"/>
    <n v="1"/>
    <m/>
    <x v="36"/>
    <x v="11"/>
  </r>
  <r>
    <s v="Attach Calculators"/>
    <x v="69"/>
    <x v="69"/>
    <x v="8"/>
    <s v="[Attach Calculator] As a mySP user, I should be able to perform sync functionalities (attach, detach) from the Attach Calculator Screen in SI for Automation Calculator"/>
    <n v="4367870"/>
    <s v="Harish"/>
    <s v="Rohitha"/>
    <x v="54"/>
    <x v="1"/>
    <s v=" "/>
    <x v="17"/>
    <s v=" "/>
    <s v=" "/>
    <x v="1"/>
    <s v=" "/>
    <s v=" "/>
    <s v=" "/>
    <s v=" "/>
    <s v=" "/>
    <s v=" "/>
    <x v="0"/>
    <x v="0"/>
    <s v="Not Started"/>
    <s v="Not Started"/>
    <s v=" 36"/>
    <n v="6"/>
    <n v="9"/>
    <s v=" 15"/>
    <s v=" 80%"/>
    <s v=" 70%"/>
    <s v="Active"/>
    <n v="0"/>
    <n v="0"/>
    <n v="0"/>
    <n v="15"/>
    <n v="15"/>
    <n v="0"/>
    <n v="0"/>
    <m/>
    <x v="37"/>
    <x v="11"/>
  </r>
  <r>
    <s v="Attach Calculators"/>
    <x v="69"/>
    <x v="69"/>
    <x v="8"/>
    <s v="[Attach Calculator]As a mySP user, I should be able to perform sync functionalities (attach, detach) from the Attach Calculator Screen in AMS for Automation Calculator"/>
    <n v="4367874"/>
    <s v="Harish"/>
    <s v="Rohitha"/>
    <x v="54"/>
    <x v="1"/>
    <s v=" "/>
    <x v="17"/>
    <s v=" "/>
    <s v=" "/>
    <x v="1"/>
    <s v=" "/>
    <s v=" "/>
    <s v=" "/>
    <s v=" "/>
    <s v=" "/>
    <s v=" "/>
    <x v="0"/>
    <x v="0"/>
    <s v="Not Started"/>
    <s v="Not Started"/>
    <s v=" 38"/>
    <s v=" 6"/>
    <s v=" 9"/>
    <s v=" 15"/>
    <s v=" 70%"/>
    <s v=" 70%"/>
    <s v="Active"/>
    <n v="0"/>
    <n v="0"/>
    <n v="0"/>
    <n v="15"/>
    <n v="15"/>
    <n v="0"/>
    <n v="0"/>
    <m/>
    <x v="37"/>
    <x v="11"/>
  </r>
  <r>
    <s v="Attach Calculators"/>
    <x v="70"/>
    <x v="70"/>
    <x v="8"/>
    <s v="As a myISP user, I want to push the staffing rows from the VRO Calculator to staffing Baseline screen in SI when the calculator version is synced, so that the Staffing Baseline screen remains aligned"/>
    <n v="4358683"/>
    <s v="Harish"/>
    <s v="Rohitha"/>
    <x v="54"/>
    <x v="0"/>
    <s v="rest the scenarios are dependent on the MAIL approvals by SMe_x000a_ and  multiple calculators cant be automatable"/>
    <x v="0"/>
    <s v=" "/>
    <s v=" "/>
    <x v="7"/>
    <s v=" "/>
    <s v=" "/>
    <s v=" "/>
    <s v=" "/>
    <s v=" "/>
    <s v=" "/>
    <x v="0"/>
    <x v="0"/>
    <s v="Not Started"/>
    <s v="Not Started"/>
    <n v="34"/>
    <n v="7"/>
    <s v=" 5"/>
    <s v=" 12"/>
    <s v=" 80%"/>
    <n v="0.8"/>
    <s v="New"/>
    <n v="0"/>
    <n v="0"/>
    <n v="0"/>
    <n v="12"/>
    <n v="12"/>
    <n v="0"/>
    <n v="0"/>
    <m/>
    <x v="34"/>
    <x v="11"/>
  </r>
  <r>
    <s v="IMS Mobilization Calculator"/>
    <x v="71"/>
    <x v="71"/>
    <x v="8"/>
    <s v="As an IMS Mobilization Architect, I want to view and launch Mobilization calculator from the Estimator/Calculators tab - Gallery(API Creation)"/>
    <n v="4359135"/>
    <s v="Uma"/>
    <s v="Pawan"/>
    <x v="55"/>
    <x v="1"/>
    <s v=" "/>
    <x v="17"/>
    <s v="Medium"/>
    <s v=" "/>
    <x v="1"/>
    <s v=" "/>
    <s v=" "/>
    <s v=" "/>
    <s v=" "/>
    <s v=" "/>
    <s v=" "/>
    <x v="0"/>
    <x v="0"/>
    <s v="Completed"/>
    <s v="In Progress"/>
    <n v="18"/>
    <n v="13"/>
    <n v="1"/>
    <s v=" "/>
    <n v="0.9"/>
    <n v="0.9"/>
    <s v="Active"/>
    <n v="1"/>
    <n v="0"/>
    <n v="0"/>
    <n v="13"/>
    <n v="14"/>
    <n v="7.1428571428571425E-2"/>
    <n v="1"/>
    <m/>
    <x v="38"/>
    <x v="11"/>
  </r>
  <r>
    <s v="IMS Mobilization Calculator"/>
    <x v="71"/>
    <x v="71"/>
    <x v="8"/>
    <s v="As an Mobilization Architect, I want to create a new Mobilization version against IMS Solution version."/>
    <n v="4359177"/>
    <s v="Uma"/>
    <s v="Pawan"/>
    <x v="55"/>
    <x v="0"/>
    <s v="This US has calculations so cannot be fully automated, few fields can be automated so marked it as partial"/>
    <x v="11"/>
    <s v="Medium"/>
    <s v=" "/>
    <x v="7"/>
    <s v=" "/>
    <s v=" "/>
    <s v=" "/>
    <s v=" "/>
    <s v=" "/>
    <s v=" "/>
    <x v="0"/>
    <x v="0"/>
    <s v="Completed"/>
    <s v="In Progress"/>
    <n v="35"/>
    <n v="33"/>
    <n v="2"/>
    <s v=" "/>
    <n v="0.9"/>
    <n v="0.8"/>
    <s v="New"/>
    <n v="1"/>
    <n v="0"/>
    <n v="0"/>
    <n v="34"/>
    <n v="35"/>
    <n v="2.8571428571428571E-2"/>
    <n v="1"/>
    <m/>
    <x v="38"/>
    <x v="11"/>
  </r>
  <r>
    <s v="IMS Mobilization Calculator"/>
    <x v="71"/>
    <x v="71"/>
    <x v="8"/>
    <s v="As an Mobilization Architect, I want to provide inputs in the Package Selection Criteria tab."/>
    <n v="4359621"/>
    <s v="Uma"/>
    <s v="Pawan"/>
    <x v="55"/>
    <x v="0"/>
    <s v="This US has calculations so cannot be fully automated, few fields can be automated so marked it as partial"/>
    <x v="11"/>
    <s v="Medium"/>
    <s v=" "/>
    <x v="0"/>
    <s v=" "/>
    <s v=" "/>
    <s v=" "/>
    <s v=" "/>
    <s v=" "/>
    <s v=" "/>
    <x v="0"/>
    <x v="0"/>
    <s v="Completed"/>
    <s v="In Progress"/>
    <n v="37"/>
    <n v="30"/>
    <n v="2"/>
    <s v=" "/>
    <n v="0.9"/>
    <n v="0.8"/>
    <s v="Active"/>
    <n v="1"/>
    <n v="0"/>
    <n v="0"/>
    <n v="31"/>
    <n v="32"/>
    <n v="3.125E-2"/>
    <n v="1"/>
    <m/>
    <x v="38"/>
    <x v="11"/>
  </r>
  <r>
    <s v="Attach Calculator"/>
    <x v="68"/>
    <x v="68"/>
    <x v="8"/>
    <s v="[Attach Calculator] As a myISP User, I want to implement attach functionality of cost in AMS for Security Calculator so that the Costing screen is aligned"/>
    <n v="4366838"/>
    <s v="Ihsana"/>
    <s v="Soundhar"/>
    <x v="56"/>
    <x v="1"/>
    <s v=" "/>
    <x v="17"/>
    <s v=" "/>
    <s v=" "/>
    <x v="1"/>
    <n v="5"/>
    <n v="2"/>
    <n v="0"/>
    <n v="2"/>
    <n v="75"/>
    <n v="70"/>
    <x v="0"/>
    <x v="0"/>
    <s v="Completed"/>
    <s v="In Progress"/>
    <n v="40"/>
    <n v="25"/>
    <n v="0"/>
    <n v="25"/>
    <n v="1"/>
    <n v="1"/>
    <s v="Active"/>
    <n v="20"/>
    <n v="0"/>
    <n v="0"/>
    <n v="5"/>
    <n v="25"/>
    <n v="0.8"/>
    <n v="1"/>
    <m/>
    <x v="35"/>
    <x v="11"/>
  </r>
  <r>
    <s v="Attach Calculator"/>
    <x v="68"/>
    <x v="68"/>
    <x v="8"/>
    <s v="[Attach Calculator]As a myISP User, I want to implement attach functionality of cost in AMS for Security Calculator so that the Staffing screen is aligned"/>
    <n v="4366839"/>
    <s v="Ihsana"/>
    <s v="Soundhar"/>
    <x v="49"/>
    <x v="1"/>
    <s v=" "/>
    <x v="17"/>
    <s v=" "/>
    <s v=" "/>
    <x v="0"/>
    <s v=" "/>
    <s v=" "/>
    <s v=" "/>
    <s v=" "/>
    <s v=" "/>
    <s v=" "/>
    <x v="0"/>
    <x v="0"/>
    <s v="Not Started"/>
    <s v="In Progress"/>
    <n v="30"/>
    <n v="20"/>
    <n v="0"/>
    <n v="20"/>
    <n v="1"/>
    <n v="1"/>
    <s v="Active"/>
    <n v="17"/>
    <n v="0"/>
    <n v="1"/>
    <n v="2"/>
    <n v="20"/>
    <n v="0.85"/>
    <n v="0.94444444444444442"/>
    <s v="bug-4486099(H)"/>
    <x v="35"/>
    <x v="11"/>
  </r>
  <r>
    <s v="Value Shaping"/>
    <x v="72"/>
    <x v="72"/>
    <x v="8"/>
    <s v="Value Shaping - As a myISP user, I should be able to download output (360 Dimension View) as excel from summary screen of SVP page, so that it can be used for other purposes"/>
    <n v="4165210"/>
    <s v="Suchita"/>
    <s v="Bindu"/>
    <x v="57"/>
    <x v="0"/>
    <s v="cannot automate, verifying downloaded excel data with UI"/>
    <x v="8"/>
    <s v=" "/>
    <s v=" "/>
    <x v="1"/>
    <s v=" "/>
    <s v=" "/>
    <s v=" "/>
    <s v=" "/>
    <s v=" "/>
    <s v=" "/>
    <x v="0"/>
    <x v="0"/>
    <s v="Completed"/>
    <s v="Not Started"/>
    <n v="57"/>
    <n v="31"/>
    <n v="4"/>
    <n v="35"/>
    <n v="88"/>
    <n v="55"/>
    <s v="Active"/>
    <n v="0"/>
    <n v="0"/>
    <n v="0"/>
    <n v="35"/>
    <n v="35"/>
    <n v="0"/>
    <n v="0"/>
    <m/>
    <x v="27"/>
    <x v="11"/>
  </r>
  <r>
    <s v="Value Shaping"/>
    <x v="72"/>
    <x v="72"/>
    <x v="8"/>
    <s v="Value Shaping - As a myISP user, I should be able to download output (Value Led AM View) as excel from summary screen of SVP page, so that it can be used for other purposes"/>
    <n v="4165212"/>
    <s v="Suchita"/>
    <s v="Yasin"/>
    <x v="57"/>
    <x v="0"/>
    <s v="cannot automate, verifying downloaded excel data with UI"/>
    <x v="8"/>
    <s v=" "/>
    <s v=" "/>
    <x v="1"/>
    <s v=" "/>
    <s v=" "/>
    <s v=" "/>
    <s v=" "/>
    <s v=" "/>
    <s v=" "/>
    <x v="0"/>
    <x v="0"/>
    <s v="Completed"/>
    <s v="Not Started"/>
    <n v="38"/>
    <n v="26"/>
    <n v="4"/>
    <n v="30"/>
    <n v="86"/>
    <n v="68"/>
    <s v="Active"/>
    <n v="0"/>
    <n v="0"/>
    <n v="0"/>
    <n v="29"/>
    <n v="29"/>
    <n v="0"/>
    <n v="0"/>
    <m/>
    <x v="27"/>
    <x v="11"/>
  </r>
  <r>
    <s v="Value Shaping"/>
    <x v="72"/>
    <x v="72"/>
    <x v="8"/>
    <s v="Value Shaping -As a myISP user, I should be able to download output (Tech Transformation View) as excel from summary screen of SVP page, so that it can be used for other purposes"/>
    <n v="4165224"/>
    <s v="Bindu"/>
    <s v="Yasin"/>
    <x v="58"/>
    <x v="0"/>
    <s v="cannot automate, verifying downloaded excel data with UI"/>
    <x v="8"/>
    <s v=" "/>
    <s v=" "/>
    <x v="18"/>
    <s v=" "/>
    <s v=" "/>
    <s v=" "/>
    <s v=" "/>
    <s v=" "/>
    <s v=" "/>
    <x v="0"/>
    <x v="0"/>
    <s v="Completed"/>
    <s v="Not Started"/>
    <n v="38"/>
    <n v="26"/>
    <n v="4"/>
    <n v="30"/>
    <n v="86"/>
    <n v="68"/>
    <s v="Active"/>
    <n v="0"/>
    <n v="0"/>
    <n v="0"/>
    <n v="30"/>
    <n v="30"/>
    <n v="0"/>
    <n v="0"/>
    <m/>
    <x v="27"/>
    <x v="11"/>
  </r>
  <r>
    <s v="Value Shaping"/>
    <x v="72"/>
    <x v="72"/>
    <x v="8"/>
    <s v="Value Shaping - As a myISP user, I should be able to download output (Tree View) as excel from summary screen of SVP page, so that it can be used for other purposes"/>
    <n v="4165232"/>
    <s v="Yasin"/>
    <s v="Bindu"/>
    <x v="59"/>
    <x v="0"/>
    <s v="cannot automate, verifying downloaded excel data with UI"/>
    <x v="8"/>
    <s v=" "/>
    <s v=" "/>
    <x v="5"/>
    <s v=" "/>
    <s v=" "/>
    <s v=" "/>
    <s v=" "/>
    <s v=" "/>
    <s v=" "/>
    <x v="0"/>
    <x v="0"/>
    <s v="Completed"/>
    <s v="Not Started"/>
    <n v="35"/>
    <n v="20"/>
    <n v="3"/>
    <n v="23"/>
    <n v="87"/>
    <n v="60"/>
    <s v="Active"/>
    <n v="0"/>
    <n v="0"/>
    <n v="0"/>
    <n v="23"/>
    <n v="23"/>
    <n v="0"/>
    <n v="0"/>
    <m/>
    <x v="27"/>
    <x v="11"/>
  </r>
  <r>
    <s v="Value Shaping"/>
    <x v="72"/>
    <x v="72"/>
    <x v="8"/>
    <s v="Value Shaping - As a myISP user, I should be able to download output (Benchmark and size of prize View) as excel from summary screen of SVP page, so that it can be used for other purposes"/>
    <n v="4165234"/>
    <s v="Yasin"/>
    <s v="Bindu"/>
    <x v="59"/>
    <x v="0"/>
    <s v="cannot automate, verifying downloaded excel data with UI"/>
    <x v="8"/>
    <s v=" "/>
    <s v=" "/>
    <x v="5"/>
    <s v=" "/>
    <s v=" "/>
    <s v=" "/>
    <s v=" "/>
    <s v=" "/>
    <s v=" "/>
    <x v="0"/>
    <x v="0"/>
    <s v="Completed"/>
    <s v="Not Started"/>
    <n v="35"/>
    <n v="29"/>
    <n v="5"/>
    <n v="34"/>
    <n v="85"/>
    <n v="82"/>
    <s v="Active"/>
    <n v="0"/>
    <n v="0"/>
    <n v="0"/>
    <n v="34"/>
    <n v="34"/>
    <n v="0"/>
    <n v="0"/>
    <m/>
    <x v="27"/>
    <x v="11"/>
  </r>
  <r>
    <s v="Mobilization Calculator"/>
    <x v="73"/>
    <x v="73"/>
    <x v="8"/>
    <s v="As a mobilization SME, i should be able to apply filter on the columns in weekly ramp screen"/>
    <n v="4227424"/>
    <s v="Samreen"/>
    <s v="Hanshika"/>
    <x v="60"/>
    <x v="1"/>
    <s v=" "/>
    <x v="17"/>
    <s v="Medium"/>
    <s v=" "/>
    <x v="7"/>
    <s v=" "/>
    <s v=" "/>
    <s v=" "/>
    <s v=" "/>
    <s v=" "/>
    <s v=" "/>
    <x v="0"/>
    <x v="0"/>
    <s v="Completed"/>
    <s v="In Progress"/>
    <n v="55"/>
    <n v="24"/>
    <n v="0"/>
    <n v="24"/>
    <n v="1"/>
    <n v="1"/>
    <s v="Active"/>
    <n v="0"/>
    <n v="0"/>
    <n v="0"/>
    <n v="24"/>
    <n v="24"/>
    <n v="0"/>
    <n v="0"/>
    <m/>
    <x v="38"/>
    <x v="11"/>
  </r>
  <r>
    <s v="IPC Calculator"/>
    <x v="34"/>
    <x v="34"/>
    <x v="8"/>
    <s v="As a mySP user, I want to see custom package tile in package and cost screen as disabled when the user enters into a calculator version through the delivery governance tab in differentiation link"/>
    <n v="4313255"/>
    <s v="Pawan"/>
    <s v="Srilekha"/>
    <x v="46"/>
    <x v="1"/>
    <s v=" "/>
    <x v="17"/>
    <s v="Complex"/>
    <s v=" "/>
    <x v="0"/>
    <s v=" "/>
    <s v=" "/>
    <s v=" "/>
    <s v=" "/>
    <s v=" "/>
    <s v=" "/>
    <x v="0"/>
    <x v="0"/>
    <s v="Not Started"/>
    <s v="Not Started"/>
    <n v="35"/>
    <n v="21"/>
    <n v="0"/>
    <n v="21"/>
    <n v="1"/>
    <n v="1"/>
    <s v="Active"/>
    <n v="0"/>
    <n v="0"/>
    <n v="0"/>
    <n v="21"/>
    <n v="21"/>
    <n v="0"/>
    <n v="0"/>
    <m/>
    <x v="35"/>
    <x v="11"/>
  </r>
  <r>
    <s v="Value Shaping"/>
    <x v="72"/>
    <x v="72"/>
    <x v="8"/>
    <s v="Value Shaping - As a myISP user, I should be able to download output (Global View) as excel from summary screen of SVP page, so that it can be used for other purposes"/>
    <n v="4318913"/>
    <s v="Bindu"/>
    <s v="Yasin"/>
    <x v="59"/>
    <x v="0"/>
    <s v="cannot automate, verifying downloaded excel data with UI"/>
    <x v="8"/>
    <s v=" "/>
    <s v=" "/>
    <x v="5"/>
    <s v=" "/>
    <s v=" "/>
    <s v=" "/>
    <s v=" "/>
    <s v=" "/>
    <s v=" "/>
    <x v="0"/>
    <x v="0"/>
    <s v="Completed"/>
    <s v="Not Started"/>
    <n v="36"/>
    <n v="17"/>
    <n v="0"/>
    <n v="17"/>
    <n v="1"/>
    <n v="1"/>
    <s v="Active"/>
    <n v="0"/>
    <n v="0"/>
    <n v="0"/>
    <n v="17"/>
    <n v="17"/>
    <n v="0"/>
    <n v="0"/>
    <m/>
    <x v="27"/>
    <x v="11"/>
  </r>
  <r>
    <s v="Value Shaping"/>
    <x v="72"/>
    <x v="72"/>
    <x v="8"/>
    <s v="Value Shaping - As a myISP user, I should be able to download output (360 Dimension View) as PDF from summary screen of SVP page, so that it can be used for other purposes"/>
    <n v="4318914"/>
    <s v="Bindu"/>
    <s v="Yasin"/>
    <x v="59"/>
    <x v="0"/>
    <s v="cannot automate, verifying downloaded PDF data with UI"/>
    <x v="18"/>
    <s v=" "/>
    <s v=" "/>
    <x v="5"/>
    <s v=" "/>
    <s v=" "/>
    <s v=" "/>
    <s v=" "/>
    <s v=" "/>
    <s v=" "/>
    <x v="0"/>
    <x v="0"/>
    <s v="Completed"/>
    <s v="Not Started"/>
    <n v="34"/>
    <n v="16"/>
    <n v="0"/>
    <n v="16"/>
    <n v="1"/>
    <n v="1"/>
    <s v="Active"/>
    <n v="0"/>
    <n v="0"/>
    <n v="0"/>
    <n v="16"/>
    <n v="16"/>
    <n v="0"/>
    <n v="0"/>
    <m/>
    <x v="27"/>
    <x v="11"/>
  </r>
  <r>
    <s v="Value Shaping"/>
    <x v="72"/>
    <x v="72"/>
    <x v="8"/>
    <s v="Value Shaping - As a myISP user, I should be able to download output (Value Led AM View) as PDF from summary screen of SVP page, so that it can be used for other purposes"/>
    <n v="4318915"/>
    <s v="Suchita"/>
    <s v="Yasin"/>
    <x v="57"/>
    <x v="0"/>
    <s v="cannot automate, verifying downloaded PDF data with UI"/>
    <x v="18"/>
    <s v=" "/>
    <s v=" "/>
    <x v="2"/>
    <s v=" "/>
    <s v=" "/>
    <s v=" "/>
    <s v=" "/>
    <s v=" "/>
    <s v=" "/>
    <x v="0"/>
    <x v="0"/>
    <s v="Completed"/>
    <s v="In Progress"/>
    <n v="34"/>
    <n v="15"/>
    <n v="0"/>
    <n v="15"/>
    <n v="1"/>
    <n v="1"/>
    <s v="Active"/>
    <n v="5"/>
    <n v="0"/>
    <n v="0"/>
    <n v="10"/>
    <n v="15"/>
    <n v="0.33333333333333331"/>
    <n v="1"/>
    <m/>
    <x v="27"/>
    <x v="11"/>
  </r>
  <r>
    <s v="Value Shaping"/>
    <x v="72"/>
    <x v="72"/>
    <x v="8"/>
    <s v="Value Shaping -As a myISP user, I should be able to download output (Tech Transformation View) as PDF from summary screen of SVP page, so that it can be used for other purposes"/>
    <n v="4318916"/>
    <s v="Suchita"/>
    <s v="Bindu"/>
    <x v="57"/>
    <x v="0"/>
    <s v="cannot automate, verifying downloaded PDF data with UI"/>
    <x v="18"/>
    <s v=" "/>
    <s v=" "/>
    <x v="1"/>
    <s v=" "/>
    <s v=" "/>
    <s v=" "/>
    <s v=" "/>
    <s v=" "/>
    <s v=" "/>
    <x v="0"/>
    <x v="0"/>
    <s v="Completed"/>
    <s v="In Progress"/>
    <n v="35"/>
    <n v="22"/>
    <n v="4"/>
    <n v="26"/>
    <n v="84"/>
    <n v="65"/>
    <s v="Active"/>
    <n v="2"/>
    <n v="0"/>
    <n v="0"/>
    <n v="24"/>
    <n v="26"/>
    <n v="7.6923076923076927E-2"/>
    <n v="1"/>
    <m/>
    <x v="27"/>
    <x v="11"/>
  </r>
  <r>
    <s v="SnC Calculator"/>
    <x v="74"/>
    <x v="74"/>
    <x v="8"/>
    <s v="As a mySP user, I need to enable Process Mining Calculator for all SA"/>
    <n v="4327802"/>
    <s v="Reeshma"/>
    <s v="Madhuri"/>
    <x v="50"/>
    <x v="2"/>
    <s v="Need to be validated with mulitple SA roles with multiple deals"/>
    <x v="9"/>
    <s v=" "/>
    <s v=" "/>
    <x v="17"/>
    <s v=" "/>
    <s v=" "/>
    <s v=" "/>
    <s v=" "/>
    <s v=" "/>
    <s v=" "/>
    <x v="0"/>
    <x v="0"/>
    <s v="Completed"/>
    <s v="In Progress"/>
    <s v=" 12"/>
    <s v=" 12"/>
    <s v=" 11"/>
    <s v=" 23"/>
    <s v=" 52%"/>
    <s v=" 100%"/>
    <s v="Active"/>
    <n v="12"/>
    <n v="0"/>
    <n v="0"/>
    <n v="0"/>
    <n v="12"/>
    <n v="1"/>
    <n v="1"/>
    <m/>
    <x v="34"/>
    <x v="11"/>
  </r>
  <r>
    <s v="SnC Calculator"/>
    <x v="74"/>
    <x v="74"/>
    <x v="8"/>
    <s v="As a mySP user, I need to enable Process Value Explorer Calculator for all SA"/>
    <n v="4329271"/>
    <s v="Madhuri"/>
    <s v="Madhuri"/>
    <x v="50"/>
    <x v="2"/>
    <s v="Need to check for multiple SA roles"/>
    <x v="9"/>
    <s v=" "/>
    <s v=" "/>
    <x v="17"/>
    <s v=" "/>
    <s v=" "/>
    <s v=" "/>
    <s v=" "/>
    <s v=" "/>
    <s v=" "/>
    <x v="0"/>
    <x v="0"/>
    <s v="Completed"/>
    <s v="Completed"/>
    <n v="22"/>
    <n v="11"/>
    <n v="0"/>
    <n v="11"/>
    <n v="1"/>
    <s v=" "/>
    <s v="Active"/>
    <n v="11"/>
    <n v="0"/>
    <n v="0"/>
    <n v="0"/>
    <n v="11"/>
    <n v="1"/>
    <n v="1"/>
    <m/>
    <x v="34"/>
    <x v="11"/>
  </r>
  <r>
    <s v="SnC Calculator"/>
    <x v="74"/>
    <x v="74"/>
    <x v="8"/>
    <s v="As a mySP user, I need to enable Enterprise Value Targeting (EVT) Calculator for all SA"/>
    <n v="4329273"/>
    <s v="Reshmi"/>
    <s v="Yasin"/>
    <x v="50"/>
    <x v="2"/>
    <s v="Need to check for multiple SA roles"/>
    <x v="9"/>
    <s v=" "/>
    <s v=" "/>
    <x v="17"/>
    <s v=" "/>
    <s v=" "/>
    <s v=" "/>
    <s v=" "/>
    <s v=" "/>
    <s v=" "/>
    <x v="0"/>
    <x v="0"/>
    <s v="Not Started"/>
    <s v="In Progress"/>
    <n v="20"/>
    <n v="16"/>
    <n v="0"/>
    <n v="16"/>
    <n v="0.9"/>
    <n v="0.8"/>
    <s v="Active"/>
    <n v="6"/>
    <n v="0"/>
    <n v="0"/>
    <n v="5"/>
    <n v="11"/>
    <n v="0.54545454545454541"/>
    <n v="1"/>
    <m/>
    <x v="34"/>
    <x v="11"/>
  </r>
  <r>
    <s v="SnC Calculator"/>
    <x v="74"/>
    <x v="74"/>
    <x v="8"/>
    <s v="As a mySP user, I need to enable Value Realization Office (VRO) Calculator for all SA"/>
    <n v="4329279"/>
    <s v="Yuvani"/>
    <s v="Madhuri"/>
    <x v="3"/>
    <x v="2"/>
    <s v="Need to check for multiple SA roles"/>
    <x v="9"/>
    <s v=" "/>
    <s v=" "/>
    <x v="3"/>
    <s v=" "/>
    <s v=" "/>
    <s v=" "/>
    <s v=" "/>
    <s v=" "/>
    <s v=" "/>
    <x v="0"/>
    <x v="0"/>
    <s v="In Progress"/>
    <s v="Not Started"/>
    <n v="25"/>
    <n v="11"/>
    <n v="0"/>
    <n v="11"/>
    <n v="0.69"/>
    <n v="0.9"/>
    <s v="Active"/>
    <n v="3"/>
    <n v="0"/>
    <n v="0"/>
    <n v="8"/>
    <n v="11"/>
    <n v="0.27272727272727271"/>
    <n v="1"/>
    <m/>
    <x v="34"/>
    <x v="11"/>
  </r>
  <r>
    <s v="Mobilization Calculator"/>
    <x v="73"/>
    <x v="73"/>
    <x v="8"/>
    <s v="As a Mobilization SME, I should be able to view both mapped and unmapped groups under Wave Mapping in the Map Groups &amp; Waves total FTE row."/>
    <n v="4330382"/>
    <s v="Srilekha"/>
    <s v="Reshmi"/>
    <x v="48"/>
    <x v="1"/>
    <m/>
    <x v="9"/>
    <s v="Complex"/>
    <s v=" "/>
    <x v="1"/>
    <s v=" "/>
    <s v=" "/>
    <s v=" "/>
    <s v=" "/>
    <s v=" "/>
    <s v=" "/>
    <x v="0"/>
    <x v="0"/>
    <s v="Completed"/>
    <s v="In Progress"/>
    <n v="40"/>
    <n v="32"/>
    <n v="0"/>
    <n v="32"/>
    <n v="1"/>
    <n v="0.9"/>
    <s v="Active"/>
    <n v="15"/>
    <n v="0"/>
    <n v="0"/>
    <n v="17"/>
    <n v="32"/>
    <n v="0.46875"/>
    <n v="1"/>
    <m/>
    <x v="38"/>
    <x v="11"/>
  </r>
  <r>
    <s v="SnC Calculator"/>
    <x v="74"/>
    <x v="74"/>
    <x v="8"/>
    <s v="As a mySP user, I want all the SnC Calculators to be enabled for AMS Service Group and all SA from the Calculator Gallery screen and Calculator Dashboard screen"/>
    <n v="4331550"/>
    <s v="Madhuri"/>
    <s v="Rohitha"/>
    <x v="50"/>
    <x v="2"/>
    <s v="Need to check for multiple SA roles"/>
    <x v="9"/>
    <s v=" "/>
    <s v=" "/>
    <x v="17"/>
    <s v=" "/>
    <s v=" "/>
    <s v=" "/>
    <s v=" "/>
    <s v=" "/>
    <s v=" "/>
    <x v="0"/>
    <x v="0"/>
    <s v="Completed"/>
    <s v="In Progress"/>
    <n v="25"/>
    <n v="16"/>
    <n v="0"/>
    <n v="16"/>
    <n v="1"/>
    <s v=" "/>
    <s v="Active"/>
    <n v="4"/>
    <n v="0"/>
    <n v="0"/>
    <n v="12"/>
    <n v="16"/>
    <n v="0.25"/>
    <n v="1"/>
    <m/>
    <x v="34"/>
    <x v="11"/>
  </r>
  <r>
    <s v="IPC Calculator"/>
    <x v="28"/>
    <x v="28"/>
    <x v="8"/>
    <s v="As a mySP user, I should see the updated cost for the assets in Standard Package in Package and Cost screen inside the calculator"/>
    <n v="4343709"/>
    <s v="Hanshika"/>
    <s v="Pawan"/>
    <x v="50"/>
    <x v="2"/>
    <s v="The US has caluclations from different screens."/>
    <x v="9"/>
    <s v=" Complex"/>
    <s v=" "/>
    <x v="17"/>
    <s v=" "/>
    <s v=" "/>
    <s v=" "/>
    <s v=" "/>
    <s v=" "/>
    <s v=" "/>
    <x v="0"/>
    <x v="0"/>
    <s v="Completed"/>
    <s v="Not Started"/>
    <n v="51"/>
    <n v="13"/>
    <n v="8"/>
    <n v="21"/>
    <n v="0.7"/>
    <n v="0.7"/>
    <s v="Active"/>
    <n v="0"/>
    <n v="0"/>
    <n v="0"/>
    <n v="21"/>
    <n v="21"/>
    <n v="0"/>
    <n v="0"/>
    <m/>
    <x v="35"/>
    <x v="11"/>
  </r>
  <r>
    <s v="SnC Calculator"/>
    <x v="75"/>
    <x v="75"/>
    <x v="8"/>
    <s v="As a mySP user, I want all the SnC Calculators to be enabled for AMS Service Group and all SA from the Calculator Gallery screen and Calculator Dashboard screen"/>
    <n v="4343880"/>
    <s v="Madhuri"/>
    <s v="Sunanda"/>
    <x v="50"/>
    <x v="2"/>
    <s v="The US has caluclations from different screens."/>
    <x v="9"/>
    <s v=" "/>
    <s v=" "/>
    <x v="17"/>
    <s v=" "/>
    <s v=" "/>
    <s v=" "/>
    <s v=" "/>
    <s v=" "/>
    <s v=" "/>
    <x v="0"/>
    <x v="0"/>
    <s v="Completed"/>
    <s v="In Progress"/>
    <n v="26"/>
    <n v="16"/>
    <n v="0"/>
    <n v="16"/>
    <n v="1"/>
    <s v=" "/>
    <s v="Active"/>
    <n v="3"/>
    <n v="0"/>
    <n v="0"/>
    <n v="13"/>
    <n v="16"/>
    <n v="0.1875"/>
    <n v="1"/>
    <m/>
    <x v="1"/>
    <x v="1"/>
  </r>
  <r>
    <s v="IPC Calculator"/>
    <x v="34"/>
    <x v="34"/>
    <x v="8"/>
    <s v="As a mySP user, I want to see the updated UI of Package and Cost screen due to the updated cost of standard package"/>
    <n v="4354055"/>
    <s v="Srilekha"/>
    <s v="Pawan"/>
    <x v="48"/>
    <x v="1"/>
    <s v="The US has caluclations from different screens."/>
    <x v="1"/>
    <s v="Complex"/>
    <s v=" "/>
    <x v="6"/>
    <s v=" "/>
    <s v=" "/>
    <s v=" "/>
    <s v=" "/>
    <s v=" "/>
    <s v=" "/>
    <x v="0"/>
    <x v="0"/>
    <s v="Completed"/>
    <s v="Not Started"/>
    <n v="51"/>
    <n v="28"/>
    <n v="0"/>
    <n v="28"/>
    <n v="1"/>
    <n v="0.8"/>
    <s v="Active"/>
    <n v="0"/>
    <n v="0"/>
    <n v="0"/>
    <n v="28"/>
    <n v="28"/>
    <n v="0"/>
    <n v="0"/>
    <m/>
    <x v="35"/>
    <x v="11"/>
  </r>
  <r>
    <s v="Automation Calculator"/>
    <x v="76"/>
    <x v="76"/>
    <x v="8"/>
    <s v="As a mySolutionPlanner dashboard user, I want a clear message to be shown when I hover over the delete icon for a system-generated version auto-created by mysolutionplanneradmin, So that the version cannot be deleted"/>
    <n v="4355700"/>
    <s v="Heena"/>
    <s v="Yuvani"/>
    <x v="61"/>
    <x v="1"/>
    <s v="The US has caluclations from different screens."/>
    <x v="17"/>
    <s v="Simple"/>
    <s v=" "/>
    <x v="1"/>
    <s v=" "/>
    <s v=" "/>
    <s v=" "/>
    <s v=" "/>
    <s v=" "/>
    <s v=" "/>
    <x v="0"/>
    <x v="0"/>
    <s v="Not Started"/>
    <s v="Not Started"/>
    <n v="35"/>
    <n v="10"/>
    <s v=" "/>
    <s v=" "/>
    <s v=" "/>
    <s v=" "/>
    <s v="New"/>
    <n v="0"/>
    <n v="0"/>
    <n v="0"/>
    <n v="9"/>
    <n v="9"/>
    <n v="0"/>
    <n v="0"/>
    <m/>
    <x v="1"/>
    <x v="1"/>
  </r>
  <r>
    <s v="Asset Blueprint Calculators"/>
    <x v="68"/>
    <x v="68"/>
    <x v="8"/>
    <s v="As a myISP User , I want to� push the DNP  details SI for Asset Calculator so that the DNP screen is aligned"/>
    <n v="4358519"/>
    <s v="Debjit"/>
    <s v="Rohitha"/>
    <x v="62"/>
    <x v="1"/>
    <s v="The US has caluclations from different screens."/>
    <x v="17"/>
    <s v="Medium"/>
    <s v=" "/>
    <x v="0"/>
    <s v=" "/>
    <s v=" "/>
    <s v=" "/>
    <s v=" "/>
    <s v=" "/>
    <s v=" "/>
    <x v="0"/>
    <x v="0"/>
    <s v="Not Started"/>
    <s v="Not Started"/>
    <n v="35"/>
    <n v="31"/>
    <n v="12"/>
    <n v="43"/>
    <n v="0.8"/>
    <n v="0.8"/>
    <s v="In Development"/>
    <n v="0"/>
    <n v="0"/>
    <n v="0"/>
    <n v="43"/>
    <n v="43"/>
    <n v="0"/>
    <n v="0"/>
    <m/>
    <x v="12"/>
    <x v="7"/>
  </r>
  <r>
    <s v="Attach Calculator"/>
    <x v="68"/>
    <x v="68"/>
    <x v="8"/>
    <s v="[Attach Calculator]As a myISP User, I want to implement attach functionality of cost in AMS for Sustainability Calculator so that the Costing screen is aligned"/>
    <n v="4368342"/>
    <s v="Raguvarshini"/>
    <s v="Debjit"/>
    <x v="3"/>
    <x v="2"/>
    <s v="The US has caluclations from different screens."/>
    <x v="9"/>
    <s v=" "/>
    <s v=" "/>
    <x v="17"/>
    <s v=" "/>
    <s v=" "/>
    <s v=" "/>
    <s v=" "/>
    <s v=" "/>
    <s v=" "/>
    <x v="0"/>
    <x v="0"/>
    <s v="Completed"/>
    <s v="In Progress"/>
    <n v="44"/>
    <n v="21"/>
    <n v="0"/>
    <n v="21"/>
    <n v="1"/>
    <n v="0.9"/>
    <s v="Active"/>
    <n v="18"/>
    <n v="1"/>
    <n v="2"/>
    <n v="0"/>
    <n v="21"/>
    <n v="0.90476190476190477"/>
    <n v="0.8571428571428571"/>
    <s v="Bug - 4491466(H) - Delivering the user story to UAT for parallel testing due to dependent user story delivered today_x000a_"/>
    <x v="35"/>
    <x v="11"/>
  </r>
  <r>
    <s v="Attach Calculator"/>
    <x v="68"/>
    <x v="68"/>
    <x v="8"/>
    <s v="[Attach Calculator] As a myISP User, I want to implement attach functionality of cost in AMS for Sustainability Calculator so that the Staffing screen is aligned"/>
    <n v="4368343"/>
    <s v="Raguvarshini"/>
    <s v="Debjit"/>
    <x v="3"/>
    <x v="2"/>
    <s v="The US has caluclations from different screens."/>
    <x v="9"/>
    <s v=" "/>
    <s v=" "/>
    <x v="17"/>
    <s v=" "/>
    <s v=" "/>
    <s v=" "/>
    <s v=" "/>
    <s v=" "/>
    <s v=" "/>
    <x v="0"/>
    <x v="0"/>
    <s v="Completed"/>
    <s v="In Progress"/>
    <n v="46"/>
    <n v="18"/>
    <n v="0"/>
    <n v="18"/>
    <n v="0.9"/>
    <n v="0.95"/>
    <s v="Active"/>
    <n v="15"/>
    <n v="1"/>
    <n v="2"/>
    <n v="0"/>
    <n v="18"/>
    <n v="0.88888888888888884"/>
    <n v="0.83333333333333337"/>
    <s v="Bug - 4491466(H) - Delivering the user story to UAT for parallel testing due to dependent user story delivered today_x000a_"/>
    <x v="35"/>
    <x v="11"/>
  </r>
  <r>
    <s v="Mobilization Calculator"/>
    <x v="73"/>
    <x v="73"/>
    <x v="8"/>
    <s v="As a Mobilization SME, i should be able to see the Phase Wise Cost Summary in the Ramp Summary export"/>
    <n v="4368362"/>
    <s v="Reshmi"/>
    <s v="Pawan"/>
    <x v="63"/>
    <x v="0"/>
    <s v="The US has caluclations from different screens."/>
    <x v="8"/>
    <s v=" "/>
    <s v=" "/>
    <x v="0"/>
    <s v=" "/>
    <s v=" "/>
    <s v=" "/>
    <s v=" "/>
    <s v=" "/>
    <s v=" "/>
    <x v="0"/>
    <x v="0"/>
    <s v="Not Started"/>
    <s v="In Progress"/>
    <n v="20"/>
    <n v="19"/>
    <n v="0"/>
    <n v="19"/>
    <n v="0.9"/>
    <n v="0.9"/>
    <s v="New"/>
    <n v="3"/>
    <n v="0"/>
    <n v="0"/>
    <n v="16"/>
    <n v="19"/>
    <n v="0.15789473684210525"/>
    <n v="1"/>
    <m/>
    <x v="38"/>
    <x v="11"/>
  </r>
  <r>
    <s v="Calculator"/>
    <x v="77"/>
    <x v="77"/>
    <x v="8"/>
    <s v="Asset Calculator - As a myISP User I want to implement S&amp;C calculator enabled for AMS and as non  taggable assets so that it aligns with business changes and the new design reframe - Copy"/>
    <n v="4368513"/>
    <s v="Debjit"/>
    <s v="Yuvani/Rohitha"/>
    <x v="62"/>
    <x v="1"/>
    <s v="The US has caluclations from different screens."/>
    <x v="17"/>
    <s v="Medium"/>
    <s v=" "/>
    <x v="7"/>
    <s v=" "/>
    <s v=" "/>
    <s v=" "/>
    <s v=" "/>
    <s v=" "/>
    <s v=" "/>
    <x v="0"/>
    <x v="0"/>
    <s v="Not Started"/>
    <s v="Not Started"/>
    <n v="40"/>
    <n v="40"/>
    <n v="13"/>
    <n v="53"/>
    <n v="0.8"/>
    <n v="0.8"/>
    <s v="Active"/>
    <n v="0"/>
    <n v="0"/>
    <n v="0"/>
    <n v="53"/>
    <n v="53"/>
    <n v="0"/>
    <n v="0"/>
    <m/>
    <x v="36"/>
    <x v="11"/>
  </r>
  <r>
    <s v="SnC Calculator"/>
    <x v="75"/>
    <x v="75"/>
    <x v="8"/>
    <s v="As a mySP user, I want Process Mining Calculator to be enabled for AMS Service Group from the Calculator Gallery screen"/>
    <n v="4369378"/>
    <s v="Reeshma"/>
    <s v="Madhuri"/>
    <x v="64"/>
    <x v="1"/>
    <s v="The US has caluclations from different screens."/>
    <x v="17"/>
    <s v="Simple"/>
    <s v=" 1"/>
    <x v="19"/>
    <s v=" 15"/>
    <s v=" "/>
    <s v=" "/>
    <s v=" "/>
    <s v=" "/>
    <s v=" "/>
    <x v="0"/>
    <x v="0"/>
    <s v="Completed"/>
    <s v="Completed"/>
    <s v=" 10"/>
    <s v=" 10"/>
    <s v=" 7"/>
    <s v=" 17"/>
    <s v=" 58%"/>
    <s v=" 100%"/>
    <s v="Active"/>
    <n v="10"/>
    <n v="0"/>
    <n v="0"/>
    <n v="0"/>
    <n v="10"/>
    <n v="1"/>
    <n v="1"/>
    <m/>
    <x v="34"/>
    <x v="11"/>
  </r>
  <r>
    <s v="SnC Calculator"/>
    <x v="75"/>
    <x v="75"/>
    <x v="8"/>
    <s v="As a mySP user, I want Process Value Explorer Calculator to be enabled for AMS Service Group from the Calculator Gallery screen"/>
    <n v="4369381"/>
    <s v="Madhuri"/>
    <s v="Soundhar"/>
    <x v="65"/>
    <x v="1"/>
    <s v="The US has caluclations from different screens."/>
    <x v="17"/>
    <s v="Simple"/>
    <s v=" "/>
    <x v="7"/>
    <s v=" "/>
    <s v=" "/>
    <s v=" "/>
    <s v=" "/>
    <s v=" "/>
    <s v=" "/>
    <x v="0"/>
    <x v="0"/>
    <s v="Completed"/>
    <s v="Completed"/>
    <n v="22"/>
    <n v="12"/>
    <n v="0"/>
    <n v="12"/>
    <n v="1"/>
    <m/>
    <s v="Active"/>
    <n v="2"/>
    <n v="0"/>
    <n v="0"/>
    <n v="9"/>
    <n v="11"/>
    <n v="0.18181818181818182"/>
    <n v="1"/>
    <m/>
    <x v="34"/>
    <x v="11"/>
  </r>
  <r>
    <s v="SnC Calculator"/>
    <x v="75"/>
    <x v="75"/>
    <x v="8"/>
    <s v="As a mySP user, I want EVT Calculator to be enabled for AMS Service Group from the Calculator Gallery screen"/>
    <n v="4369382"/>
    <s v="Reshmi"/>
    <s v="Yasin"/>
    <x v="63"/>
    <x v="1"/>
    <s v="The US has caluclations from different screens."/>
    <x v="17"/>
    <s v="Medium"/>
    <s v=" "/>
    <x v="1"/>
    <s v=" "/>
    <s v=" "/>
    <s v=" "/>
    <s v=" "/>
    <s v=" "/>
    <s v=" "/>
    <x v="0"/>
    <x v="0"/>
    <s v="Not Started"/>
    <s v="In Progress"/>
    <n v="25"/>
    <n v="19"/>
    <n v="0"/>
    <n v="19"/>
    <n v="0.8"/>
    <n v="0.85"/>
    <s v="Active"/>
    <n v="5"/>
    <n v="0"/>
    <n v="0"/>
    <n v="10"/>
    <n v="15"/>
    <n v="0.33333333333333331"/>
    <n v="1"/>
    <m/>
    <x v="34"/>
    <x v="11"/>
  </r>
  <r>
    <s v="SnC Calculator"/>
    <x v="75"/>
    <x v="75"/>
    <x v="8"/>
    <s v="As a mySP user, I want VRO Calculator to be enabled for AMS Service Group from the Calculator Gallery screen"/>
    <n v="4369383"/>
    <s v="Yuvani"/>
    <s v="Madhuri"/>
    <x v="45"/>
    <x v="1"/>
    <m/>
    <x v="17"/>
    <s v="Simple"/>
    <s v=" "/>
    <x v="1"/>
    <n v="27"/>
    <n v="1"/>
    <n v="0"/>
    <n v="1"/>
    <n v="0.65"/>
    <n v="0.78"/>
    <x v="0"/>
    <x v="0"/>
    <s v="In Progress"/>
    <s v="Not Started"/>
    <n v="25"/>
    <n v="12"/>
    <n v="0"/>
    <n v="12"/>
    <n v="0.63"/>
    <n v="0.74"/>
    <s v="Active"/>
    <n v="12"/>
    <n v="0"/>
    <n v="0"/>
    <n v="0"/>
    <n v="12"/>
    <n v="1"/>
    <n v="1"/>
    <m/>
    <x v="34"/>
    <x v="11"/>
  </r>
  <r>
    <s v="Attach Calculators"/>
    <x v="69"/>
    <x v="69"/>
    <x v="8"/>
    <s v="[Attach Calculator]As a myISP User, I want to implement attach functionality of cost in SI for Automation Calculator so that the Staffing Baseline screen is aligned"/>
    <n v="4370640"/>
    <s v="Reeshma"/>
    <s v="Debjit"/>
    <x v="64"/>
    <x v="1"/>
    <s v="The US has caluclations from different screens."/>
    <x v="17"/>
    <s v="Complex"/>
    <s v=" "/>
    <x v="1"/>
    <s v=" "/>
    <s v=" "/>
    <s v=" "/>
    <s v=" "/>
    <s v=" "/>
    <s v=" "/>
    <x v="0"/>
    <x v="0"/>
    <s v="Completed"/>
    <s v="Not Started"/>
    <s v=" 12"/>
    <s v=" 12"/>
    <s v=" 7"/>
    <s v=" 19"/>
    <s v=" 63%"/>
    <s v=" 100%"/>
    <s v="Active"/>
    <n v="0"/>
    <n v="0"/>
    <n v="0"/>
    <n v="17"/>
    <n v="17"/>
    <n v="0"/>
    <n v="0"/>
    <m/>
    <x v="37"/>
    <x v="11"/>
  </r>
  <r>
    <s v="Attach Calculators"/>
    <x v="69"/>
    <x v="69"/>
    <x v="8"/>
    <s v="[Attach Calculator]As a myISP User, I want to implement attach functionality of cost in SI for Automation Calculator so that the DNP screen is aligned"/>
    <n v="4370648"/>
    <s v="Rohitha"/>
    <s v="Debjit"/>
    <x v="66"/>
    <x v="1"/>
    <m/>
    <x v="17"/>
    <s v="Complex"/>
    <s v=" "/>
    <x v="7"/>
    <s v=" "/>
    <s v=" "/>
    <s v=" "/>
    <s v=" "/>
    <s v=" "/>
    <s v=" "/>
    <x v="0"/>
    <x v="0"/>
    <s v="Completed"/>
    <s v="In Progress"/>
    <n v="26"/>
    <n v="12"/>
    <n v="0"/>
    <n v="12"/>
    <n v="1"/>
    <n v="1"/>
    <s v="Active"/>
    <n v="6"/>
    <n v="0"/>
    <n v="0"/>
    <n v="6"/>
    <n v="12"/>
    <n v="0.5"/>
    <n v="1"/>
    <m/>
    <x v="37"/>
    <x v="11"/>
  </r>
  <r>
    <s v="Attach Calculators"/>
    <x v="69"/>
    <x v="69"/>
    <x v="8"/>
    <s v="[Attach Calculator] As a myISP User, I want to implement attach functionality of cost in AMS for Automation Calculator so that the Staffing screen is aligned"/>
    <n v="4370649"/>
    <s v="Divya Sree"/>
    <s v="Yuvani"/>
    <x v="45"/>
    <x v="1"/>
    <m/>
    <x v="17"/>
    <s v="Medium"/>
    <s v=" "/>
    <x v="6"/>
    <n v="11"/>
    <n v="1"/>
    <n v="0"/>
    <n v="1"/>
    <n v="0.72"/>
    <n v="0.8"/>
    <x v="0"/>
    <x v="0"/>
    <s v="Completed"/>
    <s v="In Progress"/>
    <n v="49"/>
    <n v="49"/>
    <n v="0"/>
    <n v="49"/>
    <n v="100"/>
    <n v="100"/>
    <s v="Active"/>
    <n v="1"/>
    <n v="0"/>
    <n v="48"/>
    <n v="0"/>
    <n v="49"/>
    <n v="2.0408163265306121E-2"/>
    <n v="2.0408163265306121E-2"/>
    <s v="Bug : 4491065"/>
    <x v="37"/>
    <x v="11"/>
  </r>
  <r>
    <s v="Attach Calculators"/>
    <x v="69"/>
    <x v="69"/>
    <x v="8"/>
    <s v="[Attach Calculator]As a myISP User, I want to implement attach functionality of cost in AMS for Automation Calculator so that the Costing screen is aligned"/>
    <n v="4370650"/>
    <s v="Divya Sree"/>
    <s v="Sunanda"/>
    <x v="53"/>
    <x v="1"/>
    <s v="The US has caluclations from different screens."/>
    <x v="17"/>
    <s v="Complex"/>
    <s v=" "/>
    <x v="1"/>
    <s v=" "/>
    <s v=" "/>
    <s v=" "/>
    <s v=" "/>
    <s v=" "/>
    <s v=" "/>
    <x v="0"/>
    <x v="0"/>
    <s v="Completed"/>
    <s v="In Progress"/>
    <n v="54"/>
    <n v="54"/>
    <n v="0"/>
    <n v="54"/>
    <n v="100"/>
    <n v="100"/>
    <s v="Active"/>
    <n v="1"/>
    <n v="0"/>
    <n v="53"/>
    <n v="0"/>
    <n v="54"/>
    <n v="1.8518518518518517E-2"/>
    <n v="1.8518518518518517E-2"/>
    <s v="Bug : 4491065"/>
    <x v="37"/>
    <x v="11"/>
  </r>
  <r>
    <s v="Attach Calculators"/>
    <x v="69"/>
    <x v="69"/>
    <x v="8"/>
    <s v="[Attach Calculator]As a myISP solution architect (SA),  I want to select and save an exemption reason at Automation Calculator version level for both SI and AMS"/>
    <n v="4370651"/>
    <s v="Divya Sree"/>
    <s v="Sunanda"/>
    <x v="53"/>
    <x v="1"/>
    <s v="The US has caluclations from different screens."/>
    <x v="17"/>
    <s v="Complex"/>
    <s v=" "/>
    <x v="1"/>
    <s v=" "/>
    <s v=" "/>
    <s v=" "/>
    <s v=" "/>
    <s v=" "/>
    <s v=" "/>
    <x v="0"/>
    <x v="0"/>
    <s v="Completed"/>
    <s v="In Progress"/>
    <n v="52"/>
    <n v="52"/>
    <n v="0"/>
    <n v="52"/>
    <n v="100"/>
    <n v="100"/>
    <s v="Active"/>
    <n v="2"/>
    <n v="10"/>
    <n v="0"/>
    <n v="40"/>
    <n v="52"/>
    <n v="0.23076923076923078"/>
    <n v="0.16666666666666666"/>
    <s v="Bugs : 4491534, 4491550"/>
    <x v="37"/>
    <x v="11"/>
  </r>
  <r>
    <s v="IPC Calculator"/>
    <x v="34"/>
    <x v="34"/>
    <x v="8"/>
    <s v="As a mySP user, I need to see updated costs being displayed when auto sync functionality for IPC Calculator is initiated"/>
    <n v="4371240"/>
    <s v="Samreen"/>
    <s v="Srilekha"/>
    <x v="50"/>
    <x v="2"/>
    <s v="New deal required everytime."/>
    <x v="7"/>
    <s v=" "/>
    <s v=" "/>
    <x v="17"/>
    <s v=" "/>
    <s v=" "/>
    <s v=" "/>
    <s v=" "/>
    <s v=" "/>
    <s v=" "/>
    <x v="0"/>
    <x v="0"/>
    <s v="Completed"/>
    <s v="Not Started"/>
    <n v="41"/>
    <n v="9"/>
    <n v="0"/>
    <n v="9"/>
    <n v="1"/>
    <n v="1"/>
    <s v="Active"/>
    <n v="0"/>
    <n v="0"/>
    <n v="0"/>
    <n v="9"/>
    <n v="9"/>
    <n v="0"/>
    <n v="0"/>
    <m/>
    <x v="35"/>
    <x v="11"/>
  </r>
  <r>
    <s v="IPC Calculator"/>
    <x v="34"/>
    <x v="34"/>
    <x v="8"/>
    <s v="As a mySP user, I should be able to see an auto created version of IPC with updated cost in standard package when solution version is created for the first time"/>
    <n v="4372175"/>
    <s v="Samreen"/>
    <s v="Srilekha"/>
    <x v="50"/>
    <x v="2"/>
    <s v="The US has caluclations from different screens."/>
    <x v="9"/>
    <s v=" "/>
    <s v=" "/>
    <x v="17"/>
    <s v=" "/>
    <s v=" "/>
    <s v=" "/>
    <s v=" "/>
    <s v=" "/>
    <s v=" "/>
    <x v="0"/>
    <x v="0"/>
    <s v="Completed"/>
    <s v="Not Started"/>
    <n v="45"/>
    <n v="10"/>
    <n v="0"/>
    <n v="10"/>
    <n v="1"/>
    <n v="1"/>
    <s v="Active"/>
    <n v="0"/>
    <n v="0"/>
    <n v="0"/>
    <n v="10"/>
    <n v="10"/>
    <n v="0"/>
    <n v="0"/>
    <m/>
    <x v="35"/>
    <x v="11"/>
  </r>
  <r>
    <s v="IPC Calculator"/>
    <x v="34"/>
    <x v="34"/>
    <x v="8"/>
    <s v="As a mySP user, I should be able to see an auto created version of IPC from WRWS with updated cost in standard package when solution version is created for the first time"/>
    <n v="4372864"/>
    <s v="Srilekha"/>
    <s v="Pawan"/>
    <x v="50"/>
    <x v="2"/>
    <s v="The US has caluclations from different screens."/>
    <x v="9"/>
    <s v="Complex"/>
    <s v=" "/>
    <x v="17"/>
    <s v=" "/>
    <s v=" "/>
    <s v=" "/>
    <s v=" "/>
    <s v=" "/>
    <s v=" "/>
    <x v="0"/>
    <x v="0"/>
    <s v="Completed"/>
    <s v="Not Started"/>
    <n v="50"/>
    <n v="26"/>
    <n v="0"/>
    <n v="26"/>
    <n v="1"/>
    <n v="0.8"/>
    <s v="New"/>
    <n v="0"/>
    <n v="0"/>
    <n v="0"/>
    <n v="26"/>
    <n v="26"/>
    <n v="0"/>
    <n v="0"/>
    <m/>
    <x v="1"/>
    <x v="1"/>
  </r>
  <r>
    <s v="Attach Calculator"/>
    <x v="68"/>
    <x v="68"/>
    <x v="8"/>
    <s v="[Attach Calculator] SI/SC/CON- As a myISP user, I want to implement the Calculators tab in Attach calculator, so that the Attach Calculator (IPC, Sustainability, Security) experience aligns with defined business standards"/>
    <n v="4373606"/>
    <s v="Hanshika"/>
    <s v="Srilekha"/>
    <x v="50"/>
    <x v="2"/>
    <s v="The US has caluclations from different screens."/>
    <x v="9"/>
    <s v=" Complex"/>
    <s v=" "/>
    <x v="17"/>
    <s v=" "/>
    <s v=" "/>
    <s v=" "/>
    <s v=" "/>
    <s v=" "/>
    <s v=" "/>
    <x v="0"/>
    <x v="0"/>
    <s v="Completed"/>
    <s v="In Progress"/>
    <n v="50"/>
    <n v="5"/>
    <n v="29"/>
    <n v="34"/>
    <n v="0.3"/>
    <n v="0.3"/>
    <s v="Active"/>
    <n v="10"/>
    <n v="0"/>
    <n v="0"/>
    <n v="24"/>
    <n v="34"/>
    <n v="0.29411764705882354"/>
    <n v="1"/>
    <m/>
    <x v="35"/>
    <x v="11"/>
  </r>
  <r>
    <s v="Calculator"/>
    <x v="68"/>
    <x v="68"/>
    <x v="8"/>
    <s v="[Attach Calculator] SI/SC/CON As a myISP user, I want to implement the Eligibility Criteria pop up in Attach calculator, so that the Attach Calculator experience aligns with defined business standards"/>
    <n v="4373608"/>
    <s v="Yuvani"/>
    <s v="Rohitha"/>
    <x v="67"/>
    <x v="1"/>
    <s v=" "/>
    <x v="17"/>
    <s v="Complex"/>
    <s v=" "/>
    <x v="6"/>
    <n v="16"/>
    <s v=" "/>
    <s v=" "/>
    <s v=" "/>
    <s v=" "/>
    <s v=" "/>
    <x v="0"/>
    <x v="0"/>
    <s v="Not Started"/>
    <s v="Completed"/>
    <n v="25"/>
    <n v="20"/>
    <n v="0"/>
    <n v="20"/>
    <n v="0.8"/>
    <n v="0.8"/>
    <s v="Active"/>
    <n v="20"/>
    <n v="0"/>
    <n v="0"/>
    <n v="0"/>
    <n v="20"/>
    <n v="1"/>
    <n v="1"/>
    <m/>
    <x v="35"/>
    <x v="11"/>
  </r>
  <r>
    <s v="Calculator"/>
    <x v="68"/>
    <x v="68"/>
    <x v="8"/>
    <s v="[Attach Calculator] AMS As a myISP user, AMS I want to implement the features of Editing, Attaching and Exempting in Actions column  in Attach calculator, so that the Attach Calculator experience aligns with defined business standards"/>
    <n v="4373612"/>
    <s v="Heena"/>
    <s v="Reeshma"/>
    <x v="61"/>
    <x v="1"/>
    <s v=" "/>
    <x v="17"/>
    <s v="Complex"/>
    <s v=" "/>
    <x v="13"/>
    <n v="2"/>
    <s v=" "/>
    <s v=" "/>
    <s v=" "/>
    <s v=" "/>
    <s v=" "/>
    <x v="0"/>
    <x v="0"/>
    <s v="Not Started"/>
    <s v="Not Started"/>
    <n v="59"/>
    <n v="12"/>
    <s v=" "/>
    <s v=" "/>
    <s v=" "/>
    <s v=" "/>
    <s v="Active"/>
    <n v="23"/>
    <n v="0"/>
    <n v="0"/>
    <n v="7"/>
    <n v="30"/>
    <n v="0.76666666666666672"/>
    <n v="1"/>
    <m/>
    <x v="35"/>
    <x v="11"/>
  </r>
  <r>
    <s v="Calculator"/>
    <x v="68"/>
    <x v="68"/>
    <x v="8"/>
    <s v="[Attach Calculator] AMS As a myISP user, I want to implement Asset List tab  for Attach Calculator(IPC, Sustainability and SecurityCalculator) , so that the Attach Calculator experience aligns with defined business standards"/>
    <n v="4373619"/>
    <s v="Hanshika"/>
    <s v="Srilekha"/>
    <x v="68"/>
    <x v="0"/>
    <m/>
    <x v="1"/>
    <s v=" Complex"/>
    <s v=" "/>
    <x v="0"/>
    <s v=" "/>
    <s v=" "/>
    <s v=" "/>
    <s v=" "/>
    <s v=" "/>
    <s v=" "/>
    <x v="0"/>
    <x v="0"/>
    <s v="Completed"/>
    <s v="In Progress"/>
    <n v="50"/>
    <n v="5"/>
    <n v="13"/>
    <n v="18"/>
    <n v="0.85"/>
    <n v="0.85"/>
    <s v="Active"/>
    <n v="0"/>
    <n v="0"/>
    <n v="0"/>
    <n v="18"/>
    <n v="18"/>
    <n v="0"/>
    <n v="0"/>
    <m/>
    <x v="35"/>
    <x v="11"/>
  </r>
  <r>
    <s v="Calculator"/>
    <x v="68"/>
    <x v="68"/>
    <x v="8"/>
    <s v="[Attach Calculator] SI/SC/CON  As a myISP user, I want to implement Document download functionality in Attach calculator, so that the Attach Calculator experience aligns with defined business standards"/>
    <n v="4373625"/>
    <s v="Rohitha"/>
    <s v="Rohitha"/>
    <x v="67"/>
    <x v="0"/>
    <s v="cannot automate, verifying downloaded excel data with UI"/>
    <x v="8"/>
    <s v="Complex"/>
    <s v=" "/>
    <x v="6"/>
    <n v="25"/>
    <s v=" "/>
    <s v=" "/>
    <s v=" "/>
    <s v=" "/>
    <s v=" "/>
    <x v="0"/>
    <x v="0"/>
    <s v="Completed"/>
    <s v="In Progress"/>
    <n v="35"/>
    <n v="20"/>
    <n v="0"/>
    <n v="20"/>
    <n v="0.7"/>
    <n v="0.7"/>
    <s v="Active"/>
    <n v="5"/>
    <n v="0"/>
    <n v="0"/>
    <n v="15"/>
    <n v="20"/>
    <n v="0.25"/>
    <n v="1"/>
    <m/>
    <x v="35"/>
    <x v="11"/>
  </r>
  <r>
    <s v="Attach Calculator"/>
    <x v="68"/>
    <x v="68"/>
    <x v="8"/>
    <s v="[Attach Calculator] As a myISP User, I want to implement attach functionality of Cost in SI for Asset Calculator so that the DNP screen is aligned"/>
    <n v="4373629"/>
    <s v="Divya Sree"/>
    <s v="Sunanda"/>
    <x v="53"/>
    <x v="1"/>
    <s v=" "/>
    <x v="17"/>
    <s v="Complex"/>
    <s v=" "/>
    <x v="13"/>
    <s v=" "/>
    <s v=" "/>
    <s v=" "/>
    <s v=" "/>
    <s v=" "/>
    <s v=" "/>
    <x v="0"/>
    <x v="0"/>
    <s v="Completed"/>
    <s v="In Progress"/>
    <n v="46"/>
    <n v="46"/>
    <n v="0"/>
    <n v="46"/>
    <n v="100"/>
    <n v="100"/>
    <s v="Active"/>
    <n v="45"/>
    <n v="1"/>
    <n v="0"/>
    <n v="0"/>
    <n v="46"/>
    <n v="1"/>
    <n v="0.97826086956521741"/>
    <s v="Bugs : 4486169"/>
    <x v="36"/>
    <x v="11"/>
  </r>
  <r>
    <s v="Calculator"/>
    <x v="68"/>
    <x v="68"/>
    <x v="8"/>
    <s v="[Attach Calculator]  I want to implement attach functionality of cost in AMS for Asset Calculator so that the Costing screen is aligned"/>
    <n v="4373870"/>
    <s v="Harish"/>
    <s v="Rohitha"/>
    <x v="54"/>
    <x v="1"/>
    <s v=" "/>
    <x v="17"/>
    <s v=" "/>
    <s v=" "/>
    <x v="1"/>
    <s v=" "/>
    <s v=" "/>
    <s v=" "/>
    <s v=" "/>
    <s v=" "/>
    <s v=" "/>
    <x v="0"/>
    <x v="0"/>
    <s v="Not Started"/>
    <s v="Not Started"/>
    <n v="37"/>
    <n v="6"/>
    <n v="3"/>
    <n v="9"/>
    <s v=" 90%"/>
    <s v=" 85%"/>
    <s v="Active"/>
    <n v="0"/>
    <n v="0"/>
    <n v="0"/>
    <n v="9"/>
    <n v="9"/>
    <n v="0"/>
    <n v="0"/>
    <m/>
    <x v="36"/>
    <x v="11"/>
  </r>
  <r>
    <s v="Calculator"/>
    <x v="68"/>
    <x v="68"/>
    <x v="8"/>
    <s v="[Attach Calculator] As a myISP user, I want to implement edit/attach/detach functionality for Asset Calculator (SI/SC/CON) in  Attach calculator, so that the Attach Calculator experience aligns with defined business standards"/>
    <n v="4373872"/>
    <s v="Rohitha"/>
    <s v="Yuvani"/>
    <x v="66"/>
    <x v="1"/>
    <s v=" "/>
    <x v="17"/>
    <s v="Complex"/>
    <s v=" "/>
    <x v="7"/>
    <s v=" "/>
    <s v=" "/>
    <s v=" "/>
    <s v=" "/>
    <s v=" "/>
    <s v=" "/>
    <x v="0"/>
    <x v="0"/>
    <s v="Completed"/>
    <s v="Completed"/>
    <n v="68"/>
    <n v="66"/>
    <n v="0"/>
    <n v="66"/>
    <n v="1"/>
    <n v="1"/>
    <s v="Active"/>
    <n v="66"/>
    <m/>
    <n v="0"/>
    <n v="0"/>
    <n v="66"/>
    <n v="1"/>
    <n v="1"/>
    <m/>
    <x v="36"/>
    <x v="11"/>
  </r>
  <r>
    <s v="IPC Calculator"/>
    <x v="34"/>
    <x v="34"/>
    <x v="8"/>
    <s v="As a mySP user, I need to see a validation message being displayed for IPC Calculator occurs when user tries to sync a manually created older calculator version"/>
    <n v="4373905"/>
    <s v="Srilekha"/>
    <s v="Pawan"/>
    <x v="48"/>
    <x v="1"/>
    <s v=" "/>
    <x v="17"/>
    <s v="Complex"/>
    <s v=" "/>
    <x v="2"/>
    <s v=" "/>
    <s v=" "/>
    <s v=" "/>
    <s v=" "/>
    <s v=" "/>
    <s v=" "/>
    <x v="0"/>
    <x v="0"/>
    <s v="Completed"/>
    <s v="In Progress"/>
    <n v="40"/>
    <n v="20"/>
    <n v="0"/>
    <n v="20"/>
    <n v="1"/>
    <n v="0.8"/>
    <s v="Active"/>
    <n v="10"/>
    <n v="0"/>
    <n v="0"/>
    <n v="10"/>
    <n v="20"/>
    <n v="0.5"/>
    <n v="1"/>
    <m/>
    <x v="35"/>
    <x v="11"/>
  </r>
  <r>
    <s v="IMS Mobilization Calculator"/>
    <x v="71"/>
    <x v="71"/>
    <x v="8"/>
    <s v="As a Mobilization Architect, I want to view the T-Shirt sizing determination in the Mobilization Approach tab based on total IMS Solution FTE count"/>
    <n v="4386542"/>
    <s v="Vishnupriya"/>
    <s v="Reshmi"/>
    <x v="69"/>
    <x v="0"/>
    <s v="User story has many calculations with multiple scenarios that needs to be verified and other screen like staffing also to be verified so difficult to automate"/>
    <x v="11"/>
    <s v=" "/>
    <s v=" "/>
    <x v="0"/>
    <s v=" "/>
    <s v=" "/>
    <s v=" "/>
    <s v=" "/>
    <s v=" "/>
    <s v=" "/>
    <x v="0"/>
    <x v="0"/>
    <s v="Not Started"/>
    <s v="Blocked"/>
    <n v="30"/>
    <n v="18"/>
    <n v="2"/>
    <n v="20"/>
    <n v="0.7"/>
    <n v="0.9"/>
    <s v="Active"/>
    <n v="0"/>
    <n v="0"/>
    <n v="0"/>
    <n v="20"/>
    <n v="20"/>
    <n v="0"/>
    <n v="0"/>
    <m/>
    <x v="38"/>
    <x v="11"/>
  </r>
  <r>
    <s v="IMS Mobilization Calculator"/>
    <x v="71"/>
    <x v="71"/>
    <x v="8"/>
    <s v="As a Mobilization Architect, I want to view the Recommended Transition package with system-calculated costs in Mobilization Approach tab"/>
    <n v="4386543"/>
    <s v="Uma"/>
    <s v="Pawan"/>
    <x v="50"/>
    <x v="2"/>
    <s v="This US has calculations for each field so cannot be automated"/>
    <x v="9"/>
    <m/>
    <s v=" "/>
    <x v="17"/>
    <s v=" "/>
    <s v=" "/>
    <s v=" "/>
    <s v=" "/>
    <s v=" "/>
    <s v=" "/>
    <x v="0"/>
    <x v="0"/>
    <s v="Completed"/>
    <s v="Not Started"/>
    <n v="24"/>
    <n v="21"/>
    <n v="1"/>
    <s v=" "/>
    <n v="0.9"/>
    <n v="0.8"/>
    <s v="Active"/>
    <n v="0"/>
    <n v="0"/>
    <n v="0"/>
    <n v="22"/>
    <n v="22"/>
    <n v="0"/>
    <n v="0"/>
    <m/>
    <x v="38"/>
    <x v="11"/>
  </r>
  <r>
    <s v="IMS Mobilization Calculator"/>
    <x v="71"/>
    <x v="71"/>
    <x v="8"/>
    <s v="As a IMS Mobilization Architect, I want to select Custom Package and override transition costs in Mobilization Approach tab"/>
    <n v="4386544"/>
    <s v="Srilekha"/>
    <s v="Hanshika"/>
    <x v="3"/>
    <x v="2"/>
    <s v="The user story has calculations with multiple scenarios"/>
    <x v="9"/>
    <s v="Complex"/>
    <s v=" "/>
    <x v="3"/>
    <s v=" "/>
    <s v=" "/>
    <s v=" "/>
    <s v=" "/>
    <s v=" "/>
    <s v=" "/>
    <x v="0"/>
    <x v="0"/>
    <s v="Completed"/>
    <s v="Not Started"/>
    <n v="53"/>
    <n v="42"/>
    <n v="0"/>
    <n v="42"/>
    <n v="1"/>
    <n v="0.9"/>
    <s v="Active"/>
    <n v="0"/>
    <n v="0"/>
    <n v="0"/>
    <n v="42"/>
    <n v="42"/>
    <n v="0"/>
    <n v="0"/>
    <m/>
    <x v="38"/>
    <x v="11"/>
  </r>
  <r>
    <s v="IMS Mobilization Calculator"/>
    <x v="71"/>
    <x v="71"/>
    <x v="8"/>
    <s v="As a Mobilization Architect, I want to view system-calculated Mobilization Staffing with default FTEs for Recommended Transition package"/>
    <n v="4386545"/>
    <s v="Pawan"/>
    <s v="Samreen"/>
    <x v="50"/>
    <x v="2"/>
    <s v="Multiple screen configuration and data validation in UI"/>
    <x v="9"/>
    <s v="Complex"/>
    <s v=" "/>
    <x v="17"/>
    <s v=" "/>
    <s v=" "/>
    <s v=" "/>
    <s v=" "/>
    <s v=" "/>
    <s v=" "/>
    <x v="0"/>
    <x v="0"/>
    <s v="Not Started"/>
    <s v="Not Started"/>
    <n v="41"/>
    <n v="29"/>
    <n v="0"/>
    <n v="29"/>
    <n v="1"/>
    <n v="0.85"/>
    <s v="Active"/>
    <n v="0"/>
    <n v="0"/>
    <n v="0"/>
    <n v="29"/>
    <n v="29"/>
    <n v="0"/>
    <n v="0"/>
    <m/>
    <x v="38"/>
    <x v="11"/>
  </r>
  <r>
    <s v="IMS Mobilization Calculator"/>
    <x v="71"/>
    <x v="71"/>
    <x v="8"/>
    <s v="As a Mobilization SME, I want to customize Mobilization Staffing with editable FTEs and add new roles for Custom Transition package"/>
    <n v="4386548"/>
    <s v="Samreen"/>
    <s v="Hanshika"/>
    <x v="60"/>
    <x v="1"/>
    <s v=" "/>
    <x v="17"/>
    <s v="Medium"/>
    <s v=" "/>
    <x v="20"/>
    <s v=" "/>
    <s v=" "/>
    <s v=" "/>
    <s v=" "/>
    <s v=" "/>
    <s v=" "/>
    <x v="0"/>
    <x v="0"/>
    <s v="Completed"/>
    <s v="Not Started"/>
    <n v="95"/>
    <n v="44"/>
    <n v="0"/>
    <n v="44"/>
    <n v="1"/>
    <n v="1"/>
    <s v="Active"/>
    <n v="0"/>
    <n v="0"/>
    <n v="0"/>
    <n v="44"/>
    <n v="44"/>
    <n v="0"/>
    <n v="0"/>
    <m/>
    <x v="38"/>
    <x v="11"/>
  </r>
  <r>
    <s v="IMS Mobilization Calculator"/>
    <x v="71"/>
    <x v="71"/>
    <x v="8"/>
    <s v="As a Mobilization Architect, I want to view the consolidated cost summary with cost breakdown and standard variation analysis in Summary tab"/>
    <n v="4386549"/>
    <s v="Hanshika"/>
    <s v="Pawan"/>
    <x v="68"/>
    <x v="0"/>
    <m/>
    <x v="1"/>
    <s v="Medium"/>
    <s v=" "/>
    <x v="0"/>
    <s v=" "/>
    <s v=" "/>
    <s v=" "/>
    <s v=" "/>
    <s v=" "/>
    <s v=" "/>
    <x v="0"/>
    <x v="0"/>
    <s v="Completed"/>
    <s v="Not Started"/>
    <n v="40"/>
    <n v="10"/>
    <n v="22"/>
    <n v="32"/>
    <n v="0.5"/>
    <n v="0.5"/>
    <s v="Active"/>
    <n v="0"/>
    <n v="0"/>
    <n v="0"/>
    <n v="32"/>
    <n v="32"/>
    <n v="0"/>
    <n v="0"/>
    <m/>
    <x v="38"/>
    <x v="11"/>
  </r>
  <r>
    <s v="IMS Mobilization Calculator"/>
    <x v="71"/>
    <x v="71"/>
    <x v="8"/>
    <s v="As a Mobilization Architect, I want to view Delivery Ramp and KR Ramp toggle tables with monthly ramp percentages in Summary tab"/>
    <n v="4386552"/>
    <s v="Hanshika"/>
    <s v="Pawan"/>
    <x v="50"/>
    <x v="2"/>
    <s v="The US has caluclations from different screens."/>
    <x v="9"/>
    <s v=" Complex"/>
    <s v=" "/>
    <x v="17"/>
    <s v=" "/>
    <s v=" "/>
    <s v=" "/>
    <s v=" "/>
    <s v=" "/>
    <s v=" "/>
    <x v="0"/>
    <x v="0"/>
    <s v="Completed"/>
    <s v="Not Started"/>
    <n v="42"/>
    <n v="25"/>
    <n v="6"/>
    <n v="31"/>
    <n v="0.9"/>
    <n v="0.9"/>
    <s v="Active"/>
    <n v="0"/>
    <n v="0"/>
    <n v="0"/>
    <n v="31"/>
    <n v="31"/>
    <n v="0"/>
    <n v="0"/>
    <m/>
    <x v="38"/>
    <x v="11"/>
  </r>
  <r>
    <s v="IMS Mobilization Calculator"/>
    <x v="71"/>
    <x v="71"/>
    <x v="8"/>
    <s v="As a Mobilization Architect, I want to use Back, Save as Draft, and Continue navigation buttons in Summary tab"/>
    <n v="4386553"/>
    <s v="Vishnupriya"/>
    <s v="Reshmi"/>
    <x v="69"/>
    <x v="0"/>
    <s v="Multiple screen data validations, cannot be able to automate"/>
    <x v="9"/>
    <s v=" "/>
    <s v=" "/>
    <x v="0"/>
    <s v=" "/>
    <s v=" "/>
    <s v=" "/>
    <s v=" "/>
    <s v=" "/>
    <s v=" "/>
    <x v="0"/>
    <x v="0"/>
    <s v="Not Started"/>
    <s v="In Progress"/>
    <n v="40"/>
    <n v="14"/>
    <n v="3"/>
    <n v="17"/>
    <n v="0.7"/>
    <n v="0.8"/>
    <s v="Active"/>
    <n v="0"/>
    <n v="0"/>
    <n v="0"/>
    <n v="17"/>
    <n v="17"/>
    <n v="0"/>
    <n v="0"/>
    <m/>
    <x v="38"/>
    <x v="11"/>
  </r>
  <r>
    <s v="IMS Mobilization Calculator"/>
    <x v="71"/>
    <x v="71"/>
    <x v="8"/>
    <s v="As a Solution Planner System, I want to apply business rules for mobilization cost calculations (Shift Allowance, Transport, Connectivity, Hiring, Delivery Ramp)"/>
    <n v="4386555"/>
    <s v="Samreen"/>
    <s v="Pawan"/>
    <x v="50"/>
    <x v="2"/>
    <s v="This US has calculations for each field so cannot be automated"/>
    <x v="9"/>
    <s v=" "/>
    <s v=" "/>
    <x v="17"/>
    <s v=" "/>
    <s v=" "/>
    <s v=" "/>
    <s v=" "/>
    <s v=" "/>
    <s v=" "/>
    <x v="0"/>
    <x v="0"/>
    <s v="Completed"/>
    <s v="Not Started"/>
    <n v="75"/>
    <n v="40"/>
    <n v="0"/>
    <n v="40"/>
    <n v="1"/>
    <n v="1"/>
    <s v="Active"/>
    <n v="0"/>
    <n v="0"/>
    <n v="0"/>
    <n v="40"/>
    <n v="40"/>
    <n v="0"/>
    <n v="0"/>
    <m/>
    <x v="38"/>
    <x v="11"/>
  </r>
  <r>
    <s v="IMS Mobilization Calculator"/>
    <x v="71"/>
    <x v="71"/>
    <x v="8"/>
    <s v="As an IMS Mobilization Architect, I want to send the FTE's and Costs calculated in the Mobilization Calculator to IMS Solution Version for review(Sync API)."/>
    <n v="4389872"/>
    <s v="Samreen"/>
    <s v="Pawan"/>
    <x v="50"/>
    <x v="2"/>
    <s v="This US has calculations for each field so cannot be automated"/>
    <x v="9"/>
    <s v=" "/>
    <s v=" "/>
    <x v="17"/>
    <s v=" "/>
    <s v=" "/>
    <s v=" "/>
    <s v=" "/>
    <s v=" "/>
    <s v=" "/>
    <x v="0"/>
    <x v="0"/>
    <s v="Completed"/>
    <s v="Not Started"/>
    <n v="52"/>
    <n v="17"/>
    <n v="0"/>
    <n v="17"/>
    <n v="1"/>
    <n v="1"/>
    <s v="Active"/>
    <n v="0"/>
    <n v="0"/>
    <n v="0"/>
    <n v="17"/>
    <n v="17"/>
    <n v="0"/>
    <n v="0"/>
    <m/>
    <x v="38"/>
    <x v="11"/>
  </r>
  <r>
    <s v="IPC Calculator"/>
    <x v="28"/>
    <x v="28"/>
    <x v="8"/>
    <s v="IPC Calculator | As a mySP user, I need to see all the calculator details (cost/exemption) copied from source to target version when using the Copy functionality within same opportunity"/>
    <n v="4394479"/>
    <s v="Reshmi"/>
    <s v="Samreen"/>
    <x v="50"/>
    <x v="2"/>
    <s v="Multiple screens complex validations included"/>
    <x v="9"/>
    <s v=" "/>
    <s v=" "/>
    <x v="17"/>
    <s v=" "/>
    <s v=" "/>
    <s v=" "/>
    <s v=" "/>
    <s v=" "/>
    <s v=" "/>
    <x v="0"/>
    <x v="0"/>
    <s v="Not Started"/>
    <s v="In Progress"/>
    <n v="27"/>
    <n v="25"/>
    <n v="0"/>
    <n v="25"/>
    <n v="0.9"/>
    <n v="0.9"/>
    <s v="Active"/>
    <n v="10"/>
    <n v="0"/>
    <n v="0"/>
    <n v="10"/>
    <n v="20"/>
    <n v="0.5"/>
    <n v="1"/>
    <m/>
    <x v="35"/>
    <x v="11"/>
  </r>
  <r>
    <s v="IPC Calculator"/>
    <x v="38"/>
    <x v="38"/>
    <x v="8"/>
    <s v="As a myISP user, I want to select one of the three new IPC exemption reasons in Package Selection Criteria so that the exemption reason is captured clearly and consistently."/>
    <n v="4428654"/>
    <s v="Pawan"/>
    <s v="Hanshika"/>
    <x v="46"/>
    <x v="1"/>
    <s v=" "/>
    <x v="17"/>
    <s v="Medium"/>
    <s v=" "/>
    <x v="13"/>
    <s v=" "/>
    <s v=" "/>
    <s v=" "/>
    <s v=" "/>
    <s v=" "/>
    <s v=" "/>
    <x v="0"/>
    <x v="0"/>
    <s v="Not Started"/>
    <s v="In Progress"/>
    <n v="35"/>
    <n v="23"/>
    <n v="1"/>
    <n v="24"/>
    <n v="0.95"/>
    <n v="0.95"/>
    <s v="PT In Test"/>
    <n v="11"/>
    <n v="0"/>
    <n v="0"/>
    <n v="10"/>
    <n v="21"/>
    <n v="0.52380952380952384"/>
    <n v="1"/>
    <m/>
    <x v="35"/>
    <x v="11"/>
  </r>
  <r>
    <s v="IPC Calculator"/>
    <x v="38"/>
    <x v="38"/>
    <x v="8"/>
    <s v="As a myISP user, I want to see the newly selected IPC exemption reason on the Attach Calculator screen so that the rationale remains visible and consistent across the workflow."/>
    <n v="4428655"/>
    <s v="Hanshika"/>
    <s v="Reshmi"/>
    <x v="68"/>
    <x v="1"/>
    <s v=" "/>
    <x v="17"/>
    <s v="Simple"/>
    <s v=" "/>
    <x v="1"/>
    <s v=" "/>
    <s v=" "/>
    <s v=" "/>
    <s v=" "/>
    <s v=" "/>
    <s v=" "/>
    <x v="0"/>
    <x v="0"/>
    <s v="Completed"/>
    <s v="In Progress"/>
    <n v="52"/>
    <n v="7"/>
    <n v="3"/>
    <n v="10"/>
    <n v="0.85"/>
    <n v="0.85"/>
    <s v="Active"/>
    <n v="0"/>
    <n v="0"/>
    <n v="0"/>
    <n v="10"/>
    <n v="10"/>
    <n v="0"/>
    <n v="0"/>
    <m/>
    <x v="35"/>
    <x v="11"/>
  </r>
  <r>
    <s v="Calculator Dashboard"/>
    <x v="68"/>
    <x v="68"/>
    <x v="8"/>
    <s v="[Attach Calculator] UI : As a myISP user, I need to see the updated status and the associated RAG for all the calculators in Calculators Dashboard screen"/>
    <n v="4438504"/>
    <s v="Reeshma"/>
    <s v="Rohitha"/>
    <x v="67"/>
    <x v="0"/>
    <s v="Multiple calculators and Multiple validations involved"/>
    <x v="9"/>
    <s v="Complex"/>
    <s v=" "/>
    <x v="6"/>
    <s v=" "/>
    <s v=" "/>
    <s v=" "/>
    <s v=" "/>
    <s v=" "/>
    <s v=" "/>
    <x v="0"/>
    <x v="0"/>
    <s v="Not Started"/>
    <s v="Not Started"/>
    <n v="37"/>
    <n v="30"/>
    <n v="0"/>
    <n v="30"/>
    <n v="0.8"/>
    <n v="0.8"/>
    <s v="Active"/>
    <n v="0"/>
    <n v="0"/>
    <n v="0"/>
    <n v="30"/>
    <n v="30"/>
    <n v="0"/>
    <n v="0"/>
    <m/>
    <x v="1"/>
    <x v="1"/>
  </r>
  <r>
    <s v="Attach Calculator"/>
    <x v="68"/>
    <x v="68"/>
    <x v="8"/>
    <s v="[Attach Calculator]AMS/SI: As a myISP user, I should be able to copy the contents from one version to another so that the copied contents reflect in the attach calculator screen [IPC, Sustainability and Security]"/>
    <n v="4438507"/>
    <s v="Pawan"/>
    <s v="Sunanda"/>
    <x v="50"/>
    <x v="2"/>
    <s v="Multiple screen configuration and data validation in UI"/>
    <x v="9"/>
    <s v="Complex"/>
    <s v=" "/>
    <x v="17"/>
    <s v=" "/>
    <s v=" "/>
    <s v=" "/>
    <s v=" "/>
    <s v=" "/>
    <s v=" "/>
    <x v="0"/>
    <x v="0"/>
    <s v="Not Started"/>
    <s v="Not Started"/>
    <n v="36"/>
    <n v="25"/>
    <n v="0"/>
    <n v="25"/>
    <n v="1"/>
    <n v="0.9"/>
    <s v="Active"/>
    <n v="0"/>
    <n v="0"/>
    <n v="0"/>
    <n v="25"/>
    <n v="25"/>
    <n v="0"/>
    <n v="0"/>
    <m/>
    <x v="35"/>
    <x v="11"/>
  </r>
  <r>
    <s v="Value Shaping"/>
    <x v="78"/>
    <x v="78"/>
    <x v="8"/>
    <s v="VS- As a myISP User I want KPI hover tooltip to display KPI description when available, So that I always get meaningful context during KPI review"/>
    <n v="4438584"/>
    <s v="Suchita"/>
    <s v="Yasin"/>
    <x v="57"/>
    <x v="0"/>
    <s v="cannot automate, verifying downloaded excel data with UI tool tip"/>
    <x v="8"/>
    <m/>
    <s v=" "/>
    <x v="1"/>
    <s v=" "/>
    <s v=" "/>
    <s v=" "/>
    <s v=" "/>
    <s v=" "/>
    <s v=" "/>
    <x v="0"/>
    <x v="0"/>
    <s v="Completed"/>
    <s v="In Progress"/>
    <n v="23"/>
    <n v="4"/>
    <n v="0"/>
    <n v="4"/>
    <n v="1"/>
    <n v="1"/>
    <s v="Active"/>
    <n v="0"/>
    <n v="0"/>
    <n v="0"/>
    <n v="4"/>
    <n v="4"/>
    <n v="0"/>
    <n v="0"/>
    <m/>
    <x v="27"/>
    <x v="11"/>
  </r>
  <r>
    <s v="Value Shaping"/>
    <x v="78"/>
    <x v="78"/>
    <x v="8"/>
    <s v="VS - As a myISP User I want the Benchmark Target tooltip to show the actual benchmark source, So that I can validate benchmark credibility directly while reviewing KPI details."/>
    <n v="4438585"/>
    <s v="Yasin"/>
    <s v="Bindu"/>
    <x v="59"/>
    <x v="0"/>
    <s v="cannot automate, verifying downloaded excel data with UI tool tip"/>
    <x v="8"/>
    <s v=" "/>
    <s v=" "/>
    <x v="5"/>
    <s v=" "/>
    <s v=" "/>
    <s v=" "/>
    <s v=" "/>
    <s v=" "/>
    <s v=" "/>
    <x v="0"/>
    <x v="0"/>
    <s v="Completed"/>
    <s v="In Progress"/>
    <n v="35"/>
    <n v="27"/>
    <n v="5"/>
    <n v="32"/>
    <n v="84"/>
    <n v="80"/>
    <s v="Active"/>
    <n v="32"/>
    <n v="0"/>
    <n v="0"/>
    <n v="0"/>
    <n v="32"/>
    <n v="1"/>
    <n v="1"/>
    <m/>
    <x v="27"/>
    <x v="11"/>
  </r>
  <r>
    <s v="Asset Calculator"/>
    <x v="79"/>
    <x v="79"/>
    <x v="8"/>
    <s v="[Asset Calculator] As a myISP ,I  want to implement I&amp;I Differentiator accordion and mapping-sheet-driven asset catalog behavior to work consistently with existing calculators, so that I can configure assets accurately and see correct rollups"/>
    <n v="4438589"/>
    <s v="Reeshma"/>
    <s v="Madhuri"/>
    <x v="65"/>
    <x v="1"/>
    <s v=" "/>
    <x v="17"/>
    <s v="Complex"/>
    <s v=" "/>
    <x v="7"/>
    <s v=" "/>
    <s v=" "/>
    <s v=" "/>
    <s v=" "/>
    <s v=" "/>
    <s v=" "/>
    <x v="0"/>
    <x v="0"/>
    <s v="Completed"/>
    <s v="In Progress"/>
    <s v=" 15"/>
    <s v=" 15"/>
    <s v=" 7"/>
    <s v=" 22"/>
    <s v=" 68%"/>
    <s v=" 100%"/>
    <s v="Active"/>
    <n v="1"/>
    <n v="0"/>
    <n v="0"/>
    <n v="14"/>
    <n v="15"/>
    <n v="6.6666666666666666E-2"/>
    <n v="1"/>
    <m/>
    <x v="36"/>
    <x v="11"/>
  </r>
  <r>
    <s v="Asset Calculator"/>
    <x v="79"/>
    <x v="79"/>
    <x v="8"/>
    <s v="[Asset Calculator] As a myISP User ,I want the Asset Catalog filter panel to reflect the correct business terminology , So that I can accurately filter assets by Classification and Asset Type (calculator name) per Service Group without UI redundancy"/>
    <n v="4438592"/>
    <s v="Madhuri"/>
    <s v="Reeshma"/>
    <x v="65"/>
    <x v="1"/>
    <s v=" "/>
    <x v="17"/>
    <s v="Medium"/>
    <s v=" "/>
    <x v="7"/>
    <s v=" "/>
    <s v=" "/>
    <s v=" "/>
    <s v=" "/>
    <s v=" "/>
    <s v=" "/>
    <x v="0"/>
    <x v="0"/>
    <s v="Completed"/>
    <s v="In Progress"/>
    <n v="21"/>
    <n v="21"/>
    <n v="0"/>
    <n v="21"/>
    <n v="1"/>
    <s v=" "/>
    <s v="Active"/>
    <n v="3"/>
    <n v="0"/>
    <n v="0"/>
    <n v="18"/>
    <n v="21"/>
    <n v="0.14285714285714285"/>
    <n v="1"/>
    <m/>
    <x v="36"/>
    <x v="11"/>
  </r>
  <r>
    <s v="Attach Calculator"/>
    <x v="68"/>
    <x v="68"/>
    <x v="8"/>
    <s v="[Attach Calculator]As a myISP user, I need to see the updated UI in Preference Setting screen when Attach Calculator  is introduced along with Differentiation screen"/>
    <n v="4438642"/>
    <s v="Madhuri"/>
    <s v="Rohitha"/>
    <x v="67"/>
    <x v="1"/>
    <s v=" "/>
    <x v="17"/>
    <s v="Medium"/>
    <s v=" "/>
    <x v="1"/>
    <n v="30"/>
    <n v="1"/>
    <n v="0"/>
    <n v="1"/>
    <n v="0.9"/>
    <n v="0.9"/>
    <x v="0"/>
    <x v="0"/>
    <s v="Completed"/>
    <s v="Completed"/>
    <n v="31"/>
    <n v="1"/>
    <n v="4"/>
    <n v="5"/>
    <n v="0.1"/>
    <n v="0.1"/>
    <s v="PT In Test"/>
    <n v="5"/>
    <n v="0"/>
    <n v="0"/>
    <n v="5"/>
    <n v="10"/>
    <n v="0.5"/>
    <n v="1"/>
    <m/>
    <x v="15"/>
    <x v="7"/>
  </r>
  <r>
    <s v="Value Shaping"/>
    <x v="78"/>
    <x v="78"/>
    <x v="8"/>
    <s v="VS - As myISP User, I want  governed per-objective TVP configuration in Configurator V2V Link, So that TVP setup is accurate, complete, and reusable in downstream views."/>
    <n v="4439526"/>
    <s v="Reshmi"/>
    <s v="Yasin"/>
    <x v="58"/>
    <x v="1"/>
    <m/>
    <x v="17"/>
    <s v="Complex"/>
    <s v=" "/>
    <x v="2"/>
    <s v=" "/>
    <s v=" "/>
    <s v=" "/>
    <s v=" "/>
    <s v=" "/>
    <s v=" "/>
    <x v="0"/>
    <x v="0"/>
    <s v="Completed"/>
    <s v="Not Started"/>
    <n v="29"/>
    <n v="11"/>
    <n v="0"/>
    <n v="11"/>
    <n v="1"/>
    <n v="0.85"/>
    <s v="Active"/>
    <n v="0"/>
    <n v="0"/>
    <n v="0"/>
    <n v="11"/>
    <n v="11"/>
    <n v="0"/>
    <n v="0"/>
    <m/>
    <x v="27"/>
    <x v="11"/>
  </r>
  <r>
    <s v="Value Shaping"/>
    <x v="78"/>
    <x v="78"/>
    <x v="8"/>
    <s v="VS (SVP)- As myISP User, I want configured TVP values visible in Summary -&gt; Benchmark view,   So that business objective value potential is transparent in proposition shaping."/>
    <n v="4439527"/>
    <s v="Yasin"/>
    <s v="Bindu"/>
    <x v="59"/>
    <x v="1"/>
    <s v=" "/>
    <x v="17"/>
    <s v="Medium"/>
    <s v=" "/>
    <x v="5"/>
    <s v=" "/>
    <s v=" "/>
    <s v=" "/>
    <s v=" "/>
    <s v=" "/>
    <s v=" "/>
    <x v="0"/>
    <x v="0"/>
    <s v="Completed"/>
    <s v="Not Started"/>
    <n v="35"/>
    <n v="23"/>
    <n v="3"/>
    <n v="26"/>
    <n v="88"/>
    <n v="65"/>
    <s v="Active"/>
    <n v="0"/>
    <n v="0"/>
    <n v="0"/>
    <n v="26"/>
    <n v="26"/>
    <n v="0"/>
    <n v="0"/>
    <m/>
    <x v="27"/>
    <x v="11"/>
  </r>
  <r>
    <s v="Value Shaping"/>
    <x v="78"/>
    <x v="78"/>
    <x v="8"/>
    <s v="VS - As a myISP user I want Total Value Potential summary included in PDF and Excel downloads,   So that exported artifacts retain the same value insights seen in the application."/>
    <n v="4439529"/>
    <s v="Yasin"/>
    <s v="Bindu"/>
    <x v="59"/>
    <x v="0"/>
    <s v="cannot automate, verifying downloaded PDF and excel data with UI"/>
    <x v="8"/>
    <s v=" "/>
    <s v=" "/>
    <x v="5"/>
    <s v=" "/>
    <s v=" "/>
    <s v=" "/>
    <s v=" "/>
    <s v=" "/>
    <s v=" "/>
    <x v="0"/>
    <x v="0"/>
    <s v="Completed"/>
    <s v="Not Started"/>
    <n v="35"/>
    <n v="25"/>
    <n v="5"/>
    <n v="30"/>
    <n v="83"/>
    <n v="70"/>
    <s v="Active"/>
    <n v="0"/>
    <n v="0"/>
    <n v="0"/>
    <n v="30"/>
    <n v="30"/>
    <n v="0"/>
    <n v="0"/>
    <m/>
    <x v="27"/>
    <x v="11"/>
  </r>
  <r>
    <s v="Calculator"/>
    <x v="68"/>
    <x v="68"/>
    <x v="8"/>
    <s v="[Attach Calculator] SI/SC/CONAs a myISP user, I want to implement Asset List tab  for Attach Calculator (IPC, Sustainability, Security) , so that the Attach Calculator experience aligns with defined business standards"/>
    <n v="4367503"/>
    <s v="Debjit"/>
    <s v="Sunanda"/>
    <x v="62"/>
    <x v="1"/>
    <m/>
    <x v="1"/>
    <s v="Medium"/>
    <m/>
    <x v="1"/>
    <m/>
    <m/>
    <m/>
    <m/>
    <m/>
    <m/>
    <x v="1"/>
    <x v="1"/>
    <s v="Not Started"/>
    <s v="Not Started"/>
    <m/>
    <m/>
    <m/>
    <m/>
    <m/>
    <m/>
    <m/>
    <n v="0"/>
    <n v="0"/>
    <n v="0"/>
    <n v="0"/>
    <n v="0"/>
    <n v="0"/>
    <n v="0"/>
    <m/>
    <x v="35"/>
    <x v="11"/>
  </r>
  <r>
    <s v="Calculator Dashboard"/>
    <x v="68"/>
    <x v="68"/>
    <x v="8"/>
    <s v="[Attach Calculator]As a myISP user, I need to see the calculators available in Attach Calculator screen whose status is &quot;Completed&quot; and the status should be updated to ensure consistency"/>
    <n v="4440940"/>
    <s v="Rohitha"/>
    <s v="Rohitha"/>
    <x v="67"/>
    <x v="0"/>
    <s v="Multiple calculators and Multiple validations involved"/>
    <x v="9"/>
    <s v="Complex"/>
    <s v=" "/>
    <x v="6"/>
    <s v=" "/>
    <s v=" "/>
    <s v=" "/>
    <s v=" "/>
    <s v=" "/>
    <s v=" "/>
    <x v="0"/>
    <x v="0"/>
    <s v="Completed"/>
    <s v="In Progress"/>
    <n v="45"/>
    <n v="41"/>
    <n v="0"/>
    <n v="41"/>
    <n v="0.9"/>
    <n v="0.9"/>
    <s v="Active"/>
    <n v="6"/>
    <n v="0"/>
    <n v="0"/>
    <n v="35"/>
    <n v="41"/>
    <n v="0.14634146341463414"/>
    <n v="1"/>
    <m/>
    <x v="35"/>
    <x v="11"/>
  </r>
  <r>
    <s v="Automation Calculator"/>
    <x v="80"/>
    <x v="80"/>
    <x v="8"/>
    <s v="As a myISP SA, I want the Automation Calculator to display default levers with zero assessment values when either AD or AM assessment is not completed in the Productivity Assessment screen"/>
    <n v="4443719"/>
    <s v="Soundhar"/>
    <s v="Debjit"/>
    <x v="56"/>
    <x v="0"/>
    <s v=" Data validation is highly complex because the required information is integrated directly from theR2 (PA) screen, to Calc ROI screen ,Specific SG‑based criteria, scenario‑dependent,"/>
    <x v="9"/>
    <s v="Simple"/>
    <s v=" "/>
    <x v="2"/>
    <n v="6"/>
    <n v="2"/>
    <n v="0"/>
    <n v="2"/>
    <n v="70"/>
    <n v="75"/>
    <x v="0"/>
    <x v="0"/>
    <s v="Completed"/>
    <s v="In Progress"/>
    <n v="36"/>
    <n v="30"/>
    <n v="0"/>
    <n v="30"/>
    <n v="0.9"/>
    <n v="0.9"/>
    <s v="Active"/>
    <n v="0"/>
    <n v="0"/>
    <n v="0"/>
    <n v="30"/>
    <n v="30"/>
    <n v="0"/>
    <n v="0"/>
    <m/>
    <x v="37"/>
    <x v="11"/>
  </r>
  <r>
    <s v="Automation Calculator"/>
    <x v="69"/>
    <x v="69"/>
    <x v="8"/>
    <s v="As a myISP (SA), I want the Automation Calculator to continue sending GenWizard assets to the AAI system even after the Differentiation tab is decommissioned"/>
    <n v="4443721"/>
    <s v="Soundhar"/>
    <s v="Rohitha"/>
    <x v="50"/>
    <x v="2"/>
    <s v="Technical User Story"/>
    <x v="4"/>
    <s v=" "/>
    <s v=" "/>
    <x v="17"/>
    <n v="40"/>
    <n v="23"/>
    <n v="0"/>
    <n v="23"/>
    <n v="65"/>
    <n v="60"/>
    <x v="0"/>
    <x v="0"/>
    <s v="In Progress"/>
    <s v="Not Started"/>
    <n v="40"/>
    <n v="23"/>
    <n v="0"/>
    <n v="23"/>
    <n v="65"/>
    <s v=" "/>
    <s v="Active"/>
    <n v="0"/>
    <n v="0"/>
    <n v="0"/>
    <n v="23"/>
    <n v="23"/>
    <n v="0"/>
    <n v="0"/>
    <m/>
    <x v="37"/>
    <x v="11"/>
  </r>
  <r>
    <s v="Automation Calculator"/>
    <x v="69"/>
    <x v="69"/>
    <x v="8"/>
    <s v="As a myISP (SA), I want the Automation Calculator to continue sending GenWizard assets to the MMAD system after the Differentiation tab is decommissioned, So that MMAD integrations and downstream processes remain unaffected."/>
    <n v="4443722"/>
    <s v="Yuvani"/>
    <s v="Soundhar"/>
    <x v="50"/>
    <x v="2"/>
    <s v="Technical User Story need to validadte MMAD Intergration"/>
    <x v="4"/>
    <s v=" "/>
    <s v=" "/>
    <x v="17"/>
    <n v="40"/>
    <s v=" "/>
    <s v=" "/>
    <s v=" "/>
    <s v=" "/>
    <s v=" "/>
    <x v="0"/>
    <x v="0"/>
    <s v="In Progress"/>
    <s v="Not Started"/>
    <n v="33"/>
    <n v="21"/>
    <n v="0"/>
    <n v="21"/>
    <n v="0.75"/>
    <n v="0.84"/>
    <s v="Active"/>
    <n v="0"/>
    <n v="0"/>
    <n v="0"/>
    <n v="21"/>
    <n v="21"/>
    <n v="0"/>
    <n v="0"/>
    <m/>
    <x v="37"/>
    <x v="11"/>
  </r>
  <r>
    <s v="Automation Calculator"/>
    <x v="67"/>
    <x v="67"/>
    <x v="8"/>
    <s v="As a myISP (SA), I want the Automation Calculator to follow a consistent 10 step guided flow across all screens starting from the Package &amp; Cost screen through the SME Review Update screen"/>
    <n v="4443725"/>
    <s v="Sunanda"/>
    <s v="Yuvani/Soundhar"/>
    <x v="44"/>
    <x v="1"/>
    <s v=" "/>
    <x v="17"/>
    <s v="Medium"/>
    <s v=" "/>
    <x v="5"/>
    <n v="40"/>
    <s v=" "/>
    <s v=" "/>
    <s v=" "/>
    <s v=" "/>
    <s v=" "/>
    <x v="0"/>
    <x v="0"/>
    <s v="Completed"/>
    <s v="In Progress"/>
    <n v="26"/>
    <n v="21"/>
    <n v="0"/>
    <n v="21"/>
    <n v="0.80769999999999997"/>
    <n v="1"/>
    <s v="Active"/>
    <n v="10"/>
    <n v="0"/>
    <n v="0"/>
    <n v="11"/>
    <n v="21"/>
    <n v="0.47619047619047616"/>
    <n v="1"/>
    <m/>
    <x v="34"/>
    <x v="11"/>
  </r>
  <r>
    <s v="Drop 4 - Angular upgrade v19 to v21"/>
    <x v="81"/>
    <x v="81"/>
    <x v="8"/>
    <s v="As a myISP Solution Architect, I want to see the Value Shaping - MFE App migrated to Angular 21"/>
    <n v="4444330"/>
    <s v="Reshmi"/>
    <s v="Yasin"/>
    <x v="50"/>
    <x v="2"/>
    <s v="Technical US- cannot automate"/>
    <x v="4"/>
    <s v=" "/>
    <s v=" "/>
    <x v="17"/>
    <n v="40"/>
    <s v=" "/>
    <s v=" "/>
    <s v=" "/>
    <s v=" "/>
    <s v=" "/>
    <x v="0"/>
    <x v="0"/>
    <s v="In Progress"/>
    <s v="Not Started"/>
    <n v="29"/>
    <n v="10"/>
    <n v="0"/>
    <n v="10"/>
    <n v="1"/>
    <n v="1"/>
    <s v="PT In Test"/>
    <n v="0"/>
    <n v="0"/>
    <n v="0"/>
    <n v="10"/>
    <n v="10"/>
    <n v="0"/>
    <n v="0"/>
    <m/>
    <x v="0"/>
    <x v="0"/>
  </r>
  <r>
    <s v="Drop 4 - Angular upgrade v19 to v21"/>
    <x v="81"/>
    <x v="81"/>
    <x v="8"/>
    <s v="As a myISP Solution Architect, I want to see the Generic Calculator App migrated to Angular 21"/>
    <n v="4444334"/>
    <s v="Yuvani"/>
    <s v="Reeshma"/>
    <x v="50"/>
    <x v="2"/>
    <s v="Angular Upgrades"/>
    <x v="4"/>
    <s v=" "/>
    <s v=" "/>
    <x v="17"/>
    <n v="40"/>
    <s v=" "/>
    <s v=" "/>
    <s v=" "/>
    <s v=" "/>
    <s v=" "/>
    <x v="0"/>
    <x v="0"/>
    <s v="In Progress"/>
    <s v="Not Started"/>
    <n v="42"/>
    <n v="13"/>
    <n v="0"/>
    <n v="13"/>
    <n v="0.55000000000000004"/>
    <n v="0.7"/>
    <s v="PT In Test"/>
    <n v="5"/>
    <n v="0"/>
    <n v="0"/>
    <n v="8"/>
    <n v="13"/>
    <n v="0.38461538461538464"/>
    <n v="1"/>
    <m/>
    <x v="0"/>
    <x v="0"/>
  </r>
  <r>
    <s v="Drop 4 - Angular upgrade v19 to v21"/>
    <x v="81"/>
    <x v="81"/>
    <x v="8"/>
    <s v="As a myISP Solution Architect, I want to see the Automation Calculator App migrated to Angular 21"/>
    <n v="4444335"/>
    <s v="Rohitha"/>
    <s v="Madhuri"/>
    <x v="50"/>
    <x v="2"/>
    <s v="Angular Upgrades"/>
    <x v="4"/>
    <s v=" "/>
    <s v=" "/>
    <x v="17"/>
    <n v="40"/>
    <s v=" "/>
    <s v=" "/>
    <s v=" "/>
    <s v=" "/>
    <s v=" "/>
    <x v="0"/>
    <x v="0"/>
    <s v="Completed"/>
    <s v="Completed"/>
    <s v=" "/>
    <s v=" "/>
    <s v=" "/>
    <s v=" "/>
    <s v=" "/>
    <s v=" "/>
    <s v="Active"/>
    <n v="0"/>
    <n v="0"/>
    <n v="0"/>
    <n v="0"/>
    <n v="0"/>
    <n v="0"/>
    <n v="0"/>
    <m/>
    <x v="0"/>
    <x v="0"/>
  </r>
  <r>
    <s v="Automation Calculator"/>
    <x v="67"/>
    <x v="67"/>
    <x v="8"/>
    <s v="As a Solution Architect using the 10-step stepper workflow in EstimatorsCalculators, I want the S&amp;C  Calculator to open within the same browser tab so that the workflow continuity is preserved"/>
    <n v="4445058"/>
    <s v="Rohitha"/>
    <s v="Reeshma"/>
    <x v="66"/>
    <x v="1"/>
    <s v=" "/>
    <x v="17"/>
    <s v="Complex"/>
    <n v="1"/>
    <x v="10"/>
    <n v="10"/>
    <n v="1"/>
    <n v="0"/>
    <n v="1"/>
    <n v="1"/>
    <n v="1"/>
    <x v="0"/>
    <x v="0"/>
    <s v="Completed"/>
    <s v="Completed"/>
    <n v="30"/>
    <n v="25"/>
    <n v="0"/>
    <n v="25"/>
    <n v="1"/>
    <n v="1"/>
    <s v="Active"/>
    <n v="25"/>
    <n v="0"/>
    <n v="0"/>
    <n v="0"/>
    <n v="25"/>
    <n v="1"/>
    <n v="1"/>
    <m/>
    <x v="34"/>
    <x v="11"/>
  </r>
  <r>
    <s v="Attach Calculator"/>
    <x v="68"/>
    <x v="68"/>
    <x v="8"/>
    <s v="[Attach Calculator] (AMS/SI)- As a myISP user, I want to implement the Calculators tab in Attach calculator (Asset Calculator), so that the Attach Calculator experience aligns with defined business standards"/>
    <n v="4446516"/>
    <s v="Raguvarshini"/>
    <s v="Reeshma"/>
    <x v="3"/>
    <x v="2"/>
    <s v="Multiple calculators invloved for AMS and SI SG's  and need to validate Cost.  UI Validation as well"/>
    <x v="9"/>
    <m/>
    <s v=" "/>
    <x v="17"/>
    <m/>
    <s v=" "/>
    <s v=" "/>
    <s v=" "/>
    <s v=" "/>
    <s v=" "/>
    <x v="0"/>
    <x v="0"/>
    <s v="Completed"/>
    <s v="In Progress"/>
    <n v="24"/>
    <n v="24"/>
    <n v="6"/>
    <n v="30"/>
    <n v="0.95"/>
    <n v="1"/>
    <s v="Active"/>
    <n v="14"/>
    <n v="0"/>
    <n v="0"/>
    <n v="5"/>
    <n v="19"/>
    <n v="0.73684210526315785"/>
    <n v="1"/>
    <s v="Delivering the user story to UAT for parallel testing"/>
    <x v="36"/>
    <x v="11"/>
  </r>
  <r>
    <s v="Calculator Dashboard"/>
    <x v="68"/>
    <x v="68"/>
    <x v="8"/>
    <s v="[Attach Calculator] As a myISP user, I need to see the updated status and the associated RAG for all the calculators in Calculators Dashboard screen (Asset Calculator)"/>
    <n v="4447576"/>
    <s v="Debjit"/>
    <s v="Soundhar"/>
    <x v="62"/>
    <x v="1"/>
    <s v=" "/>
    <x v="17"/>
    <s v="Medium"/>
    <s v=" "/>
    <x v="0"/>
    <n v="40"/>
    <s v=" "/>
    <s v=" "/>
    <s v=" "/>
    <s v=" "/>
    <s v=" "/>
    <x v="0"/>
    <x v="0"/>
    <s v="Not Started"/>
    <s v="Not Started"/>
    <n v="46"/>
    <n v="46"/>
    <n v="8"/>
    <n v="54"/>
    <n v="1"/>
    <n v="1"/>
    <s v="Active"/>
    <n v="0"/>
    <n v="0"/>
    <n v="0"/>
    <n v="54"/>
    <n v="54"/>
    <n v="0"/>
    <n v="0"/>
    <m/>
    <x v="36"/>
    <x v="11"/>
  </r>
  <r>
    <s v="Calculator"/>
    <x v="68"/>
    <x v="68"/>
    <x v="8"/>
    <s v="[Attach Calculator] AMS/SI As a myISP user, I want to implement the Eligibility Criteria pop up in Attach calculator [Asset Calculator], so that the Attach Calculator experience aligns with defined business standards - Copy"/>
    <n v="4448171"/>
    <s v="Ihsana"/>
    <s v="Debjit"/>
    <x v="49"/>
    <x v="1"/>
    <s v=" "/>
    <x v="17"/>
    <s v="Medium"/>
    <s v=" "/>
    <x v="0"/>
    <n v="40"/>
    <s v=" "/>
    <s v=" "/>
    <s v=" "/>
    <s v=" "/>
    <s v=" "/>
    <x v="0"/>
    <x v="0"/>
    <s v="Not Started"/>
    <s v="Completed"/>
    <n v="23"/>
    <n v="18"/>
    <n v="0"/>
    <n v="18"/>
    <n v="1"/>
    <n v="1"/>
    <s v="Active"/>
    <n v="18"/>
    <n v="0"/>
    <n v="0"/>
    <n v="0"/>
    <n v="18"/>
    <n v="1"/>
    <n v="1"/>
    <m/>
    <x v="36"/>
    <x v="11"/>
  </r>
  <r>
    <s v="Calculator Dashboard"/>
    <x v="68"/>
    <x v="68"/>
    <x v="8"/>
    <s v="[Attach Calculator] As a myISP user, I need to see the updated status and the associated RAG for all the calculators in Calculators Dashboard screen (Automation Calculator)"/>
    <n v="4448490"/>
    <s v="Soundhar"/>
    <s v="Yuvani"/>
    <x v="56"/>
    <x v="0"/>
    <s v="Multiple screens and multiple SG Validateion "/>
    <x v="9"/>
    <s v="Complex"/>
    <s v=" "/>
    <x v="2"/>
    <n v="5"/>
    <n v="2"/>
    <n v="0"/>
    <n v="2"/>
    <n v="75"/>
    <n v="75"/>
    <x v="0"/>
    <x v="0"/>
    <s v="Completed"/>
    <s v="Not Started"/>
    <n v="40"/>
    <n v="36"/>
    <n v="0"/>
    <n v="36"/>
    <n v="0.9"/>
    <n v="0.9"/>
    <s v="Active"/>
    <n v="0"/>
    <n v="0"/>
    <n v="0"/>
    <n v="36"/>
    <n v="36"/>
    <n v="0"/>
    <n v="0"/>
    <m/>
    <x v="37"/>
    <x v="11"/>
  </r>
  <r>
    <s v="Attach Calculator"/>
    <x v="68"/>
    <x v="68"/>
    <x v="8"/>
    <s v="[Attach Calculator]A s a myISP user, I should be able to copy the contents from one version to another so that the copied contents reflect in the attach calculator screen [Asset Calculator)"/>
    <n v="4448492"/>
    <s v="Raguvarshini"/>
    <s v="Debjit"/>
    <x v="50"/>
    <x v="2"/>
    <s v="Multiple calculators involved and many screen configuration/validation"/>
    <x v="9"/>
    <s v=" "/>
    <s v=" "/>
    <x v="17"/>
    <s v=" "/>
    <s v=" "/>
    <s v=" "/>
    <s v=" "/>
    <s v=" "/>
    <s v=" "/>
    <x v="0"/>
    <x v="0"/>
    <s v="Completed"/>
    <s v="Not Started"/>
    <n v="46"/>
    <n v="43"/>
    <n v="9"/>
    <n v="52"/>
    <n v="1"/>
    <n v="1"/>
    <s v="Active"/>
    <n v="0"/>
    <n v="0"/>
    <n v="0"/>
    <n v="52"/>
    <n v="52"/>
    <n v="0"/>
    <n v="0"/>
    <m/>
    <x v="36"/>
    <x v="11"/>
  </r>
  <r>
    <s v="Attach Calculator"/>
    <x v="68"/>
    <x v="68"/>
    <x v="8"/>
    <s v="As a myISP user, I should be able to copy the contents from one version to another so that the copied contents reflect in the attach calculator screen for Automation Calculator"/>
    <n v="4448499"/>
    <s v="Anitha"/>
    <s v="Debjit"/>
    <x v="44"/>
    <x v="1"/>
    <s v=" "/>
    <x v="17"/>
    <s v="Complex"/>
    <s v=" "/>
    <x v="13"/>
    <s v=" "/>
    <s v=" "/>
    <s v=" "/>
    <s v=" "/>
    <s v=" "/>
    <s v=" "/>
    <x v="0"/>
    <x v="0"/>
    <s v="Completed"/>
    <s v="In Progress"/>
    <n v="24"/>
    <s v=" 14"/>
    <n v="0"/>
    <n v="14"/>
    <n v="0.9"/>
    <n v="0.9"/>
    <s v="Active"/>
    <n v="7"/>
    <n v="0"/>
    <n v="0"/>
    <n v="7"/>
    <n v="14"/>
    <n v="0.5"/>
    <n v="1"/>
    <m/>
    <x v="37"/>
    <x v="11"/>
  </r>
  <r>
    <s v="Differentiation"/>
    <x v="68"/>
    <x v="68"/>
    <x v="8"/>
    <s v="One-time Data Migration: Differentiation → Automation Calculator to Attach Calculator (Sync and draft status)"/>
    <n v="4449970"/>
    <s v="Sunanda"/>
    <s v="Reeshma"/>
    <x v="50"/>
    <x v="2"/>
    <s v="Need to validate Existing versions (One time update)"/>
    <x v="4"/>
    <s v=" "/>
    <s v=" "/>
    <x v="17"/>
    <s v=" "/>
    <s v=" "/>
    <s v=" "/>
    <s v=" "/>
    <s v=" "/>
    <s v=" "/>
    <x v="0"/>
    <x v="0"/>
    <s v="Completed"/>
    <s v="Not Started"/>
    <n v="40"/>
    <n v="23"/>
    <n v="0"/>
    <n v="23"/>
    <n v="0.57499999999999996"/>
    <n v="1"/>
    <s v="Active"/>
    <n v="0"/>
    <n v="0"/>
    <n v="0"/>
    <n v="23"/>
    <n v="23"/>
    <n v="0"/>
    <n v="0"/>
    <m/>
    <x v="37"/>
    <x v="11"/>
  </r>
  <r>
    <s v="Attach Calculator"/>
    <x v="68"/>
    <x v="68"/>
    <x v="8"/>
    <s v="[Attach Calculator] UI : As a myISP user, I need to see the updated status and the associated RAG for all the calculators in Calculators Dashboard screen [IPC, Sustainability and Security]"/>
    <n v="4450158"/>
    <s v="Yuvani"/>
    <s v="Samreen/Debjit"/>
    <x v="45"/>
    <x v="0"/>
    <s v="Multiple calculators and Multiple screen validations included"/>
    <x v="9"/>
    <s v=" "/>
    <s v=" "/>
    <x v="1"/>
    <s v=" "/>
    <s v=" "/>
    <s v=" "/>
    <s v=" "/>
    <s v=" "/>
    <s v=" "/>
    <x v="0"/>
    <x v="0"/>
    <s v="In Progress"/>
    <s v="Not Started"/>
    <n v="45"/>
    <n v="30"/>
    <n v="0"/>
    <n v="30"/>
    <n v="0.7"/>
    <n v="0.89"/>
    <s v="Active"/>
    <n v="0"/>
    <n v="0"/>
    <n v="0"/>
    <n v="30"/>
    <n v="30"/>
    <n v="0"/>
    <n v="0"/>
    <m/>
    <x v="35"/>
    <x v="11"/>
  </r>
  <r>
    <s v="Attach Calculator"/>
    <x v="68"/>
    <x v="68"/>
    <x v="8"/>
    <s v="[Attach Calculator]As a myISP user, I need to see the updated UI in R2 screens when Attach Calculator will replace Differentiation screen"/>
    <n v="4454065"/>
    <s v="Raguvarshini"/>
    <s v="Debjit"/>
    <x v="70"/>
    <x v="1"/>
    <m/>
    <x v="1"/>
    <s v=" "/>
    <s v=" "/>
    <x v="13"/>
    <n v="22"/>
    <n v="0"/>
    <n v="2"/>
    <n v="2"/>
    <n v="40"/>
    <n v="20"/>
    <x v="0"/>
    <x v="0"/>
    <s v="Completed"/>
    <s v="Completed"/>
    <n v="45"/>
    <n v="22"/>
    <n v="0"/>
    <n v="22"/>
    <n v="1"/>
    <n v="1"/>
    <s v="PT In Test"/>
    <n v="22"/>
    <n v="0"/>
    <n v="0"/>
    <n v="0"/>
    <n v="22"/>
    <n v="1"/>
    <n v="1"/>
    <m/>
    <x v="0"/>
    <x v="0"/>
  </r>
  <r>
    <s v="IMS Mobilization Calculator"/>
    <x v="71"/>
    <x v="71"/>
    <x v="8"/>
    <s v="As an Mobilization Architect, I want to view the Mobilization calculator for IMS in the Estimator/Calculators tab - Dashboard"/>
    <n v="4389790"/>
    <s v="Vishnupriya"/>
    <s v="Reshmi"/>
    <x v="69"/>
    <x v="0"/>
    <s v="User story has many calculations with multiple scenarios that needs to be verified and other screen like staffing also to be verified so difficult to automate"/>
    <x v="9"/>
    <s v=" "/>
    <s v=" "/>
    <x v="0"/>
    <s v=" "/>
    <s v=" "/>
    <s v=" "/>
    <s v=" "/>
    <s v=" "/>
    <s v=" "/>
    <x v="0"/>
    <x v="0"/>
    <s v="Not Started"/>
    <s v="Blocked"/>
    <n v="38"/>
    <n v="20"/>
    <n v="0"/>
    <n v="20"/>
    <n v="1"/>
    <n v="0.9"/>
    <s v="Active"/>
    <n v="0"/>
    <n v="0"/>
    <n v="0"/>
    <n v="20"/>
    <n v="20"/>
    <n v="0"/>
    <n v="0"/>
    <m/>
    <x v="1"/>
    <x v="1"/>
  </r>
  <r>
    <s v="IMS Mobilization Calculator"/>
    <x v="71"/>
    <x v="71"/>
    <x v="8"/>
    <s v="As an Mobilization Architect, I want to view and launch Mobilization calculator from the Estimator/Calculators tab - Gallery"/>
    <n v="4389725"/>
    <s v="Vishnupriya"/>
    <s v="Reshmi"/>
    <x v="69"/>
    <x v="1"/>
    <s v=" "/>
    <x v="17"/>
    <s v="Medium"/>
    <s v=" "/>
    <x v="2"/>
    <s v=" "/>
    <s v=" "/>
    <s v=" "/>
    <s v=" "/>
    <s v=" "/>
    <s v=" "/>
    <x v="0"/>
    <x v="0"/>
    <s v="Not Started"/>
    <s v="Blocked"/>
    <n v="37"/>
    <n v="11"/>
    <n v="1"/>
    <n v="12"/>
    <n v="0.9"/>
    <n v="0.9"/>
    <s v="Active"/>
    <n v="0"/>
    <n v="0"/>
    <n v="0"/>
    <n v="12"/>
    <n v="12"/>
    <n v="0"/>
    <n v="0"/>
    <m/>
    <x v="1"/>
    <x v="1"/>
  </r>
  <r>
    <s v="PMO"/>
    <x v="3"/>
    <x v="3"/>
    <x v="8"/>
    <s v="[PMO] As a PMO user, I should be able to navigate to Manage / Dashboard screen with the new URL from Estimator/Calculator - Asset"/>
    <n v="4457575"/>
    <s v="Madhuri"/>
    <s v="Reeshma"/>
    <x v="50"/>
    <x v="2"/>
    <s v="Need to check for multiple SA roles_x000a_with assigned test id PLD dashboard doesn't have any testdata/deals"/>
    <x v="9"/>
    <s v=" "/>
    <s v=" "/>
    <x v="17"/>
    <s v=" "/>
    <s v=" "/>
    <s v=" "/>
    <s v=" "/>
    <s v=" "/>
    <s v=" "/>
    <x v="0"/>
    <x v="0"/>
    <s v="Completed"/>
    <s v="In Progress"/>
    <n v="18"/>
    <n v="10"/>
    <n v="11"/>
    <n v="21"/>
    <n v="0.9"/>
    <s v=" "/>
    <s v="Active"/>
    <n v="0"/>
    <n v="0"/>
    <n v="0"/>
    <n v="21"/>
    <n v="21"/>
    <n v="0"/>
    <n v="0"/>
    <m/>
    <x v="36"/>
    <x v="11"/>
  </r>
  <r>
    <s v="PMO"/>
    <x v="3"/>
    <x v="3"/>
    <x v="8"/>
    <s v="[PMO] As a PMO user, I should be able to navigate to Manage / Dashboard screen with the new URL from Estimator/Calculator - Automation"/>
    <n v="4457581"/>
    <s v="Reeshma"/>
    <s v="Madhuri"/>
    <x v="50"/>
    <x v="2"/>
    <s v="Need to check multiple roles"/>
    <x v="9"/>
    <s v=" "/>
    <s v=" "/>
    <x v="17"/>
    <s v=" "/>
    <s v=" "/>
    <s v=" "/>
    <s v=" "/>
    <s v=" "/>
    <s v=" "/>
    <x v="0"/>
    <x v="0"/>
    <s v="Completed"/>
    <s v="In Progress"/>
    <s v=" 10"/>
    <s v=" 10"/>
    <s v=" 5"/>
    <s v=" 15"/>
    <s v=" 66%"/>
    <s v=" 100%"/>
    <s v="Active"/>
    <n v="3"/>
    <n v="0"/>
    <n v="0"/>
    <n v="7"/>
    <n v="10"/>
    <n v="0.3"/>
    <n v="1"/>
    <m/>
    <x v="34"/>
    <x v="11"/>
  </r>
  <r>
    <s v="PMO"/>
    <x v="3"/>
    <x v="3"/>
    <x v="8"/>
    <s v="[PMO] As a PMO user, I should be able to navigate to Manage / Dashboard screen with the new URL from Estimator/Calculator - IPc, SUs, Sec"/>
    <n v="4457573"/>
    <s v="Harish"/>
    <s v="Madhuri/Srilekha"/>
    <x v="50"/>
    <x v="2"/>
    <s v="multiple calculators and multiple roles_x000a_with assigned test id PLD dashboard doesn't have any testdata/deals"/>
    <x v="9"/>
    <s v=" "/>
    <s v=" "/>
    <x v="17"/>
    <s v=" "/>
    <s v=" "/>
    <s v=" "/>
    <s v=" "/>
    <s v=" "/>
    <s v=" "/>
    <x v="0"/>
    <x v="0"/>
    <s v="Not Started"/>
    <s v="Not Started"/>
    <n v="40"/>
    <n v="13"/>
    <n v="0"/>
    <n v="13"/>
    <n v="1"/>
    <n v="0.7"/>
    <s v="Active"/>
    <n v="0"/>
    <n v="0"/>
    <n v="0"/>
    <n v="13"/>
    <n v="13"/>
    <n v="0"/>
    <n v="0"/>
    <m/>
    <x v="35"/>
    <x v="11"/>
  </r>
  <r>
    <s v="Attach Calculator"/>
    <x v="68"/>
    <x v="68"/>
    <x v="8"/>
    <s v="[Attach Calculator]-Asset-As a Solution Architect, I want version options in the Select Version popup to display full asset names with clear separators and business-priority sorting, So that I can quickly choose valid attachable versions without ambiguity."/>
    <n v="4461784"/>
    <s v="Anitha"/>
    <s v="Soundhar"/>
    <x v="47"/>
    <x v="1"/>
    <s v=" "/>
    <x v="17"/>
    <s v="Simple"/>
    <s v=" "/>
    <x v="1"/>
    <s v=" "/>
    <s v=" "/>
    <s v=" "/>
    <s v=" "/>
    <s v=" "/>
    <s v=" "/>
    <x v="0"/>
    <x v="0"/>
    <s v="Completed"/>
    <s v="In Progress"/>
    <n v="24"/>
    <n v="7"/>
    <n v="0"/>
    <n v="7"/>
    <n v="0.9"/>
    <n v="0.9"/>
    <s v="Active"/>
    <n v="4"/>
    <n v="0"/>
    <n v="0"/>
    <n v="3"/>
    <n v="7"/>
    <n v="0.5714285714285714"/>
    <n v="1"/>
    <m/>
    <x v="36"/>
    <x v="11"/>
  </r>
  <r>
    <s v="Attach Calculator"/>
    <x v="68"/>
    <x v="68"/>
    <x v="8"/>
    <s v="[Attach Calculator]IPC/Sus/Sec As a Solution Architect, I want version options in the Select Version popup to display full asset names with separators and business-priority sorting, So that I can quickly choose valid attachable versions without ambiguity."/>
    <n v="4461789"/>
    <s v="Heena"/>
    <s v="Yuvani"/>
    <x v="61"/>
    <x v="1"/>
    <s v=" "/>
    <x v="17"/>
    <s v="Medium"/>
    <s v=" "/>
    <x v="1"/>
    <s v=" "/>
    <s v=" "/>
    <s v=" "/>
    <s v=" "/>
    <s v=" "/>
    <s v=" "/>
    <x v="0"/>
    <x v="0"/>
    <s v="Not Started"/>
    <s v="Not Started"/>
    <n v="38"/>
    <n v="11"/>
    <s v=" "/>
    <s v=" "/>
    <s v=" "/>
    <s v=" "/>
    <s v="Active"/>
    <n v="2"/>
    <n v="0"/>
    <n v="0"/>
    <n v="7"/>
    <n v="9"/>
    <n v="0.22222222222222221"/>
    <n v="1"/>
    <m/>
    <x v="35"/>
    <x v="11"/>
  </r>
  <r>
    <s v="Attach Calculator"/>
    <x v="69"/>
    <x v="69"/>
    <x v="8"/>
    <s v="[Attach Calculator]As a myISP SA, I want version options in the Select Version popup to display full asset names with clear separators and business-priority sorting, So that I can quickly choose valid attachable versions without ambiguity.- Automation"/>
    <n v="4461955"/>
    <s v="Heena"/>
    <s v="Yuvani"/>
    <x v="61"/>
    <x v="1"/>
    <s v=" "/>
    <x v="17"/>
    <s v="Medium"/>
    <s v=" "/>
    <x v="1"/>
    <s v=" "/>
    <s v=" "/>
    <s v=" "/>
    <s v=" "/>
    <s v=" "/>
    <s v=" "/>
    <x v="0"/>
    <x v="0"/>
    <s v="Not Started"/>
    <s v="Not Started"/>
    <n v="44"/>
    <n v="16"/>
    <s v=" "/>
    <s v=" "/>
    <s v=" "/>
    <s v=" "/>
    <s v="Active"/>
    <n v="0"/>
    <n v="0"/>
    <n v="0"/>
    <n v="9"/>
    <n v="9"/>
    <n v="0"/>
    <n v="0"/>
    <m/>
    <x v="37"/>
    <x v="11"/>
  </r>
  <r>
    <s v="Calculator"/>
    <x v="68"/>
    <x v="68"/>
    <x v="8"/>
    <s v="[Asset Calculator] - As a myISP User I want to remove Platform Asset Blueprint from Gallery so that it is meeting business standards"/>
    <n v="4446726"/>
    <s v="Heena"/>
    <s v="Madhuri"/>
    <x v="64"/>
    <x v="1"/>
    <s v=" "/>
    <x v="17"/>
    <s v=" Simple"/>
    <s v=" 1"/>
    <x v="16"/>
    <s v=" 4"/>
    <s v=" "/>
    <s v=" "/>
    <s v=" "/>
    <s v=" "/>
    <s v=" "/>
    <x v="0"/>
    <x v="0"/>
    <s v="Not Started"/>
    <s v="Not Started"/>
    <n v="38"/>
    <n v="15"/>
    <s v=" "/>
    <s v=" "/>
    <s v=" "/>
    <s v=" "/>
    <s v="Active"/>
    <n v="10"/>
    <n v="0"/>
    <n v="0"/>
    <n v="0"/>
    <n v="10"/>
    <n v="1"/>
    <n v="1"/>
    <m/>
    <x v="35"/>
    <x v="11"/>
  </r>
  <r>
    <s v="Calculator"/>
    <x v="68"/>
    <x v="68"/>
    <x v="8"/>
    <s v="[Attach Calculator] AMS As a myISP user, I want to implement Asset List tab  for Attach Calculator (Asset Calculator) , so that the Attach Calculator experience aligns with defined business standards"/>
    <n v="4446655"/>
    <s v="Sunanda"/>
    <s v="Debjit"/>
    <x v="44"/>
    <x v="1"/>
    <s v=" "/>
    <x v="17"/>
    <s v="Medium"/>
    <s v=" "/>
    <x v="7"/>
    <s v=" "/>
    <s v=" "/>
    <s v=" "/>
    <s v=" "/>
    <s v=" "/>
    <s v=" "/>
    <x v="0"/>
    <x v="0"/>
    <s v="Completed"/>
    <s v="Not Started"/>
    <n v="30"/>
    <n v="20"/>
    <n v="0"/>
    <n v="20"/>
    <n v="0.66669999999999996"/>
    <n v="1"/>
    <s v="Active"/>
    <n v="0"/>
    <n v="0"/>
    <n v="0"/>
    <n v="20"/>
    <n v="20"/>
    <n v="0"/>
    <n v="0"/>
    <m/>
    <x v="36"/>
    <x v="11"/>
  </r>
  <r>
    <s v="Automation Calculator"/>
    <x v="67"/>
    <x v="67"/>
    <x v="8"/>
    <s v="As a Solution Architect using the Automation Calculator, I want to see a clear ineligibility message on the Automation Maturity screen when my deal does not meet eligibility criteria and the Productivity Assessment has not been submitted"/>
    <n v="4468947"/>
    <s v="Debjit"/>
    <s v="Soundhar"/>
    <x v="62"/>
    <x v="1"/>
    <s v=" "/>
    <x v="17"/>
    <s v="Complex"/>
    <s v=" "/>
    <x v="0"/>
    <s v=" "/>
    <s v=" "/>
    <s v=" "/>
    <s v=" "/>
    <s v=" "/>
    <s v=" "/>
    <x v="0"/>
    <x v="0"/>
    <s v="Not Started"/>
    <s v="Not Started"/>
    <n v="50"/>
    <n v="50"/>
    <n v="0"/>
    <n v="50"/>
    <n v="1"/>
    <n v="1"/>
    <s v="Active"/>
    <n v="0"/>
    <n v="0"/>
    <n v="0"/>
    <n v="50"/>
    <n v="50"/>
    <n v="0"/>
    <n v="0"/>
    <m/>
    <x v="34"/>
    <x v="11"/>
  </r>
  <r>
    <s v="Attach Calculator"/>
    <x v="68"/>
    <x v="68"/>
    <x v="8"/>
    <s v="[Attach Calculator] IPC/Sus/Sec As a Solution Architect, I want the attach icon to be the single entry point for version selection and lifecycle actions, So that attachment, override, detach, and exemption are consistent and auditable."/>
    <n v="4461786"/>
    <s v="Sunanda"/>
    <s v="Rohitha"/>
    <x v="44"/>
    <x v="1"/>
    <s v=" "/>
    <x v="17"/>
    <s v="Medium"/>
    <s v=" "/>
    <x v="7"/>
    <s v=" "/>
    <s v=" "/>
    <s v=" "/>
    <s v=" "/>
    <s v=" "/>
    <s v=" "/>
    <x v="0"/>
    <x v="0"/>
    <s v="Completed"/>
    <s v="Not Started"/>
    <n v="34"/>
    <n v="34"/>
    <n v="0"/>
    <n v="34"/>
    <n v="1"/>
    <n v="1"/>
    <s v="Active"/>
    <n v="0"/>
    <n v="0"/>
    <n v="0"/>
    <n v="34"/>
    <n v="34"/>
    <n v="0"/>
    <n v="0"/>
    <m/>
    <x v="35"/>
    <x v="11"/>
  </r>
  <r>
    <s v="Attach Calculator"/>
    <x v="68"/>
    <x v="68"/>
    <x v="8"/>
    <s v="[Attach Calculator] -Asset-As a Solution Architect, I want the attach icon to be the single entry point for version selection and lifecycle actions, So that attachment, override, detach, and exemption are consistent and auditable."/>
    <n v="4461787"/>
    <s v="Pujitha"/>
    <s v="Soundhar"/>
    <x v="52"/>
    <x v="1"/>
    <s v=" "/>
    <x v="17"/>
    <s v="Medium"/>
    <s v=" "/>
    <x v="0"/>
    <s v=" "/>
    <s v=" "/>
    <s v=" "/>
    <s v=" "/>
    <s v=" "/>
    <s v=" "/>
    <x v="0"/>
    <x v="0"/>
    <s v="Not Started"/>
    <s v="In Progress"/>
    <n v="16"/>
    <n v="12"/>
    <n v="0"/>
    <n v="12"/>
    <n v="0.7"/>
    <n v="0.6"/>
    <s v="PT In Test"/>
    <n v="2"/>
    <n v="0"/>
    <n v="0"/>
    <n v="10"/>
    <n v="12"/>
    <n v="0.16666666666666666"/>
    <n v="1"/>
    <m/>
    <x v="36"/>
    <x v="11"/>
  </r>
  <r>
    <s v="Attach Calculator"/>
    <x v="69"/>
    <x v="69"/>
    <x v="8"/>
    <s v="[Attach Calculator] As a Solution Architect, I want the attach icon to be the single entry point for version selection and lifecycle actions, So that attachment, override, detach, and exemption are consistent and auditable.- Automation"/>
    <n v="4461954"/>
    <s v="Soundhar"/>
    <s v="Debjit"/>
    <x v="56"/>
    <x v="1"/>
    <s v=" "/>
    <x v="17"/>
    <s v=" "/>
    <s v=" "/>
    <x v="2"/>
    <n v="4"/>
    <n v="2"/>
    <n v="0"/>
    <n v="2"/>
    <n v="80"/>
    <n v="85"/>
    <x v="0"/>
    <x v="0"/>
    <s v="Completed"/>
    <s v="Not Started"/>
    <n v="42"/>
    <n v="30"/>
    <n v="0"/>
    <n v="30"/>
    <n v="0.95"/>
    <n v="0.95"/>
    <s v="Active"/>
    <n v="0"/>
    <n v="0"/>
    <n v="0"/>
    <n v="30"/>
    <n v="30"/>
    <n v="0"/>
    <n v="0"/>
    <m/>
    <x v="37"/>
    <x v="11"/>
  </r>
  <r>
    <s v="Differentiation"/>
    <x v="68"/>
    <x v="68"/>
    <x v="8"/>
    <s v="As a Solution Architect (SA) / user I want retain the Differentiation screen for Index Score functionalities, while all sync, exemption, and calculator-related actions will be handled in the Attach Calculator So that all functionalities are retained"/>
    <n v="4469645"/>
    <s v="Debjit"/>
    <s v="Sunanda"/>
    <x v="50"/>
    <x v="2"/>
    <s v="Tabs of Differentiation screen is disabled. So cannot automate"/>
    <x v="19"/>
    <m/>
    <s v=" "/>
    <x v="17"/>
    <s v=" "/>
    <s v=" "/>
    <s v=" "/>
    <s v=" "/>
    <s v=" "/>
    <s v=" "/>
    <x v="0"/>
    <x v="0"/>
    <s v="Not Started"/>
    <s v="Not Started"/>
    <n v="50"/>
    <n v="50"/>
    <n v="0"/>
    <n v="50"/>
    <n v="1"/>
    <n v="1"/>
    <s v="Active"/>
    <n v="0"/>
    <n v="0"/>
    <n v="0"/>
    <n v="50"/>
    <n v="50"/>
    <n v="0"/>
    <n v="0"/>
    <m/>
    <x v="35"/>
    <x v="11"/>
  </r>
  <r>
    <s v="Differentiation"/>
    <x v="67"/>
    <x v="67"/>
    <x v="8"/>
    <s v="As a myISP user, I want sync-related controls disabled for Automation calculator but asset selection and index score functionalities retained in Assets and Platform"/>
    <n v="4470161"/>
    <s v="Debjit"/>
    <s v="Soundhar"/>
    <x v="50"/>
    <x v="2"/>
    <s v="Tabs of Differentiation screen is disabled. So cannot automate"/>
    <x v="19"/>
    <s v=" "/>
    <s v=" "/>
    <x v="17"/>
    <s v=" "/>
    <s v=" "/>
    <s v=" "/>
    <s v=" "/>
    <s v=" "/>
    <s v=" "/>
    <x v="0"/>
    <x v="0"/>
    <s v="Not Started"/>
    <s v="Not Started"/>
    <n v="50"/>
    <n v="50"/>
    <n v="0"/>
    <n v="50"/>
    <n v="1"/>
    <n v="1"/>
    <s v="Active"/>
    <n v="0"/>
    <n v="0"/>
    <n v="0"/>
    <n v="50"/>
    <n v="50"/>
    <n v="0"/>
    <n v="0"/>
    <m/>
    <x v="37"/>
    <x v="11"/>
  </r>
  <r>
    <s v="Automation Calculator"/>
    <x v="67"/>
    <x v="67"/>
    <x v="8"/>
    <s v="[Attach Calculator] AMS As a myISP user, I want to implement Asset List tab for Attach Calculator(automation Calculator), so that the Attach Calculator experience aligns with defined business standards"/>
    <n v="4443724"/>
    <s v="Yuvani"/>
    <s v="Sunanda"/>
    <x v="45"/>
    <x v="0"/>
    <s v="Multiple screen validations"/>
    <x v="1"/>
    <s v="Complex"/>
    <m/>
    <x v="1"/>
    <m/>
    <m/>
    <m/>
    <m/>
    <m/>
    <m/>
    <x v="0"/>
    <x v="0"/>
    <s v="Completed"/>
    <s v="Not Started"/>
    <n v="45"/>
    <n v="39"/>
    <n v="0"/>
    <n v="39"/>
    <n v="0.8"/>
    <n v="0.92"/>
    <s v="Active"/>
    <n v="0"/>
    <n v="0"/>
    <n v="0"/>
    <n v="39"/>
    <n v="39"/>
    <n v="0"/>
    <n v="0"/>
    <m/>
    <x v="37"/>
    <x v="11"/>
  </r>
  <r>
    <s v="Calculator"/>
    <x v="68"/>
    <x v="68"/>
    <x v="8"/>
    <s v="[Attach Calculator] SI/SC/CONAs a myISP user, I want to implement Asset List tab  for Attach Calculator (Asset Calculator) , so that the Attach Calculator experience aligns with defined business standards"/>
    <n v="4446639"/>
    <s v="Soundhar"/>
    <s v="Yuvani"/>
    <x v="56"/>
    <x v="0"/>
    <s v="Document Validation Required "/>
    <x v="1"/>
    <s v="Medium"/>
    <m/>
    <x v="2"/>
    <n v="6"/>
    <n v="2"/>
    <m/>
    <n v="2"/>
    <n v="80"/>
    <n v="90"/>
    <x v="0"/>
    <x v="0"/>
    <s v="In Progress"/>
    <s v="Not Started"/>
    <m/>
    <m/>
    <m/>
    <m/>
    <m/>
    <m/>
    <s v="Active"/>
    <n v="0"/>
    <n v="0"/>
    <n v="0"/>
    <n v="0"/>
    <n v="0"/>
    <n v="0"/>
    <n v="0"/>
    <m/>
    <x v="4"/>
    <x v="3"/>
  </r>
  <r>
    <s v="Solution Components- Navigation"/>
    <x v="82"/>
    <x v="82"/>
    <x v="8"/>
    <s v="As an IMS Solution Architect, I want to navigate to Modernization flow on clicking Solution Components tab and have the Estimators/Calculators enabled."/>
    <n v="4465888"/>
    <s v="Reshmi"/>
    <s v="Sunanda"/>
    <x v="63"/>
    <x v="1"/>
    <m/>
    <x v="1"/>
    <m/>
    <m/>
    <x v="21"/>
    <m/>
    <m/>
    <m/>
    <m/>
    <m/>
    <m/>
    <x v="0"/>
    <x v="0"/>
    <s v="Not Started"/>
    <s v="In Progress"/>
    <n v="17"/>
    <n v="15"/>
    <n v="0"/>
    <n v="15"/>
    <n v="0.9"/>
    <n v="0.9"/>
    <s v="Active"/>
    <n v="2"/>
    <n v="0"/>
    <n v="0"/>
    <n v="13"/>
    <n v="15"/>
    <n v="0.13333333333333333"/>
    <n v="1"/>
    <m/>
    <x v="1"/>
    <x v="1"/>
  </r>
  <r>
    <s v="Navigation Changes"/>
    <x v="83"/>
    <x v="83"/>
    <x v="8"/>
    <s v="As an myISP user, I want to have the Estimators/Calculators enabled."/>
    <n v="4475329"/>
    <s v="Madhuri"/>
    <s v="Soundhar"/>
    <x v="65"/>
    <x v="1"/>
    <m/>
    <x v="1"/>
    <s v="Medium"/>
    <m/>
    <x v="0"/>
    <m/>
    <m/>
    <m/>
    <m/>
    <m/>
    <m/>
    <x v="0"/>
    <x v="2"/>
    <s v="Not Started"/>
    <s v="Not Started"/>
    <m/>
    <m/>
    <m/>
    <m/>
    <m/>
    <m/>
    <s v="Active"/>
    <n v="0"/>
    <n v="0"/>
    <n v="0"/>
    <n v="0"/>
    <n v="0"/>
    <n v="0"/>
    <n v="0"/>
    <m/>
    <x v="4"/>
    <x v="3"/>
  </r>
  <r>
    <s v="Automation Calculator"/>
    <x v="69"/>
    <x v="69"/>
    <x v="8"/>
    <s v="[Attach Calculator] myISP to AAI Integration - Update Payload Mapping Service to Include Exemption Reason in Descriptions Field"/>
    <n v="4388435"/>
    <s v="Yuvani/Soundhar"/>
    <s v="Rohitha"/>
    <x v="3"/>
    <x v="2"/>
    <s v="External dependency"/>
    <x v="2"/>
    <m/>
    <m/>
    <x v="3"/>
    <m/>
    <m/>
    <m/>
    <m/>
    <m/>
    <m/>
    <x v="2"/>
    <x v="3"/>
    <m/>
    <m/>
    <m/>
    <m/>
    <m/>
    <m/>
    <m/>
    <m/>
    <m/>
    <m/>
    <m/>
    <m/>
    <m/>
    <m/>
    <m/>
    <m/>
    <m/>
    <x v="4"/>
    <x v="3"/>
  </r>
  <r>
    <s v="IMS Mobilization Calculator"/>
    <x v="71"/>
    <x v="71"/>
    <x v="8"/>
    <s v="As a Solution Architect, I want IMS Mobilization pricing auto-calculated by package so that deal estimates are consistent and auditable"/>
    <n v="4486268"/>
    <s v="Hanshika"/>
    <s v="Reshmi"/>
    <x v="3"/>
    <x v="2"/>
    <s v="The US has caluclations from different screens."/>
    <x v="9"/>
    <s v=" Complex"/>
    <m/>
    <x v="3"/>
    <m/>
    <m/>
    <m/>
    <m/>
    <m/>
    <m/>
    <x v="0"/>
    <x v="0"/>
    <s v="Not Started"/>
    <s v="Not Started"/>
    <n v="50"/>
    <n v="10"/>
    <n v="7"/>
    <n v="17"/>
    <n v="0.8"/>
    <n v="0.8"/>
    <s v="Active"/>
    <n v="0"/>
    <n v="0"/>
    <n v="0"/>
    <n v="17"/>
    <n v="17"/>
    <n v="0"/>
    <n v="0"/>
    <m/>
    <x v="4"/>
    <x v="3"/>
  </r>
  <r>
    <s v="Analytics"/>
    <x v="37"/>
    <x v="37"/>
    <x v="9"/>
    <s v="As a mysolution planner Solution Architect, I want the WFH ATCI and WFH ATCP fields in SIVT report to show the updated logic from KDA, So that user can view updated logic for WFH metrics"/>
    <n v="4312144"/>
    <s v="Chaitanya"/>
    <s v="Vamshi"/>
    <x v="71"/>
    <x v="0"/>
    <s v="Till Excel download can be automated"/>
    <x v="6"/>
    <s v="Medium"/>
    <m/>
    <x v="15"/>
    <m/>
    <m/>
    <m/>
    <m/>
    <m/>
    <m/>
    <x v="0"/>
    <x v="0"/>
    <s v="Completed"/>
    <s v="Not Started"/>
    <n v="32"/>
    <n v="12"/>
    <n v="0"/>
    <n v="12"/>
    <n v="1"/>
    <n v="1"/>
    <s v="Active"/>
    <n v="0"/>
    <n v="0"/>
    <n v="0"/>
    <n v="0"/>
    <n v="12"/>
    <n v="0"/>
    <n v="0"/>
    <m/>
    <x v="21"/>
    <x v="9"/>
  </r>
  <r>
    <s v="BPMS Onboarding"/>
    <x v="84"/>
    <x v="84"/>
    <x v="9"/>
    <s v="As a MyISP User, I should be able to view accurate and consistent BPMS reporting data so that I can rely on the reports for decision?making and operational activities - CCI delta against target margin(27%)"/>
    <n v="4356522"/>
    <s v="Vamshi"/>
    <s v="Chaitanya"/>
    <x v="3"/>
    <x v="2"/>
    <s v="Power BI validation cannot be automated"/>
    <x v="6"/>
    <m/>
    <m/>
    <x v="3"/>
    <m/>
    <m/>
    <m/>
    <m/>
    <m/>
    <m/>
    <x v="0"/>
    <x v="0"/>
    <s v="Completed"/>
    <s v="Not Started"/>
    <n v="56"/>
    <n v="3"/>
    <n v="1"/>
    <n v="4"/>
    <n v="0.75"/>
    <n v="0.75"/>
    <s v="Active"/>
    <n v="0"/>
    <n v="0"/>
    <n v="0"/>
    <n v="4"/>
    <n v="4"/>
    <n v="0"/>
    <n v="0"/>
    <m/>
    <x v="21"/>
    <x v="9"/>
  </r>
  <r>
    <s v="BPMS Onboarding"/>
    <x v="85"/>
    <x v="85"/>
    <x v="9"/>
    <s v="As a BPMS Reporting user, I want 68 additional CXTA fields added to the BPMS CXTA Report with full DB mapping coverage, so that all required CXTA data across screens is captured and visible in the reporting layer"/>
    <n v="4437401"/>
    <s v="Vamshi"/>
    <s v="Chaitanya"/>
    <x v="3"/>
    <x v="2"/>
    <s v="Power BI validation cannot be automated"/>
    <x v="6"/>
    <m/>
    <m/>
    <x v="3"/>
    <m/>
    <m/>
    <m/>
    <m/>
    <m/>
    <m/>
    <x v="0"/>
    <x v="0"/>
    <s v="Completed"/>
    <s v="Not Started"/>
    <n v="56"/>
    <n v="29"/>
    <n v="0"/>
    <n v="29"/>
    <n v="1"/>
    <n v="1"/>
    <s v="Active"/>
    <n v="0"/>
    <n v="0"/>
    <n v="0"/>
    <n v="29"/>
    <n v="29"/>
    <n v="0"/>
    <n v="0"/>
    <m/>
    <x v="21"/>
    <x v="9"/>
  </r>
  <r>
    <s v="BPMS Onboarding"/>
    <x v="86"/>
    <x v="86"/>
    <x v="9"/>
    <s v="As a BPMS Reporting user, I want 15 additional fields from MMS Team Details and INSPIRE added to the BPMS Reporting Layer and BPMS FTE Details, so that team composition and INSPIRE sync metadata are fully visible in reporting"/>
    <n v="4437404"/>
    <s v="Vamshi"/>
    <s v="Alekhya"/>
    <x v="3"/>
    <x v="2"/>
    <s v="Power BI validation cannot be automated"/>
    <x v="6"/>
    <m/>
    <m/>
    <x v="3"/>
    <m/>
    <m/>
    <m/>
    <m/>
    <m/>
    <m/>
    <x v="0"/>
    <x v="0"/>
    <s v="Completed"/>
    <s v="In Progress"/>
    <n v="56"/>
    <n v="19"/>
    <n v="0"/>
    <n v="19"/>
    <n v="1"/>
    <n v="1"/>
    <s v="Active"/>
    <n v="10"/>
    <n v="0"/>
    <n v="0"/>
    <n v="9"/>
    <n v="19"/>
    <n v="0.52631578947368418"/>
    <n v="1"/>
    <m/>
    <x v="21"/>
    <x v="9"/>
  </r>
  <r>
    <s v="IPC Calculator"/>
    <x v="38"/>
    <x v="38"/>
    <x v="9"/>
    <s v="As a myISP user, I want SIVT reports to include the three new IPC exemption reason names so that downstream reporting remains complete and aligned with source data."/>
    <n v="4428658"/>
    <s v="Chaitanya"/>
    <s v="Vamshi"/>
    <x v="72"/>
    <x v="0"/>
    <s v="Till Excel download can be automated"/>
    <x v="6"/>
    <s v="Medium"/>
    <m/>
    <x v="15"/>
    <m/>
    <m/>
    <m/>
    <m/>
    <m/>
    <m/>
    <x v="0"/>
    <x v="0"/>
    <s v="Completed"/>
    <s v="In Progress"/>
    <n v="32"/>
    <n v="9"/>
    <n v="0"/>
    <n v="9"/>
    <n v="1"/>
    <n v="1"/>
    <s v="Active"/>
    <n v="6"/>
    <n v="0"/>
    <n v="0"/>
    <n v="3"/>
    <n v="9"/>
    <n v="0.66666666666666663"/>
    <n v="1"/>
    <m/>
    <x v="21"/>
    <x v="9"/>
  </r>
  <r>
    <s v="Analytics"/>
    <x v="87"/>
    <x v="87"/>
    <x v="9"/>
    <s v="As a user of the Pipeline Extract report `W/O on SA Assignment Date &amp; Pipeline Entry Date`, I want to see the deal hierarchy value in the report as `Hierarchy Level`, so that I can see the hierarchy information directly in the report."/>
    <n v="4446742"/>
    <s v="Alekhya"/>
    <s v="Chaitanya"/>
    <x v="3"/>
    <x v="2"/>
    <s v="Power BI validation cannot be automated"/>
    <x v="6"/>
    <m/>
    <m/>
    <x v="3"/>
    <m/>
    <m/>
    <m/>
    <m/>
    <m/>
    <m/>
    <x v="0"/>
    <x v="0"/>
    <s v="Not Started"/>
    <s v="In Progress"/>
    <n v="33"/>
    <n v="14"/>
    <n v="0"/>
    <n v="14"/>
    <n v="1"/>
    <n v="1"/>
    <s v="On Hold"/>
    <n v="0"/>
    <n v="0"/>
    <n v="0"/>
    <n v="0"/>
    <n v="14"/>
    <n v="0"/>
    <n v="0"/>
    <m/>
    <x v="21"/>
    <x v="9"/>
  </r>
  <r>
    <s v="AMS, SI, IMS"/>
    <x v="14"/>
    <x v="14"/>
    <x v="9"/>
    <s v="AMS, SI, IMS: As a mySolutionPlanner developer, I want new Agentic AI Productivity columns to be added in the PMO Extract Report, So that users can captured the Agentic AI Productivity data on the Generative AI screen."/>
    <n v="4443524"/>
    <s v="Alekhya"/>
    <s v="Vamshi"/>
    <x v="3"/>
    <x v="2"/>
    <s v="Power BI validation cannot be automated"/>
    <x v="6"/>
    <m/>
    <m/>
    <x v="3"/>
    <m/>
    <m/>
    <m/>
    <m/>
    <m/>
    <m/>
    <x v="0"/>
    <x v="0"/>
    <s v="Not Started"/>
    <s v="Not Started"/>
    <n v="32"/>
    <n v="32"/>
    <n v="0"/>
    <n v="32"/>
    <n v="1"/>
    <n v="1"/>
    <s v="Active"/>
    <n v="0"/>
    <n v="0"/>
    <n v="0"/>
    <n v="0"/>
    <n v="32"/>
    <n v="0"/>
    <n v="0"/>
    <m/>
    <x v="21"/>
    <x v="9"/>
  </r>
  <r>
    <s v=" QlikView Reports to Power BI"/>
    <x v="88"/>
    <x v="88"/>
    <x v="9"/>
    <s v="[Technical]: As a myISP User I want the AMS and SI Key Solution Metrics QlikView reports to be replaced with Power BI versions"/>
    <n v="4441800"/>
    <s v="Alekhya"/>
    <s v="Chaitanya"/>
    <x v="3"/>
    <x v="2"/>
    <s v="Power BI validation cannot be automated"/>
    <x v="6"/>
    <m/>
    <m/>
    <x v="3"/>
    <m/>
    <m/>
    <m/>
    <m/>
    <m/>
    <m/>
    <x v="0"/>
    <x v="0"/>
    <s v="Not Started"/>
    <s v="Completed"/>
    <n v="86"/>
    <n v="6"/>
    <n v="0"/>
    <n v="6"/>
    <n v="1"/>
    <n v="1"/>
    <s v="In Test"/>
    <n v="6"/>
    <n v="0"/>
    <n v="0"/>
    <n v="0"/>
    <n v="6"/>
    <n v="1"/>
    <n v="1"/>
    <m/>
    <x v="21"/>
    <x v="9"/>
  </r>
  <r>
    <s v="Analytics"/>
    <x v="12"/>
    <x v="12"/>
    <x v="9"/>
    <s v="As a PMO user, I want IMS‑specific KDA and compliance fields to be added to the PMO reporting layer, so that IMS compliance and approval status can be tracked accurately"/>
    <n v="4446194"/>
    <s v="Vamshi"/>
    <s v="Alekhya"/>
    <x v="3"/>
    <x v="2"/>
    <s v="Power BI validation cannot be automated"/>
    <x v="6"/>
    <m/>
    <m/>
    <x v="3"/>
    <m/>
    <m/>
    <m/>
    <m/>
    <m/>
    <m/>
    <x v="0"/>
    <x v="0"/>
    <s v="Completed"/>
    <s v="Completed"/>
    <n v="42"/>
    <n v="16"/>
    <n v="0"/>
    <n v="16"/>
    <n v="1"/>
    <n v="1"/>
    <s v="On Hold"/>
    <n v="16"/>
    <n v="0"/>
    <n v="0"/>
    <n v="0"/>
    <n v="16"/>
    <n v="1"/>
    <n v="1"/>
    <m/>
    <x v="21"/>
    <x v="9"/>
  </r>
  <r>
    <s v="BPMS Onboarding"/>
    <x v="89"/>
    <x v="89"/>
    <x v="9"/>
    <s v="As a BPMS user, I want the BPMS Reporting Layer report to include &quot;Overall Productivity&quot; column, So that I can view the aggregated productivity value across all CY"/>
    <n v="4459759"/>
    <s v="Chaitanya"/>
    <s v="Vamshi"/>
    <x v="3"/>
    <x v="2"/>
    <s v="Power BI validation cannot be automated"/>
    <x v="6"/>
    <m/>
    <m/>
    <x v="3"/>
    <m/>
    <m/>
    <m/>
    <m/>
    <m/>
    <m/>
    <x v="0"/>
    <x v="0"/>
    <s v="Completed"/>
    <s v="Completed"/>
    <n v="40"/>
    <n v="19"/>
    <n v="0"/>
    <n v="19"/>
    <n v="1"/>
    <n v="1"/>
    <s v="Active"/>
    <n v="19"/>
    <n v="0"/>
    <n v="0"/>
    <n v="0"/>
    <n v="19"/>
    <n v="1"/>
    <n v="1"/>
    <m/>
    <x v="21"/>
    <x v="9"/>
  </r>
  <r>
    <s v="BPMS Onboarding"/>
    <x v="55"/>
    <x v="55"/>
    <x v="9"/>
    <s v="[Technical] As a System Developer, I should ensure that FTS related columns are fetched from FTSMailTracking table instead of PMOTrackerChecklistGenAI"/>
    <n v="4446664"/>
    <s v="Chaitanya"/>
    <s v="Vamshi"/>
    <x v="3"/>
    <x v="2"/>
    <s v="Power BI validation cannot be automated"/>
    <x v="6"/>
    <m/>
    <m/>
    <x v="3"/>
    <m/>
    <m/>
    <m/>
    <m/>
    <m/>
    <m/>
    <x v="0"/>
    <x v="0"/>
    <s v="Completed"/>
    <s v="In Progress"/>
    <n v="56"/>
    <n v="11"/>
    <n v="0"/>
    <n v="11"/>
    <n v="1"/>
    <n v="1"/>
    <s v="Active"/>
    <n v="6"/>
    <n v="0"/>
    <n v="0"/>
    <n v="5"/>
    <n v="11"/>
    <n v="0.54545454545454541"/>
    <n v="1"/>
    <m/>
    <x v="21"/>
    <x v="9"/>
  </r>
  <r>
    <e v="#N/A"/>
    <x v="90"/>
    <x v="90"/>
    <x v="9"/>
    <s v="As a PMO , I want all columns from ISS and Tech table to be available in the Reporting Layer, So that I can generate reports on BPMS ISS and Tech Tool out-of-scope exception requests"/>
    <n v="4434948"/>
    <s v="Alekhya"/>
    <s v="Vamshi"/>
    <x v="3"/>
    <x v="2"/>
    <s v="Power BI validation cannot be automated"/>
    <x v="6"/>
    <m/>
    <m/>
    <x v="3"/>
    <m/>
    <m/>
    <m/>
    <m/>
    <m/>
    <m/>
    <x v="0"/>
    <x v="1"/>
    <s v="Not Started"/>
    <s v="In Progress"/>
    <n v="53"/>
    <n v="29"/>
    <n v="0"/>
    <n v="29"/>
    <n v="1"/>
    <n v="1"/>
    <e v="#N/A"/>
    <n v="20"/>
    <n v="0"/>
    <n v="0"/>
    <n v="9"/>
    <n v="29"/>
    <n v="0.68965517241379315"/>
    <n v="1"/>
    <m/>
    <x v="39"/>
    <x v="14"/>
  </r>
  <r>
    <s v="MDA"/>
    <x v="91"/>
    <x v="91"/>
    <x v="9"/>
    <s v="[MDA-IMS]: As a SA, I want to view Country % Split Column for in Yearly FTE tab under IMS FTE Deal Pivot breadcrumb, applicable only to deals with IMS SG for OCP and MMP routes, for the HC report"/>
    <n v="4446565"/>
    <s v="Mohan"/>
    <s v="Ankita"/>
    <x v="3"/>
    <x v="2"/>
    <s v="Power BI report validation  can not be automated"/>
    <x v="6"/>
    <m/>
    <m/>
    <x v="3"/>
    <m/>
    <m/>
    <m/>
    <m/>
    <m/>
    <m/>
    <x v="0"/>
    <x v="0"/>
    <s v="Not Started"/>
    <s v="Not Started"/>
    <n v="30"/>
    <n v="24"/>
    <n v="0"/>
    <n v="24"/>
    <n v="0.72"/>
    <n v="0.75"/>
    <s v="Active"/>
    <n v="0"/>
    <n v="0"/>
    <n v="0"/>
    <n v="24"/>
    <n v="24"/>
    <n v="0"/>
    <n v="0"/>
    <m/>
    <x v="40"/>
    <x v="15"/>
  </r>
  <r>
    <s v="MDA"/>
    <x v="91"/>
    <x v="91"/>
    <x v="9"/>
    <s v="[MDA-IMS]: As a SA, I want to view Country % Split Column for in Half Yearly FTE tab under IMS FTE Deal Pivot breadcrumb, applicable only to deals with IMS SG for OCP and MMP routes, for the HC report"/>
    <n v="4443708"/>
    <s v="Mohan"/>
    <s v="Ankita"/>
    <x v="3"/>
    <x v="2"/>
    <s v="Power BI report validation  can not be automated"/>
    <x v="6"/>
    <m/>
    <m/>
    <x v="3"/>
    <m/>
    <m/>
    <m/>
    <m/>
    <m/>
    <m/>
    <x v="0"/>
    <x v="0"/>
    <s v="Not Started"/>
    <s v="Not Started"/>
    <n v="33"/>
    <n v="26"/>
    <n v="0"/>
    <n v="26"/>
    <n v="0.57999999999999996"/>
    <n v="0.48"/>
    <s v="Active"/>
    <n v="0"/>
    <n v="0"/>
    <n v="0"/>
    <n v="26"/>
    <n v="26"/>
    <n v="0"/>
    <n v="0"/>
    <m/>
    <x v="40"/>
    <x v="15"/>
  </r>
  <r>
    <s v="MDA"/>
    <x v="91"/>
    <x v="91"/>
    <x v="9"/>
    <s v="[MDA-IMS]: As a SA, I want to view % of Shore Split for &quot;On-Off Detailed View&quot; tab under IMS FTE Deal Pivot breadcrumb, applicable only to deals with IMS SG for OCP and MMP routes, for the HC report"/>
    <n v="4444273"/>
    <s v="Manasa"/>
    <s v="Mohan"/>
    <x v="3"/>
    <x v="2"/>
    <s v="Power BI report validation  can not be automated"/>
    <x v="6"/>
    <m/>
    <m/>
    <x v="3"/>
    <m/>
    <m/>
    <m/>
    <m/>
    <m/>
    <m/>
    <x v="0"/>
    <x v="0"/>
    <s v="Not Started"/>
    <s v="Not Started"/>
    <n v="71"/>
    <n v="54"/>
    <n v="0"/>
    <n v="54"/>
    <n v="0.8"/>
    <n v="0.8"/>
    <s v="Active"/>
    <n v="0"/>
    <n v="0"/>
    <n v="0"/>
    <n v="54"/>
    <n v="54"/>
    <n v="0"/>
    <n v="0"/>
    <m/>
    <x v="40"/>
    <x v="15"/>
  </r>
  <r>
    <s v="MDA"/>
    <x v="91"/>
    <x v="91"/>
    <x v="9"/>
    <s v="[MDA-IMS]: As a SA, I want to view Country % Split in Service-Country tab under IMS FTE Deal Pivot breadcrumb, applicable only to deals with IMS SG for OCP and MMP routes, for the HC report"/>
    <n v="4446872"/>
    <s v="Manasa"/>
    <s v="Mohan"/>
    <x v="3"/>
    <x v="2"/>
    <s v="Power BI report validation  can not be automated"/>
    <x v="6"/>
    <m/>
    <m/>
    <x v="3"/>
    <m/>
    <m/>
    <m/>
    <m/>
    <m/>
    <m/>
    <x v="0"/>
    <x v="0"/>
    <s v="Not Started"/>
    <s v="Not Started"/>
    <n v="67"/>
    <n v="33"/>
    <n v="0"/>
    <n v="33"/>
    <n v="0.8"/>
    <n v="0.8"/>
    <s v="Active"/>
    <n v="0"/>
    <n v="0"/>
    <n v="0"/>
    <n v="33"/>
    <n v="33"/>
    <n v="0"/>
    <n v="0"/>
    <m/>
    <x v="40"/>
    <x v="15"/>
  </r>
  <r>
    <s v="MDA"/>
    <x v="91"/>
    <x v="91"/>
    <x v="9"/>
    <s v="[MDA-IMS]: As a SA, I want to view FTE Split % in Transition FTE tab under IMS FTE Deal Pivot breadcrumb, applicable only to deals with IMS SG for OCP and MMP routes, for the HC report"/>
    <n v="4446881"/>
    <s v="Manasa"/>
    <s v="Mohan"/>
    <x v="3"/>
    <x v="2"/>
    <s v="Power BI report validation  can not be automated"/>
    <x v="6"/>
    <m/>
    <m/>
    <x v="3"/>
    <m/>
    <m/>
    <m/>
    <m/>
    <m/>
    <m/>
    <x v="0"/>
    <x v="0"/>
    <s v="Not Started"/>
    <s v="Not Started"/>
    <n v="50"/>
    <n v="28"/>
    <n v="0"/>
    <n v="24"/>
    <n v="0.8"/>
    <n v="0.8"/>
    <s v="Active"/>
    <n v="0"/>
    <n v="0"/>
    <n v="0"/>
    <n v="24"/>
    <n v="24"/>
    <n v="0"/>
    <n v="0"/>
    <m/>
    <x v="40"/>
    <x v="15"/>
  </r>
  <r>
    <s v="MDA"/>
    <x v="38"/>
    <x v="38"/>
    <x v="9"/>
    <s v="[MDA-SI]: As a mySP user, I want to view the RAG logic in MSDA in sync with View KDA for 3 new exemption reasons for IPC DCT"/>
    <n v="4438513"/>
    <s v="Ankita"/>
    <s v="Sahithya"/>
    <x v="3"/>
    <x v="2"/>
    <s v="Power BI report validation  can not be automated"/>
    <x v="6"/>
    <m/>
    <m/>
    <x v="3"/>
    <n v="30"/>
    <n v="8"/>
    <n v="3"/>
    <n v="11"/>
    <n v="0.45"/>
    <n v="0.45"/>
    <x v="0"/>
    <x v="0"/>
    <s v="Not Started"/>
    <s v="Not Started"/>
    <n v="30"/>
    <n v="8"/>
    <n v="3"/>
    <n v="11"/>
    <n v="0.45"/>
    <n v="0.45"/>
    <s v="PT In Test"/>
    <n v="2"/>
    <n v="0"/>
    <n v="0"/>
    <n v="9"/>
    <n v="11"/>
    <n v="0.18181818181818182"/>
    <n v="1"/>
    <m/>
    <x v="40"/>
    <x v="15"/>
  </r>
  <r>
    <s v="MDA"/>
    <x v="92"/>
    <x v="92"/>
    <x v="9"/>
    <s v="[MDA-IMS]: As a SA, I want to enable navigation in Pyramid Report to Custom View page via IMS Pyramid Deal Pivot breadcrumb only for deals with IMS SG for MMP Route"/>
    <n v="4357821"/>
    <s v="Mohan"/>
    <s v="Sahithya"/>
    <x v="3"/>
    <x v="2"/>
    <s v="Power BI report validation  can not be automated"/>
    <x v="6"/>
    <m/>
    <m/>
    <x v="3"/>
    <m/>
    <m/>
    <m/>
    <m/>
    <m/>
    <m/>
    <x v="0"/>
    <x v="0"/>
    <s v="Not Started"/>
    <s v="Not Started"/>
    <n v="48"/>
    <n v="43"/>
    <n v="0"/>
    <n v="43"/>
    <n v="0.85"/>
    <n v="0.68"/>
    <s v="PT In Test"/>
    <n v="0"/>
    <n v="0"/>
    <n v="0"/>
    <n v="43"/>
    <n v="43"/>
    <n v="0"/>
    <n v="0"/>
    <m/>
    <x v="40"/>
    <x v="15"/>
  </r>
  <r>
    <s v="MDA KDA"/>
    <x v="93"/>
    <x v="93"/>
    <x v="9"/>
    <s v="[MDA-SI] As a Solution Architect, I want to update WFH ATCI &amp; WFH ATCP Logic in MDA KDA Report to Align with DNP for OCP Route"/>
    <n v="4312353"/>
    <s v="Manisa"/>
    <s v="Ankita"/>
    <x v="3"/>
    <x v="2"/>
    <s v="Power BI report validation  can not be automated"/>
    <x v="6"/>
    <m/>
    <m/>
    <x v="3"/>
    <n v="30"/>
    <n v="30"/>
    <n v="3"/>
    <n v="33"/>
    <n v="0.9"/>
    <n v="0.9"/>
    <x v="0"/>
    <x v="0"/>
    <s v="Not Started"/>
    <s v="Not Started"/>
    <n v="18"/>
    <n v="15"/>
    <n v="3"/>
    <n v="18"/>
    <n v="0.83"/>
    <n v="0.83"/>
    <s v="Active"/>
    <n v="0"/>
    <n v="0"/>
    <n v="0"/>
    <n v="18"/>
    <n v="18"/>
    <n v="0"/>
    <n v="0"/>
    <m/>
    <x v="40"/>
    <x v="15"/>
  </r>
  <r>
    <s v="MDA KDA"/>
    <x v="93"/>
    <x v="93"/>
    <x v="9"/>
    <s v="[MDA-SI] As a Solution Architect, I want to update WFH ATCI &amp; WFH ATCP Logic in MDA KDA Version Comparator to Align with DNP for OCP route"/>
    <n v="4318766"/>
    <s v="Ankita"/>
    <s v="Sahithya"/>
    <x v="3"/>
    <x v="2"/>
    <s v="Power BI report validation  can not be automated"/>
    <x v="6"/>
    <m/>
    <m/>
    <x v="3"/>
    <n v="30"/>
    <n v="30"/>
    <n v="0"/>
    <n v="30"/>
    <n v="1"/>
    <n v="1"/>
    <x v="0"/>
    <x v="0"/>
    <s v="Not Started"/>
    <s v="Not Started"/>
    <n v="30"/>
    <n v="30"/>
    <n v="0"/>
    <n v="30"/>
    <n v="1"/>
    <n v="1"/>
    <s v="Active"/>
    <n v="0"/>
    <n v="0"/>
    <n v="0"/>
    <n v="30"/>
    <n v="30"/>
    <n v="0"/>
    <n v="0"/>
    <m/>
    <x v="40"/>
    <x v="15"/>
  </r>
  <r>
    <s v="MDA "/>
    <x v="94"/>
    <x v="94"/>
    <x v="9"/>
    <s v="[MDA-BPMS] As a SA, I want the graph to display Cumulative Productivity instead of YOY Productivity so that it aligns correctly with the label shown in the visualization"/>
    <n v="4286470"/>
    <s v="Mohan"/>
    <s v="Sahithya"/>
    <x v="3"/>
    <x v="2"/>
    <s v="Power BI report validation  can not be automated"/>
    <x v="6"/>
    <m/>
    <m/>
    <x v="3"/>
    <m/>
    <m/>
    <m/>
    <m/>
    <m/>
    <m/>
    <x v="0"/>
    <x v="0"/>
    <s v="Not Started"/>
    <s v="Not Started"/>
    <n v="30"/>
    <n v="21"/>
    <n v="0"/>
    <n v="21"/>
    <n v="0.8"/>
    <n v="0.6"/>
    <s v="Active"/>
    <n v="0"/>
    <n v="0"/>
    <n v="0"/>
    <n v="21"/>
    <n v="21"/>
    <n v="0"/>
    <n v="0"/>
    <m/>
    <x v="40"/>
    <x v="15"/>
  </r>
  <r>
    <s v="MDA"/>
    <x v="95"/>
    <x v="95"/>
    <x v="9"/>
    <s v="[MDA-IMS]: As a SA, I want to enable navigation in DNP Report (Other Cost Assumption Tab-OCPA) to a dedicated page-Custom View via the DNP Deal pivot link only for IMS Service Group"/>
    <n v="4308730"/>
    <s v="Sahithya"/>
    <s v="Manasa"/>
    <x v="3"/>
    <x v="2"/>
    <s v="Power BI report validation  can not be automated"/>
    <x v="6"/>
    <m/>
    <m/>
    <x v="3"/>
    <n v="30"/>
    <n v="30"/>
    <n v="0"/>
    <n v="30"/>
    <n v="1"/>
    <n v="1"/>
    <x v="0"/>
    <x v="0"/>
    <s v="Not Started"/>
    <s v="Not Started"/>
    <n v="42"/>
    <n v="14"/>
    <n v="13"/>
    <n v="27"/>
    <n v="0.5"/>
    <n v="0.5"/>
    <s v="Active"/>
    <n v="0"/>
    <n v="0"/>
    <n v="0"/>
    <n v="27"/>
    <n v="27"/>
    <n v="0"/>
    <n v="0"/>
    <m/>
    <x v="40"/>
    <x v="15"/>
  </r>
  <r>
    <s v="MDA"/>
    <x v="96"/>
    <x v="96"/>
    <x v="9"/>
    <s v="[MDA-IMS]: As a SA, I want to append 2 new static tabs SubService_Ratio and ActDesc_Ratio under the Headcount Report within the IMS FTE Deal Pivot for OCP route"/>
    <n v="4367337"/>
    <s v="Manasa"/>
    <s v="Ankita"/>
    <x v="3"/>
    <x v="2"/>
    <s v="Power BI report validation  can not be automated"/>
    <x v="6"/>
    <m/>
    <m/>
    <x v="3"/>
    <m/>
    <m/>
    <m/>
    <m/>
    <m/>
    <m/>
    <x v="0"/>
    <x v="0"/>
    <s v="Not Started"/>
    <s v="Not Started"/>
    <n v="48"/>
    <n v="24"/>
    <n v="2"/>
    <n v="26"/>
    <n v="0.75"/>
    <n v="0.75"/>
    <s v="Active"/>
    <n v="0"/>
    <n v="0"/>
    <n v="0"/>
    <n v="26"/>
    <n v="26"/>
    <n v="0"/>
    <n v="0"/>
    <m/>
    <x v="40"/>
    <x v="15"/>
  </r>
  <r>
    <s v="MDA"/>
    <x v="94"/>
    <x v="94"/>
    <x v="9"/>
    <s v="[MDA-AMS]: As a SA, I want the graph to display Cumulative Productivity instead of YOY Productivity so that it aligns correctly with the label shown in the visualization"/>
    <n v="4368213"/>
    <s v="Mohan"/>
    <s v="Manasa"/>
    <x v="3"/>
    <x v="2"/>
    <s v="Power BI report validation  can not be automated"/>
    <x v="6"/>
    <m/>
    <m/>
    <x v="3"/>
    <m/>
    <m/>
    <m/>
    <m/>
    <m/>
    <m/>
    <x v="0"/>
    <x v="0"/>
    <s v="Not Started"/>
    <s v="Not Started"/>
    <n v="32"/>
    <n v="21"/>
    <n v="0"/>
    <n v="21"/>
    <n v="0.72"/>
    <n v="0.68"/>
    <s v="Active"/>
    <n v="0"/>
    <n v="0"/>
    <n v="0"/>
    <n v="21"/>
    <n v="21"/>
    <n v="0"/>
    <n v="0"/>
    <m/>
    <x v="40"/>
    <x v="15"/>
  </r>
  <r>
    <s v="MDA KDA"/>
    <x v="93"/>
    <x v="93"/>
    <x v="9"/>
    <s v="[MDA-SI] As a Solution Architect, I want to update WFH% ATCI &amp; WFH% ATCP Logic in MDA KDA Report to Align with DNP for MMP Route"/>
    <n v="4369392"/>
    <s v="Manisa"/>
    <s v="Ankita"/>
    <x v="3"/>
    <x v="2"/>
    <s v="Power BI report validation  can not be automated"/>
    <x v="6"/>
    <m/>
    <m/>
    <x v="3"/>
    <n v="30"/>
    <n v="25"/>
    <n v="6"/>
    <n v="25"/>
    <n v="0.83"/>
    <n v="0.83"/>
    <x v="0"/>
    <x v="0"/>
    <s v="Not Started"/>
    <s v="Not Started"/>
    <n v="30"/>
    <n v="22"/>
    <n v="3"/>
    <n v="25"/>
    <n v="0.73"/>
    <n v="0.73"/>
    <s v="Active"/>
    <n v="0"/>
    <n v="0"/>
    <n v="0"/>
    <n v="25"/>
    <n v="25"/>
    <n v="0"/>
    <n v="0"/>
    <m/>
    <x v="40"/>
    <x v="15"/>
  </r>
  <r>
    <s v="MDA KDA"/>
    <x v="93"/>
    <x v="93"/>
    <x v="9"/>
    <s v="[MDA-SI] As a Solution Architect, I want to update WFH ATCI &amp; WFH ATCP Logic in MDA KDA Version Comparator to Align with DNP for MMP route"/>
    <n v="4369422"/>
    <s v="Ankita"/>
    <s v="Manasa"/>
    <x v="3"/>
    <x v="2"/>
    <s v="Power BI report validation  can not be automated"/>
    <x v="6"/>
    <m/>
    <m/>
    <x v="3"/>
    <n v="30"/>
    <n v="30"/>
    <n v="3"/>
    <n v="33"/>
    <n v="0.9"/>
    <n v="0.9"/>
    <x v="0"/>
    <x v="0"/>
    <s v="Not Started"/>
    <s v="Not Started"/>
    <n v="30"/>
    <n v="30"/>
    <n v="3"/>
    <n v="33"/>
    <n v="0.9"/>
    <n v="0.9"/>
    <s v="Active"/>
    <n v="0"/>
    <n v="0"/>
    <n v="0"/>
    <n v="33"/>
    <n v="33"/>
    <n v="0"/>
    <n v="0"/>
    <m/>
    <x v="40"/>
    <x v="15"/>
  </r>
  <r>
    <s v="PMO"/>
    <x v="3"/>
    <x v="3"/>
    <x v="9"/>
    <s v="[PMO] As a PMO user, I should be able to navigate to Manage / Dashboard screen with the new URL from MDA"/>
    <n v="4446670"/>
    <s v="Manisa"/>
    <s v="Ankita"/>
    <x v="73"/>
    <x v="0"/>
    <s v="Requires multiple roles validation"/>
    <x v="20"/>
    <m/>
    <m/>
    <x v="1"/>
    <n v="30"/>
    <n v="14"/>
    <n v="1"/>
    <n v="14"/>
    <n v="0.47"/>
    <n v="0.47"/>
    <x v="0"/>
    <x v="0"/>
    <s v="Not Started"/>
    <s v="Not Started"/>
    <n v="30"/>
    <n v="14"/>
    <n v="1"/>
    <n v="14"/>
    <n v="0.47"/>
    <n v="0.47"/>
    <s v="PT In Test"/>
    <n v="0"/>
    <n v="0"/>
    <n v="0"/>
    <n v="14"/>
    <n v="14"/>
    <n v="0"/>
    <n v="0"/>
    <m/>
    <x v="40"/>
    <x v="15"/>
  </r>
  <r>
    <s v="MDA"/>
    <x v="95"/>
    <x v="95"/>
    <x v="9"/>
    <s v="[MDA-IMS]: As a SA, I want to enable navigation in DNP Report (Other Cost Assumption Tab-OCPA) to multiple reporting Static tabs via the DNP Deal pivot link only for IMS Service Group"/>
    <n v="4391918"/>
    <s v="Sahithya"/>
    <s v="Ankita"/>
    <x v="3"/>
    <x v="2"/>
    <s v="Power BI report validation  can not be automated"/>
    <x v="6"/>
    <m/>
    <m/>
    <x v="3"/>
    <m/>
    <m/>
    <m/>
    <m/>
    <m/>
    <m/>
    <x v="0"/>
    <x v="0"/>
    <s v="Not Started"/>
    <s v="Not Started"/>
    <n v="48"/>
    <n v="11"/>
    <n v="15"/>
    <n v="26"/>
    <n v="0.42"/>
    <n v="0.35"/>
    <s v="Active"/>
    <n v="0"/>
    <n v="0"/>
    <n v="0"/>
    <n v="26"/>
    <n v="26"/>
    <n v="0"/>
    <n v="0"/>
    <m/>
    <x v="40"/>
    <x v="15"/>
  </r>
  <r>
    <s v="Small Deal SME PLD"/>
    <x v="97"/>
    <x v="97"/>
    <x v="9"/>
    <s v="As an Advisory song SA, I want to access the Multi service deal analytics tile in read-only mode so that I can maintain and view workflow continuity."/>
    <n v="4393219"/>
    <s v="Manisa"/>
    <s v="Mohan"/>
    <x v="73"/>
    <x v="0"/>
    <s v="Requires multiple roles validation"/>
    <x v="20"/>
    <m/>
    <m/>
    <x v="1"/>
    <m/>
    <m/>
    <m/>
    <m/>
    <m/>
    <m/>
    <x v="0"/>
    <x v="0"/>
    <s v="Not Started"/>
    <s v="Not Started"/>
    <n v="24"/>
    <n v="15"/>
    <n v="0"/>
    <n v="15"/>
    <n v="0.75"/>
    <n v="0.6"/>
    <s v="PT In Test"/>
    <n v="10"/>
    <n v="1"/>
    <n v="0"/>
    <n v="4"/>
    <n v="15"/>
    <n v="0.73333333333333328"/>
    <n v="0.90909090909090906"/>
    <s v="Bug: 4488361(H)"/>
    <x v="40"/>
    <x v="15"/>
  </r>
  <r>
    <s v="MDA"/>
    <x v="98"/>
    <x v="98"/>
    <x v="9"/>
    <s v="[MDA-AMS]: As a SA, I want to see Actual values for WFH % ATCI and ATCP metrics in MDA DNP report Cost Assumptions tab"/>
    <n v="4410430"/>
    <s v="Mohan"/>
    <s v="Ankita"/>
    <x v="3"/>
    <x v="2"/>
    <s v="Power BI report validation  can not be automated"/>
    <x v="6"/>
    <m/>
    <m/>
    <x v="3"/>
    <m/>
    <m/>
    <m/>
    <m/>
    <m/>
    <m/>
    <x v="0"/>
    <x v="0"/>
    <s v="Not Started"/>
    <s v="Not Started"/>
    <n v="25"/>
    <n v="18"/>
    <n v="0"/>
    <n v="18"/>
    <n v="0.67"/>
    <n v="0.52"/>
    <s v="Active"/>
    <n v="0"/>
    <n v="0"/>
    <n v="0"/>
    <n v="18"/>
    <n v="18"/>
    <n v="0"/>
    <n v="0"/>
    <m/>
    <x v="40"/>
    <x v="15"/>
  </r>
  <r>
    <s v="MDA"/>
    <x v="99"/>
    <x v="99"/>
    <x v="9"/>
    <s v="[MDA-IMS]: As a SA, I want to enable navigation in Headcount Report to Custom View page via IMS FTE Deal Pivot Headcount breadcrumb only for deals with IMS SG for MMP Route"/>
    <n v="4438523"/>
    <s v="Mohan"/>
    <s v="Ankita"/>
    <x v="3"/>
    <x v="2"/>
    <s v="Power BI report validation  can not be automated"/>
    <x v="6"/>
    <m/>
    <m/>
    <x v="3"/>
    <m/>
    <m/>
    <m/>
    <m/>
    <m/>
    <m/>
    <x v="0"/>
    <x v="0"/>
    <s v="Not Started"/>
    <s v="Not Started"/>
    <n v="45"/>
    <n v="37"/>
    <n v="0"/>
    <n v="37"/>
    <n v="0.57999999999999996"/>
    <n v="0.62"/>
    <s v="PT In Test"/>
    <n v="0"/>
    <n v="0"/>
    <n v="0"/>
    <n v="37"/>
    <n v="37"/>
    <n v="0"/>
    <n v="0"/>
    <m/>
    <x v="40"/>
    <x v="15"/>
  </r>
  <r>
    <s v="MDA"/>
    <x v="99"/>
    <x v="99"/>
    <x v="9"/>
    <s v="[MDA-IMS]: As a SA, I want to enable navigation in Headcount Report to Static Tab - Phase-Country via IMS FTE Deal Pivot Headcount breadcrumb only for deals with IMS SG for MMP Route"/>
    <n v="4438524"/>
    <s v="Manasa"/>
    <s v="Divya"/>
    <x v="3"/>
    <x v="2"/>
    <s v="Power BI report validation  can not be automated"/>
    <x v="6"/>
    <m/>
    <m/>
    <x v="3"/>
    <m/>
    <m/>
    <m/>
    <m/>
    <m/>
    <m/>
    <x v="0"/>
    <x v="0"/>
    <s v="Not Started"/>
    <s v="Not Started"/>
    <s v="36"/>
    <s v="18"/>
    <n v="2"/>
    <s v="20"/>
    <n v="0.8"/>
    <n v="0.7"/>
    <s v="Blocked in PT"/>
    <n v="0"/>
    <n v="0"/>
    <n v="0"/>
    <n v="20"/>
    <n v="20"/>
    <n v="0"/>
    <n v="0"/>
    <m/>
    <x v="40"/>
    <x v="15"/>
  </r>
  <r>
    <s v="MDA"/>
    <x v="99"/>
    <x v="99"/>
    <x v="9"/>
    <s v="[MDA-IMS]: As a SA, I want to enable navigation in Headcount Report to Static Tab: On/Off Split via IMS FTE Deal Pivot Headcount breadcrumb only for deals with IMS SG for MMP Route"/>
    <n v="4438544"/>
    <s v="Ankita"/>
    <s v="Sahithya"/>
    <x v="3"/>
    <x v="2"/>
    <s v="Power BI report validation  can not be automated"/>
    <x v="6"/>
    <m/>
    <m/>
    <x v="3"/>
    <n v="30"/>
    <n v="20"/>
    <n v="0"/>
    <n v="20"/>
    <n v="0.67"/>
    <n v="0.67"/>
    <x v="0"/>
    <x v="0"/>
    <s v="Not Started"/>
    <s v="Not Started"/>
    <n v="30"/>
    <n v="20"/>
    <n v="0"/>
    <n v="20"/>
    <n v="0.67"/>
    <n v="0.67"/>
    <s v="Blocked in PT"/>
    <n v="0"/>
    <n v="0"/>
    <n v="20"/>
    <n v="0"/>
    <n v="20"/>
    <n v="0"/>
    <n v="0"/>
    <s v="Blocked due to Bug ID-4485460(H)"/>
    <x v="40"/>
    <x v="15"/>
  </r>
  <r>
    <s v="MDA"/>
    <x v="99"/>
    <x v="99"/>
    <x v="9"/>
    <s v="[MDA-IMS]: As a SA, I want to enable navigation in Headcount Report to Static Tab: Yearly FTE via IMS FTE Deal Pivot Headcount breadcrumb only for deals with IMS SG for MMP Route"/>
    <n v="4438545"/>
    <s v="Ankita"/>
    <s v="Sahithya"/>
    <x v="3"/>
    <x v="2"/>
    <s v="Power BI report validation  can not be automated"/>
    <x v="6"/>
    <m/>
    <m/>
    <x v="3"/>
    <n v="30"/>
    <n v="23"/>
    <n v="0"/>
    <n v="23"/>
    <n v="0.77"/>
    <n v="0.77"/>
    <x v="0"/>
    <x v="0"/>
    <s v="Not Started"/>
    <s v="Not Started"/>
    <n v="30"/>
    <n v="23"/>
    <n v="0"/>
    <n v="23"/>
    <n v="0.77"/>
    <n v="0.77"/>
    <s v="Blocked in PT"/>
    <n v="0"/>
    <n v="0"/>
    <n v="23"/>
    <n v="0"/>
    <n v="23"/>
    <n v="0"/>
    <n v="0"/>
    <s v="Blocked due to Bug ID-4485460(H)"/>
    <x v="40"/>
    <x v="15"/>
  </r>
  <r>
    <s v="MDA"/>
    <x v="99"/>
    <x v="99"/>
    <x v="9"/>
    <s v="[MDA-IMS]: As a SA, I want to enable navigation in Headcount Report to Static Tab: Half Yearly FTE via IMS FTE Deal Pivot Headcount breadcrumb only for deals with IMS SG for MMP Route"/>
    <n v="4438546"/>
    <s v="Manasa"/>
    <s v="Divya"/>
    <x v="3"/>
    <x v="2"/>
    <s v="Power BI report validation  can not be automated"/>
    <x v="6"/>
    <m/>
    <m/>
    <x v="3"/>
    <m/>
    <m/>
    <m/>
    <m/>
    <m/>
    <m/>
    <x v="0"/>
    <x v="0"/>
    <s v="Not Started"/>
    <s v="Not Started"/>
    <n v="38"/>
    <n v="21"/>
    <n v="1"/>
    <n v="22"/>
    <n v="0.8"/>
    <n v="0.8"/>
    <s v="Blocked in PT"/>
    <n v="0"/>
    <n v="0"/>
    <n v="0"/>
    <n v="22"/>
    <n v="22"/>
    <n v="0"/>
    <n v="0"/>
    <m/>
    <x v="40"/>
    <x v="15"/>
  </r>
  <r>
    <s v="MDA"/>
    <x v="99"/>
    <x v="99"/>
    <x v="9"/>
    <s v="[MDA-IMS]: As a SA, I want to enable navigation in Headcount Report to Static Tab: On/Off Detailed View via IMS FTE Deal Pivot Headcount breadcrumb only for deals with IMS SG for MMP Route"/>
    <n v="4438547"/>
    <s v="Manisa"/>
    <s v="Manasa"/>
    <x v="3"/>
    <x v="2"/>
    <s v="Power BI report validation  can not be automated"/>
    <x v="6"/>
    <m/>
    <m/>
    <x v="3"/>
    <m/>
    <m/>
    <m/>
    <m/>
    <m/>
    <m/>
    <x v="0"/>
    <x v="0"/>
    <s v="Not Started"/>
    <s v="Not Started"/>
    <n v="40"/>
    <n v="24"/>
    <n v="1"/>
    <n v="25"/>
    <n v="0.8"/>
    <n v="0.8"/>
    <s v="Blocked in PT"/>
    <n v="0"/>
    <n v="0"/>
    <n v="0"/>
    <n v="25"/>
    <n v="25"/>
    <n v="0"/>
    <n v="0"/>
    <m/>
    <x v="40"/>
    <x v="15"/>
  </r>
  <r>
    <s v="MDA"/>
    <x v="99"/>
    <x v="99"/>
    <x v="9"/>
    <s v="[MDA-IMS]: As a SA, I want to enable navigation in Headcount Report to Static Tab: Service-Country via IMS FTE Deal Pivot Headcount breadcrumb only for deals with IMS SG for MMP Route"/>
    <n v="4438548"/>
    <s v="Sahithya"/>
    <s v="Mohan"/>
    <x v="3"/>
    <x v="2"/>
    <s v="Power BI report validation  can not be automated"/>
    <x v="6"/>
    <m/>
    <m/>
    <x v="3"/>
    <n v="30"/>
    <n v="27"/>
    <n v="5"/>
    <n v="27"/>
    <n v="0.9"/>
    <n v="0.9"/>
    <x v="0"/>
    <x v="0"/>
    <s v="Not Started"/>
    <s v="Not Started"/>
    <n v="45"/>
    <n v="22"/>
    <n v="0"/>
    <n v="22"/>
    <n v="0.45"/>
    <n v="0.4"/>
    <s v="Blocked in PT"/>
    <n v="0"/>
    <n v="0"/>
    <n v="21"/>
    <n v="0"/>
    <n v="21"/>
    <n v="0"/>
    <n v="0"/>
    <s v="Blocked due to Bug ID-4485460(H)"/>
    <x v="40"/>
    <x v="15"/>
  </r>
  <r>
    <s v="MDA"/>
    <x v="99"/>
    <x v="99"/>
    <x v="9"/>
    <s v="[MDA-IMS]: As a SA, I want to enable navigation in Headcount Report to Static Tab: Transition FTE via IMS FTE Deal Pivot Headcount breadcrumb only for deals with IMS SG for MMP Route"/>
    <n v="4438561"/>
    <s v="Sahithya"/>
    <s v="Mohan"/>
    <x v="3"/>
    <x v="2"/>
    <s v="Power BI report validation  can not be automated"/>
    <x v="6"/>
    <m/>
    <m/>
    <x v="3"/>
    <n v="30"/>
    <n v="25"/>
    <n v="6"/>
    <n v="25"/>
    <n v="0.83"/>
    <n v="0.83"/>
    <x v="0"/>
    <x v="0"/>
    <s v="Not Started"/>
    <s v="Not Started"/>
    <n v="46"/>
    <n v="18"/>
    <n v="0"/>
    <n v="18"/>
    <n v="0.39"/>
    <n v="0.35"/>
    <s v="Blocked in PT"/>
    <n v="0"/>
    <n v="0"/>
    <n v="18"/>
    <n v="0"/>
    <n v="18"/>
    <n v="0"/>
    <n v="0"/>
    <s v="Blocked due to Bug ID-4485460(H)"/>
    <x v="40"/>
    <x v="15"/>
  </r>
  <r>
    <s v="MDA"/>
    <x v="92"/>
    <x v="92"/>
    <x v="9"/>
    <s v="[MDA-IMS]: As a SA, I want to see Open for SA Note Column in IMS Pyramid Deal Pivot All Phases tab for MMP Route"/>
    <n v="4438582"/>
    <s v="Sahithya"/>
    <s v="Mohan"/>
    <x v="3"/>
    <x v="2"/>
    <s v="Power BI report validation  can not be automated"/>
    <x v="6"/>
    <m/>
    <m/>
    <x v="3"/>
    <n v="30"/>
    <n v="24"/>
    <n v="5"/>
    <n v="24"/>
    <n v="0.8"/>
    <n v="0.8"/>
    <x v="0"/>
    <x v="0"/>
    <s v="Not Started"/>
    <s v="Not Started"/>
    <n v="42"/>
    <n v="17"/>
    <n v="0"/>
    <n v="17"/>
    <n v="0.41"/>
    <n v="0.5"/>
    <s v="Blocked in PT"/>
    <n v="0"/>
    <n v="0"/>
    <n v="17"/>
    <n v="0"/>
    <n v="17"/>
    <n v="0"/>
    <n v="0"/>
    <s v="Blocked due to Bug ID-4485460(H)"/>
    <x v="40"/>
    <x v="15"/>
  </r>
  <r>
    <s v="MDA "/>
    <x v="94"/>
    <x v="94"/>
    <x v="9"/>
    <s v="[MDA-IMS] As a SA, I want the graph to display Cumulative Productivity instead of YOY Productivity so that it aligns correctly with the label shown in the visualization"/>
    <n v="4440531"/>
    <s v="Mohan"/>
    <s v="Sahithya"/>
    <x v="3"/>
    <x v="2"/>
    <s v="Power BI report validation  can not be automated"/>
    <x v="6"/>
    <m/>
    <m/>
    <x v="3"/>
    <m/>
    <m/>
    <m/>
    <m/>
    <m/>
    <m/>
    <x v="0"/>
    <x v="0"/>
    <s v="Not Started"/>
    <s v="Not Started"/>
    <n v="28"/>
    <n v="19"/>
    <n v="0"/>
    <n v="19"/>
    <n v="0.78"/>
    <n v="0.55000000000000004"/>
    <s v="Active"/>
    <n v="0"/>
    <n v="0"/>
    <n v="0"/>
    <n v="19"/>
    <n v="19"/>
    <n v="0"/>
    <n v="0"/>
    <m/>
    <x v="40"/>
    <x v="15"/>
  </r>
  <r>
    <s v="MDA"/>
    <x v="100"/>
    <x v="100"/>
    <x v="9"/>
    <s v="[MDA-IMS]: As a SA, I want to add I want to add a new Group filter in the Pyramid (PY) Report for OCP route"/>
    <n v="4440539"/>
    <s v="Manasa"/>
    <s v="Mohan"/>
    <x v="3"/>
    <x v="2"/>
    <s v="Power BI report validation  can not be automated"/>
    <x v="6"/>
    <m/>
    <m/>
    <x v="3"/>
    <m/>
    <m/>
    <m/>
    <m/>
    <m/>
    <m/>
    <x v="0"/>
    <x v="0"/>
    <s v="Not Started"/>
    <s v="In Progress"/>
    <n v="30"/>
    <n v="13"/>
    <n v="4"/>
    <n v="17"/>
    <n v="0.65"/>
    <n v="0.65"/>
    <s v="PT In Test"/>
    <n v="2"/>
    <n v="0"/>
    <n v="15"/>
    <n v="0"/>
    <n v="17"/>
    <n v="0.11764705882352941"/>
    <n v="0.11764705882352941"/>
    <m/>
    <x v="40"/>
    <x v="15"/>
  </r>
  <r>
    <s v="MDA"/>
    <x v="100"/>
    <x v="100"/>
    <x v="9"/>
    <s v="[MDA-IMS]: As a SA, I want to add I want to add a new Group filter in the Pyramid (PY) Report for MMP route"/>
    <n v="4440660"/>
    <s v="Manasa"/>
    <s v="Sahithya"/>
    <x v="3"/>
    <x v="2"/>
    <s v="Power BI report validation  can not be automated"/>
    <x v="6"/>
    <m/>
    <m/>
    <x v="3"/>
    <m/>
    <m/>
    <m/>
    <m/>
    <m/>
    <m/>
    <x v="0"/>
    <x v="0"/>
    <s v="Not Started"/>
    <s v="In Progress"/>
    <n v="35"/>
    <n v="13"/>
    <n v="4"/>
    <n v="17"/>
    <n v="0.6"/>
    <n v="0.6"/>
    <s v="Blocked in PT"/>
    <n v="2"/>
    <n v="0"/>
    <n v="15"/>
    <n v="0"/>
    <n v="17"/>
    <n v="0.11764705882352941"/>
    <n v="0.11764705882352941"/>
    <m/>
    <x v="40"/>
    <x v="15"/>
  </r>
  <r>
    <s v="MDA"/>
    <x v="100"/>
    <x v="100"/>
    <x v="9"/>
    <s v="[MDA-BPMS]: As a SA, I want to add I want to add a new Group filter in the Pyramid (PY) Report for MMP route"/>
    <n v="4440663"/>
    <s v="Manasa"/>
    <s v="Sahithya"/>
    <x v="3"/>
    <x v="2"/>
    <s v="Power BI report validation  can not be automated"/>
    <x v="6"/>
    <m/>
    <m/>
    <x v="3"/>
    <m/>
    <m/>
    <m/>
    <m/>
    <m/>
    <m/>
    <x v="0"/>
    <x v="0"/>
    <s v="Not Started"/>
    <s v="In Progress"/>
    <n v="35"/>
    <n v="13"/>
    <n v="4"/>
    <n v="17"/>
    <n v="0.6"/>
    <n v="0.6"/>
    <s v="PT In Test"/>
    <n v="2"/>
    <n v="0"/>
    <n v="0"/>
    <n v="15"/>
    <n v="17"/>
    <n v="0.11764705882352941"/>
    <n v="1"/>
    <m/>
    <x v="40"/>
    <x v="15"/>
  </r>
  <r>
    <s v="MDA"/>
    <x v="100"/>
    <x v="100"/>
    <x v="9"/>
    <s v="[MDA-BPMS]: As a SA, I want to add I want to add a new Group filter in the Pyramid (PY) Report for OCP route"/>
    <n v="4440665"/>
    <s v="Manasa"/>
    <s v="Sahithya"/>
    <x v="3"/>
    <x v="2"/>
    <s v="Power BI report validation  can not be automated"/>
    <x v="6"/>
    <m/>
    <m/>
    <x v="3"/>
    <m/>
    <m/>
    <m/>
    <m/>
    <m/>
    <m/>
    <x v="0"/>
    <x v="0"/>
    <s v="Not Started"/>
    <s v="In Progress"/>
    <n v="35"/>
    <n v="13"/>
    <n v="4"/>
    <n v="17"/>
    <n v="0.6"/>
    <n v="0.6"/>
    <s v="PT In Test"/>
    <n v="2"/>
    <n v="0"/>
    <n v="0"/>
    <n v="15"/>
    <n v="17"/>
    <n v="0.11764705882352941"/>
    <n v="1"/>
    <m/>
    <x v="40"/>
    <x v="15"/>
  </r>
  <r>
    <s v="MDA"/>
    <x v="100"/>
    <x v="100"/>
    <x v="9"/>
    <s v="[MDA-SI]: As a SA, I want to add I want to add a new Resources filter in the Pyramid (PY) Report for OCP route"/>
    <n v="4440771"/>
    <s v="Ankita"/>
    <s v="Mohan"/>
    <x v="3"/>
    <x v="2"/>
    <s v="Power BI report validation  can not be automated"/>
    <x v="6"/>
    <m/>
    <m/>
    <x v="3"/>
    <n v="0.3"/>
    <n v="0.3"/>
    <n v="0"/>
    <n v="0.3"/>
    <n v="1"/>
    <n v="1"/>
    <x v="0"/>
    <x v="0"/>
    <s v="Not Started"/>
    <s v="Not Started"/>
    <n v="30"/>
    <n v="30"/>
    <n v="0"/>
    <n v="30"/>
    <n v="1"/>
    <n v="1"/>
    <s v="PT In Test"/>
    <n v="2"/>
    <n v="0"/>
    <n v="0"/>
    <n v="28"/>
    <n v="30"/>
    <n v="6.6666666666666666E-2"/>
    <n v="1"/>
    <m/>
    <x v="40"/>
    <x v="15"/>
  </r>
  <r>
    <s v="MDA"/>
    <x v="100"/>
    <x v="100"/>
    <x v="9"/>
    <s v="[MDA-SI]: As a SA, I want to add I want to add a new Resources filter in the Pyramid (PY) Report for MMP route"/>
    <n v="4440784"/>
    <s v="Ankita"/>
    <s v="Mohan"/>
    <x v="3"/>
    <x v="2"/>
    <s v="Power BI report validation  can not be automated"/>
    <x v="6"/>
    <m/>
    <m/>
    <x v="3"/>
    <n v="0.3"/>
    <n v="0.24"/>
    <n v="0.02"/>
    <n v="0.24"/>
    <n v="0.8"/>
    <n v="0.8"/>
    <x v="0"/>
    <x v="0"/>
    <s v="Not Started"/>
    <s v="Not Started"/>
    <n v="30"/>
    <n v="24"/>
    <n v="2"/>
    <n v="24"/>
    <n v="0.8"/>
    <n v="0.8"/>
    <s v="PT In Test"/>
    <n v="2"/>
    <n v="0"/>
    <n v="0"/>
    <n v="22"/>
    <n v="24"/>
    <n v="8.3333333333333329E-2"/>
    <n v="1"/>
    <m/>
    <x v="40"/>
    <x v="15"/>
  </r>
  <r>
    <s v="MDA"/>
    <x v="100"/>
    <x v="100"/>
    <x v="9"/>
    <s v="[MDA-IMS]: As a SA, I want to add I want to add a new Group filter in the Headcount (HC) Report for OCP route"/>
    <n v="4440796"/>
    <s v="Mohan"/>
    <s v="Manasa"/>
    <x v="3"/>
    <x v="2"/>
    <s v="Power BI report validation  can not be automated"/>
    <x v="6"/>
    <m/>
    <m/>
    <x v="3"/>
    <m/>
    <m/>
    <m/>
    <m/>
    <m/>
    <m/>
    <x v="0"/>
    <x v="0"/>
    <s v="Not Started"/>
    <s v="Not Started"/>
    <n v="23"/>
    <n v="19"/>
    <n v="0"/>
    <n v="19"/>
    <n v="0.82"/>
    <n v="0.74"/>
    <s v="PT In Test"/>
    <n v="5"/>
    <n v="1"/>
    <n v="13"/>
    <n v="0"/>
    <n v="19"/>
    <n v="0.31578947368421051"/>
    <n v="0.26315789473684209"/>
    <s v="Bug4483467(C)"/>
    <x v="40"/>
    <x v="15"/>
  </r>
  <r>
    <s v="MDA"/>
    <x v="100"/>
    <x v="100"/>
    <x v="9"/>
    <s v="[MDA-IMS]: As a SA, I want to add I want to add a new Group filter in the Headcount (HC) Report for MMP route"/>
    <n v="4440809"/>
    <s v="Mohan"/>
    <s v="Manasa"/>
    <x v="3"/>
    <x v="2"/>
    <s v="Power BI report validation  can not be automated"/>
    <x v="6"/>
    <m/>
    <m/>
    <x v="3"/>
    <m/>
    <m/>
    <m/>
    <m/>
    <m/>
    <m/>
    <x v="0"/>
    <x v="0"/>
    <s v="Not Started"/>
    <s v="Not Started"/>
    <n v="24"/>
    <n v="19"/>
    <n v="0"/>
    <n v="19"/>
    <n v="0.79"/>
    <n v="0.67"/>
    <s v="PT In Test"/>
    <n v="3"/>
    <n v="1"/>
    <n v="15"/>
    <n v="0"/>
    <n v="19"/>
    <n v="0.21052631578947367"/>
    <n v="0.15789473684210525"/>
    <s v="Bug4485460:(H)"/>
    <x v="40"/>
    <x v="15"/>
  </r>
  <r>
    <s v="MDA"/>
    <x v="100"/>
    <x v="100"/>
    <x v="9"/>
    <s v="[MDA-BPMS]: As a SA, I want to add I want to add a new Group filter in the Headcount (HC) Report for MMP route"/>
    <n v="4440815"/>
    <s v="Manasa"/>
    <s v="Sahithya"/>
    <x v="3"/>
    <x v="2"/>
    <s v="Power BI report validation  can not be automated"/>
    <x v="6"/>
    <m/>
    <m/>
    <x v="3"/>
    <m/>
    <m/>
    <m/>
    <m/>
    <m/>
    <m/>
    <x v="0"/>
    <x v="0"/>
    <s v="Not Started"/>
    <s v="In Progress"/>
    <n v="35"/>
    <n v="13"/>
    <n v="4"/>
    <n v="17"/>
    <n v="0.6"/>
    <n v="0.6"/>
    <s v="PT In Test"/>
    <n v="2"/>
    <n v="0"/>
    <n v="0"/>
    <n v="15"/>
    <n v="17"/>
    <n v="0.11764705882352941"/>
    <n v="1"/>
    <m/>
    <x v="40"/>
    <x v="15"/>
  </r>
  <r>
    <s v="MDA"/>
    <x v="100"/>
    <x v="100"/>
    <x v="9"/>
    <s v="[MDA-BPMS]: As a SA, I want to add I want to add a new Group filter in the Headcount (HC) Report for OCP route"/>
    <n v="4440819"/>
    <s v="Manasa"/>
    <s v="Sahithya"/>
    <x v="3"/>
    <x v="2"/>
    <s v="Power BI report validation  can not be automated"/>
    <x v="6"/>
    <m/>
    <m/>
    <x v="3"/>
    <m/>
    <m/>
    <m/>
    <m/>
    <m/>
    <m/>
    <x v="0"/>
    <x v="0"/>
    <s v="Not Started"/>
    <s v="In Progress"/>
    <n v="35"/>
    <n v="13"/>
    <n v="4"/>
    <n v="17"/>
    <n v="0.6"/>
    <n v="0.6"/>
    <s v="PT In Test"/>
    <n v="2"/>
    <n v="0"/>
    <n v="0"/>
    <n v="15"/>
    <n v="17"/>
    <n v="0.11764705882352941"/>
    <n v="1"/>
    <m/>
    <x v="40"/>
    <x v="15"/>
  </r>
  <r>
    <s v="MDA"/>
    <x v="100"/>
    <x v="100"/>
    <x v="9"/>
    <s v="[MDA-SI]: As a SA, I want to add I want to add a new Resources filter in the Headcount (HC) Report for OCP route"/>
    <n v="4440824"/>
    <s v="Ankita"/>
    <s v="Mohan"/>
    <x v="3"/>
    <x v="2"/>
    <s v="Power BI report validation  can not be automated"/>
    <x v="6"/>
    <m/>
    <m/>
    <x v="3"/>
    <n v="0.3"/>
    <n v="0.27"/>
    <n v="0.05"/>
    <n v="0.27"/>
    <n v="0.9"/>
    <n v="0.9"/>
    <x v="0"/>
    <x v="0"/>
    <s v="Not Started"/>
    <s v="Not Started"/>
    <n v="30"/>
    <n v="27"/>
    <n v="5"/>
    <n v="27"/>
    <n v="0.9"/>
    <n v="0.9"/>
    <s v="PT In Test"/>
    <n v="2"/>
    <n v="0"/>
    <n v="0"/>
    <n v="25"/>
    <n v="27"/>
    <n v="7.407407407407407E-2"/>
    <n v="1"/>
    <m/>
    <x v="40"/>
    <x v="15"/>
  </r>
  <r>
    <s v="MDA"/>
    <x v="100"/>
    <x v="100"/>
    <x v="9"/>
    <s v="[MDA-SI]: As a SA, I want to add I want to add a new Resources filter in the Headcount (HC) Report for MMP route"/>
    <n v="4440835"/>
    <s v="Ankita"/>
    <s v="Manasa"/>
    <x v="3"/>
    <x v="2"/>
    <s v="Power BI report validation  can not be automated"/>
    <x v="6"/>
    <m/>
    <m/>
    <x v="3"/>
    <n v="0.3"/>
    <n v="0.25"/>
    <n v="0.06"/>
    <n v="0.25"/>
    <n v="0.83"/>
    <n v="0.83"/>
    <x v="0"/>
    <x v="0"/>
    <s v="Not Started"/>
    <s v="Not Started"/>
    <n v="30"/>
    <n v="25"/>
    <n v="6"/>
    <n v="25"/>
    <n v="0.83"/>
    <n v="0.83"/>
    <s v="PT In Test"/>
    <n v="2"/>
    <n v="0"/>
    <n v="0"/>
    <n v="23"/>
    <n v="25"/>
    <n v="0.08"/>
    <n v="1"/>
    <m/>
    <x v="40"/>
    <x v="15"/>
  </r>
  <r>
    <s v="MDA"/>
    <x v="101"/>
    <x v="101"/>
    <x v="9"/>
    <s v="[MDA-AMS]: As a SA, I want to add I want to add a new Group filter in the Financial Report for the OCP route"/>
    <n v="4440870"/>
    <s v="Mohan"/>
    <s v="Sahithya"/>
    <x v="3"/>
    <x v="2"/>
    <s v="Power BI report validation  can not be automated"/>
    <x v="6"/>
    <m/>
    <m/>
    <x v="3"/>
    <m/>
    <m/>
    <m/>
    <m/>
    <m/>
    <m/>
    <x v="0"/>
    <x v="0"/>
    <s v="Not Started"/>
    <s v="Not Started"/>
    <n v="30"/>
    <n v="24"/>
    <n v="0"/>
    <n v="24"/>
    <n v="0.76"/>
    <n v="0.69"/>
    <s v="Active"/>
    <n v="0"/>
    <n v="0"/>
    <n v="0"/>
    <n v="24"/>
    <n v="24"/>
    <n v="0"/>
    <n v="0"/>
    <m/>
    <x v="40"/>
    <x v="15"/>
  </r>
  <r>
    <s v="MDA"/>
    <x v="101"/>
    <x v="101"/>
    <x v="9"/>
    <s v="[MDA-AMS]: As a SA, I want to add I want to add a new Group filter in the Financial Report for the MMP route"/>
    <n v="4440874"/>
    <s v="Mohan"/>
    <s v="Sahithya"/>
    <x v="3"/>
    <x v="2"/>
    <s v="Power BI report validation  can not be automated"/>
    <x v="6"/>
    <m/>
    <m/>
    <x v="3"/>
    <m/>
    <m/>
    <m/>
    <m/>
    <m/>
    <m/>
    <x v="0"/>
    <x v="0"/>
    <s v="Not Started"/>
    <s v="Not Started"/>
    <n v="32"/>
    <n v="25"/>
    <n v="0"/>
    <n v="25"/>
    <n v="0.73"/>
    <n v="0.65"/>
    <s v="Active"/>
    <n v="0"/>
    <n v="0"/>
    <n v="0"/>
    <n v="25"/>
    <n v="25"/>
    <n v="0"/>
    <n v="0"/>
    <m/>
    <x v="40"/>
    <x v="15"/>
  </r>
  <r>
    <s v="MDA"/>
    <x v="91"/>
    <x v="91"/>
    <x v="9"/>
    <s v="[MDA-IMS]: As a SA, I want to view Row‑wise % by Country Value for &quot;Phase-Country&quot; tab under IMS FTE Deal Pivot breadcrumb, applicable only to deals with IMS SG for OCP and MMP routes, for the HC report"/>
    <n v="4441048"/>
    <s v="Sahithya"/>
    <s v="Ankita"/>
    <x v="3"/>
    <x v="2"/>
    <s v="Power BI report validation  can not be automated"/>
    <x v="6"/>
    <m/>
    <m/>
    <x v="3"/>
    <m/>
    <m/>
    <m/>
    <m/>
    <m/>
    <m/>
    <x v="0"/>
    <x v="0"/>
    <s v="Not Started"/>
    <s v="Not Started"/>
    <n v="42"/>
    <n v="15"/>
    <n v="0"/>
    <n v="15"/>
    <n v="0.42"/>
    <n v="0.35"/>
    <s v="Active"/>
    <n v="0"/>
    <n v="0"/>
    <n v="0"/>
    <n v="15"/>
    <n v="15"/>
    <n v="0"/>
    <n v="0"/>
    <m/>
    <x v="40"/>
    <x v="15"/>
  </r>
  <r>
    <s v="MDA"/>
    <x v="91"/>
    <x v="91"/>
    <x v="9"/>
    <s v="[MDA-IMS]: As a SA, I want to view Shore wise % by Country Value for &quot;On/Off Split&quot; tab under IMS FTE Deal Pivot breadcrumb, applicable only to deals with IMS SG for OCP &amp; MMP Route, for HC report"/>
    <n v="4441061"/>
    <s v="Sahithya"/>
    <s v="Ankita"/>
    <x v="3"/>
    <x v="2"/>
    <s v="Power BI report validation  can not be automated"/>
    <x v="6"/>
    <m/>
    <m/>
    <x v="3"/>
    <m/>
    <m/>
    <m/>
    <m/>
    <m/>
    <m/>
    <x v="0"/>
    <x v="0"/>
    <s v="Not Started"/>
    <s v="Not Started"/>
    <n v="48"/>
    <n v="21"/>
    <n v="0"/>
    <n v="21"/>
    <n v="0.49"/>
    <n v="0.4"/>
    <s v="Active"/>
    <n v="0"/>
    <n v="0"/>
    <n v="0"/>
    <n v="21"/>
    <n v="21"/>
    <n v="0"/>
    <n v="0"/>
    <m/>
    <x v="40"/>
    <x v="15"/>
  </r>
  <r>
    <s v="MDA"/>
    <x v="92"/>
    <x v="92"/>
    <x v="9"/>
    <s v="[MDA-IMS]: As a SA, I want to enable navigation in Pyramid Report to Static Tab &quot;Phase-Country&quot; via IMS Pyramid Deal Pivot breadcrumb only for deals with IMS SG for MMP Route"/>
    <n v="4441798"/>
    <s v="Sahithya"/>
    <s v="Divya"/>
    <x v="3"/>
    <x v="2"/>
    <s v="Power BI report validation  can not be automated"/>
    <x v="6"/>
    <m/>
    <m/>
    <x v="3"/>
    <m/>
    <m/>
    <m/>
    <m/>
    <m/>
    <m/>
    <x v="0"/>
    <x v="0"/>
    <s v="Not Started"/>
    <s v="Not Started"/>
    <n v="42"/>
    <n v="25"/>
    <n v="0"/>
    <n v="25"/>
    <n v="0.45"/>
    <n v="0.4"/>
    <s v="Blocked in PT"/>
    <n v="0"/>
    <n v="0"/>
    <n v="0"/>
    <n v="25"/>
    <n v="25"/>
    <n v="0"/>
    <n v="0"/>
    <m/>
    <x v="40"/>
    <x v="15"/>
  </r>
  <r>
    <s v="MDA"/>
    <x v="92"/>
    <x v="92"/>
    <x v="9"/>
    <s v="[MDA-IMS]: As a SA, I want to enable navigation in Pyramid Report to Static Tab: &quot;SDM/CSDM/PMO View&quot; via IMS Pyramid Deal Pivot breadcrumb only for deals with IMS SG for MMP Route"/>
    <n v="4441806"/>
    <s v="Sahithya"/>
    <s v="Divya"/>
    <x v="3"/>
    <x v="2"/>
    <s v="Power BI report validation  can not be automated"/>
    <x v="6"/>
    <m/>
    <m/>
    <x v="3"/>
    <m/>
    <m/>
    <m/>
    <m/>
    <m/>
    <m/>
    <x v="0"/>
    <x v="0"/>
    <s v="Not Started"/>
    <s v="Not Started"/>
    <n v="57"/>
    <n v="25"/>
    <n v="2"/>
    <n v="27"/>
    <n v="0.4"/>
    <n v="0.35"/>
    <s v="Blocked in PT"/>
    <n v="0"/>
    <n v="0"/>
    <n v="0"/>
    <n v="23"/>
    <n v="23"/>
    <n v="0"/>
    <n v="0"/>
    <m/>
    <x v="40"/>
    <x v="15"/>
  </r>
  <r>
    <s v="MDA"/>
    <x v="92"/>
    <x v="92"/>
    <x v="9"/>
    <s v="[MDA-IMS]: As a SA, I want to enable navigation in Pyramid Report to Static Tab: SD Yearly via IMS Pyramid Deal Pivot breadcrumb only for deals with IMS SG for MMP Route"/>
    <n v="4441813"/>
    <s v="Sahithya"/>
    <s v="Divya"/>
    <x v="3"/>
    <x v="2"/>
    <s v="Power BI report validation  can not be automated"/>
    <x v="6"/>
    <m/>
    <m/>
    <x v="3"/>
    <m/>
    <m/>
    <m/>
    <m/>
    <m/>
    <m/>
    <x v="0"/>
    <x v="0"/>
    <s v="Not Started"/>
    <s v="Not Started"/>
    <n v="46"/>
    <n v="27"/>
    <n v="0"/>
    <n v="27"/>
    <n v="0.45"/>
    <n v="0.4"/>
    <s v="Blocked in PT"/>
    <n v="0"/>
    <n v="0"/>
    <n v="0"/>
    <n v="27"/>
    <n v="27"/>
    <n v="0"/>
    <n v="0"/>
    <m/>
    <x v="40"/>
    <x v="15"/>
  </r>
  <r>
    <s v="MDA"/>
    <x v="92"/>
    <x v="92"/>
    <x v="9"/>
    <s v="[MDA-IMS]: As a SA, I want to enable navigation in Pyramid Report to Static Tab: &quot;All Phases&quot; via IMS Pyramid Deal Pivot breadcrumb only for deals with IMS SG for MMP Route"/>
    <n v="4441820"/>
    <s v="Sahithya"/>
    <s v="Divya"/>
    <x v="3"/>
    <x v="2"/>
    <s v="Power BI report validation  can not be automated"/>
    <x v="6"/>
    <m/>
    <m/>
    <x v="3"/>
    <m/>
    <m/>
    <m/>
    <m/>
    <m/>
    <m/>
    <x v="0"/>
    <x v="0"/>
    <s v="Not Started"/>
    <s v="Not Started"/>
    <n v="57"/>
    <n v="38"/>
    <n v="0"/>
    <n v="38"/>
    <n v="0.6"/>
    <n v="0.65"/>
    <s v="Blocked in PT"/>
    <n v="0"/>
    <n v="0"/>
    <n v="0"/>
    <n v="38"/>
    <n v="38"/>
    <n v="0"/>
    <n v="0"/>
    <m/>
    <x v="40"/>
    <x v="15"/>
  </r>
  <r>
    <s v="MDA"/>
    <x v="92"/>
    <x v="92"/>
    <x v="9"/>
    <s v="[MDA-IMS]: As a SA, I want to enable navigation in Pyramid Report to Static Tab: &quot;Monthly Detail&quot; via IMS Pyramid Deal Pivot breadcrumb only for deals with IMS SG for MMP Route"/>
    <n v="4441824"/>
    <s v="Ankita"/>
    <s v="Manasa"/>
    <x v="3"/>
    <x v="2"/>
    <s v="Power BI report validation  can not be automated"/>
    <x v="6"/>
    <m/>
    <m/>
    <x v="3"/>
    <n v="0.3"/>
    <n v="0.22"/>
    <n v="0.05"/>
    <n v="0.27"/>
    <n v="0.73"/>
    <n v="0.73"/>
    <x v="0"/>
    <x v="0"/>
    <s v="Not Started"/>
    <s v="Not Started"/>
    <n v="30"/>
    <n v="22"/>
    <n v="5"/>
    <n v="27"/>
    <n v="0.73"/>
    <n v="0.73"/>
    <s v="Blocked in PT"/>
    <n v="0"/>
    <n v="0"/>
    <n v="27"/>
    <n v="0"/>
    <n v="27"/>
    <n v="0"/>
    <n v="0"/>
    <s v="Blocked due to Bug ID-4485460(H)"/>
    <x v="40"/>
    <x v="15"/>
  </r>
  <r>
    <s v="MDA"/>
    <x v="92"/>
    <x v="92"/>
    <x v="9"/>
    <s v="[MDA-IMS]: As a SA, I want to enable navigation in Pyramid Report to Static Tab: &quot;SD HY&quot; via IMS Pyramid Deal Pivot breadcrumb only for deals with IMS SG for MMP Route"/>
    <n v="4441844"/>
    <s v="Ankita"/>
    <s v="Manasa"/>
    <x v="3"/>
    <x v="2"/>
    <s v="Power BI report validation  can not be automated"/>
    <x v="6"/>
    <m/>
    <m/>
    <x v="3"/>
    <n v="0.3"/>
    <n v="0.24"/>
    <n v="0.05"/>
    <n v="0.24"/>
    <n v="0.8"/>
    <n v="0.8"/>
    <x v="0"/>
    <x v="0"/>
    <s v="Not Started"/>
    <s v="Not Started"/>
    <n v="30"/>
    <n v="24"/>
    <n v="5"/>
    <n v="24"/>
    <n v="0.8"/>
    <n v="0.8"/>
    <s v="Blocked in PT"/>
    <n v="0"/>
    <n v="0"/>
    <n v="24"/>
    <n v="0"/>
    <n v="24"/>
    <n v="0"/>
    <n v="0"/>
    <s v="Blocked due to Bug ID-4485460(H)"/>
    <x v="40"/>
    <x v="15"/>
  </r>
  <r>
    <s v="DFD-myISP"/>
    <x v="46"/>
    <x v="46"/>
    <x v="10"/>
    <s v="Song [Digital Documentation]-As a myISP User, I want to provide onetime update for existing deals ,update the RAG , Score as per updated Song Compliance Logic so that all historical and active deals reflect accurate compliance status"/>
    <n v="4441957"/>
    <s v="Gayatri"/>
    <s v="Veena"/>
    <x v="74"/>
    <x v="2"/>
    <s v="One time update cannot be automatable"/>
    <x v="4"/>
    <m/>
    <m/>
    <x v="3"/>
    <m/>
    <m/>
    <m/>
    <m/>
    <m/>
    <m/>
    <x v="0"/>
    <x v="0"/>
    <s v="Completed"/>
    <s v="Not Started"/>
    <n v="13"/>
    <n v="13"/>
    <n v="2"/>
    <n v="15"/>
    <n v="0.8"/>
    <n v="0.8"/>
    <s v="In Development"/>
    <n v="0"/>
    <n v="0"/>
    <n v="0"/>
    <n v="15"/>
    <n v="15"/>
    <n v="0"/>
    <n v="0"/>
    <m/>
    <x v="41"/>
    <x v="5"/>
  </r>
  <r>
    <s v="DLC "/>
    <x v="102"/>
    <x v="102"/>
    <x v="10"/>
    <s v="[DLC] Sync from MMS button to be added for both Commercials and Key roles in Deal Level Canvas."/>
    <n v="4395054"/>
    <s v="Sushmeta"/>
    <s v="Prasanna"/>
    <x v="75"/>
    <x v="0"/>
    <s v="We cannot automate validating the accuracy of the fetched data because that data originates from the MMSID site"/>
    <x v="2"/>
    <m/>
    <m/>
    <x v="1"/>
    <m/>
    <m/>
    <m/>
    <m/>
    <m/>
    <m/>
    <x v="0"/>
    <x v="0"/>
    <s v="Completed"/>
    <s v="Not Started"/>
    <m/>
    <m/>
    <m/>
    <m/>
    <m/>
    <m/>
    <s v="In Development"/>
    <n v="0"/>
    <n v="0"/>
    <n v="0"/>
    <n v="13"/>
    <n v="13"/>
    <n v="0"/>
    <n v="0"/>
    <m/>
    <x v="41"/>
    <x v="5"/>
  </r>
  <r>
    <s v="DSP"/>
    <x v="102"/>
    <x v="102"/>
    <x v="10"/>
    <s v="[DSP - Core Solution Plan] Cost Assumptions - DNP Slides Total Cost rows to be in bold in downloaded PPT/PDF for all SGs."/>
    <n v="4415929"/>
    <s v="Sushmeta"/>
    <s v="Prasanna"/>
    <x v="75"/>
    <x v="0"/>
    <s v="PPT/PDF cannot be automated "/>
    <x v="18"/>
    <m/>
    <m/>
    <x v="1"/>
    <m/>
    <m/>
    <m/>
    <m/>
    <m/>
    <m/>
    <x v="0"/>
    <x v="0"/>
    <s v="Completed"/>
    <s v="Not Started"/>
    <m/>
    <m/>
    <m/>
    <m/>
    <m/>
    <m/>
    <s v="In Development"/>
    <n v="0"/>
    <n v="0"/>
    <n v="0"/>
    <n v="16"/>
    <n v="16"/>
    <n v="0"/>
    <n v="0"/>
    <m/>
    <x v="41"/>
    <x v="5"/>
  </r>
  <r>
    <s v="DSP"/>
    <x v="103"/>
    <x v="103"/>
    <x v="10"/>
    <s v="[DSP - Core Solution Plan] As a myISP user, I want to be able to view all updated changes within the MDA-related screens in both UI and PPT/PDF files for SI SG."/>
    <n v="4423220"/>
    <s v="Haritha"/>
    <s v="Vignesh"/>
    <x v="76"/>
    <x v="2"/>
    <s v="MDA - Power BI  cannot be automated "/>
    <x v="21"/>
    <m/>
    <m/>
    <x v="3"/>
    <m/>
    <m/>
    <m/>
    <m/>
    <m/>
    <m/>
    <x v="0"/>
    <x v="2"/>
    <s v="Not Started"/>
    <s v="Not Started"/>
    <n v="35"/>
    <m/>
    <m/>
    <m/>
    <m/>
    <m/>
    <s v="Active"/>
    <n v="0"/>
    <n v="0"/>
    <n v="0"/>
    <n v="20"/>
    <n v="20"/>
    <n v="0"/>
    <n v="0"/>
    <m/>
    <x v="41"/>
    <x v="5"/>
  </r>
  <r>
    <s v="DSP"/>
    <x v="103"/>
    <x v="103"/>
    <x v="10"/>
    <s v="[DSP - Core Solution Plan] As a myISP user, I want to be able to view all updated changes within the MDA-related screens in both UI and PPT/PDF files for AMS SG."/>
    <n v="4423221"/>
    <s v="Haritha"/>
    <s v="Vignesh"/>
    <x v="76"/>
    <x v="2"/>
    <s v="MDA - Power BI  cannot be automated "/>
    <x v="21"/>
    <m/>
    <m/>
    <x v="3"/>
    <m/>
    <m/>
    <m/>
    <m/>
    <m/>
    <m/>
    <x v="0"/>
    <x v="2"/>
    <s v="Not Started"/>
    <s v="Not Started"/>
    <n v="37"/>
    <m/>
    <m/>
    <m/>
    <m/>
    <m/>
    <s v="In Development"/>
    <n v="0"/>
    <n v="0"/>
    <n v="0"/>
    <n v="22"/>
    <n v="22"/>
    <n v="0"/>
    <n v="0"/>
    <m/>
    <x v="41"/>
    <x v="5"/>
  </r>
  <r>
    <s v="DSP"/>
    <x v="103"/>
    <x v="103"/>
    <x v="10"/>
    <s v="[DSP - Core Solution Plan] As a myISP user, I want to be able to view all updated changes within the MDA-related screens in both UI and PPT/PDF files for BPMS SG."/>
    <n v="4423222"/>
    <s v="Haritha"/>
    <s v="Vignesh"/>
    <x v="76"/>
    <x v="2"/>
    <s v="MDA - Power BI  cannot be automated "/>
    <x v="21"/>
    <m/>
    <m/>
    <x v="3"/>
    <m/>
    <m/>
    <m/>
    <m/>
    <m/>
    <m/>
    <x v="0"/>
    <x v="2"/>
    <s v="Not Started"/>
    <s v="Not Started"/>
    <n v="37"/>
    <m/>
    <m/>
    <m/>
    <m/>
    <m/>
    <s v="Active"/>
    <n v="0"/>
    <n v="0"/>
    <n v="0"/>
    <n v="22"/>
    <n v="22"/>
    <n v="0"/>
    <n v="0"/>
    <m/>
    <x v="41"/>
    <x v="5"/>
  </r>
  <r>
    <s v="DSP"/>
    <x v="102"/>
    <x v="102"/>
    <x v="10"/>
    <s v="[DSP - Download Popup] Service Group Canvas and Deal level canvas to be added as selections in all Download popups for all SGs."/>
    <n v="4395048"/>
    <s v="Haritha"/>
    <s v="Vignesh"/>
    <x v="76"/>
    <x v="0"/>
    <s v="PPT/PDF cannot be automated "/>
    <x v="18"/>
    <s v="Medium"/>
    <m/>
    <x v="7"/>
    <m/>
    <m/>
    <m/>
    <m/>
    <m/>
    <m/>
    <x v="0"/>
    <x v="2"/>
    <s v="Not Started"/>
    <s v="In Progress"/>
    <n v="32"/>
    <n v="25"/>
    <n v="25"/>
    <n v="25"/>
    <n v="0.8"/>
    <n v="0.8"/>
    <s v="PT In Test"/>
    <n v="22"/>
    <n v="3"/>
    <n v="0"/>
    <n v="0"/>
    <n v="25"/>
    <n v="1"/>
    <n v="0.88"/>
    <s v="4486874(M), 4487077(M)"/>
    <x v="41"/>
    <x v="5"/>
  </r>
  <r>
    <s v="DSP"/>
    <x v="102"/>
    <x v="102"/>
    <x v="10"/>
    <s v="[DSP - Version Grid] Create New Version to be enabled in Digitl Solution Plan even if there is no solution version created in Solution Components."/>
    <n v="4395051"/>
    <s v="Sushmeta"/>
    <s v="Prasanna"/>
    <x v="75"/>
    <x v="0"/>
    <s v="US is related to new deal and it cannot be automated in PROD since new versions cannot be created"/>
    <x v="22"/>
    <m/>
    <m/>
    <x v="1"/>
    <m/>
    <m/>
    <m/>
    <m/>
    <m/>
    <m/>
    <x v="0"/>
    <x v="0"/>
    <s v="Completed"/>
    <s v="Not Started"/>
    <m/>
    <m/>
    <m/>
    <m/>
    <m/>
    <m/>
    <s v="Ready to Deploy"/>
    <n v="0"/>
    <n v="0"/>
    <n v="0"/>
    <n v="13"/>
    <n v="13"/>
    <n v="0"/>
    <n v="0"/>
    <m/>
    <x v="24"/>
    <x v="5"/>
  </r>
  <r>
    <s v="DSP"/>
    <x v="102"/>
    <x v="102"/>
    <x v="10"/>
    <s v="[DSP - Core Solution Plan] Costing/Pricing Slides update as same as the UI in downloaded PPT/PDF"/>
    <n v="4395052"/>
    <s v="Sushmeta"/>
    <s v="Prasanna"/>
    <x v="75"/>
    <x v="0"/>
    <s v="PPT/PDF cannot be automated "/>
    <x v="18"/>
    <m/>
    <m/>
    <x v="1"/>
    <m/>
    <m/>
    <m/>
    <m/>
    <m/>
    <m/>
    <x v="0"/>
    <x v="0"/>
    <s v="Completed"/>
    <s v="In Progress"/>
    <m/>
    <m/>
    <m/>
    <m/>
    <m/>
    <m/>
    <s v="Ready for Test"/>
    <n v="12"/>
    <n v="0"/>
    <n v="0"/>
    <n v="4"/>
    <n v="16"/>
    <n v="0.75"/>
    <n v="1"/>
    <m/>
    <x v="41"/>
    <x v="5"/>
  </r>
  <r>
    <s v="DSP"/>
    <x v="102"/>
    <x v="102"/>
    <x v="10"/>
    <s v="[DSP] Slide Tagging for Downloaded PPT Across DSP Screens"/>
    <n v="4442821"/>
    <s v="Haritha"/>
    <s v="Vignesh"/>
    <x v="76"/>
    <x v="0"/>
    <s v="UI validation in downloaded PPT cannot be automated "/>
    <x v="18"/>
    <s v="Medium"/>
    <m/>
    <x v="7"/>
    <m/>
    <m/>
    <m/>
    <m/>
    <m/>
    <m/>
    <x v="0"/>
    <x v="2"/>
    <s v="Not Started"/>
    <s v="In Progress"/>
    <n v="35"/>
    <m/>
    <m/>
    <m/>
    <m/>
    <m/>
    <s v="PT In Test"/>
    <n v="0"/>
    <n v="0"/>
    <n v="0"/>
    <n v="22"/>
    <n v="22"/>
    <n v="0"/>
    <n v="0"/>
    <m/>
    <x v="41"/>
    <x v="5"/>
  </r>
  <r>
    <s v="DSP"/>
    <x v="102"/>
    <x v="102"/>
    <x v="10"/>
    <s v="[DSP – Core Solution Plan] Download and upload templates to be updated as same as UI Risks/Assumptions/Dependency."/>
    <n v="4443305"/>
    <s v="Sushmeta"/>
    <s v="Prasanna"/>
    <x v="75"/>
    <x v="0"/>
    <s v="PPT/PDF cannot be automated "/>
    <x v="18"/>
    <m/>
    <m/>
    <x v="1"/>
    <m/>
    <m/>
    <m/>
    <m/>
    <m/>
    <m/>
    <x v="0"/>
    <x v="0"/>
    <s v="Completed"/>
    <s v="In Progress"/>
    <s v="BUG 4490800"/>
    <m/>
    <m/>
    <m/>
    <m/>
    <m/>
    <s v="Ready for Test"/>
    <n v="12"/>
    <n v="0"/>
    <n v="0"/>
    <n v="0"/>
    <n v="12"/>
    <n v="1"/>
    <n v="1"/>
    <m/>
    <x v="24"/>
    <x v="5"/>
  </r>
  <r>
    <s v="DSP"/>
    <x v="102"/>
    <x v="102"/>
    <x v="10"/>
    <s v="[DSP - Assumption] Add new column as Impact in Assumption screen for all SGs"/>
    <n v="4443377"/>
    <s v="Navya"/>
    <s v="Kalpana"/>
    <x v="77"/>
    <x v="1"/>
    <m/>
    <x v="1"/>
    <s v="Medium"/>
    <m/>
    <x v="6"/>
    <m/>
    <m/>
    <m/>
    <m/>
    <m/>
    <m/>
    <x v="0"/>
    <x v="0"/>
    <s v="Completed"/>
    <s v="Completed"/>
    <n v="12"/>
    <n v="12"/>
    <n v="0"/>
    <n v="12"/>
    <n v="1"/>
    <n v="1"/>
    <s v="PT In Test"/>
    <n v="0"/>
    <n v="0"/>
    <n v="0"/>
    <n v="0"/>
    <n v="12"/>
    <n v="0"/>
    <n v="0"/>
    <m/>
    <x v="24"/>
    <x v="5"/>
  </r>
  <r>
    <s v="DSP"/>
    <x v="102"/>
    <x v="102"/>
    <x v="10"/>
    <s v="[DSP - Core Solution Plan] Assets List Summary data to be added in downloaded PPT/PDF for AMS/SI SG."/>
    <n v="4443792"/>
    <s v="Aruna"/>
    <s v="Naveen Arunachalam"/>
    <x v="78"/>
    <x v="2"/>
    <s v="MDA related so we Need to configure data in Differentiation screen "/>
    <x v="21"/>
    <s v="Complex"/>
    <m/>
    <x v="3"/>
    <m/>
    <m/>
    <m/>
    <m/>
    <m/>
    <m/>
    <x v="3"/>
    <x v="0"/>
    <s v="Not Started"/>
    <s v="Not Started"/>
    <m/>
    <m/>
    <m/>
    <m/>
    <m/>
    <m/>
    <s v="In Development"/>
    <n v="0"/>
    <n v="0"/>
    <n v="0"/>
    <n v="0"/>
    <n v="0"/>
    <n v="0"/>
    <n v="0"/>
    <m/>
    <x v="11"/>
    <x v="5"/>
  </r>
  <r>
    <s v="DSP"/>
    <x v="102"/>
    <x v="102"/>
    <x v="10"/>
    <s v="[DSP – Core Solution Plan] RACI New Predefined templates to be included for all SGs"/>
    <n v="4438699"/>
    <s v="Harshitha"/>
    <s v="pavithra"/>
    <x v="79"/>
    <x v="0"/>
    <s v="Template download not feasible to automate"/>
    <x v="18"/>
    <s v="Complex"/>
    <m/>
    <x v="6"/>
    <m/>
    <m/>
    <m/>
    <m/>
    <m/>
    <m/>
    <x v="0"/>
    <x v="0"/>
    <s v="Completed"/>
    <s v="Not Started"/>
    <m/>
    <m/>
    <m/>
    <m/>
    <m/>
    <m/>
    <s v="Active"/>
    <n v="0"/>
    <n v="0"/>
    <n v="0"/>
    <n v="6"/>
    <n v="6"/>
    <n v="0"/>
    <n v="0"/>
    <m/>
    <x v="41"/>
    <x v="5"/>
  </r>
  <r>
    <s v="DSP"/>
    <x v="102"/>
    <x v="102"/>
    <x v="10"/>
    <s v="[DSP – Core Solution Plan] DNP/Expenses slides to be updated with all the data as same as UI in downloaded PPT/PDF"/>
    <n v="4438707"/>
    <s v="Aruna"/>
    <s v="Naveen Arunachalam"/>
    <x v="78"/>
    <x v="2"/>
    <s v="MDA related Cannot be automatable"/>
    <x v="21"/>
    <s v="Complex"/>
    <m/>
    <x v="3"/>
    <m/>
    <m/>
    <m/>
    <m/>
    <m/>
    <m/>
    <x v="3"/>
    <x v="0"/>
    <s v="Not Started"/>
    <s v="Not Started"/>
    <m/>
    <m/>
    <m/>
    <m/>
    <m/>
    <m/>
    <s v="In Development"/>
    <n v="0"/>
    <n v="0"/>
    <n v="0"/>
    <n v="0"/>
    <n v="0"/>
    <n v="0"/>
    <n v="0"/>
    <m/>
    <x v="41"/>
    <x v="5"/>
  </r>
  <r>
    <s v="DSP"/>
    <x v="102"/>
    <x v="102"/>
    <x v="10"/>
    <s v="[DSP – Core Solution Plan] Key notes from notes section to be displayed in downloaded PPT for each slide"/>
    <n v="4438717"/>
    <s v="Navya"/>
    <s v="Kalpana"/>
    <x v="77"/>
    <x v="0"/>
    <s v="PPT/PDF cannot be automated "/>
    <x v="18"/>
    <s v="Medium"/>
    <m/>
    <x v="6"/>
    <m/>
    <m/>
    <m/>
    <m/>
    <m/>
    <m/>
    <x v="0"/>
    <x v="0"/>
    <s v="Completed"/>
    <s v="In Progress"/>
    <n v="12"/>
    <n v="12"/>
    <n v="0"/>
    <n v="12"/>
    <n v="1"/>
    <n v="1"/>
    <s v="PT In Test"/>
    <n v="0"/>
    <n v="0"/>
    <n v="0"/>
    <n v="12"/>
    <n v="12"/>
    <n v="0"/>
    <n v="0"/>
    <m/>
    <x v="41"/>
    <x v="5"/>
  </r>
  <r>
    <s v="DSP"/>
    <x v="102"/>
    <x v="102"/>
    <x v="10"/>
    <s v="[DSP – Core Solution Plan] Adherence Score Summary to be added in DSP KDA tile to view the adherence summary in DSP for AMS/SI/IMS SGs"/>
    <n v="4438735"/>
    <s v="Navya"/>
    <s v="Kalpana"/>
    <x v="77"/>
    <x v="1"/>
    <m/>
    <x v="1"/>
    <s v="Medium"/>
    <m/>
    <x v="6"/>
    <m/>
    <m/>
    <m/>
    <m/>
    <m/>
    <m/>
    <x v="0"/>
    <x v="0"/>
    <s v="Completed"/>
    <s v="In Progress"/>
    <n v="12"/>
    <n v="12"/>
    <n v="0"/>
    <n v="12"/>
    <n v="1"/>
    <n v="1"/>
    <s v="PT In Test"/>
    <n v="0"/>
    <n v="0"/>
    <n v="0"/>
    <n v="12"/>
    <n v="12"/>
    <n v="0"/>
    <n v="0"/>
    <m/>
    <x v="24"/>
    <x v="5"/>
  </r>
  <r>
    <s v="DSP"/>
    <x v="102"/>
    <x v="102"/>
    <x v="10"/>
    <s v="[DSP – Core Solution Plan] Bottom up mobilization calculator to be added in DSP Mobilization Calculator for AMS SG."/>
    <n v="4438741"/>
    <s v="Naveen Arunachalam"/>
    <s v="Haripriya"/>
    <x v="80"/>
    <x v="1"/>
    <s v="configured bottom up in RAMP UP screen so can't be automate"/>
    <x v="11"/>
    <m/>
    <m/>
    <x v="6"/>
    <m/>
    <m/>
    <m/>
    <m/>
    <m/>
    <m/>
    <x v="3"/>
    <x v="1"/>
    <s v="Not Started"/>
    <s v="Not Started"/>
    <m/>
    <m/>
    <m/>
    <m/>
    <m/>
    <m/>
    <s v="In Development"/>
    <n v="0"/>
    <n v="0"/>
    <n v="0"/>
    <n v="2"/>
    <n v="2"/>
    <n v="0"/>
    <n v="0"/>
    <m/>
    <x v="11"/>
    <x v="5"/>
  </r>
  <r>
    <s v="DSP"/>
    <x v="102"/>
    <x v="102"/>
    <x v="10"/>
    <s v="[DSP – Core Solution Plan] Risks/Assumptions/Dependency sections will have additional column which is SG to have integrated Risks/Assumptions/Dependency"/>
    <n v="4438752"/>
    <s v="Navya"/>
    <s v="Kalpana"/>
    <x v="77"/>
    <x v="1"/>
    <m/>
    <x v="1"/>
    <s v="Medium"/>
    <m/>
    <x v="6"/>
    <m/>
    <m/>
    <m/>
    <m/>
    <m/>
    <m/>
    <x v="0"/>
    <x v="0"/>
    <s v="Completed"/>
    <s v="In Progress"/>
    <n v="12"/>
    <n v="12"/>
    <n v="0"/>
    <n v="12"/>
    <n v="1"/>
    <n v="1"/>
    <s v="PT In Test"/>
    <n v="0"/>
    <n v="0"/>
    <n v="0"/>
    <n v="12"/>
    <n v="12"/>
    <n v="0"/>
    <n v="0"/>
    <m/>
    <x v="24"/>
    <x v="5"/>
  </r>
  <r>
    <s v="DSP"/>
    <x v="102"/>
    <x v="102"/>
    <x v="10"/>
    <s v="[DSP - Core Solution Plan] Assets List Summary toggle to be added in Differentiation themes summary tile in DSP Core Solution Plan for AMS/SI SG."/>
    <n v="4439540"/>
    <s v="Naveen Arunachalam"/>
    <s v="Haripriya"/>
    <x v="80"/>
    <x v="0"/>
    <s v="PPT/PDF related story so can't be automate"/>
    <x v="1"/>
    <m/>
    <m/>
    <x v="6"/>
    <m/>
    <m/>
    <m/>
    <m/>
    <m/>
    <m/>
    <x v="0"/>
    <x v="1"/>
    <s v="Not Started"/>
    <s v="In Progress"/>
    <m/>
    <m/>
    <m/>
    <m/>
    <m/>
    <m/>
    <s v="PT In Test"/>
    <n v="1"/>
    <n v="0"/>
    <n v="0"/>
    <n v="3"/>
    <n v="4"/>
    <n v="0.25"/>
    <n v="1"/>
    <m/>
    <x v="11"/>
    <x v="5"/>
  </r>
  <r>
    <s v="DSP"/>
    <x v="102"/>
    <x v="102"/>
    <x v="10"/>
    <s v="[DSP - Core Solution Plan] Differentiation themes screen to be updated with new functionalities in DSP Core Solution plan for AMS/SI SG."/>
    <n v="4439541"/>
    <s v="Aruna"/>
    <s v="Naveen Arunachalam"/>
    <x v="78"/>
    <x v="2"/>
    <s v="MDA related as Need to configure Solution components for AMS ansd SI and Differentiation screen"/>
    <x v="9"/>
    <s v="Complex"/>
    <m/>
    <x v="3"/>
    <m/>
    <m/>
    <m/>
    <m/>
    <m/>
    <m/>
    <x v="3"/>
    <x v="0"/>
    <s v="Not Started"/>
    <s v="Not Started"/>
    <m/>
    <m/>
    <m/>
    <m/>
    <m/>
    <m/>
    <s v="PT In Test"/>
    <n v="0"/>
    <n v="0"/>
    <n v="0"/>
    <n v="0"/>
    <n v="0"/>
    <n v="0"/>
    <n v="0"/>
    <m/>
    <x v="11"/>
    <x v="5"/>
  </r>
  <r>
    <s v="DSP"/>
    <x v="102"/>
    <x v="102"/>
    <x v="10"/>
    <s v="[DSP - Core Solution Plan] IPC Calculator Changes to be updated in DSP IPC Calculator screens for SI -UI."/>
    <n v="4439552"/>
    <s v="Naveen Arunachalam"/>
    <s v="Haripriya"/>
    <x v="80"/>
    <x v="1"/>
    <m/>
    <x v="1"/>
    <m/>
    <m/>
    <x v="6"/>
    <m/>
    <m/>
    <m/>
    <m/>
    <m/>
    <m/>
    <x v="3"/>
    <x v="1"/>
    <s v="Not Started"/>
    <s v="Not Started"/>
    <m/>
    <m/>
    <m/>
    <m/>
    <m/>
    <m/>
    <s v="In Development"/>
    <n v="0"/>
    <n v="0"/>
    <n v="0"/>
    <n v="3"/>
    <n v="3"/>
    <n v="0"/>
    <n v="0"/>
    <m/>
    <x v="11"/>
    <x v="5"/>
  </r>
  <r>
    <s v="DSP"/>
    <x v="102"/>
    <x v="102"/>
    <x v="10"/>
    <s v="[DSP - Core Solution Plan] Automation Calculator Changes to be updated in DSP Automation Calculator screens for both AMS/SI -UI."/>
    <n v="4439554"/>
    <s v="Naveen Arunachalam"/>
    <s v="Haripriya"/>
    <x v="80"/>
    <x v="1"/>
    <m/>
    <x v="1"/>
    <m/>
    <m/>
    <x v="6"/>
    <m/>
    <m/>
    <m/>
    <m/>
    <m/>
    <m/>
    <x v="3"/>
    <x v="1"/>
    <s v="Not Started"/>
    <s v="Not Started"/>
    <m/>
    <m/>
    <m/>
    <m/>
    <m/>
    <m/>
    <s v="In Development"/>
    <n v="0"/>
    <n v="0"/>
    <n v="0"/>
    <n v="4"/>
    <n v="4"/>
    <n v="0"/>
    <n v="0"/>
    <m/>
    <x v="11"/>
    <x v="5"/>
  </r>
  <r>
    <s v="DSP"/>
    <x v="103"/>
    <x v="103"/>
    <x v="10"/>
    <s v="[DSP - Core Solution Plan] As a myISP user, I want to be able to view all updated changes within the MDA-related screens in both UI and PPT/PDF files for IMS SG."/>
    <n v="4373651"/>
    <s v="Gayatri"/>
    <s v="Veena"/>
    <x v="74"/>
    <x v="2"/>
    <s v="MDA related Cannot be automatable"/>
    <x v="21"/>
    <m/>
    <m/>
    <x v="3"/>
    <m/>
    <m/>
    <m/>
    <m/>
    <m/>
    <m/>
    <x v="0"/>
    <x v="0"/>
    <s v="Completed"/>
    <s v="Not Started"/>
    <n v="16"/>
    <n v="16"/>
    <n v="2"/>
    <n v="18"/>
    <n v="0.8"/>
    <n v="0.8"/>
    <s v="Active"/>
    <n v="0"/>
    <n v="0"/>
    <n v="0"/>
    <n v="18"/>
    <n v="18"/>
    <n v="0"/>
    <n v="0"/>
    <m/>
    <x v="41"/>
    <x v="5"/>
  </r>
  <r>
    <s v="DSP"/>
    <x v="102"/>
    <x v="102"/>
    <x v="10"/>
    <s v="[DSP - Core Solution Plan] Published Version Value Shaping data to be displayed in DSP Versions under Value Story Screen"/>
    <n v="4437822"/>
    <s v="Navya"/>
    <s v="Kalpana"/>
    <x v="77"/>
    <x v="1"/>
    <m/>
    <x v="1"/>
    <s v="Medium"/>
    <m/>
    <x v="6"/>
    <m/>
    <m/>
    <m/>
    <m/>
    <m/>
    <m/>
    <x v="0"/>
    <x v="0"/>
    <s v="Completed"/>
    <s v="In Progress"/>
    <n v="12"/>
    <n v="12"/>
    <n v="0"/>
    <n v="12"/>
    <n v="1"/>
    <n v="1"/>
    <s v="PT In Test"/>
    <n v="11"/>
    <n v="1"/>
    <n v="0"/>
    <n v="0"/>
    <n v="12"/>
    <n v="1"/>
    <n v="0.91666666666666663"/>
    <s v="Bug:4490892(M)(Delivered to UAT)"/>
    <x v="24"/>
    <x v="5"/>
  </r>
  <r>
    <s v="DSP"/>
    <x v="102"/>
    <x v="102"/>
    <x v="10"/>
    <s v="[DSP - Core Solution Plan] Adding custom slide functionality to be updated for all SGs in Core Solution Plan"/>
    <n v="4437865"/>
    <s v="Gayatri"/>
    <s v="Veena"/>
    <x v="74"/>
    <x v="1"/>
    <m/>
    <x v="1"/>
    <s v="Simple"/>
    <m/>
    <x v="5"/>
    <m/>
    <m/>
    <m/>
    <m/>
    <m/>
    <m/>
    <x v="0"/>
    <x v="0"/>
    <s v="Completed"/>
    <s v="In Progress"/>
    <n v="12"/>
    <n v="12"/>
    <n v="2"/>
    <n v="14"/>
    <n v="0.9"/>
    <n v="0.8"/>
    <s v="PT In Test"/>
    <n v="13"/>
    <n v="1"/>
    <n v="0"/>
    <n v="0"/>
    <n v="14"/>
    <n v="1"/>
    <n v="0.9285714285714286"/>
    <s v="Bug:- 4491114(M)"/>
    <x v="41"/>
    <x v="5"/>
  </r>
  <r>
    <s v="DSP"/>
    <x v="102"/>
    <x v="102"/>
    <x v="10"/>
    <s v="[DSP – Core Solution Plan] Remove Shift/On‑Call Coverage Tile from SI Service Group."/>
    <n v="4437883"/>
    <s v="Aruna"/>
    <s v="Naveen Arunachalam"/>
    <x v="78"/>
    <x v="2"/>
    <s v="MDA related Cannot be automatable"/>
    <x v="21"/>
    <s v="Complex"/>
    <m/>
    <x v="3"/>
    <m/>
    <m/>
    <m/>
    <m/>
    <m/>
    <m/>
    <x v="0"/>
    <x v="0"/>
    <s v="Not Started"/>
    <s v="In Progress"/>
    <n v="36"/>
    <n v="10"/>
    <n v="3"/>
    <n v="13"/>
    <n v="0.8"/>
    <n v="0.8"/>
    <s v="UAT In Test"/>
    <n v="0"/>
    <n v="0"/>
    <n v="0"/>
    <n v="0"/>
    <n v="0"/>
    <n v="0"/>
    <n v="0"/>
    <m/>
    <x v="11"/>
    <x v="5"/>
  </r>
  <r>
    <s v="DSP"/>
    <x v="102"/>
    <x v="102"/>
    <x v="10"/>
    <s v="[DSP - Core Solution Plan] KDA Variance Analysis screen to be added under KDA in DSP Core Solution Plan for all SGs"/>
    <n v="4438162"/>
    <s v="Navya"/>
    <s v="Kalpana"/>
    <x v="77"/>
    <x v="1"/>
    <m/>
    <x v="1"/>
    <s v="Medium"/>
    <m/>
    <x v="6"/>
    <m/>
    <m/>
    <m/>
    <m/>
    <m/>
    <m/>
    <x v="0"/>
    <x v="0"/>
    <s v="Completed"/>
    <s v="Not Started"/>
    <n v="12"/>
    <n v="12"/>
    <n v="0"/>
    <n v="12"/>
    <n v="1"/>
    <n v="1"/>
    <s v="In Development"/>
    <n v="0"/>
    <n v="0"/>
    <n v="0"/>
    <n v="12"/>
    <n v="12"/>
    <n v="0"/>
    <n v="0"/>
    <m/>
    <x v="24"/>
    <x v="5"/>
  </r>
  <r>
    <s v="DSP"/>
    <x v="102"/>
    <x v="102"/>
    <x v="10"/>
    <s v="[DSP Core solution plan] SCC data to be displayed in DSP - AMS &gt; add to contingency slide"/>
    <n v="4448140"/>
    <s v="Gayatri"/>
    <s v="Veena"/>
    <x v="74"/>
    <x v="2"/>
    <s v="MDA related Cannot be automatable"/>
    <x v="2"/>
    <m/>
    <m/>
    <x v="3"/>
    <m/>
    <m/>
    <m/>
    <m/>
    <m/>
    <m/>
    <x v="0"/>
    <x v="0"/>
    <s v="Completed"/>
    <s v="Not Started"/>
    <n v="13"/>
    <n v="13"/>
    <n v="2"/>
    <n v="15"/>
    <n v="0.7"/>
    <n v="0.8"/>
    <s v="UAT In Test"/>
    <n v="15"/>
    <n v="0"/>
    <n v="0"/>
    <n v="0"/>
    <n v="15"/>
    <n v="1"/>
    <n v="1"/>
    <m/>
    <x v="41"/>
    <x v="5"/>
  </r>
  <r>
    <s v="GEN AI"/>
    <x v="104"/>
    <x v="104"/>
    <x v="10"/>
    <s v="[GEN AI - HSP] Prompts update for 14 categories based on SG wise in HSP."/>
    <n v="4423225"/>
    <s v="Sujana"/>
    <s v="Dinesh"/>
    <x v="81"/>
    <x v="2"/>
    <s v="Dynamic prompt related story"/>
    <x v="23"/>
    <m/>
    <m/>
    <x v="3"/>
    <m/>
    <m/>
    <m/>
    <m/>
    <m/>
    <m/>
    <x v="1"/>
    <x v="0"/>
    <s v="Not Started"/>
    <s v="Not Started"/>
    <m/>
    <m/>
    <m/>
    <m/>
    <m/>
    <m/>
    <s v="New"/>
    <n v="0"/>
    <n v="0"/>
    <n v="0"/>
    <n v="0"/>
    <n v="0"/>
    <n v="0"/>
    <n v="0"/>
    <m/>
    <x v="42"/>
    <x v="5"/>
  </r>
  <r>
    <s v="myISP Enhancements"/>
    <x v="12"/>
    <x v="12"/>
    <x v="10"/>
    <s v="As a myISP User, I want to view the definitions of the various &quot;Service &quot;on Hover in Service / Offerings section under DSP for AMS and SI SG so that acceptance criteria are achieved"/>
    <n v="4301401"/>
    <s v="Haritha"/>
    <s v="Vignesh"/>
    <x v="76"/>
    <x v="0"/>
    <s v="Validating tooltip of all 60 Service Offering- Sub-sections are not feasible"/>
    <x v="9"/>
    <s v="Complex"/>
    <m/>
    <x v="7"/>
    <m/>
    <m/>
    <m/>
    <m/>
    <m/>
    <m/>
    <x v="0"/>
    <x v="2"/>
    <s v="Not Started"/>
    <s v="In Progress"/>
    <n v="33"/>
    <m/>
    <m/>
    <m/>
    <m/>
    <m/>
    <s v="In Development"/>
    <n v="0"/>
    <n v="0"/>
    <n v="0"/>
    <n v="20"/>
    <n v="20"/>
    <n v="0"/>
    <n v="0"/>
    <m/>
    <x v="41"/>
    <x v="5"/>
  </r>
  <r>
    <s v="Review Agent"/>
    <x v="105"/>
    <x v="105"/>
    <x v="10"/>
    <s v="[SSA - SRA] - As a MyISP user, I want the Review Agent to be fully integrated into the SSA chat and obtain responses related to the Review Agent."/>
    <n v="4423914"/>
    <s v="Nayak"/>
    <s v="Santhwana"/>
    <x v="82"/>
    <x v="0"/>
    <s v="can't be fully automated as story contains LLM response validation"/>
    <x v="24"/>
    <s v="Complex"/>
    <n v="1"/>
    <x v="1"/>
    <m/>
    <m/>
    <m/>
    <m/>
    <m/>
    <m/>
    <x v="0"/>
    <x v="2"/>
    <s v="Completed"/>
    <s v="In Progress"/>
    <m/>
    <m/>
    <m/>
    <m/>
    <m/>
    <m/>
    <s v="Ready to Deploy"/>
    <n v="0"/>
    <n v="0"/>
    <n v="0"/>
    <n v="19"/>
    <n v="20"/>
    <n v="0"/>
    <n v="0"/>
    <m/>
    <x v="30"/>
    <x v="5"/>
  </r>
  <r>
    <s v="Review Agent"/>
    <x v="105"/>
    <x v="105"/>
    <x v="10"/>
    <s v="[SSA - SRA] - As a Solution Architect (SA) or Reviewer/Approver (RA) user, I want the Review Agent option to be visible and accessible in the SSA Agent Gallery based on my role."/>
    <n v="4426387"/>
    <s v="Nayak"/>
    <s v="Santhwana"/>
    <x v="82"/>
    <x v="0"/>
    <s v="can't be fully automated as story contains LLM response validation"/>
    <x v="24"/>
    <s v="Medium"/>
    <n v="1"/>
    <x v="1"/>
    <m/>
    <m/>
    <m/>
    <m/>
    <m/>
    <m/>
    <x v="0"/>
    <x v="2"/>
    <s v="Completed"/>
    <s v="Not Started"/>
    <m/>
    <m/>
    <m/>
    <m/>
    <m/>
    <m/>
    <s v="Ready to Deploy"/>
    <n v="0"/>
    <n v="0"/>
    <n v="0"/>
    <n v="15"/>
    <n v="15"/>
    <n v="0"/>
    <n v="0"/>
    <m/>
    <x v="30"/>
    <x v="5"/>
  </r>
  <r>
    <s v="Review Agent"/>
    <x v="105"/>
    <x v="105"/>
    <x v="10"/>
    <s v="[SSA - SRA] - As a MyISP user, I want Review Agent to appear as a selectable agent in the agent gallery and under prompt library agent dropdown."/>
    <n v="4270042"/>
    <s v="Pratik"/>
    <s v="Vignesh"/>
    <x v="83"/>
    <x v="0"/>
    <s v="Prompt related cannot be automated"/>
    <x v="24"/>
    <m/>
    <m/>
    <x v="2"/>
    <m/>
    <m/>
    <m/>
    <m/>
    <m/>
    <m/>
    <x v="0"/>
    <x v="0"/>
    <s v="Completed"/>
    <s v="Not Started"/>
    <m/>
    <m/>
    <m/>
    <m/>
    <m/>
    <m/>
    <s v="Active"/>
    <n v="0"/>
    <n v="0"/>
    <n v="0"/>
    <n v="8"/>
    <n v="8"/>
    <n v="0"/>
    <n v="0"/>
    <m/>
    <x v="30"/>
    <x v="5"/>
  </r>
  <r>
    <s v="Solution Super Agent"/>
    <x v="106"/>
    <x v="106"/>
    <x v="10"/>
    <s v="[Gen AI - SSA] - As a myISP User, I want to add the current release updates module‑wise in the What’s New section so that I can quickly understand recent enhancements without navigating external documentation."/>
    <n v="4447240"/>
    <s v="Prasanna"/>
    <s v="Sushmeta"/>
    <x v="84"/>
    <x v="1"/>
    <m/>
    <x v="1"/>
    <s v="Medium"/>
    <m/>
    <x v="2"/>
    <n v="5"/>
    <n v="4"/>
    <n v="5"/>
    <n v="5"/>
    <n v="0.4"/>
    <n v="0.8"/>
    <x v="0"/>
    <x v="2"/>
    <s v="Completed"/>
    <s v="Not Started"/>
    <n v="12"/>
    <n v="4"/>
    <n v="5"/>
    <n v="5"/>
    <n v="0.4"/>
    <n v="0.8"/>
    <s v="Active"/>
    <n v="0"/>
    <n v="0"/>
    <n v="0"/>
    <n v="5"/>
    <n v="5"/>
    <n v="0"/>
    <n v="0"/>
    <m/>
    <x v="30"/>
    <x v="5"/>
  </r>
  <r>
    <s v="Solution Super Agent"/>
    <x v="107"/>
    <x v="107"/>
    <x v="10"/>
    <s v="[Gen AI - SSA] - As a MyISP user, I want to add allow user modification toggle switch in the 'Add Prompt' / 'Edit Prompt' popup that controls whether a prompt is auto-sent to the chat or placed in the chat input box for review."/>
    <n v="4432696"/>
    <s v="Haripriya"/>
    <s v="Naveen Arunachalam"/>
    <x v="85"/>
    <x v="0"/>
    <s v="Need Admin access to validate this story"/>
    <x v="24"/>
    <m/>
    <m/>
    <x v="2"/>
    <m/>
    <n v="3"/>
    <n v="7"/>
    <n v="7"/>
    <n v="0.6"/>
    <n v="0.7"/>
    <x v="0"/>
    <x v="1"/>
    <s v="Not Started"/>
    <s v="In Progress"/>
    <n v="47"/>
    <n v="37"/>
    <n v="3"/>
    <n v="11"/>
    <n v="0.93"/>
    <n v="0.93"/>
    <s v="Awaiting UAT deployment"/>
    <n v="10"/>
    <n v="1"/>
    <n v="0"/>
    <n v="0"/>
    <n v="11"/>
    <n v="1"/>
    <n v="0.90909090909090906"/>
    <s v="4476334-L"/>
    <x v="30"/>
    <x v="5"/>
  </r>
  <r>
    <s v="Solution Super Agent"/>
    <x v="108"/>
    <x v="108"/>
    <x v="10"/>
    <s v="[Gen AI - SSA] - As a myISP user, I should be able to view and play a “read aloud”  option for any SSA chat response so that I can listen to the content."/>
    <n v="4371942"/>
    <s v="Swati"/>
    <s v="Varadha"/>
    <x v="86"/>
    <x v="0"/>
    <s v="audio icon is present can be validated"/>
    <x v="1"/>
    <s v="Medium"/>
    <m/>
    <x v="6"/>
    <m/>
    <n v="5"/>
    <n v="5"/>
    <n v="5"/>
    <n v="0.5"/>
    <n v="0.5"/>
    <x v="0"/>
    <x v="0"/>
    <s v="Completed"/>
    <s v="In Progress"/>
    <n v="44"/>
    <n v="31"/>
    <n v="1"/>
    <n v="32"/>
    <n v="0.95"/>
    <n v="0.95"/>
    <s v="Awaiting UAT deployment"/>
    <n v="32"/>
    <n v="0"/>
    <n v="0"/>
    <n v="0"/>
    <n v="32"/>
    <n v="1"/>
    <n v="1"/>
    <s v="Awaiting UAT deployment"/>
    <x v="30"/>
    <x v="5"/>
  </r>
  <r>
    <s v="SSA"/>
    <x v="109"/>
    <x v="109"/>
    <x v="10"/>
    <s v="[GenAI-SSA] As a SSA Product Owner I want a fortnightly email with a summary of all PII reports submitted via SSA chat or module-based forms in the last 14 days So that I can review and action reported PII issues within the governance SLA"/>
    <n v="4446393"/>
    <s v="Haripriya"/>
    <s v="Naveen Arunachalam"/>
    <x v="85"/>
    <x v="0"/>
    <s v="Email validation"/>
    <x v="0"/>
    <m/>
    <m/>
    <x v="2"/>
    <m/>
    <n v="4"/>
    <n v="5"/>
    <n v="5"/>
    <n v="0.4"/>
    <n v="0.8"/>
    <x v="3"/>
    <x v="1"/>
    <s v="Not Started"/>
    <s v="Not Started"/>
    <n v="57"/>
    <n v="27"/>
    <n v="3"/>
    <n v="9"/>
    <n v="0.7"/>
    <n v="0.7"/>
    <s v="Ready to Deploy"/>
    <n v="0"/>
    <n v="0"/>
    <n v="0"/>
    <n v="6"/>
    <n v="6"/>
    <n v="0"/>
    <n v="0"/>
    <m/>
    <x v="30"/>
    <x v="5"/>
  </r>
  <r>
    <s v="SSA"/>
    <x v="109"/>
    <x v="109"/>
    <x v="10"/>
    <s v="[GenAI-SSA] As a myISP Product Owner I want an Excel attachment with the PII summary in each fortnightly email and report statuses auto-updated to &quot;Under Review&quot; So that I have an offline audit record and the system tracks pending reviews"/>
    <n v="4446799"/>
    <s v="Haripriya"/>
    <s v="Naveen Arunachalam"/>
    <x v="85"/>
    <x v="0"/>
    <s v="Email validation"/>
    <x v="0"/>
    <m/>
    <m/>
    <x v="2"/>
    <m/>
    <n v="5"/>
    <n v="5"/>
    <n v="5"/>
    <n v="0.45"/>
    <n v="0.65"/>
    <x v="3"/>
    <x v="1"/>
    <s v="Not Started"/>
    <s v="Not Started"/>
    <n v="41"/>
    <n v="21"/>
    <n v="2"/>
    <n v="9"/>
    <n v="0.5"/>
    <n v="0.5"/>
    <s v="Active"/>
    <n v="0"/>
    <n v="0"/>
    <n v="0"/>
    <n v="9"/>
    <n v="9"/>
    <n v="0"/>
    <n v="0"/>
    <m/>
    <x v="30"/>
    <x v="5"/>
  </r>
  <r>
    <s v="SSA"/>
    <x v="110"/>
    <x v="110"/>
    <x v="10"/>
    <s v="[GenAI-SSA] As a myISP SSA user I want telemetry captured automatically when I invoke an action-based prompt via SSA So that action usage patterns can be analysed to drive data-informed improvements to the SSA experience"/>
    <n v="4447233"/>
    <s v="Santhwana"/>
    <s v="Nayak"/>
    <x v="87"/>
    <x v="1"/>
    <s v="Automation is partially feasible because the UI functionality can be automated, but validation of telemetry requires access to network/API payloads, which is not supported in the current Robot Framework setup without additional tools or enhancements."/>
    <x v="24"/>
    <s v="Complex"/>
    <m/>
    <x v="12"/>
    <n v="1"/>
    <n v="4"/>
    <n v="7"/>
    <n v="7"/>
    <n v="0.5"/>
    <n v="0.7"/>
    <x v="0"/>
    <x v="0"/>
    <s v="Completed"/>
    <s v="In Progress"/>
    <n v="22"/>
    <n v="0"/>
    <n v="9"/>
    <n v="9"/>
    <n v="0.1"/>
    <n v="0.05"/>
    <s v="Awaiting UAT deployment"/>
    <n v="7"/>
    <n v="1"/>
    <n v="0"/>
    <n v="1"/>
    <n v="9"/>
    <n v="0.88888888888888884"/>
    <n v="0.875"/>
    <m/>
    <x v="30"/>
    <x v="5"/>
  </r>
  <r>
    <s v="SSA"/>
    <x v="111"/>
    <x v="111"/>
    <x v="10"/>
    <s v="[GenAI-SSA] As a SSA user I want to attach a document in the Edit Prompt pop-up and extract its content into the Instruction and Query fields So that I can author prompts from existing documents without manual copy-paste"/>
    <n v="4447237"/>
    <s v="Prasanna"/>
    <s v="Sushmeta"/>
    <x v="84"/>
    <x v="0"/>
    <s v="Related to Prompt Extact and Modify cant be automated"/>
    <x v="24"/>
    <s v="Complex"/>
    <m/>
    <x v="2"/>
    <n v="14"/>
    <n v="3"/>
    <n v="7"/>
    <n v="7"/>
    <n v="0.6"/>
    <n v="0.7"/>
    <x v="0"/>
    <x v="2"/>
    <s v="Completed"/>
    <s v="In Progress"/>
    <n v="15"/>
    <n v="3"/>
    <n v="7"/>
    <n v="7"/>
    <n v="0.6"/>
    <n v="0.7"/>
    <s v="PT In Test"/>
    <n v="2"/>
    <n v="0"/>
    <n v="0"/>
    <n v="5"/>
    <n v="7"/>
    <n v="0.2857142857142857"/>
    <n v="1"/>
    <m/>
    <x v="30"/>
    <x v="5"/>
  </r>
  <r>
    <s v="SSA"/>
    <x v="108"/>
    <x v="108"/>
    <x v="10"/>
    <s v="[GenAI-SSA] As an SSA user I want to copy prompt by clicking a copy icon displayed beneath each prompt So that I can quickly reuse, share, or modify prompts without manually selecting and copying text"/>
    <n v="4446825"/>
    <s v="Prasanna"/>
    <s v="Sushmeta"/>
    <x v="84"/>
    <x v="1"/>
    <m/>
    <x v="1"/>
    <s v="Medium"/>
    <m/>
    <x v="2"/>
    <n v="15"/>
    <n v="5"/>
    <n v="5"/>
    <n v="5"/>
    <n v="0.5"/>
    <n v="0.5"/>
    <x v="0"/>
    <x v="2"/>
    <s v="Completed"/>
    <s v="In Progress"/>
    <n v="15"/>
    <n v="5"/>
    <n v="5"/>
    <n v="5"/>
    <n v="0.5"/>
    <n v="0.5"/>
    <s v="PT In Test"/>
    <n v="2"/>
    <n v="0"/>
    <n v="0"/>
    <n v="3"/>
    <n v="5"/>
    <n v="0.4"/>
    <n v="1"/>
    <m/>
    <x v="30"/>
    <x v="5"/>
  </r>
  <r>
    <s v="Gen AI"/>
    <x v="112"/>
    <x v="112"/>
    <x v="10"/>
    <s v="[Gen AI - SSA] - Create persona-based RFP synthesis"/>
    <n v="4450301"/>
    <s v="Santhwana"/>
    <s v="Nayak"/>
    <x v="87"/>
    <x v="0"/>
    <s v="Not suitable for automation due to persona-conditioned GenAI output being non-deterministic and requiring human validation"/>
    <x v="24"/>
    <s v="Complex"/>
    <m/>
    <x v="1"/>
    <n v="1"/>
    <n v="4"/>
    <n v="5"/>
    <n v="5"/>
    <n v="0.4"/>
    <n v="0.8"/>
    <x v="0"/>
    <x v="0"/>
    <s v="Completed"/>
    <s v="Not Started"/>
    <n v="28"/>
    <n v="0"/>
    <n v="15"/>
    <n v="15"/>
    <n v="0.1"/>
    <n v="0.05"/>
    <s v="Active"/>
    <n v="0"/>
    <n v="0"/>
    <n v="0"/>
    <n v="15"/>
    <n v="15"/>
    <n v="0"/>
    <n v="0"/>
    <m/>
    <x v="30"/>
    <x v="5"/>
  </r>
  <r>
    <s v="Gen AI"/>
    <x v="112"/>
    <x v="112"/>
    <x v="10"/>
    <s v="[Gen AI - SSA] - View existing RFP synthesis versions"/>
    <n v="4450302"/>
    <s v="Santhwana"/>
    <s v="Nayak"/>
    <x v="87"/>
    <x v="0"/>
    <s v="UI flow and persona selection can be automated, but validation of AI-generated persona-based output is non-deterministic and requires manual or heuristic validation."/>
    <x v="1"/>
    <s v="Complex"/>
    <m/>
    <x v="1"/>
    <n v="1"/>
    <n v="0"/>
    <n v="1"/>
    <n v="1"/>
    <n v="0.05"/>
    <n v="0.02"/>
    <x v="0"/>
    <x v="0"/>
    <s v="Completed"/>
    <s v="Not Started"/>
    <n v="35"/>
    <n v="0"/>
    <n v="12"/>
    <n v="12"/>
    <n v="0.1"/>
    <n v="0.05"/>
    <s v="Ready to Deploy"/>
    <n v="0"/>
    <n v="0"/>
    <n v="0"/>
    <n v="12"/>
    <n v="12"/>
    <n v="0"/>
    <n v="0"/>
    <m/>
    <x v="30"/>
    <x v="5"/>
  </r>
  <r>
    <s v="Gen AI"/>
    <x v="112"/>
    <x v="112"/>
    <x v="10"/>
    <s v="[Gen AI - SSA] - Compare two RFP synthesis versions"/>
    <n v="4450306"/>
    <s v="Komal"/>
    <s v="Narmatha"/>
    <x v="88"/>
    <x v="0"/>
    <s v="Prompt related story not feasible to automate"/>
    <x v="24"/>
    <m/>
    <m/>
    <x v="1"/>
    <n v="28"/>
    <m/>
    <m/>
    <m/>
    <m/>
    <m/>
    <x v="0"/>
    <x v="0"/>
    <s v="Not Started"/>
    <s v="Not Started"/>
    <m/>
    <m/>
    <m/>
    <m/>
    <m/>
    <m/>
    <s v="Active"/>
    <n v="0"/>
    <n v="0"/>
    <n v="0"/>
    <n v="28"/>
    <n v="28"/>
    <n v="0"/>
    <n v="0"/>
    <m/>
    <x v="30"/>
    <x v="5"/>
  </r>
  <r>
    <s v="Gen AI"/>
    <x v="112"/>
    <x v="112"/>
    <x v="10"/>
    <s v="[Gen AI - SSA] - Prefill &quot;What are we solving&quot; from synthesis"/>
    <n v="4450307"/>
    <s v="Komal"/>
    <s v="Narmatha"/>
    <x v="88"/>
    <x v="0"/>
    <s v="Prompt related story not feasible to automate"/>
    <x v="24"/>
    <m/>
    <m/>
    <x v="1"/>
    <n v="33"/>
    <m/>
    <m/>
    <m/>
    <m/>
    <m/>
    <x v="0"/>
    <x v="0"/>
    <s v="Not Started"/>
    <s v="Not Started"/>
    <m/>
    <m/>
    <m/>
    <m/>
    <m/>
    <m/>
    <s v="New"/>
    <n v="0"/>
    <n v="0"/>
    <n v="0"/>
    <n v="33"/>
    <n v="33"/>
    <n v="0"/>
    <n v="0"/>
    <m/>
    <x v="30"/>
    <x v="5"/>
  </r>
  <r>
    <s v="Gen AI"/>
    <x v="113"/>
    <x v="113"/>
    <x v="10"/>
    <s v="[Gen AI - SSA] - Create DLC from RFP synthesis"/>
    <n v="4450310"/>
    <s v="Komal"/>
    <s v="Narmatha"/>
    <x v="88"/>
    <x v="0"/>
    <s v="Prompt related story not feasible to automate"/>
    <x v="24"/>
    <m/>
    <m/>
    <x v="1"/>
    <n v="29"/>
    <m/>
    <m/>
    <m/>
    <m/>
    <m/>
    <x v="0"/>
    <x v="0"/>
    <s v="Not Started"/>
    <s v="Not Started"/>
    <m/>
    <m/>
    <m/>
    <m/>
    <m/>
    <m/>
    <s v="Active"/>
    <n v="0"/>
    <n v="0"/>
    <n v="0"/>
    <n v="29"/>
    <n v="29"/>
    <n v="0"/>
    <n v="0"/>
    <m/>
    <x v="30"/>
    <x v="5"/>
  </r>
  <r>
    <s v="Gen AI"/>
    <x v="113"/>
    <x v="113"/>
    <x v="10"/>
    <s v="[Gen AI - SSA] - Create DLC from Digital Solution Plan (DSP)"/>
    <n v="4450311"/>
    <s v="Komal"/>
    <s v="Narmatha"/>
    <x v="88"/>
    <x v="0"/>
    <s v="Prompt related story not feasible to automate"/>
    <x v="24"/>
    <m/>
    <m/>
    <x v="1"/>
    <n v="30"/>
    <m/>
    <m/>
    <m/>
    <m/>
    <m/>
    <x v="0"/>
    <x v="0"/>
    <s v="Not Started"/>
    <s v="Not Started"/>
    <m/>
    <m/>
    <m/>
    <m/>
    <m/>
    <m/>
    <s v="Active"/>
    <n v="0"/>
    <n v="0"/>
    <n v="0"/>
    <n v="30"/>
    <n v="30"/>
    <n v="0"/>
    <n v="0"/>
    <m/>
    <x v="30"/>
    <x v="5"/>
  </r>
  <r>
    <s v="Gen AI"/>
    <x v="113"/>
    <x v="113"/>
    <x v="10"/>
    <s v="[Gen AI - SSA] - DLC version listing with metadata-rich access"/>
    <n v="4450313"/>
    <s v="Komal"/>
    <s v="Narmatha"/>
    <x v="88"/>
    <x v="0"/>
    <s v="Prompt related story not feasible to automate"/>
    <x v="24"/>
    <m/>
    <m/>
    <x v="1"/>
    <n v="30"/>
    <m/>
    <m/>
    <m/>
    <m/>
    <m/>
    <x v="0"/>
    <x v="0"/>
    <s v="Not Started"/>
    <s v="Not Started"/>
    <m/>
    <m/>
    <m/>
    <m/>
    <m/>
    <m/>
    <s v="Ready to Deploy"/>
    <n v="0"/>
    <n v="0"/>
    <n v="0"/>
    <n v="30"/>
    <n v="30"/>
    <n v="0"/>
    <n v="0"/>
    <m/>
    <x v="30"/>
    <x v="5"/>
  </r>
  <r>
    <s v="Gen AI"/>
    <x v="112"/>
    <x v="112"/>
    <x v="10"/>
    <s v="[Gen AI - SSA] -Upload RFP documents for an opportunity"/>
    <n v="4434702"/>
    <s v="Haripriya"/>
    <s v="Naveen Arunachalam"/>
    <x v="85"/>
    <x v="0"/>
    <s v="Prompt related story not feasible to automate"/>
    <x v="24"/>
    <m/>
    <m/>
    <x v="7"/>
    <m/>
    <m/>
    <m/>
    <m/>
    <m/>
    <m/>
    <x v="3"/>
    <x v="1"/>
    <s v="Not Started"/>
    <s v="Not Started"/>
    <n v="43"/>
    <m/>
    <m/>
    <m/>
    <m/>
    <m/>
    <s v="Ready to Deploy"/>
    <n v="0"/>
    <n v="0"/>
    <n v="0"/>
    <n v="6"/>
    <n v="6"/>
    <n v="0"/>
    <n v="0"/>
    <m/>
    <x v="30"/>
    <x v="5"/>
  </r>
  <r>
    <s v="Gen AI"/>
    <x v="112"/>
    <x v="112"/>
    <x v="10"/>
    <s v="[Gen AI - SSA] - Create RFP synthesis from uploaded documents"/>
    <n v="4434707"/>
    <s v="Haripriya"/>
    <s v="Naveen Arunachalam"/>
    <x v="85"/>
    <x v="0"/>
    <s v="Prompt related story not feasible to automate"/>
    <x v="24"/>
    <m/>
    <m/>
    <x v="7"/>
    <m/>
    <m/>
    <m/>
    <m/>
    <m/>
    <m/>
    <x v="3"/>
    <x v="1"/>
    <s v="Not Started"/>
    <s v="Not Started"/>
    <n v="47"/>
    <m/>
    <m/>
    <m/>
    <m/>
    <m/>
    <s v="Active"/>
    <n v="0"/>
    <n v="0"/>
    <n v="0"/>
    <n v="0"/>
    <n v="0"/>
    <n v="0"/>
    <n v="0"/>
    <m/>
    <x v="30"/>
    <x v="5"/>
  </r>
  <r>
    <s v="DSP"/>
    <x v="102"/>
    <x v="102"/>
    <x v="10"/>
    <s v="[DSP - Core Solution Plan] Transition Solution  in Downloaded PPT/PDF Note should be shown - BPMS Sg."/>
    <n v="4464868"/>
    <s v="Prasanna"/>
    <m/>
    <x v="84"/>
    <x v="0"/>
    <s v="Download PPT/PDF Related cant be automated "/>
    <x v="18"/>
    <s v="Medium"/>
    <m/>
    <x v="2"/>
    <n v="12"/>
    <n v="4"/>
    <n v="5"/>
    <n v="5"/>
    <n v="0.4"/>
    <n v="0.8"/>
    <x v="0"/>
    <x v="2"/>
    <s v="Completed"/>
    <s v="Completed"/>
    <n v="12"/>
    <n v="4"/>
    <n v="5"/>
    <n v="5"/>
    <n v="0.4"/>
    <n v="0.8"/>
    <s v="Ready for UAT"/>
    <n v="5"/>
    <n v="0"/>
    <n v="0"/>
    <n v="0"/>
    <n v="5"/>
    <n v="1"/>
    <n v="1"/>
    <m/>
    <x v="41"/>
    <x v="5"/>
  </r>
  <r>
    <s v="DSP"/>
    <x v="102"/>
    <x v="102"/>
    <x v="10"/>
    <s v="[DSP - Core Solution Plan] Tech for Ops Solution Details  in Downloaded PPT/PDF Note should be shown - BPMS Sg."/>
    <n v="4464722"/>
    <s v="Prasanna"/>
    <m/>
    <x v="84"/>
    <x v="0"/>
    <s v="Download PPT/PDF Related cant be automated "/>
    <x v="18"/>
    <s v="Medium"/>
    <m/>
    <x v="6"/>
    <n v="13"/>
    <n v="5"/>
    <n v="5"/>
    <n v="5"/>
    <n v="0.45"/>
    <n v="0.65"/>
    <x v="0"/>
    <x v="2"/>
    <s v="Completed"/>
    <s v="Completed"/>
    <n v="13"/>
    <n v="5"/>
    <n v="5"/>
    <n v="5"/>
    <n v="0.45"/>
    <n v="0.65"/>
    <s v="Ready for UAT"/>
    <n v="5"/>
    <n v="0"/>
    <n v="0"/>
    <n v="0"/>
    <n v="5"/>
    <n v="1"/>
    <n v="1"/>
    <m/>
    <x v="41"/>
    <x v="5"/>
  </r>
  <r>
    <s v="DSP"/>
    <x v="102"/>
    <x v="102"/>
    <x v="10"/>
    <s v="[DSP - Core Solution Plan] Transition Solution will be enable for Mobilization CXTA users -BPMS sg."/>
    <n v="4464417"/>
    <s v="Prasanna"/>
    <m/>
    <x v="84"/>
    <x v="1"/>
    <m/>
    <x v="1"/>
    <s v="Medium"/>
    <m/>
    <x v="6"/>
    <n v="12"/>
    <n v="4"/>
    <n v="7"/>
    <n v="7"/>
    <n v="0.5"/>
    <n v="0.7"/>
    <x v="0"/>
    <x v="2"/>
    <s v="Completed"/>
    <s v="Completed"/>
    <n v="12"/>
    <n v="4"/>
    <n v="7"/>
    <n v="7"/>
    <n v="0.5"/>
    <n v="0.7"/>
    <s v="PT In Test"/>
    <n v="7"/>
    <n v="0"/>
    <n v="0"/>
    <n v="0"/>
    <n v="7"/>
    <n v="1"/>
    <n v="1"/>
    <m/>
    <x v="24"/>
    <x v="5"/>
  </r>
  <r>
    <s v="DSP"/>
    <x v="102"/>
    <x v="102"/>
    <x v="10"/>
    <s v="[DSP - Core Solution Plan] Tech for Ops Solution Details  should be enabled for tech ops users - BPMS Sg."/>
    <n v="4464354"/>
    <s v="Gayatri"/>
    <m/>
    <x v="74"/>
    <x v="1"/>
    <m/>
    <x v="1"/>
    <s v="Complex"/>
    <m/>
    <x v="5"/>
    <m/>
    <m/>
    <m/>
    <m/>
    <m/>
    <m/>
    <x v="0"/>
    <x v="0"/>
    <s v="Completed"/>
    <s v="Not Started"/>
    <n v="12"/>
    <n v="12"/>
    <n v="2"/>
    <n v="14"/>
    <n v="0.9"/>
    <n v="0.8"/>
    <s v="PT In Test"/>
    <n v="8"/>
    <n v="0"/>
    <n v="0"/>
    <n v="6"/>
    <n v="14"/>
    <n v="0.5714285714285714"/>
    <n v="1"/>
    <m/>
    <x v="24"/>
    <x v="5"/>
  </r>
  <r>
    <s v="DSP"/>
    <x v="102"/>
    <x v="102"/>
    <x v="10"/>
    <s v="[DSP - Core Solution Plan]Core solution detail -&gt; Sending location table and graph should be removed from both UI and PPT for BPMS sg."/>
    <n v="4463667"/>
    <s v="Aruna"/>
    <m/>
    <x v="78"/>
    <x v="2"/>
    <s v="Removed screen cannot be validated  as there is no x-path"/>
    <x v="19"/>
    <m/>
    <m/>
    <x v="3"/>
    <m/>
    <m/>
    <m/>
    <m/>
    <m/>
    <m/>
    <x v="0"/>
    <x v="1"/>
    <s v="Not Started"/>
    <s v="In Progress"/>
    <m/>
    <m/>
    <m/>
    <m/>
    <m/>
    <m/>
    <s v="PT In Test"/>
    <n v="0"/>
    <n v="0"/>
    <n v="0"/>
    <n v="0"/>
    <n v="0"/>
    <n v="0"/>
    <n v="0"/>
    <m/>
    <x v="11"/>
    <x v="5"/>
  </r>
  <r>
    <s v="DSP"/>
    <x v="102"/>
    <x v="102"/>
    <x v="10"/>
    <s v="[DSP - Core Solution Plan]Technology &amp; Archetype Slide in downloaded PPT should be removed for BPMS sg."/>
    <n v="4463666"/>
    <s v="Naveen Arunachalam"/>
    <s v="Haripriya"/>
    <x v="80"/>
    <x v="0"/>
    <s v="PPT/PDF related story so can't be automate"/>
    <x v="1"/>
    <m/>
    <m/>
    <x v="6"/>
    <m/>
    <m/>
    <m/>
    <m/>
    <m/>
    <m/>
    <x v="0"/>
    <x v="1"/>
    <s v="Not Started"/>
    <s v="In Progress"/>
    <m/>
    <m/>
    <m/>
    <m/>
    <m/>
    <m/>
    <s v="PT In Test"/>
    <n v="1"/>
    <n v="0"/>
    <n v="0"/>
    <n v="3"/>
    <n v="4"/>
    <n v="0.25"/>
    <n v="1"/>
    <m/>
    <x v="41"/>
    <x v="5"/>
  </r>
  <r>
    <s v="DSP"/>
    <x v="102"/>
    <x v="102"/>
    <x v="10"/>
    <s v="[DSP - Core Solution Plan]TFO Governance should replaced under Tech ops solution Details - for BPMS sg only."/>
    <n v="4463665"/>
    <s v="Naveen Arunachalam"/>
    <s v="Haripriya"/>
    <x v="80"/>
    <x v="1"/>
    <m/>
    <x v="1"/>
    <m/>
    <m/>
    <x v="6"/>
    <m/>
    <m/>
    <m/>
    <m/>
    <m/>
    <m/>
    <x v="0"/>
    <x v="1"/>
    <s v="Not Started"/>
    <s v="In Progress"/>
    <m/>
    <m/>
    <m/>
    <m/>
    <m/>
    <m/>
    <s v="In Development"/>
    <n v="1"/>
    <n v="0"/>
    <n v="0"/>
    <n v="2"/>
    <n v="3"/>
    <n v="0.33333333333333331"/>
    <n v="1"/>
    <m/>
    <x v="24"/>
    <x v="5"/>
  </r>
  <r>
    <s v="CDAT"/>
    <x v="114"/>
    <x v="114"/>
    <x v="11"/>
    <s v="As a myISP user, I want the assessment output to be downloaded in both Excel and Word format, so that I can analyze nudge data, findings, gap analysis, and document processing status"/>
    <n v="4429175"/>
    <s v="Narmatha"/>
    <s v="Komal"/>
    <x v="89"/>
    <x v="2"/>
    <s v="This involves response generation for  200+ nudges. And first response generation will take upto 10-30 mins and sometimes 40 mins. So not feasible for automation"/>
    <x v="25"/>
    <m/>
    <m/>
    <x v="3"/>
    <m/>
    <m/>
    <m/>
    <m/>
    <m/>
    <m/>
    <x v="3"/>
    <x v="0"/>
    <s v="Not Started"/>
    <s v="In Progress"/>
    <m/>
    <m/>
    <m/>
    <m/>
    <m/>
    <m/>
    <s v="PT In Test"/>
    <n v="0"/>
    <n v="1"/>
    <n v="0"/>
    <n v="9"/>
    <n v="10"/>
    <n v="0.1"/>
    <n v="0"/>
    <s v="4486036(L)"/>
    <x v="43"/>
    <x v="16"/>
  </r>
  <r>
    <s v="CDAT"/>
    <x v="114"/>
    <x v="114"/>
    <x v="11"/>
    <s v="As a myISP user, I want the same integration icon that exists at Level 1 nudges to be available at the Level 2 nudge level. So that I can selectively export gap data for each Level 2 nudge individually with the same behavior"/>
    <n v="4431480"/>
    <s v="Narmatha"/>
    <s v="Komal"/>
    <x v="89"/>
    <x v="2"/>
    <s v="This involves 200+ nudges response generation and validating in CDAT platform"/>
    <x v="25"/>
    <m/>
    <m/>
    <x v="3"/>
    <m/>
    <m/>
    <m/>
    <m/>
    <m/>
    <m/>
    <x v="3"/>
    <x v="0"/>
    <s v="Not Started"/>
    <s v="In Progress"/>
    <m/>
    <m/>
    <m/>
    <m/>
    <m/>
    <m/>
    <s v="PT In Test"/>
    <n v="0"/>
    <n v="0"/>
    <n v="0"/>
    <n v="12"/>
    <n v="12"/>
    <n v="0"/>
    <n v="0"/>
    <m/>
    <x v="43"/>
    <x v="16"/>
  </r>
  <r>
    <s v="CDAT"/>
    <x v="114"/>
    <x v="114"/>
    <x v="11"/>
    <s v="As a myISP user, I want to refine existing AI prompts and add additional validation activities So that the quality, accuracy, and consistency of AI‑generated responses are improved across the platform."/>
    <n v="4432575"/>
    <s v="Narmatha"/>
    <s v="Komal"/>
    <x v="89"/>
    <x v="2"/>
    <s v="This involves response generation for  200+ nudges with updated prompts. And first response generation will take upto 10-30 mins and sometimes 40 mins. So not feasible for automation"/>
    <x v="25"/>
    <m/>
    <m/>
    <x v="3"/>
    <m/>
    <m/>
    <m/>
    <m/>
    <m/>
    <m/>
    <x v="3"/>
    <x v="0"/>
    <s v="Not Started"/>
    <s v="In Progress"/>
    <m/>
    <m/>
    <m/>
    <m/>
    <m/>
    <m/>
    <s v="PT In Test"/>
    <n v="0"/>
    <n v="0"/>
    <n v="0"/>
    <n v="0"/>
    <n v="0"/>
    <n v="0"/>
    <n v="0"/>
    <m/>
    <x v="43"/>
    <x v="16"/>
  </r>
  <r>
    <s v="CDAT"/>
    <x v="115"/>
    <x v="115"/>
    <x v="11"/>
    <s v="As a myISP user, I want to receive an email notification when my GenAI response is generated for the first time, So that I can know the response generation status along with nudge details and document processing outcomes."/>
    <n v="4443430"/>
    <s v="Harshitha"/>
    <s v="pavithra"/>
    <x v="79"/>
    <x v="2"/>
    <s v="This involves response generation for  200+ nudges. And first response generation will take upto 10-30 mins and sometimes 40 mins. And for every response email validation is there hence its not feasible to automate"/>
    <x v="25"/>
    <s v="Complex"/>
    <m/>
    <x v="0"/>
    <m/>
    <m/>
    <m/>
    <m/>
    <m/>
    <m/>
    <x v="0"/>
    <x v="0"/>
    <s v="Completed"/>
    <s v="In Progress"/>
    <m/>
    <m/>
    <m/>
    <m/>
    <m/>
    <m/>
    <s v="PT In Test"/>
    <n v="3"/>
    <n v="0"/>
    <n v="0"/>
    <n v="8"/>
    <n v="11"/>
    <n v="0.27272727272727271"/>
    <n v="1"/>
    <m/>
    <x v="43"/>
    <x v="16"/>
  </r>
  <r>
    <s v="Deal Level Canvas"/>
    <x v="116"/>
    <x v="116"/>
    <x v="11"/>
    <s v="[SSA - DLC] - As a MyISP user, I want only the applicable service groups for the selected opportunity to be displayed or enabled."/>
    <n v="4439465"/>
    <s v="Sujana"/>
    <s v="Dinesh"/>
    <x v="81"/>
    <x v="1"/>
    <m/>
    <x v="1"/>
    <m/>
    <m/>
    <x v="13"/>
    <m/>
    <m/>
    <m/>
    <m/>
    <m/>
    <m/>
    <x v="0"/>
    <x v="0"/>
    <s v="In Progress"/>
    <s v="Completed"/>
    <n v="25"/>
    <n v="5"/>
    <n v="3"/>
    <n v="8"/>
    <n v="0.35"/>
    <n v="0.25"/>
    <s v="Awaiting UAT deployment"/>
    <n v="0"/>
    <n v="2"/>
    <n v="0"/>
    <n v="0"/>
    <n v="2"/>
    <n v="1"/>
    <n v="0"/>
    <m/>
    <x v="44"/>
    <x v="16"/>
  </r>
  <r>
    <s v="Gen AI"/>
    <x v="117"/>
    <x v="117"/>
    <x v="11"/>
    <s v="[GEN AI - Opportunity Benchmark] - LLM - Enhancing the LLM inputs for OBM Opportunity Cost"/>
    <n v="4445162"/>
    <s v="Swati"/>
    <s v="Varadha"/>
    <x v="86"/>
    <x v="2"/>
    <s v="includes response generation-LLM related"/>
    <x v="25"/>
    <m/>
    <m/>
    <x v="3"/>
    <m/>
    <m/>
    <m/>
    <m/>
    <m/>
    <m/>
    <x v="3"/>
    <x v="0"/>
    <s v="Not Started"/>
    <s v="Not Started"/>
    <m/>
    <m/>
    <m/>
    <m/>
    <m/>
    <m/>
    <s v="Active"/>
    <n v="0"/>
    <n v="0"/>
    <n v="0"/>
    <n v="0"/>
    <n v="0"/>
    <n v="0"/>
    <n v="0"/>
    <m/>
    <x v="45"/>
    <x v="16"/>
  </r>
  <r>
    <s v="Gen AI"/>
    <x v="118"/>
    <x v="118"/>
    <x v="11"/>
    <s v="As a Solution Architect I want &quot;Others&quot; to be available as a selectable technology in the SI service group technology popup with the DSP-populated Primary Technology&amp;Archetype values visible on the landing page So that I can work on S2C contract content."/>
    <n v="4438308"/>
    <s v="Varadha"/>
    <s v="Swati"/>
    <x v="90"/>
    <x v="0"/>
    <s v="includes response generation-LLM related and includes 80+ nudges where automation is not feasible"/>
    <x v="26"/>
    <s v="Complex"/>
    <m/>
    <x v="1"/>
    <m/>
    <m/>
    <m/>
    <m/>
    <m/>
    <m/>
    <x v="0"/>
    <x v="0"/>
    <s v="Completed"/>
    <s v="In Progress"/>
    <n v="30"/>
    <n v="23"/>
    <n v="0"/>
    <n v="23"/>
    <n v="0.8"/>
    <n v="0.8"/>
    <s v="PT In Test"/>
    <n v="0"/>
    <n v="0"/>
    <n v="0"/>
    <n v="23"/>
    <n v="23"/>
    <n v="0"/>
    <n v="0"/>
    <m/>
    <x v="46"/>
    <x v="16"/>
  </r>
  <r>
    <s v="Gen AI"/>
    <x v="118"/>
    <x v="118"/>
    <x v="11"/>
    <s v="As a Solution Architect on an Others deal mapped by DSP to Data AI / Data Migration, I want the system to show the correct PLS  when I open Predefined Legal Suggestions, So that I get legal definitions tailored to Data AI / Data Migration."/>
    <n v="4438326"/>
    <s v="Varadha"/>
    <s v="Swati"/>
    <x v="90"/>
    <x v="0"/>
    <s v="includes response generation-LLM related and includes 80+ nudges where automation is not feasible"/>
    <x v="26"/>
    <s v="Complex"/>
    <m/>
    <x v="1"/>
    <m/>
    <m/>
    <m/>
    <m/>
    <m/>
    <m/>
    <x v="0"/>
    <x v="0"/>
    <s v="Completed"/>
    <s v="In Progress"/>
    <n v="40"/>
    <n v="37"/>
    <n v="0"/>
    <n v="37"/>
    <n v="0.8"/>
    <n v="0.7"/>
    <s v="PT In Test"/>
    <n v="0"/>
    <n v="0"/>
    <n v="0"/>
    <n v="37"/>
    <n v="37"/>
    <n v="0"/>
    <n v="0"/>
    <m/>
    <x v="46"/>
    <x v="16"/>
  </r>
  <r>
    <s v="Gen AI"/>
    <x v="118"/>
    <x v="118"/>
    <x v="11"/>
    <s v="As a SA working on an SI Others deal that does not match the Data AI + Data Migration, I want the system to show the Customised PLS Set B when I select “Predefined Legal Suggestions,” So that I always receive legally curated definitions"/>
    <n v="4438451"/>
    <s v="Veena"/>
    <s v="Gayatri"/>
    <x v="91"/>
    <x v="2"/>
    <s v="includes response generation-LLM related and includes 80+ nudges where automation is not feasible and word doc validation._x000a_And to download document all nudges should be generated with multiple technologies"/>
    <x v="25"/>
    <s v="Complex"/>
    <m/>
    <x v="3"/>
    <m/>
    <m/>
    <m/>
    <m/>
    <m/>
    <m/>
    <x v="0"/>
    <x v="2"/>
    <s v="Completed"/>
    <s v="Not Started"/>
    <n v="30"/>
    <n v="2"/>
    <n v="10"/>
    <n v="12"/>
    <n v="0.2"/>
    <n v="0.2"/>
    <s v="Active"/>
    <n v="0"/>
    <n v="0"/>
    <n v="0"/>
    <n v="12"/>
    <n v="12"/>
    <n v="0"/>
    <n v="0"/>
    <m/>
    <x v="46"/>
    <x v="16"/>
  </r>
  <r>
    <s v="GEN AI"/>
    <x v="119"/>
    <x v="119"/>
    <x v="11"/>
    <s v="[GEN AI - QDI] Integrate Method One API with QDI for Actionable Advice Retrieval"/>
    <n v="4435809"/>
    <s v="Swati"/>
    <s v="Varadha"/>
    <x v="86"/>
    <x v="2"/>
    <s v="API Testing involves"/>
    <x v="4"/>
    <m/>
    <m/>
    <x v="3"/>
    <m/>
    <m/>
    <m/>
    <m/>
    <m/>
    <m/>
    <x v="3"/>
    <x v="0"/>
    <s v="Not Started"/>
    <s v="Not Started"/>
    <m/>
    <m/>
    <m/>
    <m/>
    <m/>
    <m/>
    <s v="New"/>
    <n v="0"/>
    <n v="0"/>
    <n v="0"/>
    <n v="0"/>
    <n v="0"/>
    <n v="0"/>
    <n v="0"/>
    <m/>
    <x v="47"/>
    <x v="16"/>
  </r>
  <r>
    <s v="Gen AI"/>
    <x v="120"/>
    <x v="120"/>
    <x v="11"/>
    <s v="When a Nudge is configured with DSP mapping to read content from a file, the system should automatically then, the system should Identify the File Source , Read the File, Extract Relevant Data and Populate the Nudge"/>
    <n v="4319888"/>
    <s v="Veena"/>
    <s v="Gayatri"/>
    <x v="91"/>
    <x v="0"/>
    <s v="includes response generation-LLM related and includes 80+ nudges where automation is not feasiblet. we can check for one SG and few nudges"/>
    <x v="24"/>
    <s v="Complex"/>
    <m/>
    <x v="7"/>
    <m/>
    <m/>
    <m/>
    <m/>
    <m/>
    <m/>
    <x v="0"/>
    <x v="0"/>
    <s v="Completed"/>
    <s v="Not Started"/>
    <n v="8"/>
    <n v="3"/>
    <n v="6"/>
    <n v="9"/>
    <n v="0.3"/>
    <n v="0.6"/>
    <s v="Active"/>
    <n v="0"/>
    <n v="0"/>
    <n v="0"/>
    <n v="9"/>
    <n v="9"/>
    <n v="0"/>
    <n v="0"/>
    <m/>
    <x v="46"/>
    <x v="16"/>
  </r>
  <r>
    <s v="Gen AI"/>
    <x v="121"/>
    <x v="121"/>
    <x v="11"/>
    <s v="As a  SA I want S2C landing SG tiles to be enabled or disabled based on Security context and role So that Security deals are handled only by Security SA while keeping Reviewer access unchanged"/>
    <n v="4371674"/>
    <s v="Veena"/>
    <s v="Gayatri"/>
    <x v="91"/>
    <x v="2"/>
    <s v="Involves Multiple deal switching with Different RDE and RDE override combinations and we need to generate SWD document multiple tilmes which require lot of time for automation"/>
    <x v="9"/>
    <s v="Complex"/>
    <m/>
    <x v="3"/>
    <m/>
    <m/>
    <m/>
    <m/>
    <m/>
    <m/>
    <x v="0"/>
    <x v="0"/>
    <s v="Completed"/>
    <s v="In Progress"/>
    <n v="10"/>
    <n v="4"/>
    <n v="7"/>
    <n v="11"/>
    <n v="0.4"/>
    <n v="0.4"/>
    <s v="PT In Test"/>
    <n v="11"/>
    <n v="0"/>
    <n v="0"/>
    <n v="0"/>
    <n v="11"/>
    <n v="1"/>
    <n v="1"/>
    <s v="Awaiting UAT deployment"/>
    <x v="46"/>
    <x v="16"/>
  </r>
  <r>
    <s v="Gen AI"/>
    <x v="121"/>
    <x v="121"/>
    <x v="11"/>
    <s v="As a Security SA  I want Security-specific nudges for Security  deals  So that guidance aligns with Security context and governance"/>
    <n v="4371726"/>
    <s v="Kalpana"/>
    <s v="Navya"/>
    <x v="92"/>
    <x v="2"/>
    <s v="includes response generation-LLM related and includes 80+ nudges where automation is not feasible"/>
    <x v="25"/>
    <s v="Complex"/>
    <m/>
    <x v="3"/>
    <m/>
    <m/>
    <m/>
    <m/>
    <m/>
    <m/>
    <x v="0"/>
    <x v="0"/>
    <s v="Completed"/>
    <s v="In Progress"/>
    <n v="40"/>
    <n v="4"/>
    <n v="10"/>
    <n v="10"/>
    <n v="0.3"/>
    <n v="0.3"/>
    <s v="PT In Test"/>
    <n v="5"/>
    <n v="1"/>
    <n v="0"/>
    <n v="7"/>
    <n v="13"/>
    <n v="0.46153846153846156"/>
    <n v="0.83333333333333337"/>
    <s v="4491189(H)"/>
    <x v="46"/>
    <x v="16"/>
  </r>
  <r>
    <s v="Gen AI"/>
    <x v="121"/>
    <x v="121"/>
    <x v="11"/>
    <s v="As a SA or Reviewer I want RDE and RDE Override displayed in the S2C landing header next to MMS ID and Opportunity Name  So that I can confirm the deal?s governance context at the start of the S2C flow"/>
    <n v="4373554"/>
    <s v="Veena"/>
    <s v="Gayatri"/>
    <x v="91"/>
    <x v="1"/>
    <m/>
    <x v="1"/>
    <s v="Medium"/>
    <m/>
    <x v="7"/>
    <m/>
    <m/>
    <m/>
    <m/>
    <m/>
    <m/>
    <x v="0"/>
    <x v="0"/>
    <s v="Completed"/>
    <s v="In Progress"/>
    <n v="10"/>
    <n v="4"/>
    <n v="6"/>
    <n v="10"/>
    <n v="0.4"/>
    <n v="0.4"/>
    <s v="PT In Test"/>
    <n v="10"/>
    <n v="0"/>
    <n v="0"/>
    <n v="0"/>
    <n v="10"/>
    <n v="1"/>
    <n v="1"/>
    <s v="Awaiting UAT deployment"/>
    <x v="46"/>
    <x v="16"/>
  </r>
  <r>
    <s v="Gen AI"/>
    <x v="121"/>
    <x v="121"/>
    <x v="11"/>
    <s v="As a Security SA or Reviewer I want Security deal Scope &amp; Watchlist documents to include Security context in the file name  So that Security documents are clearly identifiable during review and handling"/>
    <n v="4373579"/>
    <s v="Veena"/>
    <s v="Gayatri"/>
    <x v="91"/>
    <x v="2"/>
    <s v="Involves Multiple deal switching with Different RDE and RDE override combinations and we need to generate SWD document multiple tilmes which require lot of time for automation"/>
    <x v="25"/>
    <s v="Complex"/>
    <m/>
    <x v="3"/>
    <m/>
    <m/>
    <m/>
    <m/>
    <m/>
    <m/>
    <x v="0"/>
    <x v="0"/>
    <s v="Completed"/>
    <s v="In Progress"/>
    <n v="10"/>
    <n v="3"/>
    <n v="7"/>
    <n v="10"/>
    <n v="0.3"/>
    <n v="0.3"/>
    <s v="PT In Test"/>
    <n v="10"/>
    <n v="0"/>
    <n v="0"/>
    <n v="0"/>
    <n v="10"/>
    <n v="1"/>
    <n v="1"/>
    <s v="Awaiting UAT deployment"/>
    <x v="46"/>
    <x v="16"/>
  </r>
  <r>
    <s v="Gen AI"/>
    <x v="121"/>
    <x v="121"/>
    <x v="11"/>
    <s v="As a SA, I want predefined legal suggestions to automatically populate when I select the Security-related parent nudge and click on &quot;Predefined Legal Suggestions&quot; so that I can quickly use legally approved, security-specific definitions."/>
    <n v="4373583"/>
    <s v="Veena"/>
    <s v="Gayatri"/>
    <x v="91"/>
    <x v="0"/>
    <s v="includes response generation-LLM related and includes 80+ nudges where automation is not feasible"/>
    <x v="24"/>
    <s v="Complex"/>
    <m/>
    <x v="7"/>
    <m/>
    <m/>
    <m/>
    <m/>
    <m/>
    <m/>
    <x v="0"/>
    <x v="0"/>
    <s v="Completed"/>
    <s v="In Progress"/>
    <n v="12"/>
    <n v="3"/>
    <n v="4"/>
    <n v="7"/>
    <n v="0.3"/>
    <n v="0.3"/>
    <s v="PT In Test"/>
    <n v="7"/>
    <n v="0"/>
    <n v="0"/>
    <n v="0"/>
    <n v="7"/>
    <n v="1"/>
    <n v="1"/>
    <s v="Awaiting UAT deployment"/>
    <x v="46"/>
    <x v="16"/>
  </r>
  <r>
    <s v="GEN AI"/>
    <x v="122"/>
    <x v="122"/>
    <x v="11"/>
    <s v="[GEN AI DLC] Inclusion of BPMS DSP Version for ingesting the DSP Documents in GEN AI DLC"/>
    <n v="4423216"/>
    <s v="Sujana"/>
    <s v="Dinesh"/>
    <x v="81"/>
    <x v="1"/>
    <m/>
    <x v="1"/>
    <m/>
    <m/>
    <x v="6"/>
    <m/>
    <m/>
    <m/>
    <m/>
    <m/>
    <m/>
    <x v="1"/>
    <x v="0"/>
    <s v="Not Started"/>
    <s v="Not Started"/>
    <n v="15"/>
    <n v="3"/>
    <n v="6"/>
    <n v="9"/>
    <m/>
    <m/>
    <s v="Active"/>
    <n v="0"/>
    <n v="0"/>
    <n v="0"/>
    <n v="0"/>
    <n v="0"/>
    <n v="0"/>
    <n v="0"/>
    <m/>
    <x v="44"/>
    <x v="16"/>
  </r>
  <r>
    <s v="GEN AI"/>
    <x v="122"/>
    <x v="122"/>
    <x v="11"/>
    <s v="[GEN AI SGC] Inclusion of BPMS DSP Version for ingesting the DSP Documents in GEN AI SGC"/>
    <n v="4423219"/>
    <s v="Sujana"/>
    <s v="Dinesh"/>
    <x v="81"/>
    <x v="1"/>
    <m/>
    <x v="1"/>
    <m/>
    <m/>
    <x v="6"/>
    <m/>
    <m/>
    <m/>
    <m/>
    <m/>
    <m/>
    <x v="1"/>
    <x v="0"/>
    <s v="Not Started"/>
    <s v="Not Started"/>
    <n v="15"/>
    <n v="3"/>
    <n v="6"/>
    <n v="9"/>
    <m/>
    <m/>
    <s v="Active"/>
    <n v="0"/>
    <n v="0"/>
    <n v="0"/>
    <n v="0"/>
    <n v="0"/>
    <n v="0"/>
    <n v="0"/>
    <m/>
    <x v="44"/>
    <x v="16"/>
  </r>
  <r>
    <s v="Gen AI"/>
    <x v="121"/>
    <x v="121"/>
    <x v="11"/>
    <s v="As a Solution Architect (SA) using the S2C module I want technology selection and technology‑driven sections to be suppressed when the deal’s RDE is Security and Service Group is SI"/>
    <n v="4446712"/>
    <s v="Kalpana"/>
    <s v="Navya"/>
    <x v="92"/>
    <x v="2"/>
    <s v="includes response generation-LLM related and includes 80+ nudges where automation is not feasible"/>
    <x v="25"/>
    <s v="Complex"/>
    <m/>
    <x v="3"/>
    <m/>
    <m/>
    <m/>
    <m/>
    <m/>
    <m/>
    <x v="0"/>
    <x v="0"/>
    <s v="Completed"/>
    <s v="In Progress"/>
    <n v="30"/>
    <n v="2"/>
    <n v="9"/>
    <n v="9"/>
    <n v="0.2"/>
    <n v="0.2"/>
    <s v="PT In Test"/>
    <n v="8"/>
    <n v="0"/>
    <n v="0"/>
    <n v="1"/>
    <n v="9"/>
    <n v="0.88888888888888884"/>
    <n v="1"/>
    <s v="Awaiting For UAT Deployement"/>
    <x v="46"/>
    <x v="16"/>
  </r>
  <r>
    <s v="Gen AI"/>
    <x v="118"/>
    <x v="118"/>
    <x v="11"/>
    <s v="As a Solution Architect working on an IMS deal where RDE = “Security”, I want S2C to fetch Security nudge data from IMS Deal Configuration under Manage Capacity Services, So that I can generate Security-specific contract content within the IMS workflow"/>
    <n v="4446741"/>
    <s v="Kalpana"/>
    <s v="Navya"/>
    <x v="92"/>
    <x v="2"/>
    <s v="includes response generation-LLM related and includes 80+ nudges where automation is not feasible"/>
    <x v="25"/>
    <s v="Complex"/>
    <m/>
    <x v="3"/>
    <m/>
    <m/>
    <m/>
    <m/>
    <m/>
    <m/>
    <x v="0"/>
    <x v="0"/>
    <s v="Completed"/>
    <s v="Not Started"/>
    <n v="40"/>
    <n v="4"/>
    <n v="12"/>
    <n v="12"/>
    <n v="0.4"/>
    <n v="0.4"/>
    <s v="Active"/>
    <n v="0"/>
    <n v="0"/>
    <n v="0"/>
    <n v="12"/>
    <n v="12"/>
    <n v="0"/>
    <n v="0"/>
    <m/>
    <x v="46"/>
    <x v="16"/>
  </r>
  <r>
    <s v="Gen AI"/>
    <x v="121"/>
    <x v="121"/>
    <x v="11"/>
    <s v="As a Solution Architect (SA), I want the visibility and enablement of the S2C agent under SSA to be controlled based on the RDE value and RDE Override, So that the S2C agent is accessible only to the appropriate SA role (Security SA or other SAs)"/>
    <n v="4450312"/>
    <s v="Komal"/>
    <s v="Narmatha"/>
    <x v="3"/>
    <x v="2"/>
    <s v="includes response generation-LLM related and includes 80+ nudges where automation is not feasible"/>
    <x v="25"/>
    <m/>
    <m/>
    <x v="3"/>
    <n v="30"/>
    <m/>
    <m/>
    <m/>
    <m/>
    <m/>
    <x v="3"/>
    <x v="0"/>
    <s v="Not Started"/>
    <s v="In Progress"/>
    <m/>
    <m/>
    <m/>
    <m/>
    <m/>
    <m/>
    <s v="Ready for Test"/>
    <n v="0"/>
    <n v="0"/>
    <n v="0"/>
    <n v="0"/>
    <n v="0"/>
    <n v="0"/>
    <n v="0"/>
    <m/>
    <x v="30"/>
    <x v="5"/>
  </r>
  <r>
    <s v="Retrospective Insights and Learnings"/>
    <x v="123"/>
    <x v="123"/>
    <x v="11"/>
    <s v="[SSA - QDI] - As a MyISP user, I want to design &amp; view the auto-generated learning in the Retrospective Insights and Learnings module."/>
    <n v="4447232"/>
    <s v="Swati"/>
    <s v="Varadha"/>
    <x v="86"/>
    <x v="2"/>
    <s v="This involves Lead SA assignment scenario, where it requires new deal everytime to validate these  learning generation scenarios. hence not feasible for automation."/>
    <x v="7"/>
    <m/>
    <m/>
    <x v="3"/>
    <m/>
    <m/>
    <m/>
    <m/>
    <m/>
    <m/>
    <x v="3"/>
    <x v="0"/>
    <s v="Not Started"/>
    <s v="Not Started"/>
    <m/>
    <m/>
    <m/>
    <m/>
    <m/>
    <m/>
    <s v="Active"/>
    <n v="0"/>
    <n v="0"/>
    <n v="0"/>
    <n v="0"/>
    <n v="0"/>
    <n v="0"/>
    <n v="0"/>
    <m/>
    <x v="47"/>
    <x v="16"/>
  </r>
  <r>
    <s v="Retrospective Insights and Learnings"/>
    <x v="123"/>
    <x v="123"/>
    <x v="11"/>
    <s v="[SSA - QDI] - As a MyISP user, I want the 'Client &amp; Competitive Insights' tab to display 2 sub-sections 'Client Insights' and 'Opportunity Insights' inside the auto-generated learning."/>
    <n v="4447236"/>
    <s v="Swati"/>
    <s v="Varadha"/>
    <x v="86"/>
    <x v="2"/>
    <s v="This involves Lead SA assignment scenario, where it requires new deal everytime to validate these  learning generation scenarios. hence not feasible for automation."/>
    <x v="7"/>
    <m/>
    <m/>
    <x v="3"/>
    <m/>
    <m/>
    <m/>
    <m/>
    <m/>
    <m/>
    <x v="3"/>
    <x v="0"/>
    <s v="Not Started"/>
    <s v="Not Started"/>
    <m/>
    <m/>
    <m/>
    <m/>
    <m/>
    <m/>
    <s v="Active"/>
    <n v="0"/>
    <n v="0"/>
    <n v="0"/>
    <n v="0"/>
    <n v="0"/>
    <n v="0"/>
    <n v="0"/>
    <m/>
    <x v="47"/>
    <x v="16"/>
  </r>
  <r>
    <s v="Retrospective Insights and Learnings"/>
    <x v="123"/>
    <x v="123"/>
    <x v="11"/>
    <s v="[SSA - QDI] - As a MyISP user, I want to trigger the auto-generation of 'Starter Learning' when the first Lead SA assignment is done (or) Solution ID is created for the deal."/>
    <n v="4438518"/>
    <s v="Narmatha"/>
    <s v="Komal"/>
    <x v="89"/>
    <x v="2"/>
    <s v="This involves Lead SA assignment scenario, where it requires new deal everytime to validate these  learning generation scenarios. hence not feasible for automation."/>
    <x v="7"/>
    <m/>
    <m/>
    <x v="3"/>
    <m/>
    <m/>
    <m/>
    <m/>
    <m/>
    <m/>
    <x v="3"/>
    <x v="0"/>
    <s v="Not Started"/>
    <s v="Not Started"/>
    <m/>
    <m/>
    <m/>
    <m/>
    <m/>
    <m/>
    <s v="Active"/>
    <n v="0"/>
    <n v="0"/>
    <n v="0"/>
    <n v="0"/>
    <n v="0"/>
    <n v="0"/>
    <n v="0"/>
    <m/>
    <x v="47"/>
    <x v="16"/>
  </r>
  <r>
    <s v="Retrospective Insights and Learnings"/>
    <x v="123"/>
    <x v="123"/>
    <x v="11"/>
    <s v="[SSA - QDI] - As a MyISP user, I want to trigger mails for the Lead SAs and Enterprise SAs when the learning is auto-generated."/>
    <n v="4438549"/>
    <s v="Narmatha"/>
    <s v="Komal"/>
    <x v="89"/>
    <x v="2"/>
    <s v="This involves Lead SA assignment scenario, where it requires new deal everytime to validate these  learning generation scenarios. hence not feasible for automation."/>
    <x v="7"/>
    <m/>
    <m/>
    <x v="3"/>
    <m/>
    <m/>
    <m/>
    <m/>
    <m/>
    <m/>
    <x v="3"/>
    <x v="0"/>
    <s v="Not Started"/>
    <s v="Not Started"/>
    <m/>
    <m/>
    <m/>
    <m/>
    <m/>
    <m/>
    <s v="Active"/>
    <n v="0"/>
    <n v="0"/>
    <n v="0"/>
    <n v="0"/>
    <n v="0"/>
    <n v="0"/>
    <n v="0"/>
    <m/>
    <x v="47"/>
    <x v="16"/>
  </r>
  <r>
    <s v="Retrospective Insights and Learnings"/>
    <x v="123"/>
    <x v="123"/>
    <x v="11"/>
    <s v="[SSA - QDI] - As a MyISP user, I want to auto-generate the learning with default filters, on the Retrospective Insights and Learnings module Landing Page."/>
    <n v="4438550"/>
    <s v="Narmatha"/>
    <s v="Komal"/>
    <x v="89"/>
    <x v="2"/>
    <s v="This involves Lead SA assignment scenario, where it requires new deal everytime to validate these  learning generation scenarios. hence not feasible for automation."/>
    <x v="7"/>
    <m/>
    <m/>
    <x v="3"/>
    <m/>
    <m/>
    <m/>
    <m/>
    <m/>
    <m/>
    <x v="3"/>
    <x v="0"/>
    <s v="Not Started"/>
    <s v="Not Started"/>
    <m/>
    <m/>
    <m/>
    <m/>
    <m/>
    <m/>
    <s v="Active"/>
    <n v="0"/>
    <n v="0"/>
    <n v="0"/>
    <n v="0"/>
    <n v="0"/>
    <n v="0"/>
    <n v="0"/>
    <m/>
    <x v="47"/>
    <x v="16"/>
  </r>
  <r>
    <s v="Review Agent"/>
    <x v="124"/>
    <x v="124"/>
    <x v="11"/>
    <s v="[GenAI – SRA ] : SA Landing Page Enhancements."/>
    <n v="4446374"/>
    <s v="Reshma"/>
    <s v="Harshitha"/>
    <x v="93"/>
    <x v="1"/>
    <m/>
    <x v="1"/>
    <m/>
    <m/>
    <x v="0"/>
    <m/>
    <m/>
    <m/>
    <m/>
    <m/>
    <m/>
    <x v="0"/>
    <x v="1"/>
    <s v="Not Started"/>
    <s v="In Progress"/>
    <n v="20"/>
    <n v="17"/>
    <n v="21"/>
    <n v="21"/>
    <n v="0.6"/>
    <n v="0.6"/>
    <s v="PT In Test"/>
    <n v="0"/>
    <n v="0"/>
    <n v="0"/>
    <n v="21"/>
    <n v="21"/>
    <n v="0"/>
    <n v="0"/>
    <m/>
    <x v="48"/>
    <x v="16"/>
  </r>
  <r>
    <s v="Review Agent"/>
    <x v="125"/>
    <x v="125"/>
    <x v="11"/>
    <s v="[Technical] [GenAI - SRA] - Improving Error Transparency Across Upload, Ingestion &amp; LLM Processing"/>
    <n v="4442525"/>
    <s v="Vignesh"/>
    <s v="Pratik"/>
    <x v="94"/>
    <x v="2"/>
    <s v="Can't be automated as story contains multiple complex LLM response validation testing(technical)"/>
    <x v="4"/>
    <m/>
    <m/>
    <x v="3"/>
    <m/>
    <m/>
    <m/>
    <m/>
    <m/>
    <m/>
    <x v="0"/>
    <x v="2"/>
    <s v="Not Started"/>
    <s v="In Progress"/>
    <m/>
    <m/>
    <m/>
    <m/>
    <m/>
    <m/>
    <s v="Active"/>
    <n v="2"/>
    <n v="0"/>
    <n v="0"/>
    <n v="6"/>
    <n v="8"/>
    <n v="0.25"/>
    <n v="1"/>
    <m/>
    <x v="48"/>
    <x v="16"/>
  </r>
  <r>
    <s v="Review Agent"/>
    <x v="105"/>
    <x v="105"/>
    <x v="11"/>
    <s v="[SSA - SRA] - Review Agent: Impact Metrics in the agent info. pane."/>
    <n v="4424457"/>
    <s v="Nayak"/>
    <s v="Santhwana"/>
    <x v="82"/>
    <x v="0"/>
    <s v="can't be fully automated as story contains LLM response validation"/>
    <x v="24"/>
    <s v="Medium"/>
    <n v="1"/>
    <x v="13"/>
    <m/>
    <m/>
    <m/>
    <m/>
    <m/>
    <m/>
    <x v="0"/>
    <x v="2"/>
    <s v="Completed"/>
    <s v="In Progress"/>
    <m/>
    <m/>
    <m/>
    <m/>
    <m/>
    <m/>
    <s v="PT In Test"/>
    <n v="15"/>
    <n v="1"/>
    <n v="0"/>
    <n v="3"/>
    <n v="19"/>
    <n v="0.84210526315789469"/>
    <n v="0.9375"/>
    <s v="4486499(M)"/>
    <x v="30"/>
    <x v="5"/>
  </r>
  <r>
    <s v="Review Agent"/>
    <x v="105"/>
    <x v="105"/>
    <x v="11"/>
    <s v="[SSA - SRA] - As a MyISP user, I want the SSA chat to intelligently resolve my intent and route my queries to the Review Agent in the SSA chat."/>
    <n v="4426304"/>
    <s v="Nayak"/>
    <s v="Santhwana"/>
    <x v="82"/>
    <x v="0"/>
    <s v="can't be fully automated as story contains LLM response validation"/>
    <x v="24"/>
    <s v="Complex"/>
    <n v="1"/>
    <x v="1"/>
    <m/>
    <m/>
    <m/>
    <m/>
    <m/>
    <m/>
    <x v="0"/>
    <x v="2"/>
    <s v="Completed"/>
    <s v="In Progress"/>
    <m/>
    <m/>
    <m/>
    <m/>
    <m/>
    <m/>
    <s v="Active"/>
    <n v="0"/>
    <n v="0"/>
    <n v="0"/>
    <n v="15"/>
    <n v="15"/>
    <n v="0"/>
    <n v="0"/>
    <m/>
    <x v="30"/>
    <x v="5"/>
  </r>
  <r>
    <s v="Review Agent"/>
    <x v="105"/>
    <x v="105"/>
    <x v="11"/>
    <s v="[SSA - SRA] - As a MyISP user, I want the SSA chat to be accessible as a small icon on the right side of the Review Agent module with expand and collapse options."/>
    <n v="4435931"/>
    <s v="Vignesh"/>
    <s v="Pratik"/>
    <x v="94"/>
    <x v="1"/>
    <m/>
    <x v="1"/>
    <m/>
    <m/>
    <x v="2"/>
    <m/>
    <m/>
    <m/>
    <m/>
    <m/>
    <m/>
    <x v="0"/>
    <x v="2"/>
    <s v="Not Started"/>
    <s v="In Progress"/>
    <m/>
    <m/>
    <m/>
    <m/>
    <m/>
    <m/>
    <s v="Ready for Test"/>
    <n v="0"/>
    <n v="0"/>
    <n v="0"/>
    <n v="40"/>
    <n v="40"/>
    <n v="0"/>
    <n v="0"/>
    <m/>
    <x v="48"/>
    <x v="16"/>
  </r>
  <r>
    <s v="Review Agent"/>
    <x v="126"/>
    <x v="126"/>
    <x v="11"/>
    <s v="[SSA - SRA] - Solution Architect's Consolidated Notes – Centralized Notes Management"/>
    <n v="4436659"/>
    <s v="Vignesh"/>
    <s v="Pratik"/>
    <x v="94"/>
    <x v="0"/>
    <s v="Complex scenario and multiple validation takes more time to automate"/>
    <x v="9"/>
    <m/>
    <m/>
    <x v="2"/>
    <m/>
    <m/>
    <m/>
    <m/>
    <m/>
    <m/>
    <x v="0"/>
    <x v="2"/>
    <s v="Not Started"/>
    <s v="In Progress"/>
    <m/>
    <m/>
    <m/>
    <m/>
    <m/>
    <m/>
    <s v="PT In Test"/>
    <n v="10"/>
    <n v="0"/>
    <n v="0"/>
    <n v="31"/>
    <n v="41"/>
    <n v="0.24390243902439024"/>
    <n v="1"/>
    <m/>
    <x v="48"/>
    <x v="16"/>
  </r>
  <r>
    <s v="Review Agent"/>
    <x v="124"/>
    <x v="124"/>
    <x v="11"/>
    <s v="[SSA - SRA] - As a MyISP user, I want the Review Outcomes displayed as visually rich tiles (cards) on the Review Agent Landing page."/>
    <n v="4436694"/>
    <s v="Vignesh"/>
    <s v="Pratik"/>
    <x v="94"/>
    <x v="1"/>
    <s v="Multiple UI validation"/>
    <x v="27"/>
    <m/>
    <m/>
    <x v="2"/>
    <m/>
    <m/>
    <m/>
    <m/>
    <m/>
    <m/>
    <x v="0"/>
    <x v="2"/>
    <s v="Not Started"/>
    <s v="In Progress"/>
    <m/>
    <m/>
    <m/>
    <m/>
    <m/>
    <m/>
    <s v="PT In Test"/>
    <n v="17"/>
    <n v="2"/>
    <n v="0"/>
    <n v="3"/>
    <n v="22"/>
    <n v="0.86363636363636365"/>
    <n v="0.89473684210526316"/>
    <s v="Bug - 4491106(H), 4489669(H)"/>
    <x v="48"/>
    <x v="16"/>
  </r>
  <r>
    <s v="Review Agent"/>
    <x v="127"/>
    <x v="127"/>
    <x v="11"/>
    <s v="[SSA - SRA] - As a MyISP user, I want to enable and select 'IMS', 'BPMS', 'SI' service groups as sub-tags in Document management, after uploading the Solution Plan so that user can tag accordingly for the review."/>
    <n v="4429865"/>
    <s v="Vignesh"/>
    <s v="Pratik"/>
    <x v="94"/>
    <x v="1"/>
    <m/>
    <x v="1"/>
    <m/>
    <m/>
    <x v="2"/>
    <m/>
    <m/>
    <m/>
    <m/>
    <m/>
    <m/>
    <x v="0"/>
    <x v="2"/>
    <s v="Not Started"/>
    <s v="In Progress"/>
    <m/>
    <m/>
    <m/>
    <m/>
    <m/>
    <m/>
    <s v="PT In Test"/>
    <n v="7"/>
    <n v="0"/>
    <n v="0"/>
    <n v="1"/>
    <n v="8"/>
    <n v="0.875"/>
    <n v="1"/>
    <s v="Assigned back to dev due to New change requirement"/>
    <x v="48"/>
    <x v="16"/>
  </r>
  <r>
    <s v="Review Agent"/>
    <x v="127"/>
    <x v="127"/>
    <x v="11"/>
    <s v="[SRA] - As a MyISP user, I want to enable and select Solution Plans tagged under 'IMS' service group in the start new review pop-up and proceed with review."/>
    <n v="4429885"/>
    <s v="Pratik"/>
    <s v="Vignesh"/>
    <x v="83"/>
    <x v="0"/>
    <s v="Not suitable for full automation .as it is response related user story "/>
    <x v="24"/>
    <m/>
    <m/>
    <x v="2"/>
    <m/>
    <m/>
    <m/>
    <m/>
    <m/>
    <m/>
    <x v="0"/>
    <x v="0"/>
    <s v="Completed"/>
    <s v="In Progress"/>
    <m/>
    <m/>
    <m/>
    <m/>
    <m/>
    <m/>
    <s v="PT In Test"/>
    <n v="3"/>
    <n v="1"/>
    <n v="0"/>
    <n v="3"/>
    <n v="7"/>
    <n v="0.5714285714285714"/>
    <n v="0.75"/>
    <s v="Bug ID: 4483058-F(M)"/>
    <x v="48"/>
    <x v="16"/>
  </r>
  <r>
    <s v="Review Agent"/>
    <x v="128"/>
    <x v="128"/>
    <x v="11"/>
    <s v="[SSA - SRA] - As a MyISP user, I want to see the exact reason for a DSP ingestion failure displayed in the error message."/>
    <n v="4447244"/>
    <s v="Harshitha"/>
    <s v="Reshma"/>
    <x v="79"/>
    <x v="0"/>
    <s v="Upload functionality not feasible to automate"/>
    <x v="8"/>
    <s v="Complex"/>
    <m/>
    <x v="6"/>
    <m/>
    <m/>
    <m/>
    <m/>
    <m/>
    <m/>
    <x v="0"/>
    <x v="0"/>
    <s v="Completed"/>
    <s v="In Progress"/>
    <m/>
    <m/>
    <m/>
    <m/>
    <m/>
    <m/>
    <s v="Active"/>
    <n v="0"/>
    <n v="0"/>
    <n v="0"/>
    <n v="22"/>
    <n v="22"/>
    <n v="0"/>
    <n v="0"/>
    <m/>
    <x v="48"/>
    <x v="16"/>
  </r>
  <r>
    <s v="Review Agent"/>
    <x v="129"/>
    <x v="129"/>
    <x v="11"/>
    <s v="[Gen AI - SRA] : SA clicks on &quot;Client Imposed Constraints&quot; under Key References"/>
    <n v="4446746"/>
    <s v="Reshma"/>
    <s v="Harshitha"/>
    <x v="93"/>
    <x v="0"/>
    <s v="Require cross validation with mySP WRWS screen with Gen AI "/>
    <x v="9"/>
    <m/>
    <m/>
    <x v="0"/>
    <m/>
    <m/>
    <m/>
    <m/>
    <m/>
    <m/>
    <x v="0"/>
    <x v="1"/>
    <s v="Not Started"/>
    <s v="In Progress"/>
    <n v="20"/>
    <n v="16"/>
    <n v="16"/>
    <n v="16"/>
    <n v="0.7"/>
    <n v="0.7"/>
    <s v="PT In Test"/>
    <n v="0"/>
    <n v="0"/>
    <n v="0"/>
    <n v="16"/>
    <n v="16"/>
    <n v="0"/>
    <n v="0"/>
    <m/>
    <x v="48"/>
    <x v="16"/>
  </r>
  <r>
    <s v="Review Agent"/>
    <x v="129"/>
    <x v="129"/>
    <x v="11"/>
    <s v="[Gen AI - SRA] : SA clicks on &quot;MSDA&quot; under Key References"/>
    <n v="4446753"/>
    <s v="Reshma"/>
    <s v="Harshitha"/>
    <x v="93"/>
    <x v="0"/>
    <s v="Involves multiple UI validation with powerBI report validation"/>
    <x v="6"/>
    <m/>
    <m/>
    <x v="0"/>
    <m/>
    <m/>
    <m/>
    <m/>
    <m/>
    <m/>
    <x v="0"/>
    <x v="1"/>
    <s v="Not Started"/>
    <s v="In Progress"/>
    <n v="20"/>
    <n v="16"/>
    <n v="19"/>
    <n v="19"/>
    <n v="0.6"/>
    <n v="0.7"/>
    <s v="PT In Test"/>
    <n v="0"/>
    <n v="0"/>
    <n v="0"/>
    <n v="19"/>
    <n v="19"/>
    <n v="0"/>
    <n v="0"/>
    <m/>
    <x v="48"/>
    <x v="16"/>
  </r>
  <r>
    <s v="Review Agent"/>
    <x v="129"/>
    <x v="129"/>
    <x v="11"/>
    <s v="[Gen AI - SRA] : SA clicks on &quot;DSP&quot; under Key References"/>
    <n v="4446735"/>
    <s v="Reshma"/>
    <s v="Harshitha"/>
    <x v="93"/>
    <x v="1"/>
    <m/>
    <x v="1"/>
    <m/>
    <m/>
    <x v="0"/>
    <m/>
    <m/>
    <m/>
    <m/>
    <m/>
    <m/>
    <x v="0"/>
    <x v="1"/>
    <s v="Not Started"/>
    <s v="In Progress"/>
    <n v="20"/>
    <n v="16"/>
    <n v="16"/>
    <n v="16"/>
    <n v="0.8"/>
    <n v="0.8"/>
    <s v="PT In Test"/>
    <n v="0"/>
    <n v="0"/>
    <n v="0"/>
    <n v="16"/>
    <n v="16"/>
    <n v="0"/>
    <n v="0"/>
    <m/>
    <x v="48"/>
    <x v="16"/>
  </r>
  <r>
    <s v="Solution Review Agent"/>
    <x v="130"/>
    <x v="130"/>
    <x v="11"/>
    <s v="[Gen AI - SRA] - Solution to Win Excel Checklist Upgrade - As a myISP User, I should be able to view additional columns in the Review Agent Output document displaying accurate RAG insights for L2-level nudges."/>
    <n v="4392744"/>
    <s v="Pratik"/>
    <s v="Vignesh"/>
    <x v="83"/>
    <x v="0"/>
    <s v="Excel Related functionality cannot be automated"/>
    <x v="8"/>
    <m/>
    <m/>
    <x v="5"/>
    <m/>
    <m/>
    <m/>
    <m/>
    <m/>
    <m/>
    <x v="0"/>
    <x v="0"/>
    <s v="Completed"/>
    <s v="In Progress"/>
    <m/>
    <m/>
    <m/>
    <m/>
    <m/>
    <m/>
    <s v="PT In Test"/>
    <n v="2"/>
    <n v="1"/>
    <n v="0"/>
    <n v="2"/>
    <n v="5"/>
    <n v="0.6"/>
    <n v="0.66666666666666663"/>
    <s v="Bug ID: 4491044-F(H)"/>
    <x v="48"/>
    <x v="16"/>
  </r>
  <r>
    <s v="Review Agent"/>
    <x v="125"/>
    <x v="125"/>
    <x v="11"/>
    <s v="[Technical] [GenAI - SRA] - Controlled Email Notification for Review Agent Document Upload"/>
    <n v="4443396"/>
    <s v="Vignesh"/>
    <s v="Pratik"/>
    <x v="94"/>
    <x v="0"/>
    <s v="Document upload and Email validation required."/>
    <x v="0"/>
    <m/>
    <m/>
    <x v="2"/>
    <m/>
    <m/>
    <m/>
    <m/>
    <m/>
    <m/>
    <x v="0"/>
    <x v="2"/>
    <s v="Not Started"/>
    <s v="In Progress"/>
    <m/>
    <m/>
    <m/>
    <m/>
    <m/>
    <m/>
    <s v="PT In Test"/>
    <n v="4"/>
    <n v="0"/>
    <n v="0"/>
    <n v="1"/>
    <n v="5"/>
    <n v="0.8"/>
    <n v="1"/>
    <s v="Awaiting UAT Deployment"/>
    <x v="48"/>
    <x v="16"/>
  </r>
  <r>
    <s v="Review Agent"/>
    <x v="127"/>
    <x v="127"/>
    <x v="11"/>
    <s v="[GenAI-SRA] - Enforce Service Group restriction based on SA–MMS ID mapping across Solution Review module"/>
    <n v="4443453"/>
    <s v="Reshma"/>
    <s v="Harshitha"/>
    <x v="93"/>
    <x v="0"/>
    <s v="Requires multi SA role validations with different SA-MMS ID-Service Group mappings"/>
    <x v="9"/>
    <m/>
    <m/>
    <x v="6"/>
    <m/>
    <m/>
    <m/>
    <m/>
    <m/>
    <m/>
    <x v="0"/>
    <x v="1"/>
    <s v="Not Started"/>
    <s v="In Progress"/>
    <n v="32"/>
    <n v="10"/>
    <n v="12"/>
    <n v="12"/>
    <n v="0.6"/>
    <n v="0.6"/>
    <s v="PT In Test"/>
    <n v="0"/>
    <n v="0"/>
    <n v="0"/>
    <n v="12"/>
    <n v="12"/>
    <n v="0"/>
    <n v="0"/>
    <m/>
    <x v="48"/>
    <x v="16"/>
  </r>
  <r>
    <s v="Review Agent"/>
    <x v="126"/>
    <x v="126"/>
    <x v="11"/>
    <s v="[Gen AI - SRA] - Enable Solution Architect to create and manage notes"/>
    <n v="4443686"/>
    <s v="Reshma"/>
    <s v="Harshitha"/>
    <x v="93"/>
    <x v="1"/>
    <m/>
    <x v="1"/>
    <m/>
    <m/>
    <x v="6"/>
    <m/>
    <m/>
    <m/>
    <m/>
    <m/>
    <m/>
    <x v="3"/>
    <x v="1"/>
    <s v="Not Started"/>
    <s v="In Progress"/>
    <m/>
    <m/>
    <m/>
    <m/>
    <m/>
    <m/>
    <s v="PT In Test"/>
    <n v="0"/>
    <n v="0"/>
    <n v="0"/>
    <n v="0"/>
    <n v="0"/>
    <n v="0"/>
    <n v="0"/>
    <m/>
    <x v="48"/>
    <x v="16"/>
  </r>
  <r>
    <s v="Review Agent"/>
    <x v="131"/>
    <x v="131"/>
    <x v="11"/>
    <s v="[Gen AI -SRA] : SA to mark one of the Self Review Outcome as Final Version"/>
    <n v="4447465"/>
    <s v="Nayak"/>
    <s v="Santhwana"/>
    <x v="82"/>
    <x v="0"/>
    <s v="can't be fully automated as story contains LLM response validation"/>
    <x v="24"/>
    <s v="Medium"/>
    <n v="1"/>
    <x v="2"/>
    <m/>
    <m/>
    <m/>
    <m/>
    <m/>
    <m/>
    <x v="0"/>
    <x v="2"/>
    <s v="Completed"/>
    <s v="In Progress"/>
    <m/>
    <m/>
    <m/>
    <m/>
    <m/>
    <m/>
    <s v="PT In Test"/>
    <n v="20"/>
    <n v="2"/>
    <n v="0"/>
    <n v="3"/>
    <n v="25"/>
    <n v="0.88"/>
    <n v="0.90909090909090906"/>
    <s v="4491456(M), 4491498(M)"/>
    <x v="48"/>
    <x v="16"/>
  </r>
  <r>
    <s v="HSP"/>
    <x v="132"/>
    <x v="132"/>
    <x v="10"/>
    <s v="[SSA - HSP] - Addition of SG-wise prompts for prompt category 'Dependencies'."/>
    <n v="4456206"/>
    <s v="Venkat"/>
    <s v="Sujana"/>
    <x v="95"/>
    <x v="2"/>
    <s v="LLM/Prompt related story"/>
    <x v="23"/>
    <m/>
    <m/>
    <x v="3"/>
    <m/>
    <m/>
    <m/>
    <m/>
    <m/>
    <m/>
    <x v="3"/>
    <x v="0"/>
    <s v="In Progress"/>
    <s v="Not Started"/>
    <n v="38"/>
    <n v="5"/>
    <n v="11"/>
    <n v="16"/>
    <m/>
    <m/>
    <s v="In Development"/>
    <n v="0"/>
    <n v="0"/>
    <n v="0"/>
    <n v="0"/>
    <n v="0"/>
    <n v="0"/>
    <n v="0"/>
    <m/>
    <x v="42"/>
    <x v="5"/>
  </r>
  <r>
    <s v="HSP"/>
    <x v="132"/>
    <x v="132"/>
    <x v="10"/>
    <s v="[SSA - HSP] - Addition of SG-wise prompts for prompt category 'Differentiators'."/>
    <n v="4456210"/>
    <s v="Venkat"/>
    <s v="Sujana"/>
    <x v="95"/>
    <x v="2"/>
    <s v="LLM/Prompt related story"/>
    <x v="23"/>
    <m/>
    <m/>
    <x v="3"/>
    <m/>
    <m/>
    <m/>
    <m/>
    <m/>
    <m/>
    <x v="3"/>
    <x v="0"/>
    <s v="Not Started"/>
    <s v="Not Started"/>
    <n v="38"/>
    <n v="6"/>
    <n v="10"/>
    <n v="16"/>
    <m/>
    <m/>
    <s v="In Development"/>
    <n v="0"/>
    <n v="0"/>
    <n v="0"/>
    <n v="0"/>
    <n v="0"/>
    <n v="0"/>
    <n v="0"/>
    <m/>
    <x v="42"/>
    <x v="5"/>
  </r>
  <r>
    <s v="HSP"/>
    <x v="132"/>
    <x v="132"/>
    <x v="10"/>
    <s v="[SSA - HSP] - Addition of SG-wise prompts for prompt category 'GenAI Differentiators'."/>
    <n v="4456209"/>
    <s v="Venkat"/>
    <s v="Sujana"/>
    <x v="95"/>
    <x v="2"/>
    <s v="LLM/Prompt related story"/>
    <x v="23"/>
    <m/>
    <m/>
    <x v="3"/>
    <m/>
    <m/>
    <m/>
    <m/>
    <m/>
    <m/>
    <x v="3"/>
    <x v="0"/>
    <s v="Not Started"/>
    <s v="Not Started"/>
    <n v="38"/>
    <n v="4"/>
    <n v="12"/>
    <n v="16"/>
    <m/>
    <m/>
    <s v="In Development"/>
    <n v="0"/>
    <n v="0"/>
    <n v="0"/>
    <n v="0"/>
    <n v="0"/>
    <n v="0"/>
    <n v="0"/>
    <m/>
    <x v="42"/>
    <x v="5"/>
  </r>
  <r>
    <s v="HSP"/>
    <x v="132"/>
    <x v="132"/>
    <x v="10"/>
    <s v="[SSA - HSP] - Addition of SG-wise prompts for prompt category 'KDA'."/>
    <n v="4456205"/>
    <s v="Venkat"/>
    <s v="Sujana"/>
    <x v="95"/>
    <x v="2"/>
    <s v="LLM/Prompt related story"/>
    <x v="23"/>
    <m/>
    <m/>
    <x v="3"/>
    <m/>
    <m/>
    <m/>
    <m/>
    <m/>
    <m/>
    <x v="3"/>
    <x v="0"/>
    <s v="Not Started"/>
    <s v="Not Started"/>
    <n v="38"/>
    <n v="6"/>
    <n v="10"/>
    <n v="16"/>
    <m/>
    <m/>
    <s v="In Development"/>
    <n v="0"/>
    <n v="0"/>
    <n v="0"/>
    <n v="0"/>
    <n v="0"/>
    <n v="0"/>
    <n v="0"/>
    <m/>
    <x v="42"/>
    <x v="5"/>
  </r>
  <r>
    <s v="HSP"/>
    <x v="132"/>
    <x v="132"/>
    <x v="10"/>
    <s v="[SSA - HSP] - Addition of SG-wise prompts for prompt category 'Productivity &amp; Levers'."/>
    <n v="4456208"/>
    <s v="Venkat"/>
    <s v="Sujana"/>
    <x v="95"/>
    <x v="2"/>
    <s v="LLM/Prompt related story"/>
    <x v="23"/>
    <m/>
    <m/>
    <x v="3"/>
    <m/>
    <m/>
    <m/>
    <m/>
    <m/>
    <m/>
    <x v="3"/>
    <x v="0"/>
    <s v="Not Started"/>
    <s v="Not Started"/>
    <n v="38"/>
    <n v="7"/>
    <n v="9"/>
    <n v="16"/>
    <m/>
    <m/>
    <s v="In Development"/>
    <n v="0"/>
    <n v="0"/>
    <n v="0"/>
    <n v="0"/>
    <n v="0"/>
    <n v="0"/>
    <n v="0"/>
    <m/>
    <x v="42"/>
    <x v="5"/>
  </r>
  <r>
    <s v="HSP"/>
    <x v="132"/>
    <x v="132"/>
    <x v="10"/>
    <s v="[SSA - HSP] - Addition of SG-wise prompts for prompt category 'Assumptions'."/>
    <n v="4456200"/>
    <s v="Dinesh"/>
    <s v="Sujana"/>
    <x v="96"/>
    <x v="2"/>
    <s v="LLM/Prompt related story"/>
    <x v="23"/>
    <m/>
    <m/>
    <x v="3"/>
    <m/>
    <m/>
    <m/>
    <m/>
    <m/>
    <m/>
    <x v="3"/>
    <x v="0"/>
    <s v="Not Started"/>
    <s v="Not Started"/>
    <n v="30"/>
    <n v="5"/>
    <n v="5"/>
    <n v="10"/>
    <m/>
    <m/>
    <s v="In Development"/>
    <n v="0"/>
    <n v="0"/>
    <n v="0"/>
    <n v="0"/>
    <n v="0"/>
    <n v="0"/>
    <n v="0"/>
    <m/>
    <x v="42"/>
    <x v="5"/>
  </r>
  <r>
    <s v="HSP"/>
    <x v="132"/>
    <x v="132"/>
    <x v="10"/>
    <s v="[SSA - HSP] - Addition of SG-wise prompts for prompt category 'Pyramids'."/>
    <n v="4456199"/>
    <s v="Dinesh"/>
    <s v="Sujana"/>
    <x v="96"/>
    <x v="2"/>
    <s v="LLM/Prompt related story"/>
    <x v="23"/>
    <m/>
    <m/>
    <x v="3"/>
    <m/>
    <m/>
    <m/>
    <m/>
    <m/>
    <m/>
    <x v="3"/>
    <x v="0"/>
    <s v="Not Started"/>
    <s v="Not Started"/>
    <n v="30"/>
    <n v="5"/>
    <n v="5"/>
    <n v="10"/>
    <m/>
    <m/>
    <s v="In Development"/>
    <n v="0"/>
    <n v="0"/>
    <n v="0"/>
    <n v="0"/>
    <n v="0"/>
    <n v="0"/>
    <n v="0"/>
    <m/>
    <x v="42"/>
    <x v="5"/>
  </r>
  <r>
    <s v="HSP"/>
    <x v="132"/>
    <x v="132"/>
    <x v="10"/>
    <s v="[SSA - HSP] - Addition of SG-wise prompts for prompt category 'Review and Approval'."/>
    <n v="4456202"/>
    <s v="Dinesh"/>
    <s v="Sujana"/>
    <x v="96"/>
    <x v="2"/>
    <s v="LLM/Prompt related story"/>
    <x v="23"/>
    <m/>
    <m/>
    <x v="3"/>
    <m/>
    <m/>
    <m/>
    <m/>
    <m/>
    <m/>
    <x v="3"/>
    <x v="0"/>
    <s v="Not Started"/>
    <s v="Not Started"/>
    <n v="30"/>
    <n v="5"/>
    <n v="5"/>
    <n v="10"/>
    <m/>
    <m/>
    <s v="In Development"/>
    <n v="0"/>
    <n v="0"/>
    <n v="0"/>
    <n v="0"/>
    <n v="0"/>
    <n v="0"/>
    <n v="0"/>
    <m/>
    <x v="42"/>
    <x v="5"/>
  </r>
  <r>
    <s v="HSP"/>
    <x v="132"/>
    <x v="132"/>
    <x v="10"/>
    <s v="[SSA - HSP] - Addition of SG-wise prompts for prompt category 'Risk'."/>
    <n v="4456195"/>
    <s v="Dinesh"/>
    <s v="Sujana"/>
    <x v="96"/>
    <x v="2"/>
    <s v="LLM/Prompt related story"/>
    <x v="23"/>
    <m/>
    <m/>
    <x v="3"/>
    <m/>
    <m/>
    <m/>
    <m/>
    <m/>
    <m/>
    <x v="3"/>
    <x v="0"/>
    <s v="Not Started"/>
    <s v="Not Started"/>
    <n v="30"/>
    <n v="5"/>
    <n v="5"/>
    <n v="10"/>
    <m/>
    <m/>
    <s v="In Development"/>
    <n v="0"/>
    <n v="0"/>
    <n v="0"/>
    <n v="0"/>
    <n v="0"/>
    <n v="0"/>
    <n v="0"/>
    <m/>
    <x v="42"/>
    <x v="5"/>
  </r>
  <r>
    <s v="HSP"/>
    <x v="132"/>
    <x v="132"/>
    <x v="10"/>
    <s v="[SSA - HSP] - Addition of SG-wise prompts for prompt category 'Staffing and Headcount'."/>
    <n v="4456197"/>
    <s v="Dinesh"/>
    <s v="Sujana"/>
    <x v="96"/>
    <x v="2"/>
    <s v="LLM/Prompt related story"/>
    <x v="23"/>
    <m/>
    <m/>
    <x v="3"/>
    <m/>
    <m/>
    <m/>
    <m/>
    <m/>
    <m/>
    <x v="3"/>
    <x v="0"/>
    <s v="Not Started"/>
    <s v="Not Started"/>
    <n v="30"/>
    <n v="5"/>
    <n v="5"/>
    <n v="10"/>
    <m/>
    <m/>
    <s v="In Development"/>
    <n v="0"/>
    <n v="0"/>
    <n v="0"/>
    <n v="0"/>
    <n v="0"/>
    <n v="0"/>
    <n v="0"/>
    <m/>
    <x v="42"/>
    <x v="5"/>
  </r>
  <r>
    <s v="HSP"/>
    <x v="132"/>
    <x v="132"/>
    <x v="10"/>
    <s v="[SSA - HSP] - Addition of SG-wise prompts for prompt category 'Transition'."/>
    <n v="4456204"/>
    <s v="Dinesh"/>
    <s v="Sujana"/>
    <x v="96"/>
    <x v="2"/>
    <s v="LLM/Prompt related story"/>
    <x v="23"/>
    <m/>
    <m/>
    <x v="3"/>
    <m/>
    <m/>
    <m/>
    <m/>
    <m/>
    <m/>
    <x v="3"/>
    <x v="0"/>
    <s v="Not Started"/>
    <s v="Not Started"/>
    <n v="30"/>
    <n v="5"/>
    <n v="5"/>
    <n v="10"/>
    <m/>
    <m/>
    <s v="In Development"/>
    <n v="0"/>
    <n v="0"/>
    <n v="0"/>
    <n v="0"/>
    <n v="0"/>
    <n v="0"/>
    <n v="0"/>
    <m/>
    <x v="42"/>
    <x v="5"/>
  </r>
  <r>
    <s v="HSP"/>
    <x v="132"/>
    <x v="132"/>
    <x v="10"/>
    <s v="[SSA - HSP] - Addition of SG-wise prompts for prompt category 'Program Delivery'."/>
    <n v="4456207"/>
    <s v="Venkat"/>
    <s v="Sujana"/>
    <x v="95"/>
    <x v="2"/>
    <s v="LLM/Prompt related story"/>
    <x v="23"/>
    <m/>
    <m/>
    <x v="3"/>
    <m/>
    <m/>
    <m/>
    <m/>
    <m/>
    <m/>
    <x v="3"/>
    <x v="0"/>
    <s v="Not Started"/>
    <s v="Not Started"/>
    <n v="38"/>
    <n v="6"/>
    <n v="10"/>
    <n v="16"/>
    <m/>
    <m/>
    <s v="In Development"/>
    <n v="0"/>
    <n v="0"/>
    <n v="0"/>
    <n v="0"/>
    <n v="0"/>
    <n v="0"/>
    <n v="0"/>
    <m/>
    <x v="42"/>
    <x v="5"/>
  </r>
  <r>
    <s v="HSP"/>
    <x v="132"/>
    <x v="132"/>
    <x v="10"/>
    <s v="[SSA - HSP] - Addition of SG-wise prompts for prompt category 'Client Expectations'."/>
    <n v="4456193"/>
    <s v="Sujana"/>
    <s v="Dinesh"/>
    <x v="81"/>
    <x v="2"/>
    <s v="LLM/Prompt related story"/>
    <x v="23"/>
    <m/>
    <m/>
    <x v="3"/>
    <m/>
    <m/>
    <m/>
    <m/>
    <m/>
    <m/>
    <x v="3"/>
    <x v="0"/>
    <s v="Not Started"/>
    <s v="Not Started"/>
    <m/>
    <m/>
    <m/>
    <m/>
    <m/>
    <m/>
    <s v="In Development"/>
    <n v="0"/>
    <n v="0"/>
    <n v="0"/>
    <n v="0"/>
    <n v="0"/>
    <n v="0"/>
    <n v="0"/>
    <m/>
    <x v="42"/>
    <x v="5"/>
  </r>
  <r>
    <s v="PMO"/>
    <x v="3"/>
    <x v="3"/>
    <x v="10"/>
    <s v="[PMO] As a PMO user, I should be able to navigate to Manage / Dashboard screen with the new URL from Digital Documentation"/>
    <n v="4446668"/>
    <s v="Aruna"/>
    <s v="Naveen Arunachalam"/>
    <x v="78"/>
    <x v="1"/>
    <m/>
    <x v="1"/>
    <s v="Medium"/>
    <m/>
    <x v="13"/>
    <m/>
    <m/>
    <m/>
    <m/>
    <m/>
    <m/>
    <x v="3"/>
    <x v="0"/>
    <s v="Not Started"/>
    <s v="Not Started"/>
    <m/>
    <m/>
    <m/>
    <m/>
    <m/>
    <m/>
    <s v="PT In Test"/>
    <n v="0"/>
    <n v="0"/>
    <n v="0"/>
    <n v="0"/>
    <n v="0"/>
    <n v="0"/>
    <n v="0"/>
    <m/>
    <x v="11"/>
    <x v="5"/>
  </r>
  <r>
    <s v="Review Agent"/>
    <x v="133"/>
    <x v="133"/>
    <x v="11"/>
    <s v="[SSA-SRA] - SA Review Preparation"/>
    <n v="4456194"/>
    <s v="Nayak"/>
    <s v="Santhwana"/>
    <x v="82"/>
    <x v="0"/>
    <s v="can't be fully automated as story contains LLM response validation"/>
    <x v="24"/>
    <s v="Complex"/>
    <n v="1"/>
    <x v="2"/>
    <m/>
    <m/>
    <m/>
    <m/>
    <m/>
    <m/>
    <x v="0"/>
    <x v="2"/>
    <s v="Completed"/>
    <s v="Blocked"/>
    <m/>
    <m/>
    <m/>
    <m/>
    <m/>
    <m/>
    <s v="PT In Test"/>
    <n v="7"/>
    <n v="0"/>
    <n v="1"/>
    <n v="27"/>
    <n v="35"/>
    <n v="0.2"/>
    <n v="0.875"/>
    <s v="4491106(H)"/>
    <x v="48"/>
    <x v="16"/>
  </r>
  <r>
    <s v="Review Agent"/>
    <x v="131"/>
    <x v="131"/>
    <x v="11"/>
    <s v="[SSA - SRA] - As a MyISP, I want to change the parameter check display format during attribute review."/>
    <n v="4456371"/>
    <s v="Pratik"/>
    <s v="Vignesh"/>
    <x v="83"/>
    <x v="0"/>
    <s v="includes response generation"/>
    <x v="24"/>
    <m/>
    <m/>
    <x v="5"/>
    <m/>
    <m/>
    <m/>
    <m/>
    <m/>
    <m/>
    <x v="0"/>
    <x v="0"/>
    <s v="Completed"/>
    <s v="In Progress"/>
    <m/>
    <m/>
    <m/>
    <m/>
    <m/>
    <m/>
    <s v="PT In Test"/>
    <n v="5"/>
    <n v="0"/>
    <n v="0"/>
    <n v="2"/>
    <n v="7"/>
    <n v="0.7142857142857143"/>
    <n v="1"/>
    <m/>
    <x v="48"/>
    <x v="16"/>
  </r>
  <r>
    <s v="Review Agent"/>
    <x v="131"/>
    <x v="131"/>
    <x v="11"/>
    <s v="[SSA - SRA] - Filter and Search Parameters in Left Navigation Panel on the Review Response Page"/>
    <n v="4456373"/>
    <s v="Harshitha"/>
    <s v="Reshma"/>
    <x v="79"/>
    <x v="0"/>
    <s v="multiple UI scenarios related story with multiple scenarios very complex to automate"/>
    <x v="24"/>
    <s v="Complex"/>
    <m/>
    <x v="0"/>
    <m/>
    <m/>
    <m/>
    <m/>
    <m/>
    <m/>
    <x v="0"/>
    <x v="0"/>
    <s v="Completed"/>
    <s v="In Progress"/>
    <m/>
    <m/>
    <m/>
    <m/>
    <m/>
    <m/>
    <s v="PT In Test"/>
    <n v="3"/>
    <n v="0"/>
    <n v="0"/>
    <n v="6"/>
    <n v="9"/>
    <n v="0.33333333333333331"/>
    <n v="1"/>
    <m/>
    <x v="48"/>
    <x v="16"/>
  </r>
  <r>
    <s v="Review Agent"/>
    <x v="131"/>
    <x v="131"/>
    <x v="11"/>
    <s v="[SSA - SRA] - Feature Tray icons and their functionality."/>
    <n v="4456376"/>
    <s v="Harshitha"/>
    <s v="Reshma"/>
    <x v="79"/>
    <x v="0"/>
    <s v="multiple UI scenarios related story with multiple scenarios very complex to automate"/>
    <x v="24"/>
    <s v="Complex"/>
    <m/>
    <x v="0"/>
    <m/>
    <m/>
    <m/>
    <m/>
    <m/>
    <m/>
    <x v="0"/>
    <x v="0"/>
    <s v="Completed"/>
    <s v="In Progress"/>
    <m/>
    <m/>
    <m/>
    <m/>
    <m/>
    <m/>
    <s v="PT In Test"/>
    <n v="5"/>
    <n v="0"/>
    <n v="0"/>
    <n v="15"/>
    <n v="20"/>
    <n v="0.25"/>
    <n v="1"/>
    <m/>
    <x v="48"/>
    <x v="16"/>
  </r>
  <r>
    <s v="Deal Level Canvas"/>
    <x v="116"/>
    <x v="116"/>
    <x v="11"/>
    <s v="[SSA - DLC] - I want Solution Super Agent icon to intelligently open the deal level canvas module inside it."/>
    <n v="4456380"/>
    <s v="Sushmeta"/>
    <s v="Prasanna"/>
    <x v="75"/>
    <x v="1"/>
    <m/>
    <x v="1"/>
    <m/>
    <m/>
    <x v="1"/>
    <m/>
    <m/>
    <m/>
    <m/>
    <m/>
    <m/>
    <x v="0"/>
    <x v="0"/>
    <s v="Completed"/>
    <s v="Completed"/>
    <m/>
    <m/>
    <m/>
    <m/>
    <m/>
    <m/>
    <s v="Awaiting UAT deployment"/>
    <n v="15"/>
    <n v="0"/>
    <n v="0"/>
    <n v="0"/>
    <n v="15"/>
    <n v="1"/>
    <n v="1"/>
    <m/>
    <x v="44"/>
    <x v="16"/>
  </r>
  <r>
    <s v="Drop 4 - Angular upgrade v19 to v21"/>
    <x v="81"/>
    <x v="81"/>
    <x v="10"/>
    <s v="As a myISP Solution Architect, I want to see the DSP GenAI App migrated to Angular 21"/>
    <n v="4461628"/>
    <s v="Sai Kumar"/>
    <m/>
    <x v="97"/>
    <x v="2"/>
    <s v="US cannot be automated in PROD since new versions cannot be created"/>
    <x v="4"/>
    <m/>
    <m/>
    <x v="3"/>
    <m/>
    <m/>
    <m/>
    <m/>
    <m/>
    <m/>
    <x v="0"/>
    <x v="1"/>
    <s v="Not Started"/>
    <s v="Not Started"/>
    <m/>
    <m/>
    <m/>
    <m/>
    <m/>
    <m/>
    <s v="Active"/>
    <n v="0"/>
    <n v="0"/>
    <n v="0"/>
    <n v="0"/>
    <n v="0"/>
    <n v="0"/>
    <n v="0"/>
    <m/>
    <x v="0"/>
    <x v="0"/>
  </r>
  <r>
    <s v="DSP"/>
    <x v="102"/>
    <x v="102"/>
    <x v="10"/>
    <s v="[DSP Core solution plan] SCC data to be displayed in DSP - AMS &gt; add to contingency slide For Download PPT/PDF , other template decks ."/>
    <n v="4461243"/>
    <s v="Gayatri"/>
    <s v="Veena"/>
    <x v="74"/>
    <x v="2"/>
    <s v="MDA related Cannot be automatable"/>
    <x v="21"/>
    <m/>
    <m/>
    <x v="3"/>
    <m/>
    <m/>
    <m/>
    <m/>
    <m/>
    <m/>
    <x v="0"/>
    <x v="0"/>
    <s v="Completed"/>
    <s v="Not Started"/>
    <n v="13"/>
    <n v="13"/>
    <n v="2"/>
    <n v="15"/>
    <n v="0.8"/>
    <n v="0.8"/>
    <s v="Ready for Test"/>
    <n v="12"/>
    <n v="0"/>
    <n v="0"/>
    <n v="3"/>
    <n v="15"/>
    <n v="0.8"/>
    <n v="1"/>
    <m/>
    <x v="41"/>
    <x v="5"/>
  </r>
  <r>
    <s v="Solution Super Agent"/>
    <x v="134"/>
    <x v="134"/>
    <x v="11"/>
    <s v="[SSA- RFP Goal] As a Solution Architect, I want goal-based action nudges on the SSA landing page for RFP upload, context, and synthesis, so I can start an end-to-end RFP response from one place without switching modules."/>
    <n v="4472826"/>
    <s v="Varadha"/>
    <s v="Swati"/>
    <x v="90"/>
    <x v="0"/>
    <s v="Prompt Validation needed for all Nudges"/>
    <x v="24"/>
    <m/>
    <m/>
    <x v="1"/>
    <m/>
    <m/>
    <m/>
    <m/>
    <m/>
    <m/>
    <x v="0"/>
    <x v="0"/>
    <s v="Completed"/>
    <s v="Not Started"/>
    <n v="40"/>
    <n v="15"/>
    <n v="0"/>
    <n v="15"/>
    <n v="0.8"/>
    <n v="0.9"/>
    <s v="Active"/>
    <n v="0"/>
    <n v="0"/>
    <n v="0"/>
    <n v="15"/>
    <n v="15"/>
    <n v="0"/>
    <n v="0"/>
    <m/>
    <x v="30"/>
    <x v="5"/>
  </r>
  <r>
    <s v="Solution Super Agent"/>
    <x v="134"/>
    <x v="134"/>
    <x v="11"/>
    <s v="[SSA-RFP Goal] As a Solution Architect, I want to upload or select an RFP in SSA chat via the P1 nudge or attach icon, with MMS ID validation, duplicate checks, and auto RFP tagging synced to Document Management."/>
    <n v="4472828"/>
    <s v="Varadha"/>
    <s v="Swati"/>
    <x v="90"/>
    <x v="2"/>
    <s v="Prompt-related story and the document upload multiple files functionality - New story which will be delivered only around 27-28th Apr"/>
    <x v="28"/>
    <s v="Complex"/>
    <m/>
    <x v="3"/>
    <m/>
    <m/>
    <m/>
    <m/>
    <m/>
    <m/>
    <x v="0"/>
    <x v="0"/>
    <s v="Completed"/>
    <s v="Not Started"/>
    <n v="44"/>
    <n v="17"/>
    <n v="0"/>
    <n v="17"/>
    <n v="0.8"/>
    <n v="0.9"/>
    <s v="Active"/>
    <n v="0"/>
    <n v="0"/>
    <n v="0"/>
    <n v="17"/>
    <n v="17"/>
    <n v="0"/>
    <n v="0"/>
    <m/>
    <x v="30"/>
    <x v="5"/>
  </r>
  <r>
    <s v="Solution Super Agent"/>
    <x v="134"/>
    <x v="134"/>
    <x v="11"/>
    <s v="[SSA- RFP Goal] As a Solution Architect, I want real-time upload progress in SSA chat with the chat input locked and left navigation enabled, so I can track uploads while continuing to navigate SSA."/>
    <n v="4472830"/>
    <s v="Varadha"/>
    <s v="Swati"/>
    <x v="90"/>
    <x v="2"/>
    <s v="Real Time Progress check and Switch between different agents and check backend document upload - New story which will be delivered only around 27-28th Apr"/>
    <x v="28"/>
    <s v="Complex"/>
    <m/>
    <x v="3"/>
    <m/>
    <m/>
    <m/>
    <m/>
    <m/>
    <m/>
    <x v="0"/>
    <x v="0"/>
    <s v="Completed"/>
    <s v="Not Started"/>
    <n v="38"/>
    <n v="15"/>
    <n v="0"/>
    <n v="15"/>
    <n v="0.9"/>
    <n v="0.9"/>
    <s v="Active"/>
    <n v="0"/>
    <n v="0"/>
    <n v="0"/>
    <n v="15"/>
    <n v="15"/>
    <n v="0"/>
    <n v="0"/>
    <m/>
    <x v="30"/>
    <x v="5"/>
  </r>
  <r>
    <s v="Solution Super Agent"/>
    <x v="134"/>
    <x v="134"/>
    <x v="11"/>
    <s v="[SSA- RFP Goal] As a Solution Architect, I want SSA to surface the 3 opportunity context questions from myISP with current answers and allow inline updates synced back to myISP, so RFPs stay aligned to client strategy without switching tools."/>
    <n v="4473194"/>
    <s v="Varadha"/>
    <s v="Swati"/>
    <x v="90"/>
    <x v="2"/>
    <s v="Prompts Related testing which switching between 3 MMS ID and verify response and contains API validation.  - New story which will be delivered only around 27-28th Apr"/>
    <x v="28"/>
    <s v="Complex"/>
    <m/>
    <x v="3"/>
    <m/>
    <m/>
    <m/>
    <m/>
    <m/>
    <m/>
    <x v="0"/>
    <x v="0"/>
    <s v="Completed"/>
    <s v="Not Started"/>
    <n v="38"/>
    <n v="17"/>
    <n v="0"/>
    <n v="17"/>
    <n v="0.8"/>
    <n v="0.7"/>
    <s v="New"/>
    <n v="0"/>
    <n v="0"/>
    <n v="0"/>
    <n v="17"/>
    <n v="17"/>
    <n v="0"/>
    <n v="0"/>
    <m/>
    <x v="30"/>
    <x v="5"/>
  </r>
  <r>
    <s v="Solution Super Agent"/>
    <x v="134"/>
    <x v="134"/>
    <x v="11"/>
    <s v="[SSA- RFP Goal] As a Solution Architect, I want SSA to auto-detect the persona from RDE, let me confirm or change it, generate a new synthesis, and expose a navigation tile, so I can create persona-fit RFPs without manual module navigation."/>
    <n v="4473683"/>
    <s v="Kalpana"/>
    <s v="Navya"/>
    <x v="92"/>
    <x v="2"/>
    <s v="LLM/Prompt related story - New story which will be delivered only around 27-28th Apr"/>
    <x v="28"/>
    <m/>
    <m/>
    <x v="3"/>
    <m/>
    <m/>
    <m/>
    <m/>
    <m/>
    <m/>
    <x v="0"/>
    <x v="0"/>
    <s v="Completed"/>
    <s v="Not Started"/>
    <n v="39"/>
    <n v="5"/>
    <n v="10"/>
    <n v="10"/>
    <n v="0.6"/>
    <n v="0.6"/>
    <s v="New"/>
    <n v="0"/>
    <n v="0"/>
    <n v="0"/>
    <n v="10"/>
    <m/>
    <n v="0"/>
    <n v="0"/>
    <m/>
    <x v="30"/>
    <x v="5"/>
  </r>
  <r>
    <s v="Solution Super Agent"/>
    <x v="134"/>
    <x v="134"/>
    <x v="11"/>
    <s v="[SSA- RFP Goal] As a Solution Architect, I want to view and compare RFP synthesis versions (with Master flag) in SSA chat and get an AI comparison with a Modify option, so I can select the right version without leaving SSA."/>
    <n v="4475272"/>
    <s v="Kalpana"/>
    <s v="Navya"/>
    <x v="92"/>
    <x v="2"/>
    <s v="Prompts Related testing which switching between 3 MMS ID and verify response and contains API validation.  - New story which will be delivered only around 27-28th Apr"/>
    <x v="28"/>
    <m/>
    <m/>
    <x v="3"/>
    <m/>
    <m/>
    <m/>
    <m/>
    <m/>
    <m/>
    <x v="0"/>
    <x v="0"/>
    <s v="Completed"/>
    <s v="Not Started"/>
    <n v="42"/>
    <n v="6"/>
    <n v="11"/>
    <n v="11"/>
    <n v="0.6"/>
    <n v="0.6"/>
    <s v="Active"/>
    <n v="0"/>
    <n v="0"/>
    <n v="0"/>
    <n v="11"/>
    <m/>
    <n v="0"/>
    <n v="0"/>
    <m/>
    <x v="30"/>
    <x v="5"/>
  </r>
  <r>
    <s v="Gen AI"/>
    <x v="117"/>
    <x v="117"/>
    <x v="11"/>
    <s v="[GEN AI - Opportunity Benchmark] --SSA Chat Benchmark Cohort Picker Enhancement"/>
    <n v="4475571"/>
    <s v="Sai Kumar"/>
    <m/>
    <x v="97"/>
    <x v="0"/>
    <s v="As OBM LLM Sotry, we will validate UI Fields as much as possible"/>
    <x v="1"/>
    <m/>
    <m/>
    <x v="22"/>
    <m/>
    <m/>
    <m/>
    <m/>
    <m/>
    <m/>
    <x v="0"/>
    <x v="1"/>
    <s v="Not Started"/>
    <s v="Not Started"/>
    <m/>
    <m/>
    <m/>
    <m/>
    <m/>
    <m/>
    <s v="Active"/>
    <n v="0"/>
    <n v="0"/>
    <n v="0"/>
    <n v="0"/>
    <n v="0"/>
    <n v="0"/>
    <n v="0"/>
    <m/>
    <x v="30"/>
    <x v="5"/>
  </r>
  <r>
    <s v="Gen AI"/>
    <x v="117"/>
    <x v="117"/>
    <x v="11"/>
    <s v="[GEN AI - Opportunity Benchmark] - GenAI Insights MMS ID Unmasking &amp; Client Name Display"/>
    <n v="4475587"/>
    <s v="Sai Kumar"/>
    <m/>
    <x v="97"/>
    <x v="2"/>
    <s v="AS PBI Related story,  Dynamic insights can't be validated as values and text will change everytime based on Refresh"/>
    <x v="6"/>
    <m/>
    <m/>
    <x v="3"/>
    <m/>
    <m/>
    <m/>
    <m/>
    <m/>
    <m/>
    <x v="0"/>
    <x v="1"/>
    <s v="Not Started"/>
    <s v="Not Started"/>
    <m/>
    <m/>
    <m/>
    <m/>
    <m/>
    <m/>
    <s v="New"/>
    <n v="0"/>
    <n v="0"/>
    <n v="0"/>
    <n v="0"/>
    <n v="0"/>
    <n v="0"/>
    <n v="0"/>
    <m/>
    <x v="45"/>
    <x v="16"/>
  </r>
  <r>
    <s v="Solution Super Agent"/>
    <x v="134"/>
    <x v="134"/>
    <x v="11"/>
    <s v="[SSA-DLC Goal] - As a MyISP user, I want to create a new DLC version using Synthesized RFP version as input, through action-based prompts in the SSA chat."/>
    <n v="4475823"/>
    <s v="Santhwana"/>
    <s v="Nayak"/>
    <x v="87"/>
    <x v="1"/>
    <m/>
    <x v="1"/>
    <s v="Medium"/>
    <m/>
    <x v="1"/>
    <n v="1"/>
    <n v="0"/>
    <n v="1"/>
    <n v="1"/>
    <n v="0.05"/>
    <n v="0.02"/>
    <x v="0"/>
    <x v="0"/>
    <s v="Completed"/>
    <s v="Not Started"/>
    <n v="27"/>
    <n v="0"/>
    <n v="23"/>
    <n v="23"/>
    <n v="0.1"/>
    <n v="0.05"/>
    <s v="Active"/>
    <n v="0"/>
    <n v="0"/>
    <n v="0"/>
    <n v="23"/>
    <n v="23"/>
    <n v="0"/>
    <n v="0"/>
    <m/>
    <x v="30"/>
    <x v="5"/>
  </r>
  <r>
    <s v="Solution Super Agent"/>
    <x v="134"/>
    <x v="134"/>
    <x v="11"/>
    <s v="[SSA-DLC Goal] - As a MyISP user, I want to create a new DLC version using DSP version/Other documents as input, through action-based prompts in the SSA chat."/>
    <n v="4475827"/>
    <s v="Santhwana"/>
    <s v="Nayak"/>
    <x v="87"/>
    <x v="1"/>
    <m/>
    <x v="1"/>
    <s v="Medium"/>
    <m/>
    <x v="1"/>
    <n v="1"/>
    <n v="0"/>
    <n v="1"/>
    <n v="1"/>
    <n v="0.05"/>
    <n v="0.02"/>
    <x v="0"/>
    <x v="0"/>
    <s v="Completed"/>
    <s v="Not Started"/>
    <n v="48"/>
    <n v="0"/>
    <n v="22"/>
    <n v="22"/>
    <n v="0.1"/>
    <n v="0.05"/>
    <s v="Active"/>
    <n v="0"/>
    <n v="0"/>
    <n v="0"/>
    <n v="22"/>
    <n v="22"/>
    <n v="0"/>
    <n v="0"/>
    <m/>
    <x v="30"/>
    <x v="5"/>
  </r>
  <r>
    <s v="Solution Super Agent"/>
    <x v="134"/>
    <x v="134"/>
    <x v="11"/>
    <s v="[SSA- RFP Goal] As a Solution Architect, I want the SSA agent to suggest 2–3 relevant next actions after synthesis or comparison, aligned to my last step, so I can continue the RFP workflow without remembering the next action."/>
    <n v="4475909"/>
    <s v="Haripriya"/>
    <s v="Naveen Arunachalam"/>
    <x v="85"/>
    <x v="2"/>
    <s v="LLM/Prompt related story as we need to validate he follow-up questions after response generation"/>
    <x v="23"/>
    <m/>
    <m/>
    <x v="3"/>
    <m/>
    <m/>
    <m/>
    <m/>
    <m/>
    <m/>
    <x v="3"/>
    <x v="1"/>
    <s v="Not Started"/>
    <s v="Not Started"/>
    <n v="38"/>
    <m/>
    <m/>
    <m/>
    <m/>
    <m/>
    <s v="New"/>
    <n v="0"/>
    <n v="0"/>
    <n v="0"/>
    <n v="4"/>
    <n v="4"/>
    <n v="0"/>
    <n v="0"/>
    <m/>
    <x v="30"/>
    <x v="5"/>
  </r>
  <r>
    <s v="GEN AI"/>
    <x v="135"/>
    <x v="135"/>
    <x v="11"/>
    <s v="[GENAI - OBM] Unmasking the Client details in Benchmark Opportunity Picker for OBM."/>
    <n v="4476698"/>
    <s v="Sai Kumar"/>
    <m/>
    <x v="97"/>
    <x v="0"/>
    <s v="AS PBI Related story,  we will validate UI Fields as much as possible"/>
    <x v="1"/>
    <m/>
    <m/>
    <x v="22"/>
    <m/>
    <m/>
    <m/>
    <m/>
    <m/>
    <m/>
    <x v="0"/>
    <x v="1"/>
    <s v="Not Started"/>
    <s v="Not Started"/>
    <m/>
    <m/>
    <m/>
    <m/>
    <m/>
    <m/>
    <s v="New"/>
    <n v="0"/>
    <n v="0"/>
    <n v="0"/>
    <n v="0"/>
    <n v="0"/>
    <n v="0"/>
    <n v="0"/>
    <m/>
    <x v="45"/>
    <x v="16"/>
  </r>
  <r>
    <s v="GEN AI"/>
    <x v="135"/>
    <x v="135"/>
    <x v="11"/>
    <s v="[GEN AI - OBM] Displaying all details in Demographics section without masking for both Cost and Metrics tabs."/>
    <n v="4477040"/>
    <s v="Sai Kumar"/>
    <m/>
    <x v="97"/>
    <x v="0"/>
    <s v="AS PBI Related story,  we will validate UI Fields as much as possible"/>
    <x v="1"/>
    <m/>
    <m/>
    <x v="22"/>
    <m/>
    <m/>
    <m/>
    <m/>
    <m/>
    <m/>
    <x v="0"/>
    <x v="1"/>
    <s v="Not Started"/>
    <s v="Not Started"/>
    <m/>
    <m/>
    <m/>
    <m/>
    <m/>
    <m/>
    <s v="New"/>
    <n v="0"/>
    <n v="0"/>
    <n v="0"/>
    <n v="0"/>
    <n v="0"/>
    <n v="0"/>
    <n v="0"/>
    <m/>
    <x v="45"/>
    <x v="16"/>
  </r>
  <r>
    <s v="Solution Super Agent"/>
    <x v="134"/>
    <x v="134"/>
    <x v="11"/>
    <s v="[SSA-DLC Goal] - As a MyISP user, I want to View &amp; open the existing DLC versions using Synthesized RFP version as input, through action-based prompts in the SSA chat."/>
    <n v="4480695"/>
    <s v="Pratik"/>
    <m/>
    <x v="83"/>
    <x v="3"/>
    <m/>
    <x v="1"/>
    <m/>
    <m/>
    <x v="3"/>
    <m/>
    <m/>
    <m/>
    <m/>
    <m/>
    <m/>
    <x v="1"/>
    <x v="1"/>
    <s v="Not Started"/>
    <s v="Not Started"/>
    <m/>
    <m/>
    <m/>
    <m/>
    <m/>
    <m/>
    <s v="Active"/>
    <n v="0"/>
    <n v="0"/>
    <n v="0"/>
    <n v="0"/>
    <n v="0"/>
    <n v="0"/>
    <n v="0"/>
    <m/>
    <x v="30"/>
    <x v="5"/>
  </r>
  <r>
    <s v="Impact of Productivity&amp;Impacted Screens_Employee&amp;HR _E2E_(EmpSupport &amp; WFDA)_Test Only_Part 2"/>
    <x v="136"/>
    <x v="136"/>
    <x v="12"/>
    <s v="FY26 [BPMS BAU] - Impact of Productivity&amp;Impacted Screens_Employee&amp;HR _E2E_(EmpSupport &amp; WFDA)_Test Only_Part 2"/>
    <n v="4451501"/>
    <s v="Aayushi"/>
    <s v="pavithra"/>
    <x v="3"/>
    <x v="2"/>
    <s v="BPMS BAU"/>
    <x v="16"/>
    <s v="Medium"/>
    <m/>
    <x v="3"/>
    <m/>
    <m/>
    <m/>
    <m/>
    <m/>
    <m/>
    <x v="1"/>
    <x v="0"/>
    <s v="Not Started"/>
    <s v="Not Started"/>
    <m/>
    <m/>
    <m/>
    <m/>
    <m/>
    <m/>
    <s v="Ready for UAT"/>
    <n v="0"/>
    <n v="0"/>
    <n v="0"/>
    <n v="0"/>
    <n v="0"/>
    <n v="0"/>
    <n v="0"/>
    <m/>
    <x v="26"/>
    <x v="12"/>
  </r>
  <r>
    <s v="FY26 [BPMS BAU] - Impact of Productivity&amp;Impacted Screens_Case Management__Test Only_Part 2"/>
    <x v="136"/>
    <x v="136"/>
    <x v="12"/>
    <s v="FY26 [BPMS BAU] - Impact of Productivity&amp;Impacted Screens_Case Management__Test Only_Part 2"/>
    <n v="4451544"/>
    <s v="Rubhashri"/>
    <s v="pavithra"/>
    <x v="3"/>
    <x v="2"/>
    <s v="BPMS BAU"/>
    <x v="16"/>
    <s v="Medium"/>
    <m/>
    <x v="3"/>
    <m/>
    <m/>
    <m/>
    <m/>
    <m/>
    <m/>
    <x v="1"/>
    <x v="0"/>
    <s v="Not Started"/>
    <s v="Not Started"/>
    <m/>
    <m/>
    <m/>
    <m/>
    <m/>
    <m/>
    <s v="Ready for UAT"/>
    <n v="0"/>
    <n v="0"/>
    <n v="0"/>
    <n v="0"/>
    <n v="0"/>
    <n v="0"/>
    <n v="0"/>
    <m/>
    <x v="26"/>
    <x v="12"/>
  </r>
  <r>
    <s v="Validate Productivity Dashboard Reflects Updated Values_Talent_Services"/>
    <x v="137"/>
    <x v="137"/>
    <x v="12"/>
    <s v="FY26 [BPMS BAU] - Validate Productivity Dashboard Reflects Updated Values_Talent_Services"/>
    <n v="4444378"/>
    <s v="Aayushi"/>
    <s v="pavithra"/>
    <x v="3"/>
    <x v="2"/>
    <s v="BPMS BAU"/>
    <x v="16"/>
    <s v="Medium"/>
    <m/>
    <x v="3"/>
    <m/>
    <m/>
    <m/>
    <m/>
    <m/>
    <m/>
    <x v="1"/>
    <x v="0"/>
    <s v="Not Started"/>
    <s v="Not Started"/>
    <m/>
    <m/>
    <m/>
    <m/>
    <m/>
    <m/>
    <s v="Ready for UAT"/>
    <n v="0"/>
    <n v="0"/>
    <n v="0"/>
    <n v="0"/>
    <n v="0"/>
    <n v="0"/>
    <n v="0"/>
    <m/>
    <x v="26"/>
    <x v="12"/>
  </r>
  <r>
    <s v="Validate Pyramid Details, GDC, and Reports Reflect Updated Productivity_Talent_Services"/>
    <x v="137"/>
    <x v="137"/>
    <x v="12"/>
    <s v="FY26 [BPMS BAU] - Validate Pyramid Details, GDC, and Reports Reflect Updated Productivity_Talent_Services"/>
    <n v="4444380"/>
    <s v="Rubhashri"/>
    <s v="pavithra"/>
    <x v="3"/>
    <x v="2"/>
    <s v="BPMS BAU"/>
    <x v="16"/>
    <s v="Complex"/>
    <m/>
    <x v="3"/>
    <m/>
    <m/>
    <m/>
    <m/>
    <m/>
    <m/>
    <x v="1"/>
    <x v="0"/>
    <s v="Not Started"/>
    <s v="Not Started"/>
    <m/>
    <m/>
    <m/>
    <m/>
    <m/>
    <m/>
    <s v="Ready for UAT"/>
    <n v="0"/>
    <n v="0"/>
    <n v="0"/>
    <n v="0"/>
    <n v="0"/>
    <n v="0"/>
    <n v="0"/>
    <m/>
    <x v="26"/>
    <x v="12"/>
  </r>
  <r>
    <s v="New Service Component Onboarding_Talent_Services_Learning Experience and Pathways"/>
    <x v="137"/>
    <x v="137"/>
    <x v="12"/>
    <s v=" FY26 [BPMS BAU] - New Service Component Onboarding_Talent_Services_Talent_Development_Learning Experience and Pathways - Test Only"/>
    <n v="4436250"/>
    <s v="Vishnu"/>
    <s v="pavithra"/>
    <x v="3"/>
    <x v="2"/>
    <s v="BPMS BAU"/>
    <x v="16"/>
    <s v="Medium"/>
    <m/>
    <x v="3"/>
    <m/>
    <m/>
    <m/>
    <m/>
    <m/>
    <m/>
    <x v="1"/>
    <x v="0"/>
    <s v="Not Started"/>
    <s v="Not Started"/>
    <m/>
    <m/>
    <m/>
    <m/>
    <m/>
    <m/>
    <s v="Ready for UAT"/>
    <n v="0"/>
    <n v="0"/>
    <n v="0"/>
    <n v="0"/>
    <n v="0"/>
    <n v="0"/>
    <n v="0"/>
    <m/>
    <x v="26"/>
    <x v="12"/>
  </r>
  <r>
    <s v=" Introduction of new tools_System Generated_Manual and Retention of Foundational Tools for Employee HR_Talent_Part2"/>
    <x v="137"/>
    <x v="137"/>
    <x v="12"/>
    <s v=" FY26 [BPMS BAU] - Introduction of new tools_System Generated_Manual and Retention of Foundational Tools for Employee HR_Talent_Part2"/>
    <n v="4387265"/>
    <s v="Aayushi"/>
    <s v="pavithra"/>
    <x v="3"/>
    <x v="2"/>
    <s v="BPMS BAU"/>
    <x v="16"/>
    <s v="Medium"/>
    <m/>
    <x v="3"/>
    <m/>
    <m/>
    <m/>
    <m/>
    <m/>
    <m/>
    <x v="1"/>
    <x v="0"/>
    <s v="Not Started"/>
    <s v="Not Started"/>
    <m/>
    <m/>
    <m/>
    <m/>
    <m/>
    <m/>
    <s v="PT In Test"/>
    <n v="0"/>
    <n v="0"/>
    <n v="0"/>
    <n v="0"/>
    <n v="0"/>
    <n v="0"/>
    <n v="0"/>
    <m/>
    <x v="26"/>
    <x v="12"/>
  </r>
  <r>
    <s v="Introduction of new tools_System Generated_Manual and Retention of Foundational Tools for Employee HR_Talent_Part1"/>
    <x v="137"/>
    <x v="137"/>
    <x v="12"/>
    <s v=" FY26 [BPMS BAU] - Introduction of new tools_System Generated_Manual and Retention of Foundational Tools for Employee HR_Talent_Part1"/>
    <n v="4444286"/>
    <s v="Vishnu"/>
    <s v="pavithra"/>
    <x v="3"/>
    <x v="2"/>
    <s v="BPMS BAU"/>
    <x v="16"/>
    <s v="Complex"/>
    <m/>
    <x v="3"/>
    <m/>
    <m/>
    <m/>
    <m/>
    <m/>
    <m/>
    <x v="1"/>
    <x v="0"/>
    <s v="Not Started"/>
    <s v="Not Started"/>
    <m/>
    <m/>
    <m/>
    <m/>
    <m/>
    <m/>
    <s v="PT In Test"/>
    <n v="0"/>
    <n v="0"/>
    <n v="0"/>
    <n v="0"/>
    <n v="0"/>
    <n v="0"/>
    <n v="0"/>
    <m/>
    <x v="26"/>
    <x v="12"/>
  </r>
  <r>
    <s v="May Release"/>
    <x v="138"/>
    <x v="138"/>
    <x v="13"/>
    <s v="As a Solution Architect, I want a dedicated SEP Pricing Inputs UI for SI with prerequisite validations, so that I can provide all mandatory inputs required to successfully trigger SI OCP generation"/>
    <n v="4449701"/>
    <s v="Lohit"/>
    <s v="pavithra"/>
    <x v="3"/>
    <x v="2"/>
    <s v="IMS BAU"/>
    <x v="29"/>
    <m/>
    <m/>
    <x v="3"/>
    <m/>
    <m/>
    <m/>
    <m/>
    <m/>
    <m/>
    <x v="1"/>
    <x v="0"/>
    <s v="Not Started"/>
    <s v="Not Started"/>
    <m/>
    <m/>
    <m/>
    <m/>
    <m/>
    <m/>
    <s v="PT In Test"/>
    <n v="0"/>
    <n v="0"/>
    <n v="0"/>
    <n v="0"/>
    <n v="0"/>
    <n v="0"/>
    <n v="0"/>
    <m/>
    <x v="49"/>
    <x v="1"/>
  </r>
  <r>
    <s v="May Release"/>
    <x v="138"/>
    <x v="138"/>
    <x v="13"/>
    <s v="As a Solution Architect, I want to define system-defined and custom groups for SI, so that pricing and contingency can be managed at the appropriate grouping level."/>
    <n v="4449702"/>
    <s v="Lohit"/>
    <s v="pavithra"/>
    <x v="3"/>
    <x v="2"/>
    <s v="IMS BAU"/>
    <x v="29"/>
    <m/>
    <m/>
    <x v="3"/>
    <m/>
    <m/>
    <m/>
    <m/>
    <m/>
    <m/>
    <x v="1"/>
    <x v="0"/>
    <s v="Not Started"/>
    <s v="Not Started"/>
    <m/>
    <m/>
    <m/>
    <m/>
    <m/>
    <m/>
    <s v="PT In Test"/>
    <n v="0"/>
    <n v="0"/>
    <n v="0"/>
    <n v="0"/>
    <n v="0"/>
    <n v="0"/>
    <n v="0"/>
    <m/>
    <x v="49"/>
    <x v="1"/>
  </r>
  <r>
    <s v="May Release"/>
    <x v="138"/>
    <x v="138"/>
    <x v="13"/>
    <s v="As a Solution Architect, I want to define contractual coverage and FX risk details for SI, so that pricing reflects contract-driven risk exposure."/>
    <n v="4449703"/>
    <s v="Lohit"/>
    <s v="pavithra"/>
    <x v="3"/>
    <x v="2"/>
    <s v="IMS BAU"/>
    <x v="29"/>
    <m/>
    <m/>
    <x v="3"/>
    <m/>
    <m/>
    <m/>
    <m/>
    <m/>
    <m/>
    <x v="1"/>
    <x v="0"/>
    <s v="Not Started"/>
    <s v="Not Started"/>
    <m/>
    <m/>
    <m/>
    <m/>
    <m/>
    <m/>
    <s v="PT In Test"/>
    <n v="0"/>
    <n v="0"/>
    <n v="0"/>
    <n v="0"/>
    <n v="0"/>
    <n v="0"/>
    <n v="0"/>
    <m/>
    <x v="49"/>
    <x v="1"/>
  </r>
  <r>
    <s v="May Release"/>
    <x v="138"/>
    <x v="138"/>
    <x v="13"/>
    <s v="As a Solution Architect, I want to define contingency and PMO parameters for SI, so that risk buffers are accurately included in pricing."/>
    <n v="4449704"/>
    <s v="Lohit"/>
    <s v="pavithra"/>
    <x v="3"/>
    <x v="2"/>
    <s v="IMS BAU"/>
    <x v="29"/>
    <m/>
    <m/>
    <x v="3"/>
    <m/>
    <m/>
    <m/>
    <m/>
    <m/>
    <m/>
    <x v="1"/>
    <x v="0"/>
    <s v="Not Started"/>
    <s v="Not Started"/>
    <m/>
    <m/>
    <m/>
    <m/>
    <m/>
    <m/>
    <s v="PT In Test"/>
    <n v="0"/>
    <n v="0"/>
    <n v="0"/>
    <n v="0"/>
    <n v="0"/>
    <n v="0"/>
    <n v="0"/>
    <m/>
    <x v="49"/>
    <x v="1"/>
  </r>
  <r>
    <s v="May Release"/>
    <x v="138"/>
    <x v="138"/>
    <x v="13"/>
    <s v="As a Solution Architect, I want to configure billing terms and SLA service credits for SI, so that pricing aligns with contractual billing structures."/>
    <n v="4449705"/>
    <s v="Lohit"/>
    <s v="pavithra"/>
    <x v="3"/>
    <x v="2"/>
    <s v="IMS BAU"/>
    <x v="29"/>
    <m/>
    <m/>
    <x v="3"/>
    <m/>
    <m/>
    <m/>
    <m/>
    <m/>
    <m/>
    <x v="1"/>
    <x v="0"/>
    <s v="Not Started"/>
    <s v="Not Started"/>
    <m/>
    <m/>
    <m/>
    <m/>
    <m/>
    <m/>
    <s v="PT In Test"/>
    <n v="0"/>
    <n v="0"/>
    <n v="0"/>
    <n v="0"/>
    <n v="0"/>
    <n v="0"/>
    <n v="0"/>
    <m/>
    <x v="49"/>
    <x v="1"/>
  </r>
  <r>
    <s v="May Release"/>
    <x v="138"/>
    <x v="138"/>
    <x v="13"/>
    <s v="As a Solution Architect, I want to choose between deal-wide pricing or pricing by group, so that SI pricing can be modeled accurately."/>
    <n v="4449706"/>
    <s v="Lohit"/>
    <s v="pavithra"/>
    <x v="3"/>
    <x v="2"/>
    <s v="IMS BAU"/>
    <x v="29"/>
    <m/>
    <m/>
    <x v="3"/>
    <m/>
    <m/>
    <m/>
    <m/>
    <m/>
    <m/>
    <x v="1"/>
    <x v="0"/>
    <s v="Not Started"/>
    <s v="Not Started"/>
    <m/>
    <m/>
    <m/>
    <m/>
    <m/>
    <m/>
    <s v="PT In Test"/>
    <n v="0"/>
    <n v="0"/>
    <n v="0"/>
    <n v="0"/>
    <n v="0"/>
    <n v="0"/>
    <n v="0"/>
    <m/>
    <x v="49"/>
    <x v="1"/>
  </r>
  <r>
    <s v="May Release"/>
    <x v="138"/>
    <x v="138"/>
    <x v="13"/>
    <s v="As a Solution Architect, I want to configure rate cards for SI, so that labor pricing is calculated correctly in OCP."/>
    <n v="4449707"/>
    <s v="Lohit"/>
    <s v="pavithra"/>
    <x v="3"/>
    <x v="2"/>
    <s v="IMS BAU"/>
    <x v="29"/>
    <m/>
    <m/>
    <x v="3"/>
    <m/>
    <m/>
    <m/>
    <m/>
    <m/>
    <m/>
    <x v="1"/>
    <x v="0"/>
    <s v="Not Started"/>
    <s v="Not Started"/>
    <m/>
    <m/>
    <m/>
    <m/>
    <m/>
    <m/>
    <s v="PT In Test"/>
    <n v="0"/>
    <n v="0"/>
    <n v="0"/>
    <n v="0"/>
    <n v="0"/>
    <n v="0"/>
    <n v="0"/>
    <m/>
    <x v="49"/>
    <x v="1"/>
  </r>
  <r>
    <s v="May Release"/>
    <x v="138"/>
    <x v="138"/>
    <x v="13"/>
    <s v="As a Solution Architect, I want to trigger the One Click Pricing (OCP) Engine for IMS and SI with clear sync behavior and user selection, so that cost and price simulations reflect exactly the service data I intend to sync."/>
    <n v="4449708"/>
    <s v="Lohit"/>
    <s v="pavithra"/>
    <x v="3"/>
    <x v="2"/>
    <s v="IMS BAU"/>
    <x v="29"/>
    <m/>
    <m/>
    <x v="3"/>
    <m/>
    <m/>
    <m/>
    <m/>
    <m/>
    <m/>
    <x v="1"/>
    <x v="0"/>
    <s v="Not Started"/>
    <s v="Not Started"/>
    <m/>
    <m/>
    <m/>
    <m/>
    <m/>
    <m/>
    <s v="PT In Test"/>
    <n v="0"/>
    <n v="0"/>
    <n v="0"/>
    <n v="0"/>
    <n v="0"/>
    <n v="0"/>
    <n v="0"/>
    <m/>
    <x v="49"/>
    <x v="1"/>
  </r>
  <r>
    <s v="May Release"/>
    <x v="139"/>
    <x v="139"/>
    <x v="13"/>
    <s v="As a Solution Architect, I want the ability to abort an in‑progress Multi‑Service Deal Analytics (MSDA) sync from INSPIRE, so that I can stop long‑running or incorrect MSDA simulations without waiting for completion."/>
    <n v="4449709"/>
    <s v="Lohit"/>
    <s v="pavithra"/>
    <x v="3"/>
    <x v="2"/>
    <s v="IMS BAU"/>
    <x v="29"/>
    <m/>
    <m/>
    <x v="3"/>
    <m/>
    <m/>
    <m/>
    <m/>
    <m/>
    <m/>
    <x v="1"/>
    <x v="0"/>
    <s v="Not Started"/>
    <s v="Not Started"/>
    <m/>
    <m/>
    <m/>
    <m/>
    <m/>
    <m/>
    <s v="PT In Test"/>
    <n v="0"/>
    <n v="0"/>
    <n v="0"/>
    <n v="0"/>
    <n v="0"/>
    <n v="0"/>
    <n v="0"/>
    <m/>
    <x v="49"/>
    <x v="1"/>
  </r>
  <r>
    <s v="May Release"/>
    <x v="140"/>
    <x v="140"/>
    <x v="13"/>
    <s v="As a system user, I want to configure new offerings, services, and sub‑services, So that the service catalog reflects expanded operational capabilities"/>
    <n v="4450101"/>
    <s v="Lohit"/>
    <s v="pavithra"/>
    <x v="3"/>
    <x v="2"/>
    <s v="IMS BAU"/>
    <x v="29"/>
    <m/>
    <m/>
    <x v="3"/>
    <m/>
    <m/>
    <m/>
    <m/>
    <m/>
    <m/>
    <x v="1"/>
    <x v="0"/>
    <s v="Not Started"/>
    <s v="Not Started"/>
    <m/>
    <m/>
    <m/>
    <m/>
    <m/>
    <m/>
    <s v="PT In Test"/>
    <n v="0"/>
    <n v="0"/>
    <n v="0"/>
    <n v="0"/>
    <n v="0"/>
    <n v="0"/>
    <n v="0"/>
    <m/>
    <x v="49"/>
    <x v="1"/>
  </r>
  <r>
    <s v="May Release"/>
    <x v="141"/>
    <x v="141"/>
    <x v="13"/>
    <s v="UAT CRs"/>
    <n v="4450106"/>
    <s v="Lohit"/>
    <s v="pavithra"/>
    <x v="3"/>
    <x v="2"/>
    <s v="IMS BAU"/>
    <x v="29"/>
    <m/>
    <m/>
    <x v="3"/>
    <m/>
    <m/>
    <m/>
    <m/>
    <m/>
    <m/>
    <x v="1"/>
    <x v="0"/>
    <s v="Not Started"/>
    <s v="Not Started"/>
    <m/>
    <m/>
    <m/>
    <m/>
    <m/>
    <m/>
    <s v="PT In Test"/>
    <n v="0"/>
    <n v="0"/>
    <n v="0"/>
    <n v="0"/>
    <n v="0"/>
    <n v="0"/>
    <n v="0"/>
    <m/>
    <x v="49"/>
    <x v="1"/>
  </r>
  <r>
    <s v="May Release"/>
    <x v="142"/>
    <x v="142"/>
    <x v="13"/>
    <s v="Monthly MRDB - May'26 Release"/>
    <n v="4450108"/>
    <s v="Lohit"/>
    <s v="pavithra"/>
    <x v="3"/>
    <x v="2"/>
    <s v="IMS BAU"/>
    <x v="29"/>
    <m/>
    <m/>
    <x v="3"/>
    <m/>
    <m/>
    <m/>
    <m/>
    <m/>
    <m/>
    <x v="1"/>
    <x v="0"/>
    <s v="Not Started"/>
    <s v="Not Started"/>
    <m/>
    <m/>
    <m/>
    <m/>
    <m/>
    <m/>
    <s v="Active"/>
    <n v="0"/>
    <n v="0"/>
    <n v="0"/>
    <n v="0"/>
    <n v="0"/>
    <n v="0"/>
    <n v="0"/>
    <m/>
    <x v="49"/>
    <x v="1"/>
  </r>
  <r>
    <s v="May Release"/>
    <x v="143"/>
    <x v="143"/>
    <x v="13"/>
    <s v="May Release - Regression Testing"/>
    <n v="4450110"/>
    <s v="Lohit"/>
    <s v="pavithra"/>
    <x v="3"/>
    <x v="2"/>
    <s v="IMS BAU"/>
    <x v="29"/>
    <m/>
    <m/>
    <x v="3"/>
    <m/>
    <m/>
    <m/>
    <m/>
    <m/>
    <m/>
    <x v="1"/>
    <x v="0"/>
    <s v="Not Started"/>
    <s v="Not Started"/>
    <m/>
    <m/>
    <m/>
    <m/>
    <m/>
    <m/>
    <s v="Active"/>
    <n v="0"/>
    <n v="0"/>
    <n v="0"/>
    <n v="0"/>
    <n v="0"/>
    <n v="0"/>
    <n v="0"/>
    <m/>
    <x v="49"/>
    <x v="1"/>
  </r>
  <r>
    <s v="May Release"/>
    <x v="144"/>
    <x v="144"/>
    <x v="13"/>
    <s v="Sonar Lint - 1"/>
    <n v="4450111"/>
    <s v="Lohit"/>
    <s v="pavithra"/>
    <x v="3"/>
    <x v="2"/>
    <s v="IMS BAU"/>
    <x v="29"/>
    <m/>
    <m/>
    <x v="3"/>
    <m/>
    <m/>
    <m/>
    <m/>
    <m/>
    <m/>
    <x v="1"/>
    <x v="0"/>
    <s v="Not Started"/>
    <s v="Not Started"/>
    <m/>
    <m/>
    <m/>
    <m/>
    <m/>
    <m/>
    <s v="Active"/>
    <n v="0"/>
    <n v="0"/>
    <n v="0"/>
    <n v="0"/>
    <n v="0"/>
    <n v="0"/>
    <n v="0"/>
    <m/>
    <x v="49"/>
    <x v="1"/>
  </r>
  <r>
    <s v="May Release"/>
    <x v="144"/>
    <x v="144"/>
    <x v="13"/>
    <s v="Sonar Lint - 2"/>
    <n v="4450112"/>
    <s v="Lohit"/>
    <s v="pavithra"/>
    <x v="3"/>
    <x v="2"/>
    <s v="IMS BAU"/>
    <x v="29"/>
    <m/>
    <m/>
    <x v="3"/>
    <m/>
    <m/>
    <m/>
    <m/>
    <m/>
    <m/>
    <x v="1"/>
    <x v="0"/>
    <s v="Not Started"/>
    <s v="Not Started"/>
    <m/>
    <m/>
    <m/>
    <m/>
    <m/>
    <m/>
    <s v="Active"/>
    <n v="0"/>
    <n v="0"/>
    <n v="0"/>
    <n v="0"/>
    <n v="0"/>
    <n v="0"/>
    <n v="0"/>
    <m/>
    <x v="49"/>
    <x v="1"/>
  </r>
  <r>
    <s v="May Release"/>
    <x v="144"/>
    <x v="144"/>
    <x v="13"/>
    <s v="Sonar Lint -3"/>
    <n v="4450113"/>
    <s v="Lohit"/>
    <s v="pavithra"/>
    <x v="3"/>
    <x v="2"/>
    <s v="IMS BAU"/>
    <x v="29"/>
    <m/>
    <m/>
    <x v="3"/>
    <m/>
    <m/>
    <m/>
    <m/>
    <m/>
    <m/>
    <x v="1"/>
    <x v="0"/>
    <s v="Not Started"/>
    <s v="Not Started"/>
    <m/>
    <m/>
    <m/>
    <m/>
    <m/>
    <m/>
    <s v="Active"/>
    <n v="0"/>
    <n v="0"/>
    <n v="0"/>
    <n v="0"/>
    <n v="0"/>
    <n v="0"/>
    <n v="0"/>
    <m/>
    <x v="49"/>
    <x v="1"/>
  </r>
  <r>
    <s v="May Release"/>
    <x v="144"/>
    <x v="144"/>
    <x v="13"/>
    <s v="Node Js Upgrade - 1"/>
    <n v="4450114"/>
    <s v="Lohit"/>
    <s v="pavithra"/>
    <x v="3"/>
    <x v="2"/>
    <s v="IMS BAU"/>
    <x v="29"/>
    <m/>
    <m/>
    <x v="3"/>
    <m/>
    <m/>
    <m/>
    <m/>
    <m/>
    <m/>
    <x v="1"/>
    <x v="0"/>
    <s v="Not Started"/>
    <s v="Not Started"/>
    <m/>
    <m/>
    <m/>
    <m/>
    <m/>
    <m/>
    <s v="PT In Test"/>
    <n v="0"/>
    <n v="0"/>
    <n v="0"/>
    <n v="0"/>
    <n v="0"/>
    <n v="0"/>
    <n v="0"/>
    <m/>
    <x v="49"/>
    <x v="1"/>
  </r>
  <r>
    <s v="May Release"/>
    <x v="144"/>
    <x v="144"/>
    <x v="13"/>
    <s v="Node Js Upgarde - 2"/>
    <n v="4450115"/>
    <s v="Lohit"/>
    <s v="pavithra"/>
    <x v="3"/>
    <x v="2"/>
    <s v="IMS BAU"/>
    <x v="29"/>
    <m/>
    <m/>
    <x v="3"/>
    <m/>
    <m/>
    <m/>
    <m/>
    <m/>
    <m/>
    <x v="1"/>
    <x v="0"/>
    <s v="Not Started"/>
    <s v="Not Started"/>
    <m/>
    <m/>
    <m/>
    <m/>
    <m/>
    <m/>
    <s v="PT In Test"/>
    <n v="0"/>
    <n v="0"/>
    <n v="0"/>
    <n v="0"/>
    <n v="0"/>
    <n v="0"/>
    <n v="0"/>
    <m/>
    <x v="49"/>
    <x v="1"/>
  </r>
  <r>
    <s v="May Release"/>
    <x v="3"/>
    <x v="3"/>
    <x v="13"/>
    <s v="[PMO] As a PMO user, I should be able to navigate to Manage / Dashboard screen with the new URL from Solution Component - IMS"/>
    <n v="4446623"/>
    <s v="Lohit"/>
    <s v="pavithra"/>
    <x v="3"/>
    <x v="2"/>
    <s v="IMS BAU"/>
    <x v="29"/>
    <m/>
    <m/>
    <x v="3"/>
    <m/>
    <m/>
    <m/>
    <m/>
    <m/>
    <m/>
    <x v="1"/>
    <x v="0"/>
    <s v="Not Started"/>
    <s v="Not Started"/>
    <m/>
    <m/>
    <m/>
    <m/>
    <m/>
    <m/>
    <s v="PT In Test"/>
    <n v="0"/>
    <n v="0"/>
    <n v="0"/>
    <n v="0"/>
    <n v="0"/>
    <n v="0"/>
    <n v="0"/>
    <m/>
    <x v="49"/>
    <x v="1"/>
  </r>
  <r>
    <s v="DCSO"/>
    <x v="49"/>
    <x v="49"/>
    <x v="13"/>
    <s v="As an IMS Solution Architect, I want the pricing details generated in IMS to be sent to DCSO through an API so that DCSO has the latest IMS pricing data for tracking and reporting"/>
    <n v="4446723"/>
    <s v="Lohit"/>
    <s v="pavithra"/>
    <x v="3"/>
    <x v="2"/>
    <s v="IMS BAU"/>
    <x v="29"/>
    <m/>
    <m/>
    <x v="3"/>
    <m/>
    <m/>
    <m/>
    <m/>
    <m/>
    <m/>
    <x v="1"/>
    <x v="0"/>
    <s v="Not Started"/>
    <s v="Not Started"/>
    <m/>
    <m/>
    <m/>
    <m/>
    <m/>
    <m/>
    <s v="PT In Test"/>
    <n v="0"/>
    <n v="0"/>
    <n v="0"/>
    <n v="0"/>
    <n v="0"/>
    <n v="0"/>
    <n v="0"/>
    <m/>
    <x v="49"/>
    <x v="1"/>
  </r>
  <r>
    <s v="May Release"/>
    <x v="83"/>
    <x v="83"/>
    <x v="13"/>
    <s v="INSPIRE Home Screen – Validation of Career Track and Economic Profile Combinations"/>
    <n v="4475473"/>
    <m/>
    <m/>
    <x v="3"/>
    <x v="3"/>
    <m/>
    <x v="1"/>
    <m/>
    <m/>
    <x v="3"/>
    <m/>
    <m/>
    <m/>
    <m/>
    <m/>
    <m/>
    <x v="1"/>
    <x v="1"/>
    <s v="Not Started"/>
    <s v="Not Started"/>
    <m/>
    <m/>
    <m/>
    <m/>
    <m/>
    <m/>
    <s v="New"/>
    <n v="0"/>
    <n v="0"/>
    <n v="0"/>
    <n v="0"/>
    <n v="0"/>
    <n v="0"/>
    <n v="0"/>
    <m/>
    <x v="49"/>
    <x v="1"/>
  </r>
  <r>
    <s v="PCW"/>
    <x v="145"/>
    <x v="145"/>
    <x v="2"/>
    <s v="As a PCW user, I want to see 3 new IPC exemption reasons in the 'Reasons for not configuring IPC' dropdown on the Pricing sheet so that the exemption rationale is captured consistently between PCW and myISP"/>
    <n v="4467788"/>
    <s v="Naveen S"/>
    <s v="Sairam"/>
    <x v="3"/>
    <x v="2"/>
    <s v="PCW User Story"/>
    <x v="10"/>
    <m/>
    <m/>
    <x v="3"/>
    <m/>
    <m/>
    <m/>
    <m/>
    <m/>
    <m/>
    <x v="0"/>
    <x v="2"/>
    <s v="Not Started"/>
    <s v="Not Started"/>
    <n v="36"/>
    <n v="20"/>
    <n v="22"/>
    <n v="22"/>
    <n v="0.9"/>
    <n v="1"/>
    <s v="New"/>
    <n v="0"/>
    <n v="0"/>
    <n v="0"/>
    <n v="22"/>
    <n v="22"/>
    <n v="0"/>
    <n v="0"/>
    <m/>
    <x v="14"/>
    <x v="7"/>
  </r>
  <r>
    <s v="PMO"/>
    <x v="3"/>
    <x v="3"/>
    <x v="2"/>
    <s v="[PMO] As a PMO user, I should be able to navigate to Manage / Dashboard screen with the new URL from Solution Component - SI"/>
    <n v="4446619"/>
    <s v="Kiruthiga"/>
    <s v="Viji"/>
    <x v="15"/>
    <x v="1"/>
    <m/>
    <x v="1"/>
    <s v="Medium"/>
    <n v="1"/>
    <x v="16"/>
    <n v="8"/>
    <n v="4"/>
    <n v="2"/>
    <n v="1"/>
    <n v="0.9"/>
    <n v="0.9"/>
    <x v="0"/>
    <x v="0"/>
    <s v="Not Started"/>
    <s v="In Progress"/>
    <n v="25"/>
    <n v="15"/>
    <n v="0"/>
    <n v="8"/>
    <n v="1"/>
    <n v="1"/>
    <s v="PT In Test"/>
    <n v="7"/>
    <n v="1"/>
    <n v="0"/>
    <n v="0"/>
    <n v="8"/>
    <n v="1"/>
    <n v="0.875"/>
    <m/>
    <x v="15"/>
    <x v="7"/>
  </r>
  <r>
    <s v="Drop 4 - Angular upgrade v19 to v21"/>
    <x v="81"/>
    <x v="81"/>
    <x v="5"/>
    <s v="As a myISP Solution Architect, I want to see the BPMS Generic Calculator App migrated to Angular 21"/>
    <n v="4444345"/>
    <s v="Lakshmi"/>
    <s v="pavithra"/>
    <x v="34"/>
    <x v="2"/>
    <s v="CXTA Full screen Regression required"/>
    <x v="4"/>
    <m/>
    <m/>
    <x v="3"/>
    <m/>
    <m/>
    <m/>
    <m/>
    <m/>
    <m/>
    <x v="0"/>
    <x v="0"/>
    <s v="Completed"/>
    <s v="In Progress"/>
    <n v="9"/>
    <n v="7"/>
    <n v="2"/>
    <n v="8"/>
    <n v="0.5"/>
    <n v="0.5"/>
    <s v="PT In Test"/>
    <n v="0"/>
    <n v="0"/>
    <n v="0"/>
    <n v="7"/>
    <n v="7"/>
    <n v="0"/>
    <n v="0"/>
    <m/>
    <x v="0"/>
    <x v="0"/>
  </r>
  <r>
    <s v="BPMS Onboarding"/>
    <x v="89"/>
    <x v="89"/>
    <x v="5"/>
    <s v="As a BPMS user working in the Reporting &amp; Compliance - Generative AI screen, I want an &quot;Overall&quot; summary column appended at the end of the Year-on-Year productivity grid (after CY10), So that I can view the aggregated productivity value across all CY"/>
    <n v="4459390"/>
    <s v="Mohamed"/>
    <s v="pavithra"/>
    <x v="36"/>
    <x v="1"/>
    <m/>
    <x v="1"/>
    <s v="Complex"/>
    <m/>
    <x v="13"/>
    <n v="6"/>
    <n v="4"/>
    <n v="2"/>
    <n v="4"/>
    <n v="0.8"/>
    <n v="0.7"/>
    <x v="0"/>
    <x v="0"/>
    <s v="Completed"/>
    <s v="In Progress"/>
    <n v="12"/>
    <n v="6"/>
    <n v="9"/>
    <n v="15"/>
    <n v="0.7"/>
    <n v="0.6"/>
    <s v="PT In Test"/>
    <n v="12"/>
    <n v="3"/>
    <n v="0"/>
    <n v="0"/>
    <n v="15"/>
    <n v="1"/>
    <n v="0.8"/>
    <m/>
    <x v="5"/>
    <x v="4"/>
  </r>
  <r>
    <s v="DCSO"/>
    <x v="49"/>
    <x v="49"/>
    <x v="5"/>
    <s v="As a DCSO user, I want the Skill Reference field in the DCSO template to be editable, mandatory and location-validated, so that the correct skill reference is always captured accurately and incorrect entries are flagged before submission"/>
    <n v="4451600"/>
    <s v="Shital"/>
    <m/>
    <x v="37"/>
    <x v="1"/>
    <s v="Excel Export Import Functionality"/>
    <x v="8"/>
    <s v="Medium"/>
    <m/>
    <x v="1"/>
    <m/>
    <m/>
    <m/>
    <m/>
    <m/>
    <m/>
    <x v="0"/>
    <x v="0"/>
    <s v="Completed"/>
    <s v="Not Started"/>
    <n v="30"/>
    <n v="21"/>
    <n v="0"/>
    <n v="21"/>
    <n v="1"/>
    <n v="0.9"/>
    <s v="In Development"/>
    <n v="0"/>
    <n v="0"/>
    <n v="0"/>
    <n v="21"/>
    <n v="21"/>
    <n v="0"/>
    <n v="0"/>
    <m/>
    <x v="23"/>
    <x v="10"/>
  </r>
  <r>
    <s v="PMO"/>
    <x v="3"/>
    <x v="3"/>
    <x v="5"/>
    <s v="[PMO] As a PMO user, I should be able to navigate to Manage / Dashboard screen with the new URL from Digital DCSO"/>
    <n v="4447064"/>
    <s v="Shital"/>
    <m/>
    <x v="37"/>
    <x v="1"/>
    <m/>
    <x v="1"/>
    <s v="Simple"/>
    <m/>
    <x v="1"/>
    <m/>
    <m/>
    <m/>
    <m/>
    <m/>
    <m/>
    <x v="0"/>
    <x v="0"/>
    <s v="Completed"/>
    <s v="Not Started"/>
    <n v="18"/>
    <n v="12"/>
    <n v="0"/>
    <n v="12"/>
    <n v="1"/>
    <n v="0.9"/>
    <s v="Active"/>
    <n v="0"/>
    <n v="0"/>
    <n v="0"/>
    <n v="12"/>
    <n v="12"/>
    <n v="0"/>
    <n v="0"/>
    <m/>
    <x v="23"/>
    <x v="10"/>
  </r>
  <r>
    <s v="PMO"/>
    <x v="3"/>
    <x v="3"/>
    <x v="7"/>
    <s v="[PMO] As a PMO user, I should be able to navigate to Manage / Dashboard screen with the new URL from Solution Component - BPMS"/>
    <s v="4446666_x000a_"/>
    <s v="Akshay"/>
    <s v="Prateek"/>
    <x v="3"/>
    <x v="2"/>
    <s v="BPMS BAU"/>
    <x v="16"/>
    <m/>
    <m/>
    <x v="3"/>
    <m/>
    <m/>
    <m/>
    <m/>
    <m/>
    <m/>
    <x v="0"/>
    <x v="0"/>
    <s v="Completed"/>
    <s v="Not Started"/>
    <m/>
    <m/>
    <m/>
    <m/>
    <m/>
    <m/>
    <s v="Ready for Test"/>
    <n v="0"/>
    <n v="0"/>
    <n v="0"/>
    <n v="28"/>
    <n v="28"/>
    <n v="0"/>
    <n v="0"/>
    <m/>
    <x v="50"/>
    <x v="12"/>
  </r>
  <r>
    <s v="Changes related to custome parameter file"/>
    <x v="146"/>
    <x v="146"/>
    <x v="7"/>
    <s v="FY26 [BPMS BAU] - Changes related to custom parameter file"/>
    <s v="4436384_x000a_"/>
    <s v="Aman"/>
    <s v="Sindhuja"/>
    <x v="3"/>
    <x v="2"/>
    <s v="BPMS BAU"/>
    <x v="16"/>
    <m/>
    <m/>
    <x v="3"/>
    <m/>
    <m/>
    <m/>
    <m/>
    <m/>
    <m/>
    <x v="0"/>
    <x v="0"/>
    <s v="Completed"/>
    <s v="Not Started"/>
    <m/>
    <m/>
    <m/>
    <m/>
    <m/>
    <m/>
    <s v="Ready to develop"/>
    <n v="0"/>
    <n v="0"/>
    <n v="0"/>
    <n v="10"/>
    <n v="10"/>
    <n v="0"/>
    <n v="0"/>
    <m/>
    <x v="33"/>
    <x v="12"/>
  </r>
  <r>
    <s v="PMO"/>
    <x v="3"/>
    <x v="3"/>
    <x v="4"/>
    <s v="[PMO] As a PMO user, I should be able to redirect to DFD request description page when clicked on Edit from PMO Dashboard"/>
    <n v="4447583"/>
    <s v="Anusha"/>
    <s v="Sangeetha"/>
    <x v="3"/>
    <x v="2"/>
    <s v="This is an integration user story, hence cannot be automated(PMO - DFD Integration)"/>
    <x v="2"/>
    <m/>
    <m/>
    <x v="3"/>
    <m/>
    <m/>
    <m/>
    <m/>
    <m/>
    <m/>
    <x v="0"/>
    <x v="0"/>
    <s v="Not Started"/>
    <s v="Not Started"/>
    <n v="31"/>
    <n v="10"/>
    <n v="8"/>
    <n v="18"/>
    <n v="0.9"/>
    <n v="0.9"/>
    <s v="In Development"/>
    <n v="0"/>
    <n v="0"/>
    <n v="0"/>
    <n v="18"/>
    <n v="18"/>
    <n v="0"/>
    <n v="0"/>
    <m/>
    <x v="2"/>
    <x v="2"/>
  </r>
  <r>
    <s v="DFD"/>
    <x v="147"/>
    <x v="147"/>
    <x v="4"/>
    <s v="As a DFD requestor, I should be able to get the updated routing logic for Song SA requests post creation and edit"/>
    <n v="4456454"/>
    <s v="Manjunath"/>
    <s v="Sangeetha"/>
    <x v="3"/>
    <x v="2"/>
    <s v="Fresh deals  needs to be placed for each time for validating email"/>
    <x v="7"/>
    <m/>
    <m/>
    <x v="3"/>
    <m/>
    <m/>
    <m/>
    <m/>
    <m/>
    <m/>
    <x v="0"/>
    <x v="0"/>
    <s v="Not Started"/>
    <s v="Completed"/>
    <n v="25"/>
    <n v="10"/>
    <n v="6"/>
    <n v="16"/>
    <n v="0.5"/>
    <n v="0.6"/>
    <s v="PT In Test"/>
    <n v="16"/>
    <n v="0"/>
    <n v="0"/>
    <n v="0"/>
    <n v="16"/>
    <n v="1"/>
    <n v="1"/>
    <m/>
    <x v="20"/>
    <x v="4"/>
  </r>
  <r>
    <s v="DFD"/>
    <x v="147"/>
    <x v="147"/>
    <x v="4"/>
    <s v="As a DFD requestor, I should get updated routing logic for SC.GlobalNetwork.Platform.SAP.SA DL based on SGs (SC, SI or CON)"/>
    <n v="4458807"/>
    <s v="Sangeetha"/>
    <s v="Manjunath"/>
    <x v="3"/>
    <x v="2"/>
    <s v="Fresh deals  needs to be placed for each time for validating email"/>
    <x v="7"/>
    <m/>
    <m/>
    <x v="3"/>
    <m/>
    <m/>
    <m/>
    <m/>
    <m/>
    <m/>
    <x v="0"/>
    <x v="0"/>
    <s v="Not Started"/>
    <s v="Blocked"/>
    <n v="30"/>
    <n v="13"/>
    <n v="25"/>
    <n v="38"/>
    <n v="0.6"/>
    <n v="0.5"/>
    <s v="Blocked in PT"/>
    <n v="10"/>
    <n v="0"/>
    <n v="28"/>
    <n v="0"/>
    <n v="38"/>
    <n v="0.26315789473684209"/>
    <n v="0.26315789473684209"/>
    <m/>
    <x v="20"/>
    <x v="4"/>
  </r>
  <r>
    <s v="BPMS Onboarding"/>
    <x v="55"/>
    <x v="55"/>
    <x v="4"/>
    <s v="As a System Developer, I should ensure that FTS flags are consistently updated when FTS email is triggered from PLD Dashboard screen so that users see accurate FTS status across all screens"/>
    <n v="4440021"/>
    <s v="Sangeetha"/>
    <s v="Anusha"/>
    <x v="25"/>
    <x v="0"/>
    <s v="Email Funationality"/>
    <x v="0"/>
    <m/>
    <m/>
    <x v="1"/>
    <m/>
    <m/>
    <m/>
    <m/>
    <m/>
    <m/>
    <x v="0"/>
    <x v="0"/>
    <s v="Not Started"/>
    <s v="Blocked"/>
    <n v="15"/>
    <n v="2"/>
    <n v="14"/>
    <n v="16"/>
    <n v="0.6"/>
    <n v="0.5"/>
    <s v="Blocked in PT"/>
    <n v="0"/>
    <n v="0"/>
    <n v="16"/>
    <n v="0"/>
    <n v="16"/>
    <n v="0"/>
    <n v="0"/>
    <m/>
    <x v="51"/>
    <x v="4"/>
  </r>
  <r>
    <s v="DCSO"/>
    <x v="49"/>
    <x v="49"/>
    <x v="5"/>
    <s v="As a Solution Architect, I want imported DCSO editable fields retained when Generate is clicked again for IMS/AMS/SI and mandatory Excel header comments added, so that my data is preserved and the template is self-guiding"/>
    <n v="4462742"/>
    <s v="Arun "/>
    <m/>
    <x v="31"/>
    <x v="1"/>
    <s v="Excel inport export functionality"/>
    <x v="8"/>
    <s v="Medium"/>
    <m/>
    <x v="5"/>
    <m/>
    <m/>
    <m/>
    <m/>
    <m/>
    <m/>
    <x v="0"/>
    <x v="0"/>
    <s v="Completed"/>
    <s v="Not Started"/>
    <n v="12"/>
    <n v="10"/>
    <n v="12"/>
    <n v="12"/>
    <n v="0.8"/>
    <n v="0.8"/>
    <s v="PT In Test"/>
    <n v="2"/>
    <n v="0"/>
    <n v="0"/>
    <n v="10"/>
    <n v="12"/>
    <n v="0.16666666666666666"/>
    <n v="1"/>
    <m/>
    <x v="23"/>
    <x v="10"/>
  </r>
  <r>
    <s v="PCW"/>
    <x v="145"/>
    <x v="145"/>
    <x v="2"/>
    <s v="As a PCW user, I want IPC API integrations updated to align with the Differentiation screen decommissioning so that auto-sync workflows function via the new Attach Calculator DB."/>
    <n v="4467805"/>
    <s v="Sneha"/>
    <s v="Sairam "/>
    <x v="3"/>
    <x v="2"/>
    <s v="PCW User Story"/>
    <x v="10"/>
    <m/>
    <m/>
    <x v="3"/>
    <m/>
    <m/>
    <m/>
    <m/>
    <m/>
    <m/>
    <x v="0"/>
    <x v="2"/>
    <s v="Not Started"/>
    <s v="Not Started"/>
    <n v="17"/>
    <n v="5"/>
    <n v="4"/>
    <n v="5"/>
    <n v="0.4"/>
    <n v="0.5"/>
    <s v="Active"/>
    <n v="0"/>
    <n v="0"/>
    <n v="0"/>
    <n v="5"/>
    <n v="5"/>
    <n v="0"/>
    <n v="0"/>
    <m/>
    <x v="16"/>
    <x v="7"/>
  </r>
  <r>
    <m/>
    <x v="41"/>
    <x v="41"/>
    <x v="5"/>
    <s v="As a myisp Solution Architect, I want the DCSO tab to be removed from the SI KDA/Reports screen So that users do not access or generate DCSO information from the KDA / Reports interface."/>
    <n v="4362582"/>
    <s v="jeba"/>
    <m/>
    <x v="29"/>
    <x v="1"/>
    <m/>
    <x v="1"/>
    <s v="Simple"/>
    <m/>
    <x v="2"/>
    <m/>
    <m/>
    <m/>
    <m/>
    <m/>
    <m/>
    <x v="2"/>
    <x v="3"/>
    <m/>
    <m/>
    <m/>
    <m/>
    <m/>
    <m/>
    <m/>
    <m/>
    <m/>
    <m/>
    <m/>
    <m/>
    <m/>
    <m/>
    <m/>
    <m/>
    <m/>
    <x v="4"/>
    <x v="3"/>
  </r>
  <r>
    <m/>
    <x v="41"/>
    <x v="41"/>
    <x v="5"/>
    <s v="As a myisp Solution Architect, I want the DCSO tab to be removed from the AMS KDA/Reports screen So that users do not access or generate DCSO information from the KDA / Reports interface."/>
    <n v="4362592"/>
    <s v="Jeba"/>
    <m/>
    <x v="29"/>
    <x v="1"/>
    <m/>
    <x v="1"/>
    <s v="Simple"/>
    <m/>
    <x v="2"/>
    <m/>
    <m/>
    <m/>
    <m/>
    <m/>
    <m/>
    <x v="2"/>
    <x v="3"/>
    <m/>
    <m/>
    <m/>
    <m/>
    <m/>
    <m/>
    <m/>
    <m/>
    <m/>
    <m/>
    <m/>
    <m/>
    <m/>
    <m/>
    <m/>
    <m/>
    <m/>
    <x v="4"/>
    <x v="3"/>
  </r>
  <r>
    <m/>
    <x v="148"/>
    <x v="148"/>
    <x v="7"/>
    <s v="FY26 [BPMS BAU] - DVE Naming Fix: Rename &quot;DVE Revised Report&quot; to &quot;DVE FTE Planner&quot;"/>
    <n v="4440215"/>
    <s v="Sindhuja"/>
    <s v="Roshini"/>
    <x v="3"/>
    <x v="3"/>
    <m/>
    <x v="1"/>
    <m/>
    <m/>
    <x v="3"/>
    <m/>
    <m/>
    <m/>
    <m/>
    <m/>
    <m/>
    <x v="2"/>
    <x v="3"/>
    <m/>
    <m/>
    <m/>
    <m/>
    <m/>
    <m/>
    <m/>
    <m/>
    <m/>
    <m/>
    <m/>
    <m/>
    <m/>
    <m/>
    <m/>
    <m/>
    <m/>
    <x v="4"/>
    <x v="3"/>
  </r>
  <r>
    <m/>
    <x v="149"/>
    <x v="149"/>
    <x v="7"/>
    <s v="FY26 [BPMS BAU] - Align INSPIRE GST File Naming with Solution Models"/>
    <n v="4440247"/>
    <s v="Aman"/>
    <s v="Sindhuja"/>
    <x v="3"/>
    <x v="3"/>
    <m/>
    <x v="1"/>
    <m/>
    <m/>
    <x v="3"/>
    <m/>
    <m/>
    <m/>
    <m/>
    <m/>
    <m/>
    <x v="2"/>
    <x v="3"/>
    <m/>
    <m/>
    <m/>
    <m/>
    <m/>
    <m/>
    <m/>
    <m/>
    <m/>
    <m/>
    <m/>
    <m/>
    <m/>
    <m/>
    <m/>
    <m/>
    <m/>
    <x v="4"/>
    <x v="3"/>
  </r>
  <r>
    <m/>
    <x v="41"/>
    <x v="36"/>
    <x v="2"/>
    <s v="SI | CON-CAS | Technology Group should default to Consulting, Technology Role to be populated and Standard Role auto-populated as per mapping"/>
    <n v="4449850"/>
    <s v="Sairam"/>
    <s v="Kiruthiga"/>
    <x v="13"/>
    <x v="0"/>
    <s v="Partial / Need to validate Excel validation"/>
    <x v="1"/>
    <s v="Medium"/>
    <n v="1"/>
    <x v="2"/>
    <n v="0.04"/>
    <n v="0.02"/>
    <n v="0.01"/>
    <n v="0.01"/>
    <n v="0.6"/>
    <n v="0.6"/>
    <x v="3"/>
    <x v="2"/>
    <s v="Not Started"/>
    <s v="Not Started"/>
    <m/>
    <m/>
    <m/>
    <m/>
    <m/>
    <m/>
    <m/>
    <n v="0"/>
    <n v="0"/>
    <n v="0"/>
    <n v="2"/>
    <n v="2"/>
    <n v="0"/>
    <n v="0"/>
    <m/>
    <x v="13"/>
    <x v="7"/>
  </r>
  <r>
    <m/>
    <x v="41"/>
    <x v="41"/>
    <x v="14"/>
    <m/>
    <m/>
    <m/>
    <m/>
    <x v="3"/>
    <x v="3"/>
    <m/>
    <x v="1"/>
    <m/>
    <m/>
    <x v="3"/>
    <m/>
    <m/>
    <m/>
    <m/>
    <m/>
    <m/>
    <x v="2"/>
    <x v="3"/>
    <m/>
    <m/>
    <m/>
    <m/>
    <m/>
    <m/>
    <m/>
    <m/>
    <m/>
    <m/>
    <m/>
    <m/>
    <m/>
    <m/>
    <m/>
    <m/>
    <m/>
    <x v="4"/>
    <x v="3"/>
  </r>
  <r>
    <m/>
    <x v="41"/>
    <x v="41"/>
    <x v="14"/>
    <m/>
    <m/>
    <m/>
    <m/>
    <x v="3"/>
    <x v="3"/>
    <m/>
    <x v="1"/>
    <m/>
    <m/>
    <x v="3"/>
    <m/>
    <m/>
    <m/>
    <m/>
    <m/>
    <m/>
    <x v="2"/>
    <x v="3"/>
    <m/>
    <m/>
    <m/>
    <m/>
    <m/>
    <m/>
    <m/>
    <m/>
    <m/>
    <m/>
    <m/>
    <m/>
    <m/>
    <m/>
    <m/>
    <m/>
    <m/>
    <x v="4"/>
    <x v="3"/>
  </r>
  <r>
    <m/>
    <x v="41"/>
    <x v="41"/>
    <x v="14"/>
    <m/>
    <m/>
    <m/>
    <m/>
    <x v="3"/>
    <x v="3"/>
    <m/>
    <x v="1"/>
    <m/>
    <m/>
    <x v="3"/>
    <m/>
    <m/>
    <m/>
    <m/>
    <m/>
    <m/>
    <x v="2"/>
    <x v="3"/>
    <m/>
    <m/>
    <m/>
    <m/>
    <m/>
    <m/>
    <m/>
    <m/>
    <m/>
    <m/>
    <m/>
    <m/>
    <m/>
    <m/>
    <m/>
    <m/>
    <m/>
    <x v="4"/>
    <x v="3"/>
  </r>
  <r>
    <m/>
    <x v="41"/>
    <x v="41"/>
    <x v="14"/>
    <m/>
    <m/>
    <m/>
    <m/>
    <x v="3"/>
    <x v="3"/>
    <m/>
    <x v="1"/>
    <m/>
    <m/>
    <x v="3"/>
    <m/>
    <m/>
    <m/>
    <m/>
    <m/>
    <m/>
    <x v="2"/>
    <x v="3"/>
    <m/>
    <m/>
    <m/>
    <m/>
    <m/>
    <m/>
    <m/>
    <m/>
    <m/>
    <m/>
    <m/>
    <m/>
    <m/>
    <m/>
    <m/>
    <m/>
    <m/>
    <x v="4"/>
    <x v="3"/>
  </r>
  <r>
    <m/>
    <x v="41"/>
    <x v="41"/>
    <x v="14"/>
    <m/>
    <m/>
    <m/>
    <m/>
    <x v="3"/>
    <x v="3"/>
    <m/>
    <x v="1"/>
    <m/>
    <m/>
    <x v="3"/>
    <m/>
    <m/>
    <m/>
    <m/>
    <m/>
    <m/>
    <x v="2"/>
    <x v="3"/>
    <m/>
    <m/>
    <m/>
    <m/>
    <m/>
    <m/>
    <m/>
    <m/>
    <m/>
    <m/>
    <m/>
    <m/>
    <m/>
    <m/>
    <m/>
    <m/>
    <m/>
    <x v="4"/>
    <x v="3"/>
  </r>
  <r>
    <m/>
    <x v="41"/>
    <x v="41"/>
    <x v="14"/>
    <m/>
    <m/>
    <m/>
    <m/>
    <x v="3"/>
    <x v="3"/>
    <m/>
    <x v="1"/>
    <m/>
    <m/>
    <x v="3"/>
    <m/>
    <m/>
    <m/>
    <m/>
    <m/>
    <m/>
    <x v="2"/>
    <x v="3"/>
    <m/>
    <m/>
    <m/>
    <m/>
    <m/>
    <m/>
    <m/>
    <m/>
    <m/>
    <m/>
    <m/>
    <m/>
    <m/>
    <m/>
    <m/>
    <m/>
    <m/>
    <x v="4"/>
    <x v="3"/>
  </r>
  <r>
    <m/>
    <x v="41"/>
    <x v="41"/>
    <x v="14"/>
    <m/>
    <m/>
    <m/>
    <m/>
    <x v="3"/>
    <x v="3"/>
    <m/>
    <x v="1"/>
    <m/>
    <m/>
    <x v="3"/>
    <m/>
    <m/>
    <m/>
    <m/>
    <m/>
    <m/>
    <x v="2"/>
    <x v="3"/>
    <m/>
    <m/>
    <m/>
    <m/>
    <m/>
    <m/>
    <m/>
    <m/>
    <m/>
    <m/>
    <m/>
    <m/>
    <m/>
    <m/>
    <m/>
    <m/>
    <m/>
    <x v="4"/>
    <x v="3"/>
  </r>
  <r>
    <m/>
    <x v="41"/>
    <x v="41"/>
    <x v="14"/>
    <m/>
    <m/>
    <m/>
    <m/>
    <x v="3"/>
    <x v="3"/>
    <m/>
    <x v="1"/>
    <m/>
    <m/>
    <x v="3"/>
    <m/>
    <m/>
    <m/>
    <m/>
    <m/>
    <m/>
    <x v="2"/>
    <x v="3"/>
    <m/>
    <m/>
    <m/>
    <m/>
    <m/>
    <m/>
    <m/>
    <m/>
    <m/>
    <m/>
    <m/>
    <m/>
    <m/>
    <m/>
    <m/>
    <m/>
    <m/>
    <x v="4"/>
    <x v="3"/>
  </r>
  <r>
    <m/>
    <x v="41"/>
    <x v="41"/>
    <x v="14"/>
    <m/>
    <m/>
    <m/>
    <m/>
    <x v="3"/>
    <x v="3"/>
    <m/>
    <x v="1"/>
    <m/>
    <m/>
    <x v="3"/>
    <m/>
    <m/>
    <m/>
    <m/>
    <m/>
    <m/>
    <x v="2"/>
    <x v="3"/>
    <m/>
    <m/>
    <m/>
    <m/>
    <m/>
    <m/>
    <m/>
    <m/>
    <m/>
    <m/>
    <m/>
    <m/>
    <m/>
    <m/>
    <m/>
    <m/>
    <m/>
    <x v="4"/>
    <x v="3"/>
  </r>
  <r>
    <m/>
    <x v="41"/>
    <x v="41"/>
    <x v="14"/>
    <m/>
    <m/>
    <m/>
    <m/>
    <x v="3"/>
    <x v="3"/>
    <m/>
    <x v="1"/>
    <m/>
    <m/>
    <x v="3"/>
    <m/>
    <m/>
    <m/>
    <m/>
    <m/>
    <m/>
    <x v="2"/>
    <x v="3"/>
    <m/>
    <m/>
    <m/>
    <m/>
    <m/>
    <m/>
    <m/>
    <m/>
    <m/>
    <m/>
    <m/>
    <m/>
    <m/>
    <m/>
    <m/>
    <m/>
    <m/>
    <x v="4"/>
    <x v="3"/>
  </r>
  <r>
    <m/>
    <x v="41"/>
    <x v="41"/>
    <x v="14"/>
    <m/>
    <m/>
    <m/>
    <m/>
    <x v="3"/>
    <x v="3"/>
    <m/>
    <x v="1"/>
    <m/>
    <m/>
    <x v="3"/>
    <m/>
    <m/>
    <m/>
    <m/>
    <m/>
    <m/>
    <x v="2"/>
    <x v="3"/>
    <m/>
    <m/>
    <m/>
    <m/>
    <s v="s"/>
    <m/>
    <m/>
    <m/>
    <m/>
    <m/>
    <m/>
    <m/>
    <m/>
    <m/>
    <m/>
    <m/>
    <m/>
    <x v="4"/>
    <x v="3"/>
  </r>
  <r>
    <m/>
    <x v="41"/>
    <x v="41"/>
    <x v="14"/>
    <m/>
    <m/>
    <m/>
    <m/>
    <x v="3"/>
    <x v="3"/>
    <m/>
    <x v="1"/>
    <m/>
    <m/>
    <x v="3"/>
    <m/>
    <m/>
    <m/>
    <m/>
    <m/>
    <m/>
    <x v="2"/>
    <x v="3"/>
    <m/>
    <m/>
    <m/>
    <m/>
    <m/>
    <m/>
    <m/>
    <m/>
    <m/>
    <m/>
    <m/>
    <m/>
    <m/>
    <m/>
    <m/>
    <m/>
    <m/>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74190F-47BD-4713-92EF-228F7239FFA0}" name="PivotTable2" cacheId="7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H4:J71" firstHeaderRow="1" firstDataRow="2" firstDataCol="1" rowPageCount="2" colPageCount="1"/>
  <pivotFields count="42">
    <pivotField compact="0" outline="0" showAll="0"/>
    <pivotField dataField="1" compact="0" outline="0" showAll="0"/>
    <pivotField compact="0" outline="0" showAll="0"/>
    <pivotField axis="axisPage" compact="0" outline="0" multipleItemSelectionAllowed="1" showAll="0" defaultSubtotal="0">
      <items count="15">
        <item x="2"/>
        <item x="9"/>
        <item x="11"/>
        <item x="4"/>
        <item x="6"/>
        <item x="3"/>
        <item x="10"/>
        <item x="8"/>
        <item x="12"/>
        <item x="0"/>
        <item x="1"/>
        <item x="5"/>
        <item x="7"/>
        <item x="13"/>
        <item x="14"/>
      </items>
    </pivotField>
    <pivotField compact="0" outline="0" showAll="0"/>
    <pivotField compact="0" outline="0" showAll="0"/>
    <pivotField compact="0" outline="0" showAll="0"/>
    <pivotField compact="0" outline="0" showAll="0"/>
    <pivotField axis="axisRow" compact="0" outline="0" showAll="0" sortType="descending">
      <items count="127">
        <item x="39"/>
        <item m="1" x="113"/>
        <item x="18"/>
        <item x="47"/>
        <item x="27"/>
        <item x="31"/>
        <item x="42"/>
        <item x="44"/>
        <item x="67"/>
        <item m="1" x="122"/>
        <item x="53"/>
        <item x="28"/>
        <item x="74"/>
        <item x="48"/>
        <item x="85"/>
        <item x="61"/>
        <item x="79"/>
        <item x="54"/>
        <item x="76"/>
        <item x="49"/>
        <item x="10"/>
        <item x="29"/>
        <item x="38"/>
        <item x="24"/>
        <item x="15"/>
        <item x="92"/>
        <item x="78"/>
        <item m="1" x="123"/>
        <item m="1" x="114"/>
        <item x="34"/>
        <item x="26"/>
        <item m="1" x="99"/>
        <item x="36"/>
        <item x="19"/>
        <item x="4"/>
        <item x="0"/>
        <item x="60"/>
        <item x="89"/>
        <item x="69"/>
        <item x="5"/>
        <item x="80"/>
        <item x="77"/>
        <item x="32"/>
        <item x="33"/>
        <item x="83"/>
        <item x="35"/>
        <item x="46"/>
        <item x="84"/>
        <item x="45"/>
        <item x="93"/>
        <item x="63"/>
        <item x="56"/>
        <item x="51"/>
        <item x="37"/>
        <item x="30"/>
        <item m="1" x="120"/>
        <item x="97"/>
        <item x="41"/>
        <item x="25"/>
        <item x="87"/>
        <item x="23"/>
        <item x="59"/>
        <item m="1" x="119"/>
        <item m="1" x="121"/>
        <item x="20"/>
        <item x="75"/>
        <item x="86"/>
        <item x="16"/>
        <item x="55"/>
        <item x="91"/>
        <item x="94"/>
        <item x="1"/>
        <item m="1" x="124"/>
        <item m="1" x="125"/>
        <item x="3"/>
        <item x="70"/>
        <item x="2"/>
        <item x="6"/>
        <item x="7"/>
        <item m="1" x="112"/>
        <item x="13"/>
        <item x="14"/>
        <item x="50"/>
        <item x="21"/>
        <item x="62"/>
        <item x="64"/>
        <item x="65"/>
        <item x="66"/>
        <item m="1" x="108"/>
        <item x="68"/>
        <item x="58"/>
        <item x="82"/>
        <item x="90"/>
        <item m="1" x="116"/>
        <item m="1" x="117"/>
        <item m="1" x="118"/>
        <item m="1" x="115"/>
        <item x="81"/>
        <item x="95"/>
        <item x="96"/>
        <item x="17"/>
        <item m="1" x="111"/>
        <item x="11"/>
        <item x="12"/>
        <item x="71"/>
        <item x="72"/>
        <item m="1" x="110"/>
        <item x="9"/>
        <item x="8"/>
        <item m="1" x="101"/>
        <item x="88"/>
        <item x="22"/>
        <item x="40"/>
        <item m="1" x="100"/>
        <item m="1" x="106"/>
        <item m="1" x="102"/>
        <item m="1" x="103"/>
        <item m="1" x="104"/>
        <item m="1" x="105"/>
        <item x="52"/>
        <item m="1" x="109"/>
        <item m="1" x="98"/>
        <item m="1" x="107"/>
        <item x="57"/>
        <item x="73"/>
        <item x="43"/>
        <item t="default"/>
      </items>
      <autoSortScope>
        <pivotArea dataOnly="0" outline="0" fieldPosition="0">
          <references count="1">
            <reference field="4294967294" count="1" selected="0">
              <x v="1"/>
            </reference>
          </references>
        </pivotArea>
      </autoSortScope>
    </pivotField>
    <pivotField axis="axisPage" compact="0" outline="0" multipleItemSelectionAllowed="1" showAll="0">
      <items count="6">
        <item h="1" x="2"/>
        <item x="1"/>
        <item h="1" x="3"/>
        <item h="1" m="1" x="4"/>
        <item h="1"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66">
    <i>
      <x v="24"/>
    </i>
    <i>
      <x v="85"/>
    </i>
    <i>
      <x v="43"/>
    </i>
    <i>
      <x v="52"/>
    </i>
    <i>
      <x v="80"/>
    </i>
    <i>
      <x v="29"/>
    </i>
    <i>
      <x v="100"/>
    </i>
    <i>
      <x v="59"/>
    </i>
    <i>
      <x v="42"/>
    </i>
    <i>
      <x v="26"/>
    </i>
    <i>
      <x v="75"/>
    </i>
    <i>
      <x v="2"/>
    </i>
    <i>
      <x v="57"/>
    </i>
    <i>
      <x v="61"/>
    </i>
    <i>
      <x v="12"/>
    </i>
    <i>
      <x v="11"/>
    </i>
    <i>
      <x v="21"/>
    </i>
    <i>
      <x v="119"/>
    </i>
    <i>
      <x v="32"/>
    </i>
    <i>
      <x v="87"/>
    </i>
    <i>
      <x v="70"/>
    </i>
    <i>
      <x v="7"/>
    </i>
    <i>
      <x v="90"/>
    </i>
    <i>
      <x v="76"/>
    </i>
    <i>
      <x v="38"/>
    </i>
    <i>
      <x v="107"/>
    </i>
    <i>
      <x v="5"/>
    </i>
    <i>
      <x v="46"/>
    </i>
    <i>
      <x v="35"/>
    </i>
    <i>
      <x v="51"/>
    </i>
    <i>
      <x v="102"/>
    </i>
    <i>
      <x v="108"/>
    </i>
    <i>
      <x v="103"/>
    </i>
    <i>
      <x v="20"/>
    </i>
    <i>
      <x v="15"/>
    </i>
    <i>
      <x v="69"/>
    </i>
    <i>
      <x v="10"/>
    </i>
    <i>
      <x v="22"/>
    </i>
    <i>
      <x v="47"/>
    </i>
    <i>
      <x v="78"/>
    </i>
    <i>
      <x v="86"/>
    </i>
    <i>
      <x v="17"/>
    </i>
    <i>
      <x v="13"/>
    </i>
    <i>
      <x v="53"/>
    </i>
    <i>
      <x v="68"/>
    </i>
    <i>
      <x v="65"/>
    </i>
    <i>
      <x v="3"/>
    </i>
    <i>
      <x v="54"/>
    </i>
    <i>
      <x v="6"/>
    </i>
    <i>
      <x v="64"/>
    </i>
    <i>
      <x v="89"/>
    </i>
    <i>
      <x v="97"/>
    </i>
    <i>
      <x v="71"/>
    </i>
    <i>
      <x v="36"/>
    </i>
    <i>
      <x v="84"/>
    </i>
    <i>
      <x v="50"/>
    </i>
    <i>
      <x v="48"/>
    </i>
    <i>
      <x v="19"/>
    </i>
    <i>
      <x v="8"/>
    </i>
    <i>
      <x v="77"/>
    </i>
    <i>
      <x v="39"/>
    </i>
    <i>
      <x v="49"/>
    </i>
    <i>
      <x v="41"/>
    </i>
    <i>
      <x v="40"/>
    </i>
    <i>
      <x v="34"/>
    </i>
    <i t="grand">
      <x/>
    </i>
  </rowItems>
  <colFields count="1">
    <field x="-2"/>
  </colFields>
  <colItems count="2">
    <i>
      <x/>
    </i>
    <i i="1">
      <x v="1"/>
    </i>
  </colItems>
  <pageFields count="2">
    <pageField fld="9" hier="-1"/>
    <pageField fld="3" hier="-1"/>
  </pageFields>
  <dataFields count="2">
    <dataField name="Count of Parent Title" fld="1" subtotal="count" baseField="0" baseItem="0" numFmtId="1"/>
    <dataField name="Average of If insprint YES - % of completion" fld="14" subtotal="average" baseField="8" baseItem="0" numFmtId="9"/>
  </dataFields>
  <formats count="18">
    <format dxfId="207">
      <pivotArea outline="0" collapsedLevelsAreSubtotals="1" fieldPosition="0"/>
    </format>
    <format dxfId="208">
      <pivotArea dataOnly="0" labelOnly="1" outline="0" axis="axisValues" fieldPosition="0"/>
    </format>
    <format dxfId="209">
      <pivotArea outline="0" collapsedLevelsAreSubtotals="1" fieldPosition="0"/>
    </format>
    <format dxfId="210">
      <pivotArea outline="0" collapsedLevelsAreSubtotals="1" fieldPosition="0">
        <references count="1">
          <reference field="4294967294" count="1" selected="0">
            <x v="0"/>
          </reference>
        </references>
      </pivotArea>
    </format>
    <format dxfId="211">
      <pivotArea type="all" dataOnly="0" outline="0" fieldPosition="0"/>
    </format>
    <format dxfId="212">
      <pivotArea outline="0" collapsedLevelsAreSubtotals="1" fieldPosition="0"/>
    </format>
    <format dxfId="213">
      <pivotArea dataOnly="0" labelOnly="1" grandRow="1" outline="0" fieldPosition="0"/>
    </format>
    <format dxfId="214">
      <pivotArea dataOnly="0" labelOnly="1" outline="0" fieldPosition="0">
        <references count="1">
          <reference field="4294967294" count="2">
            <x v="0"/>
            <x v="1"/>
          </reference>
        </references>
      </pivotArea>
    </format>
    <format dxfId="215">
      <pivotArea type="all" dataOnly="0" outline="0" fieldPosition="0"/>
    </format>
    <format dxfId="216">
      <pivotArea outline="0" collapsedLevelsAreSubtotals="1" fieldPosition="0"/>
    </format>
    <format dxfId="217">
      <pivotArea type="origin" dataOnly="0" labelOnly="1" outline="0" fieldPosition="0"/>
    </format>
    <format dxfId="218">
      <pivotArea field="-2" type="button" dataOnly="0" labelOnly="1" outline="0" axis="axisCol" fieldPosition="0"/>
    </format>
    <format dxfId="219">
      <pivotArea type="topRight" dataOnly="0" labelOnly="1" outline="0" fieldPosition="0"/>
    </format>
    <format dxfId="220">
      <pivotArea field="8" type="button" dataOnly="0" labelOnly="1" outline="0" axis="axisRow" fieldPosition="0"/>
    </format>
    <format dxfId="221">
      <pivotArea dataOnly="0" labelOnly="1" outline="0" fieldPosition="0">
        <references count="1">
          <reference field="8" count="50">
            <x v="0"/>
            <x v="1"/>
            <x v="2"/>
            <x v="3"/>
            <x v="4"/>
            <x v="5"/>
            <x v="6"/>
            <x v="7"/>
            <x v="8"/>
            <x v="9"/>
            <x v="10"/>
            <x v="11"/>
            <x v="12"/>
            <x v="13"/>
            <x v="14"/>
            <x v="15"/>
            <x v="17"/>
            <x v="18"/>
            <x v="19"/>
            <x v="20"/>
            <x v="22"/>
            <x v="23"/>
            <x v="24"/>
            <x v="26"/>
            <x v="27"/>
            <x v="28"/>
            <x v="29"/>
            <x v="30"/>
            <x v="31"/>
            <x v="32"/>
            <x v="33"/>
            <x v="34"/>
            <x v="35"/>
            <x v="36"/>
            <x v="38"/>
            <x v="39"/>
            <x v="41"/>
            <x v="42"/>
            <x v="43"/>
            <x v="44"/>
            <x v="45"/>
            <x v="46"/>
            <x v="48"/>
            <x v="50"/>
            <x v="51"/>
            <x v="52"/>
            <x v="53"/>
            <x v="54"/>
            <x v="55"/>
            <x v="57"/>
          </reference>
        </references>
      </pivotArea>
    </format>
    <format dxfId="222">
      <pivotArea dataOnly="0" labelOnly="1" outline="0" fieldPosition="0">
        <references count="1">
          <reference field="8" count="12">
            <x v="58"/>
            <x v="59"/>
            <x v="60"/>
            <x v="61"/>
            <x v="62"/>
            <x v="64"/>
            <x v="65"/>
            <x v="67"/>
            <x v="68"/>
            <x v="69"/>
            <x v="71"/>
            <x v="73"/>
          </reference>
        </references>
      </pivotArea>
    </format>
    <format dxfId="223">
      <pivotArea dataOnly="0" labelOnly="1" grandRow="1" outline="0" fieldPosition="0"/>
    </format>
    <format dxfId="22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D65685-6452-4EAC-8443-CD3843142FB2}" name="PivotTable3" cacheId="7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23" firstHeaderRow="1" firstDataRow="1" firstDataCol="1" rowPageCount="1" colPageCount="1"/>
  <pivotFields count="42">
    <pivotField showAll="0"/>
    <pivotField dataField="1" showAll="0"/>
    <pivotField showAll="0"/>
    <pivotField showAll="0"/>
    <pivotField showAll="0"/>
    <pivotField showAll="0"/>
    <pivotField showAll="0"/>
    <pivotField showAll="0"/>
    <pivotField showAll="0"/>
    <pivotField axis="axisPage" multipleItemSelectionAllowed="1" showAll="0">
      <items count="6">
        <item x="2"/>
        <item h="1" x="1"/>
        <item x="3"/>
        <item h="1" m="1" x="4"/>
        <item h="1" x="0"/>
        <item t="default"/>
      </items>
    </pivotField>
    <pivotField showAll="0"/>
    <pivotField axis="axisRow" showAll="0" sortType="descending">
      <items count="64">
        <item x="16"/>
        <item m="1" x="56"/>
        <item m="1" x="54"/>
        <item m="1" x="51"/>
        <item m="1" x="55"/>
        <item x="29"/>
        <item m="1" x="60"/>
        <item m="1" x="57"/>
        <item m="1" x="61"/>
        <item m="1" x="53"/>
        <item m="1" x="59"/>
        <item m="1" x="52"/>
        <item m="1" x="58"/>
        <item x="1"/>
        <item m="1" x="62"/>
        <item x="0"/>
        <item x="2"/>
        <item m="1" x="45"/>
        <item x="5"/>
        <item x="6"/>
        <item x="11"/>
        <item x="8"/>
        <item m="1" x="46"/>
        <item m="1" x="49"/>
        <item x="24"/>
        <item x="4"/>
        <item m="1" x="50"/>
        <item m="1" x="48"/>
        <item x="26"/>
        <item x="9"/>
        <item x="18"/>
        <item m="1" x="47"/>
        <item m="1" x="44"/>
        <item m="1" x="43"/>
        <item m="1" x="42"/>
        <item x="17"/>
        <item m="1" x="39"/>
        <item m="1" x="36"/>
        <item m="1" x="35"/>
        <item m="1" x="38"/>
        <item x="27"/>
        <item m="1" x="40"/>
        <item m="1" x="41"/>
        <item m="1" x="37"/>
        <item x="10"/>
        <item m="1" x="30"/>
        <item x="12"/>
        <item x="15"/>
        <item m="1" x="31"/>
        <item m="1" x="33"/>
        <item x="21"/>
        <item m="1" x="34"/>
        <item m="1" x="32"/>
        <item x="20"/>
        <item x="25"/>
        <item x="7"/>
        <item x="13"/>
        <item x="14"/>
        <item x="23"/>
        <item x="28"/>
        <item x="3"/>
        <item x="19"/>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20">
    <i>
      <x v="19"/>
    </i>
    <i>
      <x v="29"/>
    </i>
    <i>
      <x v="55"/>
    </i>
    <i>
      <x v="5"/>
    </i>
    <i>
      <x v="25"/>
    </i>
    <i>
      <x v="56"/>
    </i>
    <i>
      <x v="58"/>
    </i>
    <i>
      <x v="44"/>
    </i>
    <i>
      <x v="54"/>
    </i>
    <i>
      <x/>
    </i>
    <i>
      <x v="47"/>
    </i>
    <i>
      <x v="50"/>
    </i>
    <i>
      <x v="18"/>
    </i>
    <i>
      <x v="16"/>
    </i>
    <i>
      <x v="57"/>
    </i>
    <i>
      <x v="59"/>
    </i>
    <i>
      <x v="13"/>
    </i>
    <i>
      <x v="61"/>
    </i>
    <i>
      <x v="60"/>
    </i>
    <i t="grand">
      <x/>
    </i>
  </rowItems>
  <colItems count="1">
    <i/>
  </colItems>
  <pageFields count="1">
    <pageField fld="9" hier="-1"/>
  </pageFields>
  <dataFields count="1">
    <dataField name="Count of Parent Title" fld="1" subtotal="count" baseField="0" baseItem="0"/>
  </dataFields>
  <formats count="10">
    <format dxfId="197">
      <pivotArea outline="0" collapsedLevelsAreSubtotals="1" fieldPosition="0"/>
    </format>
    <format dxfId="198">
      <pivotArea dataOnly="0" labelOnly="1" grandRow="1" outline="0" fieldPosition="0"/>
    </format>
    <format dxfId="199">
      <pivotArea dataOnly="0" labelOnly="1" grandCol="1" outline="0" fieldPosition="0"/>
    </format>
    <format dxfId="200">
      <pivotArea outline="0" collapsedLevelsAreSubtotals="1" fieldPosition="0"/>
    </format>
    <format dxfId="201">
      <pivotArea dataOnly="0" labelOnly="1" grandRow="1" outline="0" fieldPosition="0"/>
    </format>
    <format dxfId="202">
      <pivotArea dataOnly="0" labelOnly="1" grandCol="1" outline="0" fieldPosition="0"/>
    </format>
    <format dxfId="203">
      <pivotArea type="all" dataOnly="0" outline="0" fieldPosition="0"/>
    </format>
    <format dxfId="204">
      <pivotArea outline="0" collapsedLevelsAreSubtotals="1" fieldPosition="0"/>
    </format>
    <format dxfId="205">
      <pivotArea dataOnly="0" labelOnly="1" grandRow="1" outline="0" fieldPosition="0"/>
    </format>
    <format dxfId="20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F98FFF-D939-4F2D-A9CA-068B92A11E32}" name="PivotTable1" cacheId="7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9" firstHeaderRow="1" firstDataRow="2" firstDataCol="1"/>
  <pivotFields count="42">
    <pivotField showAll="0"/>
    <pivotField dataField="1" showAll="0"/>
    <pivotField showAll="0"/>
    <pivotField axis="axisRow" showAll="0">
      <items count="16">
        <item x="2"/>
        <item x="9"/>
        <item x="11"/>
        <item x="4"/>
        <item x="6"/>
        <item x="3"/>
        <item x="10"/>
        <item x="8"/>
        <item x="12"/>
        <item x="0"/>
        <item x="1"/>
        <item x="5"/>
        <item x="7"/>
        <item x="13"/>
        <item h="1" x="14"/>
        <item t="default"/>
      </items>
    </pivotField>
    <pivotField showAll="0"/>
    <pivotField showAll="0"/>
    <pivotField showAll="0"/>
    <pivotField showAll="0"/>
    <pivotField showAll="0"/>
    <pivotField axis="axisCol" showAll="0">
      <items count="6">
        <item x="2"/>
        <item x="1"/>
        <item x="3"/>
        <item m="1"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5">
    <i>
      <x/>
    </i>
    <i>
      <x v="1"/>
    </i>
    <i>
      <x v="2"/>
    </i>
    <i>
      <x v="3"/>
    </i>
    <i>
      <x v="4"/>
    </i>
    <i>
      <x v="5"/>
    </i>
    <i>
      <x v="6"/>
    </i>
    <i>
      <x v="7"/>
    </i>
    <i>
      <x v="8"/>
    </i>
    <i>
      <x v="9"/>
    </i>
    <i>
      <x v="10"/>
    </i>
    <i>
      <x v="11"/>
    </i>
    <i>
      <x v="12"/>
    </i>
    <i>
      <x v="13"/>
    </i>
    <i t="grand">
      <x/>
    </i>
  </rowItems>
  <colFields count="1">
    <field x="9"/>
  </colFields>
  <colItems count="5">
    <i>
      <x/>
    </i>
    <i>
      <x v="1"/>
    </i>
    <i>
      <x v="2"/>
    </i>
    <i>
      <x v="4"/>
    </i>
    <i t="grand">
      <x/>
    </i>
  </colItems>
  <dataFields count="1">
    <dataField name="Count of Parent Title" fld="1" subtotal="count" baseField="0" baseItem="0"/>
  </dataFields>
  <formats count="12">
    <format dxfId="185">
      <pivotArea outline="0" collapsedLevelsAreSubtotals="1" fieldPosition="0"/>
    </format>
    <format dxfId="186">
      <pivotArea dataOnly="0" labelOnly="1" grandRow="1" outline="0" fieldPosition="0"/>
    </format>
    <format dxfId="187">
      <pivotArea dataOnly="0" labelOnly="1" grandCol="1" outline="0" fieldPosition="0"/>
    </format>
    <format dxfId="188">
      <pivotArea outline="0" collapsedLevelsAreSubtotals="1" fieldPosition="0"/>
    </format>
    <format dxfId="189">
      <pivotArea dataOnly="0" labelOnly="1" grandRow="1" outline="0" fieldPosition="0"/>
    </format>
    <format dxfId="190">
      <pivotArea dataOnly="0" labelOnly="1" grandCol="1" outline="0" fieldPosition="0"/>
    </format>
    <format dxfId="191">
      <pivotArea outline="0" collapsedLevelsAreSubtotals="1" fieldPosition="0"/>
    </format>
    <format dxfId="192">
      <pivotArea field="3" type="button" dataOnly="0" labelOnly="1" outline="0" axis="axisRow" fieldPosition="0"/>
    </format>
    <format dxfId="193">
      <pivotArea dataOnly="0" labelOnly="1" fieldPosition="0">
        <references count="1">
          <reference field="3" count="0"/>
        </references>
      </pivotArea>
    </format>
    <format dxfId="194">
      <pivotArea dataOnly="0" labelOnly="1" grandRow="1" outline="0" fieldPosition="0"/>
    </format>
    <format dxfId="195">
      <pivotArea dataOnly="0" labelOnly="1" fieldPosition="0">
        <references count="1">
          <reference field="9" count="0"/>
        </references>
      </pivotArea>
    </format>
    <format dxfId="19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BF47D1-2ABB-42E4-B330-C7E987DACB0D}" name="PivotTable1" cacheId="7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rowHeaderCaption="Insprint Tester">
  <location ref="A29:D41" firstHeaderRow="1" firstDataRow="2" firstDataCol="2" rowPageCount="2" colPageCount="1"/>
  <pivotFields count="42">
    <pivotField compact="0" outline="0" showAll="0"/>
    <pivotField compact="0" outline="0" showAll="0"/>
    <pivotField compact="0" outline="0" showAll="0"/>
    <pivotField axis="axisRow" compact="0" outline="0" multipleItemSelectionAllowed="1" showAll="0" defaultSubtotal="0">
      <items count="15">
        <item x="2"/>
        <item x="9"/>
        <item x="11"/>
        <item x="4"/>
        <item x="6"/>
        <item x="3"/>
        <item x="10"/>
        <item x="8"/>
        <item x="12"/>
        <item x="0"/>
        <item x="1"/>
        <item x="5"/>
        <item x="7"/>
        <item x="13"/>
        <item x="14"/>
      </items>
    </pivotField>
    <pivotField dataField="1" compact="0" outline="0" showAll="0"/>
    <pivotField compact="0" outline="0" showAll="0"/>
    <pivotField compact="0" outline="0" showAll="0"/>
    <pivotField compact="0" outline="0" showAll="0"/>
    <pivotField axis="axisRow" compact="0" outline="0" showAll="0" sortType="descending">
      <items count="127">
        <item x="50"/>
        <item x="39"/>
        <item x="21"/>
        <item m="1" x="113"/>
        <item x="96"/>
        <item x="18"/>
        <item x="47"/>
        <item m="1" x="100"/>
        <item x="8"/>
        <item m="1" x="105"/>
        <item x="27"/>
        <item x="31"/>
        <item m="1" x="117"/>
        <item x="42"/>
        <item x="44"/>
        <item x="67"/>
        <item x="62"/>
        <item m="1" x="122"/>
        <item x="53"/>
        <item x="28"/>
        <item x="74"/>
        <item x="48"/>
        <item m="1" x="108"/>
        <item x="85"/>
        <item x="61"/>
        <item x="79"/>
        <item x="68"/>
        <item m="1" x="118"/>
        <item x="54"/>
        <item x="76"/>
        <item m="1" x="116"/>
        <item x="49"/>
        <item x="10"/>
        <item x="29"/>
        <item x="38"/>
        <item x="24"/>
        <item x="15"/>
        <item x="92"/>
        <item x="78"/>
        <item m="1" x="106"/>
        <item x="82"/>
        <item m="1" x="123"/>
        <item x="88"/>
        <item m="1" x="114"/>
        <item x="71"/>
        <item x="72"/>
        <item x="34"/>
        <item m="1" x="103"/>
        <item x="26"/>
        <item m="1" x="101"/>
        <item m="1" x="99"/>
        <item x="36"/>
        <item x="65"/>
        <item x="19"/>
        <item x="4"/>
        <item m="1" x="104"/>
        <item x="0"/>
        <item x="60"/>
        <item x="89"/>
        <item x="17"/>
        <item x="7"/>
        <item x="66"/>
        <item x="69"/>
        <item x="5"/>
        <item m="1" x="98"/>
        <item x="80"/>
        <item x="77"/>
        <item x="32"/>
        <item x="33"/>
        <item x="83"/>
        <item x="12"/>
        <item x="35"/>
        <item x="46"/>
        <item x="84"/>
        <item x="52"/>
        <item x="70"/>
        <item x="64"/>
        <item x="45"/>
        <item x="93"/>
        <item x="63"/>
        <item m="1" x="110"/>
        <item x="56"/>
        <item x="51"/>
        <item x="37"/>
        <item x="30"/>
        <item m="1" x="120"/>
        <item m="1" x="115"/>
        <item x="97"/>
        <item x="41"/>
        <item x="14"/>
        <item x="22"/>
        <item x="13"/>
        <item m="1" x="102"/>
        <item x="25"/>
        <item x="87"/>
        <item x="2"/>
        <item x="23"/>
        <item x="59"/>
        <item x="6"/>
        <item m="1" x="119"/>
        <item x="9"/>
        <item m="1" x="111"/>
        <item m="1" x="112"/>
        <item m="1" x="121"/>
        <item x="20"/>
        <item x="11"/>
        <item x="40"/>
        <item m="1" x="109"/>
        <item x="81"/>
        <item x="75"/>
        <item x="86"/>
        <item x="16"/>
        <item x="95"/>
        <item x="55"/>
        <item x="90"/>
        <item x="58"/>
        <item x="91"/>
        <item x="94"/>
        <item x="1"/>
        <item m="1" x="124"/>
        <item m="1" x="125"/>
        <item x="3"/>
        <item m="1" x="107"/>
        <item x="57"/>
        <item x="73"/>
        <item x="43"/>
        <item t="default"/>
      </items>
      <autoSortScope>
        <pivotArea dataOnly="0" outline="0" fieldPosition="0">
          <references count="1">
            <reference field="4294967294" count="1" selected="0">
              <x v="1"/>
            </reference>
          </references>
        </pivotArea>
      </autoSortScope>
    </pivotField>
    <pivotField axis="axisPage" compact="0" outline="0" multipleItemSelectionAllowed="1" showAll="0">
      <items count="6">
        <item h="1" x="2"/>
        <item x="1"/>
        <item h="1" x="3"/>
        <item h="1" m="1" x="4"/>
        <item h="1" x="0"/>
        <item t="default"/>
      </items>
    </pivotField>
    <pivotField compact="0" outline="0" showAll="0"/>
    <pivotField compact="0" outline="0" showAll="0"/>
    <pivotField compact="0" outline="0" showAll="0"/>
    <pivotField compact="0" outline="0" showAll="0"/>
    <pivotField axis="axisPage" dataField="1" compact="0" outline="0" multipleItemSelectionAllowed="1" showAll="0">
      <items count="25">
        <item x="6"/>
        <item h="1" x="21"/>
        <item h="1" x="20"/>
        <item h="1" x="0"/>
        <item h="1" x="1"/>
        <item h="1" x="7"/>
        <item h="1" x="2"/>
        <item h="1" x="5"/>
        <item h="1" x="13"/>
        <item h="1" x="10"/>
        <item h="1" x="4"/>
        <item h="1" x="15"/>
        <item h="1" x="11"/>
        <item h="1" x="14"/>
        <item h="1" x="8"/>
        <item h="1" x="12"/>
        <item h="1" x="16"/>
        <item h="1" x="17"/>
        <item h="1" x="19"/>
        <item h="1" x="3"/>
        <item m="1" x="23"/>
        <item h="1" x="18"/>
        <item h="1" x="9"/>
        <item h="1" x="2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3"/>
    <field x="8"/>
  </rowFields>
  <rowItems count="11">
    <i>
      <x v="2"/>
      <x v="108"/>
    </i>
    <i r="1">
      <x v="78"/>
    </i>
    <i>
      <x v="6"/>
      <x v="65"/>
    </i>
    <i r="1">
      <x v="73"/>
    </i>
    <i r="1">
      <x v="66"/>
    </i>
    <i>
      <x v="7"/>
      <x v="15"/>
    </i>
    <i r="1">
      <x v="77"/>
    </i>
    <i r="1">
      <x v="21"/>
    </i>
    <i>
      <x v="9"/>
      <x v="54"/>
    </i>
    <i>
      <x v="11"/>
      <x v="46"/>
    </i>
    <i t="grand">
      <x/>
    </i>
  </rowItems>
  <colFields count="1">
    <field x="-2"/>
  </colFields>
  <colItems count="2">
    <i>
      <x/>
    </i>
    <i i="1">
      <x v="1"/>
    </i>
  </colItems>
  <pageFields count="2">
    <pageField fld="9" hier="-1"/>
    <pageField fld="14" hier="-1"/>
  </pageFields>
  <dataFields count="2">
    <dataField name="Count of Title" fld="4" subtotal="count" baseField="0" baseItem="0"/>
    <dataField name="Average of If insprint YES - % of completion" fld="14" subtotal="average" baseField="8" baseItem="11" numFmtId="9"/>
  </dataFields>
  <formats count="19">
    <format dxfId="166">
      <pivotArea outline="0" collapsedLevelsAreSubtotals="1" fieldPosition="0"/>
    </format>
    <format dxfId="167">
      <pivotArea field="3" type="button" dataOnly="0" labelOnly="1" outline="0" axis="axisRow" fieldPosition="0"/>
    </format>
    <format dxfId="168">
      <pivotArea dataOnly="0" labelOnly="1" fieldPosition="0">
        <references count="1">
          <reference field="9" count="0"/>
        </references>
      </pivotArea>
    </format>
    <format dxfId="169">
      <pivotArea dataOnly="0" labelOnly="1" grandCol="1" outline="0" fieldPosition="0"/>
    </format>
    <format dxfId="170">
      <pivotArea outline="0" collapsedLevelsAreSubtotals="1" fieldPosition="0"/>
    </format>
    <format dxfId="171">
      <pivotArea field="9" type="button" dataOnly="0" labelOnly="1" outline="0" axis="axisPage" fieldPosition="0"/>
    </format>
    <format dxfId="172">
      <pivotArea type="topRight" dataOnly="0" labelOnly="1" outline="0" fieldPosition="0"/>
    </format>
    <format dxfId="173">
      <pivotArea dataOnly="0" labelOnly="1" fieldPosition="0">
        <references count="1">
          <reference field="9" count="0"/>
        </references>
      </pivotArea>
    </format>
    <format dxfId="174">
      <pivotArea dataOnly="0" labelOnly="1" grandCol="1" outline="0" fieldPosition="0"/>
    </format>
    <format dxfId="175">
      <pivotArea field="3" type="button" dataOnly="0" labelOnly="1" outline="0" axis="axisRow" fieldPosition="0"/>
    </format>
    <format dxfId="176">
      <pivotArea dataOnly="0" labelOnly="1" fieldPosition="0">
        <references count="1">
          <reference field="9" count="0"/>
        </references>
      </pivotArea>
    </format>
    <format dxfId="177">
      <pivotArea dataOnly="0" labelOnly="1" grandCol="1" outline="0" fieldPosition="0"/>
    </format>
    <format dxfId="178">
      <pivotArea outline="0" collapsedLevelsAreSubtotals="1" fieldPosition="0">
        <references count="1">
          <reference field="4294967294" count="1" selected="0">
            <x v="1"/>
          </reference>
        </references>
      </pivotArea>
    </format>
    <format dxfId="179">
      <pivotArea type="all" dataOnly="0" outline="0" fieldPosition="0"/>
    </format>
    <format dxfId="180">
      <pivotArea outline="0" collapsedLevelsAreSubtotals="1" fieldPosition="0"/>
    </format>
    <format dxfId="181">
      <pivotArea field="8" type="button" dataOnly="0" labelOnly="1" outline="0" axis="axisRow" fieldPosition="1"/>
    </format>
    <format dxfId="182">
      <pivotArea dataOnly="0" labelOnly="1" fieldPosition="0">
        <references count="1">
          <reference field="8" count="26">
            <x v="6"/>
            <x v="14"/>
            <x v="15"/>
            <x v="16"/>
            <x v="18"/>
            <x v="21"/>
            <x v="24"/>
            <x v="26"/>
            <x v="28"/>
            <x v="31"/>
            <x v="52"/>
            <x v="57"/>
            <x v="61"/>
            <x v="62"/>
            <x v="72"/>
            <x v="74"/>
            <x v="75"/>
            <x v="76"/>
            <x v="77"/>
            <x v="79"/>
            <x v="81"/>
            <x v="82"/>
            <x v="97"/>
            <x v="113"/>
            <x v="115"/>
            <x v="123"/>
          </reference>
        </references>
      </pivotArea>
    </format>
    <format dxfId="183">
      <pivotArea dataOnly="0" labelOnly="1" grandRow="1" outline="0" fieldPosition="0"/>
    </format>
    <format dxfId="18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21C6DB-ACA0-4EB7-885B-BD426BE5F133}" name="PivotTable7" cacheId="7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ead">
  <location ref="A3:F16" firstHeaderRow="1" firstDataRow="2" firstDataCol="1"/>
  <pivotFields count="42">
    <pivotField showAll="0"/>
    <pivotField showAll="0"/>
    <pivotField showAll="0"/>
    <pivotField axis="axisRow" showAll="0">
      <items count="16">
        <item x="2"/>
        <item x="9"/>
        <item x="11"/>
        <item x="4"/>
        <item x="6"/>
        <item x="3"/>
        <item x="10"/>
        <item x="8"/>
        <item h="1" x="12"/>
        <item x="0"/>
        <item x="1"/>
        <item x="5"/>
        <item h="1" x="7"/>
        <item h="1" x="13"/>
        <item h="1" x="14"/>
        <item t="default"/>
      </items>
    </pivotField>
    <pivotField dataField="1" showAll="0"/>
    <pivotField showAll="0"/>
    <pivotField showAll="0"/>
    <pivotField showAll="0"/>
    <pivotField showAll="0"/>
    <pivotField axis="axisCol" showAll="0">
      <items count="6">
        <item x="2"/>
        <item x="1"/>
        <item x="3"/>
        <item m="1"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2">
    <i>
      <x/>
    </i>
    <i>
      <x v="1"/>
    </i>
    <i>
      <x v="2"/>
    </i>
    <i>
      <x v="3"/>
    </i>
    <i>
      <x v="4"/>
    </i>
    <i>
      <x v="5"/>
    </i>
    <i>
      <x v="6"/>
    </i>
    <i>
      <x v="7"/>
    </i>
    <i>
      <x v="9"/>
    </i>
    <i>
      <x v="10"/>
    </i>
    <i>
      <x v="11"/>
    </i>
    <i t="grand">
      <x/>
    </i>
  </rowItems>
  <colFields count="1">
    <field x="9"/>
  </colFields>
  <colItems count="5">
    <i>
      <x/>
    </i>
    <i>
      <x v="1"/>
    </i>
    <i>
      <x v="2"/>
    </i>
    <i>
      <x v="4"/>
    </i>
    <i t="grand">
      <x/>
    </i>
  </colItems>
  <dataFields count="1">
    <dataField name="Count of Title" fld="4" subtotal="count" baseField="0" baseItem="0"/>
  </dataFields>
  <formats count="25">
    <format dxfId="141">
      <pivotArea outline="0" collapsedLevelsAreSubtotals="1" fieldPosition="0"/>
    </format>
    <format dxfId="142">
      <pivotArea dataOnly="0" labelOnly="1" fieldPosition="0">
        <references count="1">
          <reference field="3" count="0"/>
        </references>
      </pivotArea>
    </format>
    <format dxfId="143">
      <pivotArea dataOnly="0" labelOnly="1" fieldPosition="0">
        <references count="1">
          <reference field="9" count="0"/>
        </references>
      </pivotArea>
    </format>
    <format dxfId="144">
      <pivotArea dataOnly="0" labelOnly="1" grandCol="1" outline="0" fieldPosition="0"/>
    </format>
    <format dxfId="145">
      <pivotArea outline="0" collapsedLevelsAreSubtotals="1" fieldPosition="0"/>
    </format>
    <format dxfId="146">
      <pivotArea field="9" type="button" dataOnly="0" labelOnly="1" outline="0" axis="axisCol" fieldPosition="0"/>
    </format>
    <format dxfId="147">
      <pivotArea type="topRight" dataOnly="0" labelOnly="1" outline="0" fieldPosition="0"/>
    </format>
    <format dxfId="148">
      <pivotArea dataOnly="0" labelOnly="1" fieldPosition="0">
        <references count="1">
          <reference field="9" count="0"/>
        </references>
      </pivotArea>
    </format>
    <format dxfId="149">
      <pivotArea dataOnly="0" labelOnly="1" grandCol="1" outline="0" fieldPosition="0"/>
    </format>
    <format dxfId="150">
      <pivotArea collapsedLevelsAreSubtotals="1" fieldPosition="0">
        <references count="1">
          <reference field="3" count="1">
            <x v="13"/>
          </reference>
        </references>
      </pivotArea>
    </format>
    <format dxfId="151">
      <pivotArea dataOnly="0" labelOnly="1" fieldPosition="0">
        <references count="1">
          <reference field="3" count="1">
            <x v="13"/>
          </reference>
        </references>
      </pivotArea>
    </format>
    <format dxfId="152">
      <pivotArea collapsedLevelsAreSubtotals="1" fieldPosition="0">
        <references count="1">
          <reference field="3" count="1">
            <x v="12"/>
          </reference>
        </references>
      </pivotArea>
    </format>
    <format dxfId="153">
      <pivotArea dataOnly="0" labelOnly="1" fieldPosition="0">
        <references count="1">
          <reference field="3" count="1">
            <x v="12"/>
          </reference>
        </references>
      </pivotArea>
    </format>
    <format dxfId="154">
      <pivotArea collapsedLevelsAreSubtotals="1" fieldPosition="0">
        <references count="1">
          <reference field="3" count="1">
            <x v="8"/>
          </reference>
        </references>
      </pivotArea>
    </format>
    <format dxfId="155">
      <pivotArea dataOnly="0" labelOnly="1" fieldPosition="0">
        <references count="1">
          <reference field="3" count="1">
            <x v="8"/>
          </reference>
        </references>
      </pivotArea>
    </format>
    <format dxfId="156">
      <pivotArea type="all" dataOnly="0" outline="0" fieldPosition="0"/>
    </format>
    <format dxfId="157">
      <pivotArea outline="0" collapsedLevelsAreSubtotals="1" fieldPosition="0"/>
    </format>
    <format dxfId="158">
      <pivotArea type="origin" dataOnly="0" labelOnly="1" outline="0" fieldPosition="0"/>
    </format>
    <format dxfId="159">
      <pivotArea field="9" type="button" dataOnly="0" labelOnly="1" outline="0" axis="axisCol" fieldPosition="0"/>
    </format>
    <format dxfId="160">
      <pivotArea type="topRight" dataOnly="0" labelOnly="1" outline="0" fieldPosition="0"/>
    </format>
    <format dxfId="161">
      <pivotArea field="3" type="button" dataOnly="0" labelOnly="1" outline="0" axis="axisRow" fieldPosition="0"/>
    </format>
    <format dxfId="162">
      <pivotArea dataOnly="0" labelOnly="1" fieldPosition="0">
        <references count="1">
          <reference field="3" count="0"/>
        </references>
      </pivotArea>
    </format>
    <format dxfId="163">
      <pivotArea dataOnly="0" labelOnly="1" grandRow="1" outline="0" fieldPosition="0"/>
    </format>
    <format dxfId="164">
      <pivotArea dataOnly="0" labelOnly="1" fieldPosition="0">
        <references count="1">
          <reference field="9" count="0"/>
        </references>
      </pivotArea>
    </format>
    <format dxfId="16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CA578E-50B9-4367-B3B7-E732A2212BEA}" name="PivotTable9" cacheId="7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edefined Reason">
  <location ref="I4:J23" firstHeaderRow="1" firstDataRow="1" firstDataCol="1" rowPageCount="2" colPageCount="1"/>
  <pivotFields count="42">
    <pivotField showAll="0"/>
    <pivotField showAll="0"/>
    <pivotField showAll="0"/>
    <pivotField axis="axisPage" multipleItemSelectionAllowed="1" showAll="0">
      <items count="16">
        <item x="2"/>
        <item x="9"/>
        <item x="11"/>
        <item x="4"/>
        <item x="6"/>
        <item x="3"/>
        <item x="10"/>
        <item x="8"/>
        <item x="12"/>
        <item x="0"/>
        <item x="1"/>
        <item x="5"/>
        <item x="7"/>
        <item x="13"/>
        <item x="14"/>
        <item t="default"/>
      </items>
    </pivotField>
    <pivotField dataField="1" showAll="0"/>
    <pivotField showAll="0"/>
    <pivotField showAll="0"/>
    <pivotField showAll="0"/>
    <pivotField showAll="0"/>
    <pivotField axis="axisPage" multipleItemSelectionAllowed="1" showAll="0">
      <items count="6">
        <item x="2"/>
        <item h="1" x="1"/>
        <item h="1" x="3"/>
        <item m="1" x="4"/>
        <item h="1" x="0"/>
        <item t="default"/>
      </items>
    </pivotField>
    <pivotField showAll="0"/>
    <pivotField axis="axisRow" showAll="0" sortType="descending">
      <items count="64">
        <item x="16"/>
        <item m="1" x="46"/>
        <item m="1" x="49"/>
        <item m="1" x="50"/>
        <item m="1" x="56"/>
        <item x="0"/>
        <item x="5"/>
        <item m="1" x="54"/>
        <item x="8"/>
        <item x="2"/>
        <item m="1" x="51"/>
        <item m="1" x="55"/>
        <item x="29"/>
        <item m="1" x="62"/>
        <item m="1" x="60"/>
        <item m="1" x="57"/>
        <item m="1" x="61"/>
        <item x="6"/>
        <item m="1" x="53"/>
        <item x="24"/>
        <item m="1" x="59"/>
        <item m="1" x="48"/>
        <item x="11"/>
        <item m="1" x="45"/>
        <item x="4"/>
        <item m="1" x="52"/>
        <item m="1" x="58"/>
        <item x="26"/>
        <item x="1"/>
        <item x="9"/>
        <item x="18"/>
        <item m="1" x="47"/>
        <item m="1" x="44"/>
        <item m="1" x="43"/>
        <item m="1" x="42"/>
        <item x="17"/>
        <item m="1" x="39"/>
        <item m="1" x="36"/>
        <item m="1" x="35"/>
        <item m="1" x="38"/>
        <item x="27"/>
        <item m="1" x="40"/>
        <item m="1" x="41"/>
        <item m="1" x="37"/>
        <item x="10"/>
        <item m="1" x="30"/>
        <item x="12"/>
        <item x="15"/>
        <item m="1" x="31"/>
        <item m="1" x="33"/>
        <item x="21"/>
        <item m="1" x="34"/>
        <item m="1" x="32"/>
        <item x="20"/>
        <item x="25"/>
        <item x="7"/>
        <item x="13"/>
        <item x="14"/>
        <item x="23"/>
        <item x="28"/>
        <item x="3"/>
        <item x="19"/>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19">
    <i>
      <x v="17"/>
    </i>
    <i>
      <x v="29"/>
    </i>
    <i>
      <x v="55"/>
    </i>
    <i>
      <x v="12"/>
    </i>
    <i>
      <x v="56"/>
    </i>
    <i>
      <x v="24"/>
    </i>
    <i>
      <x v="58"/>
    </i>
    <i>
      <x v="44"/>
    </i>
    <i>
      <x v="54"/>
    </i>
    <i>
      <x/>
    </i>
    <i>
      <x v="47"/>
    </i>
    <i>
      <x v="50"/>
    </i>
    <i>
      <x v="9"/>
    </i>
    <i>
      <x v="6"/>
    </i>
    <i>
      <x v="57"/>
    </i>
    <i>
      <x v="59"/>
    </i>
    <i>
      <x v="61"/>
    </i>
    <i>
      <x v="60"/>
    </i>
    <i t="grand">
      <x/>
    </i>
  </rowItems>
  <colItems count="1">
    <i/>
  </colItems>
  <pageFields count="2">
    <pageField fld="9" hier="-1"/>
    <pageField fld="3" hier="-1"/>
  </pageFields>
  <dataFields count="1">
    <dataField name="Count of Title" fld="4" subtotal="count" baseField="0" baseItem="0"/>
  </dataFields>
  <formats count="30">
    <format dxfId="111">
      <pivotArea outline="0" collapsedLevelsAreSubtotals="1" fieldPosition="0"/>
    </format>
    <format dxfId="112">
      <pivotArea field="3" type="button" dataOnly="0" labelOnly="1" outline="0" axis="axisPage" fieldPosition="1"/>
    </format>
    <format dxfId="113">
      <pivotArea dataOnly="0" labelOnly="1" fieldPosition="0">
        <references count="1">
          <reference field="9" count="0"/>
        </references>
      </pivotArea>
    </format>
    <format dxfId="114">
      <pivotArea dataOnly="0" labelOnly="1" grandCol="1" outline="0" fieldPosition="0"/>
    </format>
    <format dxfId="115">
      <pivotArea outline="0" collapsedLevelsAreSubtotals="1" fieldPosition="0"/>
    </format>
    <format dxfId="116">
      <pivotArea type="topRight" dataOnly="0" labelOnly="1" outline="0" fieldPosition="0"/>
    </format>
    <format dxfId="117">
      <pivotArea dataOnly="0" labelOnly="1" fieldPosition="0">
        <references count="1">
          <reference field="9" count="0"/>
        </references>
      </pivotArea>
    </format>
    <format dxfId="118">
      <pivotArea dataOnly="0" labelOnly="1" grandCol="1" outline="0" fieldPosition="0"/>
    </format>
    <format dxfId="119">
      <pivotArea type="all" dataOnly="0" outline="0" fieldPosition="0"/>
    </format>
    <format dxfId="120">
      <pivotArea dataOnly="0" labelOnly="1" fieldPosition="0">
        <references count="1">
          <reference field="11" count="0"/>
        </references>
      </pivotArea>
    </format>
    <format dxfId="121">
      <pivotArea dataOnly="0" labelOnly="1" fieldPosition="0">
        <references count="1">
          <reference field="11" count="1">
            <x v="29"/>
          </reference>
        </references>
      </pivotArea>
    </format>
    <format dxfId="122">
      <pivotArea field="9" type="button" dataOnly="0" labelOnly="1" outline="0" axis="axisPage" fieldPosition="0"/>
    </format>
    <format dxfId="123">
      <pivotArea field="9" type="button" dataOnly="0" labelOnly="1" outline="0" axis="axisPage" fieldPosition="0"/>
    </format>
    <format dxfId="124">
      <pivotArea dataOnly="0" labelOnly="1" outline="0" fieldPosition="0">
        <references count="1">
          <reference field="9" count="0"/>
        </references>
      </pivotArea>
    </format>
    <format dxfId="125">
      <pivotArea collapsedLevelsAreSubtotals="1" fieldPosition="0">
        <references count="1">
          <reference field="11" count="1">
            <x v="29"/>
          </reference>
        </references>
      </pivotArea>
    </format>
    <format dxfId="126">
      <pivotArea dataOnly="0" labelOnly="1" fieldPosition="0">
        <references count="1">
          <reference field="11" count="1">
            <x v="29"/>
          </reference>
        </references>
      </pivotArea>
    </format>
    <format dxfId="127">
      <pivotArea collapsedLevelsAreSubtotals="1" fieldPosition="0">
        <references count="1">
          <reference field="11" count="1">
            <x v="22"/>
          </reference>
        </references>
      </pivotArea>
    </format>
    <format dxfId="128">
      <pivotArea dataOnly="0" labelOnly="1" fieldPosition="0">
        <references count="1">
          <reference field="11" count="1">
            <x v="22"/>
          </reference>
        </references>
      </pivotArea>
    </format>
    <format dxfId="129">
      <pivotArea collapsedLevelsAreSubtotals="1" fieldPosition="0">
        <references count="1">
          <reference field="11" count="1">
            <x v="8"/>
          </reference>
        </references>
      </pivotArea>
    </format>
    <format dxfId="130">
      <pivotArea dataOnly="0" labelOnly="1" fieldPosition="0">
        <references count="1">
          <reference field="11" count="1">
            <x v="8"/>
          </reference>
        </references>
      </pivotArea>
    </format>
    <format dxfId="131">
      <pivotArea collapsedLevelsAreSubtotals="1" fieldPosition="0">
        <references count="1">
          <reference field="11" count="1">
            <x v="19"/>
          </reference>
        </references>
      </pivotArea>
    </format>
    <format dxfId="132">
      <pivotArea dataOnly="0" labelOnly="1" fieldPosition="0">
        <references count="1">
          <reference field="11" count="1">
            <x v="19"/>
          </reference>
        </references>
      </pivotArea>
    </format>
    <format dxfId="133">
      <pivotArea collapsedLevelsAreSubtotals="1" fieldPosition="0">
        <references count="1">
          <reference field="11" count="2">
            <x v="5"/>
            <x v="30"/>
          </reference>
        </references>
      </pivotArea>
    </format>
    <format dxfId="134">
      <pivotArea dataOnly="0" labelOnly="1" fieldPosition="0">
        <references count="1">
          <reference field="11" count="2">
            <x v="5"/>
            <x v="30"/>
          </reference>
        </references>
      </pivotArea>
    </format>
    <format dxfId="135">
      <pivotArea type="all" dataOnly="0" outline="0" fieldPosition="0"/>
    </format>
    <format dxfId="136">
      <pivotArea outline="0" collapsedLevelsAreSubtotals="1" fieldPosition="0"/>
    </format>
    <format dxfId="137">
      <pivotArea field="11" type="button" dataOnly="0" labelOnly="1" outline="0" axis="axisRow" fieldPosition="0"/>
    </format>
    <format dxfId="138">
      <pivotArea dataOnly="0" labelOnly="1" fieldPosition="0">
        <references count="1">
          <reference field="11" count="19">
            <x v="0"/>
            <x v="6"/>
            <x v="9"/>
            <x v="12"/>
            <x v="17"/>
            <x v="22"/>
            <x v="24"/>
            <x v="29"/>
            <x v="44"/>
            <x v="47"/>
            <x v="50"/>
            <x v="54"/>
            <x v="55"/>
            <x v="56"/>
            <x v="57"/>
            <x v="58"/>
            <x v="59"/>
            <x v="60"/>
            <x v="61"/>
          </reference>
        </references>
      </pivotArea>
    </format>
    <format dxfId="139">
      <pivotArea dataOnly="0" labelOnly="1" grandRow="1" outline="0" fieldPosition="0"/>
    </format>
    <format dxfId="1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5D1266-B3F3-4A0E-9D1B-E5372E5C94DB}" name="PivotTable1" cacheId="75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F17" firstHeaderRow="0" firstDataRow="1" firstDataCol="1"/>
  <pivotFields count="42">
    <pivotField compact="0" outline="0" showAll="0"/>
    <pivotField compact="0" outline="0" showAll="0"/>
    <pivotField compact="0" outline="0" showAll="0"/>
    <pivotField axis="axisRow" compact="0" outline="0" showAll="0" sortType="ascending">
      <items count="16">
        <item x="2"/>
        <item x="9"/>
        <item x="11"/>
        <item x="4"/>
        <item x="6"/>
        <item x="3"/>
        <item x="10"/>
        <item x="8"/>
        <item x="12"/>
        <item x="0"/>
        <item x="1"/>
        <item x="5"/>
        <item x="7"/>
        <item x="13"/>
        <item h="1" x="1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15">
    <i>
      <x/>
    </i>
    <i>
      <x v="1"/>
    </i>
    <i>
      <x v="2"/>
    </i>
    <i>
      <x v="3"/>
    </i>
    <i>
      <x v="4"/>
    </i>
    <i>
      <x v="5"/>
    </i>
    <i>
      <x v="6"/>
    </i>
    <i>
      <x v="7"/>
    </i>
    <i>
      <x v="8"/>
    </i>
    <i>
      <x v="9"/>
    </i>
    <i>
      <x v="10"/>
    </i>
    <i>
      <x v="11"/>
    </i>
    <i>
      <x v="12"/>
    </i>
    <i>
      <x v="13"/>
    </i>
    <i t="grand">
      <x/>
    </i>
  </rowItems>
  <colFields count="1">
    <field x="-2"/>
  </colFields>
  <colItems count="5">
    <i>
      <x/>
    </i>
    <i i="1">
      <x v="1"/>
    </i>
    <i i="2">
      <x v="2"/>
    </i>
    <i i="3">
      <x v="3"/>
    </i>
    <i i="4">
      <x v="4"/>
    </i>
  </colItems>
  <dataFields count="5">
    <dataField name="Sum of Passed" fld="32" baseField="0" baseItem="0"/>
    <dataField name="Sum of Failed" fld="33" baseField="0" baseItem="0"/>
    <dataField name="Sum of Blocked" fld="34" baseField="0" baseItem="0"/>
    <dataField name="Sum of Not Run" fld="35" baseField="0" baseItem="0"/>
    <dataField name="Sum of Total" fld="36" baseField="0" baseItem="0"/>
  </dataFields>
  <formats count="22">
    <format dxfId="89">
      <pivotArea type="all" dataOnly="0" outline="0" fieldPosition="0"/>
    </format>
    <format dxfId="90">
      <pivotArea outline="0" collapsedLevelsAreSubtotals="1" fieldPosition="0"/>
    </format>
    <format dxfId="91">
      <pivotArea dataOnly="0" labelOnly="1" grandRow="1" outline="0" fieldPosition="0"/>
    </format>
    <format dxfId="92">
      <pivotArea dataOnly="0" labelOnly="1" outline="0" fieldPosition="0">
        <references count="1">
          <reference field="4294967294" count="5">
            <x v="0"/>
            <x v="1"/>
            <x v="2"/>
            <x v="3"/>
            <x v="4"/>
          </reference>
        </references>
      </pivotArea>
    </format>
    <format dxfId="93">
      <pivotArea type="all" dataOnly="0" outline="0" fieldPosition="0"/>
    </format>
    <format dxfId="94">
      <pivotArea outline="0" collapsedLevelsAreSubtotals="1" fieldPosition="0"/>
    </format>
    <format dxfId="95">
      <pivotArea field="3" type="button" dataOnly="0" labelOnly="1" outline="0" axis="axisRow" fieldPosition="0"/>
    </format>
    <format dxfId="96">
      <pivotArea dataOnly="0" labelOnly="1" outline="0" fieldPosition="0">
        <references count="1">
          <reference field="3" count="0"/>
        </references>
      </pivotArea>
    </format>
    <format dxfId="97">
      <pivotArea dataOnly="0" labelOnly="1" grandRow="1" outline="0" fieldPosition="0"/>
    </format>
    <format dxfId="98">
      <pivotArea dataOnly="0" labelOnly="1" outline="0" fieldPosition="0">
        <references count="1">
          <reference field="4294967294" count="5">
            <x v="0"/>
            <x v="1"/>
            <x v="2"/>
            <x v="3"/>
            <x v="4"/>
          </reference>
        </references>
      </pivotArea>
    </format>
    <format dxfId="99">
      <pivotArea type="all" dataOnly="0" outline="0" fieldPosition="0"/>
    </format>
    <format dxfId="100">
      <pivotArea outline="0" collapsedLevelsAreSubtotals="1" fieldPosition="0"/>
    </format>
    <format dxfId="101">
      <pivotArea field="3" type="button" dataOnly="0" labelOnly="1" outline="0" axis="axisRow" fieldPosition="0"/>
    </format>
    <format dxfId="102">
      <pivotArea dataOnly="0" labelOnly="1" outline="0" fieldPosition="0">
        <references count="1">
          <reference field="3" count="0"/>
        </references>
      </pivotArea>
    </format>
    <format dxfId="103">
      <pivotArea dataOnly="0" labelOnly="1" grandRow="1" outline="0" fieldPosition="0"/>
    </format>
    <format dxfId="104">
      <pivotArea dataOnly="0" labelOnly="1" outline="0" fieldPosition="0">
        <references count="1">
          <reference field="4294967294" count="5">
            <x v="0"/>
            <x v="1"/>
            <x v="2"/>
            <x v="3"/>
            <x v="4"/>
          </reference>
        </references>
      </pivotArea>
    </format>
    <format dxfId="105">
      <pivotArea type="all" dataOnly="0" outline="0" fieldPosition="0"/>
    </format>
    <format dxfId="106">
      <pivotArea outline="0" collapsedLevelsAreSubtotals="1" fieldPosition="0"/>
    </format>
    <format dxfId="107">
      <pivotArea field="3" type="button" dataOnly="0" labelOnly="1" outline="0" axis="axisRow" fieldPosition="0"/>
    </format>
    <format dxfId="108">
      <pivotArea dataOnly="0" labelOnly="1" outline="0" fieldPosition="0">
        <references count="1">
          <reference field="3" count="0"/>
        </references>
      </pivotArea>
    </format>
    <format dxfId="109">
      <pivotArea dataOnly="0" labelOnly="1" grandRow="1" outline="0" fieldPosition="0"/>
    </format>
    <format dxfId="110">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11780F-5482-4D41-A5AC-37C8B3457F4F}" name="PivotTable2" cacheId="75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J156" firstHeaderRow="0" firstDataRow="1" firstDataCol="2" rowPageCount="2" colPageCount="1"/>
  <pivotFields count="42">
    <pivotField compact="0" outline="0" showAll="0"/>
    <pivotField axis="axisRow" compact="0" outline="0" showAll="0" defaultSubtotal="0">
      <items count="150">
        <item x="41"/>
        <item x="12"/>
        <item x="13"/>
        <item x="83"/>
        <item x="20"/>
        <item x="35"/>
        <item x="21"/>
        <item x="27"/>
        <item x="0"/>
        <item x="1"/>
        <item x="2"/>
        <item x="3"/>
        <item x="5"/>
        <item x="6"/>
        <item x="7"/>
        <item x="8"/>
        <item x="9"/>
        <item x="10"/>
        <item x="11"/>
        <item x="46"/>
        <item x="14"/>
        <item x="15"/>
        <item x="16"/>
        <item x="18"/>
        <item x="22"/>
        <item x="23"/>
        <item x="24"/>
        <item x="25"/>
        <item x="26"/>
        <item x="28"/>
        <item x="29"/>
        <item x="30"/>
        <item x="31"/>
        <item x="32"/>
        <item x="33"/>
        <item x="34"/>
        <item x="37"/>
        <item x="38"/>
        <item x="40"/>
        <item x="36"/>
        <item x="42"/>
        <item x="43"/>
        <item x="44"/>
        <item x="45"/>
        <item x="47"/>
        <item x="48"/>
        <item x="49"/>
        <item x="50"/>
        <item x="51"/>
        <item x="52"/>
        <item x="85"/>
        <item x="86"/>
        <item x="53"/>
        <item x="54"/>
        <item x="55"/>
        <item x="59"/>
        <item x="56"/>
        <item x="57"/>
        <item x="58"/>
        <item x="60"/>
        <item x="61"/>
        <item x="62"/>
        <item x="63"/>
        <item x="4"/>
        <item x="19"/>
        <item x="39"/>
        <item x="65"/>
        <item x="66"/>
        <item x="68"/>
        <item x="70"/>
        <item x="69"/>
        <item x="71"/>
        <item x="72"/>
        <item x="73"/>
        <item x="67"/>
        <item x="74"/>
        <item x="75"/>
        <item x="76"/>
        <item x="77"/>
        <item x="78"/>
        <item x="79"/>
        <item x="80"/>
        <item x="81"/>
        <item x="84"/>
        <item x="87"/>
        <item x="91"/>
        <item x="93"/>
        <item x="94"/>
        <item x="95"/>
        <item x="96"/>
        <item x="97"/>
        <item x="98"/>
        <item x="99"/>
        <item x="92"/>
        <item x="102"/>
        <item x="103"/>
        <item x="105"/>
        <item x="106"/>
        <item x="107"/>
        <item x="108"/>
        <item x="109"/>
        <item x="110"/>
        <item x="111"/>
        <item x="112"/>
        <item x="113"/>
        <item x="114"/>
        <item x="115"/>
        <item x="116"/>
        <item x="118"/>
        <item x="117"/>
        <item x="119"/>
        <item x="120"/>
        <item x="121"/>
        <item x="122"/>
        <item x="123"/>
        <item x="124"/>
        <item x="125"/>
        <item x="126"/>
        <item x="127"/>
        <item x="128"/>
        <item x="129"/>
        <item x="130"/>
        <item x="131"/>
        <item x="136"/>
        <item x="137"/>
        <item x="138"/>
        <item x="139"/>
        <item x="140"/>
        <item x="141"/>
        <item x="142"/>
        <item x="143"/>
        <item x="144"/>
        <item x="147"/>
        <item x="89"/>
        <item x="100"/>
        <item x="101"/>
        <item x="145"/>
        <item x="17"/>
        <item x="132"/>
        <item x="133"/>
        <item x="134"/>
        <item x="135"/>
        <item x="146"/>
        <item x="104"/>
        <item x="148"/>
        <item x="149"/>
        <item x="82"/>
        <item x="88"/>
        <item x="90"/>
        <item x="64"/>
      </items>
    </pivotField>
    <pivotField axis="axisRow" compact="0" outline="0" showAll="0" defaultSubtotal="0">
      <items count="401">
        <item m="1" x="396"/>
        <item m="1" x="395"/>
        <item m="1" x="398"/>
        <item m="1" x="306"/>
        <item m="1" x="310"/>
        <item m="1" x="336"/>
        <item m="1" x="311"/>
        <item m="1" x="375"/>
        <item m="1" x="376"/>
        <item m="1" x="377"/>
        <item m="1" x="399"/>
        <item m="1" x="379"/>
        <item m="1" x="308"/>
        <item m="1" x="175"/>
        <item m="1" x="249"/>
        <item m="1" x="369"/>
        <item m="1" x="323"/>
        <item m="1" x="378"/>
        <item m="1" x="269"/>
        <item m="1" x="342"/>
        <item x="32"/>
        <item m="1" x="322"/>
        <item m="1" x="276"/>
        <item m="1" x="363"/>
        <item m="1" x="381"/>
        <item m="1" x="313"/>
        <item x="117"/>
        <item m="1" x="380"/>
        <item m="1" x="366"/>
        <item m="1" x="189"/>
        <item x="73"/>
        <item m="1" x="364"/>
        <item x="119"/>
        <item m="1" x="349"/>
        <item m="1" x="355"/>
        <item m="1" x="288"/>
        <item m="1" x="324"/>
        <item m="1" x="340"/>
        <item m="1" x="348"/>
        <item m="1" x="343"/>
        <item m="1" x="359"/>
        <item m="1" x="346"/>
        <item m="1" x="258"/>
        <item m="1" x="204"/>
        <item m="1" x="316"/>
        <item m="1" x="298"/>
        <item m="1" x="201"/>
        <item m="1" x="387"/>
        <item m="1" x="350"/>
        <item m="1" x="339"/>
        <item m="1" x="299"/>
        <item m="1" x="321"/>
        <item m="1" x="300"/>
        <item m="1" x="312"/>
        <item m="1" x="314"/>
        <item m="1" x="296"/>
        <item m="1" x="309"/>
        <item m="1" x="383"/>
        <item m="1" x="328"/>
        <item m="1" x="327"/>
        <item m="1" x="301"/>
        <item m="1" x="303"/>
        <item m="1" x="302"/>
        <item m="1" x="358"/>
        <item m="1" x="315"/>
        <item m="1" x="337"/>
        <item m="1" x="365"/>
        <item m="1" x="356"/>
        <item m="1" x="332"/>
        <item m="1" x="304"/>
        <item m="1" x="384"/>
        <item m="1" x="389"/>
        <item m="1" x="326"/>
        <item x="144"/>
        <item m="1" x="391"/>
        <item m="1" x="393"/>
        <item m="1" x="281"/>
        <item m="1" x="392"/>
        <item m="1" x="386"/>
        <item m="1" x="385"/>
        <item m="1" x="307"/>
        <item m="1" x="345"/>
        <item m="1" x="368"/>
        <item m="1" x="357"/>
        <item m="1" x="373"/>
        <item m="1" x="362"/>
        <item m="1" x="329"/>
        <item m="1" x="335"/>
        <item m="1" x="333"/>
        <item m="1" x="305"/>
        <item m="1" x="271"/>
        <item m="1" x="367"/>
        <item m="1" x="334"/>
        <item x="65"/>
        <item m="1" x="279"/>
        <item m="1" x="370"/>
        <item m="1" x="341"/>
        <item m="1" x="394"/>
        <item m="1" x="223"/>
        <item m="1" x="372"/>
        <item m="1" x="297"/>
        <item m="1" x="317"/>
        <item m="1" x="318"/>
        <item m="1" x="325"/>
        <item m="1" x="294"/>
        <item m="1" x="344"/>
        <item m="1" x="286"/>
        <item m="1" x="361"/>
        <item m="1" x="330"/>
        <item m="1" x="331"/>
        <item m="1" x="390"/>
        <item m="1" x="388"/>
        <item m="1" x="371"/>
        <item m="1" x="338"/>
        <item m="1" x="229"/>
        <item m="1" x="347"/>
        <item m="1" x="319"/>
        <item m="1" x="351"/>
        <item x="72"/>
        <item m="1" x="360"/>
        <item m="1" x="382"/>
        <item m="1" x="320"/>
        <item m="1" x="400"/>
        <item x="41"/>
        <item m="1" x="352"/>
        <item m="1" x="353"/>
        <item m="1" x="374"/>
        <item m="1" x="354"/>
        <item m="1" x="397"/>
        <item x="12"/>
        <item x="83"/>
        <item x="76"/>
        <item x="13"/>
        <item x="74"/>
        <item x="34"/>
        <item m="1" x="184"/>
        <item m="1" x="163"/>
        <item x="68"/>
        <item x="28"/>
        <item x="22"/>
        <item x="67"/>
        <item x="70"/>
        <item x="77"/>
        <item x="69"/>
        <item m="1" x="186"/>
        <item m="1" x="187"/>
        <item m="1" x="188"/>
        <item m="1" x="168"/>
        <item m="1" x="190"/>
        <item m="1" x="191"/>
        <item m="1" x="193"/>
        <item m="1" x="194"/>
        <item m="1" x="195"/>
        <item m="1" x="196"/>
        <item m="1" x="169"/>
        <item m="1" x="197"/>
        <item m="1" x="198"/>
        <item m="1" x="199"/>
        <item m="1" x="200"/>
        <item m="1" x="202"/>
        <item m="1" x="203"/>
        <item m="1" x="291"/>
        <item m="1" x="205"/>
        <item m="1" x="292"/>
        <item m="1" x="206"/>
        <item m="1" x="207"/>
        <item m="1" x="208"/>
        <item m="1" x="209"/>
        <item x="18"/>
        <item m="1" x="293"/>
        <item x="20"/>
        <item m="1" x="215"/>
        <item m="1" x="216"/>
        <item m="1" x="217"/>
        <item m="1" x="218"/>
        <item x="97"/>
        <item m="1" x="219"/>
        <item m="1" x="220"/>
        <item m="1" x="221"/>
        <item m="1" x="237"/>
        <item m="1" x="224"/>
        <item m="1" x="225"/>
        <item x="108"/>
        <item m="1" x="226"/>
        <item m="1" x="227"/>
        <item m="1" x="228"/>
        <item m="1" x="230"/>
        <item m="1" x="232"/>
        <item m="1" x="233"/>
        <item m="1" x="235"/>
        <item m="1" x="213"/>
        <item m="1" x="236"/>
        <item m="1" x="239"/>
        <item m="1" x="240"/>
        <item x="121"/>
        <item m="1" x="241"/>
        <item x="120"/>
        <item m="1" x="295"/>
        <item m="1" x="246"/>
        <item m="1" x="247"/>
        <item m="1" x="287"/>
        <item m="1" x="248"/>
        <item m="1" x="250"/>
        <item m="1" x="251"/>
        <item m="1" x="252"/>
        <item m="1" x="253"/>
        <item m="1" x="254"/>
        <item m="1" x="256"/>
        <item m="1" x="257"/>
        <item m="1" x="259"/>
        <item m="1" x="260"/>
        <item x="35"/>
        <item m="1" x="261"/>
        <item m="1" x="262"/>
        <item m="1" x="263"/>
        <item m="1" x="264"/>
        <item m="1" x="265"/>
        <item m="1" x="289"/>
        <item m="1" x="290"/>
        <item sd="0" x="95"/>
        <item x="37"/>
        <item m="1" x="266"/>
        <item m="1" x="267"/>
        <item x="94"/>
        <item m="1" x="192"/>
        <item m="1" x="210"/>
        <item m="1" x="211"/>
        <item m="1" x="212"/>
        <item x="21"/>
        <item m="1" x="214"/>
        <item m="1" x="222"/>
        <item m="1" x="231"/>
        <item m="1" x="234"/>
        <item m="1" x="243"/>
        <item m="1" x="242"/>
        <item m="1" x="160"/>
        <item x="130"/>
        <item m="1" x="255"/>
        <item m="1" x="268"/>
        <item m="1" x="171"/>
        <item x="27"/>
        <item m="1" x="270"/>
        <item m="1" x="272"/>
        <item m="1" x="273"/>
        <item x="56"/>
        <item m="1" x="238"/>
        <item m="1" x="244"/>
        <item m="1" x="274"/>
        <item m="1" x="275"/>
        <item x="66"/>
        <item m="1" x="277"/>
        <item m="1" x="278"/>
        <item m="1" x="280"/>
        <item x="141"/>
        <item m="1" x="282"/>
        <item m="1" x="283"/>
        <item x="139"/>
        <item x="143"/>
        <item x="140"/>
        <item m="1" x="284"/>
        <item x="136"/>
        <item m="1" x="285"/>
        <item x="142"/>
        <item m="1" x="185"/>
        <item m="1" x="245"/>
        <item x="0"/>
        <item m="1" x="165"/>
        <item x="1"/>
        <item x="2"/>
        <item m="1" x="166"/>
        <item m="1" x="167"/>
        <item x="3"/>
        <item x="5"/>
        <item x="6"/>
        <item x="7"/>
        <item x="8"/>
        <item x="9"/>
        <item x="10"/>
        <item x="11"/>
        <item x="17"/>
        <item m="1" x="154"/>
        <item x="46"/>
        <item x="14"/>
        <item x="15"/>
        <item m="1" x="178"/>
        <item x="16"/>
        <item m="1" x="179"/>
        <item m="1" x="180"/>
        <item x="23"/>
        <item x="24"/>
        <item x="25"/>
        <item x="26"/>
        <item x="29"/>
        <item x="30"/>
        <item x="31"/>
        <item x="33"/>
        <item x="38"/>
        <item m="1" x="158"/>
        <item m="1" x="151"/>
        <item x="40"/>
        <item x="36"/>
        <item x="42"/>
        <item x="43"/>
        <item m="1" x="177"/>
        <item m="1" x="174"/>
        <item m="1" x="173"/>
        <item x="44"/>
        <item x="45"/>
        <item m="1" x="181"/>
        <item x="47"/>
        <item x="48"/>
        <item x="49"/>
        <item x="50"/>
        <item x="51"/>
        <item x="52"/>
        <item x="85"/>
        <item x="86"/>
        <item x="53"/>
        <item m="1" x="182"/>
        <item x="54"/>
        <item x="55"/>
        <item x="59"/>
        <item x="57"/>
        <item x="58"/>
        <item x="60"/>
        <item x="61"/>
        <item x="62"/>
        <item m="1" x="183"/>
        <item x="63"/>
        <item x="4"/>
        <item x="19"/>
        <item x="39"/>
        <item m="1" x="157"/>
        <item m="1" x="153"/>
        <item x="71"/>
        <item x="75"/>
        <item x="78"/>
        <item x="79"/>
        <item x="80"/>
        <item x="81"/>
        <item x="84"/>
        <item x="87"/>
        <item x="91"/>
        <item m="1" x="150"/>
        <item m="1" x="170"/>
        <item x="93"/>
        <item x="96"/>
        <item x="98"/>
        <item x="99"/>
        <item x="92"/>
        <item x="100"/>
        <item x="101"/>
        <item x="102"/>
        <item x="103"/>
        <item x="104"/>
        <item x="105"/>
        <item x="106"/>
        <item m="1" x="172"/>
        <item x="107"/>
        <item x="109"/>
        <item x="110"/>
        <item x="111"/>
        <item x="112"/>
        <item x="113"/>
        <item x="114"/>
        <item x="115"/>
        <item x="116"/>
        <item x="118"/>
        <item m="1" x="152"/>
        <item x="122"/>
        <item m="1" x="176"/>
        <item x="123"/>
        <item x="124"/>
        <item x="125"/>
        <item x="126"/>
        <item x="127"/>
        <item x="128"/>
        <item x="129"/>
        <item x="131"/>
        <item x="137"/>
        <item x="138"/>
        <item m="1" x="162"/>
        <item x="147"/>
        <item x="132"/>
        <item m="1" x="155"/>
        <item m="1" x="164"/>
        <item x="89"/>
        <item m="1" x="159"/>
        <item m="1" x="161"/>
        <item x="145"/>
        <item x="146"/>
        <item x="133"/>
        <item m="1" x="156"/>
        <item x="134"/>
        <item x="135"/>
        <item x="82"/>
        <item x="88"/>
        <item x="148"/>
        <item x="149"/>
        <item x="90"/>
        <item x="64"/>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items count="6">
        <item x="0"/>
        <item x="3"/>
        <item x="1"/>
        <item x="2"/>
        <item m="1" x="4"/>
        <item t="default"/>
      </items>
    </pivotField>
    <pivotField dataField="1" compact="0" outline="0" showAll="0">
      <items count="6">
        <item x="0"/>
        <item x="2"/>
        <item x="1"/>
        <item x="3"/>
        <item m="1"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axis="axisPage" compact="0" outline="0" showAll="0">
      <items count="54">
        <item x="4"/>
        <item m="1" x="52"/>
        <item x="7"/>
        <item x="37"/>
        <item x="27"/>
        <item x="32"/>
        <item x="0"/>
        <item x="2"/>
        <item x="3"/>
        <item x="5"/>
        <item x="22"/>
        <item x="24"/>
        <item x="23"/>
        <item x="6"/>
        <item x="15"/>
        <item x="10"/>
        <item x="20"/>
        <item x="11"/>
        <item x="49"/>
        <item x="51"/>
        <item x="29"/>
        <item x="30"/>
        <item x="9"/>
        <item x="19"/>
        <item x="28"/>
        <item x="21"/>
        <item x="40"/>
        <item x="14"/>
        <item x="16"/>
        <item x="12"/>
        <item x="31"/>
        <item x="50"/>
        <item x="18"/>
        <item x="17"/>
        <item x="1"/>
        <item x="13"/>
        <item x="8"/>
        <item x="38"/>
        <item x="25"/>
        <item x="33"/>
        <item x="35"/>
        <item x="36"/>
        <item x="34"/>
        <item x="41"/>
        <item x="42"/>
        <item x="43"/>
        <item x="44"/>
        <item x="46"/>
        <item x="45"/>
        <item x="47"/>
        <item x="48"/>
        <item x="26"/>
        <item x="39"/>
        <item t="default"/>
      </items>
    </pivotField>
    <pivotField axis="axisPage" compact="0" outline="0" showAll="0">
      <items count="19">
        <item x="3"/>
        <item m="1" x="17"/>
        <item x="0"/>
        <item x="2"/>
        <item x="4"/>
        <item x="7"/>
        <item x="5"/>
        <item x="6"/>
        <item x="11"/>
        <item x="8"/>
        <item x="1"/>
        <item x="10"/>
        <item x="13"/>
        <item x="12"/>
        <item x="16"/>
        <item x="9"/>
        <item x="15"/>
        <item x="14"/>
        <item t="default"/>
      </items>
    </pivotField>
  </pivotFields>
  <rowFields count="2">
    <field x="2"/>
    <field x="1"/>
  </rowFields>
  <rowItems count="152">
    <i>
      <x v="20"/>
      <x v="33"/>
    </i>
    <i>
      <x v="26"/>
      <x v="109"/>
    </i>
    <i>
      <x v="30"/>
      <x v="73"/>
    </i>
    <i>
      <x v="32"/>
      <x v="110"/>
    </i>
    <i>
      <x v="73"/>
      <x v="131"/>
    </i>
    <i>
      <x v="93"/>
      <x v="66"/>
    </i>
    <i>
      <x v="118"/>
      <x v="72"/>
    </i>
    <i>
      <x v="123"/>
      <x/>
    </i>
    <i>
      <x v="129"/>
      <x v="1"/>
    </i>
    <i>
      <x v="130"/>
      <x v="3"/>
    </i>
    <i>
      <x v="131"/>
      <x v="77"/>
    </i>
    <i>
      <x v="132"/>
      <x v="2"/>
    </i>
    <i>
      <x v="133"/>
      <x v="75"/>
    </i>
    <i>
      <x v="134"/>
      <x v="35"/>
    </i>
    <i>
      <x v="137"/>
      <x v="68"/>
    </i>
    <i>
      <x v="138"/>
      <x v="29"/>
    </i>
    <i>
      <x v="139"/>
      <x v="24"/>
    </i>
    <i>
      <x v="140"/>
      <x v="74"/>
    </i>
    <i>
      <x v="141"/>
      <x v="69"/>
    </i>
    <i>
      <x v="142"/>
      <x v="78"/>
    </i>
    <i>
      <x v="143"/>
      <x v="70"/>
    </i>
    <i>
      <x v="168"/>
      <x v="23"/>
    </i>
    <i>
      <x v="170"/>
      <x v="4"/>
    </i>
    <i>
      <x v="175"/>
      <x v="90"/>
    </i>
    <i>
      <x v="182"/>
      <x v="99"/>
    </i>
    <i>
      <x v="194"/>
      <x v="112"/>
    </i>
    <i>
      <x v="196"/>
      <x v="111"/>
    </i>
    <i>
      <x v="211"/>
      <x v="5"/>
    </i>
    <i>
      <x v="219"/>
    </i>
    <i>
      <x v="220"/>
      <x v="36"/>
    </i>
    <i>
      <x v="223"/>
      <x v="87"/>
    </i>
    <i>
      <x v="228"/>
      <x v="6"/>
    </i>
    <i>
      <x v="236"/>
      <x v="121"/>
    </i>
    <i>
      <x v="240"/>
      <x v="7"/>
    </i>
    <i>
      <x v="244"/>
      <x v="56"/>
    </i>
    <i>
      <x v="249"/>
      <x v="67"/>
    </i>
    <i>
      <x v="253"/>
      <x v="128"/>
    </i>
    <i>
      <x v="256"/>
      <x v="126"/>
    </i>
    <i>
      <x v="257"/>
      <x v="130"/>
    </i>
    <i>
      <x v="258"/>
      <x v="127"/>
    </i>
    <i>
      <x v="260"/>
      <x v="123"/>
    </i>
    <i>
      <x v="262"/>
      <x v="129"/>
    </i>
    <i>
      <x v="265"/>
      <x v="8"/>
    </i>
    <i>
      <x v="267"/>
      <x v="9"/>
    </i>
    <i>
      <x v="268"/>
      <x v="10"/>
    </i>
    <i>
      <x v="271"/>
      <x v="11"/>
    </i>
    <i>
      <x v="272"/>
      <x v="12"/>
    </i>
    <i>
      <x v="273"/>
      <x v="13"/>
    </i>
    <i>
      <x v="274"/>
      <x v="14"/>
    </i>
    <i>
      <x v="275"/>
      <x v="15"/>
    </i>
    <i>
      <x v="276"/>
      <x v="16"/>
    </i>
    <i>
      <x v="277"/>
      <x v="17"/>
    </i>
    <i>
      <x v="278"/>
      <x v="18"/>
    </i>
    <i>
      <x v="279"/>
      <x v="137"/>
    </i>
    <i>
      <x v="281"/>
      <x v="19"/>
    </i>
    <i>
      <x v="282"/>
      <x v="20"/>
    </i>
    <i>
      <x v="283"/>
      <x v="21"/>
    </i>
    <i>
      <x v="285"/>
      <x v="22"/>
    </i>
    <i>
      <x v="288"/>
      <x v="25"/>
    </i>
    <i>
      <x v="289"/>
      <x v="26"/>
    </i>
    <i>
      <x v="290"/>
      <x v="27"/>
    </i>
    <i>
      <x v="291"/>
      <x v="28"/>
    </i>
    <i>
      <x v="292"/>
      <x v="30"/>
    </i>
    <i>
      <x v="293"/>
      <x v="31"/>
    </i>
    <i>
      <x v="294"/>
      <x v="32"/>
    </i>
    <i>
      <x v="295"/>
      <x v="34"/>
    </i>
    <i>
      <x v="296"/>
      <x v="37"/>
    </i>
    <i>
      <x v="299"/>
      <x v="38"/>
    </i>
    <i>
      <x v="300"/>
      <x/>
    </i>
    <i r="1">
      <x v="39"/>
    </i>
    <i>
      <x v="301"/>
      <x v="40"/>
    </i>
    <i>
      <x v="302"/>
      <x v="41"/>
    </i>
    <i>
      <x v="306"/>
      <x v="42"/>
    </i>
    <i>
      <x v="307"/>
      <x v="43"/>
    </i>
    <i>
      <x v="309"/>
      <x v="44"/>
    </i>
    <i>
      <x v="310"/>
      <x v="45"/>
    </i>
    <i>
      <x v="311"/>
      <x v="46"/>
    </i>
    <i>
      <x v="312"/>
      <x v="47"/>
    </i>
    <i>
      <x v="313"/>
      <x v="48"/>
    </i>
    <i>
      <x v="314"/>
      <x v="49"/>
    </i>
    <i>
      <x v="315"/>
      <x v="50"/>
    </i>
    <i>
      <x v="316"/>
      <x v="51"/>
    </i>
    <i>
      <x v="317"/>
      <x v="52"/>
    </i>
    <i>
      <x v="319"/>
      <x v="53"/>
    </i>
    <i>
      <x v="320"/>
      <x v="54"/>
    </i>
    <i>
      <x v="321"/>
      <x v="55"/>
    </i>
    <i>
      <x v="322"/>
      <x v="57"/>
    </i>
    <i>
      <x v="323"/>
      <x v="58"/>
    </i>
    <i>
      <x v="324"/>
      <x v="59"/>
    </i>
    <i>
      <x v="325"/>
      <x v="60"/>
    </i>
    <i>
      <x v="326"/>
      <x v="61"/>
    </i>
    <i>
      <x v="328"/>
      <x v="62"/>
    </i>
    <i>
      <x v="329"/>
      <x v="63"/>
    </i>
    <i>
      <x v="330"/>
      <x v="64"/>
    </i>
    <i>
      <x v="331"/>
      <x v="65"/>
    </i>
    <i>
      <x v="334"/>
      <x v="71"/>
    </i>
    <i>
      <x v="335"/>
      <x v="76"/>
    </i>
    <i>
      <x v="336"/>
      <x v="79"/>
    </i>
    <i>
      <x v="337"/>
      <x v="80"/>
    </i>
    <i>
      <x v="338"/>
      <x v="81"/>
    </i>
    <i>
      <x v="339"/>
      <x v="82"/>
    </i>
    <i>
      <x v="340"/>
      <x v="83"/>
    </i>
    <i>
      <x v="341"/>
      <x v="84"/>
    </i>
    <i>
      <x v="342"/>
      <x v="85"/>
    </i>
    <i>
      <x v="345"/>
      <x v="86"/>
    </i>
    <i>
      <x v="346"/>
      <x v="89"/>
    </i>
    <i>
      <x v="347"/>
      <x v="91"/>
    </i>
    <i>
      <x v="348"/>
      <x v="92"/>
    </i>
    <i>
      <x v="349"/>
      <x v="93"/>
    </i>
    <i>
      <x v="350"/>
      <x v="134"/>
    </i>
    <i>
      <x v="351"/>
      <x v="135"/>
    </i>
    <i>
      <x v="352"/>
      <x v="94"/>
    </i>
    <i>
      <x v="353"/>
      <x v="95"/>
    </i>
    <i>
      <x v="354"/>
      <x v="143"/>
    </i>
    <i>
      <x v="355"/>
      <x v="96"/>
    </i>
    <i>
      <x v="356"/>
      <x v="97"/>
    </i>
    <i>
      <x v="358"/>
      <x v="98"/>
    </i>
    <i>
      <x v="359"/>
      <x v="100"/>
    </i>
    <i>
      <x v="360"/>
      <x v="101"/>
    </i>
    <i>
      <x v="361"/>
      <x v="102"/>
    </i>
    <i>
      <x v="362"/>
      <x v="103"/>
    </i>
    <i>
      <x v="363"/>
      <x v="104"/>
    </i>
    <i>
      <x v="364"/>
      <x v="105"/>
    </i>
    <i>
      <x v="365"/>
      <x v="106"/>
    </i>
    <i>
      <x v="366"/>
      <x v="107"/>
    </i>
    <i>
      <x v="367"/>
      <x v="108"/>
    </i>
    <i>
      <x v="369"/>
      <x v="113"/>
    </i>
    <i>
      <x v="371"/>
      <x v="114"/>
    </i>
    <i>
      <x v="372"/>
      <x v="115"/>
    </i>
    <i>
      <x v="373"/>
      <x v="116"/>
    </i>
    <i>
      <x v="374"/>
      <x v="117"/>
    </i>
    <i>
      <x v="375"/>
      <x v="118"/>
    </i>
    <i>
      <x v="376"/>
      <x v="119"/>
    </i>
    <i>
      <x v="377"/>
      <x v="120"/>
    </i>
    <i>
      <x v="378"/>
      <x v="122"/>
    </i>
    <i>
      <x v="379"/>
      <x v="124"/>
    </i>
    <i>
      <x v="380"/>
      <x v="125"/>
    </i>
    <i>
      <x v="382"/>
      <x v="132"/>
    </i>
    <i>
      <x v="383"/>
      <x v="138"/>
    </i>
    <i>
      <x v="386"/>
      <x v="133"/>
    </i>
    <i>
      <x v="389"/>
      <x v="136"/>
    </i>
    <i>
      <x v="390"/>
      <x v="142"/>
    </i>
    <i>
      <x v="391"/>
      <x v="139"/>
    </i>
    <i>
      <x v="393"/>
      <x v="140"/>
    </i>
    <i>
      <x v="394"/>
      <x v="141"/>
    </i>
    <i>
      <x v="395"/>
      <x v="146"/>
    </i>
    <i>
      <x v="396"/>
      <x v="147"/>
    </i>
    <i>
      <x v="397"/>
      <x v="144"/>
    </i>
    <i>
      <x v="398"/>
      <x v="145"/>
    </i>
    <i>
      <x v="399"/>
      <x v="148"/>
    </i>
    <i>
      <x v="400"/>
      <x v="149"/>
    </i>
    <i t="grand">
      <x/>
    </i>
  </rowItems>
  <colFields count="1">
    <field x="-2"/>
  </colFields>
  <colItems count="8">
    <i>
      <x/>
    </i>
    <i i="1">
      <x v="1"/>
    </i>
    <i i="2">
      <x v="2"/>
    </i>
    <i i="3">
      <x v="3"/>
    </i>
    <i i="4">
      <x v="4"/>
    </i>
    <i i="5">
      <x v="5"/>
    </i>
    <i i="6">
      <x v="6"/>
    </i>
    <i i="7">
      <x v="7"/>
    </i>
  </colItems>
  <pageFields count="2">
    <pageField fld="40" hier="-1"/>
    <pageField fld="41" hier="-1"/>
  </pageFields>
  <dataFields count="8">
    <dataField name="Count of Title" fld="4" subtotal="count" baseField="0" baseItem="0"/>
    <dataField name="Count of Test Planning" fld="21" subtotal="count" baseField="0" baseItem="0"/>
    <dataField name="Count of BA Review" fld="22" subtotal="count" baseField="0" baseItem="0"/>
    <dataField name="Sum of Passed" fld="32" baseField="0" baseItem="0"/>
    <dataField name="Sum of Failed" fld="33" baseField="0" baseItem="0"/>
    <dataField name="Sum of Blocked" fld="34" baseField="0" baseItem="0"/>
    <dataField name="Sum of Not Run" fld="35" baseField="0" baseItem="0"/>
    <dataField name="Sum of Total" fld="36" baseField="0" baseItem="0"/>
  </dataFields>
  <formats count="59">
    <format dxfId="30">
      <pivotArea type="all" dataOnly="0" outline="0" fieldPosition="0"/>
    </format>
    <format dxfId="31">
      <pivotArea outline="0" collapsedLevelsAreSubtotals="1" fieldPosition="0"/>
    </format>
    <format dxfId="32">
      <pivotArea field="2" type="button" dataOnly="0" labelOnly="1" outline="0" axis="axisRow" fieldPosition="0"/>
    </format>
    <format dxfId="33">
      <pivotArea field="1" type="button" dataOnly="0" labelOnly="1" outline="0" axis="axisRow" fieldPosition="1"/>
    </format>
    <format dxfId="34">
      <pivotArea field="21" type="button" dataOnly="0" labelOnly="1" outline="0"/>
    </format>
    <format dxfId="35">
      <pivotArea field="22" type="button" dataOnly="0" labelOnly="1" outline="0"/>
    </format>
    <format dxfId="36">
      <pivotArea dataOnly="0" labelOnly="1" outline="0" fieldPosition="0">
        <references count="1">
          <reference field="2" count="25">
            <x v="0"/>
            <x v="1"/>
            <x v="2"/>
            <x v="3"/>
            <x v="4"/>
            <x v="5"/>
            <x v="6"/>
            <x v="7"/>
            <x v="8"/>
            <x v="9"/>
            <x v="10"/>
            <x v="11"/>
            <x v="12"/>
            <x v="13"/>
            <x v="14"/>
            <x v="15"/>
            <x v="16"/>
            <x v="17"/>
            <x v="18"/>
            <x v="19"/>
            <x v="20"/>
            <x v="21"/>
            <x v="22"/>
            <x v="23"/>
            <x v="24"/>
          </reference>
        </references>
      </pivotArea>
    </format>
    <format dxfId="37">
      <pivotArea dataOnly="0" labelOnly="1" outline="0" fieldPosition="0">
        <references count="1">
          <reference field="2" count="25" defaultSubtotal="1">
            <x v="0"/>
            <x v="1"/>
            <x v="2"/>
            <x v="3"/>
            <x v="4"/>
            <x v="5"/>
            <x v="6"/>
            <x v="7"/>
            <x v="8"/>
            <x v="9"/>
            <x v="10"/>
            <x v="11"/>
            <x v="12"/>
            <x v="13"/>
            <x v="14"/>
            <x v="15"/>
            <x v="16"/>
            <x v="17"/>
            <x v="18"/>
            <x v="19"/>
            <x v="20"/>
            <x v="21"/>
            <x v="22"/>
            <x v="23"/>
            <x v="24"/>
          </reference>
        </references>
      </pivotArea>
    </format>
    <format dxfId="38">
      <pivotArea dataOnly="0" labelOnly="1" outline="0" fieldPosition="0">
        <references count="1">
          <reference field="2" count="25">
            <x v="25"/>
            <x v="26"/>
            <x v="27"/>
            <x v="28"/>
            <x v="29"/>
            <x v="30"/>
            <x v="31"/>
            <x v="32"/>
            <x v="33"/>
            <x v="34"/>
            <x v="35"/>
            <x v="36"/>
            <x v="37"/>
            <x v="38"/>
            <x v="39"/>
            <x v="40"/>
            <x v="41"/>
            <x v="42"/>
            <x v="43"/>
            <x v="44"/>
            <x v="45"/>
            <x v="46"/>
            <x v="47"/>
            <x v="48"/>
            <x v="49"/>
          </reference>
        </references>
      </pivotArea>
    </format>
    <format dxfId="39">
      <pivotArea dataOnly="0" labelOnly="1" outline="0" fieldPosition="0">
        <references count="1">
          <reference field="2" count="25" defaultSubtotal="1">
            <x v="25"/>
            <x v="26"/>
            <x v="27"/>
            <x v="28"/>
            <x v="29"/>
            <x v="30"/>
            <x v="31"/>
            <x v="32"/>
            <x v="33"/>
            <x v="34"/>
            <x v="35"/>
            <x v="36"/>
            <x v="37"/>
            <x v="38"/>
            <x v="39"/>
            <x v="40"/>
            <x v="41"/>
            <x v="42"/>
            <x v="43"/>
            <x v="44"/>
            <x v="45"/>
            <x v="46"/>
            <x v="47"/>
            <x v="48"/>
            <x v="49"/>
          </reference>
        </references>
      </pivotArea>
    </format>
    <format dxfId="40">
      <pivotArea dataOnly="0" labelOnly="1" outline="0" fieldPosition="0">
        <references count="1">
          <reference field="2" count="25">
            <x v="50"/>
            <x v="51"/>
            <x v="52"/>
            <x v="53"/>
            <x v="54"/>
            <x v="55"/>
            <x v="56"/>
            <x v="57"/>
            <x v="58"/>
            <x v="59"/>
            <x v="60"/>
            <x v="61"/>
            <x v="62"/>
            <x v="63"/>
            <x v="64"/>
            <x v="65"/>
            <x v="66"/>
            <x v="67"/>
            <x v="68"/>
            <x v="69"/>
            <x v="70"/>
            <x v="71"/>
            <x v="72"/>
            <x v="73"/>
            <x v="74"/>
          </reference>
        </references>
      </pivotArea>
    </format>
    <format dxfId="41">
      <pivotArea dataOnly="0" labelOnly="1" outline="0" fieldPosition="0">
        <references count="1">
          <reference field="2" count="25" defaultSubtotal="1">
            <x v="50"/>
            <x v="51"/>
            <x v="52"/>
            <x v="53"/>
            <x v="54"/>
            <x v="55"/>
            <x v="56"/>
            <x v="57"/>
            <x v="58"/>
            <x v="59"/>
            <x v="60"/>
            <x v="61"/>
            <x v="62"/>
            <x v="63"/>
            <x v="64"/>
            <x v="65"/>
            <x v="66"/>
            <x v="67"/>
            <x v="68"/>
            <x v="69"/>
            <x v="70"/>
            <x v="71"/>
            <x v="72"/>
            <x v="73"/>
            <x v="74"/>
          </reference>
        </references>
      </pivotArea>
    </format>
    <format dxfId="42">
      <pivotArea dataOnly="0" labelOnly="1" outline="0" fieldPosition="0">
        <references count="1">
          <reference field="2" count="25">
            <x v="75"/>
            <x v="76"/>
            <x v="77"/>
            <x v="78"/>
            <x v="79"/>
            <x v="80"/>
            <x v="81"/>
            <x v="82"/>
            <x v="83"/>
            <x v="84"/>
            <x v="85"/>
            <x v="86"/>
            <x v="87"/>
            <x v="88"/>
            <x v="89"/>
            <x v="90"/>
            <x v="91"/>
            <x v="92"/>
            <x v="93"/>
            <x v="94"/>
            <x v="95"/>
            <x v="96"/>
            <x v="97"/>
            <x v="98"/>
            <x v="99"/>
          </reference>
        </references>
      </pivotArea>
    </format>
    <format dxfId="43">
      <pivotArea dataOnly="0" labelOnly="1" outline="0" fieldPosition="0">
        <references count="1">
          <reference field="2" count="25" defaultSubtotal="1">
            <x v="75"/>
            <x v="76"/>
            <x v="77"/>
            <x v="78"/>
            <x v="79"/>
            <x v="80"/>
            <x v="81"/>
            <x v="82"/>
            <x v="83"/>
            <x v="84"/>
            <x v="85"/>
            <x v="86"/>
            <x v="87"/>
            <x v="88"/>
            <x v="89"/>
            <x v="90"/>
            <x v="91"/>
            <x v="92"/>
            <x v="93"/>
            <x v="94"/>
            <x v="95"/>
            <x v="96"/>
            <x v="97"/>
            <x v="98"/>
            <x v="99"/>
          </reference>
        </references>
      </pivotArea>
    </format>
    <format dxfId="44">
      <pivotArea dataOnly="0" labelOnly="1" outline="0" fieldPosition="0">
        <references count="1">
          <reference field="2" count="24">
            <x v="100"/>
            <x v="101"/>
            <x v="102"/>
            <x v="103"/>
            <x v="104"/>
            <x v="105"/>
            <x v="106"/>
            <x v="107"/>
            <x v="108"/>
            <x v="109"/>
            <x v="110"/>
            <x v="111"/>
            <x v="112"/>
            <x v="113"/>
            <x v="114"/>
            <x v="115"/>
            <x v="116"/>
            <x v="117"/>
            <x v="118"/>
            <x v="119"/>
            <x v="120"/>
            <x v="121"/>
            <x v="122"/>
            <x v="123"/>
          </reference>
        </references>
      </pivotArea>
    </format>
    <format dxfId="45">
      <pivotArea dataOnly="0" labelOnly="1" outline="0" fieldPosition="0">
        <references count="1">
          <reference field="2" count="24" defaultSubtotal="1">
            <x v="100"/>
            <x v="101"/>
            <x v="102"/>
            <x v="103"/>
            <x v="104"/>
            <x v="105"/>
            <x v="106"/>
            <x v="107"/>
            <x v="108"/>
            <x v="109"/>
            <x v="110"/>
            <x v="111"/>
            <x v="112"/>
            <x v="113"/>
            <x v="114"/>
            <x v="115"/>
            <x v="116"/>
            <x v="117"/>
            <x v="118"/>
            <x v="119"/>
            <x v="120"/>
            <x v="121"/>
            <x v="122"/>
            <x v="123"/>
          </reference>
        </references>
      </pivotArea>
    </format>
    <format dxfId="46">
      <pivotArea dataOnly="0" labelOnly="1" grandRow="1" outline="0" fieldPosition="0"/>
    </format>
    <format dxfId="47">
      <pivotArea dataOnly="0" labelOnly="1" outline="0" fieldPosition="0">
        <references count="1">
          <reference field="4294967294" count="5">
            <x v="3"/>
            <x v="4"/>
            <x v="5"/>
            <x v="6"/>
            <x v="7"/>
          </reference>
        </references>
      </pivotArea>
    </format>
    <format dxfId="48">
      <pivotArea type="all" dataOnly="0" outline="0" fieldPosition="0"/>
    </format>
    <format dxfId="49">
      <pivotArea outline="0" collapsedLevelsAreSubtotals="1" fieldPosition="0"/>
    </format>
    <format dxfId="50">
      <pivotArea field="2" type="button" dataOnly="0" labelOnly="1" outline="0" axis="axisRow" fieldPosition="0"/>
    </format>
    <format dxfId="51">
      <pivotArea field="1" type="button" dataOnly="0" labelOnly="1" outline="0" axis="axisRow" fieldPosition="1"/>
    </format>
    <format dxfId="52">
      <pivotArea field="21" type="button" dataOnly="0" labelOnly="1" outline="0"/>
    </format>
    <format dxfId="53">
      <pivotArea field="22" type="button" dataOnly="0" labelOnly="1" outline="0"/>
    </format>
    <format dxfId="54">
      <pivotArea dataOnly="0" labelOnly="1" outline="0" fieldPosition="0">
        <references count="1">
          <reference field="2" count="25">
            <x v="0"/>
            <x v="1"/>
            <x v="2"/>
            <x v="3"/>
            <x v="4"/>
            <x v="5"/>
            <x v="6"/>
            <x v="7"/>
            <x v="8"/>
            <x v="9"/>
            <x v="10"/>
            <x v="11"/>
            <x v="12"/>
            <x v="13"/>
            <x v="14"/>
            <x v="15"/>
            <x v="16"/>
            <x v="17"/>
            <x v="18"/>
            <x v="19"/>
            <x v="20"/>
            <x v="21"/>
            <x v="22"/>
            <x v="23"/>
            <x v="24"/>
          </reference>
        </references>
      </pivotArea>
    </format>
    <format dxfId="55">
      <pivotArea dataOnly="0" labelOnly="1" outline="0" fieldPosition="0">
        <references count="1">
          <reference field="2" count="25" defaultSubtotal="1">
            <x v="0"/>
            <x v="1"/>
            <x v="2"/>
            <x v="3"/>
            <x v="4"/>
            <x v="5"/>
            <x v="6"/>
            <x v="7"/>
            <x v="8"/>
            <x v="9"/>
            <x v="10"/>
            <x v="11"/>
            <x v="12"/>
            <x v="13"/>
            <x v="14"/>
            <x v="15"/>
            <x v="16"/>
            <x v="17"/>
            <x v="18"/>
            <x v="19"/>
            <x v="20"/>
            <x v="21"/>
            <x v="22"/>
            <x v="23"/>
            <x v="24"/>
          </reference>
        </references>
      </pivotArea>
    </format>
    <format dxfId="56">
      <pivotArea dataOnly="0" labelOnly="1" outline="0" fieldPosition="0">
        <references count="1">
          <reference field="2" count="25">
            <x v="25"/>
            <x v="26"/>
            <x v="27"/>
            <x v="28"/>
            <x v="29"/>
            <x v="30"/>
            <x v="31"/>
            <x v="32"/>
            <x v="33"/>
            <x v="34"/>
            <x v="35"/>
            <x v="36"/>
            <x v="37"/>
            <x v="38"/>
            <x v="39"/>
            <x v="40"/>
            <x v="41"/>
            <x v="42"/>
            <x v="43"/>
            <x v="44"/>
            <x v="45"/>
            <x v="46"/>
            <x v="47"/>
            <x v="48"/>
            <x v="49"/>
          </reference>
        </references>
      </pivotArea>
    </format>
    <format dxfId="57">
      <pivotArea dataOnly="0" labelOnly="1" outline="0" fieldPosition="0">
        <references count="1">
          <reference field="2" count="25" defaultSubtotal="1">
            <x v="25"/>
            <x v="26"/>
            <x v="27"/>
            <x v="28"/>
            <x v="29"/>
            <x v="30"/>
            <x v="31"/>
            <x v="32"/>
            <x v="33"/>
            <x v="34"/>
            <x v="35"/>
            <x v="36"/>
            <x v="37"/>
            <x v="38"/>
            <x v="39"/>
            <x v="40"/>
            <x v="41"/>
            <x v="42"/>
            <x v="43"/>
            <x v="44"/>
            <x v="45"/>
            <x v="46"/>
            <x v="47"/>
            <x v="48"/>
            <x v="49"/>
          </reference>
        </references>
      </pivotArea>
    </format>
    <format dxfId="58">
      <pivotArea dataOnly="0" labelOnly="1" outline="0" fieldPosition="0">
        <references count="1">
          <reference field="2" count="25">
            <x v="50"/>
            <x v="51"/>
            <x v="52"/>
            <x v="53"/>
            <x v="54"/>
            <x v="55"/>
            <x v="56"/>
            <x v="57"/>
            <x v="58"/>
            <x v="59"/>
            <x v="60"/>
            <x v="61"/>
            <x v="62"/>
            <x v="63"/>
            <x v="64"/>
            <x v="65"/>
            <x v="66"/>
            <x v="67"/>
            <x v="68"/>
            <x v="69"/>
            <x v="70"/>
            <x v="71"/>
            <x v="72"/>
            <x v="73"/>
            <x v="74"/>
          </reference>
        </references>
      </pivotArea>
    </format>
    <format dxfId="59">
      <pivotArea dataOnly="0" labelOnly="1" outline="0" fieldPosition="0">
        <references count="1">
          <reference field="2" count="25" defaultSubtotal="1">
            <x v="50"/>
            <x v="51"/>
            <x v="52"/>
            <x v="53"/>
            <x v="54"/>
            <x v="55"/>
            <x v="56"/>
            <x v="57"/>
            <x v="58"/>
            <x v="59"/>
            <x v="60"/>
            <x v="61"/>
            <x v="62"/>
            <x v="63"/>
            <x v="64"/>
            <x v="65"/>
            <x v="66"/>
            <x v="67"/>
            <x v="68"/>
            <x v="69"/>
            <x v="70"/>
            <x v="71"/>
            <x v="72"/>
            <x v="73"/>
            <x v="74"/>
          </reference>
        </references>
      </pivotArea>
    </format>
    <format dxfId="60">
      <pivotArea dataOnly="0" labelOnly="1" outline="0" fieldPosition="0">
        <references count="1">
          <reference field="2" count="25">
            <x v="75"/>
            <x v="76"/>
            <x v="77"/>
            <x v="78"/>
            <x v="79"/>
            <x v="80"/>
            <x v="81"/>
            <x v="82"/>
            <x v="83"/>
            <x v="84"/>
            <x v="85"/>
            <x v="86"/>
            <x v="87"/>
            <x v="88"/>
            <x v="89"/>
            <x v="90"/>
            <x v="91"/>
            <x v="92"/>
            <x v="93"/>
            <x v="94"/>
            <x v="95"/>
            <x v="96"/>
            <x v="97"/>
            <x v="98"/>
            <x v="99"/>
          </reference>
        </references>
      </pivotArea>
    </format>
    <format dxfId="61">
      <pivotArea dataOnly="0" labelOnly="1" outline="0" fieldPosition="0">
        <references count="1">
          <reference field="2" count="25" defaultSubtotal="1">
            <x v="75"/>
            <x v="76"/>
            <x v="77"/>
            <x v="78"/>
            <x v="79"/>
            <x v="80"/>
            <x v="81"/>
            <x v="82"/>
            <x v="83"/>
            <x v="84"/>
            <x v="85"/>
            <x v="86"/>
            <x v="87"/>
            <x v="88"/>
            <x v="89"/>
            <x v="90"/>
            <x v="91"/>
            <x v="92"/>
            <x v="93"/>
            <x v="94"/>
            <x v="95"/>
            <x v="96"/>
            <x v="97"/>
            <x v="98"/>
            <x v="99"/>
          </reference>
        </references>
      </pivotArea>
    </format>
    <format dxfId="62">
      <pivotArea dataOnly="0" labelOnly="1" outline="0" fieldPosition="0">
        <references count="1">
          <reference field="2" count="24">
            <x v="100"/>
            <x v="101"/>
            <x v="102"/>
            <x v="103"/>
            <x v="104"/>
            <x v="105"/>
            <x v="106"/>
            <x v="107"/>
            <x v="108"/>
            <x v="109"/>
            <x v="110"/>
            <x v="111"/>
            <x v="112"/>
            <x v="113"/>
            <x v="114"/>
            <x v="115"/>
            <x v="116"/>
            <x v="117"/>
            <x v="118"/>
            <x v="119"/>
            <x v="120"/>
            <x v="121"/>
            <x v="122"/>
            <x v="123"/>
          </reference>
        </references>
      </pivotArea>
    </format>
    <format dxfId="63">
      <pivotArea dataOnly="0" labelOnly="1" outline="0" fieldPosition="0">
        <references count="1">
          <reference field="2" count="24" defaultSubtotal="1">
            <x v="100"/>
            <x v="101"/>
            <x v="102"/>
            <x v="103"/>
            <x v="104"/>
            <x v="105"/>
            <x v="106"/>
            <x v="107"/>
            <x v="108"/>
            <x v="109"/>
            <x v="110"/>
            <x v="111"/>
            <x v="112"/>
            <x v="113"/>
            <x v="114"/>
            <x v="115"/>
            <x v="116"/>
            <x v="117"/>
            <x v="118"/>
            <x v="119"/>
            <x v="120"/>
            <x v="121"/>
            <x v="122"/>
            <x v="123"/>
          </reference>
        </references>
      </pivotArea>
    </format>
    <format dxfId="64">
      <pivotArea dataOnly="0" labelOnly="1" grandRow="1" outline="0" fieldPosition="0"/>
    </format>
    <format dxfId="65">
      <pivotArea dataOnly="0" labelOnly="1" outline="0" fieldPosition="0">
        <references count="1">
          <reference field="4294967294" count="5">
            <x v="3"/>
            <x v="4"/>
            <x v="5"/>
            <x v="6"/>
            <x v="7"/>
          </reference>
        </references>
      </pivotArea>
    </format>
    <format dxfId="66">
      <pivotArea outline="0" collapsedLevelsAreSubtotals="1" fieldPosition="0"/>
    </format>
    <format dxfId="67">
      <pivotArea outline="0" collapsedLevelsAreSubtotals="1" fieldPosition="0"/>
    </format>
    <format dxfId="68">
      <pivotArea grandRow="1" outline="0" collapsedLevelsAreSubtotals="1" fieldPosition="0"/>
    </format>
    <format dxfId="69">
      <pivotArea dataOnly="0" labelOnly="1" grandRow="1" outline="0" fieldPosition="0"/>
    </format>
    <format dxfId="70">
      <pivotArea grandRow="1" outline="0" collapsedLevelsAreSubtotals="1" fieldPosition="0"/>
    </format>
    <format dxfId="71">
      <pivotArea dataOnly="0" labelOnly="1" grandRow="1" outline="0" fieldPosition="0"/>
    </format>
    <format dxfId="72">
      <pivotArea field="2" type="button" dataOnly="0" labelOnly="1" outline="0" axis="axisRow" fieldPosition="0"/>
    </format>
    <format dxfId="73">
      <pivotArea field="1" type="button" dataOnly="0" labelOnly="1" outline="0" axis="axisRow" fieldPosition="1"/>
    </format>
    <format dxfId="74">
      <pivotArea dataOnly="0" labelOnly="1" outline="0" fieldPosition="0">
        <references count="1">
          <reference field="4294967294" count="7">
            <x v="1"/>
            <x v="2"/>
            <x v="3"/>
            <x v="4"/>
            <x v="5"/>
            <x v="6"/>
            <x v="7"/>
          </reference>
        </references>
      </pivotArea>
    </format>
    <format dxfId="75">
      <pivotArea field="2" type="button" dataOnly="0" labelOnly="1" outline="0" axis="axisRow" fieldPosition="0"/>
    </format>
    <format dxfId="76">
      <pivotArea field="1" type="button" dataOnly="0" labelOnly="1" outline="0" axis="axisRow" fieldPosition="1"/>
    </format>
    <format dxfId="77">
      <pivotArea dataOnly="0" labelOnly="1" outline="0" fieldPosition="0">
        <references count="1">
          <reference field="4294967294" count="7">
            <x v="1"/>
            <x v="2"/>
            <x v="3"/>
            <x v="4"/>
            <x v="5"/>
            <x v="6"/>
            <x v="7"/>
          </reference>
        </references>
      </pivotArea>
    </format>
    <format dxfId="78">
      <pivotArea type="all" dataOnly="0" outline="0" fieldPosition="0"/>
    </format>
    <format dxfId="79">
      <pivotArea outline="0" collapsedLevelsAreSubtotals="1" fieldPosition="0"/>
    </format>
    <format dxfId="80">
      <pivotArea field="2" type="button" dataOnly="0" labelOnly="1" outline="0" axis="axisRow" fieldPosition="0"/>
    </format>
    <format dxfId="81">
      <pivotArea field="1" type="button" dataOnly="0" labelOnly="1" outline="0" axis="axisRow" fieldPosition="1"/>
    </format>
    <format dxfId="82">
      <pivotArea dataOnly="0" labelOnly="1" outline="0"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3">
      <pivotArea dataOnly="0" labelOnly="1" outline="0" fieldPosition="0">
        <references count="1">
          <reference field="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4">
      <pivotArea dataOnly="0" labelOnly="1" outline="0" fieldPosition="0">
        <references count="1">
          <reference field="2" count="23">
            <x v="100"/>
            <x v="101"/>
            <x v="102"/>
            <x v="103"/>
            <x v="104"/>
            <x v="105"/>
            <x v="106"/>
            <x v="107"/>
            <x v="108"/>
            <x v="109"/>
            <x v="110"/>
            <x v="111"/>
            <x v="112"/>
            <x v="113"/>
            <x v="114"/>
            <x v="115"/>
            <x v="116"/>
            <x v="117"/>
            <x v="118"/>
            <x v="119"/>
            <x v="120"/>
            <x v="121"/>
            <x v="122"/>
          </reference>
        </references>
      </pivotArea>
    </format>
    <format dxfId="85">
      <pivotArea dataOnly="0" labelOnly="1" grandRow="1" outline="0" fieldPosition="0"/>
    </format>
    <format dxfId="86">
      <pivotArea dataOnly="0" labelOnly="1" outline="0" fieldPosition="0">
        <references count="1">
          <reference field="4294967294" count="7">
            <x v="1"/>
            <x v="2"/>
            <x v="3"/>
            <x v="4"/>
            <x v="5"/>
            <x v="6"/>
            <x v="7"/>
          </reference>
        </references>
      </pivotArea>
    </format>
    <format dxfId="87">
      <pivotArea dataOnly="0" labelOnly="1" outline="0" fieldPosition="0">
        <references count="1">
          <reference field="4294967294" count="1">
            <x v="0"/>
          </reference>
        </references>
      </pivotArea>
    </format>
    <format dxfId="88">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A26C75-8414-414C-B578-12AA8E572DA0}" name="Table1" displayName="Table1" ref="A3:AP81" totalsRowShown="0">
  <autoFilter ref="A3:AP81" xr:uid="{BEA26C75-8414-414C-B578-12AA8E572DA0}"/>
  <tableColumns count="42">
    <tableColumn id="1" xr3:uid="{5EC42E49-C112-46DE-9DDC-2ECC2B8B0BF1}" name="Module (TextVerification)"/>
    <tableColumn id="2" xr3:uid="{09DA7C7D-1290-43D4-806C-B8C610CB1631}" name="Parent Title"/>
    <tableColumn id="3" xr3:uid="{2D156714-0AC2-4F87-B18D-D3A4CECDD6D3}" name="Feature ID"/>
    <tableColumn id="4" xr3:uid="{D2CD867C-3DBD-484E-B362-6951D95E07EE}" name="PT Lead"/>
    <tableColumn id="5" xr3:uid="{8F09BAB6-01A6-4681-B13A-64ACEDC350D9}" name="Title"/>
    <tableColumn id="6" xr3:uid="{5C116BF9-45D5-43F9-852A-5627AC56468A}" name="ID"/>
    <tableColumn id="7" xr3:uid="{290B7BA8-973A-4307-BF36-75223432B259}" name="Primary tester"/>
    <tableColumn id="8" xr3:uid="{114403B3-E687-4664-8F92-4D232C0D9D2D}" name="Secondary Tester"/>
    <tableColumn id="9" xr3:uid="{E74DB070-A257-42C5-A5FF-CCAE7B84BF8C}" name="Insprint Tester"/>
    <tableColumn id="10" xr3:uid="{EF9D96BD-C0FA-4E2A-BD26-C86D1034B2C2}" name="Insprint Yes/No"/>
    <tableColumn id="11" xr3:uid="{F8E89C42-BB38-40E5-9D1B-9589C5AE5593}" name="If Insprint NO - Reason"/>
    <tableColumn id="12" xr3:uid="{1FE5C6F1-A24B-48A6-AE60-0CCF1B45A2DA}" name="Pre defined No Reason"/>
    <tableColumn id="13" xr3:uid="{FD6B771A-8166-4A9D-A59B-FB3FAA55B1AD}" name="Complexity"/>
    <tableColumn id="14" xr3:uid="{76A9634B-D720-4A39-8D30-1F73020F9EAA}" name="In sprint test case count"/>
    <tableColumn id="15" xr3:uid="{5C5E7CC5-344C-40A6-B737-A02DDD6B8730}" name="If insprint YES - % of completion"/>
    <tableColumn id="16" xr3:uid="{BD8AF420-FDBE-4541-A077-764FE9C9ED51}" name="Automated cases generated from GHC"/>
    <tableColumn id="17" xr3:uid="{08736199-BE69-49CA-9B51-B16FE42D440C}" name="Useful Automated cases from GHC"/>
    <tableColumn id="18" xr3:uid="{885C5A9E-4A5C-4832-9A12-2A5138C5DB71}" name="Tester created automated count (not given by GHC)"/>
    <tableColumn id="19" xr3:uid="{BDC3A6CB-5719-436E-88C6-F2D494E7FB1A}" name="Reviwed Final automation count"/>
    <tableColumn id="20" xr3:uid="{39ECB125-A191-4B61-9DD6-3CC6F0227E3F}" name="Coverage for automated test case from GHC%"/>
    <tableColumn id="21" xr3:uid="{7E6CC59B-2711-4088-8ACF-FB181A1B53BF}" name="Accuracy of Automated Test case from GHC%"/>
    <tableColumn id="22" xr3:uid="{FAAB6666-8D1B-47D0-AAD9-62EF51D03C79}" name="Test Planning"/>
    <tableColumn id="23" xr3:uid="{7F0D50C6-22B1-49A2-8DF5-558FA81B954F}" name="BA Review"/>
    <tableColumn id="24" xr3:uid="{7716F438-0A4E-409A-BCFC-E059C31CFC6B}" name="TFS upload"/>
    <tableColumn id="25" xr3:uid="{A0E82AD6-D441-4101-9133-281C5ECC6924}" name="PT Status"/>
    <tableColumn id="26" xr3:uid="{D0F87A06-79D9-4998-A6BB-92C7EC17F1E1}" name="Manual Test cases generated from GHC"/>
    <tableColumn id="27" xr3:uid="{35D0DA97-C70D-489C-B47E-97FB08FDABE5}" name="Useful Test cases from GHC"/>
    <tableColumn id="28" xr3:uid="{B659C1C0-183D-4CA8-A1E6-CB20BA3DDE21}" name="Tester Created test case count"/>
    <tableColumn id="29" xr3:uid="{FDA9BED6-880C-4403-BC94-7996E4C10B51}" name="Reviwed Final Test case count"/>
    <tableColumn id="30" xr3:uid="{2A4FEEF6-2114-465F-9170-47608AA86E72}" name="Coverage for Manual Test cases from GHC%"/>
    <tableColumn id="31" xr3:uid="{2070FF97-27C0-4A03-A74D-AEB92B72985B}" name="Accuracy for Manual test cases from GHC%"/>
    <tableColumn id="32" xr3:uid="{626A66F5-FCEC-4521-982E-95FF3EE76ED4}" name="TFS state"/>
    <tableColumn id="33" xr3:uid="{2E4AA46F-C972-4381-B664-064FE76048BA}" name="Passed"/>
    <tableColumn id="34" xr3:uid="{D2E5DA8A-5A27-478A-9A8D-060792F5504D}" name="Failed"/>
    <tableColumn id="35" xr3:uid="{A2003BD0-B617-4935-8E07-DB42354A8B89}" name="Blocked"/>
    <tableColumn id="36" xr3:uid="{8E88D2AC-A0EE-4E15-9E75-58F23F6B4455}" name="Not Run"/>
    <tableColumn id="37" xr3:uid="{38A83C9C-E4D1-41DD-8402-587EA793BDC3}" name="Total"/>
    <tableColumn id="38" xr3:uid="{AA1B6DB0-A2B9-46D3-B6C8-B1B58AE1967D}" name="Execution %"/>
    <tableColumn id="39" xr3:uid="{F9F9BD1F-33D3-4869-AADD-EA5703D839ED}" name="Pass %"/>
    <tableColumn id="40" xr3:uid="{CCF4CA4A-B539-4995-B3B4-F3DA5A77BBFD}" name="Comments"/>
    <tableColumn id="41" xr3:uid="{2D5687E7-0BEC-4AA4-9609-EB15FF2C76EB}" name="Node Name"/>
    <tableColumn id="42" xr3:uid="{F855A229-5FA3-427B-8FD0-36B8F3DDEAC0}" name="MPOC"/>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17" Type="http://schemas.openxmlformats.org/officeDocument/2006/relationships/hyperlink" Target="https://0.67.255.17/" TargetMode="External"/><Relationship Id="rId21" Type="http://schemas.openxmlformats.org/officeDocument/2006/relationships/hyperlink" Target="https://dev.azure.com/accenturecio08/AutomationProcess_29697/_workitems/edit/4371247/?view=edit" TargetMode="External"/><Relationship Id="rId42" Type="http://schemas.openxmlformats.org/officeDocument/2006/relationships/hyperlink" Target="https://dev.azure.com/accenturecio08/AutomationProcess_29697/_workitems/edit/4428656/?view=edit" TargetMode="External"/><Relationship Id="rId63" Type="http://schemas.openxmlformats.org/officeDocument/2006/relationships/hyperlink" Target="https://dev.azure.com/accenturecio08/AutomationProcess_29697/_workitems/edit/4446742/?view=edit" TargetMode="External"/><Relationship Id="rId84" Type="http://schemas.openxmlformats.org/officeDocument/2006/relationships/hyperlink" Target="https://dev.azure.com/accenturecio08/AutomationProcess_29697/_workitems/edit/4438524/?view=edit" TargetMode="External"/><Relationship Id="rId138" Type="http://schemas.openxmlformats.org/officeDocument/2006/relationships/hyperlink" Target="https://dev.azure.com/accenturecio08/AutomationProcess_29697/_workitems/edit/4450405/?view=edit" TargetMode="External"/><Relationship Id="rId159" Type="http://schemas.openxmlformats.org/officeDocument/2006/relationships/hyperlink" Target="https://dev.azure.com/accenturecio08/AutomationProcess_29697/_workitems/edit/4461243/?view=edit" TargetMode="External"/><Relationship Id="rId170" Type="http://schemas.openxmlformats.org/officeDocument/2006/relationships/hyperlink" Target="https://dev.azure.com/accenturecio08/AutomationProcess_29697/_workitems/edit/4438741" TargetMode="External"/><Relationship Id="rId191" Type="http://schemas.openxmlformats.org/officeDocument/2006/relationships/hyperlink" Target="https://dev.azure.com/accenturecio08/AutomationProcess_29697/_workitems/edit/4472826/?view=edit" TargetMode="External"/><Relationship Id="rId205" Type="http://schemas.openxmlformats.org/officeDocument/2006/relationships/hyperlink" Target="mailto:kalpana.boodidha@accenture.com" TargetMode="External"/><Relationship Id="rId107" Type="http://schemas.openxmlformats.org/officeDocument/2006/relationships/hyperlink" Target="https://dev.azure.com/accenturecio08/AutomationProcess_29697/_workitems/edit/4441048/?view=edit" TargetMode="External"/><Relationship Id="rId11" Type="http://schemas.openxmlformats.org/officeDocument/2006/relationships/hyperlink" Target="https://dev.azure.com/accenturecio08/AutomationProcess_29697/_workitems/edit/4261173/?view=edit" TargetMode="External"/><Relationship Id="rId32" Type="http://schemas.openxmlformats.org/officeDocument/2006/relationships/hyperlink" Target="https://dev.azure.com/accenturecio08/AutomationProcess_29697/_workitems/edit/4371477/?view=edit" TargetMode="External"/><Relationship Id="rId53" Type="http://schemas.openxmlformats.org/officeDocument/2006/relationships/hyperlink" Target="https://dev.azure.com/accenturecio08/AutomationProcess_29697/_workitems/edit/4439547/?view=edit" TargetMode="External"/><Relationship Id="rId74" Type="http://schemas.openxmlformats.org/officeDocument/2006/relationships/hyperlink" Target="https://dev.azure.com/accenturecio08/AutomationProcess_29697/_workitems/edit/4286470/?view=edit" TargetMode="External"/><Relationship Id="rId128" Type="http://schemas.openxmlformats.org/officeDocument/2006/relationships/hyperlink" Target="https://0.67.255.13/" TargetMode="External"/><Relationship Id="rId149" Type="http://schemas.openxmlformats.org/officeDocument/2006/relationships/hyperlink" Target="https://dev.azure.com/accenturecio08/AutomationProcess_29697/_workitems/edit/4349320/?view=edit" TargetMode="External"/><Relationship Id="rId5" Type="http://schemas.openxmlformats.org/officeDocument/2006/relationships/hyperlink" Target="https://dev.azure.com/accenturecio08/AutomationProcess_29697/_workitems/edit/4436093/?view=edit" TargetMode="External"/><Relationship Id="rId95" Type="http://schemas.openxmlformats.org/officeDocument/2006/relationships/hyperlink" Target="https://dev.azure.com/accenturecio08/AutomationProcess_29697/_workitems/edit/4440663/?view=edit" TargetMode="External"/><Relationship Id="rId160" Type="http://schemas.openxmlformats.org/officeDocument/2006/relationships/hyperlink" Target="https://dev.azure.com/accenturecio08/AutomationProcess_29697/_workitems/edit/4459759" TargetMode="External"/><Relationship Id="rId181" Type="http://schemas.openxmlformats.org/officeDocument/2006/relationships/hyperlink" Target="https://dev.azure.com/accenturecio08/AutomationProcess_29697/_workitems/edit/4463665" TargetMode="External"/><Relationship Id="rId22" Type="http://schemas.openxmlformats.org/officeDocument/2006/relationships/hyperlink" Target="https://dev.azure.com/accenturecio08/AutomationProcess_29697/_workitems/edit/4357874/?view=edit" TargetMode="External"/><Relationship Id="rId43" Type="http://schemas.openxmlformats.org/officeDocument/2006/relationships/hyperlink" Target="https://dev.azure.com/accenturecio08/AutomationProcess_29697/_workitems/edit/4413833/?view=edit" TargetMode="External"/><Relationship Id="rId64" Type="http://schemas.openxmlformats.org/officeDocument/2006/relationships/hyperlink" Target="https://dev.azure.com/accenturecio08/AutomationProcess_29697/_workitems/edit/4443524/?view=edit" TargetMode="External"/><Relationship Id="rId118" Type="http://schemas.openxmlformats.org/officeDocument/2006/relationships/hyperlink" Target="https://0.67.255.16/" TargetMode="External"/><Relationship Id="rId139" Type="http://schemas.openxmlformats.org/officeDocument/2006/relationships/hyperlink" Target="https://dev.azure.com/accenturecio08/AutomationProcess_29697/_workitems/edit/4450410/?view=edit" TargetMode="External"/><Relationship Id="rId85" Type="http://schemas.openxmlformats.org/officeDocument/2006/relationships/hyperlink" Target="https://dev.azure.com/accenturecio08/AutomationProcess_29697/_workitems/edit/4438544/?view=edit" TargetMode="External"/><Relationship Id="rId150" Type="http://schemas.openxmlformats.org/officeDocument/2006/relationships/hyperlink" Target="https://dev.azure.com/accenturecio08/AutomationProcess_29697/_workitems/edit/4450391/?view=edit" TargetMode="External"/><Relationship Id="rId171" Type="http://schemas.openxmlformats.org/officeDocument/2006/relationships/hyperlink" Target="https://dev.azure.com/accenturecio08/AutomationProcess_29697/_workitems/edit/4440021/?view=edit" TargetMode="External"/><Relationship Id="rId192" Type="http://schemas.openxmlformats.org/officeDocument/2006/relationships/hyperlink" Target="https://dev.azure.com/accenturecio08/AutomationProcess_29697/_workitems/edit/4472828/?view=edit" TargetMode="External"/><Relationship Id="rId206" Type="http://schemas.openxmlformats.org/officeDocument/2006/relationships/hyperlink" Target="mailto:sai.v.nagannapudi@accenture.com" TargetMode="External"/><Relationship Id="rId12" Type="http://schemas.openxmlformats.org/officeDocument/2006/relationships/hyperlink" Target="https://dev.azure.com/accenturecio08/AutomationProcess_29697/_workitems/edit/4430431/?view=edit" TargetMode="External"/><Relationship Id="rId33" Type="http://schemas.openxmlformats.org/officeDocument/2006/relationships/hyperlink" Target="https://dev.azure.com/accenturecio08/AutomationProcess_29697/_workitems/edit/4428657/?view=edit" TargetMode="External"/><Relationship Id="rId108" Type="http://schemas.openxmlformats.org/officeDocument/2006/relationships/hyperlink" Target="https://dev.azure.com/accenturecio08/AutomationProcess_29697/_workitems/edit/4441061/?view=edit" TargetMode="External"/><Relationship Id="rId129" Type="http://schemas.openxmlformats.org/officeDocument/2006/relationships/hyperlink" Target="https://dev.azure.com/accenturecio08/AutomationProcess_29697/_workitems/edit/4272036/?view=edit" TargetMode="External"/><Relationship Id="rId54" Type="http://schemas.openxmlformats.org/officeDocument/2006/relationships/hyperlink" Target="https://dev.azure.com/accenturecio08/AutomationProcess_29697/_workitems/edit/4428664/?view=edit" TargetMode="External"/><Relationship Id="rId75" Type="http://schemas.openxmlformats.org/officeDocument/2006/relationships/hyperlink" Target="https://dev.azure.com/accenturecio08/AutomationProcess_29697/_workitems/edit/4308730/?view=edit" TargetMode="External"/><Relationship Id="rId96" Type="http://schemas.openxmlformats.org/officeDocument/2006/relationships/hyperlink" Target="https://dev.azure.com/accenturecio08/AutomationProcess_29697/_workitems/edit/4440665/?view=edit" TargetMode="External"/><Relationship Id="rId140" Type="http://schemas.openxmlformats.org/officeDocument/2006/relationships/hyperlink" Target="https://dev.azure.com/accenturecio08/AutomationProcess_29697/_workitems/edit/4450395/?view=edit" TargetMode="External"/><Relationship Id="rId161" Type="http://schemas.openxmlformats.org/officeDocument/2006/relationships/hyperlink" Target="https://dev.azure.com/accenturecio08/AutomationProcess_29697/_workitems/edit/4446670" TargetMode="External"/><Relationship Id="rId182" Type="http://schemas.openxmlformats.org/officeDocument/2006/relationships/hyperlink" Target="https://dev.azure.com/accenturecio08/AutomationProcess_29697/_workitems/edit/4467824" TargetMode="External"/><Relationship Id="rId6" Type="http://schemas.openxmlformats.org/officeDocument/2006/relationships/hyperlink" Target="https://dev.azure.com/accenturecio08/AutomationProcess_29697/_workitems/edit/3967653/?view=edit" TargetMode="External"/><Relationship Id="rId23" Type="http://schemas.openxmlformats.org/officeDocument/2006/relationships/hyperlink" Target="https://dev.azure.com/accenturecio08/AutomationProcess_29697/_workitems/edit/4335613/?view=edit" TargetMode="External"/><Relationship Id="rId119" Type="http://schemas.openxmlformats.org/officeDocument/2006/relationships/hyperlink" Target="https://dev.azure.com/accenturecio08/AutomationProcess_29697/_workitems/edit/4456200" TargetMode="External"/><Relationship Id="rId44" Type="http://schemas.openxmlformats.org/officeDocument/2006/relationships/hyperlink" Target="https://dev.azure.com/accenturecio08/AutomationProcess_29697/_workitems/edit/4413836/?view=edit" TargetMode="External"/><Relationship Id="rId65" Type="http://schemas.openxmlformats.org/officeDocument/2006/relationships/hyperlink" Target="https://dev.azure.com/accenturecio08/AutomationProcess_29697/_workitems/edit/4446194/?view=edit" TargetMode="External"/><Relationship Id="rId86" Type="http://schemas.openxmlformats.org/officeDocument/2006/relationships/hyperlink" Target="https://dev.azure.com/accenturecio08/AutomationProcess_29697/_workitems/edit/4438545/?view=edit" TargetMode="External"/><Relationship Id="rId130" Type="http://schemas.openxmlformats.org/officeDocument/2006/relationships/hyperlink" Target="https://dev.azure.com/accenturecio08/AutomationProcess_29697/_workitems/edit/4449651/?view=edit" TargetMode="External"/><Relationship Id="rId151" Type="http://schemas.openxmlformats.org/officeDocument/2006/relationships/hyperlink" Target="https://dev.azure.com/accenturecio08/AutomationProcess_29697/_workitems/edit/4448602/?view=edit" TargetMode="External"/><Relationship Id="rId172" Type="http://schemas.openxmlformats.org/officeDocument/2006/relationships/hyperlink" Target="mailto:kalpana.boodidha@accenture.com" TargetMode="External"/><Relationship Id="rId193" Type="http://schemas.openxmlformats.org/officeDocument/2006/relationships/hyperlink" Target="https://dev.azure.com/accenturecio08/AutomationProcess_29697/_workitems/edit/4472830/?view=edit" TargetMode="External"/><Relationship Id="rId207" Type="http://schemas.openxmlformats.org/officeDocument/2006/relationships/hyperlink" Target="https://dev.azure.com/accenturecio08/AutomationProcess_29697/_workitems/edit/4467805" TargetMode="External"/><Relationship Id="rId13" Type="http://schemas.openxmlformats.org/officeDocument/2006/relationships/hyperlink" Target="https://dev.azure.com/accenturecio08/AutomationProcess_29697/_workitems/edit/4184295/?view=edit" TargetMode="External"/><Relationship Id="rId109" Type="http://schemas.openxmlformats.org/officeDocument/2006/relationships/hyperlink" Target="https://dev.azure.com/accenturecio08/AutomationProcess_29697/_workitems/edit/4441798/?view=edit" TargetMode="External"/><Relationship Id="rId34" Type="http://schemas.openxmlformats.org/officeDocument/2006/relationships/hyperlink" Target="https://dev.azure.com/accenturecio08/AutomationProcess_29697/_workitems/edit/4440942/?view=edit" TargetMode="External"/><Relationship Id="rId55" Type="http://schemas.openxmlformats.org/officeDocument/2006/relationships/hyperlink" Target="https://dev.azure.com/accenturecio08/AutomationProcess_29697/_workitems/edit/4429069/?view=edit" TargetMode="External"/><Relationship Id="rId76" Type="http://schemas.openxmlformats.org/officeDocument/2006/relationships/hyperlink" Target="https://dev.azure.com/accenturecio08/AutomationProcess_29697/_workitems/edit/4367337/?view=edit" TargetMode="External"/><Relationship Id="rId97" Type="http://schemas.openxmlformats.org/officeDocument/2006/relationships/hyperlink" Target="https://dev.azure.com/accenturecio08/AutomationProcess_29697/_workitems/edit/4440771/?view=edit" TargetMode="External"/><Relationship Id="rId120" Type="http://schemas.openxmlformats.org/officeDocument/2006/relationships/hyperlink" Target="https://0.67.255.7/" TargetMode="External"/><Relationship Id="rId141" Type="http://schemas.openxmlformats.org/officeDocument/2006/relationships/hyperlink" Target="https://dev.azure.com/accenturecio08/AutomationProcess_29697/_workitems/edit/4432443/?view=edit" TargetMode="External"/><Relationship Id="rId7" Type="http://schemas.openxmlformats.org/officeDocument/2006/relationships/hyperlink" Target="https://dev.azure.com/accenturecio08/AutomationProcess_29697/_workitems/edit/4361280/?view=edit" TargetMode="External"/><Relationship Id="rId162" Type="http://schemas.openxmlformats.org/officeDocument/2006/relationships/hyperlink" Target="https://dev.azure.com/accenturecio08/AutomationProcess_29697/_workitems/edit/4447465" TargetMode="External"/><Relationship Id="rId183" Type="http://schemas.openxmlformats.org/officeDocument/2006/relationships/hyperlink" Target="https://dev.azure.com/accenturecio08/AutomationProcess_29697/_workitems/edit/4467788" TargetMode="External"/><Relationship Id="rId24" Type="http://schemas.openxmlformats.org/officeDocument/2006/relationships/hyperlink" Target="https://dev.azure.com/accenturecio08/AutomationProcess_29697/_workitems/edit/4429554/?view=edit" TargetMode="External"/><Relationship Id="rId45" Type="http://schemas.openxmlformats.org/officeDocument/2006/relationships/hyperlink" Target="https://dev.azure.com/accenturecio08/AutomationProcess_29697/_workitems/edit/4416198/?view=edit" TargetMode="External"/><Relationship Id="rId66" Type="http://schemas.openxmlformats.org/officeDocument/2006/relationships/hyperlink" Target="https://dev.azure.com/accenturecio08/AutomationProcess_29697/_workitems/edit/4446565/?view=edit" TargetMode="External"/><Relationship Id="rId87" Type="http://schemas.openxmlformats.org/officeDocument/2006/relationships/hyperlink" Target="https://dev.azure.com/accenturecio08/AutomationProcess_29697/_workitems/edit/4438546/?view=edit" TargetMode="External"/><Relationship Id="rId110" Type="http://schemas.openxmlformats.org/officeDocument/2006/relationships/hyperlink" Target="https://dev.azure.com/accenturecio08/AutomationProcess_29697/_workitems/edit/4441806/?view=edit" TargetMode="External"/><Relationship Id="rId131" Type="http://schemas.openxmlformats.org/officeDocument/2006/relationships/hyperlink" Target="https://dev.azure.com/accenturecio08/AutomationProcess_29697/_workitems/edit/4450386/?view=edit" TargetMode="External"/><Relationship Id="rId152" Type="http://schemas.openxmlformats.org/officeDocument/2006/relationships/hyperlink" Target="https://dev.azure.com/accenturecio08/AutomationProcess_29697/_workitems/edit/4450399/?view=edit" TargetMode="External"/><Relationship Id="rId173" Type="http://schemas.openxmlformats.org/officeDocument/2006/relationships/hyperlink" Target="mailto:kalpana.boodidha@accenture.com" TargetMode="External"/><Relationship Id="rId194" Type="http://schemas.openxmlformats.org/officeDocument/2006/relationships/hyperlink" Target="https://dev.azure.com/accenturecio08/AutomationProcess_29697/_workitems/edit/4473194/?view=edit" TargetMode="External"/><Relationship Id="rId208" Type="http://schemas.openxmlformats.org/officeDocument/2006/relationships/hyperlink" Target="https://dev.azure.com/accenturecio08/AutomationProcess_29697/_workitems/edit/4441800" TargetMode="External"/><Relationship Id="rId19" Type="http://schemas.openxmlformats.org/officeDocument/2006/relationships/hyperlink" Target="https://dev.azure.com/accenturecio08/AutomationProcess_29697/_workitems/edit/4267330/?view=edit" TargetMode="External"/><Relationship Id="rId14" Type="http://schemas.openxmlformats.org/officeDocument/2006/relationships/hyperlink" Target="https://dev.azure.com/accenturecio08/AutomationProcess_29697/_workitems/edit/4439846/?view=edit" TargetMode="External"/><Relationship Id="rId30" Type="http://schemas.openxmlformats.org/officeDocument/2006/relationships/hyperlink" Target="https://dev.azure.com/accenturecio08/AutomationProcess_29697/_workitems/edit/4441963/?view=edit" TargetMode="External"/><Relationship Id="rId35" Type="http://schemas.openxmlformats.org/officeDocument/2006/relationships/hyperlink" Target="https://dev.azure.com/accenturecio08/AutomationProcess_29697/_workitems/edit/4443542/?view=edit" TargetMode="External"/><Relationship Id="rId56" Type="http://schemas.openxmlformats.org/officeDocument/2006/relationships/hyperlink" Target="https://dev.azure.com/accenturecio08/AutomationProcess_29697/_workitems/edit/4435817/?view=edit" TargetMode="External"/><Relationship Id="rId77" Type="http://schemas.openxmlformats.org/officeDocument/2006/relationships/hyperlink" Target="https://dev.azure.com/accenturecio08/AutomationProcess_29697/_workitems/edit/4368213/?view=edit" TargetMode="External"/><Relationship Id="rId100" Type="http://schemas.openxmlformats.org/officeDocument/2006/relationships/hyperlink" Target="https://dev.azure.com/accenturecio08/AutomationProcess_29697/_workitems/edit/4440809/?view=edit" TargetMode="External"/><Relationship Id="rId105" Type="http://schemas.openxmlformats.org/officeDocument/2006/relationships/hyperlink" Target="https://dev.azure.com/accenturecio08/AutomationProcess_29697/_workitems/edit/4440870/?view=edit" TargetMode="External"/><Relationship Id="rId126" Type="http://schemas.openxmlformats.org/officeDocument/2006/relationships/hyperlink" Target="https://0.67.255.1/" TargetMode="External"/><Relationship Id="rId147" Type="http://schemas.openxmlformats.org/officeDocument/2006/relationships/hyperlink" Target="https://dev.azure.com/accenturecio08/AutomationProcess_29697/_workitems/edit/4392686/?view=edit" TargetMode="External"/><Relationship Id="rId168" Type="http://schemas.openxmlformats.org/officeDocument/2006/relationships/hyperlink" Target="https://dev.azure.com/accenturecio08/AutomationProcess_29697/_workitems/edit/4439552" TargetMode="External"/><Relationship Id="rId8" Type="http://schemas.openxmlformats.org/officeDocument/2006/relationships/hyperlink" Target="https://dev.azure.com/accenturecio08/AutomationProcess_29697/_workitems/edit/4368217/?view=edit" TargetMode="External"/><Relationship Id="rId51" Type="http://schemas.openxmlformats.org/officeDocument/2006/relationships/hyperlink" Target="https://dev.azure.com/accenturecio08/AutomationProcess_29697/_workitems/edit/4367388/?view=edit" TargetMode="External"/><Relationship Id="rId72" Type="http://schemas.openxmlformats.org/officeDocument/2006/relationships/hyperlink" Target="https://dev.azure.com/accenturecio08/AutomationProcess_29697/_workitems/edit/4312353/?view=edit" TargetMode="External"/><Relationship Id="rId93" Type="http://schemas.openxmlformats.org/officeDocument/2006/relationships/hyperlink" Target="https://dev.azure.com/accenturecio08/AutomationProcess_29697/_workitems/edit/4440539/?view=edit" TargetMode="External"/><Relationship Id="rId98" Type="http://schemas.openxmlformats.org/officeDocument/2006/relationships/hyperlink" Target="https://dev.azure.com/accenturecio08/AutomationProcess_29697/_workitems/edit/4440784/?view=edit" TargetMode="External"/><Relationship Id="rId121" Type="http://schemas.openxmlformats.org/officeDocument/2006/relationships/hyperlink" Target="https://0.67.255.10/" TargetMode="External"/><Relationship Id="rId142" Type="http://schemas.openxmlformats.org/officeDocument/2006/relationships/hyperlink" Target="https://dev.azure.com/accenturecio08/AutomationProcess_29697/_workitems/edit/4436336/?view=edit" TargetMode="External"/><Relationship Id="rId163" Type="http://schemas.openxmlformats.org/officeDocument/2006/relationships/hyperlink" Target="https://dev.azure.com/accenturecio08/AutomationProcess_29697/_workitems/edit/4426304" TargetMode="External"/><Relationship Id="rId184" Type="http://schemas.openxmlformats.org/officeDocument/2006/relationships/hyperlink" Target="https://dev.azure.com/accenturecio08/AutomationProcess_29697/_workitems/edit/4446872" TargetMode="External"/><Relationship Id="rId189" Type="http://schemas.openxmlformats.org/officeDocument/2006/relationships/hyperlink" Target="https://dev.azure.com/accenturecio08/AutomationProcess_29697/_workitems/edit/4454065" TargetMode="External"/><Relationship Id="rId3" Type="http://schemas.openxmlformats.org/officeDocument/2006/relationships/hyperlink" Target="https://dev.azure.com/accenturecio08/AutomationProcess_29697/_workitems/edit/4431151/?view=edit" TargetMode="External"/><Relationship Id="rId214" Type="http://schemas.microsoft.com/office/2019/04/relationships/namedSheetView" Target="../namedSheetViews/namedSheetView1.xml"/><Relationship Id="rId25" Type="http://schemas.openxmlformats.org/officeDocument/2006/relationships/hyperlink" Target="https://dev.azure.com/accenturecio08/AutomationProcess_29697/_workitems/edit/4429581/?view=edit" TargetMode="External"/><Relationship Id="rId46" Type="http://schemas.openxmlformats.org/officeDocument/2006/relationships/hyperlink" Target="https://dev.azure.com/accenturecio08/AutomationProcess_29697/_workitems/edit/4416199/?view=edit" TargetMode="External"/><Relationship Id="rId67" Type="http://schemas.openxmlformats.org/officeDocument/2006/relationships/hyperlink" Target="https://dev.azure.com/accenturecio08/AutomationProcess_29697/_workitems/edit/4443708/?view=edit" TargetMode="External"/><Relationship Id="rId116" Type="http://schemas.openxmlformats.org/officeDocument/2006/relationships/hyperlink" Target="https://0.67.255.18/" TargetMode="External"/><Relationship Id="rId137" Type="http://schemas.openxmlformats.org/officeDocument/2006/relationships/hyperlink" Target="https://dev.azure.com/accenturecio08/AutomationProcess_29697/_workitems/edit/4450402/?view=edit" TargetMode="External"/><Relationship Id="rId158" Type="http://schemas.openxmlformats.org/officeDocument/2006/relationships/hyperlink" Target="https://dev.azure.com/accenturecio08/AutomationProcess_29697/_workitems/edit/4456380/?view=edit" TargetMode="External"/><Relationship Id="rId20" Type="http://schemas.openxmlformats.org/officeDocument/2006/relationships/hyperlink" Target="https://dev.azure.com/accenturecio08/AutomationProcess_29697/_workitems/edit/4424935/?view=edit" TargetMode="External"/><Relationship Id="rId41" Type="http://schemas.openxmlformats.org/officeDocument/2006/relationships/hyperlink" Target="https://dev.azure.com/accenturecio08/AutomationProcess_29697/_workitems/edit/4423306/?view=edit" TargetMode="External"/><Relationship Id="rId62" Type="http://schemas.openxmlformats.org/officeDocument/2006/relationships/hyperlink" Target="https://dev.azure.com/accenturecio08/AutomationProcess_29697/_workitems/edit/4428658/?view=edit" TargetMode="External"/><Relationship Id="rId83" Type="http://schemas.openxmlformats.org/officeDocument/2006/relationships/hyperlink" Target="https://dev.azure.com/accenturecio08/AutomationProcess_29697/_workitems/edit/4438523/?view=edit" TargetMode="External"/><Relationship Id="rId88" Type="http://schemas.openxmlformats.org/officeDocument/2006/relationships/hyperlink" Target="https://dev.azure.com/accenturecio08/AutomationProcess_29697/_workitems/edit/4438547/?view=edit" TargetMode="External"/><Relationship Id="rId111" Type="http://schemas.openxmlformats.org/officeDocument/2006/relationships/hyperlink" Target="https://dev.azure.com/accenturecio08/AutomationProcess_29697/_workitems/edit/4441813/?view=edit" TargetMode="External"/><Relationship Id="rId132" Type="http://schemas.openxmlformats.org/officeDocument/2006/relationships/hyperlink" Target="https://dev.azure.com/accenturecio08/AutomationProcess_29697/_workitems/edit/4450388/?view=edit" TargetMode="External"/><Relationship Id="rId153" Type="http://schemas.openxmlformats.org/officeDocument/2006/relationships/hyperlink" Target="https://dev.azure.com/accenturecio08/AutomationProcess_29697/_workitems/edit/4446668/?view=edit" TargetMode="External"/><Relationship Id="rId174" Type="http://schemas.openxmlformats.org/officeDocument/2006/relationships/hyperlink" Target="mailto:kalpana.boodidha@accenture.com" TargetMode="External"/><Relationship Id="rId179" Type="http://schemas.openxmlformats.org/officeDocument/2006/relationships/hyperlink" Target="https://dev.azure.com/accenturecio08/AutomationProcess_29697/_workitems/edit/4463667" TargetMode="External"/><Relationship Id="rId195" Type="http://schemas.openxmlformats.org/officeDocument/2006/relationships/hyperlink" Target="https://dev.azure.com/accenturecio08/AutomationProcess_29697/_workitems/edit/4473683/?view=edit" TargetMode="External"/><Relationship Id="rId209" Type="http://schemas.openxmlformats.org/officeDocument/2006/relationships/hyperlink" Target="https://dev.azure.com/accenturecio08/AutomationProcess_29697/_workitems/edit/4480695" TargetMode="External"/><Relationship Id="rId190" Type="http://schemas.openxmlformats.org/officeDocument/2006/relationships/hyperlink" Target="https://dev.azure.com/accenturecio08/AutomationProcess_29697/_workitems/edit/4362066/?view=edit" TargetMode="External"/><Relationship Id="rId204" Type="http://schemas.openxmlformats.org/officeDocument/2006/relationships/hyperlink" Target="mailto:kalpana.boodidha@accenture.com" TargetMode="External"/><Relationship Id="rId15" Type="http://schemas.openxmlformats.org/officeDocument/2006/relationships/hyperlink" Target="https://dev.azure.com/accenturecio08/AutomationProcess_29697/_workitems/edit/4351779/?view=edit" TargetMode="External"/><Relationship Id="rId36" Type="http://schemas.openxmlformats.org/officeDocument/2006/relationships/hyperlink" Target="https://dev.azure.com/accenturecio08/AutomationProcess_29697/_workitems/edit/4362070/?view=edit" TargetMode="External"/><Relationship Id="rId57" Type="http://schemas.openxmlformats.org/officeDocument/2006/relationships/hyperlink" Target="https://dev.azure.com/accenturecio08/AutomationProcess_29697/_workitems/edit/4450157/?view=edit" TargetMode="External"/><Relationship Id="rId106" Type="http://schemas.openxmlformats.org/officeDocument/2006/relationships/hyperlink" Target="https://dev.azure.com/accenturecio08/AutomationProcess_29697/_workitems/edit/4440874/?view=edit" TargetMode="External"/><Relationship Id="rId127" Type="http://schemas.openxmlformats.org/officeDocument/2006/relationships/hyperlink" Target="https://dev.azure.com/accenturecio08/AutomationProcess_29697/_workitems/edit/4456206" TargetMode="External"/><Relationship Id="rId10" Type="http://schemas.openxmlformats.org/officeDocument/2006/relationships/hyperlink" Target="https://dev.azure.com/accenturecio08/AutomationProcess_29697/_workitems/edit/4187514/?view=edit" TargetMode="External"/><Relationship Id="rId31" Type="http://schemas.openxmlformats.org/officeDocument/2006/relationships/hyperlink" Target="https://dev.azure.com/accenturecio08/AutomationProcess_29697/_workitems/edit/4447591/?view=edit" TargetMode="External"/><Relationship Id="rId52" Type="http://schemas.openxmlformats.org/officeDocument/2006/relationships/hyperlink" Target="https://dev.azure.com/accenturecio08/AutomationProcess_29697/_workitems/edit/4371721/?view=edit" TargetMode="External"/><Relationship Id="rId73" Type="http://schemas.openxmlformats.org/officeDocument/2006/relationships/hyperlink" Target="https://dev.azure.com/accenturecio08/AutomationProcess_29697/_workitems/edit/4318766/?view=edit" TargetMode="External"/><Relationship Id="rId78" Type="http://schemas.openxmlformats.org/officeDocument/2006/relationships/hyperlink" Target="https://dev.azure.com/accenturecio08/AutomationProcess_29697/_workitems/edit/4369392/?view=edit" TargetMode="External"/><Relationship Id="rId94" Type="http://schemas.openxmlformats.org/officeDocument/2006/relationships/hyperlink" Target="https://dev.azure.com/accenturecio08/AutomationProcess_29697/_workitems/edit/4440660/?view=edit" TargetMode="External"/><Relationship Id="rId99" Type="http://schemas.openxmlformats.org/officeDocument/2006/relationships/hyperlink" Target="https://dev.azure.com/accenturecio08/AutomationProcess_29697/_workitems/edit/4440796/?view=edit" TargetMode="External"/><Relationship Id="rId101" Type="http://schemas.openxmlformats.org/officeDocument/2006/relationships/hyperlink" Target="https://dev.azure.com/accenturecio08/AutomationProcess_29697/_workitems/edit/4440815/?view=edit" TargetMode="External"/><Relationship Id="rId122" Type="http://schemas.openxmlformats.org/officeDocument/2006/relationships/hyperlink" Target="https://0.67.255.3/" TargetMode="External"/><Relationship Id="rId143" Type="http://schemas.openxmlformats.org/officeDocument/2006/relationships/hyperlink" Target="https://dev.azure.com/accenturecio08/AutomationProcess_29697/_workitems/edit/4437632/?view=edit" TargetMode="External"/><Relationship Id="rId148" Type="http://schemas.openxmlformats.org/officeDocument/2006/relationships/hyperlink" Target="https://dev.azure.com/accenturecio08/AutomationProcess_29697/_workitems/edit/4392687/?view=edit" TargetMode="External"/><Relationship Id="rId164" Type="http://schemas.openxmlformats.org/officeDocument/2006/relationships/hyperlink" Target="https://dev.azure.com/accenturecio08/AutomationProcess_29697/_workitems/edit/4424457" TargetMode="External"/><Relationship Id="rId169" Type="http://schemas.openxmlformats.org/officeDocument/2006/relationships/hyperlink" Target="https://dev.azure.com/accenturecio08/AutomationProcess_29697/_workitems/edit/4439540" TargetMode="External"/><Relationship Id="rId185" Type="http://schemas.openxmlformats.org/officeDocument/2006/relationships/hyperlink" Target="https://dev.azure.com/accenturecio08/AutomationProcess_29697/_workitems/edit/4446664" TargetMode="External"/><Relationship Id="rId4" Type="http://schemas.openxmlformats.org/officeDocument/2006/relationships/hyperlink" Target="https://dev.azure.com/accenturecio08/AutomationProcess_29697/_workitems/edit/4435907/?view=edit" TargetMode="External"/><Relationship Id="rId9" Type="http://schemas.openxmlformats.org/officeDocument/2006/relationships/hyperlink" Target="https://dev.azure.com/accenturecio08/AutomationProcess_29697/_workitems/edit/4317632/?view=edit" TargetMode="External"/><Relationship Id="rId180" Type="http://schemas.openxmlformats.org/officeDocument/2006/relationships/hyperlink" Target="https://dev.azure.com/accenturecio08/AutomationProcess_29697/_workitems/edit/4463666" TargetMode="External"/><Relationship Id="rId210" Type="http://schemas.openxmlformats.org/officeDocument/2006/relationships/hyperlink" Target="https://dev.azure.com/accenturecio08/AutomationProcess_29697/_workitems/edit/4434948" TargetMode="External"/><Relationship Id="rId26" Type="http://schemas.openxmlformats.org/officeDocument/2006/relationships/hyperlink" Target="https://dev.azure.com/accenturecio08/AutomationProcess_29697/_workitems/edit/4432786/?view=edit" TargetMode="External"/><Relationship Id="rId47" Type="http://schemas.openxmlformats.org/officeDocument/2006/relationships/hyperlink" Target="https://dev.azure.com/accenturecio08/AutomationProcess_29697/_workitems/edit/4416213/?view=edit" TargetMode="External"/><Relationship Id="rId68" Type="http://schemas.openxmlformats.org/officeDocument/2006/relationships/hyperlink" Target="https://dev.azure.com/accenturecio08/AutomationProcess_29697/_workitems/edit/4444273/?view=edit" TargetMode="External"/><Relationship Id="rId89" Type="http://schemas.openxmlformats.org/officeDocument/2006/relationships/hyperlink" Target="https://dev.azure.com/accenturecio08/AutomationProcess_29697/_workitems/edit/4438548/?view=edit" TargetMode="External"/><Relationship Id="rId112" Type="http://schemas.openxmlformats.org/officeDocument/2006/relationships/hyperlink" Target="https://dev.azure.com/accenturecio08/AutomationProcess_29697/_workitems/edit/4441820/?view=edit" TargetMode="External"/><Relationship Id="rId133" Type="http://schemas.openxmlformats.org/officeDocument/2006/relationships/hyperlink" Target="https://dev.azure.com/accenturecio08/AutomationProcess_29697/_workitems/edit/4450390/?view=edit" TargetMode="External"/><Relationship Id="rId154" Type="http://schemas.openxmlformats.org/officeDocument/2006/relationships/hyperlink" Target="https://dev.azure.com/accenturecio08/AutomationProcess_29697/_workitems/edit/4456194/?view=edit" TargetMode="External"/><Relationship Id="rId175" Type="http://schemas.openxmlformats.org/officeDocument/2006/relationships/hyperlink" Target="https://dev.azure.com/accenturecio08/AutomationProcess_29697/_workitems/edit/4464868" TargetMode="External"/><Relationship Id="rId196" Type="http://schemas.openxmlformats.org/officeDocument/2006/relationships/hyperlink" Target="https://dev.azure.com/accenturecio08/AutomationProcess_29697/_workitems/edit/4475272/?view=edit" TargetMode="External"/><Relationship Id="rId200" Type="http://schemas.openxmlformats.org/officeDocument/2006/relationships/hyperlink" Target="https://dev.azure.com/accenturecio08/AutomationProcess_29697/_workitems/edit/4475827/?view=edit" TargetMode="External"/><Relationship Id="rId16" Type="http://schemas.openxmlformats.org/officeDocument/2006/relationships/hyperlink" Target="https://dev.azure.com/accenturecio08/AutomationProcess_29697/_workitems/edit/4368139/?view=edit" TargetMode="External"/><Relationship Id="rId37" Type="http://schemas.openxmlformats.org/officeDocument/2006/relationships/hyperlink" Target="https://dev.azure.com/accenturecio08/AutomationProcess_29697/_workitems/edit/4183616/?view=edit" TargetMode="External"/><Relationship Id="rId58" Type="http://schemas.openxmlformats.org/officeDocument/2006/relationships/hyperlink" Target="https://dev.azure.com/accenturecio08/AutomationProcess_29697/_workitems/edit/4449760/?view=edit" TargetMode="External"/><Relationship Id="rId79" Type="http://schemas.openxmlformats.org/officeDocument/2006/relationships/hyperlink" Target="https://dev.azure.com/accenturecio08/AutomationProcess_29697/_workitems/edit/4369422/?view=edit" TargetMode="External"/><Relationship Id="rId102" Type="http://schemas.openxmlformats.org/officeDocument/2006/relationships/hyperlink" Target="https://dev.azure.com/accenturecio08/AutomationProcess_29697/_workitems/edit/4440819/?view=edit" TargetMode="External"/><Relationship Id="rId123" Type="http://schemas.openxmlformats.org/officeDocument/2006/relationships/hyperlink" Target="https://0.67.255.5/" TargetMode="External"/><Relationship Id="rId144" Type="http://schemas.openxmlformats.org/officeDocument/2006/relationships/hyperlink" Target="https://dev.azure.com/accenturecio08/AutomationProcess_29697/_workitems/edit/4443793/?view=edit" TargetMode="External"/><Relationship Id="rId90" Type="http://schemas.openxmlformats.org/officeDocument/2006/relationships/hyperlink" Target="https://dev.azure.com/accenturecio08/AutomationProcess_29697/_workitems/edit/4438561/?view=edit" TargetMode="External"/><Relationship Id="rId165" Type="http://schemas.openxmlformats.org/officeDocument/2006/relationships/hyperlink" Target="https://dev.azure.com/accenturecio08/AutomationProcess_29697/_workitems/edit/4426387" TargetMode="External"/><Relationship Id="rId186" Type="http://schemas.openxmlformats.org/officeDocument/2006/relationships/hyperlink" Target="https://dev.azure.com/accenturecio08/AutomationProcess_29697/_workitems/edit/4445116/?view=edit" TargetMode="External"/><Relationship Id="rId211" Type="http://schemas.openxmlformats.org/officeDocument/2006/relationships/hyperlink" Target="https://dev.azure.com/accenturecio08/AutomationProcess_29697/_workitems/edit/4449850" TargetMode="External"/><Relationship Id="rId27" Type="http://schemas.openxmlformats.org/officeDocument/2006/relationships/hyperlink" Target="https://dev.azure.com/accenturecio08/AutomationProcess_29697/_workitems/edit/4434050/?view=edit" TargetMode="External"/><Relationship Id="rId48" Type="http://schemas.openxmlformats.org/officeDocument/2006/relationships/hyperlink" Target="https://dev.azure.com/accenturecio08/AutomationProcess_29697/_workitems/edit/4250789/?view=edit" TargetMode="External"/><Relationship Id="rId69" Type="http://schemas.openxmlformats.org/officeDocument/2006/relationships/hyperlink" Target="https://dev.azure.com/accenturecio08/AutomationProcess_29697/_workitems/edit/4446881/?view=edit" TargetMode="External"/><Relationship Id="rId113" Type="http://schemas.openxmlformats.org/officeDocument/2006/relationships/hyperlink" Target="https://dev.azure.com/accenturecio08/AutomationProcess_29697/_workitems/edit/4441824/?view=edit" TargetMode="External"/><Relationship Id="rId134" Type="http://schemas.openxmlformats.org/officeDocument/2006/relationships/hyperlink" Target="https://dev.azure.com/accenturecio08/AutomationProcess_29697/_workitems/edit/4392723/?view=edit" TargetMode="External"/><Relationship Id="rId80" Type="http://schemas.openxmlformats.org/officeDocument/2006/relationships/hyperlink" Target="https://dev.azure.com/accenturecio08/AutomationProcess_29697/_workitems/edit/4391918/?view=edit" TargetMode="External"/><Relationship Id="rId155" Type="http://schemas.openxmlformats.org/officeDocument/2006/relationships/hyperlink" Target="https://dev.azure.com/accenturecio08/AutomationProcess_29697/_workitems/edit/4456371/?view=edit" TargetMode="External"/><Relationship Id="rId176" Type="http://schemas.openxmlformats.org/officeDocument/2006/relationships/hyperlink" Target="https://dev.azure.com/accenturecio08/AutomationProcess_29697/_workitems/edit/4464722" TargetMode="External"/><Relationship Id="rId197" Type="http://schemas.openxmlformats.org/officeDocument/2006/relationships/hyperlink" Target="https://dev.azure.com/accenturecio08/AutomationProcess_29697/_workitems/edit/4475571/?view=edit" TargetMode="External"/><Relationship Id="rId201" Type="http://schemas.openxmlformats.org/officeDocument/2006/relationships/hyperlink" Target="https://dev.azure.com/accenturecio08/AutomationProcess_29697/_workitems/edit/4475909/?view=edit" TargetMode="External"/><Relationship Id="rId17" Type="http://schemas.openxmlformats.org/officeDocument/2006/relationships/hyperlink" Target="https://dev.azure.com/accenturecio08/AutomationProcess_29697/_workitems/edit/4265946/?view=edit" TargetMode="External"/><Relationship Id="rId38" Type="http://schemas.openxmlformats.org/officeDocument/2006/relationships/hyperlink" Target="https://dev.azure.com/accenturecio08/AutomationProcess_29697/_workitems/edit/4390540/?view=edit" TargetMode="External"/><Relationship Id="rId59" Type="http://schemas.openxmlformats.org/officeDocument/2006/relationships/hyperlink" Target="https://dev.azure.com/accenturecio08/AutomationProcess_29697/_workitems/edit/4449779/?view=edit" TargetMode="External"/><Relationship Id="rId103" Type="http://schemas.openxmlformats.org/officeDocument/2006/relationships/hyperlink" Target="https://dev.azure.com/accenturecio08/AutomationProcess_29697/_workitems/edit/4440824/?view=edit" TargetMode="External"/><Relationship Id="rId124" Type="http://schemas.openxmlformats.org/officeDocument/2006/relationships/hyperlink" Target="https://0.67.255.12/" TargetMode="External"/><Relationship Id="rId70" Type="http://schemas.openxmlformats.org/officeDocument/2006/relationships/hyperlink" Target="https://dev.azure.com/accenturecio08/AutomationProcess_29697/_workitems/edit/4438513/?view=edit" TargetMode="External"/><Relationship Id="rId91" Type="http://schemas.openxmlformats.org/officeDocument/2006/relationships/hyperlink" Target="https://dev.azure.com/accenturecio08/AutomationProcess_29697/_workitems/edit/4438582/?view=edit" TargetMode="External"/><Relationship Id="rId145" Type="http://schemas.openxmlformats.org/officeDocument/2006/relationships/hyperlink" Target="https://dev.azure.com/accenturecio08/AutomationProcess_29697/_workitems/edit/4443800/?view=edit" TargetMode="External"/><Relationship Id="rId166" Type="http://schemas.openxmlformats.org/officeDocument/2006/relationships/hyperlink" Target="https://dev.azure.com/accenturecio08/AutomationProcess_29697/_workitems/edit/4423914" TargetMode="External"/><Relationship Id="rId187" Type="http://schemas.openxmlformats.org/officeDocument/2006/relationships/hyperlink" Target="https://dev.azure.com/accenturecio08/AutomationProcess_29697/_workitems/edit/4468291" TargetMode="External"/><Relationship Id="rId1" Type="http://schemas.openxmlformats.org/officeDocument/2006/relationships/hyperlink" Target="https://dev.azure.com/accenturecio08/AutomationProcess_29697/_workitems/edit/4362088/?view=edit" TargetMode="External"/><Relationship Id="rId212" Type="http://schemas.openxmlformats.org/officeDocument/2006/relationships/hyperlink" Target="https://dev.azure.com/accenturecio08/AutomationProcess_29697/_workitems/edit/4437691" TargetMode="External"/><Relationship Id="rId28" Type="http://schemas.openxmlformats.org/officeDocument/2006/relationships/hyperlink" Target="https://dev.azure.com/accenturecio08/AutomationProcess_29697/_workitems/edit/4436381/?view=edit" TargetMode="External"/><Relationship Id="rId49" Type="http://schemas.openxmlformats.org/officeDocument/2006/relationships/hyperlink" Target="https://dev.azure.com/accenturecio08/AutomationProcess_29697/_workitems/edit/4252811/?view=edit" TargetMode="External"/><Relationship Id="rId114" Type="http://schemas.openxmlformats.org/officeDocument/2006/relationships/hyperlink" Target="https://dev.azure.com/accenturecio08/AutomationProcess_29697/_workitems/edit/4441844/?view=edit" TargetMode="External"/><Relationship Id="rId60" Type="http://schemas.openxmlformats.org/officeDocument/2006/relationships/hyperlink" Target="https://dev.azure.com/accenturecio08/AutomationProcess_29697/_workitems/edit/4312144/?view=edit" TargetMode="External"/><Relationship Id="rId81" Type="http://schemas.openxmlformats.org/officeDocument/2006/relationships/hyperlink" Target="https://dev.azure.com/accenturecio08/AutomationProcess_29697/_workitems/edit/4393219/?view=edit" TargetMode="External"/><Relationship Id="rId135" Type="http://schemas.openxmlformats.org/officeDocument/2006/relationships/hyperlink" Target="https://dev.azure.com/accenturecio08/AutomationProcess_29697/_workitems/edit/4432326/?view=edit" TargetMode="External"/><Relationship Id="rId156" Type="http://schemas.openxmlformats.org/officeDocument/2006/relationships/hyperlink" Target="https://dev.azure.com/accenturecio08/AutomationProcess_29697/_workitems/edit/4456373/?view=edit" TargetMode="External"/><Relationship Id="rId177" Type="http://schemas.openxmlformats.org/officeDocument/2006/relationships/hyperlink" Target="https://dev.azure.com/accenturecio08/AutomationProcess_29697/_workitems/edit/4464417" TargetMode="External"/><Relationship Id="rId198" Type="http://schemas.openxmlformats.org/officeDocument/2006/relationships/hyperlink" Target="https://dev.azure.com/accenturecio08/AutomationProcess_29697/_workitems/edit/4475587/?view=edit" TargetMode="External"/><Relationship Id="rId202" Type="http://schemas.openxmlformats.org/officeDocument/2006/relationships/hyperlink" Target="https://dev.azure.com/accenturecio08/AutomationProcess_29697/_workitems/edit/4476698/?view=edit" TargetMode="External"/><Relationship Id="rId18" Type="http://schemas.openxmlformats.org/officeDocument/2006/relationships/hyperlink" Target="https://dev.azure.com/accenturecio08/AutomationProcess_29697/_workitems/edit/4368214/?view=edit" TargetMode="External"/><Relationship Id="rId39" Type="http://schemas.openxmlformats.org/officeDocument/2006/relationships/hyperlink" Target="https://dev.azure.com/accenturecio08/AutomationProcess_29697/_workitems/edit/4390542/?view=edit" TargetMode="External"/><Relationship Id="rId50" Type="http://schemas.openxmlformats.org/officeDocument/2006/relationships/hyperlink" Target="https://dev.azure.com/accenturecio08/AutomationProcess_29697/_workitems/edit/4312145/?view=edit" TargetMode="External"/><Relationship Id="rId104" Type="http://schemas.openxmlformats.org/officeDocument/2006/relationships/hyperlink" Target="https://dev.azure.com/accenturecio08/AutomationProcess_29697/_workitems/edit/4440835/?view=edit" TargetMode="External"/><Relationship Id="rId125" Type="http://schemas.openxmlformats.org/officeDocument/2006/relationships/hyperlink" Target="https://0.67.255.15/" TargetMode="External"/><Relationship Id="rId146" Type="http://schemas.openxmlformats.org/officeDocument/2006/relationships/hyperlink" Target="https://dev.azure.com/accenturecio08/AutomationProcess_29697/_workitems/edit/4444184/?view=edit" TargetMode="External"/><Relationship Id="rId167" Type="http://schemas.openxmlformats.org/officeDocument/2006/relationships/hyperlink" Target="https://dev.azure.com/accenturecio08/AutomationProcess_29697/_workitems/edit/4439554" TargetMode="External"/><Relationship Id="rId188" Type="http://schemas.openxmlformats.org/officeDocument/2006/relationships/hyperlink" Target="https://dev.azure.com/accenturecio08/AutomationProcess_29697/_workitems/edit/4468292" TargetMode="External"/><Relationship Id="rId71" Type="http://schemas.openxmlformats.org/officeDocument/2006/relationships/hyperlink" Target="https://dev.azure.com/accenturecio08/AutomationProcess_29697/_workitems/edit/4357821/?view=edit" TargetMode="External"/><Relationship Id="rId92" Type="http://schemas.openxmlformats.org/officeDocument/2006/relationships/hyperlink" Target="https://dev.azure.com/accenturecio08/AutomationProcess_29697/_workitems/edit/4440531/?view=edit" TargetMode="External"/><Relationship Id="rId213" Type="http://schemas.openxmlformats.org/officeDocument/2006/relationships/drawing" Target="../drawings/drawing1.xml"/><Relationship Id="rId2" Type="http://schemas.openxmlformats.org/officeDocument/2006/relationships/hyperlink" Target="https://dev.azure.com/accenturecio08/AutomationProcess_29697/_workitems/edit/4423815/?view=edit" TargetMode="External"/><Relationship Id="rId29" Type="http://schemas.openxmlformats.org/officeDocument/2006/relationships/hyperlink" Target="https://dev.azure.com/accenturecio08/AutomationProcess_29697/_workitems/edit/4441955/?view=edit" TargetMode="External"/><Relationship Id="rId40" Type="http://schemas.openxmlformats.org/officeDocument/2006/relationships/hyperlink" Target="https://dev.azure.com/accenturecio08/AutomationProcess_29697/_workitems/edit/4372031/?view=edit" TargetMode="External"/><Relationship Id="rId115" Type="http://schemas.openxmlformats.org/officeDocument/2006/relationships/hyperlink" Target="https://dev.azure.com/accenturecio08/AutomationProcess_29697/_workitems/edit/4446619" TargetMode="External"/><Relationship Id="rId136" Type="http://schemas.openxmlformats.org/officeDocument/2006/relationships/hyperlink" Target="https://dev.azure.com/accenturecio08/AutomationProcess_29697/_workitems/edit/4450401/?view=edit" TargetMode="External"/><Relationship Id="rId157" Type="http://schemas.openxmlformats.org/officeDocument/2006/relationships/hyperlink" Target="https://dev.azure.com/accenturecio08/AutomationProcess_29697/_workitems/edit/4456376/?view=edit" TargetMode="External"/><Relationship Id="rId178" Type="http://schemas.openxmlformats.org/officeDocument/2006/relationships/hyperlink" Target="https://dev.azure.com/accenturecio08/AutomationProcess_29697/_workitems/edit/4464354" TargetMode="External"/><Relationship Id="rId61" Type="http://schemas.openxmlformats.org/officeDocument/2006/relationships/hyperlink" Target="https://dev.azure.com/accenturecio08/AutomationProcess_29697/_workitems/edit/4356522/?view=edit" TargetMode="External"/><Relationship Id="rId82" Type="http://schemas.openxmlformats.org/officeDocument/2006/relationships/hyperlink" Target="https://dev.azure.com/accenturecio08/AutomationProcess_29697/_workitems/edit/4410430/?view=edit" TargetMode="External"/><Relationship Id="rId199" Type="http://schemas.openxmlformats.org/officeDocument/2006/relationships/hyperlink" Target="https://dev.azure.com/accenturecio08/AutomationProcess_29697/_workitems/edit/4475823/?view=edit" TargetMode="External"/><Relationship Id="rId203" Type="http://schemas.openxmlformats.org/officeDocument/2006/relationships/hyperlink" Target="https://dev.azure.com/accenturecio08/AutomationProcess_29697/_workitems/edit/4477040/?view=edit" TargetMode="Externa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8" Type="http://schemas.openxmlformats.org/officeDocument/2006/relationships/hyperlink" Target="https://myISPnextgen1-uat.ciotest.accenture.com" TargetMode="External"/><Relationship Id="rId3" Type="http://schemas.openxmlformats.org/officeDocument/2006/relationships/hyperlink" Target="https://bpmssolutionestimator.uat.accenture.com/" TargetMode="External"/><Relationship Id="rId7" Type="http://schemas.openxmlformats.org/officeDocument/2006/relationships/hyperlink" Target="https://myspnextgen-ops.ciostage.accenture.com" TargetMode="External"/><Relationship Id="rId2" Type="http://schemas.openxmlformats.org/officeDocument/2006/relationships/hyperlink" Target="https://myisp-imsuat1.ciostage.accenture.com/" TargetMode="External"/><Relationship Id="rId1" Type="http://schemas.openxmlformats.org/officeDocument/2006/relationships/hyperlink" Target="https://myispimsstage1-services.ciostage.accenture.com/" TargetMode="External"/><Relationship Id="rId6" Type="http://schemas.openxmlformats.org/officeDocument/2006/relationships/hyperlink" Target="https://myispnextgen1-uat.ciotest.accenture.com/" TargetMode="External"/><Relationship Id="rId5" Type="http://schemas.openxmlformats.org/officeDocument/2006/relationships/hyperlink" Target="https://accenture--q2stg.sandbox.my.salesforce.com/" TargetMode="External"/><Relationship Id="rId4" Type="http://schemas.openxmlformats.org/officeDocument/2006/relationships/hyperlink" Target="https://accenture--AprAglTst.sandbox.my.salesforce.com/" TargetMode="External"/><Relationship Id="rId9" Type="http://schemas.openxmlformats.org/officeDocument/2006/relationships/hyperlink" Target="https://myspnextgen-ops.ciostage.accenture.com" TargetMode="Externa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6E352-EE73-4CE7-B2EA-FE3EA18EDEBD}">
  <dimension ref="A1:T83"/>
  <sheetViews>
    <sheetView topLeftCell="M1" workbookViewId="0">
      <selection activeCell="S10" sqref="S10"/>
    </sheetView>
  </sheetViews>
  <sheetFormatPr defaultColWidth="8.85546875" defaultRowHeight="14.45"/>
  <cols>
    <col min="1" max="1" width="19.42578125" bestFit="1" customWidth="1"/>
    <col min="2" max="2" width="17.7109375" bestFit="1" customWidth="1"/>
    <col min="3" max="3" width="4.42578125" bestFit="1" customWidth="1"/>
    <col min="4" max="4" width="7.42578125" bestFit="1" customWidth="1"/>
    <col min="5" max="5" width="7" bestFit="1" customWidth="1"/>
    <col min="6" max="6" width="11.42578125" bestFit="1" customWidth="1"/>
    <col min="7" max="7" width="12.85546875" customWidth="1"/>
    <col min="8" max="8" width="21" bestFit="1" customWidth="1"/>
    <col min="9" max="9" width="19.42578125" style="34" bestFit="1" customWidth="1"/>
    <col min="10" max="10" width="39.7109375" bestFit="1" customWidth="1"/>
    <col min="11" max="11" width="13.140625" customWidth="1"/>
    <col min="12" max="12" width="111.7109375" bestFit="1" customWidth="1"/>
    <col min="13" max="13" width="19.42578125" bestFit="1" customWidth="1"/>
    <col min="15" max="15" width="24.42578125" customWidth="1"/>
    <col min="16" max="16" width="17.85546875" bestFit="1" customWidth="1"/>
    <col min="17" max="17" width="4.42578125" bestFit="1" customWidth="1"/>
    <col min="18" max="18" width="25.28515625" customWidth="1"/>
    <col min="19" max="19" width="35.42578125" customWidth="1"/>
    <col min="20" max="20" width="29.42578125" customWidth="1"/>
  </cols>
  <sheetData>
    <row r="1" spans="1:20">
      <c r="H1" s="36" t="s">
        <v>0</v>
      </c>
      <c r="I1" s="35" t="s">
        <v>1</v>
      </c>
      <c r="L1" s="98" t="s">
        <v>0</v>
      </c>
      <c r="M1" s="94" t="s">
        <v>2</v>
      </c>
      <c r="O1" s="302" t="s">
        <v>3</v>
      </c>
      <c r="P1" s="303"/>
      <c r="Q1" s="303"/>
      <c r="R1" s="303"/>
      <c r="S1" s="304"/>
    </row>
    <row r="2" spans="1:20">
      <c r="H2" s="36" t="s">
        <v>4</v>
      </c>
      <c r="I2" s="35" t="s">
        <v>5</v>
      </c>
      <c r="O2" s="35" t="s">
        <v>6</v>
      </c>
      <c r="P2" s="35" t="s">
        <v>7</v>
      </c>
      <c r="Q2" s="35" t="s">
        <v>8</v>
      </c>
      <c r="R2" s="35" t="s">
        <v>9</v>
      </c>
      <c r="S2" s="35" t="s">
        <v>10</v>
      </c>
      <c r="T2" t="s">
        <v>11</v>
      </c>
    </row>
    <row r="3" spans="1:20">
      <c r="A3" s="89" t="s">
        <v>12</v>
      </c>
      <c r="B3" s="89" t="s">
        <v>13</v>
      </c>
      <c r="L3" s="36" t="s">
        <v>14</v>
      </c>
      <c r="M3" s="88" t="s">
        <v>12</v>
      </c>
      <c r="O3" s="130" t="s">
        <v>15</v>
      </c>
      <c r="P3" s="131">
        <v>20</v>
      </c>
      <c r="Q3" s="131">
        <v>11</v>
      </c>
      <c r="R3" s="132" t="s">
        <v>16</v>
      </c>
      <c r="S3" s="88" t="s">
        <v>17</v>
      </c>
    </row>
    <row r="4" spans="1:20">
      <c r="A4" s="90" t="s">
        <v>14</v>
      </c>
      <c r="B4" s="93" t="s">
        <v>18</v>
      </c>
      <c r="C4" s="93" t="s">
        <v>1</v>
      </c>
      <c r="D4" s="93" t="s">
        <v>19</v>
      </c>
      <c r="E4" s="94" t="s">
        <v>20</v>
      </c>
      <c r="F4" s="88" t="s">
        <v>21</v>
      </c>
      <c r="H4" s="35"/>
      <c r="I4" s="36" t="s">
        <v>22</v>
      </c>
      <c r="J4" s="35"/>
      <c r="L4" s="37" t="s">
        <v>23</v>
      </c>
      <c r="M4" s="88">
        <v>60</v>
      </c>
      <c r="O4" s="130" t="s">
        <v>24</v>
      </c>
      <c r="P4" s="131">
        <v>9</v>
      </c>
      <c r="Q4" s="131">
        <v>1</v>
      </c>
      <c r="R4" s="132" t="s">
        <v>25</v>
      </c>
      <c r="S4" s="88"/>
      <c r="T4" t="s">
        <v>26</v>
      </c>
    </row>
    <row r="5" spans="1:20">
      <c r="A5" s="91" t="s">
        <v>27</v>
      </c>
      <c r="B5" s="88">
        <v>16</v>
      </c>
      <c r="C5" s="88">
        <v>6</v>
      </c>
      <c r="D5" s="88"/>
      <c r="E5" s="88">
        <v>8</v>
      </c>
      <c r="F5" s="88">
        <v>30</v>
      </c>
      <c r="H5" s="36" t="s">
        <v>28</v>
      </c>
      <c r="I5" s="35" t="s">
        <v>12</v>
      </c>
      <c r="J5" s="35" t="s">
        <v>29</v>
      </c>
      <c r="L5" s="37" t="s">
        <v>30</v>
      </c>
      <c r="M5" s="88">
        <v>39</v>
      </c>
      <c r="O5" s="130" t="s">
        <v>31</v>
      </c>
      <c r="P5" s="131">
        <v>46</v>
      </c>
      <c r="Q5" s="131">
        <v>2</v>
      </c>
      <c r="R5" s="132" t="s">
        <v>32</v>
      </c>
      <c r="S5" s="88" t="s">
        <v>33</v>
      </c>
      <c r="T5" t="s">
        <v>26</v>
      </c>
    </row>
    <row r="6" spans="1:20">
      <c r="A6" s="91" t="s">
        <v>34</v>
      </c>
      <c r="B6" s="88">
        <v>59</v>
      </c>
      <c r="C6" s="88"/>
      <c r="D6" s="88"/>
      <c r="E6" s="88">
        <v>4</v>
      </c>
      <c r="F6" s="88">
        <v>63</v>
      </c>
      <c r="H6" s="35" t="s">
        <v>35</v>
      </c>
      <c r="I6" s="81">
        <v>2</v>
      </c>
      <c r="J6" s="82">
        <v>0.8</v>
      </c>
      <c r="K6" s="135"/>
      <c r="L6" s="37" t="s">
        <v>36</v>
      </c>
      <c r="M6" s="88">
        <v>27</v>
      </c>
      <c r="O6" s="130" t="s">
        <v>27</v>
      </c>
      <c r="P6" s="131">
        <v>4</v>
      </c>
      <c r="Q6" s="131">
        <v>1</v>
      </c>
      <c r="R6" s="132" t="s">
        <v>37</v>
      </c>
      <c r="S6" s="88" t="s">
        <v>17</v>
      </c>
    </row>
    <row r="7" spans="1:20">
      <c r="A7" s="91" t="s">
        <v>38</v>
      </c>
      <c r="B7" s="88">
        <v>26</v>
      </c>
      <c r="C7" s="88">
        <v>13</v>
      </c>
      <c r="D7" s="88">
        <v>1</v>
      </c>
      <c r="E7" s="88">
        <v>23</v>
      </c>
      <c r="F7" s="88">
        <v>63</v>
      </c>
      <c r="H7" s="35" t="s">
        <v>39</v>
      </c>
      <c r="I7" s="81">
        <v>3</v>
      </c>
      <c r="J7" s="82">
        <v>0.55000000000000004</v>
      </c>
      <c r="K7" s="135"/>
      <c r="L7" s="37" t="s">
        <v>40</v>
      </c>
      <c r="M7" s="88">
        <v>20</v>
      </c>
      <c r="O7" s="130" t="s">
        <v>41</v>
      </c>
      <c r="P7" s="131">
        <v>10</v>
      </c>
      <c r="Q7" s="131">
        <v>4</v>
      </c>
      <c r="R7" s="133" t="s">
        <v>42</v>
      </c>
      <c r="S7" s="88" t="s">
        <v>43</v>
      </c>
    </row>
    <row r="8" spans="1:20">
      <c r="A8" s="91" t="s">
        <v>24</v>
      </c>
      <c r="B8" s="88">
        <v>5</v>
      </c>
      <c r="C8" s="88"/>
      <c r="D8" s="88"/>
      <c r="E8" s="88">
        <v>7</v>
      </c>
      <c r="F8" s="88">
        <v>12</v>
      </c>
      <c r="H8" s="35" t="s">
        <v>44</v>
      </c>
      <c r="I8" s="81">
        <v>2</v>
      </c>
      <c r="J8" s="82">
        <v>0.52500000000000002</v>
      </c>
      <c r="K8" s="135"/>
      <c r="L8" s="37" t="s">
        <v>45</v>
      </c>
      <c r="M8" s="88">
        <v>17</v>
      </c>
      <c r="O8" s="130" t="s">
        <v>38</v>
      </c>
      <c r="P8" s="131">
        <v>11</v>
      </c>
      <c r="Q8" s="131">
        <v>1</v>
      </c>
      <c r="R8" s="132" t="s">
        <v>46</v>
      </c>
      <c r="S8" s="88" t="s">
        <v>47</v>
      </c>
    </row>
    <row r="9" spans="1:20">
      <c r="A9" s="91" t="s">
        <v>48</v>
      </c>
      <c r="B9" s="88">
        <v>13</v>
      </c>
      <c r="C9" s="88">
        <v>4</v>
      </c>
      <c r="D9" s="88"/>
      <c r="E9" s="88">
        <v>15</v>
      </c>
      <c r="F9" s="88">
        <v>32</v>
      </c>
      <c r="H9" s="35" t="s">
        <v>49</v>
      </c>
      <c r="I9" s="81">
        <v>1</v>
      </c>
      <c r="J9" s="82">
        <v>0.45</v>
      </c>
      <c r="K9" s="135"/>
      <c r="L9" s="37" t="s">
        <v>50</v>
      </c>
      <c r="M9" s="88">
        <v>16</v>
      </c>
      <c r="O9" s="130" t="s">
        <v>51</v>
      </c>
      <c r="P9" s="131">
        <v>21</v>
      </c>
      <c r="Q9" s="131">
        <v>1</v>
      </c>
      <c r="R9" s="132" t="s">
        <v>52</v>
      </c>
      <c r="S9" s="88" t="s">
        <v>53</v>
      </c>
    </row>
    <row r="10" spans="1:20">
      <c r="A10" s="91" t="s">
        <v>54</v>
      </c>
      <c r="B10" s="88">
        <v>17</v>
      </c>
      <c r="C10" s="88">
        <v>2</v>
      </c>
      <c r="D10" s="88"/>
      <c r="E10" s="88">
        <v>7</v>
      </c>
      <c r="F10" s="88">
        <v>26</v>
      </c>
      <c r="H10" s="35" t="s">
        <v>55</v>
      </c>
      <c r="I10" s="81">
        <v>3</v>
      </c>
      <c r="J10" s="82">
        <v>0.43333333333333335</v>
      </c>
      <c r="K10" s="135"/>
      <c r="L10" s="37" t="s">
        <v>56</v>
      </c>
      <c r="M10" s="88">
        <v>15</v>
      </c>
      <c r="O10" s="130" t="s">
        <v>48</v>
      </c>
      <c r="P10" s="131">
        <v>6</v>
      </c>
      <c r="Q10" s="131">
        <v>1</v>
      </c>
      <c r="R10" s="132" t="s">
        <v>57</v>
      </c>
      <c r="S10" s="88" t="s">
        <v>17</v>
      </c>
    </row>
    <row r="11" spans="1:20">
      <c r="A11" s="91" t="s">
        <v>51</v>
      </c>
      <c r="B11" s="88">
        <v>27</v>
      </c>
      <c r="C11" s="88">
        <v>16</v>
      </c>
      <c r="D11" s="88"/>
      <c r="E11" s="88">
        <v>31</v>
      </c>
      <c r="F11" s="88">
        <v>74</v>
      </c>
      <c r="H11" s="35" t="s">
        <v>58</v>
      </c>
      <c r="I11" s="81">
        <v>7</v>
      </c>
      <c r="J11" s="82">
        <v>0.41428571428571426</v>
      </c>
      <c r="K11" s="135"/>
      <c r="L11" s="37" t="s">
        <v>59</v>
      </c>
      <c r="M11" s="88">
        <v>15</v>
      </c>
      <c r="O11" s="130" t="s">
        <v>54</v>
      </c>
      <c r="P11" s="131">
        <v>3</v>
      </c>
      <c r="Q11" s="131">
        <v>2</v>
      </c>
      <c r="R11" s="132" t="s">
        <v>60</v>
      </c>
      <c r="S11" s="88" t="s">
        <v>17</v>
      </c>
      <c r="T11" t="s">
        <v>61</v>
      </c>
    </row>
    <row r="12" spans="1:20">
      <c r="A12" s="91" t="s">
        <v>41</v>
      </c>
      <c r="B12" s="88">
        <v>42</v>
      </c>
      <c r="C12" s="88">
        <v>65</v>
      </c>
      <c r="D12" s="88"/>
      <c r="E12" s="88">
        <v>33</v>
      </c>
      <c r="F12" s="88">
        <v>140</v>
      </c>
      <c r="H12" s="35" t="s">
        <v>62</v>
      </c>
      <c r="I12" s="81">
        <v>1</v>
      </c>
      <c r="J12" s="82">
        <v>0.4</v>
      </c>
      <c r="K12" s="135"/>
      <c r="L12" s="37" t="s">
        <v>63</v>
      </c>
      <c r="M12" s="88">
        <v>11</v>
      </c>
      <c r="O12" s="35" t="s">
        <v>34</v>
      </c>
      <c r="P12" s="88">
        <v>0</v>
      </c>
      <c r="Q12" s="88">
        <v>0</v>
      </c>
      <c r="R12" s="37"/>
      <c r="S12" s="88"/>
    </row>
    <row r="13" spans="1:20">
      <c r="A13" s="91" t="s">
        <v>64</v>
      </c>
      <c r="B13" s="88">
        <v>7</v>
      </c>
      <c r="C13" s="88"/>
      <c r="D13" s="88"/>
      <c r="E13" s="88"/>
      <c r="F13" s="88">
        <v>7</v>
      </c>
      <c r="H13" s="35" t="s">
        <v>65</v>
      </c>
      <c r="I13" s="81">
        <v>3</v>
      </c>
      <c r="J13" s="82">
        <v>0.3666666666666667</v>
      </c>
      <c r="K13" s="135"/>
      <c r="L13" s="37" t="s">
        <v>66</v>
      </c>
      <c r="M13" s="88">
        <v>11</v>
      </c>
      <c r="O13" s="35" t="s">
        <v>67</v>
      </c>
      <c r="P13" s="88">
        <v>0</v>
      </c>
      <c r="Q13" s="88">
        <v>0</v>
      </c>
      <c r="R13" s="37"/>
      <c r="S13" s="88"/>
    </row>
    <row r="14" spans="1:20">
      <c r="A14" s="91" t="s">
        <v>15</v>
      </c>
      <c r="B14" s="88">
        <v>10</v>
      </c>
      <c r="C14" s="88">
        <v>37</v>
      </c>
      <c r="D14" s="88"/>
      <c r="E14" s="88">
        <v>6</v>
      </c>
      <c r="F14" s="88">
        <v>53</v>
      </c>
      <c r="H14" s="35" t="s">
        <v>68</v>
      </c>
      <c r="I14" s="81">
        <v>7</v>
      </c>
      <c r="J14" s="82">
        <v>0.31428571428571433</v>
      </c>
      <c r="K14" s="135"/>
      <c r="L14" s="37" t="s">
        <v>69</v>
      </c>
      <c r="M14" s="88">
        <v>9</v>
      </c>
    </row>
    <row r="15" spans="1:20">
      <c r="A15" s="91" t="s">
        <v>70</v>
      </c>
      <c r="B15" s="88">
        <v>18</v>
      </c>
      <c r="C15" s="88">
        <v>6</v>
      </c>
      <c r="D15" s="88"/>
      <c r="E15" s="88"/>
      <c r="F15" s="88">
        <v>24</v>
      </c>
      <c r="H15" s="35" t="s">
        <v>71</v>
      </c>
      <c r="I15" s="81">
        <v>1</v>
      </c>
      <c r="J15" s="82">
        <v>0.3</v>
      </c>
      <c r="K15" s="135"/>
      <c r="L15" s="37" t="s">
        <v>72</v>
      </c>
      <c r="M15" s="88">
        <v>8</v>
      </c>
    </row>
    <row r="16" spans="1:20">
      <c r="A16" s="91" t="s">
        <v>31</v>
      </c>
      <c r="B16" s="88">
        <v>17</v>
      </c>
      <c r="C16" s="88">
        <v>36</v>
      </c>
      <c r="D16" s="88"/>
      <c r="E16" s="88">
        <v>6</v>
      </c>
      <c r="F16" s="88">
        <v>59</v>
      </c>
      <c r="H16" s="35" t="s">
        <v>73</v>
      </c>
      <c r="I16" s="81">
        <v>1</v>
      </c>
      <c r="J16" s="82">
        <v>0.3</v>
      </c>
      <c r="K16" s="135"/>
      <c r="L16" s="37" t="s">
        <v>74</v>
      </c>
      <c r="M16" s="88">
        <v>8</v>
      </c>
    </row>
    <row r="17" spans="1:13">
      <c r="A17" s="91" t="s">
        <v>75</v>
      </c>
      <c r="B17" s="88">
        <v>4</v>
      </c>
      <c r="C17" s="88"/>
      <c r="D17" s="88">
        <v>2</v>
      </c>
      <c r="E17" s="88"/>
      <c r="F17" s="88">
        <v>6</v>
      </c>
      <c r="H17" s="35" t="s">
        <v>76</v>
      </c>
      <c r="I17" s="81">
        <v>1</v>
      </c>
      <c r="J17" s="82">
        <v>0.3</v>
      </c>
      <c r="K17" s="135"/>
      <c r="L17" s="37" t="s">
        <v>77</v>
      </c>
      <c r="M17" s="88">
        <v>8</v>
      </c>
    </row>
    <row r="18" spans="1:13">
      <c r="A18" s="92" t="s">
        <v>78</v>
      </c>
      <c r="B18" s="88">
        <v>20</v>
      </c>
      <c r="C18" s="88"/>
      <c r="D18" s="88">
        <v>1</v>
      </c>
      <c r="E18" s="88"/>
      <c r="F18" s="88">
        <v>21</v>
      </c>
      <c r="H18" s="35" t="s">
        <v>79</v>
      </c>
      <c r="I18" s="81">
        <v>1</v>
      </c>
      <c r="J18" s="82">
        <v>0.25</v>
      </c>
      <c r="K18" s="135"/>
      <c r="L18" s="37" t="s">
        <v>80</v>
      </c>
      <c r="M18" s="88">
        <v>7</v>
      </c>
    </row>
    <row r="19" spans="1:13">
      <c r="A19" s="88" t="s">
        <v>21</v>
      </c>
      <c r="B19" s="88">
        <v>281</v>
      </c>
      <c r="C19" s="88">
        <v>185</v>
      </c>
      <c r="D19" s="88">
        <v>4</v>
      </c>
      <c r="E19" s="88">
        <v>140</v>
      </c>
      <c r="F19" s="88">
        <v>610</v>
      </c>
      <c r="H19" s="35" t="s">
        <v>81</v>
      </c>
      <c r="I19" s="81">
        <v>1</v>
      </c>
      <c r="J19" s="82">
        <v>0.25</v>
      </c>
      <c r="K19" s="135"/>
      <c r="L19" s="37" t="s">
        <v>82</v>
      </c>
      <c r="M19" s="88">
        <v>5</v>
      </c>
    </row>
    <row r="20" spans="1:13">
      <c r="H20" s="35" t="s">
        <v>83</v>
      </c>
      <c r="I20" s="81">
        <v>2</v>
      </c>
      <c r="J20" s="82">
        <v>0.25</v>
      </c>
      <c r="K20" s="135"/>
      <c r="L20" s="37" t="s">
        <v>19</v>
      </c>
      <c r="M20" s="88">
        <v>4</v>
      </c>
    </row>
    <row r="21" spans="1:13">
      <c r="H21" s="35" t="s">
        <v>84</v>
      </c>
      <c r="I21" s="81">
        <v>4</v>
      </c>
      <c r="J21" s="82">
        <v>0.25</v>
      </c>
      <c r="K21" s="135"/>
      <c r="L21" s="37" t="s">
        <v>85</v>
      </c>
      <c r="M21" s="88">
        <v>3</v>
      </c>
    </row>
    <row r="22" spans="1:13">
      <c r="H22" s="35" t="s">
        <v>86</v>
      </c>
      <c r="I22" s="81">
        <v>2</v>
      </c>
      <c r="J22" s="82">
        <v>0.25</v>
      </c>
      <c r="K22" s="135"/>
      <c r="L22" s="37" t="s">
        <v>87</v>
      </c>
      <c r="M22" s="88">
        <v>2</v>
      </c>
    </row>
    <row r="23" spans="1:13">
      <c r="H23" s="35" t="s">
        <v>88</v>
      </c>
      <c r="I23" s="81">
        <v>4</v>
      </c>
      <c r="J23" s="82">
        <v>0.23749999999999999</v>
      </c>
      <c r="K23" s="135"/>
      <c r="L23" s="88" t="s">
        <v>21</v>
      </c>
      <c r="M23" s="88">
        <v>285</v>
      </c>
    </row>
    <row r="24" spans="1:13">
      <c r="H24" s="35" t="s">
        <v>89</v>
      </c>
      <c r="I24" s="81">
        <v>6</v>
      </c>
      <c r="J24" s="82">
        <v>0.23333333333333336</v>
      </c>
      <c r="K24" s="135"/>
    </row>
    <row r="25" spans="1:13">
      <c r="H25" s="35" t="s">
        <v>90</v>
      </c>
      <c r="I25" s="81">
        <v>3</v>
      </c>
      <c r="J25" s="82">
        <v>0.21666666666666667</v>
      </c>
      <c r="K25" s="135"/>
    </row>
    <row r="26" spans="1:13">
      <c r="H26" s="35" t="s">
        <v>91</v>
      </c>
      <c r="I26" s="81">
        <v>3</v>
      </c>
      <c r="J26" s="82">
        <v>0.20000000000000004</v>
      </c>
      <c r="K26" s="135"/>
    </row>
    <row r="27" spans="1:13">
      <c r="H27" s="35" t="s">
        <v>92</v>
      </c>
      <c r="I27" s="81">
        <v>5</v>
      </c>
      <c r="J27" s="82">
        <v>0.2</v>
      </c>
      <c r="K27" s="135"/>
    </row>
    <row r="28" spans="1:13">
      <c r="H28" s="35" t="s">
        <v>93</v>
      </c>
      <c r="I28" s="81">
        <v>1</v>
      </c>
      <c r="J28" s="82">
        <v>0.2</v>
      </c>
      <c r="K28" s="135"/>
    </row>
    <row r="29" spans="1:13">
      <c r="H29" s="35" t="s">
        <v>94</v>
      </c>
      <c r="I29" s="81">
        <v>4</v>
      </c>
      <c r="J29" s="82">
        <v>0.2</v>
      </c>
      <c r="K29" s="135"/>
    </row>
    <row r="30" spans="1:13">
      <c r="H30" s="35" t="s">
        <v>95</v>
      </c>
      <c r="I30" s="81">
        <v>1</v>
      </c>
      <c r="J30" s="82">
        <v>0.2</v>
      </c>
      <c r="K30" s="135"/>
    </row>
    <row r="31" spans="1:13">
      <c r="H31" s="35" t="s">
        <v>96</v>
      </c>
      <c r="I31" s="81">
        <v>2</v>
      </c>
      <c r="J31" s="82">
        <v>0.2</v>
      </c>
      <c r="K31" s="135"/>
    </row>
    <row r="32" spans="1:13">
      <c r="H32" s="35" t="s">
        <v>97</v>
      </c>
      <c r="I32" s="81">
        <v>5</v>
      </c>
      <c r="J32" s="82">
        <v>0.19</v>
      </c>
      <c r="K32" s="135"/>
    </row>
    <row r="33" spans="8:11">
      <c r="H33" s="35" t="s">
        <v>98</v>
      </c>
      <c r="I33" s="81">
        <v>2</v>
      </c>
      <c r="J33" s="82">
        <v>0.17499999999999999</v>
      </c>
      <c r="K33" s="135"/>
    </row>
    <row r="34" spans="8:11">
      <c r="H34" s="35" t="s">
        <v>99</v>
      </c>
      <c r="I34" s="81">
        <v>5</v>
      </c>
      <c r="J34" s="82">
        <v>0.16</v>
      </c>
      <c r="K34" s="135"/>
    </row>
    <row r="35" spans="8:11">
      <c r="H35" s="35" t="s">
        <v>100</v>
      </c>
      <c r="I35" s="81">
        <v>2</v>
      </c>
      <c r="J35" s="82">
        <v>0.15000000000000002</v>
      </c>
      <c r="K35" s="135"/>
    </row>
    <row r="36" spans="8:11">
      <c r="H36" s="35" t="s">
        <v>101</v>
      </c>
      <c r="I36" s="81">
        <v>1</v>
      </c>
      <c r="J36" s="82">
        <v>0.15</v>
      </c>
      <c r="K36" s="135"/>
    </row>
    <row r="37" spans="8:11">
      <c r="H37" s="35" t="s">
        <v>102</v>
      </c>
      <c r="I37" s="81">
        <v>1</v>
      </c>
      <c r="J37" s="82">
        <v>0.15</v>
      </c>
      <c r="K37" s="135"/>
    </row>
    <row r="38" spans="8:11">
      <c r="H38" s="35" t="s">
        <v>103</v>
      </c>
      <c r="I38" s="81">
        <v>1</v>
      </c>
      <c r="J38" s="82">
        <v>0.15</v>
      </c>
      <c r="K38" s="135"/>
    </row>
    <row r="39" spans="8:11">
      <c r="H39" s="35" t="s">
        <v>104</v>
      </c>
      <c r="I39" s="81">
        <v>1</v>
      </c>
      <c r="J39" s="82">
        <v>0.15</v>
      </c>
      <c r="K39" s="135"/>
    </row>
    <row r="40" spans="8:11">
      <c r="H40" s="35" t="s">
        <v>105</v>
      </c>
      <c r="I40" s="81">
        <v>4</v>
      </c>
      <c r="J40" s="82">
        <v>0.15</v>
      </c>
      <c r="K40" s="135"/>
    </row>
    <row r="41" spans="8:11">
      <c r="H41" s="35" t="s">
        <v>106</v>
      </c>
      <c r="I41" s="81">
        <v>1</v>
      </c>
      <c r="J41" s="82">
        <v>0.15</v>
      </c>
      <c r="K41" s="135"/>
    </row>
    <row r="42" spans="8:11">
      <c r="H42" s="35" t="s">
        <v>107</v>
      </c>
      <c r="I42" s="81">
        <v>4</v>
      </c>
      <c r="J42" s="82">
        <v>0.15</v>
      </c>
      <c r="K42" s="135"/>
    </row>
    <row r="43" spans="8:11">
      <c r="H43" s="35" t="s">
        <v>108</v>
      </c>
      <c r="I43" s="81">
        <v>1</v>
      </c>
      <c r="J43" s="82">
        <v>0.15</v>
      </c>
      <c r="K43" s="135"/>
    </row>
    <row r="44" spans="8:11">
      <c r="H44" s="35" t="s">
        <v>109</v>
      </c>
      <c r="I44" s="81">
        <v>3</v>
      </c>
      <c r="J44" s="82">
        <v>0.13333333333333333</v>
      </c>
      <c r="K44" s="135"/>
    </row>
    <row r="45" spans="8:11">
      <c r="H45" s="35" t="s">
        <v>110</v>
      </c>
      <c r="I45" s="81">
        <v>3</v>
      </c>
      <c r="J45" s="82">
        <v>0.13333333333333333</v>
      </c>
      <c r="K45" s="135"/>
    </row>
    <row r="46" spans="8:11">
      <c r="H46" s="35" t="s">
        <v>111</v>
      </c>
      <c r="I46" s="81">
        <v>4</v>
      </c>
      <c r="J46" s="82">
        <v>0.125</v>
      </c>
      <c r="K46" s="135"/>
    </row>
    <row r="47" spans="8:11">
      <c r="H47" s="35" t="s">
        <v>112</v>
      </c>
      <c r="I47" s="81">
        <v>3</v>
      </c>
      <c r="J47" s="82">
        <v>0.10000000000000002</v>
      </c>
      <c r="K47" s="135"/>
    </row>
    <row r="48" spans="8:11">
      <c r="H48" s="35" t="s">
        <v>113</v>
      </c>
      <c r="I48" s="81">
        <v>3</v>
      </c>
      <c r="J48" s="82">
        <v>0.10000000000000002</v>
      </c>
      <c r="K48" s="135"/>
    </row>
    <row r="49" spans="8:11">
      <c r="H49" s="35" t="s">
        <v>114</v>
      </c>
      <c r="I49" s="81">
        <v>2</v>
      </c>
      <c r="J49" s="82">
        <v>0.1</v>
      </c>
      <c r="K49" s="135"/>
    </row>
    <row r="50" spans="8:11">
      <c r="H50" s="35" t="s">
        <v>115</v>
      </c>
      <c r="I50" s="81">
        <v>1</v>
      </c>
      <c r="J50" s="82">
        <v>0.1</v>
      </c>
      <c r="K50" s="135"/>
    </row>
    <row r="51" spans="8:11">
      <c r="H51" s="35" t="s">
        <v>116</v>
      </c>
      <c r="I51" s="81">
        <v>1</v>
      </c>
      <c r="J51" s="82">
        <v>0.1</v>
      </c>
      <c r="K51" s="135"/>
    </row>
    <row r="52" spans="8:11">
      <c r="H52" s="35" t="s">
        <v>117</v>
      </c>
      <c r="I52" s="81">
        <v>4</v>
      </c>
      <c r="J52" s="82">
        <v>0.1</v>
      </c>
      <c r="K52" s="135"/>
    </row>
    <row r="53" spans="8:11">
      <c r="H53" s="35" t="s">
        <v>118</v>
      </c>
      <c r="I53" s="81">
        <v>1</v>
      </c>
      <c r="J53" s="82">
        <v>0.1</v>
      </c>
      <c r="K53" s="135"/>
    </row>
    <row r="54" spans="8:11">
      <c r="H54" s="35" t="s">
        <v>119</v>
      </c>
      <c r="I54" s="81">
        <v>2</v>
      </c>
      <c r="J54" s="82">
        <v>0.1</v>
      </c>
      <c r="K54" s="135"/>
    </row>
    <row r="55" spans="8:11">
      <c r="H55" s="35" t="s">
        <v>120</v>
      </c>
      <c r="I55" s="81">
        <v>1</v>
      </c>
      <c r="J55" s="82">
        <v>0.1</v>
      </c>
      <c r="K55" s="135"/>
    </row>
    <row r="56" spans="8:11">
      <c r="H56" s="35" t="s">
        <v>121</v>
      </c>
      <c r="I56" s="81">
        <v>1</v>
      </c>
      <c r="J56" s="82">
        <v>0.1</v>
      </c>
      <c r="K56" s="135"/>
    </row>
    <row r="57" spans="8:11">
      <c r="H57" s="35" t="s">
        <v>122</v>
      </c>
      <c r="I57" s="81">
        <v>3</v>
      </c>
      <c r="J57" s="82">
        <v>9.9999999999999992E-2</v>
      </c>
      <c r="K57" s="135"/>
    </row>
    <row r="58" spans="8:11">
      <c r="H58" s="35" t="s">
        <v>123</v>
      </c>
      <c r="I58" s="81">
        <v>6</v>
      </c>
      <c r="J58" s="82">
        <v>9.1666666666666674E-2</v>
      </c>
      <c r="K58" s="135"/>
    </row>
    <row r="59" spans="8:11">
      <c r="H59" s="35" t="s">
        <v>124</v>
      </c>
      <c r="I59" s="81">
        <v>2</v>
      </c>
      <c r="J59" s="82">
        <v>0.09</v>
      </c>
      <c r="K59" s="135"/>
    </row>
    <row r="60" spans="8:11">
      <c r="H60" s="35" t="s">
        <v>125</v>
      </c>
      <c r="I60" s="81">
        <v>5</v>
      </c>
      <c r="J60" s="82">
        <v>7.9999999999999988E-2</v>
      </c>
      <c r="K60" s="135"/>
    </row>
    <row r="61" spans="8:11">
      <c r="H61" s="35" t="s">
        <v>126</v>
      </c>
      <c r="I61" s="81">
        <v>2</v>
      </c>
      <c r="J61" s="82">
        <v>6.0000000000000005E-2</v>
      </c>
      <c r="K61" s="135"/>
    </row>
    <row r="62" spans="8:11">
      <c r="H62" s="35" t="s">
        <v>127</v>
      </c>
      <c r="I62" s="81">
        <v>2</v>
      </c>
      <c r="J62" s="82">
        <v>0.05</v>
      </c>
      <c r="K62" s="135"/>
    </row>
    <row r="63" spans="8:11">
      <c r="H63" s="35" t="s">
        <v>128</v>
      </c>
      <c r="I63" s="81">
        <v>4</v>
      </c>
      <c r="J63" s="82">
        <v>0.05</v>
      </c>
      <c r="K63" s="135"/>
    </row>
    <row r="64" spans="8:11">
      <c r="H64" s="35" t="s">
        <v>129</v>
      </c>
      <c r="I64" s="81">
        <v>2</v>
      </c>
      <c r="J64" s="82">
        <v>0.05</v>
      </c>
      <c r="K64" s="135"/>
    </row>
    <row r="65" spans="8:11">
      <c r="H65" s="35" t="s">
        <v>130</v>
      </c>
      <c r="I65" s="81">
        <v>7</v>
      </c>
      <c r="J65" s="82">
        <v>4.9999999999999996E-2</v>
      </c>
      <c r="K65" s="135"/>
    </row>
    <row r="66" spans="8:11">
      <c r="H66" s="35" t="s">
        <v>131</v>
      </c>
      <c r="I66" s="81">
        <v>6</v>
      </c>
      <c r="J66" s="82">
        <v>4.9999999999999996E-2</v>
      </c>
      <c r="K66" s="135"/>
    </row>
    <row r="67" spans="8:11">
      <c r="H67" s="35" t="s">
        <v>132</v>
      </c>
      <c r="I67" s="81">
        <v>3</v>
      </c>
      <c r="J67" s="82">
        <v>3.3333333333333333E-2</v>
      </c>
      <c r="K67" s="135"/>
    </row>
    <row r="68" spans="8:11">
      <c r="H68" s="35" t="s">
        <v>133</v>
      </c>
      <c r="I68" s="81">
        <v>5</v>
      </c>
      <c r="J68" s="82">
        <v>0</v>
      </c>
      <c r="K68" s="135"/>
    </row>
    <row r="69" spans="8:11">
      <c r="H69" s="35" t="s">
        <v>134</v>
      </c>
      <c r="I69" s="81">
        <v>4</v>
      </c>
      <c r="J69" s="82">
        <v>0</v>
      </c>
    </row>
    <row r="70" spans="8:11">
      <c r="H70" s="35" t="s">
        <v>135</v>
      </c>
      <c r="I70" s="81">
        <v>6</v>
      </c>
      <c r="J70" s="82">
        <v>0</v>
      </c>
    </row>
    <row r="71" spans="8:11">
      <c r="H71" s="35" t="s">
        <v>21</v>
      </c>
      <c r="I71" s="81">
        <v>185</v>
      </c>
      <c r="J71" s="82">
        <v>0.1756756756756758</v>
      </c>
    </row>
    <row r="72" spans="8:11">
      <c r="I72"/>
    </row>
    <row r="73" spans="8:11">
      <c r="I73"/>
    </row>
    <row r="74" spans="8:11">
      <c r="I74"/>
    </row>
    <row r="75" spans="8:11">
      <c r="I75"/>
    </row>
    <row r="76" spans="8:11">
      <c r="I76"/>
    </row>
    <row r="77" spans="8:11">
      <c r="I77"/>
    </row>
    <row r="78" spans="8:11">
      <c r="I78"/>
    </row>
    <row r="79" spans="8:11">
      <c r="I79"/>
    </row>
    <row r="80" spans="8:11">
      <c r="I80"/>
    </row>
    <row r="81" spans="9:9">
      <c r="I81"/>
    </row>
    <row r="82" spans="9:9">
      <c r="I82"/>
    </row>
    <row r="83" spans="9:9">
      <c r="I83"/>
    </row>
  </sheetData>
  <mergeCells count="1">
    <mergeCell ref="O1:S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4239C-2B1C-4E8E-AE9A-8621A36C8D5F}">
  <dimension ref="A1:J143"/>
  <sheetViews>
    <sheetView showGridLines="0" topLeftCell="A5" zoomScale="90" workbookViewId="0">
      <selection activeCell="C30" sqref="C30"/>
    </sheetView>
  </sheetViews>
  <sheetFormatPr defaultColWidth="8.7109375" defaultRowHeight="15" customHeight="1"/>
  <cols>
    <col min="1" max="1" width="13" style="35" bestFit="1" customWidth="1"/>
    <col min="2" max="2" width="19.85546875" style="88" bestFit="1" customWidth="1"/>
    <col min="3" max="3" width="13" style="88" bestFit="1" customWidth="1"/>
    <col min="4" max="4" width="39.7109375" style="88" bestFit="1" customWidth="1"/>
    <col min="5" max="5" width="7" style="88" bestFit="1" customWidth="1"/>
    <col min="6" max="6" width="11.42578125" style="35" customWidth="1"/>
    <col min="7" max="7" width="18" style="35" bestFit="1" customWidth="1"/>
    <col min="8" max="8" width="44.7109375" style="35" bestFit="1" customWidth="1"/>
    <col min="9" max="9" width="104.5703125" style="35" bestFit="1" customWidth="1"/>
    <col min="10" max="10" width="13" style="35" bestFit="1" customWidth="1"/>
    <col min="11" max="11" width="10.42578125" style="35" bestFit="1" customWidth="1"/>
    <col min="12" max="16384" width="8.7109375" style="35"/>
  </cols>
  <sheetData>
    <row r="1" spans="1:10">
      <c r="I1" s="275" t="s">
        <v>0</v>
      </c>
      <c r="J1" s="35" t="s">
        <v>18</v>
      </c>
    </row>
    <row r="2" spans="1:10">
      <c r="I2" s="36" t="s">
        <v>4</v>
      </c>
      <c r="J2" s="35" t="s">
        <v>5</v>
      </c>
    </row>
    <row r="3" spans="1:10">
      <c r="A3" s="36" t="s">
        <v>136</v>
      </c>
      <c r="B3" s="276" t="s">
        <v>13</v>
      </c>
      <c r="F3" s="88"/>
    </row>
    <row r="4" spans="1:10">
      <c r="A4" s="36" t="s">
        <v>137</v>
      </c>
      <c r="B4" s="88" t="s">
        <v>18</v>
      </c>
      <c r="C4" s="88" t="s">
        <v>1</v>
      </c>
      <c r="D4" s="88" t="s">
        <v>19</v>
      </c>
      <c r="E4" s="88" t="s">
        <v>20</v>
      </c>
      <c r="F4" s="88" t="s">
        <v>21</v>
      </c>
      <c r="I4" s="36" t="s">
        <v>138</v>
      </c>
      <c r="J4" s="88" t="s">
        <v>136</v>
      </c>
    </row>
    <row r="5" spans="1:10">
      <c r="A5" s="37" t="s">
        <v>27</v>
      </c>
      <c r="B5" s="88">
        <v>16</v>
      </c>
      <c r="C5" s="88">
        <v>6</v>
      </c>
      <c r="E5" s="88">
        <v>9</v>
      </c>
      <c r="F5" s="88">
        <v>31</v>
      </c>
      <c r="I5" s="37" t="s">
        <v>23</v>
      </c>
      <c r="J5" s="88">
        <v>60</v>
      </c>
    </row>
    <row r="6" spans="1:10" ht="29.25">
      <c r="A6" s="37" t="s">
        <v>34</v>
      </c>
      <c r="B6" s="88">
        <v>59</v>
      </c>
      <c r="E6" s="88">
        <v>4</v>
      </c>
      <c r="F6" s="88">
        <v>63</v>
      </c>
      <c r="I6" s="188" t="s">
        <v>30</v>
      </c>
      <c r="J6" s="189">
        <v>39</v>
      </c>
    </row>
    <row r="7" spans="1:10">
      <c r="A7" s="37" t="s">
        <v>38</v>
      </c>
      <c r="B7" s="88">
        <v>26</v>
      </c>
      <c r="C7" s="88">
        <v>13</v>
      </c>
      <c r="D7" s="88">
        <v>1</v>
      </c>
      <c r="E7" s="88">
        <v>23</v>
      </c>
      <c r="F7" s="88">
        <v>63</v>
      </c>
      <c r="I7" s="37" t="s">
        <v>36</v>
      </c>
      <c r="J7" s="88">
        <v>27</v>
      </c>
    </row>
    <row r="8" spans="1:10">
      <c r="A8" s="37" t="s">
        <v>24</v>
      </c>
      <c r="B8" s="88">
        <v>5</v>
      </c>
      <c r="E8" s="88">
        <v>7</v>
      </c>
      <c r="F8" s="88">
        <v>12</v>
      </c>
      <c r="I8" s="37" t="s">
        <v>40</v>
      </c>
      <c r="J8" s="88">
        <v>20</v>
      </c>
    </row>
    <row r="9" spans="1:10">
      <c r="A9" s="37" t="s">
        <v>48</v>
      </c>
      <c r="B9" s="88">
        <v>13</v>
      </c>
      <c r="C9" s="88">
        <v>4</v>
      </c>
      <c r="E9" s="88">
        <v>15</v>
      </c>
      <c r="F9" s="88">
        <v>32</v>
      </c>
      <c r="I9" s="37" t="s">
        <v>50</v>
      </c>
      <c r="J9" s="88">
        <v>17</v>
      </c>
    </row>
    <row r="10" spans="1:10">
      <c r="A10" s="37" t="s">
        <v>54</v>
      </c>
      <c r="B10" s="88">
        <v>18</v>
      </c>
      <c r="C10" s="88">
        <v>2</v>
      </c>
      <c r="E10" s="88">
        <v>7</v>
      </c>
      <c r="F10" s="88">
        <v>27</v>
      </c>
      <c r="I10" s="37" t="s">
        <v>45</v>
      </c>
      <c r="J10" s="88">
        <v>17</v>
      </c>
    </row>
    <row r="11" spans="1:10">
      <c r="A11" s="37" t="s">
        <v>51</v>
      </c>
      <c r="B11" s="88">
        <v>27</v>
      </c>
      <c r="C11" s="88">
        <v>16</v>
      </c>
      <c r="E11" s="88">
        <v>31</v>
      </c>
      <c r="F11" s="88">
        <v>74</v>
      </c>
      <c r="I11" s="37" t="s">
        <v>56</v>
      </c>
      <c r="J11" s="88">
        <v>15</v>
      </c>
    </row>
    <row r="12" spans="1:10">
      <c r="A12" s="37" t="s">
        <v>41</v>
      </c>
      <c r="B12" s="88">
        <v>42</v>
      </c>
      <c r="C12" s="88">
        <v>65</v>
      </c>
      <c r="E12" s="88">
        <v>33</v>
      </c>
      <c r="F12" s="88">
        <v>140</v>
      </c>
      <c r="I12" s="37" t="s">
        <v>59</v>
      </c>
      <c r="J12" s="88">
        <v>15</v>
      </c>
    </row>
    <row r="13" spans="1:10">
      <c r="A13" s="37" t="s">
        <v>15</v>
      </c>
      <c r="B13" s="88">
        <v>10</v>
      </c>
      <c r="C13" s="88">
        <v>37</v>
      </c>
      <c r="E13" s="88">
        <v>6</v>
      </c>
      <c r="F13" s="88">
        <v>53</v>
      </c>
      <c r="I13" s="37" t="s">
        <v>63</v>
      </c>
      <c r="J13" s="88">
        <v>11</v>
      </c>
    </row>
    <row r="14" spans="1:10">
      <c r="A14" s="37" t="s">
        <v>70</v>
      </c>
      <c r="B14" s="88">
        <v>18</v>
      </c>
      <c r="C14" s="88">
        <v>6</v>
      </c>
      <c r="F14" s="88">
        <v>24</v>
      </c>
      <c r="I14" s="37" t="s">
        <v>66</v>
      </c>
      <c r="J14" s="88">
        <v>11</v>
      </c>
    </row>
    <row r="15" spans="1:10">
      <c r="A15" s="37" t="s">
        <v>31</v>
      </c>
      <c r="B15" s="88">
        <v>17</v>
      </c>
      <c r="C15" s="88">
        <v>38</v>
      </c>
      <c r="E15" s="88">
        <v>6</v>
      </c>
      <c r="F15" s="88">
        <v>61</v>
      </c>
      <c r="I15" s="37" t="s">
        <v>69</v>
      </c>
      <c r="J15" s="88">
        <v>9</v>
      </c>
    </row>
    <row r="16" spans="1:10">
      <c r="A16" s="37" t="s">
        <v>21</v>
      </c>
      <c r="B16" s="88">
        <v>251</v>
      </c>
      <c r="C16" s="88">
        <v>187</v>
      </c>
      <c r="D16" s="88">
        <v>1</v>
      </c>
      <c r="E16" s="88">
        <v>141</v>
      </c>
      <c r="F16" s="88">
        <v>580</v>
      </c>
      <c r="I16" s="37" t="s">
        <v>72</v>
      </c>
      <c r="J16" s="88">
        <v>8</v>
      </c>
    </row>
    <row r="17" spans="1:10">
      <c r="A17"/>
      <c r="B17"/>
      <c r="C17"/>
      <c r="D17"/>
      <c r="E17"/>
      <c r="F17"/>
      <c r="I17" s="37" t="s">
        <v>77</v>
      </c>
      <c r="J17" s="88">
        <v>8</v>
      </c>
    </row>
    <row r="18" spans="1:10">
      <c r="A18"/>
      <c r="B18"/>
      <c r="C18"/>
      <c r="D18"/>
      <c r="E18"/>
      <c r="F18"/>
      <c r="I18" s="37" t="s">
        <v>74</v>
      </c>
      <c r="J18" s="88">
        <v>8</v>
      </c>
    </row>
    <row r="19" spans="1:10">
      <c r="A19"/>
      <c r="B19"/>
      <c r="C19"/>
      <c r="D19"/>
      <c r="E19"/>
      <c r="F19"/>
      <c r="I19" s="37" t="s">
        <v>80</v>
      </c>
      <c r="J19" s="88">
        <v>7</v>
      </c>
    </row>
    <row r="20" spans="1:10">
      <c r="A20"/>
      <c r="B20"/>
      <c r="C20"/>
      <c r="D20"/>
      <c r="E20"/>
      <c r="F20"/>
      <c r="I20" s="37" t="s">
        <v>82</v>
      </c>
      <c r="J20" s="88">
        <v>5</v>
      </c>
    </row>
    <row r="21" spans="1:10">
      <c r="I21" s="37" t="s">
        <v>85</v>
      </c>
      <c r="J21" s="88">
        <v>3</v>
      </c>
    </row>
    <row r="22" spans="1:10">
      <c r="I22" s="37" t="s">
        <v>87</v>
      </c>
      <c r="J22" s="88">
        <v>2</v>
      </c>
    </row>
    <row r="23" spans="1:10">
      <c r="I23" s="37" t="s">
        <v>21</v>
      </c>
      <c r="J23" s="88">
        <v>282</v>
      </c>
    </row>
    <row r="24" spans="1:10">
      <c r="I24"/>
      <c r="J24"/>
    </row>
    <row r="25" spans="1:10">
      <c r="I25"/>
      <c r="J25"/>
    </row>
    <row r="26" spans="1:10">
      <c r="A26" s="88" t="s">
        <v>0</v>
      </c>
      <c r="B26" s="88" t="s">
        <v>1</v>
      </c>
      <c r="I26"/>
      <c r="J26"/>
    </row>
    <row r="27" spans="1:10">
      <c r="A27" s="35" t="s">
        <v>139</v>
      </c>
      <c r="B27" s="37">
        <v>0</v>
      </c>
      <c r="I27"/>
      <c r="J27"/>
    </row>
    <row r="28" spans="1:10"/>
    <row r="29" spans="1:10">
      <c r="B29" s="35"/>
      <c r="C29" s="35" t="s">
        <v>22</v>
      </c>
      <c r="E29"/>
      <c r="F29"/>
      <c r="G29"/>
      <c r="H29"/>
    </row>
    <row r="30" spans="1:10" ht="15" customHeight="1">
      <c r="A30" s="35" t="s">
        <v>4</v>
      </c>
      <c r="B30" s="35" t="s">
        <v>28</v>
      </c>
      <c r="C30" s="35" t="s">
        <v>136</v>
      </c>
      <c r="D30" s="35" t="s">
        <v>29</v>
      </c>
      <c r="E30"/>
      <c r="F30"/>
      <c r="G30"/>
      <c r="H30"/>
    </row>
    <row r="31" spans="1:10" ht="15" customHeight="1">
      <c r="A31" s="35" t="s">
        <v>38</v>
      </c>
      <c r="B31" s="35" t="s">
        <v>122</v>
      </c>
      <c r="C31" s="88">
        <v>2</v>
      </c>
      <c r="D31" s="82">
        <v>0</v>
      </c>
      <c r="E31"/>
      <c r="F31"/>
      <c r="G31"/>
      <c r="H31"/>
    </row>
    <row r="32" spans="1:10" ht="15" customHeight="1">
      <c r="B32" s="35" t="s">
        <v>132</v>
      </c>
      <c r="C32" s="88">
        <v>1</v>
      </c>
      <c r="D32" s="82">
        <v>0</v>
      </c>
      <c r="E32"/>
      <c r="F32"/>
      <c r="G32"/>
      <c r="H32"/>
    </row>
    <row r="33" spans="1:8" ht="15" customHeight="1">
      <c r="A33" s="35" t="s">
        <v>51</v>
      </c>
      <c r="B33" s="35" t="s">
        <v>134</v>
      </c>
      <c r="C33" s="88">
        <v>4</v>
      </c>
      <c r="D33" s="82">
        <v>0</v>
      </c>
      <c r="E33"/>
      <c r="F33"/>
      <c r="G33"/>
      <c r="H33"/>
    </row>
    <row r="34" spans="1:8" ht="15" customHeight="1">
      <c r="B34" s="35" t="s">
        <v>109</v>
      </c>
      <c r="C34" s="88">
        <v>1</v>
      </c>
      <c r="D34" s="82">
        <v>0</v>
      </c>
      <c r="E34"/>
      <c r="F34"/>
      <c r="G34"/>
      <c r="H34"/>
    </row>
    <row r="35" spans="1:8" ht="15" customHeight="1">
      <c r="B35" s="35" t="s">
        <v>133</v>
      </c>
      <c r="C35" s="88">
        <v>5</v>
      </c>
      <c r="D35" s="82">
        <v>0</v>
      </c>
      <c r="E35"/>
      <c r="F35"/>
      <c r="G35"/>
      <c r="H35"/>
    </row>
    <row r="36" spans="1:8" ht="15" customHeight="1">
      <c r="A36" s="35" t="s">
        <v>41</v>
      </c>
      <c r="B36" s="35" t="s">
        <v>129</v>
      </c>
      <c r="C36" s="88">
        <v>1</v>
      </c>
      <c r="D36" s="82">
        <v>0</v>
      </c>
      <c r="E36"/>
      <c r="F36"/>
      <c r="G36"/>
      <c r="H36"/>
    </row>
    <row r="37" spans="1:8" ht="15" customHeight="1">
      <c r="B37" s="35" t="s">
        <v>127</v>
      </c>
      <c r="C37" s="88">
        <v>1</v>
      </c>
      <c r="D37" s="82">
        <v>0</v>
      </c>
      <c r="E37"/>
      <c r="F37"/>
      <c r="G37"/>
      <c r="H37"/>
    </row>
    <row r="38" spans="1:8" ht="15" customHeight="1">
      <c r="B38" s="35" t="s">
        <v>113</v>
      </c>
      <c r="C38" s="88">
        <v>1</v>
      </c>
      <c r="D38" s="82">
        <v>0</v>
      </c>
      <c r="E38"/>
      <c r="F38"/>
      <c r="G38"/>
      <c r="H38"/>
    </row>
    <row r="39" spans="1:8" ht="15" customHeight="1">
      <c r="A39" s="35" t="s">
        <v>15</v>
      </c>
      <c r="B39" s="35" t="s">
        <v>135</v>
      </c>
      <c r="C39" s="88">
        <v>6</v>
      </c>
      <c r="D39" s="82">
        <v>0</v>
      </c>
      <c r="E39"/>
      <c r="F39"/>
      <c r="G39"/>
      <c r="H39"/>
    </row>
    <row r="40" spans="1:8" ht="15" customHeight="1">
      <c r="A40" s="35" t="s">
        <v>31</v>
      </c>
      <c r="B40" s="35" t="s">
        <v>58</v>
      </c>
      <c r="C40" s="88">
        <v>4</v>
      </c>
      <c r="D40" s="82">
        <v>0</v>
      </c>
      <c r="E40"/>
      <c r="F40"/>
      <c r="G40"/>
      <c r="H40"/>
    </row>
    <row r="41" spans="1:8" ht="15" customHeight="1">
      <c r="A41" s="35" t="s">
        <v>21</v>
      </c>
      <c r="B41" s="35"/>
      <c r="C41" s="88">
        <v>26</v>
      </c>
      <c r="D41" s="82">
        <v>0</v>
      </c>
      <c r="E41"/>
      <c r="F41"/>
      <c r="G41"/>
      <c r="H41"/>
    </row>
    <row r="42" spans="1:8" ht="15" customHeight="1">
      <c r="A42"/>
      <c r="B42"/>
      <c r="C42"/>
      <c r="D42"/>
      <c r="E42"/>
      <c r="F42"/>
      <c r="G42"/>
      <c r="H42"/>
    </row>
    <row r="43" spans="1:8" ht="15" customHeight="1">
      <c r="A43"/>
      <c r="B43"/>
      <c r="C43"/>
      <c r="D43"/>
      <c r="E43"/>
      <c r="F43"/>
      <c r="G43"/>
      <c r="H43"/>
    </row>
    <row r="44" spans="1:8" ht="15" customHeight="1">
      <c r="A44"/>
      <c r="B44"/>
      <c r="C44"/>
      <c r="D44"/>
      <c r="E44"/>
      <c r="F44"/>
      <c r="G44"/>
      <c r="H44"/>
    </row>
    <row r="45" spans="1:8" ht="15" customHeight="1">
      <c r="A45"/>
      <c r="B45"/>
      <c r="C45"/>
      <c r="D45"/>
      <c r="E45"/>
      <c r="F45"/>
      <c r="G45"/>
      <c r="H45"/>
    </row>
    <row r="46" spans="1:8" ht="15" customHeight="1">
      <c r="A46"/>
      <c r="B46"/>
      <c r="C46"/>
      <c r="D46"/>
      <c r="E46"/>
      <c r="F46"/>
      <c r="G46"/>
      <c r="H46"/>
    </row>
    <row r="47" spans="1:8" ht="15" customHeight="1">
      <c r="A47"/>
      <c r="B47"/>
      <c r="C47"/>
      <c r="D47"/>
      <c r="E47"/>
      <c r="F47"/>
      <c r="G47"/>
      <c r="H47"/>
    </row>
    <row r="48" spans="1:8" ht="15" customHeight="1">
      <c r="A48"/>
      <c r="B48"/>
      <c r="C48"/>
      <c r="D48"/>
      <c r="E48"/>
      <c r="F48"/>
      <c r="G48"/>
      <c r="H48"/>
    </row>
    <row r="49" spans="1:8" ht="15" customHeight="1">
      <c r="A49"/>
      <c r="B49"/>
      <c r="C49"/>
      <c r="D49"/>
      <c r="E49"/>
      <c r="F49"/>
      <c r="G49"/>
      <c r="H49"/>
    </row>
    <row r="50" spans="1:8" ht="15" customHeight="1">
      <c r="A50"/>
      <c r="B50"/>
      <c r="C50"/>
      <c r="D50"/>
      <c r="E50"/>
      <c r="F50"/>
      <c r="G50"/>
      <c r="H50"/>
    </row>
    <row r="51" spans="1:8" ht="15" customHeight="1">
      <c r="A51"/>
      <c r="B51"/>
      <c r="C51"/>
      <c r="D51"/>
      <c r="E51"/>
      <c r="F51"/>
      <c r="G51"/>
      <c r="H51"/>
    </row>
    <row r="52" spans="1:8" ht="15" customHeight="1">
      <c r="A52"/>
      <c r="B52"/>
      <c r="C52"/>
      <c r="D52"/>
      <c r="E52"/>
      <c r="F52"/>
      <c r="G52"/>
      <c r="H52"/>
    </row>
    <row r="53" spans="1:8" ht="15" customHeight="1">
      <c r="A53"/>
      <c r="B53"/>
      <c r="C53"/>
      <c r="D53"/>
      <c r="E53"/>
      <c r="F53"/>
      <c r="G53"/>
      <c r="H53"/>
    </row>
    <row r="54" spans="1:8" ht="15" customHeight="1">
      <c r="A54"/>
      <c r="B54"/>
      <c r="C54"/>
      <c r="D54"/>
      <c r="E54"/>
      <c r="F54"/>
      <c r="G54"/>
      <c r="H54"/>
    </row>
    <row r="55" spans="1:8" ht="15" customHeight="1">
      <c r="A55"/>
      <c r="B55"/>
      <c r="C55"/>
      <c r="D55"/>
      <c r="E55"/>
      <c r="F55"/>
      <c r="G55"/>
      <c r="H55"/>
    </row>
    <row r="56" spans="1:8" ht="15" customHeight="1">
      <c r="A56"/>
      <c r="B56"/>
      <c r="C56"/>
      <c r="D56"/>
      <c r="E56"/>
      <c r="F56"/>
      <c r="G56"/>
      <c r="H56"/>
    </row>
    <row r="57" spans="1:8" ht="15" customHeight="1">
      <c r="A57"/>
      <c r="B57"/>
      <c r="C57"/>
      <c r="D57"/>
      <c r="E57"/>
      <c r="F57"/>
      <c r="G57"/>
      <c r="H57"/>
    </row>
    <row r="58" spans="1:8" ht="15" customHeight="1">
      <c r="A58"/>
      <c r="B58"/>
      <c r="C58"/>
      <c r="D58"/>
      <c r="E58"/>
      <c r="F58"/>
      <c r="G58"/>
      <c r="H58"/>
    </row>
    <row r="59" spans="1:8" ht="15" customHeight="1">
      <c r="A59"/>
      <c r="B59"/>
      <c r="C59"/>
      <c r="D59"/>
      <c r="E59"/>
      <c r="F59"/>
      <c r="G59"/>
      <c r="H59"/>
    </row>
    <row r="60" spans="1:8" ht="15" customHeight="1">
      <c r="A60"/>
      <c r="B60"/>
      <c r="C60"/>
      <c r="D60"/>
      <c r="E60"/>
      <c r="F60"/>
      <c r="G60"/>
      <c r="H60"/>
    </row>
    <row r="61" spans="1:8" ht="15" customHeight="1">
      <c r="A61"/>
      <c r="B61"/>
      <c r="C61"/>
      <c r="D61"/>
      <c r="E61"/>
      <c r="F61"/>
      <c r="G61"/>
      <c r="H61"/>
    </row>
    <row r="62" spans="1:8" ht="15" customHeight="1">
      <c r="A62"/>
      <c r="B62"/>
      <c r="C62"/>
      <c r="D62"/>
      <c r="E62"/>
      <c r="F62"/>
      <c r="G62"/>
      <c r="H62"/>
    </row>
    <row r="63" spans="1:8" ht="15" customHeight="1">
      <c r="A63"/>
      <c r="B63"/>
      <c r="C63"/>
      <c r="D63"/>
      <c r="E63"/>
      <c r="F63"/>
      <c r="G63"/>
      <c r="H63"/>
    </row>
    <row r="64" spans="1:8" ht="15" customHeight="1">
      <c r="A64"/>
      <c r="B64"/>
      <c r="C64"/>
      <c r="D64"/>
      <c r="E64"/>
      <c r="F64"/>
      <c r="G64"/>
      <c r="H64"/>
    </row>
    <row r="65" spans="1:8" ht="15" customHeight="1">
      <c r="A65"/>
      <c r="B65"/>
      <c r="C65"/>
      <c r="D65"/>
      <c r="E65"/>
      <c r="F65"/>
      <c r="G65"/>
      <c r="H65"/>
    </row>
    <row r="66" spans="1:8" ht="15" customHeight="1">
      <c r="A66"/>
      <c r="B66"/>
      <c r="C66"/>
      <c r="D66"/>
      <c r="E66"/>
      <c r="F66"/>
      <c r="G66"/>
      <c r="H66"/>
    </row>
    <row r="67" spans="1:8" ht="15" customHeight="1">
      <c r="A67"/>
      <c r="B67"/>
      <c r="C67"/>
      <c r="D67"/>
      <c r="E67"/>
      <c r="F67"/>
      <c r="G67"/>
      <c r="H67"/>
    </row>
    <row r="68" spans="1:8" ht="15" customHeight="1">
      <c r="A68"/>
      <c r="B68"/>
      <c r="C68"/>
      <c r="D68"/>
      <c r="E68"/>
      <c r="F68"/>
      <c r="G68"/>
      <c r="H68"/>
    </row>
    <row r="69" spans="1:8" ht="15" customHeight="1">
      <c r="A69"/>
      <c r="B69"/>
      <c r="C69"/>
      <c r="D69"/>
      <c r="E69"/>
      <c r="F69"/>
      <c r="G69"/>
      <c r="H69"/>
    </row>
    <row r="70" spans="1:8" ht="15" customHeight="1">
      <c r="A70"/>
      <c r="B70"/>
      <c r="C70"/>
      <c r="D70"/>
      <c r="E70"/>
      <c r="F70"/>
      <c r="G70"/>
      <c r="H70"/>
    </row>
    <row r="71" spans="1:8" ht="15" customHeight="1">
      <c r="A71"/>
      <c r="B71"/>
      <c r="C71"/>
      <c r="D71"/>
      <c r="E71"/>
      <c r="F71"/>
      <c r="G71"/>
      <c r="H71"/>
    </row>
    <row r="72" spans="1:8" ht="15" customHeight="1">
      <c r="A72"/>
      <c r="B72"/>
      <c r="C72"/>
      <c r="D72"/>
      <c r="E72"/>
      <c r="F72"/>
      <c r="G72"/>
      <c r="H72"/>
    </row>
    <row r="73" spans="1:8" ht="15" customHeight="1">
      <c r="A73"/>
      <c r="B73"/>
      <c r="C73"/>
      <c r="D73"/>
      <c r="E73"/>
      <c r="F73"/>
      <c r="G73"/>
      <c r="H73"/>
    </row>
    <row r="74" spans="1:8" ht="15" customHeight="1">
      <c r="A74"/>
      <c r="B74"/>
      <c r="C74"/>
      <c r="D74"/>
      <c r="E74"/>
      <c r="F74"/>
      <c r="G74"/>
      <c r="H74"/>
    </row>
    <row r="75" spans="1:8" ht="15" customHeight="1">
      <c r="A75"/>
      <c r="B75"/>
      <c r="C75"/>
      <c r="D75"/>
      <c r="E75"/>
      <c r="F75"/>
      <c r="G75"/>
      <c r="H75"/>
    </row>
    <row r="76" spans="1:8" ht="15" customHeight="1">
      <c r="A76"/>
      <c r="B76"/>
      <c r="C76"/>
      <c r="D76"/>
      <c r="E76"/>
      <c r="F76"/>
      <c r="G76"/>
      <c r="H76"/>
    </row>
    <row r="77" spans="1:8" ht="15" customHeight="1">
      <c r="A77"/>
      <c r="B77"/>
      <c r="C77"/>
      <c r="D77"/>
      <c r="E77"/>
      <c r="F77"/>
      <c r="G77"/>
      <c r="H77"/>
    </row>
    <row r="78" spans="1:8" ht="15" customHeight="1">
      <c r="A78"/>
      <c r="B78"/>
      <c r="C78"/>
      <c r="D78"/>
      <c r="E78"/>
      <c r="F78"/>
      <c r="G78"/>
      <c r="H78"/>
    </row>
    <row r="79" spans="1:8" ht="15" customHeight="1">
      <c r="A79"/>
      <c r="B79"/>
      <c r="C79"/>
      <c r="D79"/>
      <c r="E79"/>
      <c r="F79"/>
      <c r="G79"/>
      <c r="H79"/>
    </row>
    <row r="80" spans="1:8" ht="15" customHeight="1">
      <c r="A80"/>
      <c r="B80"/>
      <c r="C80"/>
      <c r="D80"/>
      <c r="E80"/>
      <c r="F80"/>
      <c r="G80"/>
      <c r="H80"/>
    </row>
    <row r="81" spans="1:8" ht="15" customHeight="1">
      <c r="A81"/>
      <c r="B81"/>
      <c r="C81"/>
      <c r="D81"/>
      <c r="E81"/>
      <c r="F81"/>
      <c r="G81"/>
      <c r="H81"/>
    </row>
    <row r="82" spans="1:8" ht="15" customHeight="1">
      <c r="A82"/>
      <c r="B82"/>
      <c r="C82"/>
      <c r="D82"/>
      <c r="E82"/>
      <c r="F82"/>
      <c r="G82"/>
      <c r="H82"/>
    </row>
    <row r="83" spans="1:8" ht="15" customHeight="1">
      <c r="A83"/>
      <c r="B83"/>
      <c r="C83"/>
      <c r="D83"/>
      <c r="E83"/>
      <c r="F83"/>
      <c r="G83"/>
      <c r="H83"/>
    </row>
    <row r="84" spans="1:8" ht="15" customHeight="1">
      <c r="A84"/>
      <c r="B84"/>
      <c r="C84"/>
      <c r="D84"/>
      <c r="E84"/>
      <c r="F84"/>
      <c r="G84"/>
      <c r="H84"/>
    </row>
    <row r="85" spans="1:8" ht="15" customHeight="1">
      <c r="A85"/>
      <c r="B85"/>
      <c r="C85"/>
      <c r="D85"/>
      <c r="E85"/>
      <c r="F85"/>
      <c r="G85"/>
      <c r="H85"/>
    </row>
    <row r="86" spans="1:8" ht="15" customHeight="1">
      <c r="A86"/>
      <c r="B86"/>
      <c r="C86"/>
      <c r="D86"/>
      <c r="E86"/>
      <c r="F86"/>
      <c r="G86"/>
      <c r="H86"/>
    </row>
    <row r="87" spans="1:8" ht="15" customHeight="1">
      <c r="A87"/>
      <c r="B87"/>
      <c r="C87"/>
      <c r="D87"/>
      <c r="E87"/>
      <c r="F87"/>
      <c r="G87"/>
      <c r="H87"/>
    </row>
    <row r="88" spans="1:8" ht="15" customHeight="1">
      <c r="A88"/>
      <c r="B88"/>
      <c r="C88"/>
      <c r="D88"/>
      <c r="E88"/>
      <c r="F88"/>
      <c r="G88"/>
      <c r="H88"/>
    </row>
    <row r="89" spans="1:8" ht="15" customHeight="1">
      <c r="A89"/>
      <c r="B89"/>
      <c r="C89"/>
      <c r="D89"/>
      <c r="E89"/>
      <c r="F89"/>
      <c r="G89"/>
      <c r="H89"/>
    </row>
    <row r="90" spans="1:8" ht="15" customHeight="1">
      <c r="A90"/>
      <c r="B90"/>
      <c r="C90"/>
      <c r="D90"/>
      <c r="E90"/>
      <c r="F90"/>
      <c r="G90"/>
      <c r="H90"/>
    </row>
    <row r="91" spans="1:8" ht="15" customHeight="1">
      <c r="A91"/>
      <c r="B91"/>
      <c r="C91"/>
      <c r="D91"/>
      <c r="E91"/>
      <c r="F91"/>
      <c r="G91"/>
      <c r="H91"/>
    </row>
    <row r="92" spans="1:8" ht="15" customHeight="1">
      <c r="A92"/>
      <c r="B92"/>
      <c r="C92"/>
      <c r="D92"/>
      <c r="E92"/>
      <c r="F92"/>
      <c r="G92"/>
      <c r="H92"/>
    </row>
    <row r="93" spans="1:8" ht="15" customHeight="1">
      <c r="A93"/>
      <c r="B93"/>
      <c r="C93"/>
      <c r="D93"/>
      <c r="E93"/>
      <c r="F93"/>
      <c r="G93"/>
      <c r="H93"/>
    </row>
    <row r="94" spans="1:8" ht="15" customHeight="1">
      <c r="A94"/>
      <c r="B94"/>
      <c r="C94"/>
      <c r="D94"/>
      <c r="E94"/>
      <c r="F94"/>
      <c r="G94"/>
      <c r="H94"/>
    </row>
    <row r="95" spans="1:8" ht="15" customHeight="1">
      <c r="A95"/>
      <c r="B95"/>
      <c r="C95"/>
      <c r="D95"/>
      <c r="E95"/>
      <c r="F95"/>
      <c r="G95"/>
      <c r="H95"/>
    </row>
    <row r="96" spans="1:8" ht="15" customHeight="1">
      <c r="A96"/>
      <c r="B96"/>
      <c r="C96"/>
      <c r="D96"/>
      <c r="E96"/>
      <c r="F96"/>
      <c r="G96"/>
      <c r="H96"/>
    </row>
    <row r="97" spans="1:8" ht="15" customHeight="1">
      <c r="A97"/>
      <c r="B97"/>
      <c r="C97"/>
      <c r="D97"/>
      <c r="E97"/>
      <c r="F97"/>
      <c r="G97"/>
      <c r="H97"/>
    </row>
    <row r="98" spans="1:8" ht="15" customHeight="1">
      <c r="A98"/>
      <c r="B98"/>
      <c r="C98"/>
      <c r="D98"/>
      <c r="E98"/>
      <c r="F98"/>
      <c r="G98"/>
      <c r="H98"/>
    </row>
    <row r="99" spans="1:8" ht="15" customHeight="1">
      <c r="A99"/>
      <c r="B99"/>
      <c r="C99"/>
      <c r="D99"/>
      <c r="E99"/>
      <c r="F99"/>
      <c r="G99"/>
      <c r="H99"/>
    </row>
    <row r="100" spans="1:8" ht="15" customHeight="1">
      <c r="A100"/>
      <c r="B100"/>
      <c r="C100"/>
      <c r="D100"/>
      <c r="E100"/>
      <c r="F100"/>
      <c r="G100"/>
      <c r="H100"/>
    </row>
    <row r="101" spans="1:8" ht="15" customHeight="1">
      <c r="A101"/>
      <c r="B101"/>
      <c r="C101"/>
      <c r="D101"/>
      <c r="E101"/>
      <c r="F101"/>
      <c r="G101"/>
      <c r="H101"/>
    </row>
    <row r="102" spans="1:8" ht="15" customHeight="1">
      <c r="A102"/>
      <c r="B102"/>
      <c r="C102"/>
      <c r="D102"/>
      <c r="E102"/>
      <c r="F102"/>
      <c r="G102"/>
      <c r="H102"/>
    </row>
    <row r="103" spans="1:8" ht="15" customHeight="1">
      <c r="A103"/>
      <c r="B103"/>
      <c r="C103"/>
      <c r="D103"/>
      <c r="E103"/>
      <c r="F103"/>
      <c r="G103"/>
      <c r="H103"/>
    </row>
    <row r="104" spans="1:8" ht="15" customHeight="1">
      <c r="A104"/>
      <c r="B104"/>
      <c r="C104"/>
      <c r="D104"/>
      <c r="E104"/>
      <c r="F104"/>
      <c r="G104"/>
      <c r="H104"/>
    </row>
    <row r="105" spans="1:8" ht="15" customHeight="1">
      <c r="A105"/>
      <c r="B105"/>
      <c r="C105"/>
      <c r="D105"/>
      <c r="E105"/>
      <c r="F105"/>
      <c r="G105"/>
      <c r="H105"/>
    </row>
    <row r="106" spans="1:8" ht="15" customHeight="1">
      <c r="A106"/>
      <c r="B106"/>
      <c r="C106"/>
      <c r="D106"/>
      <c r="E106"/>
      <c r="F106"/>
      <c r="G106"/>
      <c r="H106"/>
    </row>
    <row r="107" spans="1:8" ht="15" customHeight="1">
      <c r="A107"/>
      <c r="B107"/>
      <c r="C107"/>
      <c r="D107"/>
      <c r="E107"/>
      <c r="F107"/>
      <c r="G107"/>
      <c r="H107"/>
    </row>
    <row r="108" spans="1:8" ht="15" customHeight="1">
      <c r="A108"/>
      <c r="B108"/>
      <c r="C108"/>
      <c r="D108"/>
      <c r="E108"/>
      <c r="F108"/>
      <c r="G108"/>
      <c r="H108"/>
    </row>
    <row r="109" spans="1:8" ht="15" customHeight="1">
      <c r="A109"/>
      <c r="B109"/>
      <c r="C109"/>
      <c r="D109"/>
      <c r="E109"/>
      <c r="F109"/>
      <c r="G109"/>
      <c r="H109"/>
    </row>
    <row r="110" spans="1:8" ht="15" customHeight="1">
      <c r="A110"/>
      <c r="B110"/>
      <c r="C110"/>
      <c r="D110"/>
      <c r="E110"/>
      <c r="F110"/>
      <c r="G110"/>
      <c r="H110"/>
    </row>
    <row r="111" spans="1:8" ht="15" customHeight="1">
      <c r="A111"/>
      <c r="B111"/>
      <c r="C111"/>
      <c r="D111"/>
      <c r="E111"/>
      <c r="F111"/>
      <c r="G111"/>
      <c r="H111"/>
    </row>
    <row r="112" spans="1:8" ht="15" customHeight="1">
      <c r="A112"/>
      <c r="B112"/>
      <c r="C112"/>
      <c r="D112"/>
      <c r="E112"/>
      <c r="F112"/>
      <c r="G112"/>
      <c r="H112"/>
    </row>
    <row r="113" spans="1:8" ht="15" customHeight="1">
      <c r="A113"/>
      <c r="B113"/>
      <c r="C113"/>
      <c r="D113"/>
      <c r="E113"/>
      <c r="F113"/>
      <c r="G113"/>
      <c r="H113"/>
    </row>
    <row r="114" spans="1:8" ht="15" customHeight="1">
      <c r="A114"/>
      <c r="B114"/>
      <c r="C114"/>
      <c r="D114"/>
      <c r="E114"/>
      <c r="F114"/>
      <c r="G114"/>
      <c r="H114"/>
    </row>
    <row r="115" spans="1:8" ht="15" customHeight="1">
      <c r="A115"/>
      <c r="B115"/>
      <c r="C115"/>
      <c r="D115"/>
      <c r="E115"/>
      <c r="F115"/>
      <c r="G115"/>
      <c r="H115"/>
    </row>
    <row r="116" spans="1:8" ht="15" customHeight="1">
      <c r="A116"/>
      <c r="B116"/>
      <c r="C116"/>
      <c r="D116"/>
      <c r="E116"/>
      <c r="F116"/>
      <c r="G116"/>
      <c r="H116"/>
    </row>
    <row r="117" spans="1:8" ht="15" customHeight="1">
      <c r="A117"/>
      <c r="B117"/>
      <c r="C117"/>
      <c r="D117"/>
      <c r="E117"/>
      <c r="F117"/>
      <c r="G117"/>
      <c r="H117"/>
    </row>
    <row r="118" spans="1:8" ht="15" customHeight="1">
      <c r="A118"/>
      <c r="B118"/>
      <c r="C118"/>
      <c r="D118"/>
      <c r="E118"/>
      <c r="F118"/>
      <c r="G118"/>
      <c r="H118"/>
    </row>
    <row r="119" spans="1:8" ht="15" customHeight="1">
      <c r="A119"/>
      <c r="B119"/>
      <c r="C119"/>
      <c r="D119"/>
      <c r="E119"/>
      <c r="F119"/>
      <c r="G119"/>
      <c r="H119"/>
    </row>
    <row r="120" spans="1:8" ht="15" customHeight="1">
      <c r="A120"/>
      <c r="B120"/>
      <c r="C120"/>
      <c r="D120"/>
      <c r="E120"/>
      <c r="F120"/>
      <c r="G120"/>
      <c r="H120"/>
    </row>
    <row r="121" spans="1:8" ht="15" customHeight="1">
      <c r="A121"/>
      <c r="B121"/>
      <c r="C121"/>
      <c r="D121"/>
      <c r="E121"/>
      <c r="F121"/>
      <c r="G121"/>
      <c r="H121"/>
    </row>
    <row r="122" spans="1:8" ht="15" customHeight="1">
      <c r="A122"/>
      <c r="B122"/>
      <c r="C122"/>
      <c r="D122"/>
      <c r="E122"/>
      <c r="F122"/>
      <c r="G122"/>
      <c r="H122"/>
    </row>
    <row r="123" spans="1:8" ht="15" customHeight="1">
      <c r="A123"/>
      <c r="B123"/>
      <c r="C123"/>
      <c r="D123"/>
      <c r="E123"/>
      <c r="F123"/>
      <c r="G123"/>
      <c r="H123"/>
    </row>
    <row r="124" spans="1:8" ht="15" customHeight="1">
      <c r="A124"/>
      <c r="B124"/>
      <c r="C124"/>
      <c r="D124"/>
      <c r="E124"/>
      <c r="F124"/>
      <c r="G124"/>
      <c r="H124"/>
    </row>
    <row r="125" spans="1:8" ht="15" customHeight="1">
      <c r="A125"/>
      <c r="B125"/>
      <c r="C125"/>
      <c r="D125"/>
      <c r="E125"/>
      <c r="F125"/>
      <c r="G125"/>
      <c r="H125"/>
    </row>
    <row r="126" spans="1:8" ht="15" customHeight="1">
      <c r="A126"/>
      <c r="B126"/>
      <c r="C126"/>
      <c r="D126"/>
      <c r="E126"/>
      <c r="F126"/>
      <c r="G126"/>
      <c r="H126"/>
    </row>
    <row r="127" spans="1:8" ht="15" customHeight="1">
      <c r="A127"/>
      <c r="B127"/>
      <c r="C127"/>
      <c r="D127"/>
      <c r="E127"/>
      <c r="F127"/>
      <c r="G127"/>
      <c r="H127"/>
    </row>
    <row r="128" spans="1:8" ht="15" customHeight="1">
      <c r="A128"/>
      <c r="B128"/>
      <c r="C128"/>
      <c r="D128"/>
      <c r="E128"/>
      <c r="F128"/>
      <c r="G128"/>
      <c r="H128"/>
    </row>
    <row r="129" spans="1:8" ht="15" customHeight="1">
      <c r="A129"/>
      <c r="B129"/>
      <c r="C129"/>
      <c r="D129"/>
      <c r="E129"/>
      <c r="F129"/>
      <c r="G129"/>
      <c r="H129"/>
    </row>
    <row r="130" spans="1:8" ht="15" customHeight="1">
      <c r="A130"/>
      <c r="B130"/>
      <c r="C130"/>
      <c r="D130"/>
      <c r="E130"/>
      <c r="F130"/>
      <c r="G130"/>
      <c r="H130"/>
    </row>
    <row r="131" spans="1:8" ht="15" customHeight="1">
      <c r="A131"/>
      <c r="B131"/>
      <c r="C131"/>
      <c r="D131"/>
      <c r="E131"/>
      <c r="F131"/>
      <c r="G131"/>
      <c r="H131"/>
    </row>
    <row r="132" spans="1:8" ht="15" customHeight="1">
      <c r="A132"/>
      <c r="B132"/>
      <c r="C132"/>
      <c r="D132"/>
      <c r="E132"/>
      <c r="F132"/>
      <c r="G132"/>
      <c r="H132"/>
    </row>
    <row r="133" spans="1:8" ht="15" customHeight="1">
      <c r="A133"/>
      <c r="B133"/>
      <c r="C133"/>
      <c r="D133"/>
      <c r="E133"/>
      <c r="F133"/>
      <c r="G133"/>
      <c r="H133"/>
    </row>
    <row r="134" spans="1:8" ht="15" customHeight="1">
      <c r="A134"/>
      <c r="B134"/>
      <c r="C134"/>
      <c r="D134"/>
      <c r="E134"/>
      <c r="F134"/>
      <c r="G134"/>
      <c r="H134"/>
    </row>
    <row r="135" spans="1:8" ht="15" customHeight="1">
      <c r="A135"/>
      <c r="B135"/>
      <c r="C135"/>
      <c r="D135"/>
      <c r="E135"/>
      <c r="F135"/>
      <c r="G135"/>
      <c r="H135"/>
    </row>
    <row r="136" spans="1:8" ht="15" customHeight="1">
      <c r="A136"/>
      <c r="B136"/>
      <c r="C136"/>
      <c r="D136"/>
      <c r="E136"/>
      <c r="F136"/>
      <c r="G136"/>
      <c r="H136"/>
    </row>
    <row r="137" spans="1:8" ht="15" customHeight="1">
      <c r="A137"/>
      <c r="B137"/>
      <c r="C137"/>
      <c r="D137"/>
      <c r="E137"/>
      <c r="F137"/>
      <c r="G137"/>
      <c r="H137"/>
    </row>
    <row r="138" spans="1:8" ht="15" customHeight="1">
      <c r="A138"/>
      <c r="B138"/>
      <c r="C138"/>
      <c r="D138"/>
      <c r="E138"/>
      <c r="F138"/>
      <c r="G138"/>
      <c r="H138"/>
    </row>
    <row r="139" spans="1:8" ht="15" customHeight="1">
      <c r="A139"/>
      <c r="B139"/>
      <c r="C139"/>
      <c r="D139"/>
      <c r="E139"/>
      <c r="F139"/>
      <c r="G139"/>
      <c r="H139"/>
    </row>
    <row r="140" spans="1:8" ht="15" customHeight="1">
      <c r="A140"/>
      <c r="B140"/>
      <c r="C140"/>
      <c r="D140"/>
      <c r="E140"/>
      <c r="F140"/>
      <c r="G140"/>
      <c r="H140"/>
    </row>
    <row r="141" spans="1:8" ht="15" customHeight="1">
      <c r="A141"/>
      <c r="B141"/>
      <c r="C141"/>
      <c r="D141"/>
      <c r="E141"/>
      <c r="F141"/>
      <c r="G141"/>
      <c r="H141"/>
    </row>
    <row r="142" spans="1:8" ht="15" customHeight="1">
      <c r="A142"/>
      <c r="B142"/>
      <c r="C142"/>
      <c r="D142"/>
      <c r="E142"/>
      <c r="F142"/>
      <c r="G142"/>
      <c r="H142"/>
    </row>
    <row r="143" spans="1:8" ht="15" customHeight="1">
      <c r="A143"/>
      <c r="B143"/>
      <c r="C143"/>
      <c r="D143"/>
      <c r="E143"/>
      <c r="F143"/>
      <c r="G143"/>
      <c r="H143"/>
    </row>
  </sheetData>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AD040-5E80-4FCE-895F-67D1063A3201}">
  <dimension ref="A1:K2"/>
  <sheetViews>
    <sheetView workbookViewId="0">
      <selection activeCell="B6" sqref="B6"/>
    </sheetView>
  </sheetViews>
  <sheetFormatPr defaultColWidth="14.140625" defaultRowHeight="23.25" customHeight="1"/>
  <sheetData>
    <row r="1" spans="1:11" ht="31.5" customHeight="1" thickBot="1">
      <c r="A1" s="1" t="s">
        <v>140</v>
      </c>
      <c r="B1" s="2" t="s">
        <v>141</v>
      </c>
      <c r="C1" s="2" t="s">
        <v>142</v>
      </c>
      <c r="D1" s="3" t="s">
        <v>143</v>
      </c>
      <c r="E1" s="3" t="s">
        <v>144</v>
      </c>
      <c r="F1" s="3" t="s">
        <v>145</v>
      </c>
      <c r="G1" s="3" t="s">
        <v>146</v>
      </c>
      <c r="H1" s="3" t="s">
        <v>147</v>
      </c>
      <c r="I1" s="3" t="s">
        <v>148</v>
      </c>
      <c r="J1" s="3" t="s">
        <v>149</v>
      </c>
      <c r="K1" s="4" t="s">
        <v>150</v>
      </c>
    </row>
    <row r="2" spans="1:11" ht="23.25" customHeight="1">
      <c r="A2" s="5">
        <v>46111</v>
      </c>
      <c r="B2" s="5">
        <v>46134</v>
      </c>
      <c r="C2" s="5">
        <v>46140</v>
      </c>
      <c r="D2" s="5">
        <v>46147</v>
      </c>
      <c r="E2" s="5">
        <v>46147</v>
      </c>
      <c r="F2" s="6" t="s">
        <v>151</v>
      </c>
      <c r="G2" s="5">
        <v>46148</v>
      </c>
      <c r="H2" s="5">
        <v>46148</v>
      </c>
      <c r="I2" s="5">
        <v>46147</v>
      </c>
      <c r="J2" s="5">
        <v>46150</v>
      </c>
      <c r="K2" s="5">
        <v>46151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7F95E-C106-4070-8C6D-E4DB15CDF61B}">
  <dimension ref="A1:AP81"/>
  <sheetViews>
    <sheetView topLeftCell="E65" workbookViewId="0">
      <selection activeCell="E81" sqref="E81"/>
    </sheetView>
  </sheetViews>
  <sheetFormatPr defaultRowHeight="14.45"/>
  <cols>
    <col min="1" max="1" width="24.42578125" bestFit="1" customWidth="1"/>
    <col min="2" max="2" width="159.140625" bestFit="1" customWidth="1"/>
    <col min="3" max="3" width="11.5703125" bestFit="1" customWidth="1"/>
    <col min="4" max="4" width="9.42578125" bestFit="1" customWidth="1"/>
    <col min="5" max="5" width="203.5703125" bestFit="1" customWidth="1"/>
    <col min="6" max="6" width="8.85546875" bestFit="1" customWidth="1"/>
    <col min="7" max="7" width="14.7109375" bestFit="1" customWidth="1"/>
    <col min="8" max="8" width="17.42578125" bestFit="1" customWidth="1"/>
    <col min="9" max="9" width="17.140625" bestFit="1" customWidth="1"/>
    <col min="10" max="10" width="16.140625" bestFit="1" customWidth="1"/>
    <col min="11" max="11" width="95.85546875" bestFit="1" customWidth="1"/>
    <col min="12" max="12" width="22" bestFit="1" customWidth="1"/>
    <col min="13" max="13" width="12.5703125" bestFit="1" customWidth="1"/>
    <col min="14" max="14" width="23.140625" bestFit="1" customWidth="1"/>
    <col min="15" max="15" width="29.85546875" bestFit="1" customWidth="1"/>
    <col min="16" max="16" width="35.140625" bestFit="1" customWidth="1"/>
    <col min="17" max="17" width="32.140625" bestFit="1" customWidth="1"/>
    <col min="18" max="18" width="46" bestFit="1" customWidth="1"/>
    <col min="19" max="19" width="30.28515625" bestFit="1" customWidth="1"/>
    <col min="20" max="20" width="41.42578125" bestFit="1" customWidth="1"/>
    <col min="21" max="21" width="41.140625" bestFit="1" customWidth="1"/>
    <col min="22" max="22" width="14.28515625" bestFit="1" customWidth="1"/>
    <col min="23" max="23" width="11.5703125" bestFit="1" customWidth="1"/>
    <col min="24" max="24" width="12.28515625" bestFit="1" customWidth="1"/>
    <col min="25" max="25" width="10.85546875" bestFit="1" customWidth="1"/>
    <col min="26" max="26" width="36" bestFit="1" customWidth="1"/>
    <col min="27" max="27" width="26.28515625" bestFit="1" customWidth="1"/>
    <col min="28" max="28" width="28.5703125" bestFit="1" customWidth="1"/>
    <col min="29" max="29" width="28.42578125" bestFit="1" customWidth="1"/>
    <col min="30" max="30" width="39.5703125" bestFit="1" customWidth="1"/>
    <col min="31" max="31" width="39.28515625" bestFit="1" customWidth="1"/>
    <col min="32" max="32" width="13.7109375" bestFit="1" customWidth="1"/>
    <col min="33" max="33" width="9.140625" bestFit="1" customWidth="1"/>
    <col min="34" max="34" width="8.85546875" bestFit="1" customWidth="1"/>
    <col min="35" max="35" width="9.85546875" bestFit="1" customWidth="1"/>
    <col min="36" max="36" width="9.7109375" bestFit="1" customWidth="1"/>
    <col min="37" max="37" width="8.85546875" bestFit="1" customWidth="1"/>
    <col min="38" max="38" width="13.28515625" bestFit="1" customWidth="1"/>
    <col min="39" max="39" width="8.85546875" bestFit="1" customWidth="1"/>
    <col min="40" max="40" width="30.42578125" bestFit="1" customWidth="1"/>
    <col min="41" max="41" width="25.28515625" bestFit="1" customWidth="1"/>
    <col min="42" max="42" width="20.5703125" bestFit="1" customWidth="1"/>
  </cols>
  <sheetData>
    <row r="1" spans="1:42">
      <c r="A1" s="193" t="s">
        <v>152</v>
      </c>
    </row>
    <row r="3" spans="1:42">
      <c r="A3" t="s">
        <v>153</v>
      </c>
      <c r="B3" t="s">
        <v>154</v>
      </c>
      <c r="C3" t="s">
        <v>155</v>
      </c>
      <c r="D3" t="s">
        <v>4</v>
      </c>
      <c r="E3" t="s">
        <v>156</v>
      </c>
      <c r="F3" t="s">
        <v>157</v>
      </c>
      <c r="G3" t="s">
        <v>158</v>
      </c>
      <c r="H3" t="s">
        <v>159</v>
      </c>
      <c r="I3" t="s">
        <v>28</v>
      </c>
      <c r="J3" t="s">
        <v>0</v>
      </c>
      <c r="K3" t="s">
        <v>160</v>
      </c>
      <c r="L3" t="s">
        <v>161</v>
      </c>
      <c r="M3" t="s">
        <v>162</v>
      </c>
      <c r="N3" t="s">
        <v>163</v>
      </c>
      <c r="O3" t="s">
        <v>139</v>
      </c>
      <c r="P3" t="s">
        <v>164</v>
      </c>
      <c r="Q3" t="s">
        <v>165</v>
      </c>
      <c r="R3" t="s">
        <v>166</v>
      </c>
      <c r="S3" t="s">
        <v>167</v>
      </c>
      <c r="T3" t="s">
        <v>168</v>
      </c>
      <c r="U3" t="s">
        <v>169</v>
      </c>
      <c r="V3" t="s">
        <v>170</v>
      </c>
      <c r="W3" t="s">
        <v>171</v>
      </c>
      <c r="X3" t="s">
        <v>172</v>
      </c>
      <c r="Y3" t="s">
        <v>173</v>
      </c>
      <c r="Z3" t="s">
        <v>174</v>
      </c>
      <c r="AA3" t="s">
        <v>175</v>
      </c>
      <c r="AB3" t="s">
        <v>176</v>
      </c>
      <c r="AC3" t="s">
        <v>177</v>
      </c>
      <c r="AD3" t="s">
        <v>178</v>
      </c>
      <c r="AE3" t="s">
        <v>179</v>
      </c>
      <c r="AF3" t="s">
        <v>180</v>
      </c>
      <c r="AG3" t="s">
        <v>181</v>
      </c>
      <c r="AH3" t="s">
        <v>182</v>
      </c>
      <c r="AI3" t="s">
        <v>183</v>
      </c>
      <c r="AJ3" t="s">
        <v>184</v>
      </c>
      <c r="AK3" t="s">
        <v>185</v>
      </c>
      <c r="AL3" t="s">
        <v>186</v>
      </c>
      <c r="AM3" t="s">
        <v>187</v>
      </c>
      <c r="AN3" t="s">
        <v>188</v>
      </c>
      <c r="AO3" t="s">
        <v>189</v>
      </c>
      <c r="AP3" t="s">
        <v>190</v>
      </c>
    </row>
    <row r="4" spans="1:42">
      <c r="A4" t="s">
        <v>191</v>
      </c>
      <c r="B4" t="s">
        <v>192</v>
      </c>
      <c r="C4">
        <v>4446711</v>
      </c>
      <c r="D4" t="s">
        <v>31</v>
      </c>
      <c r="E4" t="s">
        <v>193</v>
      </c>
      <c r="F4">
        <v>4462742</v>
      </c>
      <c r="G4" t="s">
        <v>194</v>
      </c>
      <c r="J4" t="s">
        <v>18</v>
      </c>
      <c r="K4" t="s">
        <v>195</v>
      </c>
      <c r="L4" t="s">
        <v>196</v>
      </c>
      <c r="V4" t="s">
        <v>197</v>
      </c>
      <c r="W4" t="s">
        <v>197</v>
      </c>
      <c r="X4" t="s">
        <v>197</v>
      </c>
      <c r="Y4" t="s">
        <v>197</v>
      </c>
      <c r="AF4" t="s">
        <v>198</v>
      </c>
      <c r="AG4">
        <v>0</v>
      </c>
      <c r="AH4">
        <v>0</v>
      </c>
      <c r="AI4">
        <v>0</v>
      </c>
      <c r="AJ4">
        <v>0</v>
      </c>
      <c r="AK4">
        <v>0</v>
      </c>
      <c r="AL4">
        <v>0</v>
      </c>
      <c r="AM4">
        <v>0</v>
      </c>
      <c r="AO4" t="s">
        <v>199</v>
      </c>
      <c r="AP4" t="s">
        <v>200</v>
      </c>
    </row>
    <row r="5" spans="1:42">
      <c r="A5" t="s">
        <v>191</v>
      </c>
      <c r="B5" t="s">
        <v>192</v>
      </c>
      <c r="C5">
        <v>4446711</v>
      </c>
      <c r="D5" t="s">
        <v>31</v>
      </c>
      <c r="E5" t="s">
        <v>201</v>
      </c>
      <c r="F5">
        <v>4451600</v>
      </c>
      <c r="G5" t="s">
        <v>202</v>
      </c>
      <c r="I5" t="s">
        <v>114</v>
      </c>
      <c r="J5" t="s">
        <v>18</v>
      </c>
      <c r="K5" t="s">
        <v>203</v>
      </c>
      <c r="L5" t="s">
        <v>196</v>
      </c>
      <c r="V5" t="s">
        <v>204</v>
      </c>
      <c r="W5" t="s">
        <v>204</v>
      </c>
      <c r="X5" t="s">
        <v>197</v>
      </c>
      <c r="Y5" t="s">
        <v>197</v>
      </c>
      <c r="AF5" t="s">
        <v>198</v>
      </c>
      <c r="AG5">
        <v>0</v>
      </c>
      <c r="AH5">
        <v>0</v>
      </c>
      <c r="AI5">
        <v>0</v>
      </c>
      <c r="AJ5">
        <v>0</v>
      </c>
      <c r="AK5">
        <v>0</v>
      </c>
      <c r="AL5">
        <v>0</v>
      </c>
      <c r="AM5">
        <v>0</v>
      </c>
      <c r="AO5" t="s">
        <v>199</v>
      </c>
      <c r="AP5" t="s">
        <v>200</v>
      </c>
    </row>
    <row r="6" spans="1:42">
      <c r="A6" t="s">
        <v>205</v>
      </c>
      <c r="B6" t="s">
        <v>206</v>
      </c>
      <c r="C6">
        <v>4368214</v>
      </c>
      <c r="D6" t="s">
        <v>27</v>
      </c>
      <c r="E6" t="s">
        <v>207</v>
      </c>
      <c r="F6">
        <v>4467805</v>
      </c>
      <c r="G6" t="s">
        <v>208</v>
      </c>
      <c r="H6" t="s">
        <v>209</v>
      </c>
      <c r="J6" t="s">
        <v>18</v>
      </c>
      <c r="K6" t="s">
        <v>59</v>
      </c>
      <c r="L6" t="s">
        <v>196</v>
      </c>
    </row>
    <row r="7" spans="1:42">
      <c r="A7" t="s">
        <v>205</v>
      </c>
      <c r="B7" t="s">
        <v>206</v>
      </c>
      <c r="C7">
        <v>4368214</v>
      </c>
      <c r="D7" t="s">
        <v>27</v>
      </c>
      <c r="E7" t="s">
        <v>210</v>
      </c>
      <c r="F7">
        <v>4467788</v>
      </c>
      <c r="G7" t="s">
        <v>209</v>
      </c>
      <c r="H7" t="s">
        <v>208</v>
      </c>
      <c r="J7" t="s">
        <v>18</v>
      </c>
      <c r="K7" t="s">
        <v>59</v>
      </c>
      <c r="L7" t="s">
        <v>196</v>
      </c>
    </row>
    <row r="8" spans="1:42">
      <c r="A8" t="s">
        <v>211</v>
      </c>
      <c r="B8" t="s">
        <v>212</v>
      </c>
      <c r="C8">
        <v>4445149</v>
      </c>
      <c r="D8" t="s">
        <v>27</v>
      </c>
      <c r="E8" t="s">
        <v>213</v>
      </c>
      <c r="F8">
        <v>4033020</v>
      </c>
      <c r="G8" t="s">
        <v>214</v>
      </c>
      <c r="H8" t="s">
        <v>208</v>
      </c>
      <c r="J8" t="s">
        <v>18</v>
      </c>
      <c r="K8" t="s">
        <v>215</v>
      </c>
      <c r="L8" t="s">
        <v>196</v>
      </c>
      <c r="V8" t="s">
        <v>216</v>
      </c>
      <c r="W8" t="s">
        <v>197</v>
      </c>
      <c r="X8" t="s">
        <v>197</v>
      </c>
      <c r="Y8" t="s">
        <v>197</v>
      </c>
      <c r="AF8" t="s">
        <v>198</v>
      </c>
      <c r="AG8">
        <v>0</v>
      </c>
      <c r="AH8">
        <v>0</v>
      </c>
      <c r="AI8">
        <v>0</v>
      </c>
      <c r="AJ8">
        <v>0</v>
      </c>
      <c r="AK8">
        <v>0</v>
      </c>
      <c r="AL8">
        <v>0</v>
      </c>
      <c r="AM8">
        <v>0</v>
      </c>
      <c r="AO8" t="s">
        <v>217</v>
      </c>
      <c r="AP8" t="s">
        <v>218</v>
      </c>
    </row>
    <row r="9" spans="1:42">
      <c r="A9" t="s">
        <v>219</v>
      </c>
      <c r="B9" t="s">
        <v>220</v>
      </c>
      <c r="C9">
        <v>4393834</v>
      </c>
      <c r="D9" t="s">
        <v>38</v>
      </c>
      <c r="E9" t="s">
        <v>221</v>
      </c>
      <c r="F9">
        <v>4392744</v>
      </c>
      <c r="G9" t="s">
        <v>222</v>
      </c>
      <c r="H9" t="s">
        <v>223</v>
      </c>
      <c r="I9" t="s">
        <v>224</v>
      </c>
      <c r="J9" t="s">
        <v>18</v>
      </c>
      <c r="K9" t="s">
        <v>225</v>
      </c>
      <c r="L9" t="s">
        <v>196</v>
      </c>
      <c r="V9" t="s">
        <v>204</v>
      </c>
      <c r="W9" t="s">
        <v>197</v>
      </c>
      <c r="X9" t="s">
        <v>197</v>
      </c>
      <c r="Y9" t="s">
        <v>197</v>
      </c>
      <c r="AF9" t="s">
        <v>198</v>
      </c>
      <c r="AG9">
        <v>0</v>
      </c>
      <c r="AH9">
        <v>0</v>
      </c>
      <c r="AI9">
        <v>0</v>
      </c>
      <c r="AJ9">
        <v>5</v>
      </c>
      <c r="AK9">
        <v>5</v>
      </c>
      <c r="AL9">
        <v>0</v>
      </c>
      <c r="AM9">
        <v>0</v>
      </c>
      <c r="AO9" t="s">
        <v>226</v>
      </c>
      <c r="AP9" t="s">
        <v>227</v>
      </c>
    </row>
    <row r="10" spans="1:42">
      <c r="A10" t="s">
        <v>228</v>
      </c>
      <c r="B10" t="s">
        <v>229</v>
      </c>
      <c r="C10">
        <v>4447242</v>
      </c>
      <c r="D10" t="s">
        <v>38</v>
      </c>
      <c r="E10" t="s">
        <v>230</v>
      </c>
      <c r="F10">
        <v>4447244</v>
      </c>
      <c r="G10" t="s">
        <v>231</v>
      </c>
      <c r="H10" t="s">
        <v>232</v>
      </c>
      <c r="I10" t="s">
        <v>233</v>
      </c>
      <c r="J10" t="s">
        <v>18</v>
      </c>
      <c r="K10" t="s">
        <v>234</v>
      </c>
      <c r="L10" t="s">
        <v>196</v>
      </c>
      <c r="V10" t="s">
        <v>216</v>
      </c>
      <c r="W10" t="s">
        <v>197</v>
      </c>
      <c r="X10" t="s">
        <v>197</v>
      </c>
      <c r="Y10" t="s">
        <v>197</v>
      </c>
      <c r="AF10" t="s">
        <v>198</v>
      </c>
      <c r="AG10">
        <v>0</v>
      </c>
      <c r="AH10">
        <v>0</v>
      </c>
      <c r="AI10">
        <v>0</v>
      </c>
      <c r="AJ10">
        <v>12</v>
      </c>
      <c r="AK10">
        <v>12</v>
      </c>
      <c r="AL10">
        <v>0</v>
      </c>
      <c r="AM10">
        <v>0</v>
      </c>
      <c r="AO10" t="s">
        <v>226</v>
      </c>
      <c r="AP10" t="s">
        <v>227</v>
      </c>
    </row>
    <row r="11" spans="1:42">
      <c r="A11" t="s">
        <v>235</v>
      </c>
      <c r="B11" t="s">
        <v>236</v>
      </c>
      <c r="C11">
        <v>4443461</v>
      </c>
      <c r="D11" t="s">
        <v>38</v>
      </c>
      <c r="E11" t="s">
        <v>237</v>
      </c>
      <c r="F11">
        <v>4429175</v>
      </c>
      <c r="G11" t="s">
        <v>238</v>
      </c>
      <c r="H11" t="s">
        <v>239</v>
      </c>
      <c r="I11" t="s">
        <v>240</v>
      </c>
      <c r="J11" t="s">
        <v>18</v>
      </c>
      <c r="K11" t="s">
        <v>241</v>
      </c>
      <c r="L11" t="s">
        <v>196</v>
      </c>
      <c r="V11" t="s">
        <v>197</v>
      </c>
      <c r="W11" t="s">
        <v>197</v>
      </c>
      <c r="X11" t="s">
        <v>197</v>
      </c>
      <c r="Y11" t="s">
        <v>197</v>
      </c>
      <c r="AF11" t="s">
        <v>242</v>
      </c>
      <c r="AG11">
        <v>0</v>
      </c>
      <c r="AH11">
        <v>0</v>
      </c>
      <c r="AI11">
        <v>0</v>
      </c>
      <c r="AJ11">
        <v>0</v>
      </c>
      <c r="AK11">
        <v>0</v>
      </c>
      <c r="AL11">
        <v>0</v>
      </c>
      <c r="AM11">
        <v>0</v>
      </c>
      <c r="AO11" t="s">
        <v>243</v>
      </c>
      <c r="AP11" t="s">
        <v>227</v>
      </c>
    </row>
    <row r="12" spans="1:42">
      <c r="A12" t="s">
        <v>244</v>
      </c>
      <c r="B12" t="s">
        <v>245</v>
      </c>
      <c r="C12">
        <v>4446213</v>
      </c>
      <c r="D12" t="s">
        <v>41</v>
      </c>
      <c r="E12" t="s">
        <v>246</v>
      </c>
      <c r="F12">
        <v>4439529</v>
      </c>
      <c r="G12" t="s">
        <v>247</v>
      </c>
      <c r="H12" t="s">
        <v>248</v>
      </c>
      <c r="I12" t="s">
        <v>249</v>
      </c>
      <c r="J12" t="s">
        <v>18</v>
      </c>
      <c r="K12" t="s">
        <v>250</v>
      </c>
      <c r="L12" t="s">
        <v>196</v>
      </c>
      <c r="V12" t="s">
        <v>204</v>
      </c>
      <c r="W12" t="s">
        <v>216</v>
      </c>
      <c r="X12" t="s">
        <v>197</v>
      </c>
      <c r="Y12" t="s">
        <v>197</v>
      </c>
      <c r="Z12">
        <v>35</v>
      </c>
      <c r="AA12">
        <v>27</v>
      </c>
      <c r="AC12">
        <v>27</v>
      </c>
      <c r="AF12" t="s">
        <v>242</v>
      </c>
      <c r="AG12">
        <v>0</v>
      </c>
      <c r="AH12">
        <v>0</v>
      </c>
      <c r="AI12">
        <v>0</v>
      </c>
      <c r="AJ12">
        <v>0</v>
      </c>
      <c r="AK12">
        <v>0</v>
      </c>
      <c r="AL12">
        <v>0</v>
      </c>
      <c r="AM12">
        <v>0</v>
      </c>
      <c r="AO12" t="s">
        <v>251</v>
      </c>
      <c r="AP12" t="s">
        <v>252</v>
      </c>
    </row>
    <row r="13" spans="1:42">
      <c r="A13" t="s">
        <v>244</v>
      </c>
      <c r="B13" t="s">
        <v>245</v>
      </c>
      <c r="C13">
        <v>4446213</v>
      </c>
      <c r="D13" t="s">
        <v>41</v>
      </c>
      <c r="E13" t="s">
        <v>253</v>
      </c>
      <c r="F13">
        <v>4438585</v>
      </c>
      <c r="G13" t="s">
        <v>247</v>
      </c>
      <c r="H13" t="s">
        <v>248</v>
      </c>
      <c r="I13" t="s">
        <v>249</v>
      </c>
      <c r="J13" t="s">
        <v>18</v>
      </c>
      <c r="K13" t="s">
        <v>254</v>
      </c>
      <c r="L13" t="s">
        <v>196</v>
      </c>
      <c r="V13" t="s">
        <v>204</v>
      </c>
      <c r="W13" t="s">
        <v>216</v>
      </c>
      <c r="X13" t="s">
        <v>197</v>
      </c>
      <c r="Y13" t="s">
        <v>197</v>
      </c>
      <c r="Z13">
        <v>35</v>
      </c>
      <c r="AA13">
        <v>27</v>
      </c>
      <c r="AC13">
        <v>27</v>
      </c>
      <c r="AF13" t="s">
        <v>242</v>
      </c>
      <c r="AG13">
        <v>0</v>
      </c>
      <c r="AH13">
        <v>0</v>
      </c>
      <c r="AI13">
        <v>0</v>
      </c>
      <c r="AJ13">
        <v>0</v>
      </c>
      <c r="AK13">
        <v>0</v>
      </c>
      <c r="AL13">
        <v>0</v>
      </c>
      <c r="AM13">
        <v>0</v>
      </c>
      <c r="AO13" t="s">
        <v>251</v>
      </c>
      <c r="AP13" t="s">
        <v>252</v>
      </c>
    </row>
    <row r="14" spans="1:42">
      <c r="A14" t="s">
        <v>255</v>
      </c>
      <c r="B14" t="s">
        <v>256</v>
      </c>
      <c r="C14">
        <v>4313249</v>
      </c>
      <c r="D14" t="s">
        <v>41</v>
      </c>
      <c r="E14" t="s">
        <v>257</v>
      </c>
      <c r="F14">
        <v>4372864</v>
      </c>
      <c r="G14" t="s">
        <v>258</v>
      </c>
      <c r="H14" t="s">
        <v>259</v>
      </c>
      <c r="I14" t="s">
        <v>249</v>
      </c>
      <c r="J14" t="s">
        <v>18</v>
      </c>
      <c r="K14" t="s">
        <v>260</v>
      </c>
      <c r="L14" t="s">
        <v>196</v>
      </c>
      <c r="V14" t="s">
        <v>216</v>
      </c>
      <c r="W14" t="s">
        <v>197</v>
      </c>
      <c r="X14" t="s">
        <v>197</v>
      </c>
      <c r="Y14" t="s">
        <v>197</v>
      </c>
      <c r="AF14" t="s">
        <v>198</v>
      </c>
      <c r="AG14">
        <v>0</v>
      </c>
      <c r="AH14">
        <v>0</v>
      </c>
      <c r="AI14">
        <v>0</v>
      </c>
      <c r="AJ14">
        <v>0</v>
      </c>
      <c r="AK14">
        <v>0</v>
      </c>
      <c r="AL14">
        <v>0</v>
      </c>
      <c r="AM14">
        <v>0</v>
      </c>
      <c r="AO14" t="s">
        <v>261</v>
      </c>
      <c r="AP14" t="s">
        <v>262</v>
      </c>
    </row>
    <row r="15" spans="1:42">
      <c r="A15" t="s">
        <v>263</v>
      </c>
      <c r="B15" t="s">
        <v>264</v>
      </c>
      <c r="C15">
        <v>4232673</v>
      </c>
      <c r="D15" t="s">
        <v>41</v>
      </c>
      <c r="E15" t="s">
        <v>265</v>
      </c>
      <c r="F15">
        <v>4368362</v>
      </c>
      <c r="G15" t="s">
        <v>266</v>
      </c>
      <c r="H15" t="s">
        <v>259</v>
      </c>
      <c r="I15" t="s">
        <v>249</v>
      </c>
      <c r="J15" t="s">
        <v>18</v>
      </c>
      <c r="K15" t="s">
        <v>267</v>
      </c>
      <c r="L15" t="s">
        <v>196</v>
      </c>
      <c r="V15" t="s">
        <v>204</v>
      </c>
      <c r="W15" t="s">
        <v>197</v>
      </c>
      <c r="X15" t="s">
        <v>197</v>
      </c>
      <c r="Y15" t="s">
        <v>197</v>
      </c>
      <c r="AF15" t="s">
        <v>198</v>
      </c>
      <c r="AG15">
        <v>0</v>
      </c>
      <c r="AH15">
        <v>0</v>
      </c>
      <c r="AI15">
        <v>0</v>
      </c>
      <c r="AJ15">
        <v>19</v>
      </c>
      <c r="AK15">
        <v>19</v>
      </c>
      <c r="AL15">
        <v>0</v>
      </c>
      <c r="AM15">
        <v>0</v>
      </c>
      <c r="AO15" t="s">
        <v>268</v>
      </c>
      <c r="AP15" t="s">
        <v>252</v>
      </c>
    </row>
    <row r="16" spans="1:42">
      <c r="A16" t="s">
        <v>255</v>
      </c>
      <c r="B16" t="s">
        <v>256</v>
      </c>
      <c r="C16">
        <v>4313249</v>
      </c>
      <c r="D16" t="s">
        <v>41</v>
      </c>
      <c r="E16" t="s">
        <v>269</v>
      </c>
      <c r="F16">
        <v>4354055</v>
      </c>
      <c r="G16" t="s">
        <v>258</v>
      </c>
      <c r="H16" t="s">
        <v>259</v>
      </c>
      <c r="I16" t="s">
        <v>249</v>
      </c>
      <c r="J16" t="s">
        <v>18</v>
      </c>
      <c r="K16" t="s">
        <v>270</v>
      </c>
      <c r="L16" t="s">
        <v>196</v>
      </c>
      <c r="V16" t="s">
        <v>216</v>
      </c>
      <c r="W16" t="s">
        <v>197</v>
      </c>
      <c r="X16" t="s">
        <v>197</v>
      </c>
      <c r="Y16" t="s">
        <v>197</v>
      </c>
      <c r="AF16" t="s">
        <v>242</v>
      </c>
      <c r="AG16">
        <v>0</v>
      </c>
      <c r="AH16">
        <v>0</v>
      </c>
      <c r="AI16">
        <v>0</v>
      </c>
      <c r="AJ16">
        <v>0</v>
      </c>
      <c r="AK16">
        <v>0</v>
      </c>
      <c r="AL16">
        <v>0</v>
      </c>
      <c r="AM16">
        <v>0</v>
      </c>
      <c r="AO16" t="s">
        <v>271</v>
      </c>
      <c r="AP16" t="s">
        <v>252</v>
      </c>
    </row>
    <row r="17" spans="1:42">
      <c r="A17" t="s">
        <v>244</v>
      </c>
      <c r="B17" t="s">
        <v>272</v>
      </c>
      <c r="C17">
        <v>4330994</v>
      </c>
      <c r="D17" t="s">
        <v>41</v>
      </c>
      <c r="E17" t="s">
        <v>273</v>
      </c>
      <c r="F17">
        <v>4318913</v>
      </c>
      <c r="G17" t="s">
        <v>248</v>
      </c>
      <c r="H17" t="s">
        <v>247</v>
      </c>
      <c r="I17" t="s">
        <v>249</v>
      </c>
      <c r="J17" t="s">
        <v>18</v>
      </c>
      <c r="K17" t="s">
        <v>274</v>
      </c>
      <c r="L17" t="s">
        <v>196</v>
      </c>
      <c r="V17" t="s">
        <v>216</v>
      </c>
      <c r="W17" t="s">
        <v>197</v>
      </c>
      <c r="X17" t="s">
        <v>197</v>
      </c>
      <c r="Y17" t="s">
        <v>197</v>
      </c>
      <c r="AF17" t="s">
        <v>242</v>
      </c>
      <c r="AG17">
        <v>0</v>
      </c>
      <c r="AH17">
        <v>0</v>
      </c>
      <c r="AI17">
        <v>0</v>
      </c>
      <c r="AJ17">
        <v>0</v>
      </c>
      <c r="AK17">
        <v>0</v>
      </c>
      <c r="AL17">
        <v>0</v>
      </c>
      <c r="AM17">
        <v>0</v>
      </c>
      <c r="AO17" t="s">
        <v>251</v>
      </c>
      <c r="AP17" t="s">
        <v>252</v>
      </c>
    </row>
    <row r="18" spans="1:42">
      <c r="A18" t="s">
        <v>244</v>
      </c>
      <c r="B18" t="s">
        <v>272</v>
      </c>
      <c r="C18">
        <v>4330994</v>
      </c>
      <c r="D18" t="s">
        <v>41</v>
      </c>
      <c r="E18" t="s">
        <v>275</v>
      </c>
      <c r="F18">
        <v>4165234</v>
      </c>
      <c r="G18" t="s">
        <v>247</v>
      </c>
      <c r="H18" t="s">
        <v>248</v>
      </c>
      <c r="I18" t="s">
        <v>249</v>
      </c>
      <c r="J18" t="s">
        <v>18</v>
      </c>
      <c r="K18" t="s">
        <v>274</v>
      </c>
      <c r="L18" t="s">
        <v>196</v>
      </c>
      <c r="V18" t="s">
        <v>204</v>
      </c>
      <c r="W18" t="s">
        <v>216</v>
      </c>
      <c r="X18" t="s">
        <v>197</v>
      </c>
      <c r="Y18" t="s">
        <v>197</v>
      </c>
      <c r="Z18">
        <v>35</v>
      </c>
      <c r="AA18">
        <v>29</v>
      </c>
      <c r="AC18">
        <v>29</v>
      </c>
      <c r="AF18" t="s">
        <v>242</v>
      </c>
      <c r="AG18">
        <v>0</v>
      </c>
      <c r="AH18">
        <v>0</v>
      </c>
      <c r="AI18">
        <v>0</v>
      </c>
      <c r="AJ18">
        <v>0</v>
      </c>
      <c r="AK18">
        <v>0</v>
      </c>
      <c r="AL18">
        <v>0</v>
      </c>
      <c r="AM18">
        <v>0</v>
      </c>
      <c r="AO18" t="s">
        <v>251</v>
      </c>
      <c r="AP18" t="s">
        <v>252</v>
      </c>
    </row>
    <row r="19" spans="1:42">
      <c r="A19" t="s">
        <v>244</v>
      </c>
      <c r="B19" t="s">
        <v>272</v>
      </c>
      <c r="C19">
        <v>4330994</v>
      </c>
      <c r="D19" t="s">
        <v>41</v>
      </c>
      <c r="E19" t="s">
        <v>276</v>
      </c>
      <c r="F19">
        <v>4165232</v>
      </c>
      <c r="G19" t="s">
        <v>247</v>
      </c>
      <c r="H19" t="s">
        <v>248</v>
      </c>
      <c r="I19" t="s">
        <v>249</v>
      </c>
      <c r="J19" t="s">
        <v>18</v>
      </c>
      <c r="K19" t="s">
        <v>274</v>
      </c>
      <c r="L19" t="s">
        <v>196</v>
      </c>
      <c r="V19" t="s">
        <v>204</v>
      </c>
      <c r="W19" t="s">
        <v>216</v>
      </c>
      <c r="X19" t="s">
        <v>197</v>
      </c>
      <c r="Y19" t="s">
        <v>197</v>
      </c>
      <c r="Z19">
        <v>35</v>
      </c>
      <c r="AA19">
        <v>22</v>
      </c>
      <c r="AC19">
        <v>22</v>
      </c>
      <c r="AF19" t="s">
        <v>242</v>
      </c>
      <c r="AG19">
        <v>0</v>
      </c>
      <c r="AH19">
        <v>0</v>
      </c>
      <c r="AI19">
        <v>0</v>
      </c>
      <c r="AJ19">
        <v>0</v>
      </c>
      <c r="AK19">
        <v>0</v>
      </c>
      <c r="AL19">
        <v>0</v>
      </c>
      <c r="AM19">
        <v>0</v>
      </c>
      <c r="AO19" t="s">
        <v>251</v>
      </c>
      <c r="AP19" t="s">
        <v>252</v>
      </c>
    </row>
    <row r="20" spans="1:42">
      <c r="A20" t="s">
        <v>244</v>
      </c>
      <c r="B20" t="s">
        <v>272</v>
      </c>
      <c r="C20">
        <v>4330994</v>
      </c>
      <c r="D20" t="s">
        <v>41</v>
      </c>
      <c r="E20" t="s">
        <v>277</v>
      </c>
      <c r="F20">
        <v>4165224</v>
      </c>
      <c r="G20" t="s">
        <v>248</v>
      </c>
      <c r="H20" t="s">
        <v>247</v>
      </c>
      <c r="I20" t="s">
        <v>249</v>
      </c>
      <c r="J20" t="s">
        <v>18</v>
      </c>
      <c r="K20" t="s">
        <v>274</v>
      </c>
      <c r="L20" t="s">
        <v>196</v>
      </c>
      <c r="V20" t="s">
        <v>204</v>
      </c>
      <c r="W20" t="s">
        <v>216</v>
      </c>
      <c r="X20" t="s">
        <v>197</v>
      </c>
      <c r="Y20" t="s">
        <v>197</v>
      </c>
      <c r="AF20" t="s">
        <v>242</v>
      </c>
      <c r="AG20">
        <v>0</v>
      </c>
      <c r="AH20">
        <v>0</v>
      </c>
      <c r="AI20">
        <v>0</v>
      </c>
      <c r="AJ20">
        <v>0</v>
      </c>
      <c r="AK20">
        <v>0</v>
      </c>
      <c r="AL20">
        <v>0</v>
      </c>
      <c r="AM20">
        <v>0</v>
      </c>
      <c r="AO20" t="s">
        <v>251</v>
      </c>
      <c r="AP20" t="s">
        <v>252</v>
      </c>
    </row>
    <row r="21" spans="1:42">
      <c r="A21" t="s">
        <v>244</v>
      </c>
      <c r="B21" t="s">
        <v>272</v>
      </c>
      <c r="C21">
        <v>4330994</v>
      </c>
      <c r="D21" t="s">
        <v>41</v>
      </c>
      <c r="E21" t="s">
        <v>278</v>
      </c>
      <c r="F21">
        <v>4165212</v>
      </c>
      <c r="G21" t="s">
        <v>248</v>
      </c>
      <c r="H21" t="s">
        <v>247</v>
      </c>
      <c r="I21" t="s">
        <v>249</v>
      </c>
      <c r="J21" t="s">
        <v>18</v>
      </c>
      <c r="K21" t="s">
        <v>274</v>
      </c>
      <c r="L21" t="s">
        <v>196</v>
      </c>
      <c r="V21" t="s">
        <v>204</v>
      </c>
      <c r="W21" t="s">
        <v>216</v>
      </c>
      <c r="X21" t="s">
        <v>197</v>
      </c>
      <c r="Y21" t="s">
        <v>197</v>
      </c>
      <c r="AF21" t="s">
        <v>242</v>
      </c>
      <c r="AG21">
        <v>0</v>
      </c>
      <c r="AH21">
        <v>0</v>
      </c>
      <c r="AI21">
        <v>0</v>
      </c>
      <c r="AJ21">
        <v>0</v>
      </c>
      <c r="AK21">
        <v>0</v>
      </c>
      <c r="AL21">
        <v>0</v>
      </c>
      <c r="AM21">
        <v>0</v>
      </c>
      <c r="AO21" t="s">
        <v>251</v>
      </c>
      <c r="AP21" t="s">
        <v>252</v>
      </c>
    </row>
    <row r="22" spans="1:42">
      <c r="A22" t="s">
        <v>244</v>
      </c>
      <c r="B22" t="s">
        <v>272</v>
      </c>
      <c r="C22">
        <v>4330994</v>
      </c>
      <c r="D22" t="s">
        <v>41</v>
      </c>
      <c r="E22" t="s">
        <v>279</v>
      </c>
      <c r="F22">
        <v>4165210</v>
      </c>
      <c r="G22" t="s">
        <v>247</v>
      </c>
      <c r="H22" t="s">
        <v>248</v>
      </c>
      <c r="I22" t="s">
        <v>249</v>
      </c>
      <c r="J22" t="s">
        <v>18</v>
      </c>
      <c r="K22" t="s">
        <v>274</v>
      </c>
      <c r="L22" t="s">
        <v>196</v>
      </c>
      <c r="V22" t="s">
        <v>204</v>
      </c>
      <c r="W22" t="s">
        <v>216</v>
      </c>
      <c r="X22" t="s">
        <v>197</v>
      </c>
      <c r="Y22" t="s">
        <v>197</v>
      </c>
      <c r="Z22">
        <v>57</v>
      </c>
      <c r="AA22">
        <v>32</v>
      </c>
      <c r="AC22">
        <v>32</v>
      </c>
      <c r="AF22" t="s">
        <v>242</v>
      </c>
      <c r="AG22">
        <v>0</v>
      </c>
      <c r="AH22">
        <v>0</v>
      </c>
      <c r="AI22">
        <v>0</v>
      </c>
      <c r="AJ22">
        <v>0</v>
      </c>
      <c r="AK22">
        <v>0</v>
      </c>
      <c r="AL22">
        <v>0</v>
      </c>
      <c r="AM22">
        <v>0</v>
      </c>
      <c r="AO22" t="s">
        <v>251</v>
      </c>
      <c r="AP22" t="s">
        <v>252</v>
      </c>
    </row>
    <row r="23" spans="1:42">
      <c r="A23" t="s">
        <v>280</v>
      </c>
      <c r="B23" t="s">
        <v>281</v>
      </c>
      <c r="C23">
        <v>4372279</v>
      </c>
      <c r="D23" t="s">
        <v>41</v>
      </c>
      <c r="E23" t="s">
        <v>282</v>
      </c>
      <c r="F23">
        <v>4367506</v>
      </c>
      <c r="G23" t="s">
        <v>283</v>
      </c>
      <c r="H23" t="s">
        <v>284</v>
      </c>
      <c r="I23" t="s">
        <v>249</v>
      </c>
      <c r="J23" t="s">
        <v>18</v>
      </c>
      <c r="K23" t="s">
        <v>274</v>
      </c>
      <c r="L23" t="s">
        <v>196</v>
      </c>
      <c r="V23" t="s">
        <v>216</v>
      </c>
      <c r="W23" t="s">
        <v>197</v>
      </c>
      <c r="X23" t="s">
        <v>197</v>
      </c>
      <c r="Y23" t="s">
        <v>197</v>
      </c>
      <c r="AF23" t="s">
        <v>242</v>
      </c>
      <c r="AG23">
        <v>0</v>
      </c>
      <c r="AH23">
        <v>0</v>
      </c>
      <c r="AI23">
        <v>0</v>
      </c>
      <c r="AJ23">
        <v>0</v>
      </c>
      <c r="AK23">
        <v>0</v>
      </c>
      <c r="AL23">
        <v>0</v>
      </c>
      <c r="AM23">
        <v>0</v>
      </c>
      <c r="AO23" t="s">
        <v>271</v>
      </c>
      <c r="AP23" t="s">
        <v>252</v>
      </c>
    </row>
    <row r="24" spans="1:42">
      <c r="A24" t="s">
        <v>285</v>
      </c>
      <c r="B24" t="s">
        <v>286</v>
      </c>
      <c r="C24">
        <v>4422839</v>
      </c>
      <c r="D24" t="s">
        <v>27</v>
      </c>
      <c r="E24" t="s">
        <v>287</v>
      </c>
      <c r="F24">
        <v>4449779</v>
      </c>
      <c r="G24" t="s">
        <v>214</v>
      </c>
      <c r="H24" t="s">
        <v>208</v>
      </c>
      <c r="J24" t="s">
        <v>18</v>
      </c>
      <c r="K24" t="s">
        <v>215</v>
      </c>
      <c r="L24" t="s">
        <v>196</v>
      </c>
      <c r="V24" t="s">
        <v>216</v>
      </c>
      <c r="W24" t="s">
        <v>197</v>
      </c>
      <c r="X24" t="s">
        <v>197</v>
      </c>
      <c r="Y24" t="s">
        <v>197</v>
      </c>
      <c r="AF24" t="s">
        <v>288</v>
      </c>
      <c r="AG24">
        <v>0</v>
      </c>
      <c r="AH24">
        <v>0</v>
      </c>
      <c r="AI24">
        <v>0</v>
      </c>
      <c r="AJ24">
        <v>0</v>
      </c>
      <c r="AK24">
        <v>0</v>
      </c>
      <c r="AL24">
        <v>0</v>
      </c>
      <c r="AM24">
        <v>0</v>
      </c>
      <c r="AO24" t="s">
        <v>217</v>
      </c>
      <c r="AP24" t="s">
        <v>218</v>
      </c>
    </row>
    <row r="25" spans="1:42">
      <c r="A25" t="s">
        <v>289</v>
      </c>
      <c r="B25" t="s">
        <v>290</v>
      </c>
      <c r="C25">
        <v>4436131</v>
      </c>
      <c r="D25" t="s">
        <v>27</v>
      </c>
      <c r="E25" t="s">
        <v>291</v>
      </c>
      <c r="F25">
        <v>4450157</v>
      </c>
      <c r="G25" t="s">
        <v>209</v>
      </c>
      <c r="H25" t="s">
        <v>214</v>
      </c>
      <c r="J25" t="s">
        <v>18</v>
      </c>
      <c r="K25" t="s">
        <v>59</v>
      </c>
      <c r="L25" t="s">
        <v>196</v>
      </c>
      <c r="V25" t="s">
        <v>216</v>
      </c>
      <c r="W25" t="s">
        <v>197</v>
      </c>
      <c r="X25" t="s">
        <v>197</v>
      </c>
      <c r="Y25" t="s">
        <v>197</v>
      </c>
      <c r="AF25" t="s">
        <v>198</v>
      </c>
      <c r="AG25">
        <v>0</v>
      </c>
      <c r="AH25">
        <v>0</v>
      </c>
      <c r="AI25">
        <v>0</v>
      </c>
      <c r="AJ25">
        <v>0</v>
      </c>
      <c r="AK25">
        <v>0</v>
      </c>
      <c r="AL25">
        <v>0</v>
      </c>
      <c r="AM25">
        <v>0</v>
      </c>
      <c r="AO25" t="s">
        <v>292</v>
      </c>
      <c r="AP25" t="s">
        <v>218</v>
      </c>
    </row>
    <row r="26" spans="1:42">
      <c r="A26" t="s">
        <v>293</v>
      </c>
      <c r="B26" t="s">
        <v>294</v>
      </c>
      <c r="C26">
        <v>4438595</v>
      </c>
      <c r="D26" t="s">
        <v>48</v>
      </c>
      <c r="E26" t="s">
        <v>295</v>
      </c>
      <c r="F26">
        <v>4449948</v>
      </c>
      <c r="G26" t="s">
        <v>296</v>
      </c>
      <c r="H26" t="s">
        <v>297</v>
      </c>
      <c r="J26" t="s">
        <v>18</v>
      </c>
      <c r="K26" t="s">
        <v>298</v>
      </c>
      <c r="L26" t="s">
        <v>196</v>
      </c>
      <c r="V26" t="s">
        <v>197</v>
      </c>
      <c r="W26" t="s">
        <v>197</v>
      </c>
      <c r="X26" t="s">
        <v>197</v>
      </c>
      <c r="Y26" t="s">
        <v>197</v>
      </c>
      <c r="AF26" t="s">
        <v>242</v>
      </c>
      <c r="AG26">
        <v>0</v>
      </c>
      <c r="AH26">
        <v>0</v>
      </c>
      <c r="AI26">
        <v>0</v>
      </c>
      <c r="AJ26">
        <v>0</v>
      </c>
      <c r="AK26">
        <v>0</v>
      </c>
      <c r="AL26">
        <v>0</v>
      </c>
      <c r="AM26">
        <v>0</v>
      </c>
      <c r="AO26" t="s">
        <v>299</v>
      </c>
      <c r="AP26" t="s">
        <v>300</v>
      </c>
    </row>
    <row r="27" spans="1:42">
      <c r="A27" t="s">
        <v>301</v>
      </c>
      <c r="B27" t="s">
        <v>302</v>
      </c>
      <c r="C27">
        <v>4446028</v>
      </c>
      <c r="D27" t="s">
        <v>48</v>
      </c>
      <c r="E27" t="s">
        <v>303</v>
      </c>
      <c r="F27">
        <v>4444316</v>
      </c>
      <c r="G27" t="s">
        <v>297</v>
      </c>
      <c r="H27" t="s">
        <v>296</v>
      </c>
      <c r="J27" t="s">
        <v>18</v>
      </c>
      <c r="K27" t="s">
        <v>304</v>
      </c>
      <c r="L27" t="s">
        <v>196</v>
      </c>
      <c r="V27" t="s">
        <v>204</v>
      </c>
      <c r="W27" t="s">
        <v>204</v>
      </c>
      <c r="X27" t="s">
        <v>197</v>
      </c>
      <c r="Y27" t="s">
        <v>216</v>
      </c>
      <c r="Z27">
        <v>20</v>
      </c>
      <c r="AA27">
        <v>18</v>
      </c>
      <c r="AB27">
        <v>2</v>
      </c>
      <c r="AC27">
        <v>20</v>
      </c>
      <c r="AD27">
        <v>0.95</v>
      </c>
      <c r="AE27">
        <v>1</v>
      </c>
      <c r="AF27" t="s">
        <v>305</v>
      </c>
      <c r="AG27">
        <v>5</v>
      </c>
      <c r="AH27">
        <v>0</v>
      </c>
      <c r="AI27">
        <v>0</v>
      </c>
      <c r="AJ27">
        <v>15</v>
      </c>
      <c r="AK27">
        <v>20</v>
      </c>
      <c r="AL27">
        <v>0.25</v>
      </c>
      <c r="AM27">
        <v>1</v>
      </c>
      <c r="AO27" t="s">
        <v>299</v>
      </c>
      <c r="AP27" t="s">
        <v>300</v>
      </c>
    </row>
    <row r="28" spans="1:42">
      <c r="A28" t="s">
        <v>306</v>
      </c>
      <c r="B28" t="s">
        <v>307</v>
      </c>
      <c r="C28">
        <v>4443033</v>
      </c>
      <c r="D28" t="s">
        <v>48</v>
      </c>
      <c r="E28" t="s">
        <v>308</v>
      </c>
      <c r="F28">
        <v>4443034</v>
      </c>
      <c r="G28" t="s">
        <v>309</v>
      </c>
      <c r="H28" t="s">
        <v>296</v>
      </c>
      <c r="J28" t="s">
        <v>18</v>
      </c>
      <c r="K28" t="s">
        <v>310</v>
      </c>
      <c r="L28" t="s">
        <v>196</v>
      </c>
      <c r="M28" t="s">
        <v>311</v>
      </c>
      <c r="V28" t="s">
        <v>204</v>
      </c>
      <c r="W28" t="s">
        <v>216</v>
      </c>
      <c r="X28" t="s">
        <v>197</v>
      </c>
      <c r="Y28" t="s">
        <v>197</v>
      </c>
      <c r="Z28">
        <v>15</v>
      </c>
      <c r="AF28" t="s">
        <v>198</v>
      </c>
      <c r="AG28">
        <v>0</v>
      </c>
      <c r="AH28">
        <v>0</v>
      </c>
      <c r="AI28">
        <v>0</v>
      </c>
      <c r="AJ28">
        <v>0</v>
      </c>
      <c r="AK28">
        <v>0</v>
      </c>
      <c r="AL28">
        <v>0</v>
      </c>
      <c r="AM28">
        <v>0</v>
      </c>
      <c r="AO28" t="s">
        <v>312</v>
      </c>
      <c r="AP28" t="s">
        <v>313</v>
      </c>
    </row>
    <row r="29" spans="1:42">
      <c r="A29" t="s">
        <v>314</v>
      </c>
      <c r="B29" t="s">
        <v>302</v>
      </c>
      <c r="C29">
        <v>4446028</v>
      </c>
      <c r="D29" t="s">
        <v>48</v>
      </c>
      <c r="E29" t="s">
        <v>315</v>
      </c>
      <c r="F29">
        <v>4440929</v>
      </c>
      <c r="G29" t="s">
        <v>316</v>
      </c>
      <c r="H29" t="s">
        <v>297</v>
      </c>
      <c r="J29" t="s">
        <v>18</v>
      </c>
      <c r="K29" t="s">
        <v>304</v>
      </c>
      <c r="L29" t="s">
        <v>196</v>
      </c>
      <c r="V29" t="s">
        <v>204</v>
      </c>
      <c r="W29" t="s">
        <v>204</v>
      </c>
      <c r="X29" t="s">
        <v>197</v>
      </c>
      <c r="Y29" t="s">
        <v>216</v>
      </c>
      <c r="Z29">
        <v>20</v>
      </c>
      <c r="AA29">
        <v>20</v>
      </c>
      <c r="AB29">
        <v>0</v>
      </c>
      <c r="AC29">
        <v>20</v>
      </c>
      <c r="AD29">
        <v>1</v>
      </c>
      <c r="AE29">
        <v>1</v>
      </c>
      <c r="AF29" t="s">
        <v>305</v>
      </c>
      <c r="AG29">
        <v>5</v>
      </c>
      <c r="AH29">
        <v>0</v>
      </c>
      <c r="AI29">
        <v>0</v>
      </c>
      <c r="AJ29">
        <v>15</v>
      </c>
      <c r="AK29">
        <v>20</v>
      </c>
      <c r="AL29">
        <v>0.25</v>
      </c>
      <c r="AM29">
        <v>1</v>
      </c>
      <c r="AO29" t="s">
        <v>317</v>
      </c>
      <c r="AP29" t="s">
        <v>300</v>
      </c>
    </row>
    <row r="30" spans="1:42">
      <c r="A30" t="s">
        <v>318</v>
      </c>
      <c r="B30" t="s">
        <v>319</v>
      </c>
      <c r="C30">
        <v>4439712</v>
      </c>
      <c r="D30" t="s">
        <v>48</v>
      </c>
      <c r="E30" t="s">
        <v>320</v>
      </c>
      <c r="F30">
        <v>4439840</v>
      </c>
      <c r="G30" t="s">
        <v>321</v>
      </c>
      <c r="H30" t="s">
        <v>316</v>
      </c>
      <c r="J30" t="s">
        <v>18</v>
      </c>
      <c r="K30" t="s">
        <v>322</v>
      </c>
      <c r="L30" t="s">
        <v>196</v>
      </c>
      <c r="V30" t="s">
        <v>197</v>
      </c>
      <c r="W30" t="s">
        <v>197</v>
      </c>
      <c r="X30" t="s">
        <v>197</v>
      </c>
      <c r="Y30" t="s">
        <v>197</v>
      </c>
      <c r="AF30" t="s">
        <v>242</v>
      </c>
      <c r="AG30">
        <v>0</v>
      </c>
      <c r="AH30">
        <v>0</v>
      </c>
      <c r="AI30">
        <v>0</v>
      </c>
      <c r="AJ30">
        <v>0</v>
      </c>
      <c r="AK30">
        <v>0</v>
      </c>
      <c r="AL30">
        <v>0</v>
      </c>
      <c r="AM30">
        <v>0</v>
      </c>
      <c r="AO30" t="s">
        <v>323</v>
      </c>
      <c r="AP30" t="s">
        <v>300</v>
      </c>
    </row>
    <row r="31" spans="1:42">
      <c r="A31" t="s">
        <v>191</v>
      </c>
      <c r="B31" t="s">
        <v>324</v>
      </c>
      <c r="C31">
        <v>4446526</v>
      </c>
      <c r="D31" t="s">
        <v>31</v>
      </c>
      <c r="E31" t="s">
        <v>325</v>
      </c>
      <c r="F31">
        <v>4445991</v>
      </c>
      <c r="G31" t="s">
        <v>194</v>
      </c>
      <c r="H31" t="s">
        <v>326</v>
      </c>
      <c r="I31" t="s">
        <v>97</v>
      </c>
      <c r="J31" t="s">
        <v>18</v>
      </c>
      <c r="K31" t="s">
        <v>327</v>
      </c>
      <c r="L31" t="s">
        <v>196</v>
      </c>
      <c r="V31" t="s">
        <v>197</v>
      </c>
      <c r="W31" t="s">
        <v>197</v>
      </c>
      <c r="X31" t="s">
        <v>197</v>
      </c>
      <c r="Y31" t="s">
        <v>197</v>
      </c>
      <c r="AF31" t="s">
        <v>198</v>
      </c>
      <c r="AG31">
        <v>0</v>
      </c>
      <c r="AH31">
        <v>0</v>
      </c>
      <c r="AI31">
        <v>0</v>
      </c>
      <c r="AJ31">
        <v>0</v>
      </c>
      <c r="AK31">
        <v>0</v>
      </c>
      <c r="AL31">
        <v>0</v>
      </c>
      <c r="AM31">
        <v>0</v>
      </c>
      <c r="AO31" t="s">
        <v>199</v>
      </c>
      <c r="AP31" t="s">
        <v>200</v>
      </c>
    </row>
    <row r="32" spans="1:42">
      <c r="A32" t="s">
        <v>191</v>
      </c>
      <c r="B32" t="s">
        <v>328</v>
      </c>
      <c r="C32">
        <v>4462171</v>
      </c>
      <c r="D32" t="s">
        <v>31</v>
      </c>
      <c r="E32" t="s">
        <v>329</v>
      </c>
      <c r="F32">
        <v>4462198</v>
      </c>
      <c r="G32" t="s">
        <v>330</v>
      </c>
      <c r="H32" t="s">
        <v>331</v>
      </c>
      <c r="I32" t="s">
        <v>86</v>
      </c>
      <c r="J32" t="s">
        <v>18</v>
      </c>
      <c r="K32" t="s">
        <v>332</v>
      </c>
      <c r="L32" t="s">
        <v>196</v>
      </c>
      <c r="V32" t="s">
        <v>197</v>
      </c>
      <c r="W32" t="s">
        <v>197</v>
      </c>
      <c r="X32" t="s">
        <v>197</v>
      </c>
      <c r="Y32" t="s">
        <v>197</v>
      </c>
      <c r="AF32" t="s">
        <v>198</v>
      </c>
      <c r="AG32">
        <v>0</v>
      </c>
      <c r="AH32">
        <v>0</v>
      </c>
      <c r="AI32">
        <v>0</v>
      </c>
      <c r="AJ32">
        <v>0</v>
      </c>
      <c r="AK32">
        <v>0</v>
      </c>
      <c r="AL32">
        <v>0</v>
      </c>
      <c r="AM32">
        <v>0</v>
      </c>
      <c r="AO32" t="s">
        <v>333</v>
      </c>
      <c r="AP32" t="s">
        <v>334</v>
      </c>
    </row>
    <row r="33" spans="1:42">
      <c r="A33" t="s">
        <v>191</v>
      </c>
      <c r="B33" t="s">
        <v>192</v>
      </c>
      <c r="C33">
        <v>4446711</v>
      </c>
      <c r="D33" t="s">
        <v>31</v>
      </c>
      <c r="E33" t="s">
        <v>335</v>
      </c>
      <c r="F33">
        <v>4425029</v>
      </c>
      <c r="G33" t="s">
        <v>336</v>
      </c>
      <c r="H33" t="s">
        <v>202</v>
      </c>
      <c r="I33" t="s">
        <v>97</v>
      </c>
      <c r="J33" t="s">
        <v>18</v>
      </c>
      <c r="K33" t="s">
        <v>327</v>
      </c>
      <c r="L33" t="s">
        <v>196</v>
      </c>
      <c r="V33" t="s">
        <v>197</v>
      </c>
      <c r="W33" t="s">
        <v>197</v>
      </c>
      <c r="X33" t="s">
        <v>197</v>
      </c>
      <c r="Y33" t="s">
        <v>197</v>
      </c>
      <c r="AF33" t="s">
        <v>198</v>
      </c>
      <c r="AG33">
        <v>0</v>
      </c>
      <c r="AH33">
        <v>0</v>
      </c>
      <c r="AI33">
        <v>0</v>
      </c>
      <c r="AJ33">
        <v>0</v>
      </c>
      <c r="AK33">
        <v>0</v>
      </c>
      <c r="AL33">
        <v>0</v>
      </c>
      <c r="AM33">
        <v>0</v>
      </c>
      <c r="AO33" t="s">
        <v>199</v>
      </c>
      <c r="AP33" t="s">
        <v>200</v>
      </c>
    </row>
    <row r="34" spans="1:42">
      <c r="A34" t="s">
        <v>191</v>
      </c>
      <c r="B34" t="s">
        <v>337</v>
      </c>
      <c r="C34">
        <v>4420374</v>
      </c>
      <c r="D34" t="s">
        <v>31</v>
      </c>
      <c r="E34" t="s">
        <v>338</v>
      </c>
      <c r="F34">
        <v>4422310</v>
      </c>
      <c r="G34" t="s">
        <v>339</v>
      </c>
      <c r="H34" t="s">
        <v>340</v>
      </c>
      <c r="J34" t="s">
        <v>18</v>
      </c>
      <c r="K34" t="s">
        <v>341</v>
      </c>
      <c r="L34" t="s">
        <v>196</v>
      </c>
      <c r="V34" t="s">
        <v>204</v>
      </c>
      <c r="W34" t="s">
        <v>197</v>
      </c>
      <c r="X34" t="s">
        <v>197</v>
      </c>
      <c r="Y34" t="s">
        <v>197</v>
      </c>
      <c r="AF34" t="s">
        <v>288</v>
      </c>
      <c r="AG34">
        <v>0</v>
      </c>
      <c r="AH34">
        <v>0</v>
      </c>
      <c r="AI34">
        <v>0</v>
      </c>
      <c r="AJ34">
        <v>0</v>
      </c>
      <c r="AK34">
        <v>0</v>
      </c>
      <c r="AL34">
        <v>0</v>
      </c>
      <c r="AM34">
        <v>0</v>
      </c>
      <c r="AO34" t="s">
        <v>199</v>
      </c>
      <c r="AP34" t="s">
        <v>200</v>
      </c>
    </row>
    <row r="35" spans="1:42">
      <c r="A35" t="s">
        <v>191</v>
      </c>
      <c r="B35" t="s">
        <v>337</v>
      </c>
      <c r="C35">
        <v>4420374</v>
      </c>
      <c r="D35" t="s">
        <v>31</v>
      </c>
      <c r="E35" t="s">
        <v>342</v>
      </c>
      <c r="F35">
        <v>4278131</v>
      </c>
      <c r="G35" t="s">
        <v>339</v>
      </c>
      <c r="H35" t="s">
        <v>340</v>
      </c>
      <c r="J35" t="s">
        <v>18</v>
      </c>
      <c r="K35" t="s">
        <v>343</v>
      </c>
      <c r="L35" t="s">
        <v>196</v>
      </c>
      <c r="V35" t="s">
        <v>204</v>
      </c>
      <c r="W35" t="s">
        <v>197</v>
      </c>
      <c r="X35" t="s">
        <v>197</v>
      </c>
      <c r="Y35" t="s">
        <v>197</v>
      </c>
      <c r="AF35" t="s">
        <v>288</v>
      </c>
      <c r="AG35">
        <v>0</v>
      </c>
      <c r="AH35">
        <v>0</v>
      </c>
      <c r="AI35">
        <v>0</v>
      </c>
      <c r="AJ35">
        <v>0</v>
      </c>
      <c r="AK35">
        <v>4</v>
      </c>
      <c r="AL35">
        <v>0</v>
      </c>
      <c r="AM35">
        <v>0</v>
      </c>
      <c r="AO35" t="s">
        <v>199</v>
      </c>
      <c r="AP35" t="s">
        <v>200</v>
      </c>
    </row>
    <row r="36" spans="1:42">
      <c r="A36" t="s">
        <v>344</v>
      </c>
      <c r="B36" t="s">
        <v>345</v>
      </c>
      <c r="C36">
        <v>4446026</v>
      </c>
      <c r="D36" t="s">
        <v>54</v>
      </c>
      <c r="E36" t="s">
        <v>346</v>
      </c>
      <c r="F36">
        <v>4435817</v>
      </c>
      <c r="G36" t="s">
        <v>347</v>
      </c>
      <c r="H36" t="s">
        <v>348</v>
      </c>
      <c r="J36" t="s">
        <v>18</v>
      </c>
      <c r="K36" t="s">
        <v>349</v>
      </c>
      <c r="L36" t="s">
        <v>196</v>
      </c>
      <c r="V36" t="s">
        <v>197</v>
      </c>
      <c r="W36" t="s">
        <v>197</v>
      </c>
      <c r="X36" t="s">
        <v>197</v>
      </c>
      <c r="Y36" t="s">
        <v>197</v>
      </c>
      <c r="AF36" t="s">
        <v>242</v>
      </c>
      <c r="AG36">
        <v>0</v>
      </c>
      <c r="AH36">
        <v>0</v>
      </c>
      <c r="AI36">
        <v>0</v>
      </c>
      <c r="AJ36">
        <v>0</v>
      </c>
      <c r="AK36">
        <v>0</v>
      </c>
      <c r="AL36">
        <v>0</v>
      </c>
      <c r="AM36">
        <v>0</v>
      </c>
      <c r="AO36" t="s">
        <v>317</v>
      </c>
      <c r="AP36" t="s">
        <v>300</v>
      </c>
    </row>
    <row r="37" spans="1:42">
      <c r="A37" t="s">
        <v>350</v>
      </c>
      <c r="B37" t="s">
        <v>351</v>
      </c>
      <c r="C37">
        <v>4250760</v>
      </c>
      <c r="D37" t="s">
        <v>54</v>
      </c>
      <c r="E37" t="s">
        <v>352</v>
      </c>
      <c r="F37">
        <v>4429069</v>
      </c>
      <c r="G37" t="s">
        <v>353</v>
      </c>
      <c r="H37" t="s">
        <v>354</v>
      </c>
      <c r="J37" t="s">
        <v>18</v>
      </c>
      <c r="K37" t="s">
        <v>355</v>
      </c>
      <c r="L37" t="s">
        <v>196</v>
      </c>
      <c r="V37" t="s">
        <v>204</v>
      </c>
      <c r="W37" t="s">
        <v>204</v>
      </c>
      <c r="X37" t="s">
        <v>197</v>
      </c>
      <c r="Y37" t="s">
        <v>197</v>
      </c>
      <c r="Z37">
        <v>14</v>
      </c>
      <c r="AA37">
        <v>12</v>
      </c>
      <c r="AB37">
        <v>0</v>
      </c>
      <c r="AC37">
        <v>12</v>
      </c>
      <c r="AD37">
        <v>1</v>
      </c>
      <c r="AE37">
        <v>0.8</v>
      </c>
      <c r="AF37" t="s">
        <v>242</v>
      </c>
      <c r="AG37">
        <v>0</v>
      </c>
      <c r="AH37">
        <v>0</v>
      </c>
      <c r="AI37">
        <v>0</v>
      </c>
      <c r="AJ37">
        <v>12</v>
      </c>
      <c r="AK37">
        <v>12</v>
      </c>
      <c r="AL37">
        <v>0</v>
      </c>
      <c r="AM37">
        <v>0</v>
      </c>
      <c r="AO37" t="s">
        <v>356</v>
      </c>
      <c r="AP37" t="s">
        <v>300</v>
      </c>
    </row>
    <row r="38" spans="1:42">
      <c r="A38" t="s">
        <v>255</v>
      </c>
      <c r="B38" t="s">
        <v>357</v>
      </c>
      <c r="C38">
        <v>4428652</v>
      </c>
      <c r="D38" t="s">
        <v>54</v>
      </c>
      <c r="E38" t="s">
        <v>358</v>
      </c>
      <c r="F38">
        <v>4428664</v>
      </c>
      <c r="G38" t="s">
        <v>348</v>
      </c>
      <c r="H38" t="s">
        <v>347</v>
      </c>
      <c r="J38" t="s">
        <v>18</v>
      </c>
      <c r="K38" t="s">
        <v>349</v>
      </c>
      <c r="L38" t="s">
        <v>196</v>
      </c>
      <c r="V38" t="s">
        <v>197</v>
      </c>
      <c r="W38" t="s">
        <v>197</v>
      </c>
      <c r="X38" t="s">
        <v>197</v>
      </c>
      <c r="Y38" t="s">
        <v>197</v>
      </c>
      <c r="AF38" t="s">
        <v>359</v>
      </c>
      <c r="AG38">
        <v>0</v>
      </c>
      <c r="AH38">
        <v>0</v>
      </c>
      <c r="AI38">
        <v>0</v>
      </c>
      <c r="AJ38">
        <v>0</v>
      </c>
      <c r="AK38">
        <v>0</v>
      </c>
      <c r="AL38">
        <v>0</v>
      </c>
      <c r="AM38">
        <v>0</v>
      </c>
      <c r="AO38" t="s">
        <v>356</v>
      </c>
      <c r="AP38" t="s">
        <v>300</v>
      </c>
    </row>
    <row r="39" spans="1:42">
      <c r="A39" t="s">
        <v>360</v>
      </c>
      <c r="B39" t="s">
        <v>361</v>
      </c>
      <c r="C39">
        <v>4372017</v>
      </c>
      <c r="D39" t="s">
        <v>54</v>
      </c>
      <c r="E39" t="s">
        <v>362</v>
      </c>
      <c r="F39">
        <v>4445144</v>
      </c>
      <c r="G39" t="s">
        <v>348</v>
      </c>
      <c r="H39" t="s">
        <v>347</v>
      </c>
      <c r="J39" t="s">
        <v>18</v>
      </c>
      <c r="K39" t="s">
        <v>349</v>
      </c>
      <c r="L39" t="s">
        <v>196</v>
      </c>
      <c r="V39" t="s">
        <v>197</v>
      </c>
      <c r="W39" t="s">
        <v>197</v>
      </c>
      <c r="X39" t="s">
        <v>197</v>
      </c>
      <c r="Y39" t="s">
        <v>197</v>
      </c>
      <c r="AF39" t="s">
        <v>242</v>
      </c>
      <c r="AG39">
        <v>0</v>
      </c>
      <c r="AH39">
        <v>0</v>
      </c>
      <c r="AI39">
        <v>0</v>
      </c>
      <c r="AJ39">
        <v>0</v>
      </c>
      <c r="AK39">
        <v>0</v>
      </c>
      <c r="AL39">
        <v>0</v>
      </c>
      <c r="AM39">
        <v>0</v>
      </c>
      <c r="AO39" t="s">
        <v>317</v>
      </c>
      <c r="AP39" t="s">
        <v>300</v>
      </c>
    </row>
    <row r="40" spans="1:42">
      <c r="A40" t="s">
        <v>350</v>
      </c>
      <c r="B40" t="s">
        <v>351</v>
      </c>
      <c r="C40">
        <v>4250760</v>
      </c>
      <c r="D40" t="s">
        <v>54</v>
      </c>
      <c r="E40" t="s">
        <v>363</v>
      </c>
      <c r="F40">
        <v>4371721</v>
      </c>
      <c r="G40" t="s">
        <v>353</v>
      </c>
      <c r="H40" t="s">
        <v>354</v>
      </c>
      <c r="J40" t="s">
        <v>18</v>
      </c>
      <c r="K40" t="s">
        <v>355</v>
      </c>
      <c r="L40" t="s">
        <v>196</v>
      </c>
      <c r="V40" t="s">
        <v>204</v>
      </c>
      <c r="W40" t="s">
        <v>204</v>
      </c>
      <c r="X40" t="s">
        <v>197</v>
      </c>
      <c r="Y40" t="s">
        <v>197</v>
      </c>
      <c r="Z40">
        <v>17</v>
      </c>
      <c r="AA40">
        <v>16</v>
      </c>
      <c r="AB40">
        <v>0</v>
      </c>
      <c r="AC40">
        <v>16</v>
      </c>
      <c r="AD40">
        <v>1</v>
      </c>
      <c r="AE40">
        <v>0.9</v>
      </c>
      <c r="AF40" t="s">
        <v>242</v>
      </c>
      <c r="AG40">
        <v>0</v>
      </c>
      <c r="AH40">
        <v>0</v>
      </c>
      <c r="AI40">
        <v>0</v>
      </c>
      <c r="AJ40">
        <v>16</v>
      </c>
      <c r="AK40">
        <v>16</v>
      </c>
      <c r="AL40">
        <v>0</v>
      </c>
      <c r="AM40">
        <v>0</v>
      </c>
      <c r="AO40" t="s">
        <v>356</v>
      </c>
      <c r="AP40" t="s">
        <v>300</v>
      </c>
    </row>
    <row r="41" spans="1:42">
      <c r="A41" t="s">
        <v>350</v>
      </c>
      <c r="B41" t="s">
        <v>351</v>
      </c>
      <c r="C41">
        <v>4250760</v>
      </c>
      <c r="D41" t="s">
        <v>54</v>
      </c>
      <c r="E41" t="s">
        <v>364</v>
      </c>
      <c r="F41">
        <v>4367388</v>
      </c>
      <c r="G41" t="s">
        <v>353</v>
      </c>
      <c r="H41" t="s">
        <v>354</v>
      </c>
      <c r="J41" t="s">
        <v>18</v>
      </c>
      <c r="K41" t="s">
        <v>365</v>
      </c>
      <c r="L41" t="s">
        <v>196</v>
      </c>
      <c r="V41" t="s">
        <v>204</v>
      </c>
      <c r="W41" t="s">
        <v>204</v>
      </c>
      <c r="X41" t="s">
        <v>197</v>
      </c>
      <c r="Y41" t="s">
        <v>197</v>
      </c>
      <c r="Z41">
        <v>16</v>
      </c>
      <c r="AA41">
        <v>14</v>
      </c>
      <c r="AB41">
        <v>0</v>
      </c>
      <c r="AC41">
        <v>14</v>
      </c>
      <c r="AD41">
        <v>1</v>
      </c>
      <c r="AE41">
        <v>0.8</v>
      </c>
      <c r="AF41" t="s">
        <v>242</v>
      </c>
      <c r="AG41">
        <v>0</v>
      </c>
      <c r="AH41">
        <v>0</v>
      </c>
      <c r="AI41">
        <v>0</v>
      </c>
      <c r="AJ41">
        <v>14</v>
      </c>
      <c r="AK41">
        <v>14</v>
      </c>
      <c r="AL41">
        <v>0</v>
      </c>
      <c r="AM41">
        <v>0</v>
      </c>
      <c r="AO41" t="s">
        <v>356</v>
      </c>
      <c r="AP41" t="s">
        <v>300</v>
      </c>
    </row>
    <row r="42" spans="1:42">
      <c r="A42" t="s">
        <v>350</v>
      </c>
      <c r="B42" t="s">
        <v>351</v>
      </c>
      <c r="C42">
        <v>4250760</v>
      </c>
      <c r="D42" t="s">
        <v>54</v>
      </c>
      <c r="E42" t="s">
        <v>366</v>
      </c>
      <c r="F42">
        <v>4312145</v>
      </c>
      <c r="G42" t="s">
        <v>353</v>
      </c>
      <c r="H42" t="s">
        <v>354</v>
      </c>
      <c r="J42" t="s">
        <v>18</v>
      </c>
      <c r="K42" t="s">
        <v>367</v>
      </c>
      <c r="L42" t="s">
        <v>196</v>
      </c>
      <c r="V42" t="s">
        <v>204</v>
      </c>
      <c r="W42" t="s">
        <v>204</v>
      </c>
      <c r="X42" t="s">
        <v>197</v>
      </c>
      <c r="Y42" t="s">
        <v>197</v>
      </c>
      <c r="Z42">
        <v>17</v>
      </c>
      <c r="AA42">
        <v>16</v>
      </c>
      <c r="AB42">
        <v>1</v>
      </c>
      <c r="AC42">
        <v>17</v>
      </c>
      <c r="AD42">
        <v>0.94117647058823528</v>
      </c>
      <c r="AE42">
        <v>0.85</v>
      </c>
      <c r="AF42" t="s">
        <v>242</v>
      </c>
      <c r="AG42">
        <v>0</v>
      </c>
      <c r="AH42">
        <v>0</v>
      </c>
      <c r="AI42">
        <v>0</v>
      </c>
      <c r="AJ42">
        <v>17</v>
      </c>
      <c r="AK42">
        <v>17</v>
      </c>
      <c r="AL42">
        <v>0</v>
      </c>
      <c r="AM42">
        <v>0</v>
      </c>
      <c r="AO42" t="s">
        <v>356</v>
      </c>
      <c r="AP42" t="s">
        <v>300</v>
      </c>
    </row>
    <row r="43" spans="1:42">
      <c r="A43" t="s">
        <v>350</v>
      </c>
      <c r="B43" t="s">
        <v>351</v>
      </c>
      <c r="C43">
        <v>4250760</v>
      </c>
      <c r="D43" t="s">
        <v>54</v>
      </c>
      <c r="E43" t="s">
        <v>368</v>
      </c>
      <c r="F43">
        <v>4252811</v>
      </c>
      <c r="G43" t="s">
        <v>353</v>
      </c>
      <c r="H43" t="s">
        <v>354</v>
      </c>
      <c r="J43" t="s">
        <v>18</v>
      </c>
      <c r="K43" t="s">
        <v>369</v>
      </c>
      <c r="L43" t="s">
        <v>196</v>
      </c>
      <c r="V43" t="s">
        <v>204</v>
      </c>
      <c r="W43" t="s">
        <v>204</v>
      </c>
      <c r="X43" t="s">
        <v>197</v>
      </c>
      <c r="Y43" t="s">
        <v>197</v>
      </c>
      <c r="Z43">
        <v>16</v>
      </c>
      <c r="AA43">
        <v>15</v>
      </c>
      <c r="AB43">
        <v>1</v>
      </c>
      <c r="AC43">
        <v>16</v>
      </c>
      <c r="AD43">
        <v>0.9375</v>
      </c>
      <c r="AE43">
        <v>0.85</v>
      </c>
      <c r="AF43" t="s">
        <v>242</v>
      </c>
      <c r="AG43">
        <v>0</v>
      </c>
      <c r="AH43">
        <v>0</v>
      </c>
      <c r="AI43">
        <v>0</v>
      </c>
      <c r="AJ43">
        <v>16</v>
      </c>
      <c r="AK43">
        <v>16</v>
      </c>
      <c r="AL43">
        <v>0</v>
      </c>
      <c r="AM43">
        <v>0</v>
      </c>
      <c r="AO43" t="s">
        <v>356</v>
      </c>
      <c r="AP43" t="s">
        <v>300</v>
      </c>
    </row>
    <row r="44" spans="1:42">
      <c r="A44" t="s">
        <v>350</v>
      </c>
      <c r="B44" t="s">
        <v>351</v>
      </c>
      <c r="C44">
        <v>4250760</v>
      </c>
      <c r="D44" t="s">
        <v>54</v>
      </c>
      <c r="E44" t="s">
        <v>370</v>
      </c>
      <c r="F44">
        <v>4250789</v>
      </c>
      <c r="G44" t="s">
        <v>353</v>
      </c>
      <c r="H44" t="s">
        <v>354</v>
      </c>
      <c r="J44" t="s">
        <v>18</v>
      </c>
      <c r="K44" t="s">
        <v>355</v>
      </c>
      <c r="L44" t="s">
        <v>196</v>
      </c>
      <c r="V44" t="s">
        <v>204</v>
      </c>
      <c r="W44" t="s">
        <v>204</v>
      </c>
      <c r="X44" t="s">
        <v>197</v>
      </c>
      <c r="Y44" t="s">
        <v>197</v>
      </c>
      <c r="Z44">
        <v>17</v>
      </c>
      <c r="AA44">
        <v>16</v>
      </c>
      <c r="AB44">
        <v>0</v>
      </c>
      <c r="AC44">
        <v>16</v>
      </c>
      <c r="AD44">
        <v>1</v>
      </c>
      <c r="AE44">
        <v>0.9</v>
      </c>
      <c r="AF44" t="s">
        <v>242</v>
      </c>
      <c r="AG44">
        <v>0</v>
      </c>
      <c r="AH44">
        <v>0</v>
      </c>
      <c r="AI44">
        <v>0</v>
      </c>
      <c r="AJ44">
        <v>16</v>
      </c>
      <c r="AK44">
        <v>16</v>
      </c>
      <c r="AL44">
        <v>0</v>
      </c>
      <c r="AM44">
        <v>0</v>
      </c>
      <c r="AO44" t="s">
        <v>356</v>
      </c>
      <c r="AP44" t="s">
        <v>300</v>
      </c>
    </row>
    <row r="45" spans="1:42">
      <c r="A45" t="s">
        <v>350</v>
      </c>
      <c r="B45" t="s">
        <v>351</v>
      </c>
      <c r="C45">
        <v>4250760</v>
      </c>
      <c r="D45" t="s">
        <v>54</v>
      </c>
      <c r="E45" t="s">
        <v>371</v>
      </c>
      <c r="F45">
        <v>4416213</v>
      </c>
      <c r="G45" t="s">
        <v>353</v>
      </c>
      <c r="H45" t="s">
        <v>354</v>
      </c>
      <c r="J45" t="s">
        <v>18</v>
      </c>
      <c r="K45" t="s">
        <v>369</v>
      </c>
      <c r="L45" t="s">
        <v>196</v>
      </c>
      <c r="V45" t="s">
        <v>204</v>
      </c>
      <c r="W45" t="s">
        <v>204</v>
      </c>
      <c r="X45" t="s">
        <v>197</v>
      </c>
      <c r="Y45" t="s">
        <v>197</v>
      </c>
      <c r="Z45">
        <v>16</v>
      </c>
      <c r="AA45">
        <v>15</v>
      </c>
      <c r="AB45">
        <v>1</v>
      </c>
      <c r="AC45">
        <v>16</v>
      </c>
      <c r="AD45">
        <v>0.9375</v>
      </c>
      <c r="AE45">
        <v>0.85</v>
      </c>
      <c r="AF45" t="s">
        <v>242</v>
      </c>
      <c r="AG45">
        <v>0</v>
      </c>
      <c r="AH45">
        <v>0</v>
      </c>
      <c r="AI45">
        <v>0</v>
      </c>
      <c r="AJ45">
        <v>16</v>
      </c>
      <c r="AK45">
        <v>16</v>
      </c>
      <c r="AL45">
        <v>0</v>
      </c>
      <c r="AM45">
        <v>0</v>
      </c>
      <c r="AO45" t="s">
        <v>356</v>
      </c>
      <c r="AP45" t="s">
        <v>300</v>
      </c>
    </row>
    <row r="46" spans="1:42">
      <c r="A46" t="s">
        <v>350</v>
      </c>
      <c r="B46" t="s">
        <v>351</v>
      </c>
      <c r="C46">
        <v>4250760</v>
      </c>
      <c r="D46" t="s">
        <v>54</v>
      </c>
      <c r="E46" t="s">
        <v>372</v>
      </c>
      <c r="F46">
        <v>4416199</v>
      </c>
      <c r="G46" t="s">
        <v>353</v>
      </c>
      <c r="H46" t="s">
        <v>354</v>
      </c>
      <c r="J46" t="s">
        <v>18</v>
      </c>
      <c r="K46" t="s">
        <v>369</v>
      </c>
      <c r="L46" t="s">
        <v>196</v>
      </c>
      <c r="V46" t="s">
        <v>204</v>
      </c>
      <c r="W46" t="s">
        <v>204</v>
      </c>
      <c r="X46" t="s">
        <v>197</v>
      </c>
      <c r="Y46" t="s">
        <v>197</v>
      </c>
      <c r="Z46">
        <v>16</v>
      </c>
      <c r="AA46">
        <v>15</v>
      </c>
      <c r="AB46">
        <v>1</v>
      </c>
      <c r="AC46">
        <v>17</v>
      </c>
      <c r="AD46">
        <v>0.88235294117647056</v>
      </c>
      <c r="AE46">
        <v>0.85</v>
      </c>
      <c r="AF46" t="s">
        <v>242</v>
      </c>
      <c r="AG46">
        <v>0</v>
      </c>
      <c r="AH46">
        <v>0</v>
      </c>
      <c r="AI46">
        <v>0</v>
      </c>
      <c r="AJ46">
        <v>17</v>
      </c>
      <c r="AK46">
        <v>17</v>
      </c>
      <c r="AL46">
        <v>0</v>
      </c>
      <c r="AM46">
        <v>0</v>
      </c>
      <c r="AO46" t="s">
        <v>356</v>
      </c>
      <c r="AP46" t="s">
        <v>300</v>
      </c>
    </row>
    <row r="47" spans="1:42">
      <c r="A47" t="s">
        <v>350</v>
      </c>
      <c r="B47" t="s">
        <v>351</v>
      </c>
      <c r="C47">
        <v>4250760</v>
      </c>
      <c r="D47" t="s">
        <v>54</v>
      </c>
      <c r="E47" t="s">
        <v>373</v>
      </c>
      <c r="F47">
        <v>4416198</v>
      </c>
      <c r="G47" t="s">
        <v>353</v>
      </c>
      <c r="H47" t="s">
        <v>354</v>
      </c>
      <c r="J47" t="s">
        <v>18</v>
      </c>
      <c r="K47" t="s">
        <v>369</v>
      </c>
      <c r="L47" t="s">
        <v>196</v>
      </c>
      <c r="V47" t="s">
        <v>204</v>
      </c>
      <c r="W47" t="s">
        <v>204</v>
      </c>
      <c r="X47" t="s">
        <v>197</v>
      </c>
      <c r="Y47" t="s">
        <v>197</v>
      </c>
      <c r="Z47">
        <v>16</v>
      </c>
      <c r="AA47">
        <v>16</v>
      </c>
      <c r="AB47">
        <v>1</v>
      </c>
      <c r="AC47">
        <v>17</v>
      </c>
      <c r="AD47">
        <v>0.94117647058823528</v>
      </c>
      <c r="AE47">
        <v>0.9</v>
      </c>
      <c r="AF47" t="s">
        <v>242</v>
      </c>
      <c r="AG47">
        <v>0</v>
      </c>
      <c r="AH47">
        <v>0</v>
      </c>
      <c r="AI47">
        <v>0</v>
      </c>
      <c r="AJ47">
        <v>17</v>
      </c>
      <c r="AK47">
        <v>17</v>
      </c>
      <c r="AL47">
        <v>0</v>
      </c>
      <c r="AM47">
        <v>0</v>
      </c>
      <c r="AO47" t="s">
        <v>356</v>
      </c>
      <c r="AP47" t="s">
        <v>300</v>
      </c>
    </row>
    <row r="48" spans="1:42">
      <c r="A48" t="s">
        <v>350</v>
      </c>
      <c r="B48" t="s">
        <v>351</v>
      </c>
      <c r="C48">
        <v>4250760</v>
      </c>
      <c r="D48" t="s">
        <v>54</v>
      </c>
      <c r="E48" t="s">
        <v>374</v>
      </c>
      <c r="F48">
        <v>4413836</v>
      </c>
      <c r="G48" t="s">
        <v>353</v>
      </c>
      <c r="H48" t="s">
        <v>354</v>
      </c>
      <c r="J48" t="s">
        <v>18</v>
      </c>
      <c r="K48" t="s">
        <v>355</v>
      </c>
      <c r="L48" t="s">
        <v>196</v>
      </c>
      <c r="V48" t="s">
        <v>204</v>
      </c>
      <c r="W48" t="s">
        <v>204</v>
      </c>
      <c r="X48" t="s">
        <v>197</v>
      </c>
      <c r="Y48" t="s">
        <v>197</v>
      </c>
      <c r="Z48">
        <v>18</v>
      </c>
      <c r="AA48">
        <v>17</v>
      </c>
      <c r="AB48">
        <v>0</v>
      </c>
      <c r="AC48">
        <v>17</v>
      </c>
      <c r="AD48">
        <v>1</v>
      </c>
      <c r="AE48">
        <v>0.85</v>
      </c>
      <c r="AF48" t="s">
        <v>242</v>
      </c>
      <c r="AG48">
        <v>0</v>
      </c>
      <c r="AH48">
        <v>0</v>
      </c>
      <c r="AI48">
        <v>0</v>
      </c>
      <c r="AJ48">
        <v>17</v>
      </c>
      <c r="AK48">
        <v>17</v>
      </c>
      <c r="AL48">
        <v>0</v>
      </c>
      <c r="AM48">
        <v>0</v>
      </c>
      <c r="AO48" t="s">
        <v>356</v>
      </c>
      <c r="AP48" t="s">
        <v>300</v>
      </c>
    </row>
    <row r="49" spans="1:42">
      <c r="A49" t="s">
        <v>350</v>
      </c>
      <c r="B49" t="s">
        <v>351</v>
      </c>
      <c r="C49">
        <v>4250760</v>
      </c>
      <c r="D49" t="s">
        <v>54</v>
      </c>
      <c r="E49" t="s">
        <v>375</v>
      </c>
      <c r="F49">
        <v>4413833</v>
      </c>
      <c r="G49" t="s">
        <v>353</v>
      </c>
      <c r="H49" t="s">
        <v>354</v>
      </c>
      <c r="J49" t="s">
        <v>18</v>
      </c>
      <c r="K49" t="s">
        <v>355</v>
      </c>
      <c r="L49" t="s">
        <v>196</v>
      </c>
      <c r="V49" t="s">
        <v>204</v>
      </c>
      <c r="W49" t="s">
        <v>204</v>
      </c>
      <c r="X49" t="s">
        <v>197</v>
      </c>
      <c r="Y49" t="s">
        <v>197</v>
      </c>
      <c r="Z49">
        <v>18</v>
      </c>
      <c r="AA49">
        <v>18</v>
      </c>
      <c r="AB49">
        <v>0</v>
      </c>
      <c r="AC49">
        <v>18</v>
      </c>
      <c r="AD49">
        <v>1</v>
      </c>
      <c r="AE49">
        <v>0.9</v>
      </c>
      <c r="AF49" t="s">
        <v>242</v>
      </c>
      <c r="AG49">
        <v>0</v>
      </c>
      <c r="AH49">
        <v>0</v>
      </c>
      <c r="AI49">
        <v>0</v>
      </c>
      <c r="AJ49">
        <v>18</v>
      </c>
      <c r="AK49">
        <v>18</v>
      </c>
      <c r="AL49">
        <v>0</v>
      </c>
      <c r="AM49">
        <v>0</v>
      </c>
      <c r="AO49" t="s">
        <v>356</v>
      </c>
      <c r="AP49" t="s">
        <v>300</v>
      </c>
    </row>
    <row r="50" spans="1:42">
      <c r="A50" t="s">
        <v>360</v>
      </c>
      <c r="B50" t="s">
        <v>361</v>
      </c>
      <c r="C50">
        <v>4372017</v>
      </c>
      <c r="D50" t="s">
        <v>54</v>
      </c>
      <c r="E50" t="s">
        <v>376</v>
      </c>
      <c r="F50">
        <v>4372033</v>
      </c>
      <c r="G50" t="s">
        <v>348</v>
      </c>
      <c r="H50" t="s">
        <v>347</v>
      </c>
      <c r="J50" t="s">
        <v>18</v>
      </c>
      <c r="K50" t="s">
        <v>349</v>
      </c>
      <c r="L50" t="s">
        <v>196</v>
      </c>
      <c r="V50" t="s">
        <v>197</v>
      </c>
      <c r="W50" t="s">
        <v>197</v>
      </c>
      <c r="X50" t="s">
        <v>197</v>
      </c>
      <c r="Y50" t="s">
        <v>197</v>
      </c>
      <c r="AF50" t="s">
        <v>242</v>
      </c>
      <c r="AG50">
        <v>0</v>
      </c>
      <c r="AH50">
        <v>0</v>
      </c>
      <c r="AI50">
        <v>0</v>
      </c>
      <c r="AJ50">
        <v>0</v>
      </c>
      <c r="AK50">
        <v>0</v>
      </c>
      <c r="AL50">
        <v>0</v>
      </c>
      <c r="AM50">
        <v>0</v>
      </c>
      <c r="AO50" t="s">
        <v>317</v>
      </c>
      <c r="AP50" t="s">
        <v>300</v>
      </c>
    </row>
    <row r="51" spans="1:42">
      <c r="A51" t="s">
        <v>255</v>
      </c>
      <c r="B51" t="s">
        <v>357</v>
      </c>
      <c r="C51">
        <v>4428652</v>
      </c>
      <c r="D51" t="s">
        <v>54</v>
      </c>
      <c r="E51" t="s">
        <v>377</v>
      </c>
      <c r="F51">
        <v>4428656</v>
      </c>
      <c r="G51" t="s">
        <v>348</v>
      </c>
      <c r="H51" t="s">
        <v>347</v>
      </c>
      <c r="J51" t="s">
        <v>18</v>
      </c>
      <c r="K51" t="s">
        <v>349</v>
      </c>
      <c r="L51" t="s">
        <v>196</v>
      </c>
      <c r="V51" t="s">
        <v>197</v>
      </c>
      <c r="W51" t="s">
        <v>197</v>
      </c>
      <c r="X51" t="s">
        <v>197</v>
      </c>
      <c r="Y51" t="s">
        <v>197</v>
      </c>
      <c r="AF51" t="s">
        <v>359</v>
      </c>
      <c r="AG51">
        <v>0</v>
      </c>
      <c r="AH51">
        <v>0</v>
      </c>
      <c r="AI51">
        <v>0</v>
      </c>
      <c r="AJ51">
        <v>0</v>
      </c>
      <c r="AK51">
        <v>0</v>
      </c>
      <c r="AL51">
        <v>0</v>
      </c>
      <c r="AM51">
        <v>0</v>
      </c>
      <c r="AO51" t="s">
        <v>356</v>
      </c>
      <c r="AP51" t="s">
        <v>300</v>
      </c>
    </row>
    <row r="52" spans="1:42">
      <c r="A52" t="s">
        <v>378</v>
      </c>
      <c r="B52" t="s">
        <v>286</v>
      </c>
      <c r="C52">
        <v>4422839</v>
      </c>
      <c r="D52" t="s">
        <v>54</v>
      </c>
      <c r="E52" t="s">
        <v>379</v>
      </c>
      <c r="F52">
        <v>4423306</v>
      </c>
      <c r="G52" t="s">
        <v>347</v>
      </c>
      <c r="H52" t="s">
        <v>348</v>
      </c>
      <c r="J52" t="s">
        <v>18</v>
      </c>
      <c r="K52" t="s">
        <v>380</v>
      </c>
      <c r="L52" t="s">
        <v>196</v>
      </c>
      <c r="V52" t="s">
        <v>197</v>
      </c>
      <c r="W52" t="s">
        <v>197</v>
      </c>
      <c r="X52" t="s">
        <v>197</v>
      </c>
      <c r="Y52" t="s">
        <v>197</v>
      </c>
      <c r="AF52" t="s">
        <v>288</v>
      </c>
      <c r="AG52">
        <v>0</v>
      </c>
      <c r="AH52">
        <v>0</v>
      </c>
      <c r="AI52">
        <v>0</v>
      </c>
      <c r="AJ52">
        <v>0</v>
      </c>
      <c r="AK52">
        <v>0</v>
      </c>
      <c r="AL52">
        <v>0</v>
      </c>
      <c r="AM52">
        <v>0</v>
      </c>
      <c r="AO52" t="s">
        <v>381</v>
      </c>
      <c r="AP52" t="s">
        <v>218</v>
      </c>
    </row>
    <row r="53" spans="1:42">
      <c r="A53" t="s">
        <v>360</v>
      </c>
      <c r="B53" t="s">
        <v>361</v>
      </c>
      <c r="C53">
        <v>4372017</v>
      </c>
      <c r="D53" t="s">
        <v>54</v>
      </c>
      <c r="E53" t="s">
        <v>382</v>
      </c>
      <c r="F53">
        <v>4372031</v>
      </c>
      <c r="G53" t="s">
        <v>347</v>
      </c>
      <c r="H53" t="s">
        <v>348</v>
      </c>
      <c r="J53" t="s">
        <v>18</v>
      </c>
      <c r="K53" t="s">
        <v>349</v>
      </c>
      <c r="L53" t="s">
        <v>196</v>
      </c>
      <c r="V53" t="s">
        <v>197</v>
      </c>
      <c r="W53" t="s">
        <v>197</v>
      </c>
      <c r="X53" t="s">
        <v>197</v>
      </c>
      <c r="Y53" t="s">
        <v>197</v>
      </c>
      <c r="AF53" t="s">
        <v>288</v>
      </c>
      <c r="AG53">
        <v>0</v>
      </c>
      <c r="AH53">
        <v>0</v>
      </c>
      <c r="AI53">
        <v>0</v>
      </c>
      <c r="AJ53">
        <v>0</v>
      </c>
      <c r="AK53">
        <v>0</v>
      </c>
      <c r="AL53">
        <v>0</v>
      </c>
      <c r="AM53">
        <v>0</v>
      </c>
      <c r="AO53" t="s">
        <v>381</v>
      </c>
      <c r="AP53" t="s">
        <v>218</v>
      </c>
    </row>
    <row r="54" spans="1:42">
      <c r="A54" t="s">
        <v>383</v>
      </c>
      <c r="B54" t="s">
        <v>286</v>
      </c>
      <c r="C54">
        <v>4422839</v>
      </c>
      <c r="D54" t="s">
        <v>54</v>
      </c>
      <c r="E54" t="s">
        <v>384</v>
      </c>
      <c r="F54">
        <v>4390542</v>
      </c>
      <c r="G54" t="s">
        <v>385</v>
      </c>
      <c r="H54" t="s">
        <v>354</v>
      </c>
      <c r="J54" t="s">
        <v>18</v>
      </c>
      <c r="K54" t="s">
        <v>386</v>
      </c>
      <c r="L54" t="s">
        <v>196</v>
      </c>
      <c r="V54" t="s">
        <v>197</v>
      </c>
      <c r="W54" t="s">
        <v>197</v>
      </c>
      <c r="X54" t="s">
        <v>197</v>
      </c>
      <c r="Y54" t="s">
        <v>197</v>
      </c>
      <c r="AF54" t="s">
        <v>288</v>
      </c>
      <c r="AG54">
        <v>0</v>
      </c>
      <c r="AH54">
        <v>0</v>
      </c>
      <c r="AI54">
        <v>0</v>
      </c>
      <c r="AJ54">
        <v>0</v>
      </c>
      <c r="AK54">
        <v>0</v>
      </c>
      <c r="AL54">
        <v>0</v>
      </c>
      <c r="AM54">
        <v>0</v>
      </c>
      <c r="AO54" t="s">
        <v>387</v>
      </c>
      <c r="AP54" t="s">
        <v>218</v>
      </c>
    </row>
    <row r="55" spans="1:42">
      <c r="A55" t="s">
        <v>388</v>
      </c>
      <c r="B55" t="s">
        <v>286</v>
      </c>
      <c r="C55">
        <v>4422839</v>
      </c>
      <c r="D55" t="s">
        <v>54</v>
      </c>
      <c r="E55" t="s">
        <v>389</v>
      </c>
      <c r="F55">
        <v>4390540</v>
      </c>
      <c r="G55" t="s">
        <v>385</v>
      </c>
      <c r="H55" t="s">
        <v>354</v>
      </c>
      <c r="J55" t="s">
        <v>18</v>
      </c>
      <c r="K55" t="s">
        <v>390</v>
      </c>
      <c r="L55" t="s">
        <v>196</v>
      </c>
      <c r="V55" t="s">
        <v>197</v>
      </c>
      <c r="W55" t="s">
        <v>197</v>
      </c>
      <c r="X55" t="s">
        <v>197</v>
      </c>
      <c r="Y55" t="s">
        <v>197</v>
      </c>
      <c r="AF55" t="s">
        <v>288</v>
      </c>
      <c r="AG55">
        <v>0</v>
      </c>
      <c r="AH55">
        <v>0</v>
      </c>
      <c r="AI55">
        <v>0</v>
      </c>
      <c r="AJ55">
        <v>0</v>
      </c>
      <c r="AK55">
        <v>0</v>
      </c>
      <c r="AL55">
        <v>0</v>
      </c>
      <c r="AM55">
        <v>0</v>
      </c>
      <c r="AO55" t="s">
        <v>387</v>
      </c>
      <c r="AP55" t="s">
        <v>218</v>
      </c>
    </row>
    <row r="56" spans="1:42">
      <c r="A56" t="s">
        <v>378</v>
      </c>
      <c r="B56" t="s">
        <v>391</v>
      </c>
      <c r="C56">
        <v>4165954</v>
      </c>
      <c r="D56" t="s">
        <v>54</v>
      </c>
      <c r="E56" t="s">
        <v>392</v>
      </c>
      <c r="F56">
        <v>4183616</v>
      </c>
      <c r="G56" t="s">
        <v>347</v>
      </c>
      <c r="H56" t="s">
        <v>348</v>
      </c>
      <c r="J56" t="s">
        <v>18</v>
      </c>
      <c r="K56" t="s">
        <v>380</v>
      </c>
      <c r="L56" t="s">
        <v>196</v>
      </c>
      <c r="V56" t="s">
        <v>197</v>
      </c>
      <c r="W56" t="s">
        <v>197</v>
      </c>
      <c r="X56" t="s">
        <v>197</v>
      </c>
      <c r="Y56" t="s">
        <v>197</v>
      </c>
      <c r="AF56" t="s">
        <v>393</v>
      </c>
      <c r="AG56">
        <v>0</v>
      </c>
      <c r="AH56">
        <v>0</v>
      </c>
      <c r="AI56">
        <v>0</v>
      </c>
      <c r="AJ56">
        <v>0</v>
      </c>
      <c r="AK56">
        <v>0</v>
      </c>
      <c r="AL56">
        <v>0</v>
      </c>
      <c r="AM56">
        <v>0</v>
      </c>
      <c r="AO56" t="s">
        <v>381</v>
      </c>
      <c r="AP56" t="s">
        <v>218</v>
      </c>
    </row>
    <row r="57" spans="1:42">
      <c r="A57" t="s">
        <v>360</v>
      </c>
      <c r="B57" t="s">
        <v>361</v>
      </c>
      <c r="C57">
        <v>4372017</v>
      </c>
      <c r="D57" t="s">
        <v>54</v>
      </c>
      <c r="E57" t="s">
        <v>394</v>
      </c>
      <c r="F57">
        <v>4362070</v>
      </c>
      <c r="G57" t="s">
        <v>348</v>
      </c>
      <c r="H57" t="s">
        <v>347</v>
      </c>
      <c r="J57" t="s">
        <v>18</v>
      </c>
      <c r="K57" t="s">
        <v>395</v>
      </c>
      <c r="L57" t="s">
        <v>196</v>
      </c>
      <c r="V57" t="s">
        <v>197</v>
      </c>
      <c r="W57" t="s">
        <v>197</v>
      </c>
      <c r="X57" t="s">
        <v>197</v>
      </c>
      <c r="Y57" t="s">
        <v>197</v>
      </c>
      <c r="AF57" t="s">
        <v>288</v>
      </c>
      <c r="AG57">
        <v>0</v>
      </c>
      <c r="AH57">
        <v>0</v>
      </c>
      <c r="AI57">
        <v>0</v>
      </c>
      <c r="AJ57">
        <v>0</v>
      </c>
      <c r="AK57">
        <v>0</v>
      </c>
      <c r="AL57">
        <v>0</v>
      </c>
      <c r="AM57">
        <v>0</v>
      </c>
      <c r="AO57" t="s">
        <v>396</v>
      </c>
      <c r="AP57" t="s">
        <v>218</v>
      </c>
    </row>
    <row r="58" spans="1:42">
      <c r="A58" t="s">
        <v>397</v>
      </c>
      <c r="B58" t="s">
        <v>398</v>
      </c>
      <c r="C58">
        <v>4441807</v>
      </c>
      <c r="D58" t="s">
        <v>54</v>
      </c>
      <c r="E58" t="s">
        <v>399</v>
      </c>
      <c r="F58">
        <v>4443542</v>
      </c>
      <c r="G58" t="s">
        <v>354</v>
      </c>
      <c r="H58" t="s">
        <v>400</v>
      </c>
      <c r="J58" t="s">
        <v>18</v>
      </c>
      <c r="K58" t="s">
        <v>215</v>
      </c>
      <c r="L58" t="s">
        <v>196</v>
      </c>
      <c r="V58" t="s">
        <v>204</v>
      </c>
      <c r="W58" t="s">
        <v>216</v>
      </c>
      <c r="X58" t="s">
        <v>197</v>
      </c>
      <c r="Y58" t="s">
        <v>197</v>
      </c>
      <c r="AF58" t="s">
        <v>242</v>
      </c>
      <c r="AG58">
        <v>0</v>
      </c>
      <c r="AH58">
        <v>0</v>
      </c>
      <c r="AI58">
        <v>0</v>
      </c>
      <c r="AJ58">
        <v>0</v>
      </c>
      <c r="AK58">
        <v>0</v>
      </c>
      <c r="AL58">
        <v>0</v>
      </c>
      <c r="AM58">
        <v>0</v>
      </c>
      <c r="AO58" t="s">
        <v>401</v>
      </c>
      <c r="AP58" t="s">
        <v>402</v>
      </c>
    </row>
    <row r="59" spans="1:42">
      <c r="A59" t="s">
        <v>235</v>
      </c>
      <c r="B59" t="s">
        <v>403</v>
      </c>
      <c r="C59">
        <v>4459051</v>
      </c>
      <c r="D59" t="s">
        <v>70</v>
      </c>
      <c r="E59" t="s">
        <v>404</v>
      </c>
      <c r="F59">
        <v>4449532</v>
      </c>
      <c r="G59" t="s">
        <v>405</v>
      </c>
      <c r="H59" t="s">
        <v>326</v>
      </c>
      <c r="J59" t="s">
        <v>18</v>
      </c>
      <c r="K59" t="s">
        <v>406</v>
      </c>
      <c r="L59" t="s">
        <v>196</v>
      </c>
      <c r="V59" t="s">
        <v>216</v>
      </c>
      <c r="W59" t="s">
        <v>197</v>
      </c>
      <c r="X59" t="s">
        <v>197</v>
      </c>
      <c r="Y59" t="s">
        <v>197</v>
      </c>
      <c r="Z59">
        <v>40</v>
      </c>
      <c r="AF59" t="s">
        <v>198</v>
      </c>
      <c r="AG59">
        <v>0</v>
      </c>
      <c r="AH59">
        <v>0</v>
      </c>
      <c r="AI59">
        <v>0</v>
      </c>
      <c r="AJ59">
        <v>0</v>
      </c>
      <c r="AK59">
        <v>0</v>
      </c>
      <c r="AL59">
        <v>0</v>
      </c>
      <c r="AM59">
        <v>0</v>
      </c>
      <c r="AO59" t="s">
        <v>407</v>
      </c>
      <c r="AP59" t="s">
        <v>408</v>
      </c>
    </row>
    <row r="60" spans="1:42">
      <c r="A60" t="s">
        <v>235</v>
      </c>
      <c r="B60" t="s">
        <v>403</v>
      </c>
      <c r="C60">
        <v>4459051</v>
      </c>
      <c r="D60" t="s">
        <v>70</v>
      </c>
      <c r="E60" t="s">
        <v>409</v>
      </c>
      <c r="F60">
        <v>4449651</v>
      </c>
      <c r="G60" t="s">
        <v>410</v>
      </c>
      <c r="H60" t="s">
        <v>411</v>
      </c>
      <c r="J60" t="s">
        <v>18</v>
      </c>
      <c r="K60" t="s">
        <v>412</v>
      </c>
      <c r="L60" t="s">
        <v>196</v>
      </c>
      <c r="V60" t="s">
        <v>216</v>
      </c>
      <c r="W60" t="s">
        <v>197</v>
      </c>
      <c r="X60" t="s">
        <v>197</v>
      </c>
      <c r="Y60" t="s">
        <v>197</v>
      </c>
      <c r="Z60">
        <v>40</v>
      </c>
      <c r="AF60" t="s">
        <v>242</v>
      </c>
      <c r="AG60">
        <v>0</v>
      </c>
      <c r="AH60">
        <v>0</v>
      </c>
      <c r="AI60">
        <v>0</v>
      </c>
      <c r="AJ60">
        <v>0</v>
      </c>
      <c r="AK60">
        <v>0</v>
      </c>
      <c r="AL60">
        <v>0</v>
      </c>
      <c r="AM60">
        <v>0</v>
      </c>
      <c r="AO60" t="s">
        <v>407</v>
      </c>
      <c r="AP60" t="s">
        <v>408</v>
      </c>
    </row>
    <row r="61" spans="1:42">
      <c r="A61" t="s">
        <v>413</v>
      </c>
      <c r="B61" t="s">
        <v>398</v>
      </c>
      <c r="C61">
        <v>4441807</v>
      </c>
      <c r="D61" t="s">
        <v>54</v>
      </c>
      <c r="E61" t="s">
        <v>414</v>
      </c>
      <c r="F61">
        <v>4440942</v>
      </c>
      <c r="G61" t="s">
        <v>354</v>
      </c>
      <c r="H61" t="s">
        <v>400</v>
      </c>
      <c r="J61" t="s">
        <v>18</v>
      </c>
      <c r="K61" t="s">
        <v>215</v>
      </c>
      <c r="L61" t="s">
        <v>196</v>
      </c>
      <c r="V61" t="s">
        <v>204</v>
      </c>
      <c r="W61" t="s">
        <v>216</v>
      </c>
      <c r="X61" t="s">
        <v>197</v>
      </c>
      <c r="Y61" t="s">
        <v>197</v>
      </c>
      <c r="AF61" t="s">
        <v>242</v>
      </c>
      <c r="AG61">
        <v>0</v>
      </c>
      <c r="AH61">
        <v>0</v>
      </c>
      <c r="AI61">
        <v>0</v>
      </c>
      <c r="AJ61">
        <v>0</v>
      </c>
      <c r="AK61">
        <v>0</v>
      </c>
      <c r="AL61">
        <v>0</v>
      </c>
      <c r="AM61">
        <v>0</v>
      </c>
      <c r="AO61" t="s">
        <v>401</v>
      </c>
      <c r="AP61" t="s">
        <v>402</v>
      </c>
    </row>
    <row r="62" spans="1:42">
      <c r="A62" t="s">
        <v>235</v>
      </c>
      <c r="B62" t="s">
        <v>403</v>
      </c>
      <c r="C62">
        <v>4459051</v>
      </c>
      <c r="D62" t="s">
        <v>70</v>
      </c>
      <c r="E62" t="s">
        <v>415</v>
      </c>
      <c r="F62">
        <v>4450388</v>
      </c>
      <c r="G62" t="s">
        <v>410</v>
      </c>
      <c r="H62" t="s">
        <v>411</v>
      </c>
      <c r="J62" t="s">
        <v>18</v>
      </c>
      <c r="K62" t="s">
        <v>412</v>
      </c>
      <c r="L62" t="s">
        <v>196</v>
      </c>
      <c r="V62" t="s">
        <v>216</v>
      </c>
      <c r="W62" t="s">
        <v>197</v>
      </c>
      <c r="X62" t="s">
        <v>197</v>
      </c>
      <c r="Y62" t="s">
        <v>197</v>
      </c>
      <c r="Z62">
        <v>40</v>
      </c>
      <c r="AF62" t="s">
        <v>242</v>
      </c>
      <c r="AG62">
        <v>0</v>
      </c>
      <c r="AH62">
        <v>0</v>
      </c>
      <c r="AI62">
        <v>0</v>
      </c>
      <c r="AJ62">
        <v>0</v>
      </c>
      <c r="AK62">
        <v>0</v>
      </c>
      <c r="AL62">
        <v>0</v>
      </c>
      <c r="AM62">
        <v>0</v>
      </c>
      <c r="AO62" t="s">
        <v>407</v>
      </c>
      <c r="AP62" t="s">
        <v>408</v>
      </c>
    </row>
    <row r="63" spans="1:42">
      <c r="A63" t="s">
        <v>416</v>
      </c>
      <c r="B63" t="s">
        <v>417</v>
      </c>
      <c r="C63">
        <v>4262937</v>
      </c>
      <c r="D63" t="s">
        <v>27</v>
      </c>
      <c r="E63" t="s">
        <v>418</v>
      </c>
      <c r="F63">
        <v>4335613</v>
      </c>
      <c r="G63" t="s">
        <v>214</v>
      </c>
      <c r="H63" t="s">
        <v>419</v>
      </c>
      <c r="J63" t="s">
        <v>18</v>
      </c>
      <c r="K63" t="s">
        <v>420</v>
      </c>
      <c r="L63" t="s">
        <v>196</v>
      </c>
      <c r="V63" t="s">
        <v>216</v>
      </c>
      <c r="W63" t="s">
        <v>197</v>
      </c>
      <c r="X63" t="s">
        <v>197</v>
      </c>
      <c r="Y63" t="s">
        <v>197</v>
      </c>
      <c r="AF63" t="s">
        <v>288</v>
      </c>
      <c r="AG63">
        <v>0</v>
      </c>
      <c r="AH63">
        <v>0</v>
      </c>
      <c r="AI63">
        <v>0</v>
      </c>
      <c r="AJ63">
        <v>0</v>
      </c>
      <c r="AK63">
        <v>0</v>
      </c>
      <c r="AL63">
        <v>0</v>
      </c>
      <c r="AM63">
        <v>0</v>
      </c>
      <c r="AO63" t="s">
        <v>381</v>
      </c>
      <c r="AP63" t="s">
        <v>218</v>
      </c>
    </row>
    <row r="64" spans="1:42">
      <c r="A64" t="s">
        <v>205</v>
      </c>
      <c r="B64" t="s">
        <v>421</v>
      </c>
      <c r="C64">
        <v>4341363</v>
      </c>
      <c r="D64" t="s">
        <v>27</v>
      </c>
      <c r="E64" t="s">
        <v>206</v>
      </c>
      <c r="F64">
        <v>4368214</v>
      </c>
      <c r="G64" t="s">
        <v>422</v>
      </c>
      <c r="H64" t="s">
        <v>209</v>
      </c>
      <c r="J64" t="s">
        <v>18</v>
      </c>
      <c r="K64" t="s">
        <v>59</v>
      </c>
      <c r="L64" t="s">
        <v>196</v>
      </c>
      <c r="V64" t="s">
        <v>216</v>
      </c>
      <c r="W64" t="s">
        <v>197</v>
      </c>
      <c r="X64" t="s">
        <v>197</v>
      </c>
      <c r="Y64" t="s">
        <v>197</v>
      </c>
      <c r="AF64" t="s">
        <v>288</v>
      </c>
      <c r="AG64">
        <v>0</v>
      </c>
      <c r="AH64">
        <v>0</v>
      </c>
      <c r="AI64">
        <v>0</v>
      </c>
      <c r="AJ64">
        <v>4</v>
      </c>
      <c r="AK64">
        <v>4</v>
      </c>
      <c r="AL64">
        <v>0</v>
      </c>
      <c r="AM64">
        <v>0</v>
      </c>
      <c r="AO64" t="s">
        <v>292</v>
      </c>
      <c r="AP64" t="s">
        <v>218</v>
      </c>
    </row>
    <row r="65" spans="1:42">
      <c r="A65" t="s">
        <v>205</v>
      </c>
      <c r="B65" t="s">
        <v>417</v>
      </c>
      <c r="C65">
        <v>4262937</v>
      </c>
      <c r="D65" t="s">
        <v>27</v>
      </c>
      <c r="E65" t="s">
        <v>423</v>
      </c>
      <c r="F65">
        <v>4265946</v>
      </c>
      <c r="G65" t="s">
        <v>208</v>
      </c>
      <c r="H65" t="s">
        <v>209</v>
      </c>
      <c r="J65" t="s">
        <v>18</v>
      </c>
      <c r="K65" t="s">
        <v>59</v>
      </c>
      <c r="L65" t="s">
        <v>196</v>
      </c>
      <c r="V65" t="s">
        <v>216</v>
      </c>
      <c r="W65" t="s">
        <v>197</v>
      </c>
      <c r="X65" t="s">
        <v>197</v>
      </c>
      <c r="Y65" t="s">
        <v>197</v>
      </c>
      <c r="AF65" t="s">
        <v>242</v>
      </c>
      <c r="AG65">
        <v>0</v>
      </c>
      <c r="AH65">
        <v>0</v>
      </c>
      <c r="AI65">
        <v>0</v>
      </c>
      <c r="AJ65">
        <v>0</v>
      </c>
      <c r="AK65">
        <v>0</v>
      </c>
      <c r="AL65">
        <v>0</v>
      </c>
      <c r="AM65">
        <v>0</v>
      </c>
      <c r="AO65" t="s">
        <v>424</v>
      </c>
      <c r="AP65" t="s">
        <v>218</v>
      </c>
    </row>
    <row r="66" spans="1:42">
      <c r="A66" t="s">
        <v>235</v>
      </c>
      <c r="B66" t="s">
        <v>403</v>
      </c>
      <c r="C66">
        <v>4459051</v>
      </c>
      <c r="D66" t="s">
        <v>70</v>
      </c>
      <c r="E66" t="s">
        <v>425</v>
      </c>
      <c r="F66">
        <v>4450401</v>
      </c>
      <c r="G66" t="s">
        <v>326</v>
      </c>
      <c r="H66" t="s">
        <v>405</v>
      </c>
      <c r="J66" t="s">
        <v>18</v>
      </c>
      <c r="K66" t="s">
        <v>406</v>
      </c>
      <c r="L66" t="s">
        <v>196</v>
      </c>
      <c r="V66" t="s">
        <v>216</v>
      </c>
      <c r="W66" t="s">
        <v>197</v>
      </c>
      <c r="X66" t="s">
        <v>197</v>
      </c>
      <c r="Y66" t="s">
        <v>197</v>
      </c>
      <c r="Z66">
        <v>65</v>
      </c>
      <c r="AF66" t="s">
        <v>242</v>
      </c>
      <c r="AG66">
        <v>0</v>
      </c>
      <c r="AH66">
        <v>0</v>
      </c>
      <c r="AI66">
        <v>0</v>
      </c>
      <c r="AJ66">
        <v>0</v>
      </c>
      <c r="AK66">
        <v>0</v>
      </c>
      <c r="AL66">
        <v>0</v>
      </c>
      <c r="AM66">
        <v>0</v>
      </c>
      <c r="AO66" t="s">
        <v>407</v>
      </c>
      <c r="AP66" t="s">
        <v>408</v>
      </c>
    </row>
    <row r="67" spans="1:42">
      <c r="A67" t="s">
        <v>205</v>
      </c>
      <c r="B67" t="s">
        <v>426</v>
      </c>
      <c r="C67">
        <v>4436136</v>
      </c>
      <c r="D67" t="s">
        <v>27</v>
      </c>
      <c r="E67" t="s">
        <v>427</v>
      </c>
      <c r="F67">
        <v>4368139</v>
      </c>
      <c r="G67" t="s">
        <v>419</v>
      </c>
      <c r="H67" t="s">
        <v>422</v>
      </c>
      <c r="J67" t="s">
        <v>18</v>
      </c>
      <c r="K67" t="s">
        <v>59</v>
      </c>
      <c r="L67" t="s">
        <v>196</v>
      </c>
      <c r="V67" t="s">
        <v>216</v>
      </c>
      <c r="W67" t="s">
        <v>197</v>
      </c>
      <c r="X67" t="s">
        <v>197</v>
      </c>
      <c r="Y67" t="s">
        <v>197</v>
      </c>
      <c r="AF67" t="s">
        <v>288</v>
      </c>
      <c r="AG67">
        <v>0</v>
      </c>
      <c r="AH67">
        <v>0</v>
      </c>
      <c r="AI67">
        <v>0</v>
      </c>
      <c r="AJ67">
        <v>0</v>
      </c>
      <c r="AK67">
        <v>0</v>
      </c>
      <c r="AL67">
        <v>0</v>
      </c>
      <c r="AM67">
        <v>0</v>
      </c>
      <c r="AO67" t="s">
        <v>292</v>
      </c>
      <c r="AP67" t="s">
        <v>218</v>
      </c>
    </row>
    <row r="68" spans="1:42">
      <c r="A68" t="s">
        <v>378</v>
      </c>
      <c r="B68" t="s">
        <v>428</v>
      </c>
      <c r="C68">
        <v>4151502</v>
      </c>
      <c r="D68" t="s">
        <v>27</v>
      </c>
      <c r="E68" t="s">
        <v>429</v>
      </c>
      <c r="F68">
        <v>4351779</v>
      </c>
      <c r="G68" t="s">
        <v>419</v>
      </c>
      <c r="H68" t="s">
        <v>209</v>
      </c>
      <c r="J68" t="s">
        <v>18</v>
      </c>
      <c r="K68" t="s">
        <v>430</v>
      </c>
      <c r="L68" t="s">
        <v>196</v>
      </c>
      <c r="V68" t="s">
        <v>204</v>
      </c>
      <c r="W68" t="s">
        <v>197</v>
      </c>
      <c r="X68" t="s">
        <v>197</v>
      </c>
      <c r="Y68" t="s">
        <v>216</v>
      </c>
      <c r="Z68">
        <v>52</v>
      </c>
      <c r="AA68">
        <v>25</v>
      </c>
      <c r="AB68">
        <v>5</v>
      </c>
      <c r="AD68">
        <v>0.9</v>
      </c>
      <c r="AE68">
        <v>0.95</v>
      </c>
      <c r="AF68" t="s">
        <v>305</v>
      </c>
      <c r="AG68">
        <v>7</v>
      </c>
      <c r="AH68">
        <v>3</v>
      </c>
      <c r="AI68">
        <v>0</v>
      </c>
      <c r="AJ68">
        <v>20</v>
      </c>
      <c r="AK68">
        <v>30</v>
      </c>
      <c r="AL68">
        <v>0.33333333333333331</v>
      </c>
      <c r="AM68">
        <v>0.7</v>
      </c>
      <c r="AN68" t="s">
        <v>431</v>
      </c>
      <c r="AO68" t="s">
        <v>387</v>
      </c>
      <c r="AP68" t="s">
        <v>218</v>
      </c>
    </row>
    <row r="69" spans="1:42">
      <c r="A69" t="s">
        <v>205</v>
      </c>
      <c r="B69" t="s">
        <v>421</v>
      </c>
      <c r="C69">
        <v>4341363</v>
      </c>
      <c r="D69" t="s">
        <v>27</v>
      </c>
      <c r="E69" t="s">
        <v>432</v>
      </c>
      <c r="F69">
        <v>4439846</v>
      </c>
      <c r="G69" t="s">
        <v>209</v>
      </c>
      <c r="H69" t="s">
        <v>422</v>
      </c>
      <c r="J69" t="s">
        <v>18</v>
      </c>
      <c r="K69" t="s">
        <v>59</v>
      </c>
      <c r="L69" t="s">
        <v>196</v>
      </c>
      <c r="V69" t="s">
        <v>216</v>
      </c>
      <c r="W69" t="s">
        <v>197</v>
      </c>
      <c r="X69" t="s">
        <v>197</v>
      </c>
      <c r="Y69" t="s">
        <v>197</v>
      </c>
      <c r="AF69" t="s">
        <v>288</v>
      </c>
      <c r="AG69">
        <v>0</v>
      </c>
      <c r="AH69">
        <v>0</v>
      </c>
      <c r="AI69">
        <v>0</v>
      </c>
      <c r="AJ69">
        <v>0</v>
      </c>
      <c r="AK69">
        <v>0</v>
      </c>
      <c r="AL69">
        <v>0</v>
      </c>
      <c r="AM69">
        <v>0</v>
      </c>
      <c r="AO69" t="s">
        <v>292</v>
      </c>
      <c r="AP69" t="s">
        <v>218</v>
      </c>
    </row>
    <row r="70" spans="1:42">
      <c r="A70" t="s">
        <v>433</v>
      </c>
      <c r="B70" t="s">
        <v>434</v>
      </c>
      <c r="C70">
        <v>4268320</v>
      </c>
      <c r="D70" t="s">
        <v>27</v>
      </c>
      <c r="E70" t="s">
        <v>435</v>
      </c>
      <c r="F70">
        <v>4187514</v>
      </c>
      <c r="G70" t="s">
        <v>209</v>
      </c>
      <c r="J70" t="s">
        <v>18</v>
      </c>
      <c r="K70" t="s">
        <v>59</v>
      </c>
      <c r="L70" t="s">
        <v>196</v>
      </c>
      <c r="V70" t="s">
        <v>216</v>
      </c>
      <c r="W70" t="s">
        <v>197</v>
      </c>
      <c r="X70" t="s">
        <v>197</v>
      </c>
      <c r="Y70" t="s">
        <v>197</v>
      </c>
      <c r="AF70" t="s">
        <v>242</v>
      </c>
      <c r="AG70">
        <v>0</v>
      </c>
      <c r="AH70">
        <v>0</v>
      </c>
      <c r="AI70">
        <v>0</v>
      </c>
      <c r="AJ70">
        <v>0</v>
      </c>
      <c r="AK70">
        <v>0</v>
      </c>
      <c r="AL70">
        <v>0</v>
      </c>
      <c r="AM70">
        <v>0</v>
      </c>
      <c r="AO70" t="s">
        <v>381</v>
      </c>
      <c r="AP70" t="s">
        <v>218</v>
      </c>
    </row>
    <row r="71" spans="1:42">
      <c r="A71" t="s">
        <v>416</v>
      </c>
      <c r="B71" t="s">
        <v>417</v>
      </c>
      <c r="C71">
        <v>4262937</v>
      </c>
      <c r="D71" t="s">
        <v>27</v>
      </c>
      <c r="E71" t="s">
        <v>436</v>
      </c>
      <c r="F71">
        <v>4317632</v>
      </c>
      <c r="G71" t="s">
        <v>214</v>
      </c>
      <c r="H71" t="s">
        <v>419</v>
      </c>
      <c r="J71" t="s">
        <v>18</v>
      </c>
      <c r="K71" t="s">
        <v>215</v>
      </c>
      <c r="L71" t="s">
        <v>196</v>
      </c>
      <c r="V71" t="s">
        <v>216</v>
      </c>
      <c r="W71" t="s">
        <v>197</v>
      </c>
      <c r="X71" t="s">
        <v>197</v>
      </c>
      <c r="Y71" t="s">
        <v>197</v>
      </c>
      <c r="AF71" t="s">
        <v>288</v>
      </c>
      <c r="AG71">
        <v>0</v>
      </c>
      <c r="AH71">
        <v>0</v>
      </c>
      <c r="AI71">
        <v>0</v>
      </c>
      <c r="AJ71">
        <v>0</v>
      </c>
      <c r="AK71">
        <v>0</v>
      </c>
      <c r="AL71">
        <v>0</v>
      </c>
      <c r="AM71">
        <v>0</v>
      </c>
      <c r="AO71" t="s">
        <v>381</v>
      </c>
      <c r="AP71" t="s">
        <v>218</v>
      </c>
    </row>
    <row r="72" spans="1:42">
      <c r="A72" t="s">
        <v>205</v>
      </c>
      <c r="B72" t="s">
        <v>421</v>
      </c>
      <c r="C72">
        <v>4341363</v>
      </c>
      <c r="D72" t="s">
        <v>27</v>
      </c>
      <c r="E72" t="s">
        <v>437</v>
      </c>
      <c r="F72">
        <v>4368217</v>
      </c>
      <c r="G72" t="s">
        <v>214</v>
      </c>
      <c r="H72" t="s">
        <v>422</v>
      </c>
      <c r="J72" t="s">
        <v>18</v>
      </c>
      <c r="K72" t="s">
        <v>59</v>
      </c>
      <c r="L72" t="s">
        <v>196</v>
      </c>
      <c r="V72" t="s">
        <v>216</v>
      </c>
      <c r="W72" t="s">
        <v>197</v>
      </c>
      <c r="X72" t="s">
        <v>197</v>
      </c>
      <c r="Y72" t="s">
        <v>197</v>
      </c>
      <c r="AF72" t="s">
        <v>359</v>
      </c>
      <c r="AG72">
        <v>0</v>
      </c>
      <c r="AH72">
        <v>0</v>
      </c>
      <c r="AI72">
        <v>0</v>
      </c>
      <c r="AJ72">
        <v>0</v>
      </c>
      <c r="AK72">
        <v>0</v>
      </c>
      <c r="AL72">
        <v>0</v>
      </c>
      <c r="AM72">
        <v>0</v>
      </c>
      <c r="AO72" t="s">
        <v>381</v>
      </c>
      <c r="AP72" t="s">
        <v>218</v>
      </c>
    </row>
    <row r="73" spans="1:42">
      <c r="A73" t="s">
        <v>205</v>
      </c>
      <c r="B73" t="s">
        <v>438</v>
      </c>
      <c r="C73">
        <v>4389866</v>
      </c>
      <c r="D73" t="s">
        <v>27</v>
      </c>
      <c r="E73" t="s">
        <v>439</v>
      </c>
      <c r="F73">
        <v>4361280</v>
      </c>
      <c r="G73" t="s">
        <v>422</v>
      </c>
      <c r="H73" t="s">
        <v>208</v>
      </c>
      <c r="J73" t="s">
        <v>18</v>
      </c>
      <c r="K73" t="s">
        <v>59</v>
      </c>
      <c r="L73" t="s">
        <v>196</v>
      </c>
      <c r="V73" t="s">
        <v>216</v>
      </c>
      <c r="W73" t="s">
        <v>197</v>
      </c>
      <c r="X73" t="s">
        <v>197</v>
      </c>
      <c r="Y73" t="s">
        <v>197</v>
      </c>
      <c r="AF73" t="s">
        <v>242</v>
      </c>
      <c r="AG73">
        <v>0</v>
      </c>
      <c r="AH73">
        <v>0</v>
      </c>
      <c r="AI73">
        <v>0</v>
      </c>
      <c r="AJ73">
        <v>0</v>
      </c>
      <c r="AK73">
        <v>0</v>
      </c>
      <c r="AL73">
        <v>0</v>
      </c>
      <c r="AM73">
        <v>0</v>
      </c>
      <c r="AO73" t="s">
        <v>381</v>
      </c>
      <c r="AP73" t="s">
        <v>218</v>
      </c>
    </row>
    <row r="74" spans="1:42">
      <c r="A74" t="s">
        <v>205</v>
      </c>
      <c r="B74" t="s">
        <v>438</v>
      </c>
      <c r="C74">
        <v>4389866</v>
      </c>
      <c r="D74" t="s">
        <v>27</v>
      </c>
      <c r="E74" t="s">
        <v>440</v>
      </c>
      <c r="F74">
        <v>4436185</v>
      </c>
      <c r="G74" t="s">
        <v>422</v>
      </c>
      <c r="H74" t="s">
        <v>214</v>
      </c>
      <c r="J74" t="s">
        <v>18</v>
      </c>
      <c r="K74" t="s">
        <v>59</v>
      </c>
      <c r="L74" t="s">
        <v>196</v>
      </c>
      <c r="V74" t="s">
        <v>216</v>
      </c>
      <c r="W74" t="s">
        <v>197</v>
      </c>
      <c r="X74" t="s">
        <v>197</v>
      </c>
      <c r="Y74" t="s">
        <v>197</v>
      </c>
      <c r="AF74" t="s">
        <v>198</v>
      </c>
      <c r="AG74">
        <v>0</v>
      </c>
      <c r="AH74">
        <v>0</v>
      </c>
      <c r="AI74">
        <v>0</v>
      </c>
      <c r="AJ74">
        <v>0</v>
      </c>
      <c r="AK74">
        <v>0</v>
      </c>
      <c r="AL74">
        <v>0</v>
      </c>
      <c r="AM74">
        <v>0</v>
      </c>
      <c r="AO74" t="s">
        <v>424</v>
      </c>
      <c r="AP74" t="s">
        <v>218</v>
      </c>
    </row>
    <row r="75" spans="1:42">
      <c r="A75" t="s">
        <v>205</v>
      </c>
      <c r="B75" t="s">
        <v>426</v>
      </c>
      <c r="C75">
        <v>4436136</v>
      </c>
      <c r="D75" t="s">
        <v>27</v>
      </c>
      <c r="E75" t="s">
        <v>441</v>
      </c>
      <c r="F75">
        <v>4436093</v>
      </c>
      <c r="G75" t="s">
        <v>214</v>
      </c>
      <c r="H75" t="s">
        <v>419</v>
      </c>
      <c r="J75" t="s">
        <v>18</v>
      </c>
      <c r="K75" t="s">
        <v>59</v>
      </c>
      <c r="L75" t="s">
        <v>196</v>
      </c>
      <c r="V75" t="s">
        <v>216</v>
      </c>
      <c r="W75" t="s">
        <v>197</v>
      </c>
      <c r="X75" t="s">
        <v>197</v>
      </c>
      <c r="Y75" t="s">
        <v>197</v>
      </c>
      <c r="AF75" t="s">
        <v>198</v>
      </c>
      <c r="AG75">
        <v>0</v>
      </c>
      <c r="AH75">
        <v>0</v>
      </c>
      <c r="AI75">
        <v>0</v>
      </c>
      <c r="AJ75">
        <v>0</v>
      </c>
      <c r="AK75">
        <v>0</v>
      </c>
      <c r="AL75">
        <v>0</v>
      </c>
      <c r="AM75">
        <v>0</v>
      </c>
      <c r="AO75" t="s">
        <v>292</v>
      </c>
      <c r="AP75" t="s">
        <v>218</v>
      </c>
    </row>
    <row r="76" spans="1:42">
      <c r="A76" t="s">
        <v>205</v>
      </c>
      <c r="B76" t="s">
        <v>442</v>
      </c>
      <c r="C76">
        <v>4436144</v>
      </c>
      <c r="D76" t="s">
        <v>27</v>
      </c>
      <c r="E76" t="s">
        <v>443</v>
      </c>
      <c r="F76">
        <v>4435907</v>
      </c>
      <c r="G76" t="s">
        <v>209</v>
      </c>
      <c r="H76" t="s">
        <v>419</v>
      </c>
      <c r="J76" t="s">
        <v>18</v>
      </c>
      <c r="K76" t="s">
        <v>59</v>
      </c>
      <c r="L76" t="s">
        <v>196</v>
      </c>
      <c r="V76" t="s">
        <v>216</v>
      </c>
      <c r="W76" t="s">
        <v>197</v>
      </c>
      <c r="X76" t="s">
        <v>197</v>
      </c>
      <c r="Y76" t="s">
        <v>197</v>
      </c>
      <c r="AF76" t="s">
        <v>242</v>
      </c>
      <c r="AG76">
        <v>0</v>
      </c>
      <c r="AH76">
        <v>0</v>
      </c>
      <c r="AI76">
        <v>0</v>
      </c>
      <c r="AJ76">
        <v>0</v>
      </c>
      <c r="AK76">
        <v>0</v>
      </c>
      <c r="AL76">
        <v>0</v>
      </c>
      <c r="AM76">
        <v>0</v>
      </c>
      <c r="AO76" t="s">
        <v>292</v>
      </c>
      <c r="AP76" t="s">
        <v>218</v>
      </c>
    </row>
    <row r="77" spans="1:42">
      <c r="A77" t="s">
        <v>444</v>
      </c>
      <c r="B77" t="s">
        <v>445</v>
      </c>
      <c r="C77">
        <v>4283187</v>
      </c>
      <c r="D77" t="s">
        <v>27</v>
      </c>
      <c r="E77" t="s">
        <v>446</v>
      </c>
      <c r="F77">
        <v>4431151</v>
      </c>
      <c r="G77" t="s">
        <v>422</v>
      </c>
      <c r="H77" t="s">
        <v>214</v>
      </c>
      <c r="J77" t="s">
        <v>18</v>
      </c>
      <c r="K77" t="s">
        <v>447</v>
      </c>
      <c r="L77" t="s">
        <v>196</v>
      </c>
      <c r="V77" t="s">
        <v>216</v>
      </c>
      <c r="W77" t="s">
        <v>197</v>
      </c>
      <c r="X77" t="s">
        <v>197</v>
      </c>
      <c r="Y77" t="s">
        <v>197</v>
      </c>
      <c r="AF77" t="s">
        <v>288</v>
      </c>
      <c r="AG77">
        <v>0</v>
      </c>
      <c r="AH77">
        <v>0</v>
      </c>
      <c r="AI77">
        <v>0</v>
      </c>
      <c r="AJ77">
        <v>7</v>
      </c>
      <c r="AK77">
        <v>7</v>
      </c>
      <c r="AL77">
        <v>0</v>
      </c>
      <c r="AM77">
        <v>0</v>
      </c>
      <c r="AO77" t="s">
        <v>387</v>
      </c>
      <c r="AP77" t="s">
        <v>218</v>
      </c>
    </row>
    <row r="78" spans="1:42">
      <c r="A78" t="s">
        <v>448</v>
      </c>
      <c r="B78" t="s">
        <v>290</v>
      </c>
      <c r="C78">
        <v>4436131</v>
      </c>
      <c r="D78" t="s">
        <v>27</v>
      </c>
      <c r="E78" t="s">
        <v>449</v>
      </c>
      <c r="F78">
        <v>4412404</v>
      </c>
      <c r="G78" t="s">
        <v>208</v>
      </c>
      <c r="H78" t="s">
        <v>209</v>
      </c>
      <c r="J78" t="s">
        <v>18</v>
      </c>
      <c r="K78" t="s">
        <v>59</v>
      </c>
      <c r="L78" t="s">
        <v>196</v>
      </c>
      <c r="V78" t="s">
        <v>216</v>
      </c>
      <c r="W78" t="s">
        <v>197</v>
      </c>
      <c r="X78" t="s">
        <v>197</v>
      </c>
      <c r="Y78" t="s">
        <v>197</v>
      </c>
      <c r="AF78" t="s">
        <v>198</v>
      </c>
      <c r="AG78">
        <v>0</v>
      </c>
      <c r="AH78">
        <v>0</v>
      </c>
      <c r="AI78">
        <v>0</v>
      </c>
      <c r="AJ78">
        <v>0</v>
      </c>
      <c r="AK78">
        <v>0</v>
      </c>
      <c r="AL78">
        <v>0</v>
      </c>
      <c r="AM78">
        <v>0</v>
      </c>
      <c r="AO78" t="s">
        <v>292</v>
      </c>
      <c r="AP78" t="s">
        <v>218</v>
      </c>
    </row>
    <row r="79" spans="1:42">
      <c r="A79" t="s">
        <v>448</v>
      </c>
      <c r="B79" t="s">
        <v>290</v>
      </c>
      <c r="C79">
        <v>4436131</v>
      </c>
      <c r="D79" t="s">
        <v>27</v>
      </c>
      <c r="E79" t="s">
        <v>450</v>
      </c>
      <c r="F79">
        <v>4412401</v>
      </c>
      <c r="G79" t="s">
        <v>422</v>
      </c>
      <c r="H79" t="s">
        <v>214</v>
      </c>
      <c r="J79" t="s">
        <v>18</v>
      </c>
      <c r="K79" t="s">
        <v>59</v>
      </c>
      <c r="L79" t="s">
        <v>196</v>
      </c>
      <c r="V79" t="s">
        <v>216</v>
      </c>
      <c r="W79" t="s">
        <v>197</v>
      </c>
      <c r="X79" t="s">
        <v>197</v>
      </c>
      <c r="Y79" t="s">
        <v>197</v>
      </c>
      <c r="AF79" t="s">
        <v>198</v>
      </c>
      <c r="AG79">
        <v>0</v>
      </c>
      <c r="AH79">
        <v>0</v>
      </c>
      <c r="AI79">
        <v>0</v>
      </c>
      <c r="AJ79">
        <v>5</v>
      </c>
      <c r="AK79">
        <v>5</v>
      </c>
      <c r="AL79">
        <v>0</v>
      </c>
      <c r="AM79">
        <v>0</v>
      </c>
      <c r="AO79" t="s">
        <v>424</v>
      </c>
      <c r="AP79" t="s">
        <v>218</v>
      </c>
    </row>
    <row r="80" spans="1:42">
      <c r="A80" t="s">
        <v>205</v>
      </c>
      <c r="B80" t="s">
        <v>290</v>
      </c>
      <c r="C80">
        <v>4436131</v>
      </c>
      <c r="D80" t="s">
        <v>27</v>
      </c>
      <c r="E80" t="s">
        <v>451</v>
      </c>
      <c r="F80">
        <v>4423815</v>
      </c>
      <c r="G80" t="s">
        <v>209</v>
      </c>
      <c r="H80" t="s">
        <v>422</v>
      </c>
      <c r="J80" t="s">
        <v>18</v>
      </c>
      <c r="K80" t="s">
        <v>59</v>
      </c>
      <c r="L80" t="s">
        <v>196</v>
      </c>
      <c r="V80" t="s">
        <v>216</v>
      </c>
      <c r="W80" t="s">
        <v>197</v>
      </c>
      <c r="X80" t="s">
        <v>197</v>
      </c>
      <c r="Y80" t="s">
        <v>197</v>
      </c>
      <c r="AF80" t="s">
        <v>288</v>
      </c>
      <c r="AG80">
        <v>0</v>
      </c>
      <c r="AH80">
        <v>0</v>
      </c>
      <c r="AI80">
        <v>0</v>
      </c>
      <c r="AJ80">
        <v>0</v>
      </c>
      <c r="AK80">
        <v>0</v>
      </c>
      <c r="AL80">
        <v>0</v>
      </c>
      <c r="AM80">
        <v>0</v>
      </c>
      <c r="AO80" t="s">
        <v>381</v>
      </c>
      <c r="AP80" t="s">
        <v>218</v>
      </c>
    </row>
    <row r="81" spans="1:42">
      <c r="A81" t="s">
        <v>235</v>
      </c>
      <c r="B81" t="s">
        <v>403</v>
      </c>
      <c r="C81">
        <v>4459051</v>
      </c>
      <c r="D81" t="s">
        <v>70</v>
      </c>
      <c r="E81" t="s">
        <v>452</v>
      </c>
      <c r="F81">
        <v>4448602</v>
      </c>
      <c r="G81" t="s">
        <v>326</v>
      </c>
      <c r="H81" t="s">
        <v>405</v>
      </c>
      <c r="J81" t="s">
        <v>18</v>
      </c>
      <c r="K81" t="s">
        <v>406</v>
      </c>
      <c r="L81" t="s">
        <v>196</v>
      </c>
      <c r="V81" t="s">
        <v>216</v>
      </c>
      <c r="W81" t="s">
        <v>197</v>
      </c>
      <c r="X81" t="s">
        <v>197</v>
      </c>
      <c r="Y81" t="s">
        <v>197</v>
      </c>
      <c r="Z81">
        <v>66</v>
      </c>
      <c r="AF81" t="s">
        <v>242</v>
      </c>
      <c r="AG81">
        <v>0</v>
      </c>
      <c r="AH81">
        <v>0</v>
      </c>
      <c r="AI81">
        <v>0</v>
      </c>
      <c r="AJ81">
        <v>0</v>
      </c>
      <c r="AK81">
        <v>0</v>
      </c>
      <c r="AL81">
        <v>0</v>
      </c>
      <c r="AM81">
        <v>0</v>
      </c>
      <c r="AO81" t="s">
        <v>407</v>
      </c>
      <c r="AP81" t="s">
        <v>408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50070-D89D-45C4-9B95-2EC2400183B0}">
  <sheetPr>
    <tabColor rgb="FF00B050"/>
  </sheetPr>
  <dimension ref="A1:AQ626"/>
  <sheetViews>
    <sheetView tabSelected="1" zoomScale="107" zoomScaleNormal="107" workbookViewId="0">
      <pane ySplit="2" topLeftCell="AB245" activePane="bottomLeft" state="frozen"/>
      <selection pane="bottomLeft" activeCell="AE625" sqref="AE625"/>
      <selection activeCell="L1" sqref="L1"/>
    </sheetView>
  </sheetViews>
  <sheetFormatPr defaultColWidth="9.140625" defaultRowHeight="12" customHeight="1"/>
  <cols>
    <col min="1" max="1" width="24.85546875" style="17" customWidth="1"/>
    <col min="2" max="2" width="39.42578125" style="17" customWidth="1"/>
    <col min="3" max="3" width="10" style="17" customWidth="1"/>
    <col min="4" max="4" width="10.140625" style="17" customWidth="1"/>
    <col min="5" max="5" width="111" style="19" customWidth="1"/>
    <col min="6" max="6" width="14.42578125" style="32" customWidth="1"/>
    <col min="7" max="7" width="15.140625" style="18" customWidth="1"/>
    <col min="8" max="8" width="14.42578125" style="17" customWidth="1"/>
    <col min="9" max="9" width="21.28515625" style="21" customWidth="1"/>
    <col min="10" max="10" width="20.7109375" style="17" bestFit="1" customWidth="1"/>
    <col min="11" max="11" width="47" style="58" customWidth="1"/>
    <col min="12" max="12" width="31.42578125" style="16" customWidth="1"/>
    <col min="13" max="13" width="14.42578125" style="20" customWidth="1"/>
    <col min="14" max="14" width="14.42578125" style="45" customWidth="1"/>
    <col min="15" max="15" width="22.42578125" style="33" customWidth="1"/>
    <col min="16" max="16" width="30.7109375" style="33" customWidth="1"/>
    <col min="17" max="17" width="22.42578125" style="33" customWidth="1"/>
    <col min="18" max="18" width="42.42578125" style="33" customWidth="1"/>
    <col min="19" max="19" width="37" style="33" customWidth="1"/>
    <col min="20" max="21" width="22.42578125" style="33" customWidth="1"/>
    <col min="22" max="22" width="9.140625" style="17" customWidth="1"/>
    <col min="23" max="23" width="9.140625" style="17" bestFit="1" customWidth="1"/>
    <col min="24" max="24" width="10.42578125" style="17" customWidth="1"/>
    <col min="25" max="25" width="10.42578125" style="17" bestFit="1" customWidth="1"/>
    <col min="26" max="26" width="31.85546875" style="71" bestFit="1" customWidth="1"/>
    <col min="27" max="27" width="29.140625" style="71" bestFit="1" customWidth="1"/>
    <col min="28" max="28" width="29.140625" style="71" customWidth="1"/>
    <col min="29" max="29" width="22.42578125" style="71" customWidth="1"/>
    <col min="30" max="31" width="22.42578125" style="69" customWidth="1"/>
    <col min="32" max="32" width="17.140625" style="17" customWidth="1"/>
    <col min="33" max="36" width="9.140625" style="17" bestFit="1" customWidth="1"/>
    <col min="37" max="39" width="9.140625" style="17"/>
    <col min="40" max="40" width="43.42578125" style="17" customWidth="1"/>
    <col min="41" max="41" width="24.42578125" style="17" customWidth="1"/>
    <col min="42" max="42" width="18.42578125" style="17" customWidth="1"/>
    <col min="43" max="16384" width="9.140625" style="17"/>
  </cols>
  <sheetData>
    <row r="1" spans="1:43" ht="12" customHeight="1">
      <c r="A1" s="289" t="s">
        <v>153</v>
      </c>
      <c r="B1" s="290" t="s">
        <v>154</v>
      </c>
      <c r="C1" s="290" t="s">
        <v>155</v>
      </c>
      <c r="D1" s="291" t="s">
        <v>4</v>
      </c>
      <c r="E1" s="291" t="s">
        <v>156</v>
      </c>
      <c r="F1" s="300" t="s">
        <v>157</v>
      </c>
      <c r="G1" s="292" t="s">
        <v>453</v>
      </c>
      <c r="H1" s="291" t="s">
        <v>159</v>
      </c>
      <c r="I1" s="293" t="s">
        <v>28</v>
      </c>
      <c r="J1" s="294" t="s">
        <v>0</v>
      </c>
      <c r="K1" s="295" t="s">
        <v>454</v>
      </c>
      <c r="L1" s="294" t="s">
        <v>161</v>
      </c>
      <c r="M1" s="293" t="s">
        <v>162</v>
      </c>
      <c r="N1" s="293" t="s">
        <v>163</v>
      </c>
      <c r="O1" s="293" t="s">
        <v>139</v>
      </c>
      <c r="P1" s="296" t="s">
        <v>164</v>
      </c>
      <c r="Q1" s="296" t="s">
        <v>165</v>
      </c>
      <c r="R1" s="296" t="s">
        <v>166</v>
      </c>
      <c r="S1" s="296" t="s">
        <v>455</v>
      </c>
      <c r="T1" s="296" t="s">
        <v>168</v>
      </c>
      <c r="U1" s="296" t="s">
        <v>169</v>
      </c>
      <c r="V1" s="297" t="s">
        <v>170</v>
      </c>
      <c r="W1" s="297" t="s">
        <v>171</v>
      </c>
      <c r="X1" s="297" t="s">
        <v>172</v>
      </c>
      <c r="Y1" s="297" t="s">
        <v>173</v>
      </c>
      <c r="Z1" s="296" t="s">
        <v>174</v>
      </c>
      <c r="AA1" s="296" t="s">
        <v>175</v>
      </c>
      <c r="AB1" s="296" t="s">
        <v>176</v>
      </c>
      <c r="AC1" s="296" t="s">
        <v>177</v>
      </c>
      <c r="AD1" s="296" t="s">
        <v>178</v>
      </c>
      <c r="AE1" s="296" t="s">
        <v>179</v>
      </c>
      <c r="AF1" s="298" t="s">
        <v>180</v>
      </c>
      <c r="AG1" s="297" t="s">
        <v>181</v>
      </c>
      <c r="AH1" s="297" t="s">
        <v>182</v>
      </c>
      <c r="AI1" s="297" t="s">
        <v>183</v>
      </c>
      <c r="AJ1" s="297" t="s">
        <v>184</v>
      </c>
      <c r="AK1" s="298" t="s">
        <v>185</v>
      </c>
      <c r="AL1" s="298" t="s">
        <v>186</v>
      </c>
      <c r="AM1" s="298" t="s">
        <v>187</v>
      </c>
      <c r="AN1" s="297" t="s">
        <v>188</v>
      </c>
      <c r="AO1" s="299" t="s">
        <v>189</v>
      </c>
      <c r="AP1" s="299" t="s">
        <v>190</v>
      </c>
      <c r="AQ1" s="250" t="s">
        <v>249</v>
      </c>
    </row>
    <row r="2" spans="1:43">
      <c r="A2" s="24" t="str">
        <f>_xlfn.XLOOKUP(F2,'TFS Details'!F:F,'TFS Details'!D:D)</f>
        <v>Learn</v>
      </c>
      <c r="B2" s="24" t="str">
        <f>_xlfn.XLOOKUP(F2,'TFS Details'!F:F,'TFS Details'!A:A)</f>
        <v>Services - Learn &amp; Launch enhancements with BPMS support button</v>
      </c>
      <c r="C2" s="46">
        <f>_xlfn.XLOOKUP(F2,'TFS Details'!F:F,'TFS Details'!E:E)</f>
        <v>4443474</v>
      </c>
      <c r="D2" s="100" t="s">
        <v>15</v>
      </c>
      <c r="E2" s="100" t="s">
        <v>456</v>
      </c>
      <c r="F2" s="141">
        <v>4435598</v>
      </c>
      <c r="G2" s="216" t="s">
        <v>457</v>
      </c>
      <c r="H2" s="18" t="s">
        <v>458</v>
      </c>
      <c r="I2" s="101" t="s">
        <v>99</v>
      </c>
      <c r="J2" s="101" t="s">
        <v>20</v>
      </c>
      <c r="K2" s="101" t="s">
        <v>459</v>
      </c>
      <c r="L2" s="101" t="s">
        <v>460</v>
      </c>
      <c r="M2" s="101" t="s">
        <v>461</v>
      </c>
      <c r="N2" s="83">
        <v>5</v>
      </c>
      <c r="O2" s="73">
        <v>0.05</v>
      </c>
      <c r="P2" s="102">
        <v>20</v>
      </c>
      <c r="Q2" s="102">
        <v>5</v>
      </c>
      <c r="R2" s="102">
        <v>1</v>
      </c>
      <c r="S2" s="102"/>
      <c r="T2" s="73"/>
      <c r="U2" s="73"/>
      <c r="V2" s="17" t="s">
        <v>204</v>
      </c>
      <c r="W2" s="17" t="s">
        <v>204</v>
      </c>
      <c r="X2" s="17" t="s">
        <v>204</v>
      </c>
      <c r="Y2" s="17" t="s">
        <v>204</v>
      </c>
      <c r="Z2" s="102">
        <v>55</v>
      </c>
      <c r="AA2" s="102">
        <v>11</v>
      </c>
      <c r="AB2" s="102">
        <v>0</v>
      </c>
      <c r="AC2" s="102">
        <v>11</v>
      </c>
      <c r="AD2" s="73">
        <v>0.95</v>
      </c>
      <c r="AE2" s="73">
        <v>0.8</v>
      </c>
      <c r="AF2" s="25" t="str">
        <f>_xlfn.XLOOKUP(F2,'TFS Details'!F:F,'TFS Details'!H:H)</f>
        <v>Test Complete</v>
      </c>
      <c r="AG2" s="42">
        <v>11</v>
      </c>
      <c r="AH2" s="42">
        <v>0</v>
      </c>
      <c r="AI2" s="42">
        <v>0</v>
      </c>
      <c r="AJ2" s="42">
        <v>0</v>
      </c>
      <c r="AK2" s="38">
        <f>SUM(AG2:AJ2)</f>
        <v>11</v>
      </c>
      <c r="AL2" s="39">
        <f>IF(AG2+AH2=0,0,SUM(AG2:AH2)/AK2)</f>
        <v>1</v>
      </c>
      <c r="AM2" s="39">
        <f>IF(AG2=0,0,AG2/(SUM(AG2:AI2)))</f>
        <v>1</v>
      </c>
      <c r="AN2" s="25"/>
      <c r="AO2" s="25" t="str">
        <f>_xlfn.XLOOKUP(F2,'TFS Details'!F:F,'TFS Details'!I:I)</f>
        <v>MYISP_Revamp_UI</v>
      </c>
      <c r="AP2" s="25" t="str">
        <f>_xlfn.XLOOKUP(AO2,'TFS Details'!I:I,'TFS Details'!AE:AE)</f>
        <v>vikrant.r.mohite</v>
      </c>
      <c r="AQ2" s="18"/>
    </row>
    <row r="3" spans="1:43">
      <c r="A3" s="24" t="str">
        <f>_xlfn.XLOOKUP(F3,'TFS Details'!F:F,'TFS Details'!D:D)</f>
        <v>Common</v>
      </c>
      <c r="B3" s="24" t="str">
        <f>_xlfn.XLOOKUP(F3,'TFS Details'!F:F,'TFS Details'!A:A)</f>
        <v>Security-specific services when the Opportunity RDE is set to "Security"</v>
      </c>
      <c r="C3" s="46">
        <f>_xlfn.XLOOKUP(F3,'TFS Details'!F:F,'TFS Details'!E:E)</f>
        <v>4443757</v>
      </c>
      <c r="D3" s="100" t="s">
        <v>15</v>
      </c>
      <c r="E3" s="139" t="s">
        <v>462</v>
      </c>
      <c r="F3" s="141">
        <v>4443754</v>
      </c>
      <c r="G3" s="144" t="s">
        <v>457</v>
      </c>
      <c r="H3" s="162" t="s">
        <v>458</v>
      </c>
      <c r="I3" s="66" t="s">
        <v>99</v>
      </c>
      <c r="J3" s="66" t="s">
        <v>1</v>
      </c>
      <c r="K3" s="66"/>
      <c r="L3" s="66"/>
      <c r="M3" s="66" t="s">
        <v>461</v>
      </c>
      <c r="N3" s="102">
        <v>5</v>
      </c>
      <c r="O3" s="273">
        <v>0.05</v>
      </c>
      <c r="P3" s="102">
        <v>20</v>
      </c>
      <c r="Q3" s="102">
        <v>5</v>
      </c>
      <c r="R3" s="102">
        <v>0</v>
      </c>
      <c r="S3" s="102"/>
      <c r="T3" s="84"/>
      <c r="U3" s="84"/>
      <c r="V3" s="17" t="s">
        <v>204</v>
      </c>
      <c r="W3" s="17" t="s">
        <v>197</v>
      </c>
      <c r="X3" s="17" t="s">
        <v>204</v>
      </c>
      <c r="Y3" s="17" t="s">
        <v>197</v>
      </c>
      <c r="Z3" s="102">
        <v>50</v>
      </c>
      <c r="AA3" s="102">
        <v>9</v>
      </c>
      <c r="AB3" s="102">
        <v>1</v>
      </c>
      <c r="AC3" s="102">
        <v>10</v>
      </c>
      <c r="AD3" s="273">
        <v>0.95</v>
      </c>
      <c r="AE3" s="273">
        <v>0.8</v>
      </c>
      <c r="AF3" s="25" t="str">
        <f>_xlfn.XLOOKUP(F3,'TFS Details'!F:F,'TFS Details'!H:H)</f>
        <v>Active</v>
      </c>
      <c r="AG3" s="42">
        <v>0</v>
      </c>
      <c r="AH3" s="42">
        <v>0</v>
      </c>
      <c r="AI3" s="42">
        <v>0</v>
      </c>
      <c r="AJ3" s="42">
        <v>10</v>
      </c>
      <c r="AK3" s="38">
        <f t="shared" ref="AK3:AK35" si="0">SUM(AG3:AJ3)</f>
        <v>10</v>
      </c>
      <c r="AL3" s="39">
        <f>IF(AG3+AH3=0,0,SUM(AG3:AH3)/AK3)</f>
        <v>0</v>
      </c>
      <c r="AM3" s="39">
        <f>IF(AG3=0,0,AG3/(SUM(AG3:AI3)))</f>
        <v>0</v>
      </c>
      <c r="AN3" s="25"/>
      <c r="AO3" s="25" t="str">
        <f>_xlfn.XLOOKUP(F3,'TFS Details'!F:F,'TFS Details'!I:I)</f>
        <v>TechWarriors</v>
      </c>
      <c r="AP3" s="25" t="str">
        <f>_xlfn.XLOOKUP(AO3,'TFS Details'!I:I,'TFS Details'!AE:AE)</f>
        <v>Supriya.a.dhingra</v>
      </c>
    </row>
    <row r="4" spans="1:43">
      <c r="A4" s="24" t="str">
        <f>_xlfn.XLOOKUP(F4,'TFS Details'!F:F,'TFS Details'!D:D)</f>
        <v xml:space="preserve">Common </v>
      </c>
      <c r="B4" s="24" t="str">
        <f>_xlfn.XLOOKUP(F4,'TFS Details'!F:F,'TFS Details'!A:A)</f>
        <v>Market Maker Enterprise Solution Architect role from MMS in MMS Team Details</v>
      </c>
      <c r="C4" s="46">
        <f>_xlfn.XLOOKUP(F4,'TFS Details'!F:F,'TFS Details'!E:E)</f>
        <v>4443779</v>
      </c>
      <c r="D4" s="100" t="s">
        <v>15</v>
      </c>
      <c r="E4" s="139" t="s">
        <v>463</v>
      </c>
      <c r="F4" s="141">
        <v>4443764</v>
      </c>
      <c r="G4" s="144" t="s">
        <v>457</v>
      </c>
      <c r="H4" s="162" t="s">
        <v>458</v>
      </c>
      <c r="I4" s="66" t="s">
        <v>99</v>
      </c>
      <c r="J4" s="250" t="s">
        <v>20</v>
      </c>
      <c r="K4" s="66" t="s">
        <v>464</v>
      </c>
      <c r="L4" s="66" t="s">
        <v>77</v>
      </c>
      <c r="M4" s="66" t="s">
        <v>465</v>
      </c>
      <c r="N4" s="102">
        <v>5</v>
      </c>
      <c r="O4" s="273">
        <v>0.1</v>
      </c>
      <c r="P4" s="102">
        <v>20</v>
      </c>
      <c r="Q4" s="102">
        <v>5</v>
      </c>
      <c r="R4" s="102">
        <v>1</v>
      </c>
      <c r="S4" s="102"/>
      <c r="T4" s="84"/>
      <c r="U4" s="84"/>
      <c r="V4" s="17" t="s">
        <v>204</v>
      </c>
      <c r="W4" s="17" t="s">
        <v>204</v>
      </c>
      <c r="X4" s="17" t="s">
        <v>204</v>
      </c>
      <c r="Y4" s="17" t="s">
        <v>204</v>
      </c>
      <c r="Z4" s="102">
        <v>40</v>
      </c>
      <c r="AA4" s="102">
        <v>7</v>
      </c>
      <c r="AB4" s="102">
        <v>0</v>
      </c>
      <c r="AC4" s="102">
        <v>7</v>
      </c>
      <c r="AD4" s="273">
        <v>0.95</v>
      </c>
      <c r="AE4" s="273">
        <v>0.8</v>
      </c>
      <c r="AF4" s="25" t="str">
        <f>_xlfn.XLOOKUP(F4,'TFS Details'!F:F,'TFS Details'!H:H)</f>
        <v>PT In Test</v>
      </c>
      <c r="AG4" s="42">
        <v>7</v>
      </c>
      <c r="AH4" s="42">
        <v>0</v>
      </c>
      <c r="AI4" s="42">
        <v>0</v>
      </c>
      <c r="AJ4" s="42">
        <v>0</v>
      </c>
      <c r="AK4" s="38">
        <f t="shared" si="0"/>
        <v>7</v>
      </c>
      <c r="AL4" s="39">
        <f t="shared" ref="AL4:AL36" si="1">IF(AG4+AH4=0,0,SUM(AG4:AH4)/AK4)</f>
        <v>1</v>
      </c>
      <c r="AM4" s="39">
        <f t="shared" ref="AM4:AM36" si="2">IF(AG4=0,0,AG4/(SUM(AG4:AI4)))</f>
        <v>1</v>
      </c>
      <c r="AN4" s="75"/>
      <c r="AO4" s="25" t="str">
        <f>_xlfn.XLOOKUP(F4,'TFS Details'!F:F,'TFS Details'!I:I)</f>
        <v>GoRetro</v>
      </c>
      <c r="AP4" s="25" t="str">
        <f>_xlfn.XLOOKUP(AO4,'TFS Details'!I:I,'TFS Details'!AE:AE)</f>
        <v>sowjanya.kari</v>
      </c>
    </row>
    <row r="5" spans="1:43">
      <c r="A5" s="24" t="str">
        <f>_xlfn.XLOOKUP(F5,'TFS Details'!F:F,'TFS Details'!D:D)</f>
        <v>PMO</v>
      </c>
      <c r="B5" s="24" t="str">
        <f>_xlfn.XLOOKUP(F5,'TFS Details'!F:F,'TFS Details'!A:A)</f>
        <v>[PMO] URL update for Manage and Dashboard screens</v>
      </c>
      <c r="C5" s="46">
        <f>_xlfn.XLOOKUP(F5,'TFS Details'!F:F,'TFS Details'!E:E)</f>
        <v>4440976</v>
      </c>
      <c r="D5" s="100" t="s">
        <v>15</v>
      </c>
      <c r="E5" s="139" t="s">
        <v>466</v>
      </c>
      <c r="F5" s="141">
        <v>4443502</v>
      </c>
      <c r="G5" s="144" t="s">
        <v>467</v>
      </c>
      <c r="H5" s="162" t="s">
        <v>468</v>
      </c>
      <c r="I5" s="66" t="s">
        <v>123</v>
      </c>
      <c r="J5" s="66" t="s">
        <v>1</v>
      </c>
      <c r="K5" s="66"/>
      <c r="L5" s="66"/>
      <c r="M5" s="66" t="s">
        <v>465</v>
      </c>
      <c r="N5" s="102"/>
      <c r="O5" s="273">
        <v>0.1</v>
      </c>
      <c r="P5" s="102"/>
      <c r="Q5" s="102"/>
      <c r="R5" s="102"/>
      <c r="S5" s="102"/>
      <c r="T5" s="84"/>
      <c r="U5" s="84"/>
      <c r="V5" s="17" t="s">
        <v>204</v>
      </c>
      <c r="W5" s="17" t="s">
        <v>204</v>
      </c>
      <c r="X5" s="17" t="s">
        <v>204</v>
      </c>
      <c r="Y5" s="17" t="s">
        <v>197</v>
      </c>
      <c r="Z5" s="102"/>
      <c r="AA5" s="102"/>
      <c r="AB5" s="102"/>
      <c r="AC5" s="102"/>
      <c r="AD5" s="84"/>
      <c r="AE5" s="79"/>
      <c r="AF5" s="25" t="str">
        <f>_xlfn.XLOOKUP(F5,'TFS Details'!F:F,'TFS Details'!H:H)</f>
        <v>Active</v>
      </c>
      <c r="AG5" s="42">
        <v>0</v>
      </c>
      <c r="AH5" s="42">
        <v>0</v>
      </c>
      <c r="AI5" s="42">
        <v>0</v>
      </c>
      <c r="AJ5" s="42">
        <v>7</v>
      </c>
      <c r="AK5" s="38">
        <f t="shared" si="0"/>
        <v>7</v>
      </c>
      <c r="AL5" s="39">
        <f t="shared" si="1"/>
        <v>0</v>
      </c>
      <c r="AM5" s="39">
        <f t="shared" si="2"/>
        <v>0</v>
      </c>
      <c r="AN5" s="75"/>
      <c r="AO5" s="25" t="str">
        <f>_xlfn.XLOOKUP(F5,'TFS Details'!F:F,'TFS Details'!I:I)</f>
        <v>TechWarriors</v>
      </c>
      <c r="AP5" s="25" t="str">
        <f>_xlfn.XLOOKUP(AO5,'TFS Details'!I:I,'TFS Details'!AE:AE)</f>
        <v>Supriya.a.dhingra</v>
      </c>
    </row>
    <row r="6" spans="1:43">
      <c r="A6" s="24" t="str">
        <f>_xlfn.XLOOKUP(F6,'TFS Details'!F:F,'TFS Details'!D:D)</f>
        <v>PMO</v>
      </c>
      <c r="B6" s="24" t="str">
        <f>_xlfn.XLOOKUP(F6,'TFS Details'!F:F,'TFS Details'!A:A)</f>
        <v>[PMO] URL update for Manage and Dashboard screens</v>
      </c>
      <c r="C6" s="46">
        <f>_xlfn.XLOOKUP(F6,'TFS Details'!F:F,'TFS Details'!E:E)</f>
        <v>4440976</v>
      </c>
      <c r="D6" s="100" t="s">
        <v>15</v>
      </c>
      <c r="E6" s="139" t="s">
        <v>469</v>
      </c>
      <c r="F6" s="141">
        <v>4443510</v>
      </c>
      <c r="G6" s="144" t="s">
        <v>467</v>
      </c>
      <c r="H6" s="162" t="s">
        <v>468</v>
      </c>
      <c r="I6" s="66" t="s">
        <v>123</v>
      </c>
      <c r="J6" s="66" t="s">
        <v>1</v>
      </c>
      <c r="K6" s="66"/>
      <c r="L6" s="66"/>
      <c r="M6" s="66" t="s">
        <v>465</v>
      </c>
      <c r="N6" s="102"/>
      <c r="O6" s="273">
        <v>0.1</v>
      </c>
      <c r="P6" s="102"/>
      <c r="Q6" s="102"/>
      <c r="R6" s="102"/>
      <c r="S6" s="102"/>
      <c r="T6" s="84"/>
      <c r="U6" s="84"/>
      <c r="V6" s="17" t="s">
        <v>204</v>
      </c>
      <c r="W6" s="17" t="s">
        <v>204</v>
      </c>
      <c r="X6" s="17" t="s">
        <v>204</v>
      </c>
      <c r="Y6" s="17" t="s">
        <v>216</v>
      </c>
      <c r="Z6" s="102"/>
      <c r="AA6" s="102"/>
      <c r="AB6" s="102"/>
      <c r="AC6" s="102"/>
      <c r="AD6" s="84"/>
      <c r="AE6" s="84"/>
      <c r="AF6" s="25" t="str">
        <f>_xlfn.XLOOKUP(F6,'TFS Details'!F:F,'TFS Details'!H:H)</f>
        <v>PT In Test</v>
      </c>
      <c r="AG6" s="42">
        <v>8</v>
      </c>
      <c r="AH6" s="42">
        <v>0</v>
      </c>
      <c r="AI6" s="42">
        <v>0</v>
      </c>
      <c r="AJ6" s="42">
        <v>4</v>
      </c>
      <c r="AK6" s="38">
        <f>SUM(AG6:AJ6)</f>
        <v>12</v>
      </c>
      <c r="AL6" s="39">
        <f t="shared" si="1"/>
        <v>0.66666666666666663</v>
      </c>
      <c r="AM6" s="39">
        <f t="shared" si="2"/>
        <v>1</v>
      </c>
      <c r="AN6" s="25"/>
      <c r="AO6" s="25" t="str">
        <f>_xlfn.XLOOKUP(F6,'TFS Details'!F:F,'TFS Details'!I:I)</f>
        <v>TechPhantoms</v>
      </c>
      <c r="AP6" s="25" t="str">
        <f>_xlfn.XLOOKUP(AO6,'TFS Details'!I:I,'TFS Details'!AE:AE)</f>
        <v>sowjanya.kari</v>
      </c>
    </row>
    <row r="7" spans="1:43">
      <c r="A7" s="24" t="str">
        <f>_xlfn.XLOOKUP(F7,'TFS Details'!F:F,'TFS Details'!D:D)</f>
        <v>PMO</v>
      </c>
      <c r="B7" s="24" t="str">
        <f>_xlfn.XLOOKUP(F7,'TFS Details'!F:F,'TFS Details'!A:A)</f>
        <v>[PMO] URL update for Manage and Dashboard screens</v>
      </c>
      <c r="C7" s="46">
        <f>_xlfn.XLOOKUP(F7,'TFS Details'!F:F,'TFS Details'!E:E)</f>
        <v>4440976</v>
      </c>
      <c r="D7" s="100" t="s">
        <v>15</v>
      </c>
      <c r="E7" s="139" t="s">
        <v>470</v>
      </c>
      <c r="F7" s="141">
        <v>4443516</v>
      </c>
      <c r="G7" s="144" t="s">
        <v>467</v>
      </c>
      <c r="H7" s="162" t="s">
        <v>468</v>
      </c>
      <c r="I7" s="66" t="s">
        <v>123</v>
      </c>
      <c r="J7" s="66" t="s">
        <v>1</v>
      </c>
      <c r="K7" s="66"/>
      <c r="L7" s="66"/>
      <c r="M7" s="66" t="s">
        <v>465</v>
      </c>
      <c r="N7" s="102"/>
      <c r="O7" s="273">
        <v>0.1</v>
      </c>
      <c r="P7" s="102"/>
      <c r="Q7" s="102"/>
      <c r="R7" s="102"/>
      <c r="S7" s="102"/>
      <c r="T7" s="84"/>
      <c r="U7" s="84"/>
      <c r="V7" s="17" t="s">
        <v>204</v>
      </c>
      <c r="W7" s="17" t="s">
        <v>204</v>
      </c>
      <c r="X7" s="17" t="s">
        <v>204</v>
      </c>
      <c r="Y7" s="17" t="s">
        <v>197</v>
      </c>
      <c r="Z7" s="102"/>
      <c r="AA7" s="102"/>
      <c r="AB7" s="102"/>
      <c r="AC7" s="102"/>
      <c r="AD7" s="84"/>
      <c r="AE7" s="84"/>
      <c r="AF7" s="25" t="str">
        <f>_xlfn.XLOOKUP(F7,'TFS Details'!F:F,'TFS Details'!H:H)</f>
        <v>New</v>
      </c>
      <c r="AG7" s="42">
        <v>0</v>
      </c>
      <c r="AH7" s="42">
        <v>0</v>
      </c>
      <c r="AI7" s="42">
        <v>0</v>
      </c>
      <c r="AJ7" s="42">
        <v>6</v>
      </c>
      <c r="AK7" s="38">
        <f t="shared" si="0"/>
        <v>6</v>
      </c>
      <c r="AL7" s="39">
        <f t="shared" si="1"/>
        <v>0</v>
      </c>
      <c r="AM7" s="39">
        <f t="shared" si="2"/>
        <v>0</v>
      </c>
      <c r="AN7" s="75"/>
      <c r="AO7" s="25" t="str">
        <f>_xlfn.XLOOKUP(F7,'TFS Details'!F:F,'TFS Details'!I:I)</f>
        <v>TechWarriors</v>
      </c>
      <c r="AP7" s="25" t="str">
        <f>_xlfn.XLOOKUP(AO7,'TFS Details'!I:I,'TFS Details'!AE:AE)</f>
        <v>Supriya.a.dhingra</v>
      </c>
    </row>
    <row r="8" spans="1:43">
      <c r="A8" s="24" t="str">
        <f>_xlfn.XLOOKUP(F8,'TFS Details'!F:F,'TFS Details'!D:D)</f>
        <v>PMO</v>
      </c>
      <c r="B8" s="24" t="str">
        <f>_xlfn.XLOOKUP(F8,'TFS Details'!F:F,'TFS Details'!A:A)</f>
        <v>[PMO] URL update for Manage and Dashboard screens</v>
      </c>
      <c r="C8" s="46">
        <f>_xlfn.XLOOKUP(F8,'TFS Details'!F:F,'TFS Details'!E:E)</f>
        <v>4440976</v>
      </c>
      <c r="D8" s="100" t="s">
        <v>15</v>
      </c>
      <c r="E8" s="139" t="s">
        <v>471</v>
      </c>
      <c r="F8" s="141">
        <v>4440990</v>
      </c>
      <c r="G8" s="144" t="s">
        <v>467</v>
      </c>
      <c r="H8" s="162" t="s">
        <v>468</v>
      </c>
      <c r="I8" s="66" t="s">
        <v>94</v>
      </c>
      <c r="J8" s="66" t="s">
        <v>1</v>
      </c>
      <c r="K8" s="66"/>
      <c r="L8" s="66"/>
      <c r="M8" s="66" t="s">
        <v>465</v>
      </c>
      <c r="N8" s="102">
        <v>2</v>
      </c>
      <c r="O8" s="273">
        <v>0.2</v>
      </c>
      <c r="P8" s="102"/>
      <c r="Q8" s="102"/>
      <c r="R8" s="102"/>
      <c r="S8" s="102"/>
      <c r="T8" s="84"/>
      <c r="U8" s="84"/>
      <c r="V8" s="17" t="s">
        <v>204</v>
      </c>
      <c r="W8" s="17" t="s">
        <v>204</v>
      </c>
      <c r="X8" s="17" t="s">
        <v>204</v>
      </c>
      <c r="Y8" s="17" t="s">
        <v>197</v>
      </c>
      <c r="Z8" s="102"/>
      <c r="AA8" s="102"/>
      <c r="AB8" s="102"/>
      <c r="AC8" s="102"/>
      <c r="AD8" s="84"/>
      <c r="AE8" s="79"/>
      <c r="AF8" s="25" t="str">
        <f>_xlfn.XLOOKUP(F8,'TFS Details'!F:F,'TFS Details'!H:H)</f>
        <v>In Development</v>
      </c>
      <c r="AG8" s="42">
        <v>0</v>
      </c>
      <c r="AH8" s="42">
        <v>0</v>
      </c>
      <c r="AI8" s="42">
        <v>0</v>
      </c>
      <c r="AJ8" s="42">
        <v>12</v>
      </c>
      <c r="AK8" s="38">
        <f t="shared" si="0"/>
        <v>12</v>
      </c>
      <c r="AL8" s="39">
        <f t="shared" si="1"/>
        <v>0</v>
      </c>
      <c r="AM8" s="39">
        <f t="shared" si="2"/>
        <v>0</v>
      </c>
      <c r="AN8" s="75"/>
      <c r="AO8" s="25" t="str">
        <f>_xlfn.XLOOKUP(F8,'TFS Details'!F:F,'TFS Details'!I:I)</f>
        <v>GoRetro</v>
      </c>
      <c r="AP8" s="25" t="str">
        <f>_xlfn.XLOOKUP(AO8,'TFS Details'!I:I,'TFS Details'!AE:AE)</f>
        <v>sowjanya.kari</v>
      </c>
    </row>
    <row r="9" spans="1:43" ht="14.1">
      <c r="A9" s="24" t="str">
        <f>_xlfn.XLOOKUP(F9,'TFS Details'!F:F,'TFS Details'!D:D)</f>
        <v>PMO</v>
      </c>
      <c r="B9" s="24" t="str">
        <f>_xlfn.XLOOKUP(F9,'TFS Details'!F:F,'TFS Details'!A:A)</f>
        <v>[PMO] URL update for Manage and Dashboard screens</v>
      </c>
      <c r="C9" s="46">
        <f>_xlfn.XLOOKUP(F9,'TFS Details'!F:F,'TFS Details'!E:E)</f>
        <v>4440976</v>
      </c>
      <c r="D9" s="100" t="s">
        <v>15</v>
      </c>
      <c r="E9" s="139" t="s">
        <v>472</v>
      </c>
      <c r="F9" s="141">
        <v>4441001</v>
      </c>
      <c r="G9" s="144" t="s">
        <v>467</v>
      </c>
      <c r="H9" s="162" t="s">
        <v>468</v>
      </c>
      <c r="I9" s="66" t="s">
        <v>94</v>
      </c>
      <c r="J9" s="66" t="s">
        <v>1</v>
      </c>
      <c r="K9" s="66"/>
      <c r="L9" s="66"/>
      <c r="M9" s="66" t="s">
        <v>461</v>
      </c>
      <c r="N9" s="102">
        <v>2</v>
      </c>
      <c r="O9" s="273">
        <v>0.2</v>
      </c>
      <c r="P9" s="102"/>
      <c r="Q9" s="102"/>
      <c r="R9" s="102"/>
      <c r="S9" s="102"/>
      <c r="T9" s="84"/>
      <c r="U9" s="84"/>
      <c r="V9" s="17" t="s">
        <v>204</v>
      </c>
      <c r="W9" s="17" t="s">
        <v>204</v>
      </c>
      <c r="X9" s="17" t="s">
        <v>204</v>
      </c>
      <c r="Y9" s="17" t="s">
        <v>197</v>
      </c>
      <c r="Z9" s="102"/>
      <c r="AA9" s="102"/>
      <c r="AB9" s="102"/>
      <c r="AC9" s="102"/>
      <c r="AD9" s="84"/>
      <c r="AE9" s="80"/>
      <c r="AF9" s="25" t="str">
        <f>_xlfn.XLOOKUP(F9,'TFS Details'!F:F,'TFS Details'!H:H)</f>
        <v>In Development</v>
      </c>
      <c r="AG9" s="42">
        <v>0</v>
      </c>
      <c r="AH9" s="42">
        <v>0</v>
      </c>
      <c r="AI9" s="42">
        <v>0</v>
      </c>
      <c r="AJ9" s="42">
        <v>4</v>
      </c>
      <c r="AK9" s="38">
        <f t="shared" si="0"/>
        <v>4</v>
      </c>
      <c r="AL9" s="39">
        <f t="shared" si="1"/>
        <v>0</v>
      </c>
      <c r="AM9" s="39">
        <f t="shared" si="2"/>
        <v>0</v>
      </c>
      <c r="AN9" s="75"/>
      <c r="AO9" s="25" t="str">
        <f>_xlfn.XLOOKUP(F9,'TFS Details'!F:F,'TFS Details'!I:I)</f>
        <v>GoRetro</v>
      </c>
      <c r="AP9" s="25" t="str">
        <f>_xlfn.XLOOKUP(AO9,'TFS Details'!I:I,'TFS Details'!AE:AE)</f>
        <v>sowjanya.kari</v>
      </c>
    </row>
    <row r="10" spans="1:43">
      <c r="A10" s="24" t="str">
        <f>_xlfn.XLOOKUP(F10,'TFS Details'!F:F,'TFS Details'!D:D)</f>
        <v>myCalendar</v>
      </c>
      <c r="B10" s="24" t="str">
        <f>_xlfn.XLOOKUP(F10,'TFS Details'!F:F,'TFS Details'!A:A)</f>
        <v>myCalendar: Simplify calender funtionality for Solution Architect</v>
      </c>
      <c r="C10" s="46">
        <f>_xlfn.XLOOKUP(F10,'TFS Details'!F:F,'TFS Details'!E:E)</f>
        <v>4447848</v>
      </c>
      <c r="D10" s="100" t="s">
        <v>15</v>
      </c>
      <c r="E10" s="139" t="s">
        <v>473</v>
      </c>
      <c r="F10" s="141">
        <v>4467824</v>
      </c>
      <c r="G10" s="144" t="s">
        <v>457</v>
      </c>
      <c r="H10" s="162" t="s">
        <v>458</v>
      </c>
      <c r="I10" s="66" t="s">
        <v>123</v>
      </c>
      <c r="J10" s="66" t="s">
        <v>1</v>
      </c>
      <c r="K10" s="66"/>
      <c r="L10" s="66"/>
      <c r="M10" s="66" t="s">
        <v>461</v>
      </c>
      <c r="N10" s="102"/>
      <c r="O10" s="273">
        <v>0.05</v>
      </c>
      <c r="P10" s="102"/>
      <c r="Q10" s="102"/>
      <c r="R10" s="102"/>
      <c r="S10" s="102"/>
      <c r="T10" s="84"/>
      <c r="U10" s="84"/>
      <c r="V10" s="17" t="s">
        <v>204</v>
      </c>
      <c r="W10" s="17" t="s">
        <v>197</v>
      </c>
      <c r="X10" s="17" t="s">
        <v>204</v>
      </c>
      <c r="Y10" s="17" t="s">
        <v>197</v>
      </c>
      <c r="Z10" s="102">
        <v>56</v>
      </c>
      <c r="AA10" s="102">
        <v>37</v>
      </c>
      <c r="AB10" s="102">
        <v>0</v>
      </c>
      <c r="AC10" s="102">
        <v>37</v>
      </c>
      <c r="AD10" s="273">
        <v>0.95</v>
      </c>
      <c r="AE10" s="273">
        <v>0.8</v>
      </c>
      <c r="AF10" s="25" t="str">
        <f>_xlfn.XLOOKUP(F10,'TFS Details'!F:F,'TFS Details'!H:H)</f>
        <v>Active</v>
      </c>
      <c r="AG10" s="42">
        <v>0</v>
      </c>
      <c r="AH10" s="42">
        <v>0</v>
      </c>
      <c r="AI10" s="42">
        <v>0</v>
      </c>
      <c r="AJ10" s="42">
        <v>37</v>
      </c>
      <c r="AK10" s="38">
        <f>SUM(AG10:AJ10)</f>
        <v>37</v>
      </c>
      <c r="AL10" s="39">
        <f>IF(AG10+AH10=0,0,SUM(AG10:AH10)/AK10)</f>
        <v>0</v>
      </c>
      <c r="AM10" s="39">
        <f>IF(AG10=0,0,AG10/(SUM(AG10:AI10)))</f>
        <v>0</v>
      </c>
      <c r="AN10" s="75"/>
      <c r="AO10" s="25"/>
      <c r="AP10" s="25"/>
    </row>
    <row r="11" spans="1:43">
      <c r="A11" s="24" t="str">
        <f>_xlfn.XLOOKUP(F11,'TFS Details'!F:F,'TFS Details'!D:D)</f>
        <v>BPMS Onboarding</v>
      </c>
      <c r="B11" s="24" t="str">
        <f>_xlfn.XLOOKUP(F11,'TFS Details'!F:F,'TFS Details'!A:A)</f>
        <v>Raise Request Email Template Standardization - Deal Value and Date Format</v>
      </c>
      <c r="C11" s="46">
        <f>_xlfn.XLOOKUP(F11,'TFS Details'!F:F,'TFS Details'!E:E)</f>
        <v>4441965</v>
      </c>
      <c r="D11" s="100" t="s">
        <v>15</v>
      </c>
      <c r="E11" s="139" t="s">
        <v>474</v>
      </c>
      <c r="F11" s="141">
        <v>4441959</v>
      </c>
      <c r="G11" s="144" t="s">
        <v>467</v>
      </c>
      <c r="H11" s="162" t="s">
        <v>468</v>
      </c>
      <c r="I11" s="66"/>
      <c r="J11" s="250" t="s">
        <v>18</v>
      </c>
      <c r="K11" s="66" t="s">
        <v>475</v>
      </c>
      <c r="L11" s="101" t="s">
        <v>87</v>
      </c>
      <c r="M11" s="66"/>
      <c r="N11" s="102"/>
      <c r="O11" s="84"/>
      <c r="P11" s="102"/>
      <c r="Q11" s="102"/>
      <c r="R11" s="102"/>
      <c r="S11" s="102"/>
      <c r="T11" s="84"/>
      <c r="U11" s="84"/>
      <c r="V11" s="17" t="s">
        <v>204</v>
      </c>
      <c r="W11" s="17" t="s">
        <v>204</v>
      </c>
      <c r="X11" s="17" t="s">
        <v>204</v>
      </c>
      <c r="Y11" s="17" t="s">
        <v>216</v>
      </c>
      <c r="Z11" s="102"/>
      <c r="AA11" s="102"/>
      <c r="AB11" s="102"/>
      <c r="AC11" s="102"/>
      <c r="AD11" s="84"/>
      <c r="AE11" s="84"/>
      <c r="AF11" s="25" t="str">
        <f>_xlfn.XLOOKUP(F11,'TFS Details'!F:F,'TFS Details'!H:H)</f>
        <v>PT In Test</v>
      </c>
      <c r="AG11" s="42">
        <v>5</v>
      </c>
      <c r="AH11" s="42">
        <v>0</v>
      </c>
      <c r="AI11" s="42">
        <v>0</v>
      </c>
      <c r="AJ11" s="42">
        <v>2</v>
      </c>
      <c r="AK11" s="38">
        <f t="shared" si="0"/>
        <v>7</v>
      </c>
      <c r="AL11" s="39">
        <f t="shared" si="1"/>
        <v>0.7142857142857143</v>
      </c>
      <c r="AM11" s="39">
        <f t="shared" si="2"/>
        <v>1</v>
      </c>
      <c r="AN11" s="25"/>
      <c r="AO11" s="25" t="str">
        <f>_xlfn.XLOOKUP(F11,'TFS Details'!F:F,'TFS Details'!I:I)</f>
        <v>TechPhantoms</v>
      </c>
      <c r="AP11" s="25" t="str">
        <f>_xlfn.XLOOKUP(AO11,'TFS Details'!I:I,'TFS Details'!AE:AE)</f>
        <v>sowjanya.kari</v>
      </c>
    </row>
    <row r="12" spans="1:43">
      <c r="A12" s="24" t="str">
        <f>_xlfn.XLOOKUP(F12,'TFS Details'!F:F,'TFS Details'!D:D)</f>
        <v>Common</v>
      </c>
      <c r="B12" s="24" t="str">
        <f>_xlfn.XLOOKUP(F12,'TFS Details'!F:F,'TFS Details'!A:A)</f>
        <v>Enter special characters, spaces, and bullet-point text for all 5 Opportunity on a Page questions</v>
      </c>
      <c r="C12" s="46">
        <f>_xlfn.XLOOKUP(F12,'TFS Details'!F:F,'TFS Details'!E:E)</f>
        <v>4441971</v>
      </c>
      <c r="D12" s="100" t="s">
        <v>15</v>
      </c>
      <c r="E12" s="139" t="s">
        <v>476</v>
      </c>
      <c r="F12" s="141">
        <v>4441970</v>
      </c>
      <c r="G12" s="144" t="s">
        <v>457</v>
      </c>
      <c r="H12" s="162" t="s">
        <v>458</v>
      </c>
      <c r="I12" s="66" t="s">
        <v>99</v>
      </c>
      <c r="J12" s="66" t="s">
        <v>1</v>
      </c>
      <c r="K12" s="66"/>
      <c r="L12" s="66"/>
      <c r="M12" s="66" t="s">
        <v>461</v>
      </c>
      <c r="N12" s="102">
        <v>5</v>
      </c>
      <c r="O12" s="273">
        <v>0.05</v>
      </c>
      <c r="P12" s="102">
        <v>20</v>
      </c>
      <c r="Q12" s="102">
        <v>5</v>
      </c>
      <c r="R12" s="102">
        <v>1</v>
      </c>
      <c r="S12" s="102"/>
      <c r="T12" s="84"/>
      <c r="U12" s="84"/>
      <c r="V12" s="17" t="s">
        <v>204</v>
      </c>
      <c r="W12" s="17" t="s">
        <v>197</v>
      </c>
      <c r="X12" s="17" t="s">
        <v>204</v>
      </c>
      <c r="Y12" s="17" t="s">
        <v>197</v>
      </c>
      <c r="Z12" s="102">
        <v>70</v>
      </c>
      <c r="AA12" s="102">
        <v>7</v>
      </c>
      <c r="AB12" s="102">
        <v>0</v>
      </c>
      <c r="AC12" s="102">
        <v>7</v>
      </c>
      <c r="AD12" s="273">
        <v>0.95</v>
      </c>
      <c r="AE12" s="273">
        <v>0.8</v>
      </c>
      <c r="AF12" s="25" t="str">
        <f>_xlfn.XLOOKUP(F12,'TFS Details'!F:F,'TFS Details'!H:H)</f>
        <v>Active</v>
      </c>
      <c r="AG12" s="42">
        <v>0</v>
      </c>
      <c r="AH12" s="42">
        <v>0</v>
      </c>
      <c r="AI12" s="42">
        <v>0</v>
      </c>
      <c r="AJ12" s="42">
        <v>7</v>
      </c>
      <c r="AK12" s="38">
        <f t="shared" si="0"/>
        <v>7</v>
      </c>
      <c r="AL12" s="39">
        <f t="shared" si="1"/>
        <v>0</v>
      </c>
      <c r="AM12" s="39">
        <f t="shared" si="2"/>
        <v>0</v>
      </c>
      <c r="AN12" s="75"/>
      <c r="AO12" s="25" t="str">
        <f>_xlfn.XLOOKUP(F12,'TFS Details'!F:F,'TFS Details'!I:I)</f>
        <v>TechWarriors</v>
      </c>
      <c r="AP12" s="25" t="str">
        <f>_xlfn.XLOOKUP(AO12,'TFS Details'!I:I,'TFS Details'!AE:AE)</f>
        <v>Supriya.a.dhingra</v>
      </c>
    </row>
    <row r="13" spans="1:43">
      <c r="A13" s="24" t="str">
        <f>_xlfn.XLOOKUP(F13,'TFS Details'!F:F,'TFS Details'!D:D)</f>
        <v>Common</v>
      </c>
      <c r="B13" s="24" t="str">
        <f>_xlfn.XLOOKUP(F13,'TFS Details'!F:F,'TFS Details'!A:A)</f>
        <v>Stage Update Date on the Timeline screen</v>
      </c>
      <c r="C13" s="46">
        <f>_xlfn.XLOOKUP(F13,'TFS Details'!F:F,'TFS Details'!E:E)</f>
        <v>4441973</v>
      </c>
      <c r="D13" s="100" t="s">
        <v>15</v>
      </c>
      <c r="E13" s="139" t="s">
        <v>477</v>
      </c>
      <c r="F13" s="141">
        <v>4441972</v>
      </c>
      <c r="G13" s="144" t="s">
        <v>457</v>
      </c>
      <c r="H13" s="162" t="s">
        <v>458</v>
      </c>
      <c r="I13" s="66" t="s">
        <v>99</v>
      </c>
      <c r="J13" s="250" t="s">
        <v>20</v>
      </c>
      <c r="K13" s="66" t="s">
        <v>478</v>
      </c>
      <c r="L13" s="16" t="s">
        <v>45</v>
      </c>
      <c r="M13" s="66" t="s">
        <v>465</v>
      </c>
      <c r="N13" s="102">
        <v>5</v>
      </c>
      <c r="O13" s="273">
        <v>0.4</v>
      </c>
      <c r="P13" s="102">
        <v>31</v>
      </c>
      <c r="Q13" s="102">
        <v>5</v>
      </c>
      <c r="R13" s="102">
        <v>0</v>
      </c>
      <c r="S13" s="102"/>
      <c r="T13" s="84"/>
      <c r="U13" s="84"/>
      <c r="V13" s="17" t="s">
        <v>204</v>
      </c>
      <c r="W13" s="17" t="s">
        <v>204</v>
      </c>
      <c r="X13" s="17" t="s">
        <v>204</v>
      </c>
      <c r="Y13" s="17" t="s">
        <v>204</v>
      </c>
      <c r="Z13" s="102">
        <v>36</v>
      </c>
      <c r="AA13" s="102">
        <v>7</v>
      </c>
      <c r="AB13" s="102">
        <v>0</v>
      </c>
      <c r="AC13" s="102">
        <v>7</v>
      </c>
      <c r="AD13" s="273">
        <v>0.95</v>
      </c>
      <c r="AE13" s="273">
        <v>0.8</v>
      </c>
      <c r="AF13" s="25" t="str">
        <f>_xlfn.XLOOKUP(F13,'TFS Details'!F:F,'TFS Details'!H:H)</f>
        <v>Test Complete</v>
      </c>
      <c r="AG13" s="42">
        <v>7</v>
      </c>
      <c r="AH13" s="42">
        <v>0</v>
      </c>
      <c r="AI13" s="42">
        <v>0</v>
      </c>
      <c r="AJ13" s="42">
        <v>0</v>
      </c>
      <c r="AK13" s="38">
        <f t="shared" si="0"/>
        <v>7</v>
      </c>
      <c r="AL13" s="39">
        <f t="shared" si="1"/>
        <v>1</v>
      </c>
      <c r="AM13" s="39">
        <f t="shared" si="2"/>
        <v>1</v>
      </c>
      <c r="AN13" s="25"/>
      <c r="AO13" s="25" t="str">
        <f>_xlfn.XLOOKUP(F13,'TFS Details'!F:F,'TFS Details'!I:I)</f>
        <v>GoRetro</v>
      </c>
      <c r="AP13" s="25" t="str">
        <f>_xlfn.XLOOKUP(AO13,'TFS Details'!I:I,'TFS Details'!AE:AE)</f>
        <v>sowjanya.kari</v>
      </c>
    </row>
    <row r="14" spans="1:43">
      <c r="A14" s="24" t="str">
        <f>_xlfn.XLOOKUP(F14,'TFS Details'!F:F,'TFS Details'!D:D)</f>
        <v>common</v>
      </c>
      <c r="B14" s="24" t="str">
        <f>_xlfn.XLOOKUP(F14,'TFS Details'!F:F,'TFS Details'!A:A)</f>
        <v>Deal Hierarchy info text at the right-bottom of the MMS Details screen</v>
      </c>
      <c r="C14" s="46">
        <f>_xlfn.XLOOKUP(F14,'TFS Details'!F:F,'TFS Details'!E:E)</f>
        <v>4441977</v>
      </c>
      <c r="D14" s="100" t="s">
        <v>15</v>
      </c>
      <c r="E14" s="139" t="s">
        <v>479</v>
      </c>
      <c r="F14" s="141">
        <v>4441975</v>
      </c>
      <c r="G14" s="144" t="s">
        <v>457</v>
      </c>
      <c r="H14" s="162" t="s">
        <v>458</v>
      </c>
      <c r="I14" s="66" t="s">
        <v>99</v>
      </c>
      <c r="J14" s="66" t="s">
        <v>1</v>
      </c>
      <c r="K14" s="66"/>
      <c r="L14" s="66"/>
      <c r="M14" s="66" t="s">
        <v>465</v>
      </c>
      <c r="N14" s="102">
        <v>5</v>
      </c>
      <c r="O14" s="273">
        <v>0.25</v>
      </c>
      <c r="P14" s="102">
        <v>21</v>
      </c>
      <c r="Q14" s="102">
        <v>5</v>
      </c>
      <c r="R14" s="102">
        <v>0</v>
      </c>
      <c r="S14" s="102"/>
      <c r="T14" s="84"/>
      <c r="U14" s="84"/>
      <c r="V14" s="17" t="s">
        <v>204</v>
      </c>
      <c r="W14" s="17" t="s">
        <v>204</v>
      </c>
      <c r="X14" s="17" t="s">
        <v>204</v>
      </c>
      <c r="Y14" s="17" t="s">
        <v>204</v>
      </c>
      <c r="Z14" s="102">
        <v>56</v>
      </c>
      <c r="AA14" s="102">
        <v>14</v>
      </c>
      <c r="AB14" s="102">
        <v>0</v>
      </c>
      <c r="AC14" s="102">
        <v>14</v>
      </c>
      <c r="AD14" s="273">
        <v>0.95</v>
      </c>
      <c r="AE14" s="273">
        <v>0.8</v>
      </c>
      <c r="AF14" s="25" t="str">
        <f>_xlfn.XLOOKUP(F14,'TFS Details'!F:F,'TFS Details'!H:H)</f>
        <v>Test Complete</v>
      </c>
      <c r="AG14" s="42">
        <v>14</v>
      </c>
      <c r="AH14" s="42">
        <v>0</v>
      </c>
      <c r="AI14" s="42">
        <v>0</v>
      </c>
      <c r="AJ14" s="42">
        <v>0</v>
      </c>
      <c r="AK14" s="38">
        <f t="shared" si="0"/>
        <v>14</v>
      </c>
      <c r="AL14" s="39">
        <f t="shared" si="1"/>
        <v>1</v>
      </c>
      <c r="AM14" s="39">
        <f t="shared" si="2"/>
        <v>1</v>
      </c>
      <c r="AN14" s="25"/>
      <c r="AO14" s="25" t="str">
        <f>_xlfn.XLOOKUP(F14,'TFS Details'!F:F,'TFS Details'!I:I)</f>
        <v>GoRetro</v>
      </c>
      <c r="AP14" s="25" t="str">
        <f>_xlfn.XLOOKUP(AO14,'TFS Details'!I:I,'TFS Details'!AE:AE)</f>
        <v>sowjanya.kari</v>
      </c>
    </row>
    <row r="15" spans="1:43">
      <c r="A15" s="24" t="str">
        <f>_xlfn.XLOOKUP(F15,'TFS Details'!F:F,'TFS Details'!D:D)</f>
        <v>PMO</v>
      </c>
      <c r="B15" s="24" t="str">
        <f>_xlfn.XLOOKUP(F15,'TFS Details'!F:F,'TFS Details'!A:A)</f>
        <v>[PMO] URL update for Manage and Dashboard screens</v>
      </c>
      <c r="C15" s="46">
        <f>_xlfn.XLOOKUP(F15,'TFS Details'!F:F,'TFS Details'!E:E)</f>
        <v>4440976</v>
      </c>
      <c r="D15" s="100" t="s">
        <v>15</v>
      </c>
      <c r="E15" s="158" t="s">
        <v>480</v>
      </c>
      <c r="F15" s="164">
        <v>4441883</v>
      </c>
      <c r="G15" s="144" t="s">
        <v>467</v>
      </c>
      <c r="H15" s="162" t="s">
        <v>468</v>
      </c>
      <c r="I15" s="66" t="s">
        <v>94</v>
      </c>
      <c r="J15" s="66" t="s">
        <v>1</v>
      </c>
      <c r="K15" s="66"/>
      <c r="L15" s="66"/>
      <c r="M15" s="66" t="s">
        <v>461</v>
      </c>
      <c r="N15" s="102">
        <v>2</v>
      </c>
      <c r="O15" s="273">
        <v>0.2</v>
      </c>
      <c r="P15" s="102"/>
      <c r="Q15" s="102"/>
      <c r="R15" s="102"/>
      <c r="S15" s="102"/>
      <c r="T15" s="84"/>
      <c r="U15" s="84"/>
      <c r="V15" s="17" t="s">
        <v>204</v>
      </c>
      <c r="W15" s="17" t="s">
        <v>204</v>
      </c>
      <c r="X15" s="17" t="s">
        <v>204</v>
      </c>
      <c r="Y15" s="17" t="s">
        <v>197</v>
      </c>
      <c r="Z15" s="102"/>
      <c r="AA15" s="102"/>
      <c r="AB15" s="102"/>
      <c r="AC15" s="102"/>
      <c r="AD15" s="84"/>
      <c r="AE15" s="84"/>
      <c r="AF15" s="25" t="str">
        <f>_xlfn.XLOOKUP(F15,'TFS Details'!F:F,'TFS Details'!H:H)</f>
        <v>In Development</v>
      </c>
      <c r="AG15" s="42">
        <v>0</v>
      </c>
      <c r="AH15" s="42">
        <v>0</v>
      </c>
      <c r="AI15" s="42">
        <v>0</v>
      </c>
      <c r="AJ15" s="42">
        <v>7</v>
      </c>
      <c r="AK15" s="38">
        <f t="shared" si="0"/>
        <v>7</v>
      </c>
      <c r="AL15" s="39">
        <f t="shared" si="1"/>
        <v>0</v>
      </c>
      <c r="AM15" s="39">
        <f t="shared" si="2"/>
        <v>0</v>
      </c>
      <c r="AN15" s="25"/>
      <c r="AO15" s="25" t="str">
        <f>_xlfn.XLOOKUP(F15,'TFS Details'!F:F,'TFS Details'!I:I)</f>
        <v>GoRetro</v>
      </c>
      <c r="AP15" s="25" t="str">
        <f>_xlfn.XLOOKUP(AO15,'TFS Details'!I:I,'TFS Details'!AE:AE)</f>
        <v>sowjanya.kari</v>
      </c>
    </row>
    <row r="16" spans="1:43" ht="14.45">
      <c r="A16" s="24" t="str">
        <f>_xlfn.XLOOKUP(F16,'TFS Details'!F:F,'TFS Details'!D:D)</f>
        <v>SA Team manager</v>
      </c>
      <c r="B16" s="24" t="str">
        <f>_xlfn.XLOOKUP(F16,'TFS Details'!F:F,'TFS Details'!A:A)</f>
        <v>SA Team manager UI updates.1. Capability to be autopopulate for Operations 2. Dependency of Deployment field for capability in left side slicer.</v>
      </c>
      <c r="C16" s="46">
        <f>_xlfn.XLOOKUP(F16,'TFS Details'!F:F,'TFS Details'!E:E)</f>
        <v>4441867</v>
      </c>
      <c r="D16" s="100" t="s">
        <v>15</v>
      </c>
      <c r="E16" s="15" t="s">
        <v>481</v>
      </c>
      <c r="F16" s="172">
        <v>4441886</v>
      </c>
      <c r="G16" s="144" t="s">
        <v>482</v>
      </c>
      <c r="H16" s="162" t="s">
        <v>483</v>
      </c>
      <c r="I16" s="66" t="s">
        <v>135</v>
      </c>
      <c r="J16" s="250" t="s">
        <v>1</v>
      </c>
      <c r="K16" s="66"/>
      <c r="L16" s="66"/>
      <c r="M16" s="66" t="s">
        <v>461</v>
      </c>
      <c r="N16" s="102"/>
      <c r="O16" s="273">
        <v>0</v>
      </c>
      <c r="P16" s="102"/>
      <c r="Q16" s="102"/>
      <c r="R16" s="102"/>
      <c r="S16" s="102"/>
      <c r="T16" s="84"/>
      <c r="U16" s="84"/>
      <c r="V16" s="17" t="s">
        <v>204</v>
      </c>
      <c r="W16" s="17" t="s">
        <v>204</v>
      </c>
      <c r="X16" s="17" t="s">
        <v>197</v>
      </c>
      <c r="Y16" s="17" t="s">
        <v>216</v>
      </c>
      <c r="Z16" s="102"/>
      <c r="AA16" s="102"/>
      <c r="AB16" s="102"/>
      <c r="AC16" s="102"/>
      <c r="AD16" s="84"/>
      <c r="AE16" s="84"/>
      <c r="AF16" s="25" t="str">
        <f>_xlfn.XLOOKUP(F16,'TFS Details'!F:F,'TFS Details'!H:H)</f>
        <v>PT In Test</v>
      </c>
      <c r="AG16" s="42">
        <v>0</v>
      </c>
      <c r="AH16" s="42">
        <v>0</v>
      </c>
      <c r="AI16" s="42">
        <v>0</v>
      </c>
      <c r="AJ16" s="42">
        <v>25</v>
      </c>
      <c r="AK16" s="38">
        <f t="shared" si="0"/>
        <v>25</v>
      </c>
      <c r="AL16" s="39">
        <f t="shared" si="1"/>
        <v>0</v>
      </c>
      <c r="AM16" s="39">
        <f t="shared" si="2"/>
        <v>0</v>
      </c>
      <c r="AN16" s="103"/>
      <c r="AO16" s="25" t="str">
        <f>_xlfn.XLOOKUP(F16,'TFS Details'!F:F,'TFS Details'!I:I)</f>
        <v>GoRetro</v>
      </c>
      <c r="AP16" s="25" t="str">
        <f>_xlfn.XLOOKUP(AO16,'TFS Details'!I:I,'TFS Details'!AE:AE)</f>
        <v>sowjanya.kari</v>
      </c>
    </row>
    <row r="17" spans="1:42">
      <c r="A17" s="24" t="str">
        <f>_xlfn.XLOOKUP(F17,'TFS Details'!F:F,'TFS Details'!D:D)</f>
        <v>SA Team manager</v>
      </c>
      <c r="B17" s="24" t="str">
        <f>_xlfn.XLOOKUP(F17,'TFS Details'!F:F,'TFS Details'!A:A)</f>
        <v>SA Team manager UI updates.1. Capability to be autopopulate for Operations 2. Dependency of Deployment field for capability in left side slicer.</v>
      </c>
      <c r="C17" s="46">
        <f>_xlfn.XLOOKUP(F17,'TFS Details'!F:F,'TFS Details'!E:E)</f>
        <v>4441867</v>
      </c>
      <c r="D17" s="100" t="s">
        <v>15</v>
      </c>
      <c r="E17" s="15" t="s">
        <v>484</v>
      </c>
      <c r="F17" s="172">
        <v>4441890</v>
      </c>
      <c r="G17" s="144" t="s">
        <v>482</v>
      </c>
      <c r="H17" s="162" t="s">
        <v>483</v>
      </c>
      <c r="I17" s="66"/>
      <c r="J17" s="250" t="s">
        <v>18</v>
      </c>
      <c r="K17" s="66" t="s">
        <v>485</v>
      </c>
      <c r="L17" s="66" t="s">
        <v>74</v>
      </c>
      <c r="M17" s="66"/>
      <c r="N17" s="102"/>
      <c r="P17" s="102"/>
      <c r="Q17" s="102"/>
      <c r="R17" s="102"/>
      <c r="S17" s="102"/>
      <c r="T17" s="84"/>
      <c r="U17" s="84"/>
      <c r="V17" s="17" t="s">
        <v>204</v>
      </c>
      <c r="W17" s="17" t="s">
        <v>204</v>
      </c>
      <c r="X17" s="17" t="s">
        <v>197</v>
      </c>
      <c r="Y17" s="17" t="s">
        <v>216</v>
      </c>
      <c r="Z17" s="102"/>
      <c r="AA17" s="102"/>
      <c r="AB17" s="102"/>
      <c r="AC17" s="102"/>
      <c r="AD17" s="84"/>
      <c r="AE17" s="84"/>
      <c r="AF17" s="25" t="str">
        <f>_xlfn.XLOOKUP(F17,'TFS Details'!F:F,'TFS Details'!H:H)</f>
        <v>Test Complete</v>
      </c>
      <c r="AG17" s="42">
        <v>0</v>
      </c>
      <c r="AH17" s="42">
        <v>0</v>
      </c>
      <c r="AI17" s="42">
        <v>0</v>
      </c>
      <c r="AJ17" s="42">
        <v>0</v>
      </c>
      <c r="AK17" s="38">
        <f t="shared" si="0"/>
        <v>0</v>
      </c>
      <c r="AL17" s="39">
        <f t="shared" si="1"/>
        <v>0</v>
      </c>
      <c r="AM17" s="39">
        <f t="shared" si="2"/>
        <v>0</v>
      </c>
      <c r="AN17" s="25"/>
      <c r="AO17" s="25" t="str">
        <f>_xlfn.XLOOKUP(F17,'TFS Details'!F:F,'TFS Details'!I:I)</f>
        <v>GoRetro</v>
      </c>
      <c r="AP17" s="25" t="str">
        <f>_xlfn.XLOOKUP(AO17,'TFS Details'!I:I,'TFS Details'!AE:AE)</f>
        <v>sowjanya.kari</v>
      </c>
    </row>
    <row r="18" spans="1:42">
      <c r="A18" s="24" t="str">
        <f>_xlfn.XLOOKUP(F18,'TFS Details'!F:F,'TFS Details'!D:D)</f>
        <v>SA Team manager</v>
      </c>
      <c r="B18" s="24" t="str">
        <f>_xlfn.XLOOKUP(F18,'TFS Details'!F:F,'TFS Details'!A:A)</f>
        <v>SA Team manager UI updates.1. Capability to be autopopulate for Operations 2. Dependency of Deployment field for capability in left side slicer.</v>
      </c>
      <c r="C18" s="46">
        <f>_xlfn.XLOOKUP(F18,'TFS Details'!F:F,'TFS Details'!E:E)</f>
        <v>4441867</v>
      </c>
      <c r="D18" s="100" t="s">
        <v>15</v>
      </c>
      <c r="E18" s="15" t="s">
        <v>486</v>
      </c>
      <c r="F18" s="172">
        <v>4441892</v>
      </c>
      <c r="G18" s="144" t="s">
        <v>482</v>
      </c>
      <c r="H18" s="162" t="s">
        <v>483</v>
      </c>
      <c r="I18" s="66"/>
      <c r="J18" s="250" t="s">
        <v>18</v>
      </c>
      <c r="K18" s="66" t="s">
        <v>485</v>
      </c>
      <c r="L18" s="66" t="s">
        <v>74</v>
      </c>
      <c r="M18" s="66"/>
      <c r="N18" s="102"/>
      <c r="O18" s="84"/>
      <c r="P18" s="102"/>
      <c r="Q18" s="102"/>
      <c r="R18" s="102"/>
      <c r="S18" s="102"/>
      <c r="T18" s="84"/>
      <c r="U18" s="84"/>
      <c r="V18" s="17" t="s">
        <v>204</v>
      </c>
      <c r="W18" s="17" t="s">
        <v>204</v>
      </c>
      <c r="X18" s="17" t="s">
        <v>197</v>
      </c>
      <c r="Y18" s="17" t="s">
        <v>216</v>
      </c>
      <c r="Z18" s="102"/>
      <c r="AA18" s="102"/>
      <c r="AB18" s="102"/>
      <c r="AC18" s="102"/>
      <c r="AD18" s="84"/>
      <c r="AE18" s="84"/>
      <c r="AF18" s="25" t="str">
        <f>_xlfn.XLOOKUP(F18,'TFS Details'!F:F,'TFS Details'!H:H)</f>
        <v>Test Complete</v>
      </c>
      <c r="AG18" s="42">
        <v>0</v>
      </c>
      <c r="AH18" s="42">
        <v>0</v>
      </c>
      <c r="AI18" s="42">
        <v>0</v>
      </c>
      <c r="AJ18" s="42">
        <v>0</v>
      </c>
      <c r="AK18" s="38">
        <f t="shared" si="0"/>
        <v>0</v>
      </c>
      <c r="AL18" s="39">
        <f t="shared" si="1"/>
        <v>0</v>
      </c>
      <c r="AM18" s="39">
        <f t="shared" si="2"/>
        <v>0</v>
      </c>
      <c r="AN18" s="25"/>
      <c r="AO18" s="25" t="str">
        <f>_xlfn.XLOOKUP(F18,'TFS Details'!F:F,'TFS Details'!I:I)</f>
        <v>GoRetro</v>
      </c>
      <c r="AP18" s="25" t="str">
        <f>_xlfn.XLOOKUP(AO18,'TFS Details'!I:I,'TFS Details'!AE:AE)</f>
        <v>sowjanya.kari</v>
      </c>
    </row>
    <row r="19" spans="1:42">
      <c r="A19" s="24" t="str">
        <f>_xlfn.XLOOKUP(F19,'TFS Details'!F:F,'TFS Details'!D:D)</f>
        <v>myISP</v>
      </c>
      <c r="B19" s="24" t="str">
        <f>_xlfn.XLOOKUP(F19,'TFS Details'!F:F,'TFS Details'!A:A)</f>
        <v>SI - Estimators/Calculators(Opp level screen) &amp; Attach Estimates(Version level screen) - feedback alignment</v>
      </c>
      <c r="C19" s="46">
        <f>_xlfn.XLOOKUP(F19,'TFS Details'!F:F,'TFS Details'!E:E)</f>
        <v>4445141</v>
      </c>
      <c r="D19" s="100" t="s">
        <v>15</v>
      </c>
      <c r="E19" s="15" t="s">
        <v>487</v>
      </c>
      <c r="F19" s="172">
        <v>4424629</v>
      </c>
      <c r="G19" s="144" t="s">
        <v>482</v>
      </c>
      <c r="H19" s="162" t="s">
        <v>483</v>
      </c>
      <c r="I19" s="66"/>
      <c r="J19" s="250" t="s">
        <v>18</v>
      </c>
      <c r="K19" s="66" t="s">
        <v>488</v>
      </c>
      <c r="L19" s="66" t="s">
        <v>74</v>
      </c>
      <c r="M19" s="66"/>
      <c r="N19" s="102"/>
      <c r="P19" s="102"/>
      <c r="Q19" s="102"/>
      <c r="R19" s="102"/>
      <c r="S19" s="102"/>
      <c r="T19" s="84"/>
      <c r="U19" s="84"/>
      <c r="V19" s="17" t="s">
        <v>204</v>
      </c>
      <c r="W19" s="17" t="s">
        <v>204</v>
      </c>
      <c r="X19" s="17" t="s">
        <v>197</v>
      </c>
      <c r="Y19" s="17" t="s">
        <v>197</v>
      </c>
      <c r="Z19" s="102"/>
      <c r="AA19" s="102"/>
      <c r="AB19" s="102"/>
      <c r="AC19" s="102"/>
      <c r="AD19" s="84"/>
      <c r="AE19" s="84"/>
      <c r="AF19" s="25" t="str">
        <f>_xlfn.XLOOKUP(F19,'TFS Details'!F:F,'TFS Details'!H:H)</f>
        <v>Active</v>
      </c>
      <c r="AG19" s="42">
        <v>0</v>
      </c>
      <c r="AH19" s="42">
        <v>0</v>
      </c>
      <c r="AI19" s="42">
        <v>0</v>
      </c>
      <c r="AJ19" s="42">
        <v>0</v>
      </c>
      <c r="AK19" s="38">
        <f>SUM(AG19:AJ19)</f>
        <v>0</v>
      </c>
      <c r="AL19" s="39">
        <f t="shared" si="1"/>
        <v>0</v>
      </c>
      <c r="AM19" s="39">
        <f t="shared" si="2"/>
        <v>0</v>
      </c>
      <c r="AN19" s="25"/>
      <c r="AO19" s="25" t="str">
        <f>_xlfn.XLOOKUP(F19,'TFS Details'!F:F,'TFS Details'!I:I)</f>
        <v>TechWarriors</v>
      </c>
      <c r="AP19" s="25" t="str">
        <f>_xlfn.XLOOKUP(AO19,'TFS Details'!I:I,'TFS Details'!AE:AE)</f>
        <v>Supriya.a.dhingra</v>
      </c>
    </row>
    <row r="20" spans="1:42" ht="14.1">
      <c r="A20" s="24" t="str">
        <f>_xlfn.XLOOKUP(F20,'TFS Details'!F:F,'TFS Details'!D:D)</f>
        <v>SA Team manager</v>
      </c>
      <c r="B20" s="24" t="str">
        <f>_xlfn.XLOOKUP(F20,'TFS Details'!F:F,'TFS Details'!A:A)</f>
        <v>New user Registration for Song changes in SA team manager</v>
      </c>
      <c r="C20" s="46">
        <f>_xlfn.XLOOKUP(F20,'TFS Details'!F:F,'TFS Details'!E:E)</f>
        <v>4425959</v>
      </c>
      <c r="D20" s="100" t="s">
        <v>15</v>
      </c>
      <c r="E20" s="15" t="s">
        <v>489</v>
      </c>
      <c r="F20" s="172">
        <v>4425965</v>
      </c>
      <c r="G20" s="144" t="s">
        <v>482</v>
      </c>
      <c r="H20" s="162" t="s">
        <v>483</v>
      </c>
      <c r="I20" s="104"/>
      <c r="J20" s="250" t="s">
        <v>18</v>
      </c>
      <c r="K20" s="66" t="s">
        <v>485</v>
      </c>
      <c r="L20" s="66" t="s">
        <v>74</v>
      </c>
      <c r="M20" s="104"/>
      <c r="N20" s="105"/>
      <c r="P20" s="102"/>
      <c r="Q20" s="102"/>
      <c r="R20" s="102"/>
      <c r="S20" s="102"/>
      <c r="T20" s="85"/>
      <c r="U20" s="85"/>
      <c r="V20" s="17" t="s">
        <v>204</v>
      </c>
      <c r="W20" s="17" t="s">
        <v>204</v>
      </c>
      <c r="X20" s="17" t="s">
        <v>197</v>
      </c>
      <c r="Y20" s="17" t="s">
        <v>216</v>
      </c>
      <c r="Z20" s="102"/>
      <c r="AA20" s="102"/>
      <c r="AB20" s="102"/>
      <c r="AC20" s="102"/>
      <c r="AD20" s="84"/>
      <c r="AE20" s="80"/>
      <c r="AF20" s="25" t="str">
        <f>_xlfn.XLOOKUP(F20,'TFS Details'!F:F,'TFS Details'!H:H)</f>
        <v>Test Complete</v>
      </c>
      <c r="AG20" s="42">
        <v>0</v>
      </c>
      <c r="AH20" s="42">
        <v>0</v>
      </c>
      <c r="AI20" s="42">
        <v>0</v>
      </c>
      <c r="AJ20" s="42">
        <v>0</v>
      </c>
      <c r="AK20" s="38">
        <f t="shared" si="0"/>
        <v>0</v>
      </c>
      <c r="AL20" s="39">
        <f t="shared" si="1"/>
        <v>0</v>
      </c>
      <c r="AM20" s="39">
        <f t="shared" si="2"/>
        <v>0</v>
      </c>
      <c r="AN20" s="25"/>
      <c r="AO20" s="25" t="str">
        <f>_xlfn.XLOOKUP(F20,'TFS Details'!F:F,'TFS Details'!I:I)</f>
        <v>GoRetro</v>
      </c>
      <c r="AP20" s="25" t="str">
        <f>_xlfn.XLOOKUP(AO20,'TFS Details'!I:I,'TFS Details'!AE:AE)</f>
        <v>sowjanya.kari</v>
      </c>
    </row>
    <row r="21" spans="1:42">
      <c r="A21" s="24" t="str">
        <f>_xlfn.XLOOKUP(F21,'TFS Details'!F:F,'TFS Details'!D:D)</f>
        <v>SA Team manager</v>
      </c>
      <c r="B21" s="24" t="str">
        <f>_xlfn.XLOOKUP(F21,'TFS Details'!F:F,'TFS Details'!A:A)</f>
        <v>New user Registration for Song changes in SA team manager</v>
      </c>
      <c r="C21" s="46">
        <f>_xlfn.XLOOKUP(F21,'TFS Details'!F:F,'TFS Details'!E:E)</f>
        <v>4425959</v>
      </c>
      <c r="D21" s="100" t="s">
        <v>15</v>
      </c>
      <c r="E21" s="15" t="s">
        <v>490</v>
      </c>
      <c r="F21" s="172">
        <v>4425971</v>
      </c>
      <c r="G21" s="144" t="s">
        <v>482</v>
      </c>
      <c r="H21" s="162" t="s">
        <v>483</v>
      </c>
      <c r="I21" s="49" t="s">
        <v>131</v>
      </c>
      <c r="J21" s="250" t="s">
        <v>1</v>
      </c>
      <c r="K21" s="66"/>
      <c r="L21" s="66"/>
      <c r="M21" s="106" t="s">
        <v>311</v>
      </c>
      <c r="N21" s="74"/>
      <c r="O21" s="273">
        <v>0.05</v>
      </c>
      <c r="P21" s="102"/>
      <c r="Q21" s="102"/>
      <c r="R21" s="102"/>
      <c r="S21" s="102"/>
      <c r="T21" s="86"/>
      <c r="U21" s="86"/>
      <c r="V21" s="17" t="s">
        <v>204</v>
      </c>
      <c r="W21" s="17" t="s">
        <v>204</v>
      </c>
      <c r="X21" s="17" t="s">
        <v>197</v>
      </c>
      <c r="Y21" s="17" t="s">
        <v>216</v>
      </c>
      <c r="Z21" s="102"/>
      <c r="AA21" s="102"/>
      <c r="AB21" s="102"/>
      <c r="AC21" s="102"/>
      <c r="AD21" s="86"/>
      <c r="AE21" s="86"/>
      <c r="AF21" s="25" t="str">
        <f>_xlfn.XLOOKUP(F21,'TFS Details'!F:F,'TFS Details'!H:H)</f>
        <v>Test Complete</v>
      </c>
      <c r="AG21" s="42">
        <v>0</v>
      </c>
      <c r="AH21" s="42">
        <v>0</v>
      </c>
      <c r="AI21" s="42">
        <v>0</v>
      </c>
      <c r="AJ21" s="42">
        <v>20</v>
      </c>
      <c r="AK21" s="38">
        <f t="shared" si="0"/>
        <v>20</v>
      </c>
      <c r="AL21" s="39">
        <f t="shared" si="1"/>
        <v>0</v>
      </c>
      <c r="AM21" s="39">
        <f t="shared" si="2"/>
        <v>0</v>
      </c>
      <c r="AN21" s="25"/>
      <c r="AO21" s="25" t="str">
        <f>_xlfn.XLOOKUP(F21,'TFS Details'!F:F,'TFS Details'!I:I)</f>
        <v>GoRetro</v>
      </c>
      <c r="AP21" s="25" t="str">
        <f>_xlfn.XLOOKUP(AO21,'TFS Details'!I:I,'TFS Details'!AE:AE)</f>
        <v>sowjanya.kari</v>
      </c>
    </row>
    <row r="22" spans="1:42">
      <c r="A22" s="24" t="str">
        <f>_xlfn.XLOOKUP(F22,'TFS Details'!F:F,'TFS Details'!D:D)</f>
        <v>myISP Enhancements</v>
      </c>
      <c r="B22" s="24" t="str">
        <f>_xlfn.XLOOKUP(F22,'TFS Details'!F:F,'TFS Details'!A:A)</f>
        <v>March Release NextGen Enhancements</v>
      </c>
      <c r="C22" s="46">
        <f>_xlfn.XLOOKUP(F22,'TFS Details'!F:F,'TFS Details'!E:E)</f>
        <v>4365826</v>
      </c>
      <c r="D22" s="100" t="s">
        <v>15</v>
      </c>
      <c r="E22" s="151" t="s">
        <v>491</v>
      </c>
      <c r="F22" s="165">
        <v>4358782</v>
      </c>
      <c r="G22" s="144" t="s">
        <v>467</v>
      </c>
      <c r="H22" s="162" t="s">
        <v>468</v>
      </c>
      <c r="I22" s="106" t="s">
        <v>123</v>
      </c>
      <c r="J22" s="234" t="s">
        <v>1</v>
      </c>
      <c r="K22" s="66"/>
      <c r="L22" s="106"/>
      <c r="M22" s="106" t="s">
        <v>461</v>
      </c>
      <c r="N22" s="74"/>
      <c r="O22" s="273">
        <v>0.1</v>
      </c>
      <c r="P22" s="102"/>
      <c r="Q22" s="102"/>
      <c r="R22" s="102"/>
      <c r="S22" s="102"/>
      <c r="T22" s="86"/>
      <c r="U22" s="86"/>
      <c r="V22" s="17" t="s">
        <v>204</v>
      </c>
      <c r="W22" s="17" t="s">
        <v>204</v>
      </c>
      <c r="X22" s="17" t="s">
        <v>204</v>
      </c>
      <c r="Y22" s="17" t="s">
        <v>197</v>
      </c>
      <c r="Z22" s="102"/>
      <c r="AA22" s="102"/>
      <c r="AB22" s="102"/>
      <c r="AC22" s="102"/>
      <c r="AD22" s="86"/>
      <c r="AE22" s="86"/>
      <c r="AF22" s="25" t="str">
        <f>_xlfn.XLOOKUP(F22,'TFS Details'!F:F,'TFS Details'!H:H)</f>
        <v>Active</v>
      </c>
      <c r="AG22" s="42">
        <v>0</v>
      </c>
      <c r="AH22" s="42">
        <v>0</v>
      </c>
      <c r="AI22" s="42">
        <v>0</v>
      </c>
      <c r="AJ22" s="42">
        <v>24</v>
      </c>
      <c r="AK22" s="38">
        <f t="shared" si="0"/>
        <v>24</v>
      </c>
      <c r="AL22" s="39">
        <f t="shared" si="1"/>
        <v>0</v>
      </c>
      <c r="AM22" s="39">
        <f t="shared" si="2"/>
        <v>0</v>
      </c>
      <c r="AN22" s="25"/>
      <c r="AO22" s="25" t="str">
        <f>_xlfn.XLOOKUP(F22,'TFS Details'!F:F,'TFS Details'!I:I)</f>
        <v>TechWarriors</v>
      </c>
      <c r="AP22" s="25" t="str">
        <f>_xlfn.XLOOKUP(AO22,'TFS Details'!I:I,'TFS Details'!AE:AE)</f>
        <v>Supriya.a.dhingra</v>
      </c>
    </row>
    <row r="23" spans="1:42">
      <c r="A23" s="24" t="str">
        <f>_xlfn.XLOOKUP(F23,'TFS Details'!F:F,'TFS Details'!D:D)</f>
        <v>WRWS</v>
      </c>
      <c r="B23" s="24" t="str">
        <f>_xlfn.XLOOKUP(F23,'TFS Details'!F:F,'TFS Details'!A:A)</f>
        <v>Estimator/Calculator - Expand-Collapse icon Type and Position</v>
      </c>
      <c r="C23" s="46">
        <f>_xlfn.XLOOKUP(F23,'TFS Details'!F:F,'TFS Details'!E:E)</f>
        <v>4174547</v>
      </c>
      <c r="D23" s="100" t="s">
        <v>15</v>
      </c>
      <c r="E23" s="139" t="s">
        <v>492</v>
      </c>
      <c r="F23" s="141">
        <v>4174624</v>
      </c>
      <c r="G23" s="144" t="s">
        <v>467</v>
      </c>
      <c r="H23" s="162" t="s">
        <v>468</v>
      </c>
      <c r="I23" s="107" t="s">
        <v>99</v>
      </c>
      <c r="J23" s="234" t="s">
        <v>1</v>
      </c>
      <c r="K23" s="66"/>
      <c r="L23" s="107"/>
      <c r="M23" s="17" t="s">
        <v>465</v>
      </c>
      <c r="N23" s="78">
        <v>15</v>
      </c>
      <c r="O23" s="273">
        <v>0.4</v>
      </c>
      <c r="P23" s="102">
        <v>28</v>
      </c>
      <c r="Q23" s="102">
        <v>14</v>
      </c>
      <c r="R23" s="102">
        <v>1</v>
      </c>
      <c r="S23" s="102">
        <v>15</v>
      </c>
      <c r="T23" s="33">
        <v>0.95</v>
      </c>
      <c r="U23" s="33">
        <v>0.9</v>
      </c>
      <c r="V23" s="17" t="s">
        <v>204</v>
      </c>
      <c r="W23" s="17" t="s">
        <v>204</v>
      </c>
      <c r="X23" s="17" t="s">
        <v>204</v>
      </c>
      <c r="Y23" s="17" t="s">
        <v>197</v>
      </c>
      <c r="Z23" s="102"/>
      <c r="AA23" s="102"/>
      <c r="AB23" s="102"/>
      <c r="AC23" s="102"/>
      <c r="AD23" s="33"/>
      <c r="AE23" s="33"/>
      <c r="AF23" s="25" t="str">
        <f>_xlfn.XLOOKUP(F23,'TFS Details'!F:F,'TFS Details'!H:H)</f>
        <v>Active</v>
      </c>
      <c r="AG23" s="42">
        <v>0</v>
      </c>
      <c r="AH23" s="42">
        <v>0</v>
      </c>
      <c r="AI23" s="42">
        <v>0</v>
      </c>
      <c r="AJ23" s="42">
        <v>10</v>
      </c>
      <c r="AK23" s="38">
        <f t="shared" si="0"/>
        <v>10</v>
      </c>
      <c r="AL23" s="39">
        <f t="shared" si="1"/>
        <v>0</v>
      </c>
      <c r="AM23" s="39">
        <f t="shared" si="2"/>
        <v>0</v>
      </c>
      <c r="AN23" s="25"/>
      <c r="AO23" s="25" t="str">
        <f>_xlfn.XLOOKUP(F23,'TFS Details'!F:F,'TFS Details'!I:I)</f>
        <v>TechWarriors</v>
      </c>
      <c r="AP23" s="25" t="str">
        <f>_xlfn.XLOOKUP(AO23,'TFS Details'!I:I,'TFS Details'!AE:AE)</f>
        <v>Supriya.a.dhingra</v>
      </c>
    </row>
    <row r="24" spans="1:42">
      <c r="A24" s="24" t="str">
        <f>_xlfn.XLOOKUP(F24,'TFS Details'!F:F,'TFS Details'!D:D)</f>
        <v>myISP Enhancements</v>
      </c>
      <c r="B24" s="24" t="str">
        <f>_xlfn.XLOOKUP(F24,'TFS Details'!F:F,'TFS Details'!A:A)</f>
        <v>March Release NextGen Enhancements</v>
      </c>
      <c r="C24" s="46">
        <f>_xlfn.XLOOKUP(F24,'TFS Details'!F:F,'TFS Details'!E:E)</f>
        <v>4365826</v>
      </c>
      <c r="D24" s="100" t="s">
        <v>15</v>
      </c>
      <c r="E24" s="139" t="s">
        <v>493</v>
      </c>
      <c r="F24" s="141">
        <v>4271493</v>
      </c>
      <c r="G24" s="144" t="s">
        <v>467</v>
      </c>
      <c r="H24" s="162" t="s">
        <v>468</v>
      </c>
      <c r="I24" s="107" t="s">
        <v>94</v>
      </c>
      <c r="J24" s="234" t="s">
        <v>1</v>
      </c>
      <c r="K24" s="66"/>
      <c r="M24" s="17" t="s">
        <v>461</v>
      </c>
      <c r="N24" s="78">
        <v>2</v>
      </c>
      <c r="O24" s="273">
        <v>0.2</v>
      </c>
      <c r="P24" s="102"/>
      <c r="Q24" s="102"/>
      <c r="R24" s="102"/>
      <c r="S24" s="102"/>
      <c r="V24" s="17" t="s">
        <v>204</v>
      </c>
      <c r="W24" s="17" t="s">
        <v>204</v>
      </c>
      <c r="X24" s="17" t="s">
        <v>204</v>
      </c>
      <c r="Y24" s="17" t="s">
        <v>197</v>
      </c>
      <c r="Z24" s="102"/>
      <c r="AA24" s="102"/>
      <c r="AB24" s="102"/>
      <c r="AC24" s="102"/>
      <c r="AD24" s="33"/>
      <c r="AE24" s="33"/>
      <c r="AF24" s="25" t="str">
        <f>_xlfn.XLOOKUP(F24,'TFS Details'!F:F,'TFS Details'!H:H)</f>
        <v>Active</v>
      </c>
      <c r="AG24" s="42">
        <v>0</v>
      </c>
      <c r="AH24" s="42">
        <v>0</v>
      </c>
      <c r="AI24" s="42">
        <v>0</v>
      </c>
      <c r="AJ24" s="42">
        <v>9</v>
      </c>
      <c r="AK24" s="38">
        <f t="shared" si="0"/>
        <v>9</v>
      </c>
      <c r="AL24" s="39">
        <f t="shared" si="1"/>
        <v>0</v>
      </c>
      <c r="AM24" s="39">
        <f t="shared" si="2"/>
        <v>0</v>
      </c>
      <c r="AN24" s="25"/>
      <c r="AO24" s="25" t="str">
        <f>_xlfn.XLOOKUP(F24,'TFS Details'!F:F,'TFS Details'!I:I)</f>
        <v>TechWarriors</v>
      </c>
      <c r="AP24" s="25" t="str">
        <f>_xlfn.XLOOKUP(AO24,'TFS Details'!I:I,'TFS Details'!AE:AE)</f>
        <v>Supriya.a.dhingra</v>
      </c>
    </row>
    <row r="25" spans="1:42">
      <c r="A25" s="24" t="str">
        <f>_xlfn.XLOOKUP(F25,'TFS Details'!F:F,'TFS Details'!D:D)</f>
        <v>IMS</v>
      </c>
      <c r="B25" s="24" t="str">
        <f>_xlfn.XLOOKUP(F25,'TFS Details'!F:F,'TFS Details'!A:A)</f>
        <v>Enhancement in Generative AI for AMS, SI, IMS service group</v>
      </c>
      <c r="C25" s="46">
        <f>_xlfn.XLOOKUP(F25,'TFS Details'!F:F,'TFS Details'!E:E)</f>
        <v>4443485</v>
      </c>
      <c r="D25" s="100" t="s">
        <v>15</v>
      </c>
      <c r="E25" s="158" t="s">
        <v>494</v>
      </c>
      <c r="F25" s="164">
        <v>4443505</v>
      </c>
      <c r="G25" s="144" t="s">
        <v>495</v>
      </c>
      <c r="H25" s="162" t="s">
        <v>496</v>
      </c>
      <c r="I25" s="49" t="s">
        <v>130</v>
      </c>
      <c r="J25" s="234" t="s">
        <v>1</v>
      </c>
      <c r="K25" s="66"/>
      <c r="M25" s="17" t="s">
        <v>311</v>
      </c>
      <c r="N25" s="78"/>
      <c r="O25" s="273">
        <v>0.05</v>
      </c>
      <c r="V25" s="17" t="s">
        <v>204</v>
      </c>
      <c r="W25" s="17" t="s">
        <v>204</v>
      </c>
      <c r="X25" s="17" t="s">
        <v>204</v>
      </c>
      <c r="Y25" s="17" t="s">
        <v>204</v>
      </c>
      <c r="Z25" s="102">
        <v>53</v>
      </c>
      <c r="AA25" s="102">
        <v>19</v>
      </c>
      <c r="AB25" s="102">
        <v>8</v>
      </c>
      <c r="AC25" s="102">
        <v>27</v>
      </c>
      <c r="AD25" s="33">
        <v>0.75</v>
      </c>
      <c r="AE25" s="33">
        <v>0.7</v>
      </c>
      <c r="AF25" s="25" t="str">
        <f>_xlfn.XLOOKUP(F25,'TFS Details'!F:F,'TFS Details'!H:H)</f>
        <v>UAT In Test</v>
      </c>
      <c r="AG25" s="42">
        <v>27</v>
      </c>
      <c r="AH25" s="42">
        <v>0</v>
      </c>
      <c r="AI25" s="42">
        <v>0</v>
      </c>
      <c r="AJ25" s="42">
        <v>0</v>
      </c>
      <c r="AK25" s="38">
        <f t="shared" si="0"/>
        <v>27</v>
      </c>
      <c r="AL25" s="39">
        <f t="shared" si="1"/>
        <v>1</v>
      </c>
      <c r="AM25" s="39">
        <f t="shared" si="2"/>
        <v>1</v>
      </c>
      <c r="AN25" s="25" t="s">
        <v>497</v>
      </c>
      <c r="AO25" s="25" t="str">
        <f>_xlfn.XLOOKUP(F25,'TFS Details'!F:F,'TFS Details'!I:I)</f>
        <v>CodeCrafters</v>
      </c>
      <c r="AP25" s="25" t="str">
        <f>_xlfn.XLOOKUP(AO25,'TFS Details'!I:I,'TFS Details'!AE:AE)</f>
        <v>sona.job</v>
      </c>
    </row>
    <row r="26" spans="1:42">
      <c r="A26" s="24" t="str">
        <f>_xlfn.XLOOKUP(F26,'TFS Details'!F:F,'TFS Details'!D:D)</f>
        <v>AMS</v>
      </c>
      <c r="B26" s="24" t="str">
        <f>_xlfn.XLOOKUP(F26,'TFS Details'!F:F,'TFS Details'!A:A)</f>
        <v>Enhancement in Generative AI for AMS, SI, IMS service group</v>
      </c>
      <c r="C26" s="46">
        <f>_xlfn.XLOOKUP(F26,'TFS Details'!F:F,'TFS Details'!E:E)</f>
        <v>4443485</v>
      </c>
      <c r="D26" s="100" t="s">
        <v>15</v>
      </c>
      <c r="E26" s="15" t="s">
        <v>498</v>
      </c>
      <c r="F26" s="172">
        <v>4443486</v>
      </c>
      <c r="G26" s="144" t="s">
        <v>482</v>
      </c>
      <c r="H26" s="162" t="s">
        <v>483</v>
      </c>
      <c r="I26" s="66" t="s">
        <v>135</v>
      </c>
      <c r="J26" s="250" t="s">
        <v>20</v>
      </c>
      <c r="K26" s="66" t="s">
        <v>499</v>
      </c>
      <c r="L26" s="16" t="s">
        <v>23</v>
      </c>
      <c r="M26" s="17"/>
      <c r="N26" s="78"/>
      <c r="O26" s="273">
        <v>0</v>
      </c>
      <c r="V26" s="17" t="s">
        <v>204</v>
      </c>
      <c r="W26" s="17" t="s">
        <v>204</v>
      </c>
      <c r="X26" s="17" t="s">
        <v>197</v>
      </c>
      <c r="Y26" s="17" t="s">
        <v>216</v>
      </c>
      <c r="Z26" s="102"/>
      <c r="AA26" s="102"/>
      <c r="AB26" s="102"/>
      <c r="AC26" s="102"/>
      <c r="AD26" s="33"/>
      <c r="AE26" s="33"/>
      <c r="AF26" s="25" t="str">
        <f>_xlfn.XLOOKUP(F26,'TFS Details'!F:F,'TFS Details'!H:H)</f>
        <v>UAT In Test</v>
      </c>
      <c r="AG26" s="42">
        <v>0</v>
      </c>
      <c r="AH26" s="42">
        <v>0</v>
      </c>
      <c r="AI26" s="42">
        <v>0</v>
      </c>
      <c r="AJ26" s="42">
        <v>0</v>
      </c>
      <c r="AK26" s="38">
        <f t="shared" si="0"/>
        <v>0</v>
      </c>
      <c r="AL26" s="39">
        <f t="shared" si="1"/>
        <v>0</v>
      </c>
      <c r="AM26" s="39">
        <f t="shared" si="2"/>
        <v>0</v>
      </c>
      <c r="AN26" s="25"/>
      <c r="AO26" s="25" t="str">
        <f>_xlfn.XLOOKUP(F26,'TFS Details'!F:F,'TFS Details'!I:I)</f>
        <v>CodeCrafters</v>
      </c>
      <c r="AP26" s="25" t="str">
        <f>_xlfn.XLOOKUP(AO26,'TFS Details'!I:I,'TFS Details'!AE:AE)</f>
        <v>sona.job</v>
      </c>
    </row>
    <row r="27" spans="1:42">
      <c r="A27" s="24" t="str">
        <f>_xlfn.XLOOKUP(F27,'TFS Details'!F:F,'TFS Details'!D:D)</f>
        <v>SI</v>
      </c>
      <c r="B27" s="24" t="str">
        <f>_xlfn.XLOOKUP(F27,'TFS Details'!F:F,'TFS Details'!A:A)</f>
        <v>Enhancement in Generative AI for AMS, SI, IMS service group</v>
      </c>
      <c r="C27" s="46">
        <f>_xlfn.XLOOKUP(F27,'TFS Details'!F:F,'TFS Details'!E:E)</f>
        <v>4443485</v>
      </c>
      <c r="D27" s="100" t="s">
        <v>15</v>
      </c>
      <c r="E27" s="166" t="s">
        <v>500</v>
      </c>
      <c r="F27" s="167">
        <v>4443500</v>
      </c>
      <c r="G27" s="144" t="s">
        <v>467</v>
      </c>
      <c r="H27" s="162" t="s">
        <v>468</v>
      </c>
      <c r="I27" s="107" t="s">
        <v>501</v>
      </c>
      <c r="J27" s="234" t="s">
        <v>1</v>
      </c>
      <c r="K27" s="66"/>
      <c r="M27" s="17" t="s">
        <v>311</v>
      </c>
      <c r="N27" s="78"/>
      <c r="O27" s="273">
        <v>0.1</v>
      </c>
      <c r="V27" s="17" t="s">
        <v>204</v>
      </c>
      <c r="W27" s="17" t="s">
        <v>204</v>
      </c>
      <c r="X27" s="17" t="s">
        <v>204</v>
      </c>
      <c r="Y27" s="17" t="s">
        <v>204</v>
      </c>
      <c r="Z27" s="102"/>
      <c r="AA27" s="102"/>
      <c r="AB27" s="102"/>
      <c r="AC27" s="102"/>
      <c r="AD27" s="137"/>
      <c r="AE27" s="137"/>
      <c r="AF27" s="25" t="str">
        <f>_xlfn.XLOOKUP(F27,'TFS Details'!F:F,'TFS Details'!H:H)</f>
        <v>UAT In Test</v>
      </c>
      <c r="AG27" s="42">
        <v>17</v>
      </c>
      <c r="AH27" s="42">
        <v>0</v>
      </c>
      <c r="AI27" s="42">
        <v>0</v>
      </c>
      <c r="AJ27" s="42">
        <v>0</v>
      </c>
      <c r="AK27" s="38">
        <f>SUM(AG27:AJ27)</f>
        <v>17</v>
      </c>
      <c r="AL27" s="39">
        <f t="shared" si="1"/>
        <v>1</v>
      </c>
      <c r="AM27" s="39">
        <f t="shared" si="2"/>
        <v>1</v>
      </c>
      <c r="AN27" s="25"/>
      <c r="AO27" s="25" t="str">
        <f>_xlfn.XLOOKUP(F27,'TFS Details'!F:F,'TFS Details'!I:I)</f>
        <v>CodeCrafters</v>
      </c>
      <c r="AP27" s="25" t="str">
        <f>_xlfn.XLOOKUP(AO27,'TFS Details'!I:I,'TFS Details'!AE:AE)</f>
        <v>sona.job</v>
      </c>
    </row>
    <row r="28" spans="1:42">
      <c r="A28" s="24" t="str">
        <f>_xlfn.XLOOKUP(F28,'TFS Details'!F:F,'TFS Details'!D:D)</f>
        <v>Reviewer Approver</v>
      </c>
      <c r="B28" s="24" t="str">
        <f>_xlfn.XLOOKUP(F28,'TFS Details'!F:F,'TFS Details'!A:A)</f>
        <v>RA - Option to send reminder manually to the approver</v>
      </c>
      <c r="C28" s="46">
        <f>_xlfn.XLOOKUP(F28,'TFS Details'!F:F,'TFS Details'!E:E)</f>
        <v>4437646</v>
      </c>
      <c r="D28" s="100" t="s">
        <v>15</v>
      </c>
      <c r="E28" s="15" t="s">
        <v>502</v>
      </c>
      <c r="F28" s="172">
        <v>4437663</v>
      </c>
      <c r="G28" s="144" t="s">
        <v>482</v>
      </c>
      <c r="H28" s="162" t="s">
        <v>483</v>
      </c>
      <c r="I28" s="49" t="s">
        <v>135</v>
      </c>
      <c r="J28" s="234" t="s">
        <v>1</v>
      </c>
      <c r="K28" s="66"/>
      <c r="M28" s="66" t="s">
        <v>461</v>
      </c>
      <c r="N28" s="78"/>
      <c r="O28" s="273">
        <v>0</v>
      </c>
      <c r="V28" s="17" t="s">
        <v>204</v>
      </c>
      <c r="W28" s="17" t="s">
        <v>204</v>
      </c>
      <c r="X28" s="17" t="s">
        <v>197</v>
      </c>
      <c r="Y28" s="17" t="s">
        <v>204</v>
      </c>
      <c r="Z28" s="102"/>
      <c r="AA28" s="102"/>
      <c r="AB28" s="102"/>
      <c r="AC28" s="102"/>
      <c r="AD28" s="33"/>
      <c r="AE28" s="33"/>
      <c r="AF28" s="25" t="str">
        <f>_xlfn.XLOOKUP(F28,'TFS Details'!F:F,'TFS Details'!H:H)</f>
        <v>UAT In Test</v>
      </c>
      <c r="AG28" s="42">
        <v>0</v>
      </c>
      <c r="AH28" s="42">
        <v>0</v>
      </c>
      <c r="AI28" s="42">
        <v>0</v>
      </c>
      <c r="AJ28" s="42">
        <v>0</v>
      </c>
      <c r="AK28" s="38">
        <f t="shared" si="0"/>
        <v>0</v>
      </c>
      <c r="AL28" s="39">
        <f t="shared" si="1"/>
        <v>0</v>
      </c>
      <c r="AM28" s="39">
        <f t="shared" si="2"/>
        <v>0</v>
      </c>
      <c r="AN28" s="25"/>
      <c r="AO28" s="25" t="str">
        <f>_xlfn.XLOOKUP(F28,'TFS Details'!F:F,'TFS Details'!I:I)</f>
        <v>BPMSBloggers</v>
      </c>
      <c r="AP28" s="25" t="str">
        <f>_xlfn.XLOOKUP(AO28,'TFS Details'!I:I,'TFS Details'!AE:AE)</f>
        <v>sona.job</v>
      </c>
    </row>
    <row r="29" spans="1:42">
      <c r="A29" s="24" t="str">
        <f>_xlfn.XLOOKUP(F29,'TFS Details'!F:F,'TFS Details'!D:D)</f>
        <v>Reviewer Approver</v>
      </c>
      <c r="B29" s="24" t="str">
        <f>_xlfn.XLOOKUP(F29,'TFS Details'!F:F,'TFS Details'!A:A)</f>
        <v>RA - Option to send reminder manually to the approver</v>
      </c>
      <c r="C29" s="46">
        <f>_xlfn.XLOOKUP(F29,'TFS Details'!F:F,'TFS Details'!E:E)</f>
        <v>4437646</v>
      </c>
      <c r="D29" s="100" t="s">
        <v>15</v>
      </c>
      <c r="E29" s="151" t="s">
        <v>503</v>
      </c>
      <c r="F29" s="165">
        <v>4437636</v>
      </c>
      <c r="G29" s="144" t="s">
        <v>457</v>
      </c>
      <c r="H29" s="162" t="s">
        <v>458</v>
      </c>
      <c r="I29" s="49"/>
      <c r="J29" s="250" t="s">
        <v>18</v>
      </c>
      <c r="K29" s="66" t="s">
        <v>504</v>
      </c>
      <c r="L29" s="101" t="s">
        <v>87</v>
      </c>
      <c r="M29" s="66"/>
      <c r="N29" s="78"/>
      <c r="V29" s="17" t="s">
        <v>204</v>
      </c>
      <c r="W29" s="17" t="s">
        <v>204</v>
      </c>
      <c r="X29" s="17" t="s">
        <v>204</v>
      </c>
      <c r="Y29" s="17" t="s">
        <v>197</v>
      </c>
      <c r="Z29" s="102">
        <v>55</v>
      </c>
      <c r="AA29" s="102">
        <v>13</v>
      </c>
      <c r="AB29" s="102">
        <v>2</v>
      </c>
      <c r="AC29" s="102">
        <v>15</v>
      </c>
      <c r="AD29" s="273">
        <v>0.95</v>
      </c>
      <c r="AE29" s="273">
        <v>0.8</v>
      </c>
      <c r="AF29" s="25" t="str">
        <f>_xlfn.XLOOKUP(F29,'TFS Details'!F:F,'TFS Details'!H:H)</f>
        <v>Active</v>
      </c>
      <c r="AG29" s="42">
        <v>0</v>
      </c>
      <c r="AH29" s="42">
        <v>0</v>
      </c>
      <c r="AI29" s="42">
        <v>0</v>
      </c>
      <c r="AJ29" s="42">
        <v>15</v>
      </c>
      <c r="AK29" s="38">
        <f>SUM(AG29:AJ29)</f>
        <v>15</v>
      </c>
      <c r="AL29" s="39">
        <f t="shared" si="1"/>
        <v>0</v>
      </c>
      <c r="AM29" s="39">
        <f t="shared" si="2"/>
        <v>0</v>
      </c>
      <c r="AN29" s="25"/>
      <c r="AO29" s="25" t="str">
        <f>_xlfn.XLOOKUP(F29,'TFS Details'!F:F,'TFS Details'!I:I)</f>
        <v>BPMSBloggers</v>
      </c>
      <c r="AP29" s="25" t="str">
        <f>_xlfn.XLOOKUP(AO29,'TFS Details'!I:I,'TFS Details'!AE:AE)</f>
        <v>sona.job</v>
      </c>
    </row>
    <row r="30" spans="1:42">
      <c r="A30" s="24" t="str">
        <f>_xlfn.XLOOKUP(F30,'TFS Details'!F:F,'TFS Details'!D:D)</f>
        <v>DCSO</v>
      </c>
      <c r="B30" s="24" t="str">
        <f>_xlfn.XLOOKUP(F30,'TFS Details'!F:F,'TFS Details'!A:A)</f>
        <v>myISP DCSO - Delivery Lead Assignments</v>
      </c>
      <c r="C30" s="46">
        <f>_xlfn.XLOOKUP(F30,'TFS Details'!F:F,'TFS Details'!E:E)</f>
        <v>4446526</v>
      </c>
      <c r="D30" s="100" t="s">
        <v>15</v>
      </c>
      <c r="E30" s="139" t="s">
        <v>505</v>
      </c>
      <c r="F30" s="141">
        <v>4446470</v>
      </c>
      <c r="G30" s="144" t="s">
        <v>467</v>
      </c>
      <c r="H30" s="162" t="s">
        <v>468</v>
      </c>
      <c r="I30" s="49" t="s">
        <v>135</v>
      </c>
      <c r="J30" s="234" t="s">
        <v>1</v>
      </c>
      <c r="K30" s="66"/>
      <c r="L30" s="23"/>
      <c r="M30" s="66"/>
      <c r="N30" s="78"/>
      <c r="O30" s="273">
        <v>0</v>
      </c>
      <c r="V30" s="17" t="s">
        <v>204</v>
      </c>
      <c r="W30" s="17" t="s">
        <v>204</v>
      </c>
      <c r="X30" s="17" t="s">
        <v>204</v>
      </c>
      <c r="Y30" s="17" t="s">
        <v>197</v>
      </c>
      <c r="Z30" s="102"/>
      <c r="AA30" s="102"/>
      <c r="AB30" s="102"/>
      <c r="AC30" s="102"/>
      <c r="AD30" s="33"/>
      <c r="AE30" s="33"/>
      <c r="AF30" s="25" t="str">
        <f>_xlfn.XLOOKUP(F30,'TFS Details'!F:F,'TFS Details'!H:H)</f>
        <v>New</v>
      </c>
      <c r="AG30" s="42">
        <v>0</v>
      </c>
      <c r="AH30" s="42">
        <v>0</v>
      </c>
      <c r="AI30" s="42">
        <v>0</v>
      </c>
      <c r="AJ30" s="42">
        <v>8</v>
      </c>
      <c r="AK30" s="38">
        <f t="shared" si="0"/>
        <v>8</v>
      </c>
      <c r="AL30" s="39">
        <f t="shared" si="1"/>
        <v>0</v>
      </c>
      <c r="AM30" s="39">
        <f t="shared" si="2"/>
        <v>0</v>
      </c>
      <c r="AN30" s="25"/>
      <c r="AO30" s="25" t="str">
        <f>_xlfn.XLOOKUP(F30,'TFS Details'!F:F,'TFS Details'!I:I)</f>
        <v>TechWarriors</v>
      </c>
      <c r="AP30" s="25" t="str">
        <f>_xlfn.XLOOKUP(AO30,'TFS Details'!I:I,'TFS Details'!AE:AE)</f>
        <v>Supriya.a.dhingra</v>
      </c>
    </row>
    <row r="31" spans="1:42">
      <c r="A31" s="24" t="str">
        <f>_xlfn.XLOOKUP(F31,'TFS Details'!F:F,'TFS Details'!D:D)</f>
        <v>SA Team manager</v>
      </c>
      <c r="B31" s="24" t="str">
        <f>_xlfn.XLOOKUP(F31,'TFS Details'!F:F,'TFS Details'!A:A)</f>
        <v>SA Team manager UI updates.1. Capability to be autopopulate for Operations 2. Dependency of Deployment field for capability in left side slicer.</v>
      </c>
      <c r="C31" s="46">
        <f>_xlfn.XLOOKUP(F31,'TFS Details'!F:F,'TFS Details'!E:E)</f>
        <v>4441867</v>
      </c>
      <c r="D31" s="100" t="s">
        <v>15</v>
      </c>
      <c r="E31" s="139" t="s">
        <v>506</v>
      </c>
      <c r="F31" s="141">
        <v>4449855</v>
      </c>
      <c r="G31" s="144" t="s">
        <v>467</v>
      </c>
      <c r="H31" s="162" t="s">
        <v>468</v>
      </c>
      <c r="I31" s="49"/>
      <c r="J31" s="250" t="s">
        <v>18</v>
      </c>
      <c r="K31" s="66" t="s">
        <v>485</v>
      </c>
      <c r="L31" s="66" t="s">
        <v>74</v>
      </c>
      <c r="M31" s="66"/>
      <c r="N31" s="78"/>
      <c r="V31" s="17" t="s">
        <v>204</v>
      </c>
      <c r="W31" s="17" t="s">
        <v>204</v>
      </c>
      <c r="X31" s="17" t="s">
        <v>204</v>
      </c>
      <c r="Y31" s="17" t="s">
        <v>216</v>
      </c>
      <c r="Z31" s="102"/>
      <c r="AA31" s="102"/>
      <c r="AB31" s="102"/>
      <c r="AC31" s="102"/>
      <c r="AD31" s="33"/>
      <c r="AE31" s="33"/>
      <c r="AF31" s="25" t="str">
        <f>_xlfn.XLOOKUP(F31,'TFS Details'!F:F,'TFS Details'!H:H)</f>
        <v>PT In Test</v>
      </c>
      <c r="AG31" s="42">
        <v>7</v>
      </c>
      <c r="AH31" s="42">
        <v>0</v>
      </c>
      <c r="AI31" s="42">
        <v>0</v>
      </c>
      <c r="AJ31" s="42">
        <v>0</v>
      </c>
      <c r="AK31" s="38">
        <f t="shared" si="0"/>
        <v>7</v>
      </c>
      <c r="AL31" s="39">
        <f t="shared" si="1"/>
        <v>1</v>
      </c>
      <c r="AM31" s="39">
        <f t="shared" si="2"/>
        <v>1</v>
      </c>
      <c r="AN31" s="25"/>
      <c r="AO31" s="25" t="str">
        <f>_xlfn.XLOOKUP(F31,'TFS Details'!F:F,'TFS Details'!I:I)</f>
        <v>GoRetro</v>
      </c>
      <c r="AP31" s="25" t="str">
        <f>_xlfn.XLOOKUP(AO31,'TFS Details'!I:I,'TFS Details'!AE:AE)</f>
        <v>sowjanya.kari</v>
      </c>
    </row>
    <row r="32" spans="1:42">
      <c r="A32" s="24" t="str">
        <f>_xlfn.XLOOKUP(F32,'TFS Details'!F:F,'TFS Details'!D:D)</f>
        <v>SA Team manager</v>
      </c>
      <c r="B32" s="24" t="str">
        <f>_xlfn.XLOOKUP(F32,'TFS Details'!F:F,'TFS Details'!A:A)</f>
        <v>SA Team manager UI updates.1. Capability to be autopopulate for Operations 2. Dependency of Deployment field for capability in left side slicer.</v>
      </c>
      <c r="C32" s="46">
        <f>_xlfn.XLOOKUP(F32,'TFS Details'!F:F,'TFS Details'!E:E)</f>
        <v>4441867</v>
      </c>
      <c r="D32" s="100" t="s">
        <v>15</v>
      </c>
      <c r="E32" s="139" t="s">
        <v>507</v>
      </c>
      <c r="F32" s="141">
        <v>4449887</v>
      </c>
      <c r="G32" s="144" t="s">
        <v>495</v>
      </c>
      <c r="H32" s="162" t="s">
        <v>496</v>
      </c>
      <c r="I32" s="49" t="s">
        <v>130</v>
      </c>
      <c r="J32" s="250" t="s">
        <v>1</v>
      </c>
      <c r="K32" s="66"/>
      <c r="L32" s="66"/>
      <c r="M32" s="66" t="s">
        <v>461</v>
      </c>
      <c r="N32" s="78"/>
      <c r="O32" s="273">
        <v>0.05</v>
      </c>
      <c r="V32" s="17" t="s">
        <v>204</v>
      </c>
      <c r="W32" s="17" t="s">
        <v>204</v>
      </c>
      <c r="X32" s="17" t="s">
        <v>204</v>
      </c>
      <c r="Y32" s="17" t="s">
        <v>197</v>
      </c>
      <c r="Z32" s="102">
        <v>30</v>
      </c>
      <c r="AA32" s="102">
        <v>9</v>
      </c>
      <c r="AB32" s="102">
        <v>3</v>
      </c>
      <c r="AC32" s="102">
        <v>12</v>
      </c>
      <c r="AD32" s="33">
        <v>0.95</v>
      </c>
      <c r="AE32" s="33">
        <v>0.95</v>
      </c>
      <c r="AF32" s="25" t="str">
        <f>_xlfn.XLOOKUP(F32,'TFS Details'!F:F,'TFS Details'!H:H)</f>
        <v>In Development</v>
      </c>
      <c r="AG32" s="42">
        <v>0</v>
      </c>
      <c r="AH32" s="42">
        <v>0</v>
      </c>
      <c r="AI32" s="42">
        <v>0</v>
      </c>
      <c r="AJ32" s="42">
        <v>12</v>
      </c>
      <c r="AK32" s="38">
        <f t="shared" si="0"/>
        <v>12</v>
      </c>
      <c r="AL32" s="39">
        <f t="shared" si="1"/>
        <v>0</v>
      </c>
      <c r="AM32" s="39">
        <f t="shared" si="2"/>
        <v>0</v>
      </c>
      <c r="AN32" s="25"/>
      <c r="AO32" s="25" t="str">
        <f>_xlfn.XLOOKUP(F32,'TFS Details'!F:F,'TFS Details'!I:I)</f>
        <v>GoRetro</v>
      </c>
      <c r="AP32" s="25" t="str">
        <f>_xlfn.XLOOKUP(AO32,'TFS Details'!I:I,'TFS Details'!AE:AE)</f>
        <v>sowjanya.kari</v>
      </c>
    </row>
    <row r="33" spans="1:42">
      <c r="A33" s="24" t="str">
        <f>_xlfn.XLOOKUP(F33,'TFS Details'!F:F,'TFS Details'!D:D)</f>
        <v>SA Team manager</v>
      </c>
      <c r="B33" s="24" t="str">
        <f>_xlfn.XLOOKUP(F33,'TFS Details'!F:F,'TFS Details'!A:A)</f>
        <v>SA Team manager UI updates.1. Capability to be autopopulate for Operations 2. Dependency of Deployment field for capability in left side slicer.</v>
      </c>
      <c r="C33" s="46">
        <f>_xlfn.XLOOKUP(F33,'TFS Details'!F:F,'TFS Details'!E:E)</f>
        <v>4441867</v>
      </c>
      <c r="D33" s="100" t="s">
        <v>15</v>
      </c>
      <c r="E33" s="158" t="s">
        <v>508</v>
      </c>
      <c r="F33" s="150">
        <v>4450923</v>
      </c>
      <c r="G33" s="144" t="s">
        <v>495</v>
      </c>
      <c r="H33" s="162" t="s">
        <v>496</v>
      </c>
      <c r="I33" s="49"/>
      <c r="J33" s="250" t="s">
        <v>18</v>
      </c>
      <c r="K33" s="66" t="s">
        <v>485</v>
      </c>
      <c r="L33" s="66" t="s">
        <v>74</v>
      </c>
      <c r="M33" s="66"/>
      <c r="N33" s="78"/>
      <c r="V33" s="17" t="s">
        <v>204</v>
      </c>
      <c r="W33" s="17" t="s">
        <v>204</v>
      </c>
      <c r="X33" s="17" t="s">
        <v>204</v>
      </c>
      <c r="Y33" s="17" t="s">
        <v>197</v>
      </c>
      <c r="Z33" s="102">
        <v>40</v>
      </c>
      <c r="AA33" s="102">
        <v>12</v>
      </c>
      <c r="AB33" s="102">
        <v>0</v>
      </c>
      <c r="AC33" s="102">
        <v>12</v>
      </c>
      <c r="AD33" s="33">
        <v>1</v>
      </c>
      <c r="AE33" s="33">
        <v>1</v>
      </c>
      <c r="AF33" s="25" t="str">
        <f>_xlfn.XLOOKUP(F33,'TFS Details'!F:F,'TFS Details'!H:H)</f>
        <v>In Development</v>
      </c>
      <c r="AG33" s="42">
        <v>0</v>
      </c>
      <c r="AH33" s="42">
        <v>0</v>
      </c>
      <c r="AI33" s="42">
        <v>0</v>
      </c>
      <c r="AJ33" s="42">
        <v>11</v>
      </c>
      <c r="AK33" s="38">
        <f>SUM(AG33:AJ33)</f>
        <v>11</v>
      </c>
      <c r="AL33" s="39">
        <f t="shared" si="1"/>
        <v>0</v>
      </c>
      <c r="AM33" s="39">
        <f t="shared" si="2"/>
        <v>0</v>
      </c>
      <c r="AN33" s="25"/>
      <c r="AO33" s="25" t="str">
        <f>_xlfn.XLOOKUP(F33,'TFS Details'!F:F,'TFS Details'!I:I)</f>
        <v>GoRetro</v>
      </c>
      <c r="AP33" s="25" t="str">
        <f>_xlfn.XLOOKUP(AO33,'TFS Details'!I:I,'TFS Details'!AE:AE)</f>
        <v>sowjanya.kari</v>
      </c>
    </row>
    <row r="34" spans="1:42">
      <c r="A34" s="24" t="str">
        <f>_xlfn.XLOOKUP(F34,'TFS Details'!F:F,'TFS Details'!D:D)</f>
        <v>SA Team manager</v>
      </c>
      <c r="B34" s="24" t="str">
        <f>_xlfn.XLOOKUP(F34,'TFS Details'!F:F,'TFS Details'!A:A)</f>
        <v>SA Team manager UI updates.1. Capability to be autopopulate for Operations 2. Dependency of Deployment field for capability in left side slicer.</v>
      </c>
      <c r="C34" s="46">
        <f>_xlfn.XLOOKUP(F34,'TFS Details'!F:F,'TFS Details'!E:E)</f>
        <v>4441867</v>
      </c>
      <c r="D34" s="100" t="s">
        <v>15</v>
      </c>
      <c r="E34" s="15" t="s">
        <v>509</v>
      </c>
      <c r="F34" s="149">
        <v>4450935</v>
      </c>
      <c r="G34" s="144" t="s">
        <v>482</v>
      </c>
      <c r="H34" s="162" t="s">
        <v>483</v>
      </c>
      <c r="I34" s="49"/>
      <c r="J34" s="250" t="s">
        <v>18</v>
      </c>
      <c r="K34" s="66" t="s">
        <v>485</v>
      </c>
      <c r="L34" s="66" t="s">
        <v>74</v>
      </c>
      <c r="M34" s="66"/>
      <c r="N34" s="78"/>
      <c r="V34" s="17" t="s">
        <v>204</v>
      </c>
      <c r="W34" s="17" t="s">
        <v>204</v>
      </c>
      <c r="X34" s="17" t="s">
        <v>197</v>
      </c>
      <c r="Y34" s="17" t="s">
        <v>197</v>
      </c>
      <c r="Z34" s="102"/>
      <c r="AA34" s="102"/>
      <c r="AB34" s="102"/>
      <c r="AC34" s="102"/>
      <c r="AD34" s="33"/>
      <c r="AE34" s="33"/>
      <c r="AF34" s="25" t="str">
        <f>_xlfn.XLOOKUP(F34,'TFS Details'!F:F,'TFS Details'!H:H)</f>
        <v>In Development</v>
      </c>
      <c r="AG34" s="42">
        <v>0</v>
      </c>
      <c r="AH34" s="42">
        <v>0</v>
      </c>
      <c r="AI34" s="42">
        <v>0</v>
      </c>
      <c r="AJ34" s="42">
        <v>17</v>
      </c>
      <c r="AK34" s="38">
        <f t="shared" si="0"/>
        <v>17</v>
      </c>
      <c r="AL34" s="39">
        <f t="shared" si="1"/>
        <v>0</v>
      </c>
      <c r="AM34" s="39">
        <f t="shared" si="2"/>
        <v>0</v>
      </c>
      <c r="AN34" s="25"/>
      <c r="AO34" s="25" t="str">
        <f>_xlfn.XLOOKUP(F34,'TFS Details'!F:F,'TFS Details'!I:I)</f>
        <v>GoRetro</v>
      </c>
      <c r="AP34" s="25" t="str">
        <f>_xlfn.XLOOKUP(AO34,'TFS Details'!I:I,'TFS Details'!AE:AE)</f>
        <v>sowjanya.kari</v>
      </c>
    </row>
    <row r="35" spans="1:42">
      <c r="A35" s="24" t="str">
        <f>_xlfn.XLOOKUP(F35,'TFS Details'!F:F,'TFS Details'!D:D)</f>
        <v>SA Team manager</v>
      </c>
      <c r="B35" s="24" t="str">
        <f>_xlfn.XLOOKUP(F35,'TFS Details'!F:F,'TFS Details'!A:A)</f>
        <v>SA Team manager UI updates.1. Capability to be autopopulate for Operations 2. Dependency of Deployment field for capability in left side slicer.</v>
      </c>
      <c r="C35" s="46">
        <f>_xlfn.XLOOKUP(F35,'TFS Details'!F:F,'TFS Details'!E:E)</f>
        <v>4441867</v>
      </c>
      <c r="D35" s="100" t="s">
        <v>15</v>
      </c>
      <c r="E35" s="15" t="s">
        <v>510</v>
      </c>
      <c r="F35" s="149">
        <v>4450948</v>
      </c>
      <c r="G35" s="144" t="s">
        <v>482</v>
      </c>
      <c r="H35" s="162" t="s">
        <v>483</v>
      </c>
      <c r="I35" s="66" t="s">
        <v>135</v>
      </c>
      <c r="J35" s="250" t="s">
        <v>1</v>
      </c>
      <c r="K35" s="66"/>
      <c r="L35" s="66"/>
      <c r="M35" s="66" t="s">
        <v>461</v>
      </c>
      <c r="N35" s="78"/>
      <c r="O35" s="273">
        <v>0</v>
      </c>
      <c r="V35" s="17" t="s">
        <v>204</v>
      </c>
      <c r="W35" s="17" t="s">
        <v>204</v>
      </c>
      <c r="X35" s="17" t="s">
        <v>197</v>
      </c>
      <c r="Y35" s="17" t="s">
        <v>216</v>
      </c>
      <c r="Z35" s="102"/>
      <c r="AA35" s="102"/>
      <c r="AB35" s="102"/>
      <c r="AC35" s="102"/>
      <c r="AD35" s="33"/>
      <c r="AE35" s="33"/>
      <c r="AF35" s="25" t="str">
        <f>_xlfn.XLOOKUP(F35,'TFS Details'!F:F,'TFS Details'!H:H)</f>
        <v>PT In Test</v>
      </c>
      <c r="AG35" s="42">
        <v>0</v>
      </c>
      <c r="AH35" s="42">
        <v>0</v>
      </c>
      <c r="AI35" s="42">
        <v>0</v>
      </c>
      <c r="AJ35" s="42">
        <v>7</v>
      </c>
      <c r="AK35" s="38">
        <f t="shared" si="0"/>
        <v>7</v>
      </c>
      <c r="AL35" s="39">
        <f t="shared" si="1"/>
        <v>0</v>
      </c>
      <c r="AM35" s="39">
        <f t="shared" si="2"/>
        <v>0</v>
      </c>
      <c r="AN35" s="25"/>
      <c r="AO35" s="25" t="str">
        <f>_xlfn.XLOOKUP(F35,'TFS Details'!F:F,'TFS Details'!I:I)</f>
        <v>GoRetro</v>
      </c>
      <c r="AP35" s="25" t="str">
        <f>_xlfn.XLOOKUP(AO35,'TFS Details'!I:I,'TFS Details'!AE:AE)</f>
        <v>sowjanya.kari</v>
      </c>
    </row>
    <row r="36" spans="1:42">
      <c r="A36" s="24" t="str">
        <f>_xlfn.XLOOKUP(F36,'TFS Details'!F:F,'TFS Details'!D:D)</f>
        <v>SA Team manager</v>
      </c>
      <c r="B36" s="24" t="str">
        <f>_xlfn.XLOOKUP(F36,'TFS Details'!F:F,'TFS Details'!A:A)</f>
        <v>SA Team manager UI updates.1. Capability to be autopopulate for Operations 2. Dependency of Deployment field for capability in left side slicer.</v>
      </c>
      <c r="C36" s="46">
        <f>_xlfn.XLOOKUP(F36,'TFS Details'!F:F,'TFS Details'!E:E)</f>
        <v>4441867</v>
      </c>
      <c r="D36" s="100" t="s">
        <v>15</v>
      </c>
      <c r="E36" s="15" t="s">
        <v>511</v>
      </c>
      <c r="F36" s="149">
        <v>4450949</v>
      </c>
      <c r="G36" s="144" t="s">
        <v>457</v>
      </c>
      <c r="H36" s="162" t="s">
        <v>458</v>
      </c>
      <c r="I36" s="49"/>
      <c r="J36" s="250" t="s">
        <v>18</v>
      </c>
      <c r="K36" s="66" t="s">
        <v>512</v>
      </c>
      <c r="L36" s="66" t="s">
        <v>74</v>
      </c>
      <c r="M36" s="66"/>
      <c r="N36" s="78"/>
      <c r="V36" s="17" t="s">
        <v>204</v>
      </c>
      <c r="W36" s="17" t="s">
        <v>204</v>
      </c>
      <c r="X36" s="17" t="s">
        <v>204</v>
      </c>
      <c r="Y36" s="17" t="s">
        <v>204</v>
      </c>
      <c r="Z36" s="102">
        <v>38</v>
      </c>
      <c r="AA36" s="102">
        <v>29</v>
      </c>
      <c r="AB36" s="102">
        <v>0</v>
      </c>
      <c r="AC36" s="102">
        <v>29</v>
      </c>
      <c r="AD36" s="273">
        <v>0.95</v>
      </c>
      <c r="AE36" s="273">
        <v>0.8</v>
      </c>
      <c r="AF36" s="25" t="str">
        <f>_xlfn.XLOOKUP(F36,'TFS Details'!F:F,'TFS Details'!H:H)</f>
        <v>PT In Test</v>
      </c>
      <c r="AG36" s="42">
        <v>29</v>
      </c>
      <c r="AH36" s="42">
        <v>0</v>
      </c>
      <c r="AI36" s="42">
        <v>0</v>
      </c>
      <c r="AJ36" s="42">
        <v>0</v>
      </c>
      <c r="AK36" s="38">
        <f>SUM(AG36:AJ36)</f>
        <v>29</v>
      </c>
      <c r="AL36" s="39">
        <f t="shared" si="1"/>
        <v>1</v>
      </c>
      <c r="AM36" s="39">
        <f t="shared" si="2"/>
        <v>1</v>
      </c>
      <c r="AN36" s="25"/>
      <c r="AO36" s="25" t="str">
        <f>_xlfn.XLOOKUP(F36,'TFS Details'!F:F,'TFS Details'!I:I)</f>
        <v>GoRetro</v>
      </c>
      <c r="AP36" s="25" t="str">
        <f>_xlfn.XLOOKUP(AO36,'TFS Details'!I:I,'TFS Details'!AE:AE)</f>
        <v>sowjanya.kari</v>
      </c>
    </row>
    <row r="37" spans="1:42">
      <c r="A37" s="24" t="str">
        <f>_xlfn.XLOOKUP(F37,'TFS Details'!F:F,'TFS Details'!D:D)</f>
        <v>myCalendar</v>
      </c>
      <c r="B37" s="24" t="str">
        <f>_xlfn.XLOOKUP(F37,'TFS Details'!F:F,'TFS Details'!A:A)</f>
        <v>myCalendar: Simplify calender funtionality for Solution Architect</v>
      </c>
      <c r="C37" s="46">
        <f>_xlfn.XLOOKUP(F37,'TFS Details'!F:F,'TFS Details'!E:E)</f>
        <v>4447848</v>
      </c>
      <c r="D37" s="100" t="s">
        <v>15</v>
      </c>
      <c r="E37" s="158" t="s">
        <v>513</v>
      </c>
      <c r="F37" s="164">
        <v>4450103</v>
      </c>
      <c r="G37" s="144" t="s">
        <v>495</v>
      </c>
      <c r="H37" s="162" t="s">
        <v>496</v>
      </c>
      <c r="I37" s="49" t="s">
        <v>130</v>
      </c>
      <c r="J37" s="234" t="s">
        <v>1</v>
      </c>
      <c r="K37" s="107"/>
      <c r="L37" s="23"/>
      <c r="M37" s="66" t="s">
        <v>311</v>
      </c>
      <c r="N37" s="78"/>
      <c r="O37" s="273">
        <v>0.05</v>
      </c>
      <c r="V37" s="17" t="s">
        <v>204</v>
      </c>
      <c r="W37" s="17" t="s">
        <v>204</v>
      </c>
      <c r="X37" s="17" t="s">
        <v>204</v>
      </c>
      <c r="Y37" s="17" t="s">
        <v>197</v>
      </c>
      <c r="Z37" s="102">
        <v>40</v>
      </c>
      <c r="AA37" s="102">
        <v>13</v>
      </c>
      <c r="AB37" s="102">
        <v>4</v>
      </c>
      <c r="AC37" s="102">
        <v>17</v>
      </c>
      <c r="AD37" s="33">
        <v>0.95</v>
      </c>
      <c r="AE37" s="33">
        <v>0.9</v>
      </c>
      <c r="AF37" s="25" t="str">
        <f>_xlfn.XLOOKUP(F37,'TFS Details'!F:F,'TFS Details'!H:H)</f>
        <v>Active</v>
      </c>
      <c r="AG37" s="42">
        <v>0</v>
      </c>
      <c r="AH37" s="42">
        <v>0</v>
      </c>
      <c r="AI37" s="42">
        <v>0</v>
      </c>
      <c r="AJ37" s="42">
        <v>15</v>
      </c>
      <c r="AK37" s="38">
        <f>SUM(AG37:AJ37)</f>
        <v>15</v>
      </c>
      <c r="AL37" s="39">
        <f t="shared" ref="AL37:AL52" si="3">IF(AG37+AH37=0,0,SUM(AG37:AH37)/AK37)</f>
        <v>0</v>
      </c>
      <c r="AM37" s="39">
        <f t="shared" ref="AM37:AM52" si="4">IF(AG37=0,0,AG37/(SUM(AG37:AI37)))</f>
        <v>0</v>
      </c>
      <c r="AN37" s="25"/>
      <c r="AO37" s="25" t="str">
        <f>_xlfn.XLOOKUP(F37,'TFS Details'!F:F,'TFS Details'!I:I)</f>
        <v>NGTransformers</v>
      </c>
      <c r="AP37" s="25" t="str">
        <f>_xlfn.XLOOKUP(AO37,'TFS Details'!I:I,'TFS Details'!AE:AE)</f>
        <v>sowjanya.kari</v>
      </c>
    </row>
    <row r="38" spans="1:42">
      <c r="A38" s="24" t="str">
        <f>_xlfn.XLOOKUP(F38,'TFS Details'!F:F,'TFS Details'!D:D)</f>
        <v>myCalendar</v>
      </c>
      <c r="B38" s="24" t="str">
        <f>_xlfn.XLOOKUP(F38,'TFS Details'!F:F,'TFS Details'!A:A)</f>
        <v>myCalendar: Simplify calender funtionality for Solution Architect</v>
      </c>
      <c r="C38" s="46">
        <f>_xlfn.XLOOKUP(F38,'TFS Details'!F:F,'TFS Details'!E:E)</f>
        <v>4447848</v>
      </c>
      <c r="D38" s="100" t="s">
        <v>15</v>
      </c>
      <c r="E38" s="15" t="s">
        <v>514</v>
      </c>
      <c r="F38" s="149">
        <v>4450104</v>
      </c>
      <c r="G38" s="144" t="s">
        <v>482</v>
      </c>
      <c r="H38" s="162" t="s">
        <v>483</v>
      </c>
      <c r="I38" s="49" t="s">
        <v>135</v>
      </c>
      <c r="J38" s="234" t="s">
        <v>1</v>
      </c>
      <c r="K38" s="107"/>
      <c r="L38" s="23"/>
      <c r="M38" s="66" t="s">
        <v>461</v>
      </c>
      <c r="N38" s="78"/>
      <c r="O38" s="273">
        <v>0</v>
      </c>
      <c r="V38" s="17" t="s">
        <v>204</v>
      </c>
      <c r="W38" s="17" t="s">
        <v>204</v>
      </c>
      <c r="X38" s="17" t="s">
        <v>197</v>
      </c>
      <c r="Y38" s="17" t="s">
        <v>197</v>
      </c>
      <c r="Z38" s="102"/>
      <c r="AA38" s="102"/>
      <c r="AB38" s="102"/>
      <c r="AC38" s="102"/>
      <c r="AD38" s="33"/>
      <c r="AE38" s="33"/>
      <c r="AF38" s="25" t="str">
        <f>_xlfn.XLOOKUP(F38,'TFS Details'!F:F,'TFS Details'!H:H)</f>
        <v>Active</v>
      </c>
      <c r="AG38" s="42">
        <v>0</v>
      </c>
      <c r="AH38" s="42">
        <v>0</v>
      </c>
      <c r="AI38" s="42">
        <v>0</v>
      </c>
      <c r="AJ38" s="42">
        <v>0</v>
      </c>
      <c r="AK38" s="38">
        <f t="shared" ref="AK38:AK52" si="5">SUM(AG38:AJ38)</f>
        <v>0</v>
      </c>
      <c r="AL38" s="39">
        <f t="shared" si="3"/>
        <v>0</v>
      </c>
      <c r="AM38" s="39">
        <f t="shared" si="4"/>
        <v>0</v>
      </c>
      <c r="AN38" s="25"/>
      <c r="AO38" s="25" t="str">
        <f>_xlfn.XLOOKUP(F38,'TFS Details'!F:F,'TFS Details'!I:I)</f>
        <v>NGTransformers</v>
      </c>
      <c r="AP38" s="25" t="str">
        <f>_xlfn.XLOOKUP(AO38,'TFS Details'!I:I,'TFS Details'!AE:AE)</f>
        <v>sowjanya.kari</v>
      </c>
    </row>
    <row r="39" spans="1:42">
      <c r="A39" s="24" t="str">
        <f>_xlfn.XLOOKUP(F39,'TFS Details'!F:F,'TFS Details'!D:D)</f>
        <v>myCalendar</v>
      </c>
      <c r="B39" s="24" t="str">
        <f>_xlfn.XLOOKUP(F39,'TFS Details'!F:F,'TFS Details'!A:A)</f>
        <v>myCalendar: Simplify calender funtionality for Solution Architect</v>
      </c>
      <c r="C39" s="46">
        <f>_xlfn.XLOOKUP(F39,'TFS Details'!F:F,'TFS Details'!E:E)</f>
        <v>4447848</v>
      </c>
      <c r="D39" s="100" t="s">
        <v>15</v>
      </c>
      <c r="E39" s="15" t="s">
        <v>515</v>
      </c>
      <c r="F39" s="149">
        <v>4449975</v>
      </c>
      <c r="G39" s="144" t="s">
        <v>457</v>
      </c>
      <c r="H39" s="162" t="s">
        <v>458</v>
      </c>
      <c r="I39" s="106" t="s">
        <v>123</v>
      </c>
      <c r="J39" s="250" t="s">
        <v>20</v>
      </c>
      <c r="K39" s="202" t="s">
        <v>516</v>
      </c>
      <c r="L39" s="101" t="s">
        <v>460</v>
      </c>
      <c r="M39" s="66" t="s">
        <v>311</v>
      </c>
      <c r="N39" s="78"/>
      <c r="O39" s="273">
        <v>0.05</v>
      </c>
      <c r="V39" s="17" t="s">
        <v>204</v>
      </c>
      <c r="W39" s="17" t="s">
        <v>204</v>
      </c>
      <c r="X39" s="17" t="s">
        <v>204</v>
      </c>
      <c r="Y39" s="17" t="s">
        <v>197</v>
      </c>
      <c r="Z39" s="102">
        <v>48</v>
      </c>
      <c r="AA39" s="102">
        <v>34</v>
      </c>
      <c r="AB39" s="102">
        <v>0</v>
      </c>
      <c r="AC39" s="102">
        <v>34</v>
      </c>
      <c r="AD39" s="273">
        <v>0.95</v>
      </c>
      <c r="AE39" s="273">
        <v>0.8</v>
      </c>
      <c r="AF39" s="25" t="str">
        <f>_xlfn.XLOOKUP(F39,'TFS Details'!F:F,'TFS Details'!H:H)</f>
        <v>Active</v>
      </c>
      <c r="AG39" s="42">
        <v>0</v>
      </c>
      <c r="AH39" s="42">
        <v>0</v>
      </c>
      <c r="AI39" s="42">
        <v>0</v>
      </c>
      <c r="AJ39" s="42">
        <v>34</v>
      </c>
      <c r="AK39" s="38">
        <f t="shared" si="5"/>
        <v>34</v>
      </c>
      <c r="AL39" s="39">
        <f t="shared" si="3"/>
        <v>0</v>
      </c>
      <c r="AM39" s="39">
        <f t="shared" si="4"/>
        <v>0</v>
      </c>
      <c r="AN39" s="25"/>
      <c r="AO39" s="25" t="str">
        <f>_xlfn.XLOOKUP(F39,'TFS Details'!F:F,'TFS Details'!I:I)</f>
        <v>NGTransformers</v>
      </c>
      <c r="AP39" s="25" t="str">
        <f>_xlfn.XLOOKUP(AO39,'TFS Details'!I:I,'TFS Details'!AE:AE)</f>
        <v>sowjanya.kari</v>
      </c>
    </row>
    <row r="40" spans="1:42">
      <c r="A40" s="24" t="str">
        <f>_xlfn.XLOOKUP(F40,'TFS Details'!F:F,'TFS Details'!D:D)</f>
        <v>myCalendar</v>
      </c>
      <c r="B40" s="24" t="str">
        <f>_xlfn.XLOOKUP(F40,'TFS Details'!F:F,'TFS Details'!A:A)</f>
        <v>myCalendar: Simplify calender funtionality for Solution Architect</v>
      </c>
      <c r="C40" s="46">
        <f>_xlfn.XLOOKUP(F40,'TFS Details'!F:F,'TFS Details'!E:E)</f>
        <v>4447848</v>
      </c>
      <c r="D40" s="100" t="s">
        <v>15</v>
      </c>
      <c r="E40" s="139" t="s">
        <v>517</v>
      </c>
      <c r="F40" s="141">
        <v>4448855</v>
      </c>
      <c r="G40" s="144" t="s">
        <v>495</v>
      </c>
      <c r="H40" s="162" t="s">
        <v>496</v>
      </c>
      <c r="I40" s="49" t="s">
        <v>110</v>
      </c>
      <c r="J40" s="234" t="s">
        <v>1</v>
      </c>
      <c r="K40" s="66"/>
      <c r="L40" s="23"/>
      <c r="M40" s="66" t="s">
        <v>461</v>
      </c>
      <c r="N40" s="78"/>
      <c r="O40" s="273">
        <v>0.1</v>
      </c>
      <c r="V40" s="17" t="s">
        <v>204</v>
      </c>
      <c r="W40" s="17" t="s">
        <v>204</v>
      </c>
      <c r="X40" s="17" t="s">
        <v>204</v>
      </c>
      <c r="Y40" s="17" t="s">
        <v>197</v>
      </c>
      <c r="Z40" s="102">
        <v>51</v>
      </c>
      <c r="AA40" s="102">
        <v>17</v>
      </c>
      <c r="AB40" s="102">
        <v>4</v>
      </c>
      <c r="AC40" s="102">
        <v>21</v>
      </c>
      <c r="AD40" s="33">
        <v>0.95</v>
      </c>
      <c r="AE40" s="33">
        <v>0.9</v>
      </c>
      <c r="AF40" s="25" t="str">
        <f>_xlfn.XLOOKUP(F40,'TFS Details'!F:F,'TFS Details'!H:H)</f>
        <v>Active</v>
      </c>
      <c r="AG40" s="42">
        <v>0</v>
      </c>
      <c r="AH40" s="42">
        <v>0</v>
      </c>
      <c r="AI40" s="42">
        <v>0</v>
      </c>
      <c r="AJ40" s="42">
        <v>21</v>
      </c>
      <c r="AK40" s="38">
        <f t="shared" si="5"/>
        <v>21</v>
      </c>
      <c r="AL40" s="39">
        <f t="shared" si="3"/>
        <v>0</v>
      </c>
      <c r="AM40" s="39">
        <f t="shared" si="4"/>
        <v>0</v>
      </c>
      <c r="AN40" s="25"/>
      <c r="AO40" s="25" t="str">
        <f>_xlfn.XLOOKUP(F40,'TFS Details'!F:F,'TFS Details'!I:I)</f>
        <v>NGTransformers</v>
      </c>
      <c r="AP40" s="25" t="str">
        <f>_xlfn.XLOOKUP(AO40,'TFS Details'!I:I,'TFS Details'!AE:AE)</f>
        <v>sowjanya.kari</v>
      </c>
    </row>
    <row r="41" spans="1:42">
      <c r="A41" s="24" t="str">
        <f>_xlfn.XLOOKUP(F41,'TFS Details'!F:F,'TFS Details'!D:D)</f>
        <v>myCalendar</v>
      </c>
      <c r="B41" s="24" t="str">
        <f>_xlfn.XLOOKUP(F41,'TFS Details'!F:F,'TFS Details'!A:A)</f>
        <v>myCalendar: Simplify calender funtionality for Solution Architect</v>
      </c>
      <c r="C41" s="46">
        <f>_xlfn.XLOOKUP(F41,'TFS Details'!F:F,'TFS Details'!E:E)</f>
        <v>4447848</v>
      </c>
      <c r="D41" s="100" t="s">
        <v>15</v>
      </c>
      <c r="E41" s="139" t="s">
        <v>518</v>
      </c>
      <c r="F41" s="141">
        <v>4448856</v>
      </c>
      <c r="G41" s="144" t="s">
        <v>495</v>
      </c>
      <c r="H41" s="162" t="s">
        <v>496</v>
      </c>
      <c r="I41" s="49" t="s">
        <v>130</v>
      </c>
      <c r="J41" s="250" t="s">
        <v>1</v>
      </c>
      <c r="K41" s="66"/>
      <c r="L41" s="101"/>
      <c r="M41" s="66" t="s">
        <v>311</v>
      </c>
      <c r="N41" s="78"/>
      <c r="O41" s="273">
        <v>0.05</v>
      </c>
      <c r="V41" s="17" t="s">
        <v>204</v>
      </c>
      <c r="W41" s="17" t="s">
        <v>204</v>
      </c>
      <c r="X41" s="17" t="s">
        <v>204</v>
      </c>
      <c r="Y41" s="17" t="s">
        <v>197</v>
      </c>
      <c r="Z41" s="102">
        <v>35</v>
      </c>
      <c r="AA41" s="102">
        <v>12</v>
      </c>
      <c r="AB41" s="102">
        <v>4</v>
      </c>
      <c r="AC41" s="102">
        <v>16</v>
      </c>
      <c r="AD41" s="33">
        <v>0.9</v>
      </c>
      <c r="AE41" s="33">
        <v>0.9</v>
      </c>
      <c r="AF41" s="25" t="str">
        <f>_xlfn.XLOOKUP(F41,'TFS Details'!F:F,'TFS Details'!H:H)</f>
        <v>Active</v>
      </c>
      <c r="AG41" s="42">
        <v>0</v>
      </c>
      <c r="AH41" s="42">
        <v>0</v>
      </c>
      <c r="AI41" s="42">
        <v>0</v>
      </c>
      <c r="AJ41" s="42">
        <v>16</v>
      </c>
      <c r="AK41" s="38">
        <f t="shared" si="5"/>
        <v>16</v>
      </c>
      <c r="AL41" s="39">
        <f t="shared" si="3"/>
        <v>0</v>
      </c>
      <c r="AM41" s="39">
        <f t="shared" si="4"/>
        <v>0</v>
      </c>
      <c r="AN41" s="25"/>
      <c r="AO41" s="25" t="str">
        <f>_xlfn.XLOOKUP(F41,'TFS Details'!F:F,'TFS Details'!I:I)</f>
        <v>NGTransformers</v>
      </c>
      <c r="AP41" s="25" t="str">
        <f>_xlfn.XLOOKUP(AO41,'TFS Details'!I:I,'TFS Details'!AE:AE)</f>
        <v>sowjanya.kari</v>
      </c>
    </row>
    <row r="42" spans="1:42">
      <c r="A42" s="24" t="str">
        <f>_xlfn.XLOOKUP(F42,'TFS Details'!F:F,'TFS Details'!D:D)</f>
        <v>myCalendar</v>
      </c>
      <c r="B42" s="24" t="str">
        <f>_xlfn.XLOOKUP(F42,'TFS Details'!F:F,'TFS Details'!A:A)</f>
        <v>myCalendar: Simplify calender funtionality for Solution Architect</v>
      </c>
      <c r="C42" s="46">
        <f>_xlfn.XLOOKUP(F42,'TFS Details'!F:F,'TFS Details'!E:E)</f>
        <v>4447848</v>
      </c>
      <c r="D42" s="100" t="s">
        <v>15</v>
      </c>
      <c r="E42" s="158" t="s">
        <v>519</v>
      </c>
      <c r="F42" s="164">
        <v>4448150</v>
      </c>
      <c r="G42" s="144" t="s">
        <v>495</v>
      </c>
      <c r="H42" s="162" t="s">
        <v>496</v>
      </c>
      <c r="I42" s="49" t="s">
        <v>110</v>
      </c>
      <c r="J42" s="234" t="s">
        <v>1</v>
      </c>
      <c r="K42" s="66"/>
      <c r="L42" s="23"/>
      <c r="M42" s="66" t="s">
        <v>311</v>
      </c>
      <c r="N42" s="78"/>
      <c r="O42" s="273">
        <v>0.2</v>
      </c>
      <c r="V42" s="17" t="s">
        <v>204</v>
      </c>
      <c r="W42" s="17" t="s">
        <v>204</v>
      </c>
      <c r="X42" s="17" t="s">
        <v>204</v>
      </c>
      <c r="Y42" s="17" t="s">
        <v>197</v>
      </c>
      <c r="Z42" s="102">
        <v>43</v>
      </c>
      <c r="AA42" s="102">
        <v>18</v>
      </c>
      <c r="AB42" s="102">
        <v>3</v>
      </c>
      <c r="AC42" s="102">
        <v>21</v>
      </c>
      <c r="AD42" s="33">
        <v>0.95</v>
      </c>
      <c r="AE42" s="33">
        <v>0.9</v>
      </c>
      <c r="AF42" s="25" t="str">
        <f>_xlfn.XLOOKUP(F42,'TFS Details'!F:F,'TFS Details'!H:H)</f>
        <v>Active</v>
      </c>
      <c r="AG42" s="42">
        <v>0</v>
      </c>
      <c r="AH42" s="42">
        <v>0</v>
      </c>
      <c r="AI42" s="42">
        <v>0</v>
      </c>
      <c r="AJ42" s="42">
        <v>21</v>
      </c>
      <c r="AK42" s="38">
        <f t="shared" si="5"/>
        <v>21</v>
      </c>
      <c r="AL42" s="39">
        <f t="shared" si="3"/>
        <v>0</v>
      </c>
      <c r="AM42" s="39">
        <f t="shared" si="4"/>
        <v>0</v>
      </c>
      <c r="AN42" s="25"/>
      <c r="AO42" s="25" t="str">
        <f>_xlfn.XLOOKUP(F42,'TFS Details'!F:F,'TFS Details'!I:I)</f>
        <v>NGTransformers</v>
      </c>
      <c r="AP42" s="25" t="str">
        <f>_xlfn.XLOOKUP(AO42,'TFS Details'!I:I,'TFS Details'!AE:AE)</f>
        <v>sowjanya.kari</v>
      </c>
    </row>
    <row r="43" spans="1:42">
      <c r="A43" s="24" t="str">
        <f>_xlfn.XLOOKUP(F43,'TFS Details'!F:F,'TFS Details'!D:D)</f>
        <v>myCalendar</v>
      </c>
      <c r="B43" s="24" t="str">
        <f>_xlfn.XLOOKUP(F43,'TFS Details'!F:F,'TFS Details'!A:A)</f>
        <v>myCalendar: Simplify calender funtionality for Solution Architect</v>
      </c>
      <c r="C43" s="46">
        <f>_xlfn.XLOOKUP(F43,'TFS Details'!F:F,'TFS Details'!E:E)</f>
        <v>4447848</v>
      </c>
      <c r="D43" s="100" t="s">
        <v>15</v>
      </c>
      <c r="E43" s="15" t="s">
        <v>520</v>
      </c>
      <c r="F43" s="149">
        <v>4448151</v>
      </c>
      <c r="G43" s="144" t="s">
        <v>482</v>
      </c>
      <c r="H43" s="162" t="s">
        <v>483</v>
      </c>
      <c r="I43" s="49" t="s">
        <v>131</v>
      </c>
      <c r="J43" s="234" t="s">
        <v>1</v>
      </c>
      <c r="K43" s="107"/>
      <c r="L43" s="23"/>
      <c r="M43" s="66" t="s">
        <v>461</v>
      </c>
      <c r="N43" s="78"/>
      <c r="O43" s="273">
        <v>0.05</v>
      </c>
      <c r="P43" s="102"/>
      <c r="Q43" s="102"/>
      <c r="R43" s="102"/>
      <c r="S43" s="102"/>
      <c r="V43" s="17" t="s">
        <v>204</v>
      </c>
      <c r="W43" s="17" t="s">
        <v>204</v>
      </c>
      <c r="X43" s="17" t="s">
        <v>197</v>
      </c>
      <c r="Y43" s="17" t="s">
        <v>197</v>
      </c>
      <c r="Z43" s="102"/>
      <c r="AA43" s="102"/>
      <c r="AB43" s="102"/>
      <c r="AC43" s="102"/>
      <c r="AD43" s="33"/>
      <c r="AE43" s="33"/>
      <c r="AF43" s="25" t="str">
        <f>_xlfn.XLOOKUP(F43,'TFS Details'!F:F,'TFS Details'!H:H)</f>
        <v>Active</v>
      </c>
      <c r="AG43" s="42">
        <v>0</v>
      </c>
      <c r="AH43" s="42">
        <v>0</v>
      </c>
      <c r="AI43" s="42">
        <v>0</v>
      </c>
      <c r="AJ43" s="42">
        <v>0</v>
      </c>
      <c r="AK43" s="38">
        <f t="shared" si="5"/>
        <v>0</v>
      </c>
      <c r="AL43" s="39">
        <f t="shared" si="3"/>
        <v>0</v>
      </c>
      <c r="AM43" s="39">
        <f t="shared" si="4"/>
        <v>0</v>
      </c>
      <c r="AN43" s="25"/>
      <c r="AO43" s="25" t="str">
        <f>_xlfn.XLOOKUP(F43,'TFS Details'!F:F,'TFS Details'!I:I)</f>
        <v>NGTransformers</v>
      </c>
      <c r="AP43" s="25" t="str">
        <f>_xlfn.XLOOKUP(AO43,'TFS Details'!I:I,'TFS Details'!AE:AE)</f>
        <v>sowjanya.kari</v>
      </c>
    </row>
    <row r="44" spans="1:42">
      <c r="A44" s="24" t="str">
        <f>_xlfn.XLOOKUP(F44,'TFS Details'!F:F,'TFS Details'!D:D)</f>
        <v>DCSO</v>
      </c>
      <c r="B44" s="24" t="str">
        <f>_xlfn.XLOOKUP(F44,'TFS Details'!F:F,'TFS Details'!A:A)</f>
        <v>myISP DCSO - Delivery Lead Assignments</v>
      </c>
      <c r="C44" s="46">
        <f>_xlfn.XLOOKUP(F44,'TFS Details'!F:F,'TFS Details'!E:E)</f>
        <v>4446526</v>
      </c>
      <c r="D44" s="100" t="s">
        <v>15</v>
      </c>
      <c r="E44" s="15" t="s">
        <v>521</v>
      </c>
      <c r="F44" s="149">
        <v>4456104</v>
      </c>
      <c r="G44" s="144" t="s">
        <v>457</v>
      </c>
      <c r="H44" s="162" t="s">
        <v>458</v>
      </c>
      <c r="I44" s="49" t="s">
        <v>99</v>
      </c>
      <c r="J44" s="250" t="s">
        <v>1</v>
      </c>
      <c r="K44" s="66"/>
      <c r="L44" s="23" t="s">
        <v>77</v>
      </c>
      <c r="M44" s="66" t="s">
        <v>461</v>
      </c>
      <c r="N44" s="78">
        <v>5</v>
      </c>
      <c r="O44" s="273">
        <v>0.05</v>
      </c>
      <c r="P44" s="102">
        <v>20</v>
      </c>
      <c r="Q44" s="102">
        <v>5</v>
      </c>
      <c r="R44" s="102">
        <v>0</v>
      </c>
      <c r="S44" s="102"/>
      <c r="V44" s="17" t="s">
        <v>204</v>
      </c>
      <c r="W44" s="17" t="s">
        <v>204</v>
      </c>
      <c r="X44" s="17" t="s">
        <v>204</v>
      </c>
      <c r="Y44" s="17" t="s">
        <v>197</v>
      </c>
      <c r="Z44" s="102">
        <v>50</v>
      </c>
      <c r="AA44" s="102">
        <v>39</v>
      </c>
      <c r="AB44" s="102">
        <v>0</v>
      </c>
      <c r="AC44" s="102">
        <v>39</v>
      </c>
      <c r="AD44" s="273">
        <v>0.95</v>
      </c>
      <c r="AE44" s="273">
        <v>0.8</v>
      </c>
      <c r="AF44" s="25" t="str">
        <f>_xlfn.XLOOKUP(F44,'TFS Details'!F:F,'TFS Details'!H:H)</f>
        <v>Active</v>
      </c>
      <c r="AG44" s="42">
        <v>0</v>
      </c>
      <c r="AH44" s="42">
        <v>0</v>
      </c>
      <c r="AI44" s="42">
        <v>0</v>
      </c>
      <c r="AJ44" s="42">
        <v>39</v>
      </c>
      <c r="AK44" s="38">
        <f t="shared" si="5"/>
        <v>39</v>
      </c>
      <c r="AL44" s="39">
        <f t="shared" si="3"/>
        <v>0</v>
      </c>
      <c r="AM44" s="39">
        <f t="shared" si="4"/>
        <v>0</v>
      </c>
      <c r="AN44" s="25"/>
      <c r="AO44" s="25" t="str">
        <f>_xlfn.XLOOKUP(F44,'TFS Details'!F:F,'TFS Details'!I:I)</f>
        <v>TechWarriors</v>
      </c>
      <c r="AP44" s="25" t="str">
        <f>_xlfn.XLOOKUP(AO44,'TFS Details'!I:I,'TFS Details'!AE:AE)</f>
        <v>Supriya.a.dhingra</v>
      </c>
    </row>
    <row r="45" spans="1:42">
      <c r="A45" s="24" t="str">
        <f>_xlfn.XLOOKUP(F45,'TFS Details'!F:F,'TFS Details'!D:D)</f>
        <v>myCalendar</v>
      </c>
      <c r="B45" s="24" t="str">
        <f>_xlfn.XLOOKUP(F45,'TFS Details'!F:F,'TFS Details'!A:A)</f>
        <v>myCalendar: Simplify calender funtionality for Solution Architect</v>
      </c>
      <c r="C45" s="46">
        <f>_xlfn.XLOOKUP(F45,'TFS Details'!F:F,'TFS Details'!E:E)</f>
        <v>4447848</v>
      </c>
      <c r="D45" s="100" t="s">
        <v>15</v>
      </c>
      <c r="E45" s="151" t="s">
        <v>522</v>
      </c>
      <c r="F45" s="165">
        <v>4450161</v>
      </c>
      <c r="G45" s="144" t="s">
        <v>495</v>
      </c>
      <c r="H45" s="162" t="s">
        <v>496</v>
      </c>
      <c r="I45" s="49" t="s">
        <v>110</v>
      </c>
      <c r="J45" s="234" t="s">
        <v>1</v>
      </c>
      <c r="K45" s="66"/>
      <c r="L45" s="23"/>
      <c r="M45" s="66" t="s">
        <v>311</v>
      </c>
      <c r="N45" s="78"/>
      <c r="O45" s="273">
        <v>0.1</v>
      </c>
      <c r="P45" s="102"/>
      <c r="Q45" s="102"/>
      <c r="R45" s="102"/>
      <c r="S45" s="102"/>
      <c r="V45" s="17" t="s">
        <v>204</v>
      </c>
      <c r="W45" s="17" t="s">
        <v>204</v>
      </c>
      <c r="X45" s="17" t="s">
        <v>204</v>
      </c>
      <c r="Y45" s="17" t="s">
        <v>197</v>
      </c>
      <c r="Z45" s="102">
        <v>12</v>
      </c>
      <c r="AA45" s="102">
        <v>12</v>
      </c>
      <c r="AB45" s="102">
        <v>0</v>
      </c>
      <c r="AC45" s="102">
        <v>12</v>
      </c>
      <c r="AD45" s="33">
        <v>0.95</v>
      </c>
      <c r="AE45" s="33">
        <v>0.9</v>
      </c>
      <c r="AF45" s="25" t="str">
        <f>_xlfn.XLOOKUP(F45,'TFS Details'!F:F,'TFS Details'!H:H)</f>
        <v>Active</v>
      </c>
      <c r="AG45" s="42">
        <v>0</v>
      </c>
      <c r="AH45" s="42">
        <v>0</v>
      </c>
      <c r="AI45" s="42">
        <v>0</v>
      </c>
      <c r="AJ45" s="42">
        <v>12</v>
      </c>
      <c r="AK45" s="38">
        <f t="shared" si="5"/>
        <v>12</v>
      </c>
      <c r="AL45" s="39">
        <f t="shared" si="3"/>
        <v>0</v>
      </c>
      <c r="AM45" s="39">
        <f t="shared" si="4"/>
        <v>0</v>
      </c>
      <c r="AN45" s="25"/>
      <c r="AO45" s="25" t="str">
        <f>_xlfn.XLOOKUP(F45,'TFS Details'!F:F,'TFS Details'!I:I)</f>
        <v>NGTransformers</v>
      </c>
      <c r="AP45" s="25" t="str">
        <f>_xlfn.XLOOKUP(AO45,'TFS Details'!I:I,'TFS Details'!AE:AE)</f>
        <v>sowjanya.kari</v>
      </c>
    </row>
    <row r="46" spans="1:42">
      <c r="A46" s="24" t="str">
        <f>_xlfn.XLOOKUP(F46,'TFS Details'!F:F,'TFS Details'!D:D)</f>
        <v>myCalendar</v>
      </c>
      <c r="B46" s="24" t="str">
        <f>_xlfn.XLOOKUP(F46,'TFS Details'!F:F,'TFS Details'!A:A)</f>
        <v>myCalendar: Simplify calender funtionality for Solution Architect</v>
      </c>
      <c r="C46" s="46">
        <f>_xlfn.XLOOKUP(F46,'TFS Details'!F:F,'TFS Details'!E:E)</f>
        <v>4447848</v>
      </c>
      <c r="D46" s="100" t="s">
        <v>15</v>
      </c>
      <c r="E46" s="139" t="s">
        <v>523</v>
      </c>
      <c r="F46" s="141">
        <v>4450197</v>
      </c>
      <c r="G46" s="144" t="s">
        <v>495</v>
      </c>
      <c r="H46" s="162" t="s">
        <v>496</v>
      </c>
      <c r="I46" s="49" t="s">
        <v>110</v>
      </c>
      <c r="J46" s="234" t="s">
        <v>20</v>
      </c>
      <c r="K46" s="202" t="s">
        <v>524</v>
      </c>
      <c r="L46" s="23"/>
      <c r="M46" s="66" t="s">
        <v>311</v>
      </c>
      <c r="N46" s="78"/>
      <c r="O46" s="273">
        <v>0.1</v>
      </c>
      <c r="P46" s="102"/>
      <c r="Q46" s="102"/>
      <c r="R46" s="102"/>
      <c r="S46" s="102"/>
      <c r="V46" s="17" t="s">
        <v>204</v>
      </c>
      <c r="W46" s="17" t="s">
        <v>204</v>
      </c>
      <c r="X46" s="17" t="s">
        <v>204</v>
      </c>
      <c r="Y46" s="17" t="s">
        <v>197</v>
      </c>
      <c r="Z46" s="102">
        <v>50</v>
      </c>
      <c r="AA46" s="102">
        <v>50</v>
      </c>
      <c r="AB46" s="102">
        <v>1</v>
      </c>
      <c r="AC46" s="102">
        <v>51</v>
      </c>
      <c r="AD46" s="33">
        <v>0.95</v>
      </c>
      <c r="AE46" s="33">
        <v>0.9</v>
      </c>
      <c r="AF46" s="25" t="str">
        <f>_xlfn.XLOOKUP(F46,'TFS Details'!F:F,'TFS Details'!H:H)</f>
        <v>Active</v>
      </c>
      <c r="AG46" s="42">
        <v>0</v>
      </c>
      <c r="AH46" s="42">
        <v>0</v>
      </c>
      <c r="AI46" s="42">
        <v>0</v>
      </c>
      <c r="AJ46" s="42">
        <v>51</v>
      </c>
      <c r="AK46" s="38">
        <f t="shared" si="5"/>
        <v>51</v>
      </c>
      <c r="AL46" s="39">
        <f t="shared" si="3"/>
        <v>0</v>
      </c>
      <c r="AM46" s="39">
        <f t="shared" si="4"/>
        <v>0</v>
      </c>
      <c r="AN46" s="25"/>
      <c r="AO46" s="25" t="str">
        <f>_xlfn.XLOOKUP(F46,'TFS Details'!F:F,'TFS Details'!I:I)</f>
        <v>NGTransformers</v>
      </c>
      <c r="AP46" s="25" t="str">
        <f>_xlfn.XLOOKUP(AO46,'TFS Details'!I:I,'TFS Details'!AE:AE)</f>
        <v>sowjanya.kari</v>
      </c>
    </row>
    <row r="47" spans="1:42">
      <c r="A47" s="24" t="str">
        <f>_xlfn.XLOOKUP(F47,'TFS Details'!F:F,'TFS Details'!D:D)</f>
        <v>myCalendar</v>
      </c>
      <c r="B47" s="24" t="str">
        <f>_xlfn.XLOOKUP(F47,'TFS Details'!F:F,'TFS Details'!A:A)</f>
        <v>myCalendar: Simplify calender funtionality for Solution Architect</v>
      </c>
      <c r="C47" s="46">
        <f>_xlfn.XLOOKUP(F47,'TFS Details'!F:F,'TFS Details'!E:E)</f>
        <v>4447848</v>
      </c>
      <c r="D47" s="100" t="s">
        <v>15</v>
      </c>
      <c r="E47" s="139" t="s">
        <v>525</v>
      </c>
      <c r="F47" s="141">
        <v>4450214</v>
      </c>
      <c r="G47" s="144" t="s">
        <v>495</v>
      </c>
      <c r="H47" s="162" t="s">
        <v>496</v>
      </c>
      <c r="I47" s="49" t="s">
        <v>130</v>
      </c>
      <c r="J47" s="234" t="s">
        <v>1</v>
      </c>
      <c r="K47" s="66"/>
      <c r="L47" s="23"/>
      <c r="M47" s="66" t="s">
        <v>311</v>
      </c>
      <c r="N47" s="78"/>
      <c r="O47" s="273">
        <v>0.05</v>
      </c>
      <c r="P47" s="102"/>
      <c r="Q47" s="102"/>
      <c r="R47" s="102"/>
      <c r="S47" s="102"/>
      <c r="V47" s="17" t="s">
        <v>204</v>
      </c>
      <c r="W47" s="17" t="s">
        <v>204</v>
      </c>
      <c r="X47" s="17" t="s">
        <v>204</v>
      </c>
      <c r="Y47" s="17" t="s">
        <v>197</v>
      </c>
      <c r="Z47" s="102">
        <v>21</v>
      </c>
      <c r="AA47" s="102">
        <v>17</v>
      </c>
      <c r="AB47" s="102">
        <v>1</v>
      </c>
      <c r="AC47" s="102">
        <v>18</v>
      </c>
      <c r="AD47" s="33">
        <v>0.9</v>
      </c>
      <c r="AE47" s="33">
        <v>0.9</v>
      </c>
      <c r="AF47" s="25" t="str">
        <f>_xlfn.XLOOKUP(F47,'TFS Details'!F:F,'TFS Details'!H:H)</f>
        <v>Active</v>
      </c>
      <c r="AG47" s="42">
        <v>0</v>
      </c>
      <c r="AH47" s="42">
        <v>0</v>
      </c>
      <c r="AI47" s="42">
        <v>0</v>
      </c>
      <c r="AJ47" s="42">
        <v>18</v>
      </c>
      <c r="AK47" s="38">
        <f t="shared" si="5"/>
        <v>18</v>
      </c>
      <c r="AL47" s="39">
        <f t="shared" si="3"/>
        <v>0</v>
      </c>
      <c r="AM47" s="39">
        <f t="shared" si="4"/>
        <v>0</v>
      </c>
      <c r="AN47" s="25"/>
      <c r="AO47" s="25" t="str">
        <f>_xlfn.XLOOKUP(F47,'TFS Details'!F:F,'TFS Details'!I:I)</f>
        <v>NGTransformers</v>
      </c>
      <c r="AP47" s="25" t="str">
        <f>_xlfn.XLOOKUP(AO47,'TFS Details'!I:I,'TFS Details'!AE:AE)</f>
        <v>sowjanya.kari</v>
      </c>
    </row>
    <row r="48" spans="1:42">
      <c r="A48" s="24" t="str">
        <f>_xlfn.XLOOKUP(F48,'TFS Details'!F:F,'TFS Details'!D:D)</f>
        <v>myCalendar</v>
      </c>
      <c r="B48" s="24" t="str">
        <f>_xlfn.XLOOKUP(F48,'TFS Details'!F:F,'TFS Details'!A:A)</f>
        <v>myCalendar: Simplify calender funtionality for Solution Architect</v>
      </c>
      <c r="C48" s="46">
        <f>_xlfn.XLOOKUP(F48,'TFS Details'!F:F,'TFS Details'!E:E)</f>
        <v>4447848</v>
      </c>
      <c r="D48" s="100" t="s">
        <v>15</v>
      </c>
      <c r="E48" s="139" t="s">
        <v>526</v>
      </c>
      <c r="F48" s="141">
        <v>4451718</v>
      </c>
      <c r="G48" s="144" t="s">
        <v>495</v>
      </c>
      <c r="H48" s="162" t="s">
        <v>496</v>
      </c>
      <c r="I48" s="49" t="s">
        <v>130</v>
      </c>
      <c r="J48" s="234" t="s">
        <v>1</v>
      </c>
      <c r="K48" s="66"/>
      <c r="L48" s="23"/>
      <c r="M48" s="66" t="s">
        <v>461</v>
      </c>
      <c r="N48" s="78"/>
      <c r="O48" s="273">
        <v>0.05</v>
      </c>
      <c r="P48" s="102"/>
      <c r="Q48" s="102"/>
      <c r="R48" s="102"/>
      <c r="S48" s="102"/>
      <c r="V48" s="17" t="s">
        <v>204</v>
      </c>
      <c r="W48" s="17" t="s">
        <v>204</v>
      </c>
      <c r="X48" s="17" t="s">
        <v>204</v>
      </c>
      <c r="Y48" s="17" t="s">
        <v>197</v>
      </c>
      <c r="Z48" s="102">
        <v>12</v>
      </c>
      <c r="AA48" s="102">
        <v>12</v>
      </c>
      <c r="AB48" s="102">
        <v>0</v>
      </c>
      <c r="AC48" s="102">
        <v>12</v>
      </c>
      <c r="AD48" s="33">
        <v>0.95</v>
      </c>
      <c r="AE48" s="33">
        <v>0.95</v>
      </c>
      <c r="AF48" s="25" t="str">
        <f>_xlfn.XLOOKUP(F48,'TFS Details'!F:F,'TFS Details'!H:H)</f>
        <v>Active</v>
      </c>
      <c r="AG48" s="42">
        <v>0</v>
      </c>
      <c r="AH48" s="42">
        <v>0</v>
      </c>
      <c r="AI48" s="42">
        <v>0</v>
      </c>
      <c r="AJ48" s="42">
        <v>12</v>
      </c>
      <c r="AK48" s="38">
        <f t="shared" si="5"/>
        <v>12</v>
      </c>
      <c r="AL48" s="39">
        <f t="shared" si="3"/>
        <v>0</v>
      </c>
      <c r="AM48" s="39">
        <f t="shared" si="4"/>
        <v>0</v>
      </c>
      <c r="AN48" s="25"/>
      <c r="AO48" s="25" t="str">
        <f>_xlfn.XLOOKUP(F48,'TFS Details'!F:F,'TFS Details'!I:I)</f>
        <v>NGTransformers</v>
      </c>
      <c r="AP48" s="25" t="str">
        <f>_xlfn.XLOOKUP(AO48,'TFS Details'!I:I,'TFS Details'!AE:AE)</f>
        <v>sowjanya.kari</v>
      </c>
    </row>
    <row r="49" spans="1:42">
      <c r="A49" s="24" t="str">
        <f>_xlfn.XLOOKUP(F49,'TFS Details'!F:F,'TFS Details'!D:D)</f>
        <v>PMO</v>
      </c>
      <c r="B49" s="24" t="str">
        <f>_xlfn.XLOOKUP(F49,'TFS Details'!F:F,'TFS Details'!A:A)</f>
        <v>[PMO] URL update for Manage and Dashboard screens</v>
      </c>
      <c r="C49" s="46">
        <f>_xlfn.XLOOKUP(F49,'TFS Details'!F:F,'TFS Details'!E:E)</f>
        <v>4440976</v>
      </c>
      <c r="D49" s="100" t="s">
        <v>15</v>
      </c>
      <c r="E49" s="158" t="s">
        <v>527</v>
      </c>
      <c r="F49" s="164">
        <v>4446593</v>
      </c>
      <c r="G49" s="144" t="s">
        <v>495</v>
      </c>
      <c r="H49" s="162" t="s">
        <v>496</v>
      </c>
      <c r="I49" s="49" t="s">
        <v>130</v>
      </c>
      <c r="J49" s="234" t="s">
        <v>1</v>
      </c>
      <c r="K49" s="66"/>
      <c r="L49" s="23"/>
      <c r="M49" s="66" t="s">
        <v>465</v>
      </c>
      <c r="N49" s="78"/>
      <c r="O49" s="273">
        <v>0.05</v>
      </c>
      <c r="P49" s="102">
        <v>20</v>
      </c>
      <c r="Q49" s="102">
        <v>5</v>
      </c>
      <c r="R49" s="102">
        <v>2</v>
      </c>
      <c r="S49" s="102">
        <v>7</v>
      </c>
      <c r="T49" s="33">
        <v>0.8</v>
      </c>
      <c r="U49" s="33">
        <v>0.4</v>
      </c>
      <c r="V49" s="17" t="s">
        <v>204</v>
      </c>
      <c r="W49" s="17" t="s">
        <v>204</v>
      </c>
      <c r="X49" s="17" t="s">
        <v>204</v>
      </c>
      <c r="Y49" s="17" t="s">
        <v>197</v>
      </c>
      <c r="Z49" s="102">
        <v>11</v>
      </c>
      <c r="AA49" s="102">
        <v>11</v>
      </c>
      <c r="AB49" s="102">
        <v>0</v>
      </c>
      <c r="AC49" s="102">
        <v>11</v>
      </c>
      <c r="AD49" s="33">
        <v>0.95</v>
      </c>
      <c r="AE49" s="33">
        <v>0.95</v>
      </c>
      <c r="AF49" s="25" t="str">
        <f>_xlfn.XLOOKUP(F49,'TFS Details'!F:F,'TFS Details'!H:H)</f>
        <v>New</v>
      </c>
      <c r="AG49" s="42">
        <v>0</v>
      </c>
      <c r="AH49" s="42">
        <v>0</v>
      </c>
      <c r="AI49" s="42">
        <v>0</v>
      </c>
      <c r="AJ49" s="42">
        <v>11</v>
      </c>
      <c r="AK49" s="38">
        <f t="shared" si="5"/>
        <v>11</v>
      </c>
      <c r="AL49" s="39">
        <f t="shared" si="3"/>
        <v>0</v>
      </c>
      <c r="AM49" s="39">
        <f t="shared" si="4"/>
        <v>0</v>
      </c>
      <c r="AN49" s="25"/>
      <c r="AO49" s="25" t="str">
        <f>_xlfn.XLOOKUP(F49,'TFS Details'!F:F,'TFS Details'!I:I)</f>
        <v>TechWarriors</v>
      </c>
      <c r="AP49" s="25" t="str">
        <f>_xlfn.XLOOKUP(AO49,'TFS Details'!I:I,'TFS Details'!AE:AE)</f>
        <v>Supriya.a.dhingra</v>
      </c>
    </row>
    <row r="50" spans="1:42">
      <c r="A50" s="24" t="str">
        <f>_xlfn.XLOOKUP(F50,'TFS Details'!F:F,'TFS Details'!D:D)</f>
        <v>PMO</v>
      </c>
      <c r="B50" s="24" t="str">
        <f>_xlfn.XLOOKUP(F50,'TFS Details'!F:F,'TFS Details'!A:A)</f>
        <v>[PMO] URL update for Manage and Dashboard screens</v>
      </c>
      <c r="C50" s="46">
        <f>_xlfn.XLOOKUP(F50,'TFS Details'!F:F,'TFS Details'!E:E)</f>
        <v>4440976</v>
      </c>
      <c r="D50" s="100" t="s">
        <v>15</v>
      </c>
      <c r="E50" s="15" t="s">
        <v>528</v>
      </c>
      <c r="F50" s="149">
        <v>4446675</v>
      </c>
      <c r="G50" s="144" t="s">
        <v>482</v>
      </c>
      <c r="H50" s="162" t="s">
        <v>483</v>
      </c>
      <c r="I50" s="49" t="s">
        <v>131</v>
      </c>
      <c r="J50" s="234" t="s">
        <v>1</v>
      </c>
      <c r="K50" s="66"/>
      <c r="L50" s="23"/>
      <c r="M50" s="66" t="s">
        <v>465</v>
      </c>
      <c r="N50" s="78"/>
      <c r="O50" s="273">
        <v>0.05</v>
      </c>
      <c r="P50" s="102"/>
      <c r="Q50" s="102"/>
      <c r="R50" s="102"/>
      <c r="S50" s="102"/>
      <c r="V50" s="17" t="s">
        <v>204</v>
      </c>
      <c r="W50" s="17" t="s">
        <v>204</v>
      </c>
      <c r="X50" s="17" t="s">
        <v>197</v>
      </c>
      <c r="Y50" s="17" t="s">
        <v>197</v>
      </c>
      <c r="Z50" s="102"/>
      <c r="AA50" s="102"/>
      <c r="AB50" s="102"/>
      <c r="AC50" s="102"/>
      <c r="AD50" s="33"/>
      <c r="AE50" s="33"/>
      <c r="AF50" s="25" t="str">
        <f>_xlfn.XLOOKUP(F50,'TFS Details'!F:F,'TFS Details'!H:H)</f>
        <v>PT In Test</v>
      </c>
      <c r="AG50" s="42">
        <v>0</v>
      </c>
      <c r="AH50" s="42">
        <v>0</v>
      </c>
      <c r="AI50" s="42">
        <v>0</v>
      </c>
      <c r="AJ50" s="42">
        <v>0</v>
      </c>
      <c r="AK50" s="38">
        <f t="shared" si="5"/>
        <v>0</v>
      </c>
      <c r="AL50" s="39">
        <f t="shared" si="3"/>
        <v>0</v>
      </c>
      <c r="AM50" s="39">
        <f t="shared" si="4"/>
        <v>0</v>
      </c>
      <c r="AN50" s="25"/>
      <c r="AO50" s="25" t="str">
        <f>_xlfn.XLOOKUP(F50,'TFS Details'!F:F,'TFS Details'!I:I)</f>
        <v>CodeCrafters</v>
      </c>
      <c r="AP50" s="25" t="str">
        <f>_xlfn.XLOOKUP(AO50,'TFS Details'!I:I,'TFS Details'!AE:AE)</f>
        <v>sona.job</v>
      </c>
    </row>
    <row r="51" spans="1:42">
      <c r="A51" s="24" t="str">
        <f>_xlfn.XLOOKUP(F51,'TFS Details'!F:F,'TFS Details'!D:D)</f>
        <v>PMO</v>
      </c>
      <c r="B51" s="24" t="str">
        <f>_xlfn.XLOOKUP(F51,'TFS Details'!F:F,'TFS Details'!A:A)</f>
        <v>[PMO] URL update for Manage and Dashboard screens</v>
      </c>
      <c r="C51" s="46">
        <f>_xlfn.XLOOKUP(F51,'TFS Details'!F:F,'TFS Details'!E:E)</f>
        <v>4440976</v>
      </c>
      <c r="D51" s="100" t="s">
        <v>15</v>
      </c>
      <c r="E51" s="151" t="s">
        <v>529</v>
      </c>
      <c r="F51" s="165">
        <v>4447065</v>
      </c>
      <c r="G51" s="144" t="s">
        <v>495</v>
      </c>
      <c r="H51" s="162" t="s">
        <v>496</v>
      </c>
      <c r="I51" s="49" t="s">
        <v>131</v>
      </c>
      <c r="J51" s="234" t="s">
        <v>1</v>
      </c>
      <c r="K51" s="66"/>
      <c r="L51" s="23"/>
      <c r="M51" s="66" t="s">
        <v>465</v>
      </c>
      <c r="N51" s="78"/>
      <c r="O51" s="273">
        <v>0.05</v>
      </c>
      <c r="P51" s="102"/>
      <c r="Q51" s="102"/>
      <c r="R51" s="102"/>
      <c r="S51" s="102"/>
      <c r="V51" s="17" t="s">
        <v>204</v>
      </c>
      <c r="W51" s="17" t="s">
        <v>204</v>
      </c>
      <c r="X51" s="17" t="s">
        <v>204</v>
      </c>
      <c r="Y51" s="17" t="s">
        <v>216</v>
      </c>
      <c r="Z51" s="102">
        <v>20</v>
      </c>
      <c r="AA51" s="102">
        <v>19</v>
      </c>
      <c r="AB51" s="102">
        <v>0</v>
      </c>
      <c r="AC51" s="102">
        <v>19</v>
      </c>
      <c r="AD51" s="33">
        <v>0.95</v>
      </c>
      <c r="AE51" s="33">
        <v>0.95</v>
      </c>
      <c r="AF51" s="25" t="str">
        <f>_xlfn.XLOOKUP(F51,'TFS Details'!F:F,'TFS Details'!H:H)</f>
        <v>PT In Test</v>
      </c>
      <c r="AG51" s="42">
        <v>16</v>
      </c>
      <c r="AH51" s="42">
        <v>0</v>
      </c>
      <c r="AI51" s="42">
        <v>0</v>
      </c>
      <c r="AJ51" s="42">
        <v>3</v>
      </c>
      <c r="AK51" s="38">
        <f t="shared" si="5"/>
        <v>19</v>
      </c>
      <c r="AL51" s="39">
        <f t="shared" si="3"/>
        <v>0.84210526315789469</v>
      </c>
      <c r="AM51" s="39">
        <f t="shared" si="4"/>
        <v>1</v>
      </c>
      <c r="AN51" s="25"/>
      <c r="AO51" s="25" t="str">
        <f>_xlfn.XLOOKUP(F51,'TFS Details'!F:F,'TFS Details'!I:I)</f>
        <v>HustleHub</v>
      </c>
      <c r="AP51" s="25" t="str">
        <f>_xlfn.XLOOKUP(AO51,'TFS Details'!I:I,'TFS Details'!AE:AE)</f>
        <v>pandidurai.ks</v>
      </c>
    </row>
    <row r="52" spans="1:42">
      <c r="A52" s="24" t="str">
        <f>_xlfn.XLOOKUP(F52,'TFS Details'!F:F,'TFS Details'!D:D)</f>
        <v>PMO</v>
      </c>
      <c r="B52" s="24" t="str">
        <f>_xlfn.XLOOKUP(F52,'TFS Details'!F:F,'TFS Details'!A:A)</f>
        <v>[PMO] URL update for Manage and Dashboard screens</v>
      </c>
      <c r="C52" s="46">
        <f>_xlfn.XLOOKUP(F52,'TFS Details'!F:F,'TFS Details'!E:E)</f>
        <v>4440976</v>
      </c>
      <c r="D52" s="100" t="s">
        <v>15</v>
      </c>
      <c r="E52" s="139" t="s">
        <v>530</v>
      </c>
      <c r="F52" s="141">
        <v>4446596</v>
      </c>
      <c r="G52" s="144" t="s">
        <v>457</v>
      </c>
      <c r="H52" s="162" t="s">
        <v>458</v>
      </c>
      <c r="I52" s="49" t="s">
        <v>135</v>
      </c>
      <c r="J52" s="234" t="s">
        <v>1</v>
      </c>
      <c r="K52" s="107"/>
      <c r="L52" s="23"/>
      <c r="M52" s="66" t="s">
        <v>465</v>
      </c>
      <c r="N52" s="78"/>
      <c r="O52" s="273">
        <v>0</v>
      </c>
      <c r="P52" s="102"/>
      <c r="Q52" s="102"/>
      <c r="R52" s="102"/>
      <c r="S52" s="102"/>
      <c r="V52" s="17" t="s">
        <v>204</v>
      </c>
      <c r="W52" s="17" t="s">
        <v>204</v>
      </c>
      <c r="X52" s="17" t="s">
        <v>204</v>
      </c>
      <c r="Y52" s="17" t="s">
        <v>216</v>
      </c>
      <c r="Z52" s="102">
        <v>52</v>
      </c>
      <c r="AA52" s="102">
        <v>20</v>
      </c>
      <c r="AB52" s="102">
        <v>0</v>
      </c>
      <c r="AC52" s="102">
        <v>20</v>
      </c>
      <c r="AD52" s="273">
        <v>0.95</v>
      </c>
      <c r="AE52" s="273">
        <v>0.8</v>
      </c>
      <c r="AF52" s="25" t="str">
        <f>_xlfn.XLOOKUP(F52,'TFS Details'!F:F,'TFS Details'!H:H)</f>
        <v>PT In Test</v>
      </c>
      <c r="AG52" s="42">
        <v>1</v>
      </c>
      <c r="AH52" s="42">
        <v>0</v>
      </c>
      <c r="AI52" s="42">
        <v>0</v>
      </c>
      <c r="AJ52" s="42">
        <v>19</v>
      </c>
      <c r="AK52" s="38">
        <f t="shared" si="5"/>
        <v>20</v>
      </c>
      <c r="AL52" s="39">
        <f t="shared" si="3"/>
        <v>0.05</v>
      </c>
      <c r="AM52" s="39">
        <f t="shared" si="4"/>
        <v>1</v>
      </c>
      <c r="AN52" s="25"/>
      <c r="AO52" s="25" t="str">
        <f>_xlfn.XLOOKUP(F52,'TFS Details'!F:F,'TFS Details'!I:I)</f>
        <v>TechMavericks</v>
      </c>
      <c r="AP52" s="25" t="str">
        <f>_xlfn.XLOOKUP(AO52,'TFS Details'!I:I,'TFS Details'!AE:AE)</f>
        <v>Francis.Deepak</v>
      </c>
    </row>
    <row r="53" spans="1:42">
      <c r="A53" s="24" t="str">
        <f>_xlfn.XLOOKUP(F53,'TFS Details'!F:F,'TFS Details'!D:D)</f>
        <v>Learn</v>
      </c>
      <c r="B53" s="24" t="str">
        <f>_xlfn.XLOOKUP(F53,'TFS Details'!F:F,'TFS Details'!A:A)</f>
        <v>Services - Learn &amp; Launch enhancements</v>
      </c>
      <c r="C53" s="46">
        <f>_xlfn.XLOOKUP(F53,'TFS Details'!F:F,'TFS Details'!E:E)</f>
        <v>4443471</v>
      </c>
      <c r="D53" s="100" t="s">
        <v>15</v>
      </c>
      <c r="E53" s="239" t="s">
        <v>531</v>
      </c>
      <c r="F53" s="141">
        <v>4471400</v>
      </c>
      <c r="G53" s="144" t="s">
        <v>482</v>
      </c>
      <c r="H53" s="162" t="s">
        <v>483</v>
      </c>
      <c r="I53" s="183" t="s">
        <v>131</v>
      </c>
      <c r="J53" s="234" t="s">
        <v>1</v>
      </c>
      <c r="K53" s="107"/>
      <c r="L53" s="23"/>
      <c r="M53" s="66" t="s">
        <v>461</v>
      </c>
      <c r="N53" s="78"/>
      <c r="O53" s="273">
        <v>0.05</v>
      </c>
      <c r="P53" s="102"/>
      <c r="Q53" s="102"/>
      <c r="R53" s="102"/>
      <c r="S53" s="102"/>
      <c r="V53" s="17" t="s">
        <v>204</v>
      </c>
      <c r="W53" s="17" t="s">
        <v>204</v>
      </c>
      <c r="Z53" s="102"/>
      <c r="AA53" s="102"/>
      <c r="AB53" s="102"/>
      <c r="AC53" s="102"/>
      <c r="AD53" s="33"/>
      <c r="AE53" s="33"/>
      <c r="AF53" s="25"/>
      <c r="AG53" s="42"/>
      <c r="AH53" s="42"/>
      <c r="AI53" s="42"/>
      <c r="AJ53" s="42"/>
      <c r="AK53" s="38">
        <f t="shared" ref="AK53:AK79" si="6">SUM(AG53:AJ53)</f>
        <v>0</v>
      </c>
      <c r="AL53" s="39">
        <f>IF(AG53+AH53=0,0,SUM(AG53:AH53)/AK53)</f>
        <v>0</v>
      </c>
      <c r="AM53" s="39">
        <f>IF(AG53=0,0,AG53/(SUM(AG53:AI53)))</f>
        <v>0</v>
      </c>
      <c r="AN53" s="25"/>
      <c r="AO53" s="25"/>
      <c r="AP53" s="25"/>
    </row>
    <row r="54" spans="1:42" ht="36">
      <c r="A54" s="24" t="str">
        <f>_xlfn.XLOOKUP(F54,'TFS Details'!F:F,'TFS Details'!D:D)</f>
        <v>Learn</v>
      </c>
      <c r="B54" s="24" t="str">
        <f>_xlfn.XLOOKUP(F54,'TFS Details'!F:F,'TFS Details'!A:A)</f>
        <v>Services - Learn &amp; Launch enhancements</v>
      </c>
      <c r="C54" s="46">
        <f>_xlfn.XLOOKUP(F54,'TFS Details'!F:F,'TFS Details'!E:E)</f>
        <v>4443471</v>
      </c>
      <c r="D54" s="100" t="s">
        <v>15</v>
      </c>
      <c r="E54" s="184" t="s">
        <v>532</v>
      </c>
      <c r="F54" s="141">
        <v>4450213</v>
      </c>
      <c r="G54" s="144" t="s">
        <v>482</v>
      </c>
      <c r="H54" s="162" t="s">
        <v>483</v>
      </c>
      <c r="I54" s="183" t="s">
        <v>131</v>
      </c>
      <c r="J54" s="234" t="s">
        <v>1</v>
      </c>
      <c r="K54" s="107"/>
      <c r="L54" s="23"/>
      <c r="M54" s="66" t="s">
        <v>461</v>
      </c>
      <c r="N54" s="78"/>
      <c r="O54" s="273">
        <v>0.05</v>
      </c>
      <c r="P54" s="102"/>
      <c r="Q54" s="102"/>
      <c r="R54" s="102"/>
      <c r="S54" s="102"/>
      <c r="V54" s="17" t="s">
        <v>204</v>
      </c>
      <c r="W54" s="17" t="s">
        <v>204</v>
      </c>
      <c r="X54" s="17" t="s">
        <v>197</v>
      </c>
      <c r="Y54" s="17" t="s">
        <v>197</v>
      </c>
      <c r="Z54" s="102"/>
      <c r="AA54" s="102"/>
      <c r="AB54" s="102"/>
      <c r="AC54" s="102"/>
      <c r="AD54" s="33"/>
      <c r="AE54" s="33"/>
      <c r="AF54" s="25" t="str">
        <f>_xlfn.XLOOKUP(F54,'TFS Details'!F:F,'TFS Details'!H:H)</f>
        <v>PT In Test</v>
      </c>
      <c r="AG54" s="42">
        <v>0</v>
      </c>
      <c r="AH54" s="42">
        <v>0</v>
      </c>
      <c r="AI54" s="42">
        <v>0</v>
      </c>
      <c r="AJ54" s="42">
        <v>0</v>
      </c>
      <c r="AK54" s="38">
        <f t="shared" si="6"/>
        <v>0</v>
      </c>
      <c r="AL54" s="39">
        <f>IF(AG54+AH54=0,0,SUM(AG54:AH54)/AK54)</f>
        <v>0</v>
      </c>
      <c r="AM54" s="39">
        <f>IF(AG54=0,0,AG54/(SUM(AG54:AI54)))</f>
        <v>0</v>
      </c>
      <c r="AN54" s="25"/>
      <c r="AO54" s="25" t="str">
        <f>_xlfn.XLOOKUP(F54,'TFS Details'!F:F,'TFS Details'!I:I)</f>
        <v>NGTransformers</v>
      </c>
      <c r="AP54" s="25" t="str">
        <f>_xlfn.XLOOKUP(AO54,'TFS Details'!I:I,'TFS Details'!AE:AE)</f>
        <v>sowjanya.kari</v>
      </c>
    </row>
    <row r="55" spans="1:42">
      <c r="A55" s="24" t="str">
        <f>_xlfn.XLOOKUP(F55,'TFS Details'!F:F,'TFS Details'!D:D)</f>
        <v>Auto-mailers</v>
      </c>
      <c r="B55" s="24" t="str">
        <f>_xlfn.XLOOKUP(F55,'TFS Details'!F:F,'TFS Details'!A:A)</f>
        <v>CDAT PMO_ UI changes and addition of email template</v>
      </c>
      <c r="C55" s="46">
        <f>_xlfn.XLOOKUP(F55,'TFS Details'!F:F,'TFS Details'!E:E)</f>
        <v>4017211</v>
      </c>
      <c r="D55" s="17" t="s">
        <v>70</v>
      </c>
      <c r="E55" s="139" t="s">
        <v>533</v>
      </c>
      <c r="F55" s="72">
        <v>4272036</v>
      </c>
      <c r="G55" s="144" t="s">
        <v>326</v>
      </c>
      <c r="H55" s="162" t="s">
        <v>405</v>
      </c>
      <c r="I55" s="147"/>
      <c r="J55" s="250" t="s">
        <v>18</v>
      </c>
      <c r="K55" s="126" t="s">
        <v>534</v>
      </c>
      <c r="L55" s="66" t="s">
        <v>36</v>
      </c>
      <c r="M55" s="66"/>
      <c r="N55" s="78"/>
      <c r="P55" s="102"/>
      <c r="Q55" s="102"/>
      <c r="R55" s="102"/>
      <c r="S55" s="102"/>
      <c r="V55" s="17" t="s">
        <v>204</v>
      </c>
      <c r="W55" s="17" t="s">
        <v>204</v>
      </c>
      <c r="X55" s="17" t="s">
        <v>216</v>
      </c>
      <c r="Y55" s="17" t="s">
        <v>197</v>
      </c>
      <c r="Z55" s="102">
        <v>25</v>
      </c>
      <c r="AA55" s="102">
        <v>6</v>
      </c>
      <c r="AB55" s="102">
        <v>0</v>
      </c>
      <c r="AC55" s="102">
        <v>6</v>
      </c>
      <c r="AD55" s="33"/>
      <c r="AE55" s="33"/>
      <c r="AF55" s="25" t="str">
        <f>_xlfn.XLOOKUP(F55,'TFS Details'!F:F,'TFS Details'!H:H)</f>
        <v>In Development</v>
      </c>
      <c r="AG55" s="42">
        <v>0</v>
      </c>
      <c r="AH55" s="42">
        <v>0</v>
      </c>
      <c r="AI55" s="42">
        <v>0</v>
      </c>
      <c r="AJ55" s="42">
        <v>10</v>
      </c>
      <c r="AK55" s="260">
        <v>6</v>
      </c>
      <c r="AL55" s="39">
        <f t="shared" ref="AL55:AL94" si="7">IF(AG55+AH55=0,0,SUM(AG55:AH55)/AK55)</f>
        <v>0</v>
      </c>
      <c r="AM55" s="39">
        <f t="shared" ref="AM55:AM94" si="8">IF(AG55=0,0,AG55/(SUM(AG55:AI55)))</f>
        <v>0</v>
      </c>
      <c r="AN55" s="75"/>
      <c r="AO55" s="25" t="str">
        <f>_xlfn.XLOOKUP(F55,'TFS Details'!F:F,'TFS Details'!I:I)</f>
        <v>TechPhantoms</v>
      </c>
      <c r="AP55" s="25" t="str">
        <f>_xlfn.XLOOKUP(AO55,'TFS Details'!I:I,'TFS Details'!AE:AE)</f>
        <v>sowjanya.kari</v>
      </c>
    </row>
    <row r="56" spans="1:42">
      <c r="A56" s="24" t="str">
        <f>_xlfn.XLOOKUP(F56,'TFS Details'!F:F,'TFS Details'!D:D)</f>
        <v>CDAT</v>
      </c>
      <c r="B56" s="24" t="str">
        <f>_xlfn.XLOOKUP(F56,'TFS Details'!F:F,'TFS Details'!A:A)</f>
        <v>BPMS Onboarding to CDAT</v>
      </c>
      <c r="C56" s="46">
        <f>_xlfn.XLOOKUP(F56,'TFS Details'!F:F,'TFS Details'!E:E)</f>
        <v>4459051</v>
      </c>
      <c r="D56" s="17" t="s">
        <v>70</v>
      </c>
      <c r="E56" s="139" t="s">
        <v>409</v>
      </c>
      <c r="F56" s="72">
        <v>4449651</v>
      </c>
      <c r="G56" s="145" t="s">
        <v>535</v>
      </c>
      <c r="H56" s="163" t="s">
        <v>411</v>
      </c>
      <c r="I56" s="147" t="s">
        <v>102</v>
      </c>
      <c r="J56" s="250" t="s">
        <v>1</v>
      </c>
      <c r="K56" s="126"/>
      <c r="L56" s="23" t="s">
        <v>196</v>
      </c>
      <c r="M56" s="66" t="s">
        <v>311</v>
      </c>
      <c r="N56" s="78"/>
      <c r="O56" s="273">
        <v>0.15</v>
      </c>
      <c r="P56" s="102">
        <v>12</v>
      </c>
      <c r="Q56" s="102"/>
      <c r="R56" s="102"/>
      <c r="S56" s="102"/>
      <c r="V56" s="17" t="s">
        <v>204</v>
      </c>
      <c r="W56" s="17" t="s">
        <v>204</v>
      </c>
      <c r="X56" s="17" t="s">
        <v>216</v>
      </c>
      <c r="Y56" s="17" t="s">
        <v>197</v>
      </c>
      <c r="Z56" s="102">
        <v>40</v>
      </c>
      <c r="AA56" s="102">
        <v>9</v>
      </c>
      <c r="AB56" s="102">
        <v>3</v>
      </c>
      <c r="AC56" s="102">
        <v>9</v>
      </c>
      <c r="AD56" s="33"/>
      <c r="AE56" s="33"/>
      <c r="AF56" s="25" t="str">
        <f>_xlfn.XLOOKUP(F56,'TFS Details'!F:F,'TFS Details'!H:H)</f>
        <v>PT In Test</v>
      </c>
      <c r="AG56" s="42">
        <v>0</v>
      </c>
      <c r="AH56" s="42">
        <v>0</v>
      </c>
      <c r="AI56" s="42">
        <v>0</v>
      </c>
      <c r="AJ56" s="42">
        <v>11</v>
      </c>
      <c r="AK56" s="260">
        <v>9</v>
      </c>
      <c r="AL56" s="39">
        <f t="shared" ref="AL56:AL66" si="9">IF(AG56+AH56=0,0,SUM(AG56:AH56)/AK56)</f>
        <v>0</v>
      </c>
      <c r="AM56" s="39">
        <f t="shared" ref="AM56:AM66" si="10">IF(AG56=0,0,AG56/(SUM(AG56:AI56)))</f>
        <v>0</v>
      </c>
      <c r="AN56" s="25"/>
      <c r="AO56" s="25" t="str">
        <f>_xlfn.XLOOKUP(F56,'TFS Details'!F:F,'TFS Details'!I:I)</f>
        <v>TechTribe</v>
      </c>
      <c r="AP56" s="25" t="str">
        <f>_xlfn.XLOOKUP(AO56,'TFS Details'!I:I,'TFS Details'!AE:AE)</f>
        <v>pandidurai.ks</v>
      </c>
    </row>
    <row r="57" spans="1:42">
      <c r="A57" s="24" t="str">
        <f>_xlfn.XLOOKUP(F57,'TFS Details'!F:F,'TFS Details'!D:D)</f>
        <v>CDAT</v>
      </c>
      <c r="B57" s="24" t="str">
        <f>_xlfn.XLOOKUP(F57,'TFS Details'!F:F,'TFS Details'!A:A)</f>
        <v>BPMS Onboarding to CDAT</v>
      </c>
      <c r="C57" s="46">
        <f>_xlfn.XLOOKUP(F57,'TFS Details'!F:F,'TFS Details'!E:E)</f>
        <v>4459051</v>
      </c>
      <c r="D57" s="17" t="s">
        <v>70</v>
      </c>
      <c r="E57" s="139" t="s">
        <v>536</v>
      </c>
      <c r="F57" s="72">
        <v>4450386</v>
      </c>
      <c r="G57" s="145" t="s">
        <v>405</v>
      </c>
      <c r="H57" s="163" t="s">
        <v>410</v>
      </c>
      <c r="I57" s="147"/>
      <c r="J57" s="250" t="s">
        <v>18</v>
      </c>
      <c r="K57" s="126" t="s">
        <v>537</v>
      </c>
      <c r="L57" s="66" t="s">
        <v>36</v>
      </c>
      <c r="M57" s="66"/>
      <c r="N57" s="78"/>
      <c r="P57" s="102"/>
      <c r="Q57" s="102"/>
      <c r="R57" s="102"/>
      <c r="S57" s="102"/>
      <c r="V57" s="17" t="s">
        <v>204</v>
      </c>
      <c r="W57" s="17" t="s">
        <v>204</v>
      </c>
      <c r="X57" s="17" t="s">
        <v>216</v>
      </c>
      <c r="Y57" s="17" t="s">
        <v>197</v>
      </c>
      <c r="Z57" s="102">
        <v>40</v>
      </c>
      <c r="AA57" s="102">
        <v>23</v>
      </c>
      <c r="AB57" s="102">
        <v>0</v>
      </c>
      <c r="AC57" s="102">
        <v>23</v>
      </c>
      <c r="AD57" s="33"/>
      <c r="AE57" s="33"/>
      <c r="AF57" s="25" t="str">
        <f>_xlfn.XLOOKUP(F57,'TFS Details'!F:F,'TFS Details'!H:H)</f>
        <v>Ready for Test</v>
      </c>
      <c r="AG57" s="42">
        <v>0</v>
      </c>
      <c r="AH57" s="42">
        <v>0</v>
      </c>
      <c r="AI57" s="42">
        <v>0</v>
      </c>
      <c r="AJ57" s="42">
        <v>24</v>
      </c>
      <c r="AK57" s="260">
        <v>23</v>
      </c>
      <c r="AL57" s="39">
        <f t="shared" si="9"/>
        <v>0</v>
      </c>
      <c r="AM57" s="39">
        <f t="shared" si="10"/>
        <v>0</v>
      </c>
      <c r="AN57" s="25"/>
      <c r="AO57" s="25" t="str">
        <f>_xlfn.XLOOKUP(F57,'TFS Details'!F:F,'TFS Details'!I:I)</f>
        <v>TechTribe</v>
      </c>
      <c r="AP57" s="25" t="str">
        <f>_xlfn.XLOOKUP(AO57,'TFS Details'!I:I,'TFS Details'!AE:AE)</f>
        <v>pandidurai.ks</v>
      </c>
    </row>
    <row r="58" spans="1:42">
      <c r="A58" s="24" t="str">
        <f>_xlfn.XLOOKUP(F58,'TFS Details'!F:F,'TFS Details'!D:D)</f>
        <v>CDAT</v>
      </c>
      <c r="B58" s="24" t="str">
        <f>_xlfn.XLOOKUP(F58,'TFS Details'!F:F,'TFS Details'!A:A)</f>
        <v>BPMS Onboarding to CDAT</v>
      </c>
      <c r="C58" s="46">
        <f>_xlfn.XLOOKUP(F58,'TFS Details'!F:F,'TFS Details'!E:E)</f>
        <v>4459051</v>
      </c>
      <c r="D58" s="17" t="s">
        <v>70</v>
      </c>
      <c r="E58" s="139" t="s">
        <v>415</v>
      </c>
      <c r="F58" s="72">
        <v>4450388</v>
      </c>
      <c r="G58" s="145" t="s">
        <v>538</v>
      </c>
      <c r="H58" s="163" t="s">
        <v>410</v>
      </c>
      <c r="I58" s="147" t="s">
        <v>96</v>
      </c>
      <c r="J58" s="250" t="s">
        <v>1</v>
      </c>
      <c r="K58" s="126"/>
      <c r="L58" s="23" t="s">
        <v>196</v>
      </c>
      <c r="M58" s="66"/>
      <c r="N58" s="78"/>
      <c r="O58" s="273">
        <v>0.2</v>
      </c>
      <c r="P58" s="102">
        <v>40</v>
      </c>
      <c r="Q58" s="102"/>
      <c r="R58" s="102"/>
      <c r="S58" s="102"/>
      <c r="V58" s="17" t="s">
        <v>204</v>
      </c>
      <c r="W58" s="17" t="s">
        <v>204</v>
      </c>
      <c r="X58" s="17" t="s">
        <v>216</v>
      </c>
      <c r="Y58" s="17" t="s">
        <v>197</v>
      </c>
      <c r="Z58" s="102">
        <v>40</v>
      </c>
      <c r="AA58" s="102">
        <v>40</v>
      </c>
      <c r="AB58" s="102">
        <v>0</v>
      </c>
      <c r="AC58" s="102">
        <v>40</v>
      </c>
      <c r="AD58" s="33"/>
      <c r="AE58" s="33"/>
      <c r="AF58" s="25" t="str">
        <f>_xlfn.XLOOKUP(F58,'TFS Details'!F:F,'TFS Details'!H:H)</f>
        <v>Ready for Test</v>
      </c>
      <c r="AG58" s="42">
        <v>0</v>
      </c>
      <c r="AH58" s="42">
        <v>0</v>
      </c>
      <c r="AI58" s="42">
        <v>0</v>
      </c>
      <c r="AJ58" s="42">
        <v>40</v>
      </c>
      <c r="AK58" s="260">
        <v>40</v>
      </c>
      <c r="AL58" s="39">
        <f t="shared" si="9"/>
        <v>0</v>
      </c>
      <c r="AM58" s="39">
        <f t="shared" si="10"/>
        <v>0</v>
      </c>
      <c r="AN58" s="25"/>
      <c r="AO58" s="25" t="str">
        <f>_xlfn.XLOOKUP(F58,'TFS Details'!F:F,'TFS Details'!I:I)</f>
        <v>TechTribe</v>
      </c>
      <c r="AP58" s="25" t="str">
        <f>_xlfn.XLOOKUP(AO58,'TFS Details'!I:I,'TFS Details'!AE:AE)</f>
        <v>pandidurai.ks</v>
      </c>
    </row>
    <row r="59" spans="1:42">
      <c r="A59" s="24" t="str">
        <f>_xlfn.XLOOKUP(F59,'TFS Details'!F:F,'TFS Details'!D:D)</f>
        <v>CDAT</v>
      </c>
      <c r="B59" s="24" t="str">
        <f>_xlfn.XLOOKUP(F59,'TFS Details'!F:F,'TFS Details'!A:A)</f>
        <v>BPMS Onboarding to CDAT</v>
      </c>
      <c r="C59" s="46">
        <f>_xlfn.XLOOKUP(F59,'TFS Details'!F:F,'TFS Details'!E:E)</f>
        <v>4459051</v>
      </c>
      <c r="D59" s="17" t="s">
        <v>70</v>
      </c>
      <c r="E59" s="139" t="s">
        <v>539</v>
      </c>
      <c r="F59" s="72">
        <v>4450390</v>
      </c>
      <c r="G59" s="145" t="s">
        <v>410</v>
      </c>
      <c r="H59" s="163" t="s">
        <v>411</v>
      </c>
      <c r="I59" s="147" t="s">
        <v>104</v>
      </c>
      <c r="J59" s="250" t="s">
        <v>1</v>
      </c>
      <c r="K59" s="109"/>
      <c r="L59" s="23"/>
      <c r="M59" s="66" t="s">
        <v>311</v>
      </c>
      <c r="N59" s="78">
        <v>15</v>
      </c>
      <c r="O59" s="273">
        <v>0.15</v>
      </c>
      <c r="P59" s="102">
        <v>33</v>
      </c>
      <c r="Q59" s="102">
        <v>15</v>
      </c>
      <c r="R59" s="102">
        <v>1</v>
      </c>
      <c r="S59" s="102">
        <v>15</v>
      </c>
      <c r="V59" s="17" t="s">
        <v>204</v>
      </c>
      <c r="W59" s="17" t="s">
        <v>204</v>
      </c>
      <c r="X59" s="17" t="s">
        <v>216</v>
      </c>
      <c r="Y59" s="17" t="s">
        <v>183</v>
      </c>
      <c r="Z59" s="102">
        <v>75</v>
      </c>
      <c r="AA59" s="102">
        <v>55</v>
      </c>
      <c r="AB59" s="102">
        <v>0</v>
      </c>
      <c r="AC59" s="102">
        <v>55</v>
      </c>
      <c r="AD59" s="33"/>
      <c r="AE59" s="33"/>
      <c r="AF59" s="25" t="str">
        <f>_xlfn.XLOOKUP(F59,'TFS Details'!F:F,'TFS Details'!H:H)</f>
        <v>Ready for Test</v>
      </c>
      <c r="AG59" s="42">
        <v>0</v>
      </c>
      <c r="AH59" s="42">
        <v>0</v>
      </c>
      <c r="AI59" s="42">
        <v>0</v>
      </c>
      <c r="AJ59" s="42">
        <v>53</v>
      </c>
      <c r="AK59" s="260">
        <v>55</v>
      </c>
      <c r="AL59" s="39">
        <f t="shared" si="9"/>
        <v>0</v>
      </c>
      <c r="AM59" s="39">
        <f t="shared" si="10"/>
        <v>0</v>
      </c>
      <c r="AN59" s="25"/>
      <c r="AO59" s="25" t="str">
        <f>_xlfn.XLOOKUP(F59,'TFS Details'!F:F,'TFS Details'!I:I)</f>
        <v>TechTribe</v>
      </c>
      <c r="AP59" s="25" t="str">
        <f>_xlfn.XLOOKUP(AO59,'TFS Details'!I:I,'TFS Details'!AE:AE)</f>
        <v>pandidurai.ks</v>
      </c>
    </row>
    <row r="60" spans="1:42">
      <c r="A60" s="24" t="str">
        <f>_xlfn.XLOOKUP(F60,'TFS Details'!F:F,'TFS Details'!D:D)</f>
        <v xml:space="preserve">CDAT </v>
      </c>
      <c r="B60" s="24" t="str">
        <f>_xlfn.XLOOKUP(F60,'TFS Details'!F:F,'TFS Details'!A:A)</f>
        <v>BPMS Onboarding to CDAT</v>
      </c>
      <c r="C60" s="46">
        <f>_xlfn.XLOOKUP(F60,'TFS Details'!F:F,'TFS Details'!E:E)</f>
        <v>4459051</v>
      </c>
      <c r="D60" s="17" t="s">
        <v>70</v>
      </c>
      <c r="E60" s="139" t="s">
        <v>540</v>
      </c>
      <c r="F60" s="72">
        <v>4392723</v>
      </c>
      <c r="G60" s="145" t="s">
        <v>410</v>
      </c>
      <c r="H60" s="163" t="s">
        <v>411</v>
      </c>
      <c r="I60" s="147"/>
      <c r="J60" s="250" t="s">
        <v>18</v>
      </c>
      <c r="K60" s="109" t="s">
        <v>541</v>
      </c>
      <c r="L60" s="16" t="s">
        <v>45</v>
      </c>
      <c r="M60" s="66"/>
      <c r="N60" s="78"/>
      <c r="P60" s="102"/>
      <c r="Q60" s="102"/>
      <c r="R60" s="102"/>
      <c r="S60" s="102"/>
      <c r="V60" s="17" t="s">
        <v>204</v>
      </c>
      <c r="W60" s="17" t="s">
        <v>204</v>
      </c>
      <c r="X60" s="17" t="s">
        <v>216</v>
      </c>
      <c r="Y60" s="17" t="s">
        <v>183</v>
      </c>
      <c r="Z60" s="102">
        <v>40</v>
      </c>
      <c r="AA60" s="102">
        <v>14</v>
      </c>
      <c r="AB60" s="102">
        <v>0</v>
      </c>
      <c r="AC60" s="102">
        <v>14</v>
      </c>
      <c r="AD60" s="33"/>
      <c r="AE60" s="33"/>
      <c r="AF60" s="25" t="str">
        <f>_xlfn.XLOOKUP(F60,'TFS Details'!F:F,'TFS Details'!H:H)</f>
        <v>Ready for Test</v>
      </c>
      <c r="AG60" s="42">
        <v>0</v>
      </c>
      <c r="AH60" s="42">
        <v>0</v>
      </c>
      <c r="AI60" s="42">
        <v>0</v>
      </c>
      <c r="AJ60" s="42">
        <v>12</v>
      </c>
      <c r="AK60" s="260">
        <v>14</v>
      </c>
      <c r="AL60" s="39">
        <f t="shared" si="9"/>
        <v>0</v>
      </c>
      <c r="AM60" s="39">
        <f t="shared" si="10"/>
        <v>0</v>
      </c>
      <c r="AN60" s="25"/>
      <c r="AO60" s="25" t="str">
        <f>_xlfn.XLOOKUP(F60,'TFS Details'!F:F,'TFS Details'!I:I)</f>
        <v>TechTribe</v>
      </c>
      <c r="AP60" s="25" t="str">
        <f>_xlfn.XLOOKUP(AO60,'TFS Details'!I:I,'TFS Details'!AE:AE)</f>
        <v>pandidurai.ks</v>
      </c>
    </row>
    <row r="61" spans="1:42">
      <c r="A61" s="24" t="str">
        <f>_xlfn.XLOOKUP(F61,'TFS Details'!F:F,'TFS Details'!D:D)</f>
        <v>CDAT</v>
      </c>
      <c r="B61" s="24" t="str">
        <f>_xlfn.XLOOKUP(F61,'TFS Details'!F:F,'TFS Details'!A:A)</f>
        <v>BPMS Onboarding to CDAT</v>
      </c>
      <c r="C61" s="46">
        <f>_xlfn.XLOOKUP(F61,'TFS Details'!F:F,'TFS Details'!E:E)</f>
        <v>4459051</v>
      </c>
      <c r="D61" s="17" t="s">
        <v>70</v>
      </c>
      <c r="E61" s="139" t="s">
        <v>542</v>
      </c>
      <c r="F61" s="72">
        <v>4432326</v>
      </c>
      <c r="G61" s="145" t="s">
        <v>410</v>
      </c>
      <c r="H61" s="163" t="s">
        <v>411</v>
      </c>
      <c r="I61" s="147"/>
      <c r="J61" s="250" t="s">
        <v>18</v>
      </c>
      <c r="K61" s="109" t="s">
        <v>541</v>
      </c>
      <c r="L61" s="234" t="s">
        <v>30</v>
      </c>
      <c r="M61" s="66"/>
      <c r="N61" s="78"/>
      <c r="P61" s="102"/>
      <c r="Q61" s="102"/>
      <c r="R61" s="102"/>
      <c r="S61" s="102"/>
      <c r="V61" s="17" t="s">
        <v>204</v>
      </c>
      <c r="W61" s="17" t="s">
        <v>204</v>
      </c>
      <c r="X61" s="17" t="s">
        <v>216</v>
      </c>
      <c r="Y61" s="17" t="s">
        <v>216</v>
      </c>
      <c r="Z61" s="102">
        <v>70</v>
      </c>
      <c r="AA61" s="102">
        <v>64</v>
      </c>
      <c r="AB61" s="102">
        <v>0</v>
      </c>
      <c r="AC61" s="102">
        <v>64</v>
      </c>
      <c r="AD61" s="33"/>
      <c r="AE61" s="33"/>
      <c r="AF61" s="25" t="str">
        <f>_xlfn.XLOOKUP(F61,'TFS Details'!F:F,'TFS Details'!H:H)</f>
        <v>PT In Test</v>
      </c>
      <c r="AG61" s="42">
        <v>17</v>
      </c>
      <c r="AH61" s="42">
        <v>0</v>
      </c>
      <c r="AI61" s="42">
        <v>0</v>
      </c>
      <c r="AJ61" s="42">
        <v>45</v>
      </c>
      <c r="AK61" s="260">
        <v>64</v>
      </c>
      <c r="AL61" s="39">
        <f t="shared" si="9"/>
        <v>0.265625</v>
      </c>
      <c r="AM61" s="39">
        <f t="shared" si="10"/>
        <v>1</v>
      </c>
      <c r="AN61" s="25"/>
      <c r="AO61" s="25" t="str">
        <f>_xlfn.XLOOKUP(F61,'TFS Details'!F:F,'TFS Details'!I:I)</f>
        <v>Pixel Pioneers</v>
      </c>
      <c r="AP61" s="25" t="str">
        <f>_xlfn.XLOOKUP(AO61,'TFS Details'!I:I,'TFS Details'!AE:AE)</f>
        <v>pandidurai.ks</v>
      </c>
    </row>
    <row r="62" spans="1:42">
      <c r="A62" s="24" t="str">
        <f>_xlfn.XLOOKUP(F62,'TFS Details'!F:F,'TFS Details'!D:D)</f>
        <v>CDAT</v>
      </c>
      <c r="B62" s="24" t="str">
        <f>_xlfn.XLOOKUP(F62,'TFS Details'!F:F,'TFS Details'!A:A)</f>
        <v>BPMS Onboarding to CDAT</v>
      </c>
      <c r="C62" s="46">
        <f>_xlfn.XLOOKUP(F62,'TFS Details'!F:F,'TFS Details'!E:E)</f>
        <v>4459051</v>
      </c>
      <c r="D62" s="17" t="s">
        <v>70</v>
      </c>
      <c r="E62" s="139" t="s">
        <v>425</v>
      </c>
      <c r="F62" s="72">
        <v>4450401</v>
      </c>
      <c r="G62" s="145" t="s">
        <v>535</v>
      </c>
      <c r="H62" s="163" t="s">
        <v>405</v>
      </c>
      <c r="I62" s="147"/>
      <c r="J62" s="250" t="s">
        <v>18</v>
      </c>
      <c r="K62" s="109" t="s">
        <v>541</v>
      </c>
      <c r="L62" s="234" t="s">
        <v>30</v>
      </c>
      <c r="M62" s="66"/>
      <c r="N62" s="78"/>
      <c r="P62" s="102"/>
      <c r="Q62" s="102"/>
      <c r="R62" s="102"/>
      <c r="S62" s="102"/>
      <c r="V62" s="17" t="s">
        <v>204</v>
      </c>
      <c r="W62" s="17" t="s">
        <v>204</v>
      </c>
      <c r="X62" s="17" t="s">
        <v>216</v>
      </c>
      <c r="Y62" s="17" t="s">
        <v>197</v>
      </c>
      <c r="Z62" s="102">
        <v>65</v>
      </c>
      <c r="AA62" s="102">
        <v>33</v>
      </c>
      <c r="AB62" s="102">
        <v>0</v>
      </c>
      <c r="AC62" s="102">
        <v>33</v>
      </c>
      <c r="AD62" s="33"/>
      <c r="AE62" s="33"/>
      <c r="AF62" s="25" t="str">
        <f>_xlfn.XLOOKUP(F62,'TFS Details'!F:F,'TFS Details'!H:H)</f>
        <v>Ready for Test</v>
      </c>
      <c r="AG62" s="42">
        <v>0</v>
      </c>
      <c r="AH62" s="42">
        <v>0</v>
      </c>
      <c r="AI62" s="42">
        <v>0</v>
      </c>
      <c r="AJ62" s="42">
        <v>32</v>
      </c>
      <c r="AK62" s="260">
        <v>33</v>
      </c>
      <c r="AL62" s="39">
        <f t="shared" si="9"/>
        <v>0</v>
      </c>
      <c r="AM62" s="39">
        <f t="shared" si="10"/>
        <v>0</v>
      </c>
      <c r="AN62" s="25"/>
      <c r="AO62" s="25" t="str">
        <f>_xlfn.XLOOKUP(F62,'TFS Details'!F:F,'TFS Details'!I:I)</f>
        <v>TechTribe</v>
      </c>
      <c r="AP62" s="25" t="str">
        <f>_xlfn.XLOOKUP(AO62,'TFS Details'!I:I,'TFS Details'!AE:AE)</f>
        <v>pandidurai.ks</v>
      </c>
    </row>
    <row r="63" spans="1:42">
      <c r="A63" s="24" t="str">
        <f>_xlfn.XLOOKUP(F63,'TFS Details'!F:F,'TFS Details'!D:D)</f>
        <v>CDAT</v>
      </c>
      <c r="B63" s="24" t="str">
        <f>_xlfn.XLOOKUP(F63,'TFS Details'!F:F,'TFS Details'!A:A)</f>
        <v>BPMS Onboarding to CDAT</v>
      </c>
      <c r="C63" s="46">
        <f>_xlfn.XLOOKUP(F63,'TFS Details'!F:F,'TFS Details'!E:E)</f>
        <v>4459051</v>
      </c>
      <c r="D63" s="17" t="s">
        <v>70</v>
      </c>
      <c r="E63" s="139" t="s">
        <v>543</v>
      </c>
      <c r="F63" s="72">
        <v>4450402</v>
      </c>
      <c r="G63" s="145" t="s">
        <v>538</v>
      </c>
      <c r="H63" s="163" t="s">
        <v>410</v>
      </c>
      <c r="I63" s="179" t="s">
        <v>96</v>
      </c>
      <c r="J63" s="234" t="s">
        <v>1</v>
      </c>
      <c r="K63" s="170"/>
      <c r="L63" s="234"/>
      <c r="M63" s="66" t="s">
        <v>461</v>
      </c>
      <c r="N63" s="78"/>
      <c r="O63" s="273">
        <v>0.2</v>
      </c>
      <c r="P63" s="102">
        <v>38</v>
      </c>
      <c r="Q63" s="102"/>
      <c r="R63" s="102"/>
      <c r="S63" s="102"/>
      <c r="V63" s="17" t="s">
        <v>204</v>
      </c>
      <c r="W63" s="17" t="s">
        <v>204</v>
      </c>
      <c r="X63" s="17" t="s">
        <v>216</v>
      </c>
      <c r="Y63" s="17" t="s">
        <v>216</v>
      </c>
      <c r="Z63" s="102">
        <v>76</v>
      </c>
      <c r="AA63" s="102">
        <v>63</v>
      </c>
      <c r="AB63" s="102">
        <v>0</v>
      </c>
      <c r="AC63" s="102">
        <v>63</v>
      </c>
      <c r="AD63" s="33"/>
      <c r="AE63" s="33"/>
      <c r="AF63" s="25" t="str">
        <f>_xlfn.XLOOKUP(F63,'TFS Details'!F:F,'TFS Details'!H:H)</f>
        <v>Ready for Test</v>
      </c>
      <c r="AG63" s="42">
        <v>6</v>
      </c>
      <c r="AH63" s="42">
        <v>0</v>
      </c>
      <c r="AI63" s="42">
        <v>0</v>
      </c>
      <c r="AJ63" s="42">
        <v>57</v>
      </c>
      <c r="AK63" s="260">
        <v>63</v>
      </c>
      <c r="AL63" s="39">
        <f t="shared" si="9"/>
        <v>9.5238095238095233E-2</v>
      </c>
      <c r="AM63" s="39">
        <f t="shared" si="10"/>
        <v>1</v>
      </c>
      <c r="AN63" s="25"/>
      <c r="AO63" s="25" t="str">
        <f>_xlfn.XLOOKUP(F63,'TFS Details'!F:F,'TFS Details'!I:I)</f>
        <v>TechTribe</v>
      </c>
      <c r="AP63" s="25" t="str">
        <f>_xlfn.XLOOKUP(AO63,'TFS Details'!I:I,'TFS Details'!AE:AE)</f>
        <v>pandidurai.ks</v>
      </c>
    </row>
    <row r="64" spans="1:42">
      <c r="A64" s="24" t="str">
        <f>_xlfn.XLOOKUP(F64,'TFS Details'!F:F,'TFS Details'!D:D)</f>
        <v>CDAT</v>
      </c>
      <c r="B64" s="24" t="str">
        <f>_xlfn.XLOOKUP(F64,'TFS Details'!F:F,'TFS Details'!A:A)</f>
        <v>BPMS Onboarding to CDAT</v>
      </c>
      <c r="C64" s="46">
        <f>_xlfn.XLOOKUP(F64,'TFS Details'!F:F,'TFS Details'!E:E)</f>
        <v>4459051</v>
      </c>
      <c r="D64" s="17" t="s">
        <v>70</v>
      </c>
      <c r="E64" s="139" t="s">
        <v>544</v>
      </c>
      <c r="F64" s="72">
        <v>4450405</v>
      </c>
      <c r="G64" s="145" t="s">
        <v>410</v>
      </c>
      <c r="H64" s="163" t="s">
        <v>411</v>
      </c>
      <c r="I64" s="147"/>
      <c r="J64" s="250" t="s">
        <v>18</v>
      </c>
      <c r="K64" s="109" t="s">
        <v>541</v>
      </c>
      <c r="L64" s="234" t="s">
        <v>30</v>
      </c>
      <c r="M64" s="66"/>
      <c r="N64" s="78"/>
      <c r="P64" s="102"/>
      <c r="Q64" s="102"/>
      <c r="R64" s="102"/>
      <c r="S64" s="102"/>
      <c r="V64" s="17" t="s">
        <v>204</v>
      </c>
      <c r="W64" s="17" t="s">
        <v>204</v>
      </c>
      <c r="X64" s="17" t="s">
        <v>216</v>
      </c>
      <c r="Y64" s="17" t="s">
        <v>183</v>
      </c>
      <c r="Z64" s="102">
        <v>60</v>
      </c>
      <c r="AA64" s="102">
        <v>41</v>
      </c>
      <c r="AB64" s="102">
        <v>0</v>
      </c>
      <c r="AC64" s="102">
        <v>41</v>
      </c>
      <c r="AD64" s="33"/>
      <c r="AE64" s="33"/>
      <c r="AF64" s="25" t="str">
        <f>_xlfn.XLOOKUP(F64,'TFS Details'!F:F,'TFS Details'!H:H)</f>
        <v>Ready for Test</v>
      </c>
      <c r="AG64" s="42">
        <v>0</v>
      </c>
      <c r="AH64" s="42">
        <v>0</v>
      </c>
      <c r="AI64" s="42">
        <v>0</v>
      </c>
      <c r="AJ64" s="42">
        <v>40</v>
      </c>
      <c r="AK64" s="260">
        <v>41</v>
      </c>
      <c r="AL64" s="39">
        <f t="shared" si="9"/>
        <v>0</v>
      </c>
      <c r="AM64" s="39">
        <f t="shared" si="10"/>
        <v>0</v>
      </c>
      <c r="AN64" s="25"/>
      <c r="AO64" s="25" t="str">
        <f>_xlfn.XLOOKUP(F64,'TFS Details'!F:F,'TFS Details'!I:I)</f>
        <v>TechTribe</v>
      </c>
      <c r="AP64" s="25" t="str">
        <f>_xlfn.XLOOKUP(AO64,'TFS Details'!I:I,'TFS Details'!AE:AE)</f>
        <v>pandidurai.ks</v>
      </c>
    </row>
    <row r="65" spans="1:42">
      <c r="A65" s="24" t="str">
        <f>_xlfn.XLOOKUP(F65,'TFS Details'!F:F,'TFS Details'!D:D)</f>
        <v>CDAT</v>
      </c>
      <c r="B65" s="24" t="str">
        <f>_xlfn.XLOOKUP(F65,'TFS Details'!F:F,'TFS Details'!A:A)</f>
        <v>BPMS Onboarding to CDAT</v>
      </c>
      <c r="C65" s="46">
        <f>_xlfn.XLOOKUP(F65,'TFS Details'!F:F,'TFS Details'!E:E)</f>
        <v>4459051</v>
      </c>
      <c r="D65" s="17" t="s">
        <v>70</v>
      </c>
      <c r="E65" s="139" t="s">
        <v>545</v>
      </c>
      <c r="F65" s="72">
        <v>4450410</v>
      </c>
      <c r="G65" s="145" t="s">
        <v>538</v>
      </c>
      <c r="H65" s="163" t="s">
        <v>410</v>
      </c>
      <c r="I65" s="147"/>
      <c r="J65" s="250" t="s">
        <v>18</v>
      </c>
      <c r="K65" s="126" t="s">
        <v>537</v>
      </c>
      <c r="L65" s="66" t="s">
        <v>36</v>
      </c>
      <c r="M65" s="66"/>
      <c r="N65" s="78"/>
      <c r="P65" s="102"/>
      <c r="Q65" s="102"/>
      <c r="R65" s="102"/>
      <c r="S65" s="102"/>
      <c r="V65" s="17" t="s">
        <v>204</v>
      </c>
      <c r="W65" s="17" t="s">
        <v>204</v>
      </c>
      <c r="X65" s="17" t="s">
        <v>216</v>
      </c>
      <c r="Y65" s="17" t="s">
        <v>216</v>
      </c>
      <c r="Z65" s="102">
        <v>70</v>
      </c>
      <c r="AA65" s="102">
        <v>68</v>
      </c>
      <c r="AB65" s="102">
        <v>0</v>
      </c>
      <c r="AC65" s="102">
        <v>68</v>
      </c>
      <c r="AD65" s="33"/>
      <c r="AE65" s="33"/>
      <c r="AF65" s="25" t="str">
        <f>_xlfn.XLOOKUP(F65,'TFS Details'!F:F,'TFS Details'!H:H)</f>
        <v>Ready for Test</v>
      </c>
      <c r="AG65" s="42">
        <v>21</v>
      </c>
      <c r="AH65" s="42">
        <v>0</v>
      </c>
      <c r="AI65" s="42">
        <v>0</v>
      </c>
      <c r="AJ65" s="42">
        <v>47</v>
      </c>
      <c r="AK65" s="260">
        <v>68</v>
      </c>
      <c r="AL65" s="39">
        <f t="shared" si="9"/>
        <v>0.30882352941176472</v>
      </c>
      <c r="AM65" s="39">
        <f t="shared" si="10"/>
        <v>1</v>
      </c>
      <c r="AN65" s="25"/>
      <c r="AO65" s="25" t="str">
        <f>_xlfn.XLOOKUP(F65,'TFS Details'!F:F,'TFS Details'!I:I)</f>
        <v>TechTribe</v>
      </c>
      <c r="AP65" s="25" t="str">
        <f>_xlfn.XLOOKUP(AO65,'TFS Details'!I:I,'TFS Details'!AE:AE)</f>
        <v>pandidurai.ks</v>
      </c>
    </row>
    <row r="66" spans="1:42">
      <c r="A66" s="24" t="str">
        <f>_xlfn.XLOOKUP(F66,'TFS Details'!F:F,'TFS Details'!D:D)</f>
        <v>CDAT</v>
      </c>
      <c r="B66" s="24" t="str">
        <f>_xlfn.XLOOKUP(F66,'TFS Details'!F:F,'TFS Details'!A:A)</f>
        <v>BPMS Onboarding to CDAT</v>
      </c>
      <c r="C66" s="46">
        <f>_xlfn.XLOOKUP(F66,'TFS Details'!F:F,'TFS Details'!E:E)</f>
        <v>4459051</v>
      </c>
      <c r="D66" s="17" t="s">
        <v>70</v>
      </c>
      <c r="E66" s="139" t="s">
        <v>546</v>
      </c>
      <c r="F66" s="72">
        <v>4450395</v>
      </c>
      <c r="G66" s="145" t="s">
        <v>535</v>
      </c>
      <c r="H66" s="163" t="s">
        <v>405</v>
      </c>
      <c r="I66" s="147" t="s">
        <v>101</v>
      </c>
      <c r="J66" s="250" t="s">
        <v>1</v>
      </c>
      <c r="K66" s="109"/>
      <c r="L66" s="234" t="s">
        <v>30</v>
      </c>
      <c r="M66" s="66"/>
      <c r="N66" s="78"/>
      <c r="O66" s="273">
        <v>0.15</v>
      </c>
      <c r="P66" s="102">
        <v>44</v>
      </c>
      <c r="Q66" s="102"/>
      <c r="R66" s="102"/>
      <c r="S66" s="102"/>
      <c r="V66" s="17" t="s">
        <v>204</v>
      </c>
      <c r="W66" s="17" t="s">
        <v>204</v>
      </c>
      <c r="X66" s="17" t="s">
        <v>216</v>
      </c>
      <c r="Y66" s="17" t="s">
        <v>197</v>
      </c>
      <c r="Z66" s="102">
        <v>49</v>
      </c>
      <c r="AA66" s="102">
        <v>20</v>
      </c>
      <c r="AB66" s="102">
        <v>0</v>
      </c>
      <c r="AC66" s="102">
        <v>20</v>
      </c>
      <c r="AD66" s="33"/>
      <c r="AE66" s="33"/>
      <c r="AF66" s="25" t="str">
        <f>_xlfn.XLOOKUP(F66,'TFS Details'!F:F,'TFS Details'!H:H)</f>
        <v>Ready for Test</v>
      </c>
      <c r="AG66" s="42">
        <v>0</v>
      </c>
      <c r="AH66" s="42">
        <v>0</v>
      </c>
      <c r="AI66" s="42">
        <v>0</v>
      </c>
      <c r="AJ66" s="42">
        <v>20</v>
      </c>
      <c r="AK66" s="260">
        <v>20</v>
      </c>
      <c r="AL66" s="39">
        <f t="shared" si="9"/>
        <v>0</v>
      </c>
      <c r="AM66" s="39">
        <f t="shared" si="10"/>
        <v>0</v>
      </c>
      <c r="AN66" s="25"/>
      <c r="AO66" s="25" t="str">
        <f>_xlfn.XLOOKUP(F66,'TFS Details'!F:F,'TFS Details'!I:I)</f>
        <v>TechTribe</v>
      </c>
      <c r="AP66" s="25" t="str">
        <f>_xlfn.XLOOKUP(AO66,'TFS Details'!I:I,'TFS Details'!AE:AE)</f>
        <v>pandidurai.ks</v>
      </c>
    </row>
    <row r="67" spans="1:42">
      <c r="A67" s="24" t="str">
        <f>_xlfn.XLOOKUP(F67,'TFS Details'!F:F,'TFS Details'!D:D)</f>
        <v>CDAT</v>
      </c>
      <c r="B67" s="24" t="str">
        <f>_xlfn.XLOOKUP(F67,'TFS Details'!F:F,'TFS Details'!A:A)</f>
        <v>Automailer, Follow-Ups &amp; Escalation Steps</v>
      </c>
      <c r="C67" s="46">
        <f>_xlfn.XLOOKUP(F67,'TFS Details'!F:F,'TFS Details'!E:E)</f>
        <v>4349307</v>
      </c>
      <c r="D67" s="17" t="s">
        <v>70</v>
      </c>
      <c r="E67" s="139" t="s">
        <v>547</v>
      </c>
      <c r="F67" s="72">
        <v>4432443</v>
      </c>
      <c r="G67" s="145" t="s">
        <v>326</v>
      </c>
      <c r="H67" s="163" t="s">
        <v>548</v>
      </c>
      <c r="I67" s="147"/>
      <c r="J67" s="250" t="s">
        <v>18</v>
      </c>
      <c r="K67" s="126" t="s">
        <v>534</v>
      </c>
      <c r="L67" s="66" t="s">
        <v>36</v>
      </c>
      <c r="M67" s="17"/>
      <c r="N67" s="78"/>
      <c r="P67" s="102"/>
      <c r="Q67" s="102"/>
      <c r="R67" s="102"/>
      <c r="S67" s="102"/>
      <c r="V67" s="17" t="s">
        <v>204</v>
      </c>
      <c r="W67" s="17" t="s">
        <v>204</v>
      </c>
      <c r="X67" s="17" t="s">
        <v>216</v>
      </c>
      <c r="Y67" s="17" t="s">
        <v>197</v>
      </c>
      <c r="Z67" s="102">
        <v>38</v>
      </c>
      <c r="AA67" s="102">
        <v>25</v>
      </c>
      <c r="AB67" s="102">
        <v>0</v>
      </c>
      <c r="AC67" s="102">
        <v>25</v>
      </c>
      <c r="AD67" s="33"/>
      <c r="AE67" s="33"/>
      <c r="AF67" s="25" t="str">
        <f>_xlfn.XLOOKUP(F67,'TFS Details'!F:F,'TFS Details'!H:H)</f>
        <v>In Development</v>
      </c>
      <c r="AG67" s="42">
        <v>0</v>
      </c>
      <c r="AH67" s="42">
        <v>0</v>
      </c>
      <c r="AI67" s="42">
        <v>0</v>
      </c>
      <c r="AJ67" s="42">
        <v>53</v>
      </c>
      <c r="AK67" s="260">
        <v>25</v>
      </c>
      <c r="AL67" s="39">
        <f t="shared" si="7"/>
        <v>0</v>
      </c>
      <c r="AM67" s="39">
        <f t="shared" si="8"/>
        <v>0</v>
      </c>
      <c r="AN67" s="25"/>
      <c r="AO67" s="25" t="str">
        <f>_xlfn.XLOOKUP(F67,'TFS Details'!F:F,'TFS Details'!I:I)</f>
        <v>TechPhantoms</v>
      </c>
      <c r="AP67" s="25" t="str">
        <f>_xlfn.XLOOKUP(AO67,'TFS Details'!I:I,'TFS Details'!AE:AE)</f>
        <v>sowjanya.kari</v>
      </c>
    </row>
    <row r="68" spans="1:42">
      <c r="A68" s="24" t="str">
        <f>_xlfn.XLOOKUP(F68,'TFS Details'!F:F,'TFS Details'!D:D)</f>
        <v>CDAT</v>
      </c>
      <c r="B68" s="24" t="str">
        <f>_xlfn.XLOOKUP(F68,'TFS Details'!F:F,'TFS Details'!A:A)</f>
        <v>Automailer, Follow-Ups &amp; Escalation Steps</v>
      </c>
      <c r="C68" s="46">
        <f>_xlfn.XLOOKUP(F68,'TFS Details'!F:F,'TFS Details'!E:E)</f>
        <v>4349307</v>
      </c>
      <c r="D68" s="17" t="s">
        <v>70</v>
      </c>
      <c r="E68" s="139" t="s">
        <v>549</v>
      </c>
      <c r="F68" s="72">
        <v>4436336</v>
      </c>
      <c r="G68" s="145" t="s">
        <v>326</v>
      </c>
      <c r="H68" s="163" t="s">
        <v>548</v>
      </c>
      <c r="I68" s="147"/>
      <c r="J68" s="250" t="s">
        <v>18</v>
      </c>
      <c r="K68" s="126" t="s">
        <v>534</v>
      </c>
      <c r="L68" s="66" t="s">
        <v>36</v>
      </c>
      <c r="M68" s="17"/>
      <c r="N68" s="78"/>
      <c r="P68" s="102"/>
      <c r="Q68" s="102"/>
      <c r="R68" s="102"/>
      <c r="S68" s="102"/>
      <c r="V68" s="17" t="s">
        <v>204</v>
      </c>
      <c r="W68" s="17" t="s">
        <v>204</v>
      </c>
      <c r="X68" s="17" t="s">
        <v>216</v>
      </c>
      <c r="Y68" s="17" t="s">
        <v>197</v>
      </c>
      <c r="Z68" s="102">
        <v>34</v>
      </c>
      <c r="AA68" s="102">
        <v>23</v>
      </c>
      <c r="AB68" s="102">
        <v>0</v>
      </c>
      <c r="AC68" s="102">
        <v>23</v>
      </c>
      <c r="AD68" s="33"/>
      <c r="AE68" s="33"/>
      <c r="AF68" s="25" t="str">
        <f>_xlfn.XLOOKUP(F68,'TFS Details'!F:F,'TFS Details'!H:H)</f>
        <v>In Development</v>
      </c>
      <c r="AG68" s="42">
        <v>0</v>
      </c>
      <c r="AH68" s="42">
        <v>0</v>
      </c>
      <c r="AI68" s="42">
        <v>0</v>
      </c>
      <c r="AJ68" s="42">
        <v>47</v>
      </c>
      <c r="AK68" s="260">
        <v>23</v>
      </c>
      <c r="AL68" s="39">
        <f t="shared" si="7"/>
        <v>0</v>
      </c>
      <c r="AM68" s="39">
        <f t="shared" si="8"/>
        <v>0</v>
      </c>
      <c r="AN68" s="25"/>
      <c r="AO68" s="25" t="str">
        <f>_xlfn.XLOOKUP(F68,'TFS Details'!F:F,'TFS Details'!I:I)</f>
        <v>TechPhantoms</v>
      </c>
      <c r="AP68" s="25" t="str">
        <f>_xlfn.XLOOKUP(AO68,'TFS Details'!I:I,'TFS Details'!AE:AE)</f>
        <v>sowjanya.kari</v>
      </c>
    </row>
    <row r="69" spans="1:42">
      <c r="A69" s="24" t="str">
        <f>_xlfn.XLOOKUP(F69,'TFS Details'!F:F,'TFS Details'!D:D)</f>
        <v>CDAT</v>
      </c>
      <c r="B69" s="24" t="str">
        <f>_xlfn.XLOOKUP(F69,'TFS Details'!F:F,'TFS Details'!A:A)</f>
        <v>Automailer, Follow-Ups &amp; Escalation Steps</v>
      </c>
      <c r="C69" s="46">
        <f>_xlfn.XLOOKUP(F69,'TFS Details'!F:F,'TFS Details'!E:E)</f>
        <v>4349307</v>
      </c>
      <c r="D69" s="17" t="s">
        <v>70</v>
      </c>
      <c r="E69" s="139" t="s">
        <v>550</v>
      </c>
      <c r="F69" s="72">
        <v>4437632</v>
      </c>
      <c r="G69" s="145" t="s">
        <v>326</v>
      </c>
      <c r="H69" s="163" t="s">
        <v>405</v>
      </c>
      <c r="I69" s="147"/>
      <c r="J69" s="250" t="s">
        <v>18</v>
      </c>
      <c r="K69" s="126" t="s">
        <v>534</v>
      </c>
      <c r="L69" s="66" t="s">
        <v>36</v>
      </c>
      <c r="M69" s="17"/>
      <c r="N69" s="78"/>
      <c r="P69" s="102"/>
      <c r="Q69" s="102"/>
      <c r="R69" s="102"/>
      <c r="S69" s="102"/>
      <c r="V69" s="17" t="s">
        <v>204</v>
      </c>
      <c r="W69" s="17" t="s">
        <v>204</v>
      </c>
      <c r="X69" s="17" t="s">
        <v>216</v>
      </c>
      <c r="Y69" s="17" t="s">
        <v>197</v>
      </c>
      <c r="Z69" s="102">
        <v>42</v>
      </c>
      <c r="AA69" s="102">
        <v>41</v>
      </c>
      <c r="AB69" s="102">
        <v>0</v>
      </c>
      <c r="AC69" s="102">
        <v>41</v>
      </c>
      <c r="AD69" s="77"/>
      <c r="AE69" s="77"/>
      <c r="AF69" s="25" t="str">
        <f>_xlfn.XLOOKUP(F69,'TFS Details'!F:F,'TFS Details'!H:H)</f>
        <v>In Development</v>
      </c>
      <c r="AG69" s="42">
        <v>0</v>
      </c>
      <c r="AH69" s="42">
        <v>0</v>
      </c>
      <c r="AI69" s="42">
        <v>0</v>
      </c>
      <c r="AJ69" s="42">
        <v>41</v>
      </c>
      <c r="AK69" s="260">
        <v>41</v>
      </c>
      <c r="AL69" s="39">
        <f t="shared" si="7"/>
        <v>0</v>
      </c>
      <c r="AM69" s="39">
        <f t="shared" si="8"/>
        <v>0</v>
      </c>
      <c r="AN69" s="25"/>
      <c r="AO69" s="25" t="str">
        <f>_xlfn.XLOOKUP(F69,'TFS Details'!F:F,'TFS Details'!I:I)</f>
        <v>TechPhantoms</v>
      </c>
      <c r="AP69" s="25" t="str">
        <f>_xlfn.XLOOKUP(AO69,'TFS Details'!I:I,'TFS Details'!AE:AE)</f>
        <v>sowjanya.kari</v>
      </c>
    </row>
    <row r="70" spans="1:42">
      <c r="A70" s="24" t="str">
        <f>_xlfn.XLOOKUP(F70,'TFS Details'!F:F,'TFS Details'!D:D)</f>
        <v>CDAT</v>
      </c>
      <c r="B70" s="24" t="str">
        <f>_xlfn.XLOOKUP(F70,'TFS Details'!F:F,'TFS Details'!A:A)</f>
        <v>Automailer, Follow-Ups &amp; Escalation Steps</v>
      </c>
      <c r="C70" s="46">
        <f>_xlfn.XLOOKUP(F70,'TFS Details'!F:F,'TFS Details'!E:E)</f>
        <v>4349307</v>
      </c>
      <c r="D70" s="17" t="s">
        <v>70</v>
      </c>
      <c r="E70" s="139" t="s">
        <v>551</v>
      </c>
      <c r="F70" s="72">
        <v>4443793</v>
      </c>
      <c r="G70" s="145" t="s">
        <v>326</v>
      </c>
      <c r="H70" s="163" t="s">
        <v>405</v>
      </c>
      <c r="I70" s="147"/>
      <c r="J70" s="250" t="s">
        <v>18</v>
      </c>
      <c r="K70" s="126" t="s">
        <v>534</v>
      </c>
      <c r="L70" s="66" t="s">
        <v>36</v>
      </c>
      <c r="M70" s="66"/>
      <c r="N70" s="78"/>
      <c r="P70" s="102"/>
      <c r="Q70" s="102"/>
      <c r="R70" s="102"/>
      <c r="S70" s="102"/>
      <c r="V70" s="17" t="s">
        <v>204</v>
      </c>
      <c r="W70" s="17" t="s">
        <v>204</v>
      </c>
      <c r="X70" s="17" t="s">
        <v>216</v>
      </c>
      <c r="Y70" s="17" t="s">
        <v>197</v>
      </c>
      <c r="Z70" s="102">
        <v>57</v>
      </c>
      <c r="AA70" s="102">
        <v>57</v>
      </c>
      <c r="AB70" s="102">
        <v>0</v>
      </c>
      <c r="AC70" s="102">
        <v>57</v>
      </c>
      <c r="AD70" s="33"/>
      <c r="AE70" s="33"/>
      <c r="AF70" s="25" t="str">
        <f>_xlfn.XLOOKUP(F70,'TFS Details'!F:F,'TFS Details'!H:H)</f>
        <v>In Development</v>
      </c>
      <c r="AG70" s="42">
        <v>0</v>
      </c>
      <c r="AH70" s="42">
        <v>0</v>
      </c>
      <c r="AI70" s="42">
        <v>0</v>
      </c>
      <c r="AJ70" s="42">
        <v>57</v>
      </c>
      <c r="AK70" s="260">
        <v>57</v>
      </c>
      <c r="AL70" s="39">
        <f t="shared" si="7"/>
        <v>0</v>
      </c>
      <c r="AM70" s="39">
        <f t="shared" si="8"/>
        <v>0</v>
      </c>
      <c r="AN70" s="25"/>
      <c r="AO70" s="25" t="str">
        <f>_xlfn.XLOOKUP(F70,'TFS Details'!F:F,'TFS Details'!I:I)</f>
        <v>TechPhantoms</v>
      </c>
      <c r="AP70" s="25" t="str">
        <f>_xlfn.XLOOKUP(AO70,'TFS Details'!I:I,'TFS Details'!AE:AE)</f>
        <v>sowjanya.kari</v>
      </c>
    </row>
    <row r="71" spans="1:42">
      <c r="A71" s="24" t="str">
        <f>_xlfn.XLOOKUP(F71,'TFS Details'!F:F,'TFS Details'!D:D)</f>
        <v>CDAT</v>
      </c>
      <c r="B71" s="24" t="str">
        <f>_xlfn.XLOOKUP(F71,'TFS Details'!F:F,'TFS Details'!A:A)</f>
        <v>Automailer, Follow-Ups &amp; Escalation Steps</v>
      </c>
      <c r="C71" s="46">
        <f>_xlfn.XLOOKUP(F71,'TFS Details'!F:F,'TFS Details'!E:E)</f>
        <v>4349307</v>
      </c>
      <c r="D71" s="17" t="s">
        <v>70</v>
      </c>
      <c r="E71" s="139" t="s">
        <v>552</v>
      </c>
      <c r="F71" s="72">
        <v>4443800</v>
      </c>
      <c r="G71" s="145" t="s">
        <v>405</v>
      </c>
      <c r="H71" s="163" t="s">
        <v>326</v>
      </c>
      <c r="I71" s="126"/>
      <c r="J71" s="250" t="s">
        <v>18</v>
      </c>
      <c r="K71" s="126" t="s">
        <v>534</v>
      </c>
      <c r="L71" s="66" t="s">
        <v>36</v>
      </c>
      <c r="M71" s="17"/>
      <c r="N71" s="78"/>
      <c r="P71" s="102"/>
      <c r="Q71" s="102"/>
      <c r="R71" s="102"/>
      <c r="S71" s="102"/>
      <c r="V71" s="17" t="s">
        <v>204</v>
      </c>
      <c r="W71" s="17" t="s">
        <v>204</v>
      </c>
      <c r="X71" s="17" t="s">
        <v>216</v>
      </c>
      <c r="Y71" s="17" t="s">
        <v>197</v>
      </c>
      <c r="Z71" s="102">
        <v>50</v>
      </c>
      <c r="AA71" s="102">
        <v>31</v>
      </c>
      <c r="AB71" s="102">
        <v>0</v>
      </c>
      <c r="AC71" s="102">
        <v>31</v>
      </c>
      <c r="AD71" s="33"/>
      <c r="AE71" s="33"/>
      <c r="AF71" s="25" t="str">
        <f>_xlfn.XLOOKUP(F71,'TFS Details'!F:F,'TFS Details'!H:H)</f>
        <v>In Development</v>
      </c>
      <c r="AG71" s="42">
        <v>0</v>
      </c>
      <c r="AH71" s="42">
        <v>0</v>
      </c>
      <c r="AI71" s="42">
        <v>0</v>
      </c>
      <c r="AJ71" s="42">
        <v>25</v>
      </c>
      <c r="AK71" s="260">
        <v>31</v>
      </c>
      <c r="AL71" s="39">
        <f t="shared" si="7"/>
        <v>0</v>
      </c>
      <c r="AM71" s="39">
        <f t="shared" si="8"/>
        <v>0</v>
      </c>
      <c r="AN71" s="25"/>
      <c r="AO71" s="25" t="str">
        <f>_xlfn.XLOOKUP(F71,'TFS Details'!F:F,'TFS Details'!I:I)</f>
        <v>TechPhantoms</v>
      </c>
      <c r="AP71" s="25" t="str">
        <f>_xlfn.XLOOKUP(AO71,'TFS Details'!I:I,'TFS Details'!AE:AE)</f>
        <v>sowjanya.kari</v>
      </c>
    </row>
    <row r="72" spans="1:42">
      <c r="A72" s="24" t="str">
        <f>_xlfn.XLOOKUP(F72,'TFS Details'!F:F,'TFS Details'!D:D)</f>
        <v>CDAT</v>
      </c>
      <c r="B72" s="24" t="str">
        <f>_xlfn.XLOOKUP(F72,'TFS Details'!F:F,'TFS Details'!A:A)</f>
        <v>Automailer, Follow-Ups &amp; Escalation Steps</v>
      </c>
      <c r="C72" s="46">
        <f>_xlfn.XLOOKUP(F72,'TFS Details'!F:F,'TFS Details'!E:E)</f>
        <v>4349307</v>
      </c>
      <c r="D72" s="17" t="s">
        <v>70</v>
      </c>
      <c r="E72" s="139" t="s">
        <v>553</v>
      </c>
      <c r="F72" s="72">
        <v>4444184</v>
      </c>
      <c r="G72" s="145" t="s">
        <v>405</v>
      </c>
      <c r="H72" s="163" t="s">
        <v>326</v>
      </c>
      <c r="I72" s="147"/>
      <c r="J72" s="250" t="s">
        <v>18</v>
      </c>
      <c r="K72" s="126" t="s">
        <v>534</v>
      </c>
      <c r="L72" s="66" t="s">
        <v>36</v>
      </c>
      <c r="M72" s="17"/>
      <c r="N72" s="78"/>
      <c r="P72" s="102"/>
      <c r="Q72" s="102"/>
      <c r="R72" s="102"/>
      <c r="S72" s="102"/>
      <c r="V72" s="17" t="s">
        <v>204</v>
      </c>
      <c r="W72" s="17" t="s">
        <v>204</v>
      </c>
      <c r="X72" s="17" t="s">
        <v>216</v>
      </c>
      <c r="Y72" s="17" t="s">
        <v>197</v>
      </c>
      <c r="Z72" s="102">
        <v>39</v>
      </c>
      <c r="AA72" s="102">
        <v>32</v>
      </c>
      <c r="AB72" s="102">
        <v>0</v>
      </c>
      <c r="AC72" s="102">
        <v>32</v>
      </c>
      <c r="AD72" s="33"/>
      <c r="AE72" s="33"/>
      <c r="AF72" s="25" t="str">
        <f>_xlfn.XLOOKUP(F72,'TFS Details'!F:F,'TFS Details'!H:H)</f>
        <v>In Development</v>
      </c>
      <c r="AG72" s="42">
        <v>0</v>
      </c>
      <c r="AH72" s="42">
        <v>0</v>
      </c>
      <c r="AI72" s="42">
        <v>0</v>
      </c>
      <c r="AJ72" s="42">
        <v>32</v>
      </c>
      <c r="AK72" s="260">
        <v>32</v>
      </c>
      <c r="AL72" s="39">
        <f t="shared" si="7"/>
        <v>0</v>
      </c>
      <c r="AM72" s="39">
        <f t="shared" si="8"/>
        <v>0</v>
      </c>
      <c r="AN72" s="25"/>
      <c r="AO72" s="25" t="str">
        <f>_xlfn.XLOOKUP(F72,'TFS Details'!F:F,'TFS Details'!I:I)</f>
        <v>TechPhantoms</v>
      </c>
      <c r="AP72" s="25" t="str">
        <f>_xlfn.XLOOKUP(AO72,'TFS Details'!I:I,'TFS Details'!AE:AE)</f>
        <v>sowjanya.kari</v>
      </c>
    </row>
    <row r="73" spans="1:42">
      <c r="A73" s="24" t="str">
        <f>_xlfn.XLOOKUP(F73,'TFS Details'!F:F,'TFS Details'!D:D)</f>
        <v>CDAT Auto-mailers</v>
      </c>
      <c r="B73" s="24" t="str">
        <f>_xlfn.XLOOKUP(F73,'TFS Details'!F:F,'TFS Details'!A:A)</f>
        <v>Automailer, Follow-Ups &amp; Escalation Steps</v>
      </c>
      <c r="C73" s="46">
        <f>_xlfn.XLOOKUP(F73,'TFS Details'!F:F,'TFS Details'!E:E)</f>
        <v>4349307</v>
      </c>
      <c r="D73" s="17" t="s">
        <v>70</v>
      </c>
      <c r="E73" s="139" t="s">
        <v>554</v>
      </c>
      <c r="F73" s="72">
        <v>4392686</v>
      </c>
      <c r="G73" s="145" t="s">
        <v>405</v>
      </c>
      <c r="H73" s="163" t="s">
        <v>326</v>
      </c>
      <c r="I73" s="147"/>
      <c r="J73" s="250" t="s">
        <v>18</v>
      </c>
      <c r="K73" s="126" t="s">
        <v>534</v>
      </c>
      <c r="L73" s="66" t="s">
        <v>36</v>
      </c>
      <c r="M73" s="17"/>
      <c r="N73" s="78"/>
      <c r="P73" s="102"/>
      <c r="Q73" s="102"/>
      <c r="R73" s="102"/>
      <c r="S73" s="102"/>
      <c r="V73" s="17" t="s">
        <v>204</v>
      </c>
      <c r="W73" s="17" t="s">
        <v>204</v>
      </c>
      <c r="X73" s="17" t="s">
        <v>216</v>
      </c>
      <c r="Y73" s="17" t="s">
        <v>197</v>
      </c>
      <c r="Z73" s="102">
        <v>44</v>
      </c>
      <c r="AA73" s="102">
        <v>42</v>
      </c>
      <c r="AB73" s="102">
        <v>0</v>
      </c>
      <c r="AC73" s="102">
        <v>42</v>
      </c>
      <c r="AD73" s="33"/>
      <c r="AE73" s="33"/>
      <c r="AF73" s="25" t="str">
        <f>_xlfn.XLOOKUP(F73,'TFS Details'!F:F,'TFS Details'!H:H)</f>
        <v>In Development</v>
      </c>
      <c r="AG73" s="42">
        <v>0</v>
      </c>
      <c r="AH73" s="42">
        <v>0</v>
      </c>
      <c r="AI73" s="42">
        <v>0</v>
      </c>
      <c r="AJ73" s="42">
        <v>33</v>
      </c>
      <c r="AK73" s="260">
        <v>42</v>
      </c>
      <c r="AL73" s="39">
        <f t="shared" si="7"/>
        <v>0</v>
      </c>
      <c r="AM73" s="39">
        <f t="shared" si="8"/>
        <v>0</v>
      </c>
      <c r="AN73" s="25"/>
      <c r="AO73" s="25" t="str">
        <f>_xlfn.XLOOKUP(F73,'TFS Details'!F:F,'TFS Details'!I:I)</f>
        <v>TechPhantoms</v>
      </c>
      <c r="AP73" s="25" t="str">
        <f>_xlfn.XLOOKUP(AO73,'TFS Details'!I:I,'TFS Details'!AE:AE)</f>
        <v>sowjanya.kari</v>
      </c>
    </row>
    <row r="74" spans="1:42">
      <c r="A74" s="24" t="str">
        <f>_xlfn.XLOOKUP(F74,'TFS Details'!F:F,'TFS Details'!D:D)</f>
        <v>CDAT Auto-mailers</v>
      </c>
      <c r="B74" s="24" t="str">
        <f>_xlfn.XLOOKUP(F74,'TFS Details'!F:F,'TFS Details'!A:A)</f>
        <v>Automailer, Follow-Ups &amp; Escalation Steps</v>
      </c>
      <c r="C74" s="46">
        <f>_xlfn.XLOOKUP(F74,'TFS Details'!F:F,'TFS Details'!E:E)</f>
        <v>4349307</v>
      </c>
      <c r="D74" s="17" t="s">
        <v>70</v>
      </c>
      <c r="E74" s="139" t="s">
        <v>555</v>
      </c>
      <c r="F74" s="72">
        <v>4392687</v>
      </c>
      <c r="G74" s="145" t="s">
        <v>405</v>
      </c>
      <c r="H74" s="163" t="s">
        <v>326</v>
      </c>
      <c r="I74" s="147"/>
      <c r="J74" s="250" t="s">
        <v>18</v>
      </c>
      <c r="K74" s="126" t="s">
        <v>534</v>
      </c>
      <c r="L74" s="66" t="s">
        <v>36</v>
      </c>
      <c r="M74" s="51"/>
      <c r="N74" s="110"/>
      <c r="O74" s="64"/>
      <c r="P74" s="102"/>
      <c r="Q74" s="102"/>
      <c r="R74" s="102"/>
      <c r="S74" s="102"/>
      <c r="T74" s="64"/>
      <c r="U74" s="64"/>
      <c r="V74" s="17" t="s">
        <v>204</v>
      </c>
      <c r="W74" s="17" t="s">
        <v>204</v>
      </c>
      <c r="X74" s="17" t="s">
        <v>216</v>
      </c>
      <c r="Y74" s="17" t="s">
        <v>197</v>
      </c>
      <c r="Z74" s="102">
        <v>34</v>
      </c>
      <c r="AA74" s="102">
        <v>23</v>
      </c>
      <c r="AB74" s="102">
        <v>0</v>
      </c>
      <c r="AC74" s="102">
        <v>23</v>
      </c>
      <c r="AD74" s="64"/>
      <c r="AE74" s="64"/>
      <c r="AF74" s="25" t="str">
        <f>_xlfn.XLOOKUP(F74,'TFS Details'!F:F,'TFS Details'!H:H)</f>
        <v>In Development</v>
      </c>
      <c r="AG74" s="42">
        <v>0</v>
      </c>
      <c r="AH74" s="42">
        <v>0</v>
      </c>
      <c r="AI74" s="42">
        <v>0</v>
      </c>
      <c r="AJ74" s="42">
        <v>24</v>
      </c>
      <c r="AK74" s="260">
        <v>23</v>
      </c>
      <c r="AL74" s="39">
        <f t="shared" si="7"/>
        <v>0</v>
      </c>
      <c r="AM74" s="39">
        <f t="shared" si="8"/>
        <v>0</v>
      </c>
      <c r="AN74" s="25"/>
      <c r="AO74" s="25" t="str">
        <f>_xlfn.XLOOKUP(F74,'TFS Details'!F:F,'TFS Details'!I:I)</f>
        <v>TechPhantoms</v>
      </c>
      <c r="AP74" s="25" t="str">
        <f>_xlfn.XLOOKUP(AO74,'TFS Details'!I:I,'TFS Details'!AE:AE)</f>
        <v>sowjanya.kari</v>
      </c>
    </row>
    <row r="75" spans="1:42">
      <c r="A75" s="24" t="str">
        <f>_xlfn.XLOOKUP(F75,'TFS Details'!F:F,'TFS Details'!D:D)</f>
        <v xml:space="preserve">CDAT </v>
      </c>
      <c r="B75" s="24" t="str">
        <f>_xlfn.XLOOKUP(F75,'TFS Details'!F:F,'TFS Details'!A:A)</f>
        <v>CDAT Enhancements</v>
      </c>
      <c r="C75" s="46">
        <f>_xlfn.XLOOKUP(F75,'TFS Details'!F:F,'TFS Details'!E:E)</f>
        <v>4392317</v>
      </c>
      <c r="D75" s="17" t="s">
        <v>70</v>
      </c>
      <c r="E75" s="139" t="s">
        <v>556</v>
      </c>
      <c r="F75" s="72">
        <v>4349320</v>
      </c>
      <c r="G75" s="145" t="s">
        <v>535</v>
      </c>
      <c r="H75" s="163" t="s">
        <v>411</v>
      </c>
      <c r="I75" s="147"/>
      <c r="J75" s="250" t="s">
        <v>18</v>
      </c>
      <c r="K75" s="109" t="s">
        <v>541</v>
      </c>
      <c r="L75" s="234" t="s">
        <v>45</v>
      </c>
      <c r="M75" s="17"/>
      <c r="N75" s="78"/>
      <c r="P75" s="102"/>
      <c r="Q75" s="102"/>
      <c r="R75" s="102"/>
      <c r="S75" s="102"/>
      <c r="V75" s="17" t="s">
        <v>204</v>
      </c>
      <c r="W75" s="17" t="s">
        <v>204</v>
      </c>
      <c r="X75" s="17" t="s">
        <v>216</v>
      </c>
      <c r="Y75" s="17" t="s">
        <v>197</v>
      </c>
      <c r="Z75" s="102">
        <v>38</v>
      </c>
      <c r="AA75" s="102">
        <v>35</v>
      </c>
      <c r="AB75" s="102">
        <v>0</v>
      </c>
      <c r="AC75" s="102">
        <v>35</v>
      </c>
      <c r="AD75" s="33"/>
      <c r="AE75" s="33"/>
      <c r="AF75" s="25" t="str">
        <f>_xlfn.XLOOKUP(F75,'TFS Details'!F:F,'TFS Details'!H:H)</f>
        <v>Active</v>
      </c>
      <c r="AG75" s="42">
        <v>0</v>
      </c>
      <c r="AH75" s="42">
        <v>0</v>
      </c>
      <c r="AI75" s="42">
        <v>0</v>
      </c>
      <c r="AJ75" s="42">
        <v>21</v>
      </c>
      <c r="AK75" s="260">
        <v>35</v>
      </c>
      <c r="AL75" s="39">
        <f t="shared" si="7"/>
        <v>0</v>
      </c>
      <c r="AM75" s="39">
        <f t="shared" si="8"/>
        <v>0</v>
      </c>
      <c r="AN75" s="25"/>
      <c r="AO75" s="25" t="str">
        <f>_xlfn.XLOOKUP(F75,'TFS Details'!F:F,'TFS Details'!I:I)</f>
        <v>TechWarriors</v>
      </c>
      <c r="AP75" s="25" t="str">
        <f>_xlfn.XLOOKUP(AO75,'TFS Details'!I:I,'TFS Details'!AE:AE)</f>
        <v>Supriya.a.dhingra</v>
      </c>
    </row>
    <row r="76" spans="1:42">
      <c r="A76" s="24" t="str">
        <f>_xlfn.XLOOKUP(F76,'TFS Details'!F:F,'TFS Details'!D:D)</f>
        <v>CDAT</v>
      </c>
      <c r="B76" s="24" t="str">
        <f>_xlfn.XLOOKUP(F76,'TFS Details'!F:F,'TFS Details'!A:A)</f>
        <v>BPMS Onboarding to CDAT</v>
      </c>
      <c r="C76" s="46">
        <f>_xlfn.XLOOKUP(F76,'TFS Details'!F:F,'TFS Details'!E:E)</f>
        <v>4459051</v>
      </c>
      <c r="D76" s="17" t="s">
        <v>70</v>
      </c>
      <c r="E76" s="139" t="s">
        <v>557</v>
      </c>
      <c r="F76" s="72">
        <v>4450391</v>
      </c>
      <c r="G76" s="145" t="s">
        <v>410</v>
      </c>
      <c r="H76" s="163" t="s">
        <v>411</v>
      </c>
      <c r="I76" s="49"/>
      <c r="J76" s="250" t="s">
        <v>18</v>
      </c>
      <c r="K76" s="126" t="s">
        <v>537</v>
      </c>
      <c r="L76" s="234" t="s">
        <v>36</v>
      </c>
      <c r="M76" s="17"/>
      <c r="N76" s="78"/>
      <c r="P76" s="102"/>
      <c r="Q76" s="102"/>
      <c r="R76" s="102"/>
      <c r="S76" s="102"/>
      <c r="V76" s="17" t="s">
        <v>204</v>
      </c>
      <c r="W76" s="17" t="s">
        <v>204</v>
      </c>
      <c r="X76" s="17" t="s">
        <v>216</v>
      </c>
      <c r="Y76" s="17" t="s">
        <v>183</v>
      </c>
      <c r="Z76" s="102">
        <v>68</v>
      </c>
      <c r="AA76" s="102">
        <v>51</v>
      </c>
      <c r="AB76" s="102">
        <v>0</v>
      </c>
      <c r="AC76" s="102">
        <v>51</v>
      </c>
      <c r="AD76" s="33"/>
      <c r="AE76" s="33"/>
      <c r="AF76" s="25" t="str">
        <f>_xlfn.XLOOKUP(F76,'TFS Details'!F:F,'TFS Details'!H:H)</f>
        <v>Ready for Test</v>
      </c>
      <c r="AG76" s="42">
        <v>0</v>
      </c>
      <c r="AH76" s="42">
        <v>0</v>
      </c>
      <c r="AI76" s="42">
        <v>0</v>
      </c>
      <c r="AJ76" s="42">
        <v>51</v>
      </c>
      <c r="AK76" s="260">
        <v>51</v>
      </c>
      <c r="AL76" s="39">
        <f t="shared" si="7"/>
        <v>0</v>
      </c>
      <c r="AM76" s="39">
        <f t="shared" si="8"/>
        <v>0</v>
      </c>
      <c r="AN76" s="75"/>
      <c r="AO76" s="25" t="str">
        <f>_xlfn.XLOOKUP(F76,'TFS Details'!F:F,'TFS Details'!I:I)</f>
        <v>TechTribe</v>
      </c>
      <c r="AP76" s="25" t="str">
        <f>_xlfn.XLOOKUP(AO76,'TFS Details'!I:I,'TFS Details'!AE:AE)</f>
        <v>pandidurai.ks</v>
      </c>
    </row>
    <row r="77" spans="1:42">
      <c r="A77" s="24" t="str">
        <f>_xlfn.XLOOKUP(F77,'TFS Details'!F:F,'TFS Details'!D:D)</f>
        <v>CDAT</v>
      </c>
      <c r="B77" s="24" t="str">
        <f>_xlfn.XLOOKUP(F77,'TFS Details'!F:F,'TFS Details'!A:A)</f>
        <v>BPMS Onboarding to CDAT</v>
      </c>
      <c r="C77" s="46">
        <f>_xlfn.XLOOKUP(F77,'TFS Details'!F:F,'TFS Details'!E:E)</f>
        <v>4459051</v>
      </c>
      <c r="D77" s="17" t="s">
        <v>70</v>
      </c>
      <c r="E77" s="139" t="s">
        <v>452</v>
      </c>
      <c r="F77" s="72">
        <v>4448602</v>
      </c>
      <c r="G77" s="145" t="s">
        <v>326</v>
      </c>
      <c r="H77" s="163" t="s">
        <v>405</v>
      </c>
      <c r="I77" s="49" t="s">
        <v>103</v>
      </c>
      <c r="J77" s="250" t="s">
        <v>1</v>
      </c>
      <c r="K77" s="109"/>
      <c r="L77" s="234" t="s">
        <v>196</v>
      </c>
      <c r="M77" s="17"/>
      <c r="N77" s="78"/>
      <c r="O77" s="273">
        <v>0.15</v>
      </c>
      <c r="P77" s="102">
        <v>56</v>
      </c>
      <c r="Q77" s="102">
        <v>8</v>
      </c>
      <c r="R77" s="102">
        <v>0</v>
      </c>
      <c r="S77" s="102"/>
      <c r="V77" s="17" t="s">
        <v>204</v>
      </c>
      <c r="W77" s="17" t="s">
        <v>204</v>
      </c>
      <c r="X77" s="17" t="s">
        <v>216</v>
      </c>
      <c r="Y77" s="17" t="s">
        <v>197</v>
      </c>
      <c r="Z77" s="102">
        <v>66</v>
      </c>
      <c r="AA77" s="102">
        <v>52</v>
      </c>
      <c r="AB77" s="102">
        <v>0</v>
      </c>
      <c r="AC77" s="102">
        <v>52</v>
      </c>
      <c r="AD77" s="33"/>
      <c r="AE77" s="33"/>
      <c r="AF77" s="25" t="str">
        <f>_xlfn.XLOOKUP(F77,'TFS Details'!F:F,'TFS Details'!H:H)</f>
        <v>Active</v>
      </c>
      <c r="AG77" s="42">
        <v>0</v>
      </c>
      <c r="AH77" s="42">
        <v>0</v>
      </c>
      <c r="AI77" s="42">
        <v>0</v>
      </c>
      <c r="AJ77" s="42">
        <v>52</v>
      </c>
      <c r="AK77" s="260">
        <v>52</v>
      </c>
      <c r="AL77" s="39">
        <f t="shared" si="7"/>
        <v>0</v>
      </c>
      <c r="AM77" s="39">
        <f t="shared" si="8"/>
        <v>0</v>
      </c>
      <c r="AN77" s="75"/>
      <c r="AO77" s="25" t="str">
        <f>_xlfn.XLOOKUP(F77,'TFS Details'!F:F,'TFS Details'!I:I)</f>
        <v>TechTribe</v>
      </c>
      <c r="AP77" s="25" t="str">
        <f>_xlfn.XLOOKUP(AO77,'TFS Details'!I:I,'TFS Details'!AE:AE)</f>
        <v>pandidurai.ks</v>
      </c>
    </row>
    <row r="78" spans="1:42">
      <c r="A78" s="24" t="str">
        <f>_xlfn.XLOOKUP(F78,'TFS Details'!F:F,'TFS Details'!D:D)</f>
        <v>CDAT</v>
      </c>
      <c r="B78" s="24" t="str">
        <f>_xlfn.XLOOKUP(F78,'TFS Details'!F:F,'TFS Details'!A:A)</f>
        <v>BPMS Onboarding to CDAT</v>
      </c>
      <c r="C78" s="46">
        <f>_xlfn.XLOOKUP(F78,'TFS Details'!F:F,'TFS Details'!E:E)</f>
        <v>4459051</v>
      </c>
      <c r="D78" s="17" t="s">
        <v>70</v>
      </c>
      <c r="E78" s="139" t="s">
        <v>558</v>
      </c>
      <c r="F78" s="72">
        <v>4450399</v>
      </c>
      <c r="G78" s="145" t="s">
        <v>535</v>
      </c>
      <c r="H78" s="163" t="s">
        <v>326</v>
      </c>
      <c r="I78" s="107"/>
      <c r="J78" s="250" t="s">
        <v>18</v>
      </c>
      <c r="K78" s="109" t="s">
        <v>534</v>
      </c>
      <c r="L78" s="66" t="s">
        <v>36</v>
      </c>
      <c r="M78" s="66"/>
      <c r="N78" s="78"/>
      <c r="P78" s="102"/>
      <c r="Q78" s="102"/>
      <c r="R78" s="102"/>
      <c r="S78" s="102"/>
      <c r="V78" s="17" t="s">
        <v>204</v>
      </c>
      <c r="W78" s="17" t="s">
        <v>204</v>
      </c>
      <c r="X78" s="17" t="s">
        <v>216</v>
      </c>
      <c r="Y78" s="17" t="s">
        <v>197</v>
      </c>
      <c r="Z78" s="102">
        <v>55</v>
      </c>
      <c r="AA78" s="102">
        <v>26</v>
      </c>
      <c r="AB78" s="102">
        <v>0</v>
      </c>
      <c r="AC78" s="102">
        <v>26</v>
      </c>
      <c r="AD78" s="33"/>
      <c r="AE78" s="33"/>
      <c r="AF78" s="25" t="str">
        <f>_xlfn.XLOOKUP(F78,'TFS Details'!F:F,'TFS Details'!H:H)</f>
        <v>In Development</v>
      </c>
      <c r="AG78" s="42">
        <v>0</v>
      </c>
      <c r="AH78" s="42">
        <v>0</v>
      </c>
      <c r="AI78" s="42">
        <v>0</v>
      </c>
      <c r="AJ78" s="42">
        <v>19</v>
      </c>
      <c r="AK78" s="260">
        <v>26</v>
      </c>
      <c r="AL78" s="39">
        <f t="shared" si="7"/>
        <v>0</v>
      </c>
      <c r="AM78" s="39">
        <f t="shared" si="8"/>
        <v>0</v>
      </c>
      <c r="AN78" s="75"/>
      <c r="AO78" s="25" t="str">
        <f>_xlfn.XLOOKUP(F78,'TFS Details'!F:F,'TFS Details'!I:I)</f>
        <v>TechPhantoms</v>
      </c>
      <c r="AP78" s="25" t="str">
        <f>_xlfn.XLOOKUP(AO78,'TFS Details'!I:I,'TFS Details'!AE:AE)</f>
        <v>sowjanya.kari</v>
      </c>
    </row>
    <row r="79" spans="1:42">
      <c r="A79" s="24" t="str">
        <f>_xlfn.XLOOKUP(F79,'TFS Details'!F:F,'TFS Details'!D:D)</f>
        <v>Differentiation</v>
      </c>
      <c r="B79" s="24" t="str">
        <f>_xlfn.XLOOKUP(F79,'TFS Details'!F:F,'TFS Details'!A:A)</f>
        <v>Differentiation Decommission</v>
      </c>
      <c r="C79" s="46">
        <f>_xlfn.XLOOKUP(F79,'TFS Details'!F:F,'TFS Details'!E:E)</f>
        <v>4372017</v>
      </c>
      <c r="D79" s="19" t="s">
        <v>27</v>
      </c>
      <c r="E79" s="139" t="s">
        <v>559</v>
      </c>
      <c r="F79" s="72">
        <v>4362088</v>
      </c>
      <c r="G79" s="18" t="s">
        <v>208</v>
      </c>
      <c r="H79" s="17" t="s">
        <v>209</v>
      </c>
      <c r="I79" s="21" t="s">
        <v>55</v>
      </c>
      <c r="J79" s="250" t="s">
        <v>1</v>
      </c>
      <c r="K79" s="16"/>
      <c r="L79" s="234"/>
      <c r="M79" s="17" t="s">
        <v>311</v>
      </c>
      <c r="N79" s="102">
        <v>1</v>
      </c>
      <c r="O79" s="33">
        <v>0.2</v>
      </c>
      <c r="P79" s="102">
        <v>4</v>
      </c>
      <c r="Q79" s="102">
        <v>2</v>
      </c>
      <c r="R79" s="102"/>
      <c r="S79" s="102">
        <v>1</v>
      </c>
      <c r="T79" s="33">
        <v>0.5</v>
      </c>
      <c r="U79" s="33">
        <v>0.4</v>
      </c>
      <c r="V79" s="17" t="s">
        <v>204</v>
      </c>
      <c r="W79" s="17" t="s">
        <v>204</v>
      </c>
      <c r="X79" s="17" t="s">
        <v>216</v>
      </c>
      <c r="Y79" s="17" t="s">
        <v>216</v>
      </c>
      <c r="Z79" s="102">
        <v>12</v>
      </c>
      <c r="AA79" s="102">
        <v>3</v>
      </c>
      <c r="AB79" s="102">
        <v>5</v>
      </c>
      <c r="AC79" s="236">
        <v>8</v>
      </c>
      <c r="AD79" s="33">
        <v>0.4</v>
      </c>
      <c r="AE79" s="33">
        <v>0.3</v>
      </c>
      <c r="AF79" s="25" t="str">
        <f>_xlfn.XLOOKUP(F79,'TFS Details'!F:F,'TFS Details'!H:H)</f>
        <v>PT In Test</v>
      </c>
      <c r="AG79" s="42">
        <v>6</v>
      </c>
      <c r="AH79" s="42">
        <v>0</v>
      </c>
      <c r="AI79" s="42">
        <v>0</v>
      </c>
      <c r="AJ79" s="42">
        <v>3</v>
      </c>
      <c r="AK79" s="38">
        <f t="shared" si="6"/>
        <v>9</v>
      </c>
      <c r="AL79" s="39">
        <f t="shared" si="7"/>
        <v>0.66666666666666663</v>
      </c>
      <c r="AM79" s="39">
        <f t="shared" si="8"/>
        <v>1</v>
      </c>
      <c r="AN79" s="25"/>
      <c r="AO79" s="25" t="str">
        <f>_xlfn.XLOOKUP(F79,'TFS Details'!F:F,'TFS Details'!I:I)</f>
        <v>DevStormers</v>
      </c>
      <c r="AP79" s="25" t="str">
        <f>_xlfn.XLOOKUP(AO79,'TFS Details'!I:I,'TFS Details'!AE:AE)</f>
        <v>mervinkumar.manickam</v>
      </c>
    </row>
    <row r="80" spans="1:42">
      <c r="A80" s="24" t="str">
        <f>_xlfn.XLOOKUP(F80,'TFS Details'!F:F,'TFS Details'!D:D)</f>
        <v>PCW</v>
      </c>
      <c r="B80" s="24" t="str">
        <f>_xlfn.XLOOKUP(F80,'TFS Details'!F:F,'TFS Details'!A:A)</f>
        <v>Standard Role Implementation in PCW &amp; Online SI - May Release</v>
      </c>
      <c r="C80" s="46">
        <f>_xlfn.XLOOKUP(F80,'TFS Details'!F:F,'TFS Details'!E:E)</f>
        <v>4436131</v>
      </c>
      <c r="D80" s="19" t="s">
        <v>27</v>
      </c>
      <c r="E80" s="139" t="s">
        <v>451</v>
      </c>
      <c r="F80" s="72">
        <v>4423815</v>
      </c>
      <c r="G80" s="18" t="s">
        <v>209</v>
      </c>
      <c r="H80" s="17" t="s">
        <v>422</v>
      </c>
      <c r="J80" s="250" t="s">
        <v>18</v>
      </c>
      <c r="K80" s="16" t="s">
        <v>59</v>
      </c>
      <c r="L80" s="234" t="s">
        <v>59</v>
      </c>
      <c r="M80" s="17"/>
      <c r="N80" s="78"/>
      <c r="P80" s="102"/>
      <c r="Q80" s="102"/>
      <c r="R80" s="102"/>
      <c r="S80" s="102"/>
      <c r="V80" s="17" t="s">
        <v>204</v>
      </c>
      <c r="W80" s="17" t="s">
        <v>216</v>
      </c>
      <c r="X80" s="17" t="s">
        <v>197</v>
      </c>
      <c r="Y80" s="17" t="s">
        <v>216</v>
      </c>
      <c r="Z80" s="102">
        <v>30</v>
      </c>
      <c r="AA80" s="102">
        <v>16</v>
      </c>
      <c r="AB80" s="102">
        <v>4</v>
      </c>
      <c r="AC80" s="236">
        <v>20</v>
      </c>
      <c r="AD80" s="33">
        <v>0.98</v>
      </c>
      <c r="AE80" s="33">
        <v>1</v>
      </c>
      <c r="AF80" s="25" t="str">
        <f>_xlfn.XLOOKUP(F80,'TFS Details'!F:F,'TFS Details'!H:H)</f>
        <v>Ready for Test</v>
      </c>
      <c r="AG80" s="42">
        <v>12</v>
      </c>
      <c r="AH80" s="42">
        <v>0</v>
      </c>
      <c r="AI80" s="42">
        <v>0</v>
      </c>
      <c r="AJ80" s="42">
        <v>8</v>
      </c>
      <c r="AK80" s="38">
        <f t="shared" ref="AK80:AK94" si="11">SUM(AG80:AJ80)</f>
        <v>20</v>
      </c>
      <c r="AL80" s="39">
        <f t="shared" si="7"/>
        <v>0.6</v>
      </c>
      <c r="AM80" s="39">
        <f t="shared" si="8"/>
        <v>1</v>
      </c>
      <c r="AN80" s="25" t="s">
        <v>560</v>
      </c>
      <c r="AO80" s="25" t="str">
        <f>_xlfn.XLOOKUP(F80,'TFS Details'!F:F,'TFS Details'!I:I)</f>
        <v>DevStormers</v>
      </c>
      <c r="AP80" s="25" t="str">
        <f>_xlfn.XLOOKUP(AO80,'TFS Details'!I:I,'TFS Details'!AE:AE)</f>
        <v>mervinkumar.manickam</v>
      </c>
    </row>
    <row r="81" spans="1:42">
      <c r="A81" s="24" t="str">
        <f>_xlfn.XLOOKUP(F81,'TFS Details'!F:F,'TFS Details'!D:D)</f>
        <v>OCP</v>
      </c>
      <c r="B81" s="24" t="str">
        <f>_xlfn.XLOOKUP(F81,'TFS Details'!F:F,'TFS Details'!A:A)</f>
        <v>Online SI CR - March</v>
      </c>
      <c r="C81" s="46">
        <f>_xlfn.XLOOKUP(F81,'TFS Details'!F:F,'TFS Details'!E:E)</f>
        <v>4283187</v>
      </c>
      <c r="D81" s="19" t="s">
        <v>27</v>
      </c>
      <c r="E81" s="139" t="s">
        <v>446</v>
      </c>
      <c r="F81" s="72">
        <v>4431151</v>
      </c>
      <c r="G81" s="18" t="s">
        <v>422</v>
      </c>
      <c r="H81" s="17" t="s">
        <v>214</v>
      </c>
      <c r="I81" s="17" t="s">
        <v>561</v>
      </c>
      <c r="J81" s="250" t="s">
        <v>20</v>
      </c>
      <c r="K81" s="107" t="s">
        <v>447</v>
      </c>
      <c r="L81" s="234" t="s">
        <v>196</v>
      </c>
      <c r="M81" s="17"/>
      <c r="N81" s="78"/>
      <c r="O81" s="273">
        <v>0.2</v>
      </c>
      <c r="P81" s="102"/>
      <c r="Q81" s="102"/>
      <c r="R81" s="102"/>
      <c r="S81" s="102"/>
      <c r="V81" s="17" t="s">
        <v>204</v>
      </c>
      <c r="W81" s="17" t="s">
        <v>216</v>
      </c>
      <c r="X81" s="17" t="s">
        <v>197</v>
      </c>
      <c r="Y81" s="277" t="s">
        <v>183</v>
      </c>
      <c r="Z81" s="102">
        <v>8</v>
      </c>
      <c r="AA81" s="102">
        <v>5</v>
      </c>
      <c r="AB81" s="102">
        <v>15</v>
      </c>
      <c r="AC81" s="236">
        <v>5</v>
      </c>
      <c r="AD81" s="33">
        <v>0.2</v>
      </c>
      <c r="AE81" s="33">
        <v>0.3</v>
      </c>
      <c r="AF81" s="25" t="str">
        <f>_xlfn.XLOOKUP(F81,'TFS Details'!F:F,'TFS Details'!H:H)</f>
        <v>PT In Test</v>
      </c>
      <c r="AG81" s="42">
        <v>5</v>
      </c>
      <c r="AH81" s="42">
        <v>0</v>
      </c>
      <c r="AI81" s="42">
        <v>12</v>
      </c>
      <c r="AJ81" s="42">
        <v>0</v>
      </c>
      <c r="AK81" s="38">
        <f t="shared" si="11"/>
        <v>17</v>
      </c>
      <c r="AL81" s="39">
        <f t="shared" si="7"/>
        <v>0.29411764705882354</v>
      </c>
      <c r="AM81" s="39">
        <f t="shared" si="8"/>
        <v>0.29411764705882354</v>
      </c>
      <c r="AN81" s="25" t="s">
        <v>562</v>
      </c>
      <c r="AO81" s="25" t="str">
        <f>_xlfn.XLOOKUP(F81,'TFS Details'!F:F,'TFS Details'!I:I)</f>
        <v>TechWizards</v>
      </c>
      <c r="AP81" s="25" t="str">
        <f>_xlfn.XLOOKUP(AO81,'TFS Details'!I:I,'TFS Details'!AE:AE)</f>
        <v>mervinkumar.manickam</v>
      </c>
    </row>
    <row r="82" spans="1:42">
      <c r="A82" s="24" t="str">
        <f>_xlfn.XLOOKUP(F82,'TFS Details'!F:F,'TFS Details'!D:D)</f>
        <v>PCW</v>
      </c>
      <c r="B82" s="24" t="str">
        <f>_xlfn.XLOOKUP(F82,'TFS Details'!F:F,'TFS Details'!A:A)</f>
        <v>DNP Simplification - May Release</v>
      </c>
      <c r="C82" s="46">
        <f>_xlfn.XLOOKUP(F82,'TFS Details'!F:F,'TFS Details'!E:E)</f>
        <v>4436144</v>
      </c>
      <c r="D82" s="19" t="s">
        <v>27</v>
      </c>
      <c r="E82" s="139" t="s">
        <v>443</v>
      </c>
      <c r="F82" s="72">
        <v>4435907</v>
      </c>
      <c r="G82" s="18" t="s">
        <v>208</v>
      </c>
      <c r="H82" s="17" t="s">
        <v>419</v>
      </c>
      <c r="I82" s="17"/>
      <c r="J82" s="250" t="s">
        <v>18</v>
      </c>
      <c r="K82" s="16" t="s">
        <v>59</v>
      </c>
      <c r="L82" s="234" t="s">
        <v>59</v>
      </c>
      <c r="M82" s="17"/>
      <c r="N82" s="78"/>
      <c r="P82" s="102"/>
      <c r="Q82" s="102"/>
      <c r="R82" s="102"/>
      <c r="S82" s="102"/>
      <c r="V82" s="17" t="s">
        <v>204</v>
      </c>
      <c r="W82" s="17" t="s">
        <v>204</v>
      </c>
      <c r="X82" s="17" t="s">
        <v>216</v>
      </c>
      <c r="Y82" s="17" t="s">
        <v>197</v>
      </c>
      <c r="Z82" s="102">
        <v>14</v>
      </c>
      <c r="AA82" s="102">
        <v>5</v>
      </c>
      <c r="AB82" s="102">
        <v>3</v>
      </c>
      <c r="AC82" s="236">
        <v>8</v>
      </c>
      <c r="AD82" s="33">
        <v>0.6</v>
      </c>
      <c r="AE82" s="33">
        <v>0.25</v>
      </c>
      <c r="AF82" s="25" t="str">
        <f>_xlfn.XLOOKUP(F82,'TFS Details'!F:F,'TFS Details'!H:H)</f>
        <v>Active</v>
      </c>
      <c r="AG82" s="42">
        <v>0</v>
      </c>
      <c r="AH82" s="42">
        <v>0</v>
      </c>
      <c r="AI82" s="42">
        <v>0</v>
      </c>
      <c r="AJ82" s="42">
        <v>8</v>
      </c>
      <c r="AK82" s="38">
        <f>SUM(AG82:AJ82)</f>
        <v>8</v>
      </c>
      <c r="AL82" s="39">
        <f t="shared" si="7"/>
        <v>0</v>
      </c>
      <c r="AM82" s="39">
        <f t="shared" si="8"/>
        <v>0</v>
      </c>
      <c r="AN82" s="25"/>
      <c r="AO82" s="25" t="str">
        <f>_xlfn.XLOOKUP(F82,'TFS Details'!F:F,'TFS Details'!I:I)</f>
        <v>Tech Ensemble</v>
      </c>
      <c r="AP82" s="25" t="str">
        <f>_xlfn.XLOOKUP(AO82,'TFS Details'!I:I,'TFS Details'!AE:AE)</f>
        <v>mervinkumar.manickam</v>
      </c>
    </row>
    <row r="83" spans="1:42">
      <c r="A83" s="24" t="str">
        <f>_xlfn.XLOOKUP(F83,'TFS Details'!F:F,'TFS Details'!D:D)</f>
        <v>PCW</v>
      </c>
      <c r="B83" s="24" t="str">
        <f>_xlfn.XLOOKUP(F83,'TFS Details'!F:F,'TFS Details'!A:A)</f>
        <v>MMP FFP Export update - May release</v>
      </c>
      <c r="C83" s="46">
        <f>_xlfn.XLOOKUP(F83,'TFS Details'!F:F,'TFS Details'!E:E)</f>
        <v>4436136</v>
      </c>
      <c r="D83" s="19" t="s">
        <v>27</v>
      </c>
      <c r="E83" s="139" t="s">
        <v>441</v>
      </c>
      <c r="F83" s="72">
        <v>4436093</v>
      </c>
      <c r="G83" s="18" t="s">
        <v>214</v>
      </c>
      <c r="H83" s="17" t="s">
        <v>563</v>
      </c>
      <c r="J83" s="250" t="s">
        <v>18</v>
      </c>
      <c r="K83" s="16" t="s">
        <v>59</v>
      </c>
      <c r="L83" s="234" t="s">
        <v>59</v>
      </c>
      <c r="M83" s="17"/>
      <c r="N83" s="78"/>
      <c r="P83" s="102"/>
      <c r="Q83" s="102"/>
      <c r="R83" s="102"/>
      <c r="S83" s="102"/>
      <c r="V83" s="17" t="s">
        <v>204</v>
      </c>
      <c r="W83" s="17" t="s">
        <v>216</v>
      </c>
      <c r="X83" s="17" t="s">
        <v>197</v>
      </c>
      <c r="Y83" s="17" t="s">
        <v>197</v>
      </c>
      <c r="Z83" s="102">
        <v>15</v>
      </c>
      <c r="AA83" s="102">
        <v>15</v>
      </c>
      <c r="AB83" s="102">
        <v>8</v>
      </c>
      <c r="AC83" s="102">
        <v>11</v>
      </c>
      <c r="AD83" s="33">
        <v>1</v>
      </c>
      <c r="AE83" s="33">
        <v>0.85</v>
      </c>
      <c r="AF83" s="25" t="str">
        <f>_xlfn.XLOOKUP(F83,'TFS Details'!F:F,'TFS Details'!H:H)</f>
        <v>New</v>
      </c>
      <c r="AG83" s="42">
        <v>0</v>
      </c>
      <c r="AH83" s="42">
        <v>0</v>
      </c>
      <c r="AI83" s="42">
        <v>0</v>
      </c>
      <c r="AJ83" s="42">
        <v>11</v>
      </c>
      <c r="AK83" s="38">
        <f t="shared" si="11"/>
        <v>11</v>
      </c>
      <c r="AL83" s="39">
        <f t="shared" si="7"/>
        <v>0</v>
      </c>
      <c r="AM83" s="39">
        <f t="shared" si="8"/>
        <v>0</v>
      </c>
      <c r="AN83" s="25"/>
      <c r="AO83" s="25" t="str">
        <f>_xlfn.XLOOKUP(F83,'TFS Details'!F:F,'TFS Details'!I:I)</f>
        <v>Tech Ensemble</v>
      </c>
      <c r="AP83" s="25" t="str">
        <f>_xlfn.XLOOKUP(AO83,'TFS Details'!I:I,'TFS Details'!AE:AE)</f>
        <v>mervinkumar.manickam</v>
      </c>
    </row>
    <row r="84" spans="1:42">
      <c r="A84" s="24" t="str">
        <f>_xlfn.XLOOKUP(F84,'TFS Details'!F:F,'TFS Details'!D:D)</f>
        <v>myISP</v>
      </c>
      <c r="B84" s="24" t="str">
        <f>_xlfn.XLOOKUP(F84,'TFS Details'!F:F,'TFS Details'!A:A)</f>
        <v>SI - Estimators/Calculators(Opp level screen) &amp; Attach Estimates(Version level screen) - feedback alignment</v>
      </c>
      <c r="C84" s="46">
        <f>_xlfn.XLOOKUP(F84,'TFS Details'!F:F,'TFS Details'!E:E)</f>
        <v>4445141</v>
      </c>
      <c r="D84" s="19" t="s">
        <v>27</v>
      </c>
      <c r="E84" s="139" t="s">
        <v>564</v>
      </c>
      <c r="F84" s="72">
        <v>3967653</v>
      </c>
      <c r="G84" s="18" t="s">
        <v>419</v>
      </c>
      <c r="H84" s="17" t="s">
        <v>214</v>
      </c>
      <c r="I84" s="257" t="s">
        <v>35</v>
      </c>
      <c r="J84" s="250" t="s">
        <v>20</v>
      </c>
      <c r="K84" s="16" t="s">
        <v>565</v>
      </c>
      <c r="L84" s="234" t="s">
        <v>566</v>
      </c>
      <c r="M84" s="17" t="s">
        <v>461</v>
      </c>
      <c r="N84" s="78">
        <v>1</v>
      </c>
      <c r="O84" s="33">
        <v>0.8</v>
      </c>
      <c r="P84" s="102">
        <v>4</v>
      </c>
      <c r="Q84" s="102">
        <v>2</v>
      </c>
      <c r="R84" s="102">
        <v>0</v>
      </c>
      <c r="S84" s="102">
        <v>1</v>
      </c>
      <c r="T84" s="84">
        <v>0.7</v>
      </c>
      <c r="U84" s="84">
        <v>0.65</v>
      </c>
      <c r="V84" s="17" t="s">
        <v>204</v>
      </c>
      <c r="W84" s="17" t="s">
        <v>204</v>
      </c>
      <c r="X84" s="17" t="s">
        <v>197</v>
      </c>
      <c r="Y84" s="17" t="s">
        <v>216</v>
      </c>
      <c r="Z84" s="102">
        <v>40</v>
      </c>
      <c r="AA84" s="102">
        <v>12</v>
      </c>
      <c r="AB84" s="102">
        <v>0</v>
      </c>
      <c r="AC84" s="102">
        <v>12</v>
      </c>
      <c r="AD84" s="33">
        <v>1</v>
      </c>
      <c r="AE84" s="33">
        <v>0.9</v>
      </c>
      <c r="AF84" s="25" t="str">
        <f>_xlfn.XLOOKUP(F84,'TFS Details'!F:F,'TFS Details'!H:H)</f>
        <v>PT In Test</v>
      </c>
      <c r="AG84" s="42">
        <v>12</v>
      </c>
      <c r="AH84" s="42">
        <v>0</v>
      </c>
      <c r="AI84" s="42">
        <v>0</v>
      </c>
      <c r="AJ84" s="42">
        <v>0</v>
      </c>
      <c r="AK84" s="38">
        <f t="shared" si="11"/>
        <v>12</v>
      </c>
      <c r="AL84" s="39">
        <f t="shared" si="7"/>
        <v>1</v>
      </c>
      <c r="AM84" s="39">
        <f t="shared" si="8"/>
        <v>1</v>
      </c>
      <c r="AN84" s="25"/>
      <c r="AO84" s="25" t="str">
        <f>_xlfn.XLOOKUP(F84,'TFS Details'!F:F,'TFS Details'!I:I)</f>
        <v>TechAvengers</v>
      </c>
      <c r="AP84" s="25" t="str">
        <f>_xlfn.XLOOKUP(AO84,'TFS Details'!I:I,'TFS Details'!AE:AE)</f>
        <v>mervinkumar.manickam</v>
      </c>
    </row>
    <row r="85" spans="1:42" ht="14.25" customHeight="1">
      <c r="A85" s="24" t="str">
        <f>_xlfn.XLOOKUP(F85,'TFS Details'!F:F,'TFS Details'!D:D)</f>
        <v>PCW</v>
      </c>
      <c r="B85" s="24" t="str">
        <f>_xlfn.XLOOKUP(F85,'TFS Details'!F:F,'TFS Details'!A:A)</f>
        <v>PCW Enhancements and User Feedback - March Release</v>
      </c>
      <c r="C85" s="46">
        <f>_xlfn.XLOOKUP(F85,'TFS Details'!F:F,'TFS Details'!E:E)</f>
        <v>4389866</v>
      </c>
      <c r="D85" s="19" t="s">
        <v>27</v>
      </c>
      <c r="E85" s="139" t="s">
        <v>439</v>
      </c>
      <c r="F85" s="72">
        <v>4361280</v>
      </c>
      <c r="G85" s="18" t="s">
        <v>422</v>
      </c>
      <c r="H85" s="17" t="s">
        <v>208</v>
      </c>
      <c r="J85" s="250" t="s">
        <v>18</v>
      </c>
      <c r="K85" s="16" t="s">
        <v>59</v>
      </c>
      <c r="L85" s="234" t="s">
        <v>59</v>
      </c>
      <c r="M85" s="17"/>
      <c r="N85" s="78"/>
      <c r="P85" s="102"/>
      <c r="Q85" s="102"/>
      <c r="R85" s="102"/>
      <c r="S85" s="102"/>
      <c r="V85" s="17" t="s">
        <v>204</v>
      </c>
      <c r="W85" s="17" t="s">
        <v>216</v>
      </c>
      <c r="X85" s="17" t="s">
        <v>197</v>
      </c>
      <c r="Y85" s="277" t="s">
        <v>216</v>
      </c>
      <c r="Z85" s="102">
        <v>8</v>
      </c>
      <c r="AA85" s="102">
        <v>4</v>
      </c>
      <c r="AB85" s="102">
        <v>5</v>
      </c>
      <c r="AC85" s="102">
        <v>6</v>
      </c>
      <c r="AD85" s="33">
        <v>0.3</v>
      </c>
      <c r="AE85" s="33">
        <v>0.3</v>
      </c>
      <c r="AF85" s="25" t="str">
        <f>_xlfn.XLOOKUP(F85,'TFS Details'!F:F,'TFS Details'!H:H)</f>
        <v>Blocked in PT</v>
      </c>
      <c r="AG85" s="42">
        <v>1</v>
      </c>
      <c r="AH85" s="42">
        <v>0</v>
      </c>
      <c r="AI85" s="42">
        <v>0</v>
      </c>
      <c r="AJ85" s="42">
        <v>5</v>
      </c>
      <c r="AK85" s="38">
        <f t="shared" si="11"/>
        <v>6</v>
      </c>
      <c r="AL85" s="39">
        <f t="shared" si="7"/>
        <v>0.16666666666666666</v>
      </c>
      <c r="AM85" s="39">
        <f t="shared" si="8"/>
        <v>1</v>
      </c>
      <c r="AN85" s="25"/>
      <c r="AO85" s="25" t="str">
        <f>_xlfn.XLOOKUP(F85,'TFS Details'!F:F,'TFS Details'!I:I)</f>
        <v>DevStormers</v>
      </c>
      <c r="AP85" s="25" t="str">
        <f>_xlfn.XLOOKUP(AO85,'TFS Details'!I:I,'TFS Details'!AE:AE)</f>
        <v>mervinkumar.manickam</v>
      </c>
    </row>
    <row r="86" spans="1:42" ht="14.25" customHeight="1">
      <c r="A86" s="24" t="str">
        <f>_xlfn.XLOOKUP(F86,'TFS Details'!F:F,'TFS Details'!D:D)</f>
        <v>PCW</v>
      </c>
      <c r="B86" s="24" t="str">
        <f>_xlfn.XLOOKUP(F86,'TFS Details'!F:F,'TFS Details'!A:A)</f>
        <v>IPC Calculator | Cost Update to Standard Package</v>
      </c>
      <c r="C86" s="46">
        <f>_xlfn.XLOOKUP(F86,'TFS Details'!F:F,'TFS Details'!E:E)</f>
        <v>4341363</v>
      </c>
      <c r="D86" s="19" t="s">
        <v>27</v>
      </c>
      <c r="E86" s="139" t="s">
        <v>437</v>
      </c>
      <c r="F86" s="72">
        <v>4368217</v>
      </c>
      <c r="G86" s="18" t="s">
        <v>214</v>
      </c>
      <c r="H86" s="17" t="s">
        <v>422</v>
      </c>
      <c r="J86" s="250" t="s">
        <v>18</v>
      </c>
      <c r="K86" s="58" t="s">
        <v>59</v>
      </c>
      <c r="L86" s="234" t="s">
        <v>59</v>
      </c>
      <c r="M86" s="17"/>
      <c r="N86" s="78"/>
      <c r="P86" s="102"/>
      <c r="Q86" s="102"/>
      <c r="R86" s="102"/>
      <c r="S86" s="102"/>
      <c r="V86" s="17" t="s">
        <v>204</v>
      </c>
      <c r="W86" s="17" t="s">
        <v>216</v>
      </c>
      <c r="X86" s="17" t="s">
        <v>197</v>
      </c>
      <c r="Y86" s="17" t="s">
        <v>216</v>
      </c>
      <c r="Z86" s="102">
        <v>15</v>
      </c>
      <c r="AA86" s="102">
        <v>10</v>
      </c>
      <c r="AB86" s="102">
        <v>5</v>
      </c>
      <c r="AC86" s="102">
        <v>10</v>
      </c>
      <c r="AD86" s="33">
        <v>1</v>
      </c>
      <c r="AE86" s="33">
        <v>0.85</v>
      </c>
      <c r="AF86" s="25" t="str">
        <f>_xlfn.XLOOKUP(F86,'TFS Details'!F:F,'TFS Details'!H:H)</f>
        <v>Ready for Test</v>
      </c>
      <c r="AG86" s="42">
        <v>5</v>
      </c>
      <c r="AH86" s="42">
        <v>1</v>
      </c>
      <c r="AI86" s="42">
        <v>0</v>
      </c>
      <c r="AJ86" s="42">
        <v>4</v>
      </c>
      <c r="AK86" s="38">
        <f t="shared" si="11"/>
        <v>10</v>
      </c>
      <c r="AL86" s="39">
        <f t="shared" si="7"/>
        <v>0.6</v>
      </c>
      <c r="AM86" s="39">
        <f t="shared" si="8"/>
        <v>0.83333333333333337</v>
      </c>
      <c r="AN86" s="25" t="s">
        <v>567</v>
      </c>
      <c r="AO86" s="25" t="str">
        <f>_xlfn.XLOOKUP(F86,'TFS Details'!F:F,'TFS Details'!I:I)</f>
        <v>DevStormers</v>
      </c>
      <c r="AP86" s="25" t="str">
        <f>_xlfn.XLOOKUP(AO86,'TFS Details'!I:I,'TFS Details'!AE:AE)</f>
        <v>mervinkumar.manickam</v>
      </c>
    </row>
    <row r="87" spans="1:42">
      <c r="A87" s="24" t="str">
        <f>_xlfn.XLOOKUP(F87,'TFS Details'!F:F,'TFS Details'!D:D)</f>
        <v>myISP_ DNP</v>
      </c>
      <c r="B87" s="24" t="str">
        <f>_xlfn.XLOOKUP(F87,'TFS Details'!F:F,'TFS Details'!A:A)</f>
        <v>DNP - seat charges WFO design change (YOY WFO % level) - Online SI and PCW</v>
      </c>
      <c r="C87" s="46">
        <f>_xlfn.XLOOKUP(F87,'TFS Details'!F:F,'TFS Details'!E:E)</f>
        <v>4262937</v>
      </c>
      <c r="D87" s="19" t="s">
        <v>27</v>
      </c>
      <c r="E87" s="139" t="s">
        <v>436</v>
      </c>
      <c r="F87" s="72">
        <v>4317632</v>
      </c>
      <c r="G87" s="18" t="s">
        <v>214</v>
      </c>
      <c r="H87" s="17" t="s">
        <v>563</v>
      </c>
      <c r="I87" s="17" t="s">
        <v>568</v>
      </c>
      <c r="J87" s="250" t="s">
        <v>20</v>
      </c>
      <c r="K87" s="16" t="s">
        <v>215</v>
      </c>
      <c r="L87" s="234" t="s">
        <v>196</v>
      </c>
      <c r="M87" s="17" t="s">
        <v>311</v>
      </c>
      <c r="N87" s="78"/>
      <c r="O87" s="273">
        <v>0.45</v>
      </c>
      <c r="P87" s="102">
        <v>10</v>
      </c>
      <c r="Q87" s="102">
        <v>2</v>
      </c>
      <c r="R87" s="102">
        <v>1</v>
      </c>
      <c r="S87" s="102">
        <v>1</v>
      </c>
      <c r="T87" s="33">
        <v>1</v>
      </c>
      <c r="U87" s="33">
        <v>1</v>
      </c>
      <c r="V87" s="17" t="s">
        <v>204</v>
      </c>
      <c r="W87" s="17" t="s">
        <v>216</v>
      </c>
      <c r="X87" s="17" t="s">
        <v>197</v>
      </c>
      <c r="Y87" s="17" t="s">
        <v>197</v>
      </c>
      <c r="Z87" s="102">
        <v>10</v>
      </c>
      <c r="AA87" s="102">
        <v>10</v>
      </c>
      <c r="AB87" s="102">
        <v>12</v>
      </c>
      <c r="AC87" s="102">
        <v>10</v>
      </c>
      <c r="AD87" s="33">
        <v>1</v>
      </c>
      <c r="AE87" s="33">
        <v>0.9</v>
      </c>
      <c r="AF87" s="25" t="str">
        <f>_xlfn.XLOOKUP(F87,'TFS Details'!F:F,'TFS Details'!H:H)</f>
        <v>In Development</v>
      </c>
      <c r="AG87" s="42">
        <v>0</v>
      </c>
      <c r="AH87" s="42">
        <v>0</v>
      </c>
      <c r="AI87" s="42">
        <v>0</v>
      </c>
      <c r="AJ87" s="42">
        <v>10</v>
      </c>
      <c r="AK87" s="38">
        <f t="shared" si="11"/>
        <v>10</v>
      </c>
      <c r="AL87" s="39">
        <f t="shared" si="7"/>
        <v>0</v>
      </c>
      <c r="AM87" s="39">
        <f t="shared" si="8"/>
        <v>0</v>
      </c>
      <c r="AN87" s="25"/>
      <c r="AO87" s="25" t="str">
        <f>_xlfn.XLOOKUP(F87,'TFS Details'!F:F,'TFS Details'!I:I)</f>
        <v>DevStormers</v>
      </c>
      <c r="AP87" s="25" t="str">
        <f>_xlfn.XLOOKUP(AO87,'TFS Details'!I:I,'TFS Details'!AE:AE)</f>
        <v>mervinkumar.manickam</v>
      </c>
    </row>
    <row r="88" spans="1:42">
      <c r="A88" s="24" t="str">
        <f>_xlfn.XLOOKUP(F88,'TFS Details'!F:F,'TFS Details'!D:D)</f>
        <v>myISP UI</v>
      </c>
      <c r="B88" s="24" t="str">
        <f>_xlfn.XLOOKUP(F88,'TFS Details'!F:F,'TFS Details'!A:A)</f>
        <v>PCW CRs - Jan Release</v>
      </c>
      <c r="C88" s="46">
        <f>_xlfn.XLOOKUP(F88,'TFS Details'!F:F,'TFS Details'!E:E)</f>
        <v>4268320</v>
      </c>
      <c r="D88" s="19" t="s">
        <v>27</v>
      </c>
      <c r="E88" s="139" t="s">
        <v>435</v>
      </c>
      <c r="F88" s="72">
        <v>4187514</v>
      </c>
      <c r="G88" s="18" t="s">
        <v>209</v>
      </c>
      <c r="I88" s="17"/>
      <c r="J88" s="250" t="s">
        <v>18</v>
      </c>
      <c r="K88" s="16" t="s">
        <v>59</v>
      </c>
      <c r="L88" s="234" t="s">
        <v>59</v>
      </c>
      <c r="M88" s="17"/>
      <c r="N88" s="78"/>
      <c r="P88" s="102"/>
      <c r="Q88" s="102"/>
      <c r="R88" s="102"/>
      <c r="S88" s="102"/>
      <c r="V88" s="17" t="s">
        <v>204</v>
      </c>
      <c r="W88" s="17" t="s">
        <v>216</v>
      </c>
      <c r="X88" s="17" t="s">
        <v>197</v>
      </c>
      <c r="Y88" s="17" t="s">
        <v>216</v>
      </c>
      <c r="Z88" s="102">
        <v>33</v>
      </c>
      <c r="AA88" s="102">
        <v>15</v>
      </c>
      <c r="AB88" s="102">
        <v>0</v>
      </c>
      <c r="AC88" s="102">
        <v>15</v>
      </c>
      <c r="AD88" s="33">
        <v>1</v>
      </c>
      <c r="AE88" s="33">
        <v>1</v>
      </c>
      <c r="AF88" s="25" t="str">
        <f>_xlfn.XLOOKUP(F88,'TFS Details'!F:F,'TFS Details'!H:H)</f>
        <v>Ready to Deploy</v>
      </c>
      <c r="AG88" s="42">
        <v>2</v>
      </c>
      <c r="AH88" s="42">
        <v>0</v>
      </c>
      <c r="AI88" s="42">
        <v>0</v>
      </c>
      <c r="AJ88" s="42">
        <v>13</v>
      </c>
      <c r="AK88" s="38">
        <f t="shared" si="11"/>
        <v>15</v>
      </c>
      <c r="AL88" s="39">
        <f t="shared" si="7"/>
        <v>0.13333333333333333</v>
      </c>
      <c r="AM88" s="39">
        <f t="shared" si="8"/>
        <v>1</v>
      </c>
      <c r="AN88" s="25"/>
      <c r="AO88" s="25" t="str">
        <f>_xlfn.XLOOKUP(F88,'TFS Details'!F:F,'TFS Details'!I:I)</f>
        <v>DevStormers</v>
      </c>
      <c r="AP88" s="25" t="str">
        <f>_xlfn.XLOOKUP(AO88,'TFS Details'!I:I,'TFS Details'!AE:AE)</f>
        <v>mervinkumar.manickam</v>
      </c>
    </row>
    <row r="89" spans="1:42">
      <c r="A89" s="24" t="str">
        <f>_xlfn.XLOOKUP(F89,'TFS Details'!F:F,'TFS Details'!D:D)</f>
        <v>myISP_DNP</v>
      </c>
      <c r="B89" s="24" t="str">
        <f>_xlfn.XLOOKUP(F89,'TFS Details'!F:F,'TFS Details'!A:A)</f>
        <v>DNP - seat charges WFO design change (YOY WFO % level) - Online SI and PCW</v>
      </c>
      <c r="C89" s="46">
        <f>_xlfn.XLOOKUP(F89,'TFS Details'!F:F,'TFS Details'!E:E)</f>
        <v>4262937</v>
      </c>
      <c r="D89" s="19" t="s">
        <v>27</v>
      </c>
      <c r="E89" s="139" t="s">
        <v>569</v>
      </c>
      <c r="F89" s="72">
        <v>4261173</v>
      </c>
      <c r="G89" s="18" t="s">
        <v>214</v>
      </c>
      <c r="H89" s="17" t="s">
        <v>563</v>
      </c>
      <c r="I89" s="17" t="s">
        <v>568</v>
      </c>
      <c r="J89" s="250" t="s">
        <v>20</v>
      </c>
      <c r="K89" s="16" t="s">
        <v>570</v>
      </c>
      <c r="L89" s="234" t="s">
        <v>30</v>
      </c>
      <c r="M89" s="17" t="s">
        <v>311</v>
      </c>
      <c r="N89" s="78"/>
      <c r="O89" s="273">
        <v>0.35</v>
      </c>
      <c r="P89" s="102">
        <v>15</v>
      </c>
      <c r="Q89" s="102">
        <v>2</v>
      </c>
      <c r="R89" s="102">
        <v>1</v>
      </c>
      <c r="S89" s="102">
        <v>1</v>
      </c>
      <c r="T89" s="33">
        <v>1</v>
      </c>
      <c r="U89" s="33">
        <v>1</v>
      </c>
      <c r="V89" s="17" t="s">
        <v>204</v>
      </c>
      <c r="W89" s="17" t="s">
        <v>216</v>
      </c>
      <c r="X89" s="17" t="s">
        <v>197</v>
      </c>
      <c r="Y89" s="17" t="s">
        <v>197</v>
      </c>
      <c r="Z89" s="102">
        <v>20</v>
      </c>
      <c r="AA89" s="102">
        <v>12</v>
      </c>
      <c r="AB89" s="102">
        <v>8</v>
      </c>
      <c r="AC89" s="102">
        <v>10</v>
      </c>
      <c r="AD89" s="33">
        <v>1</v>
      </c>
      <c r="AE89" s="33">
        <v>0.9</v>
      </c>
      <c r="AF89" s="25" t="str">
        <f>_xlfn.XLOOKUP(F89,'TFS Details'!F:F,'TFS Details'!H:H)</f>
        <v>In Development</v>
      </c>
      <c r="AG89" s="42">
        <v>0</v>
      </c>
      <c r="AH89" s="42">
        <v>0</v>
      </c>
      <c r="AI89" s="42">
        <v>0</v>
      </c>
      <c r="AJ89" s="42">
        <v>10</v>
      </c>
      <c r="AK89" s="38">
        <f t="shared" si="11"/>
        <v>10</v>
      </c>
      <c r="AL89" s="39">
        <f t="shared" si="7"/>
        <v>0</v>
      </c>
      <c r="AM89" s="39">
        <f t="shared" si="8"/>
        <v>0</v>
      </c>
      <c r="AN89" s="25"/>
      <c r="AO89" s="25" t="str">
        <f>_xlfn.XLOOKUP(F89,'TFS Details'!F:F,'TFS Details'!I:I)</f>
        <v>DevStormers</v>
      </c>
      <c r="AP89" s="25" t="str">
        <f>_xlfn.XLOOKUP(AO89,'TFS Details'!I:I,'TFS Details'!AE:AE)</f>
        <v>mervinkumar.manickam</v>
      </c>
    </row>
    <row r="90" spans="1:42">
      <c r="A90" s="24" t="str">
        <f>_xlfn.XLOOKUP(F90,'TFS Details'!F:F,'TFS Details'!D:D)</f>
        <v>myISP_DNP</v>
      </c>
      <c r="B90" s="24" t="str">
        <f>_xlfn.XLOOKUP(F90,'TFS Details'!F:F,'TFS Details'!A:A)</f>
        <v>Online SI May Cr's</v>
      </c>
      <c r="C90" s="46">
        <f>_xlfn.XLOOKUP(F90,'TFS Details'!F:F,'TFS Details'!E:E)</f>
        <v>4334542</v>
      </c>
      <c r="D90" s="19" t="s">
        <v>27</v>
      </c>
      <c r="E90" s="139" t="s">
        <v>571</v>
      </c>
      <c r="F90" s="72">
        <v>4430431</v>
      </c>
      <c r="G90" s="18" t="s">
        <v>208</v>
      </c>
      <c r="H90" s="17" t="s">
        <v>419</v>
      </c>
      <c r="I90" s="21" t="s">
        <v>55</v>
      </c>
      <c r="J90" s="250" t="s">
        <v>1</v>
      </c>
      <c r="K90" s="16"/>
      <c r="L90" s="234"/>
      <c r="M90" s="17" t="s">
        <v>311</v>
      </c>
      <c r="N90" s="78">
        <v>2</v>
      </c>
      <c r="O90" s="33">
        <v>0.2</v>
      </c>
      <c r="P90" s="102">
        <v>4</v>
      </c>
      <c r="Q90" s="102">
        <v>1</v>
      </c>
      <c r="R90" s="102">
        <v>1</v>
      </c>
      <c r="S90" s="102">
        <v>2</v>
      </c>
      <c r="T90" s="33">
        <v>0.5</v>
      </c>
      <c r="U90" s="33">
        <v>0.45</v>
      </c>
      <c r="V90" s="17" t="s">
        <v>204</v>
      </c>
      <c r="W90" s="17" t="s">
        <v>204</v>
      </c>
      <c r="X90" s="17" t="s">
        <v>216</v>
      </c>
      <c r="Y90" s="17" t="s">
        <v>197</v>
      </c>
      <c r="Z90" s="102">
        <v>16</v>
      </c>
      <c r="AA90" s="102">
        <v>3</v>
      </c>
      <c r="AB90" s="102">
        <v>4</v>
      </c>
      <c r="AC90" s="102">
        <v>7</v>
      </c>
      <c r="AD90" s="33">
        <v>0.56999999999999995</v>
      </c>
      <c r="AE90" s="33">
        <v>0.35</v>
      </c>
      <c r="AF90" s="25" t="str">
        <f>_xlfn.XLOOKUP(F90,'TFS Details'!F:F,'TFS Details'!H:H)</f>
        <v>In Development</v>
      </c>
      <c r="AG90" s="42">
        <v>0</v>
      </c>
      <c r="AH90" s="42">
        <v>0</v>
      </c>
      <c r="AI90" s="42">
        <v>0</v>
      </c>
      <c r="AJ90" s="42">
        <v>7</v>
      </c>
      <c r="AK90" s="38">
        <f>SUM(AG90:AJ90)</f>
        <v>7</v>
      </c>
      <c r="AL90" s="39">
        <f t="shared" si="7"/>
        <v>0</v>
      </c>
      <c r="AM90" s="39">
        <f t="shared" si="8"/>
        <v>0</v>
      </c>
      <c r="AN90" s="25"/>
      <c r="AO90" s="25" t="str">
        <f>_xlfn.XLOOKUP(F90,'TFS Details'!F:F,'TFS Details'!I:I)</f>
        <v>DevStormers</v>
      </c>
      <c r="AP90" s="25" t="str">
        <f>_xlfn.XLOOKUP(AO90,'TFS Details'!I:I,'TFS Details'!AE:AE)</f>
        <v>mervinkumar.manickam</v>
      </c>
    </row>
    <row r="91" spans="1:42">
      <c r="A91" s="24" t="str">
        <f>_xlfn.XLOOKUP(F91,'TFS Details'!F:F,'TFS Details'!D:D)</f>
        <v>myISP_ DNP</v>
      </c>
      <c r="B91" s="24" t="str">
        <f>_xlfn.XLOOKUP(F91,'TFS Details'!F:F,'TFS Details'!A:A)</f>
        <v>DNP - seat charges WFO design change (YOY WFO % level) - Online SI and PCW</v>
      </c>
      <c r="C91" s="46">
        <f>_xlfn.XLOOKUP(F91,'TFS Details'!F:F,'TFS Details'!E:E)</f>
        <v>4262937</v>
      </c>
      <c r="D91" s="19" t="s">
        <v>27</v>
      </c>
      <c r="E91" s="139" t="s">
        <v>572</v>
      </c>
      <c r="F91" s="72">
        <v>4184295</v>
      </c>
      <c r="G91" s="18" t="s">
        <v>422</v>
      </c>
      <c r="I91" s="17" t="s">
        <v>561</v>
      </c>
      <c r="J91" s="250" t="s">
        <v>20</v>
      </c>
      <c r="K91" s="16" t="s">
        <v>570</v>
      </c>
      <c r="L91" s="234" t="s">
        <v>30</v>
      </c>
      <c r="M91" s="17" t="s">
        <v>311</v>
      </c>
      <c r="N91" s="78"/>
      <c r="O91" s="273">
        <v>0.2</v>
      </c>
      <c r="P91" s="102"/>
      <c r="Q91" s="102"/>
      <c r="R91" s="102"/>
      <c r="S91" s="102"/>
      <c r="T91" s="68"/>
      <c r="U91" s="68"/>
      <c r="V91" s="17" t="s">
        <v>204</v>
      </c>
      <c r="W91" s="17" t="s">
        <v>216</v>
      </c>
      <c r="X91" s="17" t="s">
        <v>197</v>
      </c>
      <c r="Y91" s="17" t="s">
        <v>197</v>
      </c>
      <c r="Z91" s="102">
        <v>8</v>
      </c>
      <c r="AA91" s="102">
        <v>3</v>
      </c>
      <c r="AB91" s="102">
        <v>36</v>
      </c>
      <c r="AC91" s="102">
        <v>40</v>
      </c>
      <c r="AD91" s="33">
        <v>0.4</v>
      </c>
      <c r="AE91" s="33">
        <v>0.4</v>
      </c>
      <c r="AF91" s="25" t="str">
        <f>_xlfn.XLOOKUP(F91,'TFS Details'!F:F,'TFS Details'!H:H)</f>
        <v>In Development</v>
      </c>
      <c r="AG91" s="42">
        <v>0</v>
      </c>
      <c r="AH91" s="42">
        <v>0</v>
      </c>
      <c r="AI91" s="42">
        <v>0</v>
      </c>
      <c r="AJ91" s="42">
        <v>40</v>
      </c>
      <c r="AK91" s="38">
        <f t="shared" si="11"/>
        <v>40</v>
      </c>
      <c r="AL91" s="39">
        <f t="shared" si="7"/>
        <v>0</v>
      </c>
      <c r="AM91" s="39">
        <f t="shared" si="8"/>
        <v>0</v>
      </c>
      <c r="AN91" s="25"/>
      <c r="AO91" s="25" t="str">
        <f>_xlfn.XLOOKUP(F91,'TFS Details'!F:F,'TFS Details'!I:I)</f>
        <v>DevStormers</v>
      </c>
      <c r="AP91" s="25" t="str">
        <f>_xlfn.XLOOKUP(AO91,'TFS Details'!I:I,'TFS Details'!AE:AE)</f>
        <v>mervinkumar.manickam</v>
      </c>
    </row>
    <row r="92" spans="1:42">
      <c r="A92" s="24" t="str">
        <f>_xlfn.XLOOKUP(F92,'TFS Details'!F:F,'TFS Details'!D:D)</f>
        <v>PCW</v>
      </c>
      <c r="B92" s="24" t="str">
        <f>_xlfn.XLOOKUP(F92,'TFS Details'!F:F,'TFS Details'!A:A)</f>
        <v>IPC Calculator | Cost Update to Standard Package</v>
      </c>
      <c r="C92" s="46">
        <f>_xlfn.XLOOKUP(F92,'TFS Details'!F:F,'TFS Details'!E:E)</f>
        <v>4341363</v>
      </c>
      <c r="D92" s="19" t="s">
        <v>27</v>
      </c>
      <c r="E92" s="139" t="s">
        <v>432</v>
      </c>
      <c r="F92" s="72">
        <v>4439846</v>
      </c>
      <c r="G92" s="18" t="s">
        <v>209</v>
      </c>
      <c r="H92" s="17" t="s">
        <v>422</v>
      </c>
      <c r="I92" s="17"/>
      <c r="J92" s="250" t="s">
        <v>18</v>
      </c>
      <c r="K92" s="16" t="s">
        <v>59</v>
      </c>
      <c r="L92" s="234" t="s">
        <v>59</v>
      </c>
      <c r="M92" s="17"/>
      <c r="N92" s="78"/>
      <c r="P92" s="102"/>
      <c r="Q92" s="102"/>
      <c r="R92" s="102"/>
      <c r="S92" s="102"/>
      <c r="T92" s="68"/>
      <c r="U92" s="68"/>
      <c r="V92" s="17" t="s">
        <v>204</v>
      </c>
      <c r="W92" s="17" t="s">
        <v>216</v>
      </c>
      <c r="X92" s="17" t="s">
        <v>197</v>
      </c>
      <c r="Y92" s="17" t="s">
        <v>197</v>
      </c>
      <c r="Z92" s="102">
        <v>36</v>
      </c>
      <c r="AA92" s="102">
        <v>20</v>
      </c>
      <c r="AB92" s="102">
        <v>4</v>
      </c>
      <c r="AC92" s="102">
        <v>24</v>
      </c>
      <c r="AD92" s="33">
        <v>0.9</v>
      </c>
      <c r="AE92" s="33">
        <v>1</v>
      </c>
      <c r="AF92" s="25" t="str">
        <f>_xlfn.XLOOKUP(F92,'TFS Details'!F:F,'TFS Details'!H:H)</f>
        <v>Ready to Deploy</v>
      </c>
      <c r="AG92" s="42">
        <v>0</v>
      </c>
      <c r="AH92" s="42">
        <v>0</v>
      </c>
      <c r="AI92" s="42">
        <v>0</v>
      </c>
      <c r="AJ92" s="42">
        <v>24</v>
      </c>
      <c r="AK92" s="38">
        <f t="shared" si="11"/>
        <v>24</v>
      </c>
      <c r="AL92" s="39">
        <f t="shared" si="7"/>
        <v>0</v>
      </c>
      <c r="AM92" s="39">
        <f t="shared" si="8"/>
        <v>0</v>
      </c>
      <c r="AN92" s="25"/>
      <c r="AO92" s="25" t="str">
        <f>_xlfn.XLOOKUP(F92,'TFS Details'!F:F,'TFS Details'!I:I)</f>
        <v>Tech Ensemble</v>
      </c>
      <c r="AP92" s="25" t="str">
        <f>_xlfn.XLOOKUP(AO92,'TFS Details'!I:I,'TFS Details'!AE:AE)</f>
        <v>mervinkumar.manickam</v>
      </c>
    </row>
    <row r="93" spans="1:42">
      <c r="A93" s="24" t="str">
        <f>_xlfn.XLOOKUP(F93,'TFS Details'!F:F,'TFS Details'!D:D)</f>
        <v>Online SI</v>
      </c>
      <c r="B93" s="24" t="str">
        <f>_xlfn.XLOOKUP(F93,'TFS Details'!F:F,'TFS Details'!A:A)</f>
        <v>Rate card screen UI change</v>
      </c>
      <c r="C93" s="46">
        <f>_xlfn.XLOOKUP(F93,'TFS Details'!F:F,'TFS Details'!E:E)</f>
        <v>4151502</v>
      </c>
      <c r="D93" s="19" t="s">
        <v>27</v>
      </c>
      <c r="E93" s="139" t="s">
        <v>429</v>
      </c>
      <c r="F93" s="72">
        <v>4351779</v>
      </c>
      <c r="G93" s="18" t="s">
        <v>419</v>
      </c>
      <c r="H93" s="17" t="s">
        <v>209</v>
      </c>
      <c r="I93" s="257" t="s">
        <v>35</v>
      </c>
      <c r="J93" s="250" t="s">
        <v>1</v>
      </c>
      <c r="K93" s="16" t="s">
        <v>573</v>
      </c>
      <c r="L93" s="234" t="s">
        <v>566</v>
      </c>
      <c r="M93" s="17"/>
      <c r="N93" s="78"/>
      <c r="O93" s="33">
        <v>0.6</v>
      </c>
      <c r="P93" s="102">
        <v>4</v>
      </c>
      <c r="Q93" s="102">
        <v>3</v>
      </c>
      <c r="R93" s="102">
        <v>0</v>
      </c>
      <c r="S93" s="174">
        <v>1</v>
      </c>
      <c r="T93" s="33">
        <v>0.9</v>
      </c>
      <c r="U93" s="33">
        <v>1</v>
      </c>
      <c r="V93" s="17" t="s">
        <v>204</v>
      </c>
      <c r="W93" s="17" t="s">
        <v>204</v>
      </c>
      <c r="X93" s="17" t="s">
        <v>197</v>
      </c>
      <c r="Y93" s="17" t="s">
        <v>216</v>
      </c>
      <c r="Z93" s="102">
        <v>52</v>
      </c>
      <c r="AA93" s="102">
        <v>25</v>
      </c>
      <c r="AB93" s="102">
        <v>5</v>
      </c>
      <c r="AC93" s="102">
        <v>30</v>
      </c>
      <c r="AD93" s="33">
        <v>0.9</v>
      </c>
      <c r="AE93" s="33">
        <v>0.95</v>
      </c>
      <c r="AF93" s="25" t="str">
        <f>_xlfn.XLOOKUP(F93,'TFS Details'!F:F,'TFS Details'!H:H)</f>
        <v>PT In Test</v>
      </c>
      <c r="AG93" s="42">
        <v>30</v>
      </c>
      <c r="AH93" s="42">
        <v>3</v>
      </c>
      <c r="AI93" s="42">
        <v>0</v>
      </c>
      <c r="AJ93" s="42">
        <v>0</v>
      </c>
      <c r="AK93" s="38">
        <f t="shared" si="11"/>
        <v>33</v>
      </c>
      <c r="AL93" s="39">
        <f t="shared" si="7"/>
        <v>1</v>
      </c>
      <c r="AM93" s="39">
        <f t="shared" si="8"/>
        <v>0.90909090909090906</v>
      </c>
      <c r="AN93" s="25"/>
      <c r="AO93" s="25" t="str">
        <f>_xlfn.XLOOKUP(F93,'TFS Details'!F:F,'TFS Details'!I:I)</f>
        <v>TechWizards</v>
      </c>
      <c r="AP93" s="25" t="str">
        <f>_xlfn.XLOOKUP(AO93,'TFS Details'!I:I,'TFS Details'!AE:AE)</f>
        <v>mervinkumar.manickam</v>
      </c>
    </row>
    <row r="94" spans="1:42">
      <c r="A94" s="24" t="str">
        <f>_xlfn.XLOOKUP(F94,'TFS Details'!F:F,'TFS Details'!D:D)</f>
        <v>PCW</v>
      </c>
      <c r="B94" s="24" t="str">
        <f>_xlfn.XLOOKUP(F94,'TFS Details'!F:F,'TFS Details'!A:A)</f>
        <v>MMP FFP Export update - May release</v>
      </c>
      <c r="C94" s="46">
        <f>_xlfn.XLOOKUP(F94,'TFS Details'!F:F,'TFS Details'!E:E)</f>
        <v>4436136</v>
      </c>
      <c r="D94" s="19" t="s">
        <v>27</v>
      </c>
      <c r="E94" s="139" t="s">
        <v>427</v>
      </c>
      <c r="F94" s="72">
        <v>4368139</v>
      </c>
      <c r="G94" s="18" t="s">
        <v>419</v>
      </c>
      <c r="H94" s="17" t="s">
        <v>422</v>
      </c>
      <c r="I94" s="17"/>
      <c r="J94" s="250" t="s">
        <v>18</v>
      </c>
      <c r="K94" s="16" t="s">
        <v>59</v>
      </c>
      <c r="L94" s="234" t="s">
        <v>59</v>
      </c>
      <c r="M94" s="17"/>
      <c r="N94" s="78"/>
      <c r="P94" s="102"/>
      <c r="Q94" s="102"/>
      <c r="R94" s="102"/>
      <c r="S94" s="174"/>
      <c r="V94" s="17" t="s">
        <v>204</v>
      </c>
      <c r="W94" s="17" t="s">
        <v>204</v>
      </c>
      <c r="X94" s="17" t="s">
        <v>197</v>
      </c>
      <c r="Y94" s="17" t="s">
        <v>197</v>
      </c>
      <c r="Z94" s="102">
        <v>22</v>
      </c>
      <c r="AA94" s="102">
        <v>10</v>
      </c>
      <c r="AB94" s="102">
        <v>4</v>
      </c>
      <c r="AC94" s="102">
        <v>14</v>
      </c>
      <c r="AD94" s="33">
        <v>0.8</v>
      </c>
      <c r="AE94" s="33">
        <v>0.85</v>
      </c>
      <c r="AF94" s="25" t="str">
        <f>_xlfn.XLOOKUP(F94,'TFS Details'!F:F,'TFS Details'!H:H)</f>
        <v>In Development</v>
      </c>
      <c r="AG94" s="42">
        <v>0</v>
      </c>
      <c r="AH94" s="42">
        <v>0</v>
      </c>
      <c r="AI94" s="42">
        <v>0</v>
      </c>
      <c r="AJ94" s="42">
        <v>12</v>
      </c>
      <c r="AK94" s="38">
        <f>SUM(AG94:AJ94)</f>
        <v>12</v>
      </c>
      <c r="AL94" s="39">
        <f t="shared" si="7"/>
        <v>0</v>
      </c>
      <c r="AM94" s="39">
        <f t="shared" si="8"/>
        <v>0</v>
      </c>
      <c r="AN94" s="25"/>
      <c r="AO94" s="25" t="str">
        <f>_xlfn.XLOOKUP(F94,'TFS Details'!F:F,'TFS Details'!I:I)</f>
        <v>Tech Ensemble</v>
      </c>
      <c r="AP94" s="25" t="str">
        <f>_xlfn.XLOOKUP(AO94,'TFS Details'!I:I,'TFS Details'!AE:AE)</f>
        <v>mervinkumar.manickam</v>
      </c>
    </row>
    <row r="95" spans="1:42">
      <c r="A95" s="24" t="str">
        <f>_xlfn.XLOOKUP(F95,'TFS Details'!F:F,'TFS Details'!D:D)</f>
        <v>PCW</v>
      </c>
      <c r="B95" s="24" t="str">
        <f>_xlfn.XLOOKUP(F95,'TFS Details'!F:F,'TFS Details'!A:A)</f>
        <v>DNP - seat charges WFO design change (YOY WFO % level) - Online SI and PCW</v>
      </c>
      <c r="C95" s="46">
        <f>_xlfn.XLOOKUP(F95,'TFS Details'!F:F,'TFS Details'!E:E)</f>
        <v>4262937</v>
      </c>
      <c r="D95" s="19" t="s">
        <v>27</v>
      </c>
      <c r="E95" s="139" t="s">
        <v>423</v>
      </c>
      <c r="F95" s="72">
        <v>4265946</v>
      </c>
      <c r="G95" s="18" t="s">
        <v>208</v>
      </c>
      <c r="H95" s="17" t="s">
        <v>209</v>
      </c>
      <c r="J95" s="250" t="s">
        <v>18</v>
      </c>
      <c r="K95" s="16" t="s">
        <v>59</v>
      </c>
      <c r="L95" s="234" t="s">
        <v>59</v>
      </c>
      <c r="M95" s="17"/>
      <c r="N95" s="78"/>
      <c r="P95" s="102"/>
      <c r="Q95" s="102"/>
      <c r="R95" s="102"/>
      <c r="S95" s="102"/>
      <c r="T95" s="64"/>
      <c r="U95" s="64"/>
      <c r="V95" s="17" t="s">
        <v>204</v>
      </c>
      <c r="W95" s="17" t="s">
        <v>204</v>
      </c>
      <c r="X95" s="17" t="s">
        <v>216</v>
      </c>
      <c r="Y95" s="17" t="s">
        <v>197</v>
      </c>
      <c r="Z95" s="102">
        <v>14</v>
      </c>
      <c r="AA95" s="102">
        <v>2</v>
      </c>
      <c r="AB95" s="102">
        <v>3</v>
      </c>
      <c r="AC95" s="102">
        <v>5</v>
      </c>
      <c r="AD95" s="33">
        <v>0.56999999999999995</v>
      </c>
      <c r="AE95" s="33">
        <v>0.25</v>
      </c>
      <c r="AF95" s="25" t="str">
        <f>_xlfn.XLOOKUP(F95,'TFS Details'!F:F,'TFS Details'!H:H)</f>
        <v>Active</v>
      </c>
      <c r="AG95" s="42">
        <v>0</v>
      </c>
      <c r="AH95" s="42">
        <v>0</v>
      </c>
      <c r="AI95" s="42">
        <v>0</v>
      </c>
      <c r="AJ95" s="42">
        <v>5</v>
      </c>
      <c r="AK95" s="38">
        <f>SUM(AG95:AJ95)</f>
        <v>5</v>
      </c>
      <c r="AL95" s="39">
        <f t="shared" ref="AL95:AL133" si="12">IF(AG95+AH95=0,0,SUM(AG95:AH95)/AK95)</f>
        <v>0</v>
      </c>
      <c r="AM95" s="39">
        <f t="shared" ref="AM95:AM133" si="13">IF(AG95=0,0,AG95/(SUM(AG95:AI95)))</f>
        <v>0</v>
      </c>
      <c r="AN95" s="25"/>
      <c r="AO95" s="25" t="str">
        <f>_xlfn.XLOOKUP(F95,'TFS Details'!F:F,'TFS Details'!I:I)</f>
        <v>TechAvatar</v>
      </c>
      <c r="AP95" s="25" t="str">
        <f>_xlfn.XLOOKUP(AO95,'TFS Details'!I:I,'TFS Details'!AE:AE)</f>
        <v>mervinkumar.manickam</v>
      </c>
    </row>
    <row r="96" spans="1:42">
      <c r="A96" s="24" t="str">
        <f>_xlfn.XLOOKUP(F96,'TFS Details'!F:F,'TFS Details'!D:D)</f>
        <v>PCW</v>
      </c>
      <c r="B96" s="24" t="str">
        <f>_xlfn.XLOOKUP(F96,'TFS Details'!F:F,'TFS Details'!A:A)</f>
        <v>IPC Calculator | Cost Update to Standard Package</v>
      </c>
      <c r="C96" s="46">
        <f>_xlfn.XLOOKUP(F96,'TFS Details'!F:F,'TFS Details'!E:E)</f>
        <v>4341363</v>
      </c>
      <c r="D96" s="19" t="s">
        <v>27</v>
      </c>
      <c r="E96" s="139" t="s">
        <v>206</v>
      </c>
      <c r="F96" s="72">
        <v>4368214</v>
      </c>
      <c r="G96" s="18" t="s">
        <v>422</v>
      </c>
      <c r="H96" s="17" t="s">
        <v>209</v>
      </c>
      <c r="J96" s="250" t="s">
        <v>18</v>
      </c>
      <c r="K96" s="16" t="s">
        <v>59</v>
      </c>
      <c r="L96" s="234" t="s">
        <v>59</v>
      </c>
      <c r="M96" s="17"/>
      <c r="N96" s="78"/>
      <c r="P96" s="102"/>
      <c r="Q96" s="102"/>
      <c r="R96" s="102"/>
      <c r="S96" s="102"/>
      <c r="V96" s="17" t="s">
        <v>204</v>
      </c>
      <c r="W96" s="17" t="s">
        <v>216</v>
      </c>
      <c r="X96" s="17" t="s">
        <v>197</v>
      </c>
      <c r="Y96" s="17" t="s">
        <v>197</v>
      </c>
      <c r="Z96" s="102">
        <v>8</v>
      </c>
      <c r="AA96" s="102">
        <v>3</v>
      </c>
      <c r="AB96" s="102">
        <v>13</v>
      </c>
      <c r="AC96" s="102">
        <v>16</v>
      </c>
      <c r="AD96" s="33">
        <v>0.5</v>
      </c>
      <c r="AE96" s="33">
        <v>0.6</v>
      </c>
      <c r="AF96" s="25" t="str">
        <f>_xlfn.XLOOKUP(F96,'TFS Details'!F:F,'TFS Details'!H:H)</f>
        <v>Ready to Deploy</v>
      </c>
      <c r="AG96" s="42">
        <v>0</v>
      </c>
      <c r="AH96" s="42">
        <v>0</v>
      </c>
      <c r="AI96" s="42">
        <v>0</v>
      </c>
      <c r="AJ96" s="42">
        <v>16</v>
      </c>
      <c r="AK96" s="38">
        <f t="shared" ref="AK96:AK132" si="14">SUM(AG96:AJ96)</f>
        <v>16</v>
      </c>
      <c r="AL96" s="39">
        <f t="shared" si="12"/>
        <v>0</v>
      </c>
      <c r="AM96" s="39">
        <f t="shared" si="13"/>
        <v>0</v>
      </c>
      <c r="AN96" s="25"/>
      <c r="AO96" s="25" t="str">
        <f>_xlfn.XLOOKUP(F96,'TFS Details'!F:F,'TFS Details'!I:I)</f>
        <v>Tech Ensemble</v>
      </c>
      <c r="AP96" s="25" t="str">
        <f>_xlfn.XLOOKUP(AO96,'TFS Details'!I:I,'TFS Details'!AE:AE)</f>
        <v>mervinkumar.manickam</v>
      </c>
    </row>
    <row r="97" spans="1:42">
      <c r="A97" s="24" t="str">
        <f>_xlfn.XLOOKUP(F97,'TFS Details'!F:F,'TFS Details'!D:D)</f>
        <v xml:space="preserve">SI Profile </v>
      </c>
      <c r="B97" s="24" t="str">
        <f>_xlfn.XLOOKUP(F97,'TFS Details'!F:F,'TFS Details'!A:A)</f>
        <v>Update the restricted SSGs in profile screen info</v>
      </c>
      <c r="C97" s="46">
        <f>_xlfn.XLOOKUP(F97,'TFS Details'!F:F,'TFS Details'!E:E)</f>
        <v>4282657</v>
      </c>
      <c r="D97" s="19" t="s">
        <v>27</v>
      </c>
      <c r="E97" s="139" t="s">
        <v>574</v>
      </c>
      <c r="F97" s="72">
        <v>4267330</v>
      </c>
      <c r="G97" s="18" t="s">
        <v>208</v>
      </c>
      <c r="H97" s="17" t="s">
        <v>422</v>
      </c>
      <c r="I97" s="21" t="s">
        <v>55</v>
      </c>
      <c r="J97" s="66" t="s">
        <v>1</v>
      </c>
      <c r="K97" s="16"/>
      <c r="L97" s="66"/>
      <c r="M97" s="17" t="s">
        <v>465</v>
      </c>
      <c r="N97" s="78">
        <v>1</v>
      </c>
      <c r="O97" s="33">
        <v>0.9</v>
      </c>
      <c r="P97" s="102">
        <v>4</v>
      </c>
      <c r="Q97" s="102">
        <v>2</v>
      </c>
      <c r="R97" s="102">
        <v>1</v>
      </c>
      <c r="S97" s="102">
        <v>1</v>
      </c>
      <c r="T97" s="33">
        <v>0.6</v>
      </c>
      <c r="U97" s="33">
        <v>0.6</v>
      </c>
      <c r="V97" s="17" t="s">
        <v>204</v>
      </c>
      <c r="W97" s="17" t="s">
        <v>204</v>
      </c>
      <c r="X97" s="17" t="s">
        <v>216</v>
      </c>
      <c r="Y97" s="17" t="s">
        <v>216</v>
      </c>
      <c r="Z97" s="102">
        <v>17</v>
      </c>
      <c r="AA97" s="102">
        <v>3</v>
      </c>
      <c r="AB97" s="102">
        <v>2</v>
      </c>
      <c r="AC97" s="102">
        <v>2</v>
      </c>
      <c r="AD97" s="33">
        <v>0.56000000000000005</v>
      </c>
      <c r="AE97" s="33">
        <v>0.43</v>
      </c>
      <c r="AF97" s="25" t="str">
        <f>_xlfn.XLOOKUP(F97,'TFS Details'!F:F,'TFS Details'!H:H)</f>
        <v>PT In Test</v>
      </c>
      <c r="AG97" s="42">
        <v>2</v>
      </c>
      <c r="AH97" s="42">
        <v>0</v>
      </c>
      <c r="AI97" s="42">
        <v>0</v>
      </c>
      <c r="AJ97" s="42">
        <v>1</v>
      </c>
      <c r="AK97" s="38">
        <f>SUM(AG97:AJ97)</f>
        <v>3</v>
      </c>
      <c r="AL97" s="39">
        <f t="shared" si="12"/>
        <v>0.66666666666666663</v>
      </c>
      <c r="AM97" s="39">
        <f t="shared" si="13"/>
        <v>1</v>
      </c>
      <c r="AN97" s="25"/>
      <c r="AO97" s="25" t="str">
        <f>_xlfn.XLOOKUP(F97,'TFS Details'!F:F,'TFS Details'!I:I)</f>
        <v>TechWizards</v>
      </c>
      <c r="AP97" s="25" t="str">
        <f>_xlfn.XLOOKUP(AO97,'TFS Details'!I:I,'TFS Details'!AE:AE)</f>
        <v>mervinkumar.manickam</v>
      </c>
    </row>
    <row r="98" spans="1:42">
      <c r="A98" s="24" t="str">
        <f>_xlfn.XLOOKUP(F98,'TFS Details'!F:F,'TFS Details'!D:D)</f>
        <v>myISP_DNP</v>
      </c>
      <c r="B98" s="24" t="str">
        <f>_xlfn.XLOOKUP(F98,'TFS Details'!F:F,'TFS Details'!A:A)</f>
        <v>Online SI May Cr's</v>
      </c>
      <c r="C98" s="46">
        <f>_xlfn.XLOOKUP(F98,'TFS Details'!F:F,'TFS Details'!E:E)</f>
        <v>4334542</v>
      </c>
      <c r="D98" s="19" t="s">
        <v>27</v>
      </c>
      <c r="E98" s="139" t="s">
        <v>575</v>
      </c>
      <c r="F98" s="72">
        <v>4424935</v>
      </c>
      <c r="G98" s="18" t="s">
        <v>209</v>
      </c>
      <c r="H98" s="17" t="s">
        <v>214</v>
      </c>
      <c r="I98" s="265" t="s">
        <v>62</v>
      </c>
      <c r="J98" s="250" t="s">
        <v>20</v>
      </c>
      <c r="K98" s="16" t="s">
        <v>576</v>
      </c>
      <c r="L98" s="234" t="s">
        <v>577</v>
      </c>
      <c r="M98" s="17"/>
      <c r="N98" s="78"/>
      <c r="O98" s="273">
        <v>0.4</v>
      </c>
      <c r="P98" s="102"/>
      <c r="Q98" s="102"/>
      <c r="R98" s="102"/>
      <c r="S98" s="102"/>
      <c r="V98" s="17" t="s">
        <v>204</v>
      </c>
      <c r="W98" s="17" t="s">
        <v>216</v>
      </c>
      <c r="X98" s="17" t="s">
        <v>197</v>
      </c>
      <c r="Y98" s="17" t="s">
        <v>216</v>
      </c>
      <c r="Z98" s="102">
        <v>41</v>
      </c>
      <c r="AA98" s="102">
        <v>22</v>
      </c>
      <c r="AB98" s="102">
        <v>4</v>
      </c>
      <c r="AC98" s="102">
        <v>26</v>
      </c>
      <c r="AD98" s="33">
        <v>1</v>
      </c>
      <c r="AE98" s="33">
        <v>0.7</v>
      </c>
      <c r="AF98" s="25" t="str">
        <f>_xlfn.XLOOKUP(F98,'TFS Details'!F:F,'TFS Details'!H:H)</f>
        <v>PT In Test</v>
      </c>
      <c r="AG98" s="42">
        <v>2</v>
      </c>
      <c r="AH98" s="42">
        <v>0</v>
      </c>
      <c r="AI98" s="42">
        <v>0</v>
      </c>
      <c r="AJ98" s="42">
        <v>24</v>
      </c>
      <c r="AK98" s="38">
        <f t="shared" si="14"/>
        <v>26</v>
      </c>
      <c r="AL98" s="39">
        <f t="shared" si="12"/>
        <v>7.6923076923076927E-2</v>
      </c>
      <c r="AM98" s="39">
        <f t="shared" si="13"/>
        <v>1</v>
      </c>
      <c r="AN98" s="25"/>
      <c r="AO98" s="25" t="str">
        <f>_xlfn.XLOOKUP(F98,'TFS Details'!F:F,'TFS Details'!I:I)</f>
        <v>DevStormers</v>
      </c>
      <c r="AP98" s="25" t="str">
        <f>_xlfn.XLOOKUP(AO98,'TFS Details'!I:I,'TFS Details'!AE:AE)</f>
        <v>mervinkumar.manickam</v>
      </c>
    </row>
    <row r="99" spans="1:42">
      <c r="A99" s="24" t="str">
        <f>_xlfn.XLOOKUP(F99,'TFS Details'!F:F,'TFS Details'!D:D)</f>
        <v>IPC Calculator</v>
      </c>
      <c r="B99" s="24" t="str">
        <f>_xlfn.XLOOKUP(F99,'TFS Details'!F:F,'TFS Details'!A:A)</f>
        <v>IPC Calculator | Package and Cost screen UI changes</v>
      </c>
      <c r="C99" s="46">
        <f>_xlfn.XLOOKUP(F99,'TFS Details'!F:F,'TFS Details'!E:E)</f>
        <v>4313249</v>
      </c>
      <c r="D99" s="19" t="s">
        <v>27</v>
      </c>
      <c r="E99" s="139" t="s">
        <v>578</v>
      </c>
      <c r="F99" s="72">
        <v>4371247</v>
      </c>
      <c r="G99" s="18" t="s">
        <v>422</v>
      </c>
      <c r="H99" s="17" t="s">
        <v>214</v>
      </c>
      <c r="I99" s="265" t="s">
        <v>561</v>
      </c>
      <c r="J99" s="250" t="s">
        <v>20</v>
      </c>
      <c r="K99" s="16" t="s">
        <v>579</v>
      </c>
      <c r="L99" s="234" t="s">
        <v>566</v>
      </c>
      <c r="M99" s="17"/>
      <c r="N99" s="78"/>
      <c r="O99" s="273">
        <v>0.1</v>
      </c>
      <c r="P99" s="102"/>
      <c r="Q99" s="102"/>
      <c r="R99" s="102"/>
      <c r="S99" s="102"/>
      <c r="V99" s="17" t="s">
        <v>204</v>
      </c>
      <c r="W99" s="17" t="s">
        <v>204</v>
      </c>
      <c r="X99" s="17" t="s">
        <v>197</v>
      </c>
      <c r="Y99" s="17" t="s">
        <v>197</v>
      </c>
      <c r="Z99" s="102">
        <v>8</v>
      </c>
      <c r="AA99" s="102">
        <v>4</v>
      </c>
      <c r="AB99" s="102">
        <v>3</v>
      </c>
      <c r="AC99" s="102">
        <v>5</v>
      </c>
      <c r="AD99" s="33">
        <v>0.6</v>
      </c>
      <c r="AE99" s="33">
        <v>0.5</v>
      </c>
      <c r="AF99" s="25" t="str">
        <f>_xlfn.XLOOKUP(F99,'TFS Details'!F:F,'TFS Details'!H:H)</f>
        <v>In Development</v>
      </c>
      <c r="AG99" s="42">
        <v>0</v>
      </c>
      <c r="AH99" s="42">
        <v>0</v>
      </c>
      <c r="AI99" s="42">
        <v>0</v>
      </c>
      <c r="AJ99" s="42">
        <v>5</v>
      </c>
      <c r="AK99" s="38">
        <f t="shared" si="14"/>
        <v>5</v>
      </c>
      <c r="AL99" s="39">
        <f t="shared" si="12"/>
        <v>0</v>
      </c>
      <c r="AM99" s="39">
        <f t="shared" si="13"/>
        <v>0</v>
      </c>
      <c r="AN99" s="25"/>
      <c r="AO99" s="25" t="str">
        <f>_xlfn.XLOOKUP(F99,'TFS Details'!F:F,'TFS Details'!I:I)</f>
        <v>TechWizards</v>
      </c>
      <c r="AP99" s="25" t="str">
        <f>_xlfn.XLOOKUP(AO99,'TFS Details'!I:I,'TFS Details'!AE:AE)</f>
        <v>mervinkumar.manickam</v>
      </c>
    </row>
    <row r="100" spans="1:42">
      <c r="A100" s="24" t="str">
        <f>_xlfn.XLOOKUP(F100,'TFS Details'!F:F,'TFS Details'!D:D)</f>
        <v>IPC Calculator</v>
      </c>
      <c r="B100" s="24" t="str">
        <f>_xlfn.XLOOKUP(F100,'TFS Details'!F:F,'TFS Details'!A:A)</f>
        <v>IPC Calculator | Updated RAG logic for IPC Delivery Toolkit and IPC Lead PMO</v>
      </c>
      <c r="C100" s="46">
        <f>_xlfn.XLOOKUP(F100,'TFS Details'!F:F,'TFS Details'!E:E)</f>
        <v>4341338</v>
      </c>
      <c r="D100" s="19" t="s">
        <v>27</v>
      </c>
      <c r="E100" s="139" t="s">
        <v>580</v>
      </c>
      <c r="F100" s="72">
        <v>4357874</v>
      </c>
      <c r="G100" s="18" t="s">
        <v>419</v>
      </c>
      <c r="H100" s="17" t="s">
        <v>214</v>
      </c>
      <c r="J100" s="250" t="s">
        <v>18</v>
      </c>
      <c r="K100" s="16" t="s">
        <v>581</v>
      </c>
      <c r="L100" s="66" t="s">
        <v>77</v>
      </c>
      <c r="M100" s="17"/>
      <c r="N100" s="78"/>
      <c r="P100" s="102"/>
      <c r="Q100" s="102"/>
      <c r="R100" s="102"/>
      <c r="S100" s="102"/>
      <c r="V100" s="17" t="s">
        <v>204</v>
      </c>
      <c r="W100" s="17" t="s">
        <v>204</v>
      </c>
      <c r="X100" s="17" t="s">
        <v>197</v>
      </c>
      <c r="Y100" s="17" t="s">
        <v>197</v>
      </c>
      <c r="Z100" s="102">
        <v>23</v>
      </c>
      <c r="AA100" s="102">
        <v>18</v>
      </c>
      <c r="AB100" s="102">
        <v>0</v>
      </c>
      <c r="AC100" s="102">
        <v>8</v>
      </c>
      <c r="AD100" s="33">
        <v>0.9</v>
      </c>
      <c r="AE100" s="33">
        <v>0.9</v>
      </c>
      <c r="AF100" s="25" t="str">
        <f>_xlfn.XLOOKUP(F100,'TFS Details'!F:F,'TFS Details'!H:H)</f>
        <v>In Development</v>
      </c>
      <c r="AG100" s="42">
        <v>0</v>
      </c>
      <c r="AH100" s="42">
        <v>0</v>
      </c>
      <c r="AI100" s="42">
        <v>0</v>
      </c>
      <c r="AJ100" s="42">
        <v>8</v>
      </c>
      <c r="AK100" s="38">
        <f>SUM(AG100:AJ100)</f>
        <v>8</v>
      </c>
      <c r="AL100" s="39">
        <f t="shared" si="12"/>
        <v>0</v>
      </c>
      <c r="AM100" s="39">
        <f t="shared" si="13"/>
        <v>0</v>
      </c>
      <c r="AN100" s="25"/>
      <c r="AO100" s="25" t="str">
        <f>_xlfn.XLOOKUP(F100,'TFS Details'!F:F,'TFS Details'!I:I)</f>
        <v>TechAvengers</v>
      </c>
      <c r="AP100" s="25" t="str">
        <f>_xlfn.XLOOKUP(AO100,'TFS Details'!I:I,'TFS Details'!AE:AE)</f>
        <v>mervinkumar.manickam</v>
      </c>
    </row>
    <row r="101" spans="1:42">
      <c r="A101" s="24" t="str">
        <f>_xlfn.XLOOKUP(F101,'TFS Details'!F:F,'TFS Details'!D:D)</f>
        <v>myISP_ DNP</v>
      </c>
      <c r="B101" s="24" t="str">
        <f>_xlfn.XLOOKUP(F101,'TFS Details'!F:F,'TFS Details'!A:A)</f>
        <v>DNP - seat charges WFO design change (YOY WFO % level) - Online SI and PCW</v>
      </c>
      <c r="C101" s="46">
        <f>_xlfn.XLOOKUP(F101,'TFS Details'!F:F,'TFS Details'!E:E)</f>
        <v>4262937</v>
      </c>
      <c r="D101" s="19" t="s">
        <v>27</v>
      </c>
      <c r="E101" s="139" t="s">
        <v>418</v>
      </c>
      <c r="F101" s="72">
        <v>4335613</v>
      </c>
      <c r="G101" s="18" t="s">
        <v>214</v>
      </c>
      <c r="H101" s="17" t="s">
        <v>563</v>
      </c>
      <c r="J101" s="250" t="s">
        <v>18</v>
      </c>
      <c r="K101" s="16" t="s">
        <v>420</v>
      </c>
      <c r="L101" s="234" t="s">
        <v>59</v>
      </c>
      <c r="M101" s="66"/>
      <c r="N101" s="78"/>
      <c r="P101" s="102"/>
      <c r="Q101" s="102"/>
      <c r="R101" s="102"/>
      <c r="S101" s="102"/>
      <c r="V101" s="17" t="s">
        <v>204</v>
      </c>
      <c r="W101" s="17" t="s">
        <v>216</v>
      </c>
      <c r="X101" s="17" t="s">
        <v>197</v>
      </c>
      <c r="Y101" s="17" t="s">
        <v>197</v>
      </c>
      <c r="Z101" s="102">
        <v>20</v>
      </c>
      <c r="AA101" s="102">
        <v>13</v>
      </c>
      <c r="AB101" s="102">
        <v>10</v>
      </c>
      <c r="AC101" s="102">
        <v>13</v>
      </c>
      <c r="AD101" s="33">
        <v>1</v>
      </c>
      <c r="AE101" s="33">
        <v>1</v>
      </c>
      <c r="AF101" s="25" t="str">
        <f>_xlfn.XLOOKUP(F101,'TFS Details'!F:F,'TFS Details'!H:H)</f>
        <v>In Development</v>
      </c>
      <c r="AG101" s="42">
        <v>0</v>
      </c>
      <c r="AH101" s="42">
        <v>0</v>
      </c>
      <c r="AI101" s="42">
        <v>0</v>
      </c>
      <c r="AJ101" s="42">
        <v>13</v>
      </c>
      <c r="AK101" s="38">
        <f>SUM(AG101:AJ101)</f>
        <v>13</v>
      </c>
      <c r="AL101" s="39">
        <f t="shared" si="12"/>
        <v>0</v>
      </c>
      <c r="AM101" s="39">
        <f t="shared" si="13"/>
        <v>0</v>
      </c>
      <c r="AN101" s="25"/>
      <c r="AO101" s="25" t="str">
        <f>_xlfn.XLOOKUP(F101,'TFS Details'!F:F,'TFS Details'!I:I)</f>
        <v>DevStormers</v>
      </c>
      <c r="AP101" s="25" t="str">
        <f>_xlfn.XLOOKUP(AO101,'TFS Details'!I:I,'TFS Details'!AE:AE)</f>
        <v>mervinkumar.manickam</v>
      </c>
    </row>
    <row r="102" spans="1:42">
      <c r="A102" s="24" t="str">
        <f>_xlfn.XLOOKUP(F102,'TFS Details'!F:F,'TFS Details'!D:D)</f>
        <v>SI</v>
      </c>
      <c r="B102" s="24" t="str">
        <f>_xlfn.XLOOKUP(F102,'TFS Details'!F:F,'TFS Details'!A:A)</f>
        <v>Dynamic Target Pricing - Remaining Scope - May Release</v>
      </c>
      <c r="C102" s="46">
        <f>_xlfn.XLOOKUP(F102,'TFS Details'!F:F,'TFS Details'!E:E)</f>
        <v>4422839</v>
      </c>
      <c r="D102" s="19" t="s">
        <v>27</v>
      </c>
      <c r="E102" s="139" t="s">
        <v>582</v>
      </c>
      <c r="F102" s="157">
        <v>4437691</v>
      </c>
      <c r="G102" s="180" t="s">
        <v>214</v>
      </c>
      <c r="H102" s="17" t="s">
        <v>208</v>
      </c>
      <c r="I102" s="226"/>
      <c r="J102" s="250" t="s">
        <v>18</v>
      </c>
      <c r="K102" s="16" t="s">
        <v>59</v>
      </c>
      <c r="L102" s="234" t="s">
        <v>59</v>
      </c>
      <c r="M102" s="66"/>
      <c r="N102" s="78"/>
      <c r="P102" s="102"/>
      <c r="Q102" s="102"/>
      <c r="R102" s="102"/>
      <c r="S102" s="102"/>
      <c r="V102" s="17" t="s">
        <v>204</v>
      </c>
      <c r="W102" s="17" t="s">
        <v>216</v>
      </c>
      <c r="X102" s="17" t="s">
        <v>197</v>
      </c>
      <c r="Y102" s="17" t="s">
        <v>216</v>
      </c>
      <c r="Z102" s="102">
        <v>25</v>
      </c>
      <c r="AA102" s="102">
        <v>9</v>
      </c>
      <c r="AB102" s="102">
        <v>7</v>
      </c>
      <c r="AC102" s="102">
        <v>9</v>
      </c>
      <c r="AD102" s="33">
        <v>1</v>
      </c>
      <c r="AE102" s="33">
        <v>1</v>
      </c>
      <c r="AF102" s="25" t="str">
        <f>_xlfn.XLOOKUP(F102,'TFS Details'!F:F,'TFS Details'!H:H)</f>
        <v>PT In Test</v>
      </c>
      <c r="AG102" s="42">
        <v>1</v>
      </c>
      <c r="AH102" s="42">
        <v>0</v>
      </c>
      <c r="AI102" s="42">
        <v>0</v>
      </c>
      <c r="AJ102" s="42">
        <v>8</v>
      </c>
      <c r="AK102" s="38">
        <f>SUM(AG102:AJ102)</f>
        <v>9</v>
      </c>
      <c r="AL102" s="39">
        <f>IF(AG102+AH102=0,0,SUM(AG102:AH102)/AK102)</f>
        <v>0.1111111111111111</v>
      </c>
      <c r="AM102" s="39">
        <f>IF(AG102=0,0,AG102/(SUM(AG102:AI102)))</f>
        <v>1</v>
      </c>
      <c r="AN102" s="25"/>
      <c r="AO102" s="25" t="str">
        <f>_xlfn.XLOOKUP(F102,'TFS Details'!F:F,'TFS Details'!I:I)</f>
        <v>DevStormers</v>
      </c>
      <c r="AP102" s="25" t="str">
        <f>_xlfn.XLOOKUP(AO102,'TFS Details'!I:I,'TFS Details'!AE:AE)</f>
        <v>mervinkumar.manickam</v>
      </c>
    </row>
    <row r="103" spans="1:42" ht="12.95">
      <c r="A103" s="24" t="str">
        <f>_xlfn.XLOOKUP(F103,'TFS Details'!F:F,'TFS Details'!D:D)</f>
        <v>SI KDA</v>
      </c>
      <c r="B103" s="24" t="str">
        <f>_xlfn.XLOOKUP(F103,'TFS Details'!F:F,'TFS Details'!A:A)</f>
        <v>WFH - ATCI and WFH ATCP to include updated logic from DNP</v>
      </c>
      <c r="C103" s="46">
        <f>_xlfn.XLOOKUP(F103,'TFS Details'!F:F,'TFS Details'!E:E)</f>
        <v>4250760</v>
      </c>
      <c r="D103" s="17" t="s">
        <v>54</v>
      </c>
      <c r="E103" s="139" t="s">
        <v>583</v>
      </c>
      <c r="F103" s="72">
        <v>4371477</v>
      </c>
      <c r="G103" s="144" t="s">
        <v>353</v>
      </c>
      <c r="H103" s="17" t="s">
        <v>354</v>
      </c>
      <c r="J103" s="250" t="s">
        <v>18</v>
      </c>
      <c r="K103" s="248" t="s">
        <v>584</v>
      </c>
      <c r="L103" s="234" t="s">
        <v>77</v>
      </c>
      <c r="M103" s="17"/>
      <c r="N103" s="78"/>
      <c r="P103" s="102"/>
      <c r="Q103" s="102"/>
      <c r="R103" s="102"/>
      <c r="S103" s="102"/>
      <c r="V103" s="17" t="s">
        <v>204</v>
      </c>
      <c r="W103" s="17" t="s">
        <v>204</v>
      </c>
      <c r="X103" s="17" t="s">
        <v>204</v>
      </c>
      <c r="Y103" s="17" t="s">
        <v>197</v>
      </c>
      <c r="Z103" s="102">
        <v>17</v>
      </c>
      <c r="AA103" s="102">
        <v>17</v>
      </c>
      <c r="AB103" s="102">
        <v>0</v>
      </c>
      <c r="AC103" s="102">
        <v>17</v>
      </c>
      <c r="AD103" s="33">
        <f>AA103/AC103</f>
        <v>1</v>
      </c>
      <c r="AE103" s="33">
        <v>0.9</v>
      </c>
      <c r="AF103" s="25" t="str">
        <f>_xlfn.XLOOKUP(F103,'TFS Details'!F:F,'TFS Details'!H:H)</f>
        <v>Ready to Deploy</v>
      </c>
      <c r="AG103" s="42">
        <v>0</v>
      </c>
      <c r="AH103" s="42">
        <v>0</v>
      </c>
      <c r="AI103" s="42">
        <v>0</v>
      </c>
      <c r="AJ103" s="42">
        <v>17</v>
      </c>
      <c r="AK103" s="38">
        <f t="shared" si="14"/>
        <v>17</v>
      </c>
      <c r="AL103" s="39">
        <f t="shared" si="12"/>
        <v>0</v>
      </c>
      <c r="AM103" s="39">
        <f t="shared" si="13"/>
        <v>0</v>
      </c>
      <c r="AN103" s="25"/>
      <c r="AO103" s="25" t="str">
        <f>_xlfn.XLOOKUP(F103,'TFS Details'!F:F,'TFS Details'!I:I)</f>
        <v>CodeCrafters</v>
      </c>
      <c r="AP103" s="25" t="str">
        <f>_xlfn.XLOOKUP(AO103,'TFS Details'!I:I,'TFS Details'!AE:AE)</f>
        <v>sona.job</v>
      </c>
    </row>
    <row r="104" spans="1:42">
      <c r="A104" s="24" t="str">
        <f>_xlfn.XLOOKUP(F104,'TFS Details'!F:F,'TFS Details'!D:D)</f>
        <v>IPC Calculator</v>
      </c>
      <c r="B104" s="24" t="str">
        <f>_xlfn.XLOOKUP(F104,'TFS Details'!F:F,'TFS Details'!A:A)</f>
        <v>IPC Calculator | New Exemption Reasons</v>
      </c>
      <c r="C104" s="46">
        <f>_xlfn.XLOOKUP(F104,'TFS Details'!F:F,'TFS Details'!E:E)</f>
        <v>4428652</v>
      </c>
      <c r="D104" s="17" t="s">
        <v>54</v>
      </c>
      <c r="E104" s="139" t="s">
        <v>585</v>
      </c>
      <c r="F104" s="72">
        <v>4428657</v>
      </c>
      <c r="G104" s="145" t="s">
        <v>348</v>
      </c>
      <c r="H104" s="17" t="s">
        <v>347</v>
      </c>
      <c r="I104" s="21" t="s">
        <v>76</v>
      </c>
      <c r="J104" s="234" t="s">
        <v>1</v>
      </c>
      <c r="K104" s="142"/>
      <c r="L104" s="234"/>
      <c r="M104" s="17" t="s">
        <v>461</v>
      </c>
      <c r="N104" s="78"/>
      <c r="O104" s="273">
        <v>0.3</v>
      </c>
      <c r="P104" s="102">
        <v>15</v>
      </c>
      <c r="Q104" s="102">
        <v>12</v>
      </c>
      <c r="R104" s="102">
        <v>1</v>
      </c>
      <c r="S104" s="102">
        <v>12</v>
      </c>
      <c r="T104" s="33">
        <v>0.92</v>
      </c>
      <c r="U104" s="33">
        <v>0.6</v>
      </c>
      <c r="V104" s="17" t="s">
        <v>204</v>
      </c>
      <c r="W104" s="17" t="s">
        <v>204</v>
      </c>
      <c r="X104" s="17" t="s">
        <v>197</v>
      </c>
      <c r="Y104" s="17" t="s">
        <v>216</v>
      </c>
      <c r="Z104" s="102">
        <v>15</v>
      </c>
      <c r="AA104" s="102">
        <v>13</v>
      </c>
      <c r="AB104" s="102">
        <v>2</v>
      </c>
      <c r="AC104" s="102">
        <v>15</v>
      </c>
      <c r="AD104" s="33">
        <v>0.86</v>
      </c>
      <c r="AE104" s="33">
        <v>0.85</v>
      </c>
      <c r="AF104" s="25" t="str">
        <f>_xlfn.XLOOKUP(F104,'TFS Details'!F:F,'TFS Details'!H:H)</f>
        <v>PT In Test</v>
      </c>
      <c r="AG104" s="42">
        <v>0</v>
      </c>
      <c r="AH104" s="42">
        <v>0</v>
      </c>
      <c r="AI104" s="42">
        <v>0</v>
      </c>
      <c r="AJ104" s="42">
        <v>15</v>
      </c>
      <c r="AK104" s="38">
        <f>SUM(AG104:AJ104)</f>
        <v>15</v>
      </c>
      <c r="AL104" s="39">
        <f t="shared" si="12"/>
        <v>0</v>
      </c>
      <c r="AM104" s="39">
        <f t="shared" si="13"/>
        <v>0</v>
      </c>
      <c r="AN104" s="25"/>
      <c r="AO104" s="25" t="str">
        <f>_xlfn.XLOOKUP(F104,'TFS Details'!F:F,'TFS Details'!I:I)</f>
        <v>CodeCrafters</v>
      </c>
      <c r="AP104" s="25" t="str">
        <f>_xlfn.XLOOKUP(AO104,'TFS Details'!I:I,'TFS Details'!AE:AE)</f>
        <v>sona.job</v>
      </c>
    </row>
    <row r="105" spans="1:42">
      <c r="A105" s="24" t="str">
        <f>_xlfn.XLOOKUP(F105,'TFS Details'!F:F,'TFS Details'!D:D)</f>
        <v>SI Data</v>
      </c>
      <c r="B105" s="24" t="str">
        <f>_xlfn.XLOOKUP(F105,'TFS Details'!F:F,'TFS Details'!A:A)</f>
        <v>SI-MMP FFP, Data: Updating the logic for populating the Deal Rag Status in KDA Variance Analysis Report</v>
      </c>
      <c r="C105" s="46">
        <f>_xlfn.XLOOKUP(F105,'TFS Details'!F:F,'TFS Details'!E:E)</f>
        <v>4441807</v>
      </c>
      <c r="D105" s="17" t="s">
        <v>54</v>
      </c>
      <c r="E105" s="139" t="s">
        <v>414</v>
      </c>
      <c r="F105" s="72">
        <v>4440942</v>
      </c>
      <c r="G105" s="145" t="s">
        <v>586</v>
      </c>
      <c r="H105" s="17" t="s">
        <v>400</v>
      </c>
      <c r="J105" s="250" t="s">
        <v>18</v>
      </c>
      <c r="K105" s="23" t="s">
        <v>587</v>
      </c>
      <c r="L105" s="234" t="s">
        <v>50</v>
      </c>
      <c r="M105" s="17"/>
      <c r="N105" s="78"/>
      <c r="P105" s="102"/>
      <c r="Q105" s="102"/>
      <c r="R105" s="102"/>
      <c r="S105" s="102"/>
      <c r="V105" s="17" t="s">
        <v>204</v>
      </c>
      <c r="W105" s="17" t="s">
        <v>204</v>
      </c>
      <c r="X105" s="17" t="s">
        <v>204</v>
      </c>
      <c r="Y105" s="17" t="s">
        <v>216</v>
      </c>
      <c r="Z105" s="102"/>
      <c r="AA105" s="102"/>
      <c r="AB105" s="102"/>
      <c r="AC105" s="102">
        <v>13</v>
      </c>
      <c r="AD105" s="33"/>
      <c r="AE105" s="33"/>
      <c r="AF105" s="25" t="str">
        <f>_xlfn.XLOOKUP(F105,'TFS Details'!F:F,'TFS Details'!H:H)</f>
        <v>PT In Test</v>
      </c>
      <c r="AG105" s="42">
        <v>6</v>
      </c>
      <c r="AH105" s="42">
        <v>0</v>
      </c>
      <c r="AI105" s="42">
        <v>0</v>
      </c>
      <c r="AJ105" s="42">
        <v>8</v>
      </c>
      <c r="AK105" s="38">
        <f t="shared" si="14"/>
        <v>14</v>
      </c>
      <c r="AL105" s="39">
        <f t="shared" si="12"/>
        <v>0.42857142857142855</v>
      </c>
      <c r="AM105" s="39">
        <f t="shared" si="13"/>
        <v>1</v>
      </c>
      <c r="AN105" s="25"/>
      <c r="AO105" s="25" t="str">
        <f>_xlfn.XLOOKUP(F105,'TFS Details'!F:F,'TFS Details'!I:I)</f>
        <v>CodeCrafters</v>
      </c>
      <c r="AP105" s="25" t="str">
        <f>_xlfn.XLOOKUP(AO105,'TFS Details'!I:I,'TFS Details'!AE:AE)</f>
        <v>sona.job</v>
      </c>
    </row>
    <row r="106" spans="1:42">
      <c r="A106" s="24" t="str">
        <f>_xlfn.XLOOKUP(F106,'TFS Details'!F:F,'TFS Details'!D:D)</f>
        <v>SI MMP FFP</v>
      </c>
      <c r="B106" s="24" t="str">
        <f>_xlfn.XLOOKUP(F106,'TFS Details'!F:F,'TFS Details'!A:A)</f>
        <v>SI-MMP FFP, Data: Updating the logic for populating the Deal Rag Status in KDA Variance Analysis Report</v>
      </c>
      <c r="C106" s="46">
        <f>_xlfn.XLOOKUP(F106,'TFS Details'!F:F,'TFS Details'!E:E)</f>
        <v>4441807</v>
      </c>
      <c r="D106" s="17" t="s">
        <v>54</v>
      </c>
      <c r="E106" s="139" t="s">
        <v>399</v>
      </c>
      <c r="F106" s="72">
        <v>4443542</v>
      </c>
      <c r="G106" s="145" t="s">
        <v>586</v>
      </c>
      <c r="H106" s="17" t="s">
        <v>400</v>
      </c>
      <c r="J106" s="250" t="s">
        <v>18</v>
      </c>
      <c r="K106" s="23" t="s">
        <v>587</v>
      </c>
      <c r="L106" s="234" t="s">
        <v>50</v>
      </c>
      <c r="M106" s="17"/>
      <c r="N106" s="78"/>
      <c r="P106" s="102"/>
      <c r="Q106" s="102"/>
      <c r="R106" s="102"/>
      <c r="S106" s="102"/>
      <c r="V106" s="17" t="s">
        <v>204</v>
      </c>
      <c r="W106" s="17" t="s">
        <v>204</v>
      </c>
      <c r="X106" s="17" t="s">
        <v>204</v>
      </c>
      <c r="Y106" s="17" t="s">
        <v>216</v>
      </c>
      <c r="Z106" s="102"/>
      <c r="AA106" s="102"/>
      <c r="AB106" s="102"/>
      <c r="AC106" s="102">
        <v>13</v>
      </c>
      <c r="AD106" s="33"/>
      <c r="AE106" s="33"/>
      <c r="AF106" s="25" t="str">
        <f>_xlfn.XLOOKUP(F106,'TFS Details'!F:F,'TFS Details'!H:H)</f>
        <v>PT In Test</v>
      </c>
      <c r="AG106" s="42">
        <v>6</v>
      </c>
      <c r="AH106" s="42">
        <v>0</v>
      </c>
      <c r="AI106" s="42">
        <v>0</v>
      </c>
      <c r="AJ106" s="42">
        <v>8</v>
      </c>
      <c r="AK106" s="38">
        <f t="shared" si="14"/>
        <v>14</v>
      </c>
      <c r="AL106" s="39">
        <f t="shared" si="12"/>
        <v>0.42857142857142855</v>
      </c>
      <c r="AM106" s="39">
        <f t="shared" si="13"/>
        <v>1</v>
      </c>
      <c r="AN106" s="25"/>
      <c r="AO106" s="25" t="str">
        <f>_xlfn.XLOOKUP(F106,'TFS Details'!F:F,'TFS Details'!I:I)</f>
        <v>CodeCrafters</v>
      </c>
      <c r="AP106" s="25" t="str">
        <f>_xlfn.XLOOKUP(AO106,'TFS Details'!I:I,'TFS Details'!AE:AE)</f>
        <v>sona.job</v>
      </c>
    </row>
    <row r="107" spans="1:42">
      <c r="A107" s="24" t="str">
        <f>_xlfn.XLOOKUP(F107,'TFS Details'!F:F,'TFS Details'!D:D)</f>
        <v>Differentiation</v>
      </c>
      <c r="B107" s="24" t="str">
        <f>_xlfn.XLOOKUP(F107,'TFS Details'!F:F,'TFS Details'!A:A)</f>
        <v>Differentiation Decommission</v>
      </c>
      <c r="C107" s="46">
        <f>_xlfn.XLOOKUP(F107,'TFS Details'!F:F,'TFS Details'!E:E)</f>
        <v>4372017</v>
      </c>
      <c r="D107" s="17" t="s">
        <v>54</v>
      </c>
      <c r="E107" s="139" t="s">
        <v>394</v>
      </c>
      <c r="F107" s="72">
        <v>4362070</v>
      </c>
      <c r="G107" s="145" t="s">
        <v>348</v>
      </c>
      <c r="H107" s="17" t="s">
        <v>347</v>
      </c>
      <c r="I107" s="21" t="s">
        <v>76</v>
      </c>
      <c r="J107" s="250" t="s">
        <v>20</v>
      </c>
      <c r="K107" s="160" t="s">
        <v>395</v>
      </c>
      <c r="L107" s="234" t="s">
        <v>196</v>
      </c>
      <c r="M107" s="17" t="s">
        <v>311</v>
      </c>
      <c r="N107" s="78"/>
      <c r="O107" s="273">
        <v>0.1</v>
      </c>
      <c r="P107" s="102">
        <v>17</v>
      </c>
      <c r="Q107" s="102">
        <v>12</v>
      </c>
      <c r="R107" s="102">
        <v>1</v>
      </c>
      <c r="S107" s="102">
        <v>13</v>
      </c>
      <c r="T107" s="33">
        <v>0.85</v>
      </c>
      <c r="U107" s="33">
        <v>0.55000000000000004</v>
      </c>
      <c r="V107" s="17" t="s">
        <v>204</v>
      </c>
      <c r="W107" s="17" t="s">
        <v>204</v>
      </c>
      <c r="X107" s="17" t="s">
        <v>197</v>
      </c>
      <c r="Y107" s="17" t="s">
        <v>216</v>
      </c>
      <c r="Z107" s="102">
        <v>24</v>
      </c>
      <c r="AA107" s="102">
        <v>14</v>
      </c>
      <c r="AB107" s="102">
        <v>3</v>
      </c>
      <c r="AC107" s="102">
        <v>17</v>
      </c>
      <c r="AD107" s="33">
        <v>0.82350000000000001</v>
      </c>
      <c r="AE107" s="33">
        <v>0.75</v>
      </c>
      <c r="AF107" s="25" t="str">
        <f>_xlfn.XLOOKUP(F107,'TFS Details'!F:F,'TFS Details'!H:H)</f>
        <v>In Development</v>
      </c>
      <c r="AG107" s="42">
        <v>0</v>
      </c>
      <c r="AH107" s="42">
        <v>0</v>
      </c>
      <c r="AI107" s="42">
        <v>0</v>
      </c>
      <c r="AJ107" s="102">
        <v>17</v>
      </c>
      <c r="AK107" s="38">
        <f t="shared" si="14"/>
        <v>17</v>
      </c>
      <c r="AL107" s="39">
        <f t="shared" si="12"/>
        <v>0</v>
      </c>
      <c r="AM107" s="39">
        <f t="shared" si="13"/>
        <v>0</v>
      </c>
      <c r="AN107" s="25"/>
      <c r="AO107" s="25" t="str">
        <f>_xlfn.XLOOKUP(F107,'TFS Details'!F:F,'TFS Details'!I:I)</f>
        <v>TechSprinters</v>
      </c>
      <c r="AP107" s="25" t="str">
        <f>_xlfn.XLOOKUP(AO107,'TFS Details'!I:I,'TFS Details'!AE:AE)</f>
        <v>mervinkumar.manickam</v>
      </c>
    </row>
    <row r="108" spans="1:42">
      <c r="A108" s="24" t="str">
        <f>_xlfn.XLOOKUP(F108,'TFS Details'!F:F,'TFS Details'!D:D)</f>
        <v>Online SI</v>
      </c>
      <c r="B108" s="24" t="str">
        <f>_xlfn.XLOOKUP(F108,'TFS Details'!F:F,'TFS Details'!A:A)</f>
        <v>|Query | 11th Oct | UAT | PCW|MMP FFP| Not Getting value for Activity (BPMS) column for MMP FFP template when generated via Online, however PCW offline export template is displaying value.</v>
      </c>
      <c r="C108" s="46">
        <f>_xlfn.XLOOKUP(F108,'TFS Details'!F:F,'TFS Details'!E:E)</f>
        <v>4165954</v>
      </c>
      <c r="D108" s="17" t="s">
        <v>54</v>
      </c>
      <c r="E108" s="139" t="s">
        <v>392</v>
      </c>
      <c r="F108" s="72">
        <v>4183616</v>
      </c>
      <c r="G108" s="145" t="s">
        <v>347</v>
      </c>
      <c r="H108" s="17" t="s">
        <v>348</v>
      </c>
      <c r="J108" s="250" t="s">
        <v>18</v>
      </c>
      <c r="K108" s="23" t="s">
        <v>587</v>
      </c>
      <c r="L108" s="234" t="s">
        <v>50</v>
      </c>
      <c r="M108" s="17"/>
      <c r="N108" s="78"/>
      <c r="P108" s="102"/>
      <c r="Q108" s="102"/>
      <c r="R108" s="102"/>
      <c r="S108" s="102"/>
      <c r="V108" s="17" t="s">
        <v>204</v>
      </c>
      <c r="W108" s="17" t="s">
        <v>204</v>
      </c>
      <c r="X108" s="17" t="s">
        <v>197</v>
      </c>
      <c r="Y108" s="17" t="s">
        <v>216</v>
      </c>
      <c r="Z108" s="102">
        <v>26</v>
      </c>
      <c r="AA108" s="102">
        <v>14</v>
      </c>
      <c r="AB108" s="102">
        <v>1</v>
      </c>
      <c r="AC108" s="102">
        <v>15</v>
      </c>
      <c r="AD108" s="33">
        <v>0.94</v>
      </c>
      <c r="AE108" s="33">
        <v>0.95</v>
      </c>
      <c r="AF108" s="25" t="str">
        <f>_xlfn.XLOOKUP(F108,'TFS Details'!F:F,'TFS Details'!H:H)</f>
        <v>PT In Test</v>
      </c>
      <c r="AG108" s="42">
        <v>6</v>
      </c>
      <c r="AH108" s="42">
        <v>0</v>
      </c>
      <c r="AI108" s="42">
        <v>0</v>
      </c>
      <c r="AJ108" s="102">
        <v>9</v>
      </c>
      <c r="AK108" s="38">
        <f t="shared" si="14"/>
        <v>15</v>
      </c>
      <c r="AL108" s="39">
        <f t="shared" si="12"/>
        <v>0.4</v>
      </c>
      <c r="AM108" s="39">
        <f t="shared" si="13"/>
        <v>1</v>
      </c>
      <c r="AN108" s="25"/>
      <c r="AO108" s="25" t="str">
        <f>_xlfn.XLOOKUP(F108,'TFS Details'!F:F,'TFS Details'!I:I)</f>
        <v>DevStormers</v>
      </c>
      <c r="AP108" s="25" t="str">
        <f>_xlfn.XLOOKUP(AO108,'TFS Details'!I:I,'TFS Details'!AE:AE)</f>
        <v>mervinkumar.manickam</v>
      </c>
    </row>
    <row r="109" spans="1:42">
      <c r="A109" s="24" t="str">
        <f>_xlfn.XLOOKUP(F109,'TFS Details'!F:F,'TFS Details'!D:D)</f>
        <v>FFP</v>
      </c>
      <c r="B109" s="24" t="str">
        <f>_xlfn.XLOOKUP(F109,'TFS Details'!F:F,'TFS Details'!A:A)</f>
        <v>Dynamic Target Pricing - Remaining Scope - May Release</v>
      </c>
      <c r="C109" s="46">
        <f>_xlfn.XLOOKUP(F109,'TFS Details'!F:F,'TFS Details'!E:E)</f>
        <v>4422839</v>
      </c>
      <c r="D109" s="17" t="s">
        <v>54</v>
      </c>
      <c r="E109" s="139" t="s">
        <v>389</v>
      </c>
      <c r="F109" s="72">
        <v>4390540</v>
      </c>
      <c r="G109" s="145" t="s">
        <v>385</v>
      </c>
      <c r="H109" s="17" t="s">
        <v>586</v>
      </c>
      <c r="I109" s="21" t="s">
        <v>588</v>
      </c>
      <c r="J109" s="250" t="s">
        <v>20</v>
      </c>
      <c r="K109" s="16" t="s">
        <v>390</v>
      </c>
      <c r="L109" s="234" t="s">
        <v>196</v>
      </c>
      <c r="M109" s="17" t="s">
        <v>461</v>
      </c>
      <c r="N109" s="78"/>
      <c r="O109" s="273">
        <v>0</v>
      </c>
      <c r="P109" s="102"/>
      <c r="Q109" s="102"/>
      <c r="R109" s="102"/>
      <c r="S109" s="102"/>
      <c r="V109" s="17" t="s">
        <v>204</v>
      </c>
      <c r="W109" s="17" t="s">
        <v>204</v>
      </c>
      <c r="X109" s="17" t="s">
        <v>197</v>
      </c>
      <c r="Y109" s="17" t="s">
        <v>197</v>
      </c>
      <c r="Z109" s="102">
        <v>35</v>
      </c>
      <c r="AA109" s="102">
        <v>33</v>
      </c>
      <c r="AB109" s="102">
        <v>0</v>
      </c>
      <c r="AC109" s="102">
        <v>33</v>
      </c>
      <c r="AD109" s="33">
        <v>1</v>
      </c>
      <c r="AE109" s="33">
        <v>0.9</v>
      </c>
      <c r="AF109" s="25" t="str">
        <f>_xlfn.XLOOKUP(F109,'TFS Details'!F:F,'TFS Details'!H:H)</f>
        <v>In Development</v>
      </c>
      <c r="AG109" s="42">
        <v>0</v>
      </c>
      <c r="AH109" s="42">
        <v>0</v>
      </c>
      <c r="AI109" s="42">
        <v>0</v>
      </c>
      <c r="AJ109" s="38">
        <v>33</v>
      </c>
      <c r="AK109" s="38">
        <f t="shared" si="14"/>
        <v>33</v>
      </c>
      <c r="AL109" s="39">
        <f t="shared" si="12"/>
        <v>0</v>
      </c>
      <c r="AM109" s="39">
        <f t="shared" si="13"/>
        <v>0</v>
      </c>
      <c r="AN109" s="25"/>
      <c r="AO109" s="25" t="str">
        <f>_xlfn.XLOOKUP(F109,'TFS Details'!F:F,'TFS Details'!I:I)</f>
        <v>TechWizards</v>
      </c>
      <c r="AP109" s="25" t="str">
        <f>_xlfn.XLOOKUP(AO109,'TFS Details'!I:I,'TFS Details'!AE:AE)</f>
        <v>mervinkumar.manickam</v>
      </c>
    </row>
    <row r="110" spans="1:42">
      <c r="A110" s="24" t="str">
        <f>_xlfn.XLOOKUP(F110,'TFS Details'!F:F,'TFS Details'!D:D)</f>
        <v>Offline Utility</v>
      </c>
      <c r="B110" s="24" t="str">
        <f>_xlfn.XLOOKUP(F110,'TFS Details'!F:F,'TFS Details'!A:A)</f>
        <v>Dynamic Target Pricing - Remaining Scope - May Release</v>
      </c>
      <c r="C110" s="46">
        <f>_xlfn.XLOOKUP(F110,'TFS Details'!F:F,'TFS Details'!E:E)</f>
        <v>4422839</v>
      </c>
      <c r="D110" s="17" t="s">
        <v>54</v>
      </c>
      <c r="E110" s="139" t="s">
        <v>384</v>
      </c>
      <c r="F110" s="72">
        <v>4390542</v>
      </c>
      <c r="G110" s="145" t="s">
        <v>385</v>
      </c>
      <c r="H110" s="17" t="s">
        <v>586</v>
      </c>
      <c r="J110" s="250" t="s">
        <v>18</v>
      </c>
      <c r="K110" s="23" t="s">
        <v>587</v>
      </c>
      <c r="L110" s="234" t="s">
        <v>50</v>
      </c>
      <c r="M110" s="17"/>
      <c r="N110" s="78"/>
      <c r="P110" s="102"/>
      <c r="Q110" s="102"/>
      <c r="R110" s="102"/>
      <c r="S110" s="102"/>
      <c r="V110" s="17" t="s">
        <v>204</v>
      </c>
      <c r="W110" s="17" t="s">
        <v>204</v>
      </c>
      <c r="X110" s="17" t="s">
        <v>197</v>
      </c>
      <c r="Y110" s="17" t="s">
        <v>197</v>
      </c>
      <c r="Z110" s="102">
        <v>30</v>
      </c>
      <c r="AA110" s="102">
        <v>30</v>
      </c>
      <c r="AB110" s="102">
        <v>0</v>
      </c>
      <c r="AC110" s="102">
        <v>30</v>
      </c>
      <c r="AD110" s="33">
        <v>1</v>
      </c>
      <c r="AE110" s="33">
        <v>0.9</v>
      </c>
      <c r="AF110" s="25" t="str">
        <f>_xlfn.XLOOKUP(F110,'TFS Details'!F:F,'TFS Details'!H:H)</f>
        <v>In Development</v>
      </c>
      <c r="AG110" s="42">
        <v>0</v>
      </c>
      <c r="AH110" s="42">
        <v>0</v>
      </c>
      <c r="AI110" s="42">
        <v>0</v>
      </c>
      <c r="AJ110" s="156">
        <v>30</v>
      </c>
      <c r="AK110" s="38">
        <f t="shared" si="14"/>
        <v>30</v>
      </c>
      <c r="AL110" s="39">
        <f t="shared" si="12"/>
        <v>0</v>
      </c>
      <c r="AM110" s="39">
        <f t="shared" si="13"/>
        <v>0</v>
      </c>
      <c r="AN110" s="25"/>
      <c r="AO110" s="25" t="str">
        <f>_xlfn.XLOOKUP(F110,'TFS Details'!F:F,'TFS Details'!I:I)</f>
        <v>TechWizards</v>
      </c>
      <c r="AP110" s="25" t="str">
        <f>_xlfn.XLOOKUP(AO110,'TFS Details'!I:I,'TFS Details'!AE:AE)</f>
        <v>mervinkumar.manickam</v>
      </c>
    </row>
    <row r="111" spans="1:42">
      <c r="A111" s="24" t="str">
        <f>_xlfn.XLOOKUP(F111,'TFS Details'!F:F,'TFS Details'!D:D)</f>
        <v>Differentiation</v>
      </c>
      <c r="B111" s="24" t="str">
        <f>_xlfn.XLOOKUP(F111,'TFS Details'!F:F,'TFS Details'!A:A)</f>
        <v>Differentiation Decommission</v>
      </c>
      <c r="C111" s="46">
        <f>_xlfn.XLOOKUP(F111,'TFS Details'!F:F,'TFS Details'!E:E)</f>
        <v>4372017</v>
      </c>
      <c r="D111" s="17" t="s">
        <v>54</v>
      </c>
      <c r="E111" s="139" t="s">
        <v>382</v>
      </c>
      <c r="F111" s="72">
        <v>4372031</v>
      </c>
      <c r="G111" s="145" t="s">
        <v>347</v>
      </c>
      <c r="H111" s="17" t="s">
        <v>348</v>
      </c>
      <c r="I111" s="21" t="s">
        <v>120</v>
      </c>
      <c r="J111" s="250" t="s">
        <v>20</v>
      </c>
      <c r="K111" s="23" t="s">
        <v>587</v>
      </c>
      <c r="L111" s="234" t="s">
        <v>196</v>
      </c>
      <c r="M111" s="17" t="s">
        <v>311</v>
      </c>
      <c r="N111" s="78"/>
      <c r="O111" s="273">
        <v>0.3</v>
      </c>
      <c r="P111" s="102"/>
      <c r="Q111" s="102"/>
      <c r="R111" s="102"/>
      <c r="S111" s="102"/>
      <c r="V111" s="17" t="s">
        <v>204</v>
      </c>
      <c r="W111" s="17" t="s">
        <v>204</v>
      </c>
      <c r="X111" s="17" t="s">
        <v>197</v>
      </c>
      <c r="Y111" s="17" t="s">
        <v>216</v>
      </c>
      <c r="Z111" s="102">
        <v>49</v>
      </c>
      <c r="AA111" s="102">
        <v>35</v>
      </c>
      <c r="AB111" s="102">
        <v>2</v>
      </c>
      <c r="AC111" s="102">
        <v>37</v>
      </c>
      <c r="AD111" s="33">
        <v>0.94</v>
      </c>
      <c r="AE111" s="33">
        <v>0.92</v>
      </c>
      <c r="AF111" s="25" t="str">
        <f>_xlfn.XLOOKUP(F111,'TFS Details'!F:F,'TFS Details'!H:H)</f>
        <v>PT In Test</v>
      </c>
      <c r="AG111" s="42">
        <v>20</v>
      </c>
      <c r="AH111" s="42">
        <v>0</v>
      </c>
      <c r="AI111" s="42">
        <v>0</v>
      </c>
      <c r="AJ111" s="42">
        <v>17</v>
      </c>
      <c r="AK111" s="38">
        <f t="shared" si="14"/>
        <v>37</v>
      </c>
      <c r="AL111" s="39">
        <f t="shared" si="12"/>
        <v>0.54054054054054057</v>
      </c>
      <c r="AM111" s="39">
        <f t="shared" si="13"/>
        <v>1</v>
      </c>
      <c r="AN111" s="25"/>
      <c r="AO111" s="25" t="str">
        <f>_xlfn.XLOOKUP(F111,'TFS Details'!F:F,'TFS Details'!I:I)</f>
        <v>DevStormers</v>
      </c>
      <c r="AP111" s="25" t="str">
        <f>_xlfn.XLOOKUP(AO111,'TFS Details'!I:I,'TFS Details'!AE:AE)</f>
        <v>mervinkumar.manickam</v>
      </c>
    </row>
    <row r="112" spans="1:42">
      <c r="A112" s="24" t="str">
        <f>_xlfn.XLOOKUP(F112,'TFS Details'!F:F,'TFS Details'!D:D)</f>
        <v>Online SI</v>
      </c>
      <c r="B112" s="24" t="str">
        <f>_xlfn.XLOOKUP(F112,'TFS Details'!F:F,'TFS Details'!A:A)</f>
        <v>Dynamic Target Pricing - Remaining Scope - May Release</v>
      </c>
      <c r="C112" s="46">
        <f>_xlfn.XLOOKUP(F112,'TFS Details'!F:F,'TFS Details'!E:E)</f>
        <v>4422839</v>
      </c>
      <c r="D112" s="17" t="s">
        <v>54</v>
      </c>
      <c r="E112" s="139" t="s">
        <v>379</v>
      </c>
      <c r="F112" s="72">
        <v>4423306</v>
      </c>
      <c r="G112" s="145" t="s">
        <v>347</v>
      </c>
      <c r="H112" s="17" t="s">
        <v>348</v>
      </c>
      <c r="J112" s="250" t="s">
        <v>18</v>
      </c>
      <c r="K112" s="23" t="s">
        <v>587</v>
      </c>
      <c r="L112" s="234" t="s">
        <v>50</v>
      </c>
      <c r="M112" s="17"/>
      <c r="N112" s="78"/>
      <c r="P112" s="102"/>
      <c r="Q112" s="102"/>
      <c r="R112" s="102"/>
      <c r="S112" s="102"/>
      <c r="V112" s="17" t="s">
        <v>204</v>
      </c>
      <c r="W112" s="17" t="s">
        <v>204</v>
      </c>
      <c r="X112" s="17" t="s">
        <v>197</v>
      </c>
      <c r="Y112" s="17" t="s">
        <v>197</v>
      </c>
      <c r="Z112" s="102">
        <v>27</v>
      </c>
      <c r="AA112" s="102">
        <v>19</v>
      </c>
      <c r="AB112" s="102">
        <v>1</v>
      </c>
      <c r="AC112" s="102">
        <v>20</v>
      </c>
      <c r="AD112" s="33">
        <v>0.95</v>
      </c>
      <c r="AE112" s="33">
        <v>0.94</v>
      </c>
      <c r="AF112" s="25" t="str">
        <f>_xlfn.XLOOKUP(F112,'TFS Details'!F:F,'TFS Details'!H:H)</f>
        <v>In Development</v>
      </c>
      <c r="AG112" s="42">
        <v>0</v>
      </c>
      <c r="AH112" s="42">
        <v>0</v>
      </c>
      <c r="AI112" s="42">
        <v>0</v>
      </c>
      <c r="AJ112" s="42">
        <v>20</v>
      </c>
      <c r="AK112" s="38">
        <f t="shared" si="14"/>
        <v>20</v>
      </c>
      <c r="AL112" s="39">
        <f t="shared" si="12"/>
        <v>0</v>
      </c>
      <c r="AM112" s="39">
        <f t="shared" si="13"/>
        <v>0</v>
      </c>
      <c r="AN112" s="25"/>
      <c r="AO112" s="25" t="str">
        <f>_xlfn.XLOOKUP(F112,'TFS Details'!F:F,'TFS Details'!I:I)</f>
        <v>DevStormers</v>
      </c>
      <c r="AP112" s="25" t="str">
        <f>_xlfn.XLOOKUP(AO112,'TFS Details'!I:I,'TFS Details'!AE:AE)</f>
        <v>mervinkumar.manickam</v>
      </c>
    </row>
    <row r="113" spans="1:42">
      <c r="A113" s="24" t="str">
        <f>_xlfn.XLOOKUP(F113,'TFS Details'!F:F,'TFS Details'!D:D)</f>
        <v>IPC Calculator</v>
      </c>
      <c r="B113" s="24" t="str">
        <f>_xlfn.XLOOKUP(F113,'TFS Details'!F:F,'TFS Details'!A:A)</f>
        <v>IPC Calculator | New Exemption Reasons</v>
      </c>
      <c r="C113" s="46">
        <f>_xlfn.XLOOKUP(F113,'TFS Details'!F:F,'TFS Details'!E:E)</f>
        <v>4428652</v>
      </c>
      <c r="D113" s="17" t="s">
        <v>54</v>
      </c>
      <c r="E113" s="139" t="s">
        <v>377</v>
      </c>
      <c r="F113" s="72">
        <v>4428656</v>
      </c>
      <c r="G113" s="145" t="s">
        <v>348</v>
      </c>
      <c r="H113" s="17" t="s">
        <v>347</v>
      </c>
      <c r="I113" s="21" t="s">
        <v>589</v>
      </c>
      <c r="J113" s="250" t="s">
        <v>20</v>
      </c>
      <c r="K113" s="176" t="s">
        <v>349</v>
      </c>
      <c r="L113" s="234" t="s">
        <v>196</v>
      </c>
      <c r="M113" s="17"/>
      <c r="N113" s="78"/>
      <c r="O113" s="273">
        <v>0.15</v>
      </c>
      <c r="P113" s="102"/>
      <c r="Q113" s="102"/>
      <c r="R113" s="102"/>
      <c r="S113" s="102"/>
      <c r="V113" s="17" t="s">
        <v>204</v>
      </c>
      <c r="W113" s="17" t="s">
        <v>204</v>
      </c>
      <c r="X113" s="17" t="s">
        <v>197</v>
      </c>
      <c r="Y113" s="17" t="s">
        <v>216</v>
      </c>
      <c r="Z113" s="102">
        <v>18</v>
      </c>
      <c r="AA113" s="102">
        <v>13</v>
      </c>
      <c r="AB113" s="102">
        <v>4</v>
      </c>
      <c r="AC113" s="102">
        <v>17</v>
      </c>
      <c r="AD113" s="33">
        <v>0.76</v>
      </c>
      <c r="AE113" s="33">
        <v>0.6</v>
      </c>
      <c r="AF113" s="25" t="str">
        <f>_xlfn.XLOOKUP(F113,'TFS Details'!F:F,'TFS Details'!H:H)</f>
        <v>PT In Test</v>
      </c>
      <c r="AG113" s="42">
        <v>0</v>
      </c>
      <c r="AH113" s="42">
        <v>0</v>
      </c>
      <c r="AI113" s="42">
        <v>0</v>
      </c>
      <c r="AJ113" s="42">
        <v>17</v>
      </c>
      <c r="AK113" s="38">
        <f t="shared" si="14"/>
        <v>17</v>
      </c>
      <c r="AL113" s="39">
        <f t="shared" si="12"/>
        <v>0</v>
      </c>
      <c r="AM113" s="39">
        <f t="shared" si="13"/>
        <v>0</v>
      </c>
      <c r="AN113" s="25"/>
      <c r="AO113" s="25" t="str">
        <f>_xlfn.XLOOKUP(F113,'TFS Details'!F:F,'TFS Details'!I:I)</f>
        <v>Insurgents</v>
      </c>
      <c r="AP113" s="25" t="str">
        <f>_xlfn.XLOOKUP(AO113,'TFS Details'!I:I,'TFS Details'!AE:AE)</f>
        <v>K.devaraj</v>
      </c>
    </row>
    <row r="114" spans="1:42" ht="12.95">
      <c r="A114" s="24" t="str">
        <f>_xlfn.XLOOKUP(F114,'TFS Details'!F:F,'TFS Details'!D:D)</f>
        <v>SI KDA</v>
      </c>
      <c r="B114" s="24" t="str">
        <f>_xlfn.XLOOKUP(F114,'TFS Details'!F:F,'TFS Details'!A:A)</f>
        <v>WFH - ATCI and WFH ATCP to include updated logic from DNP</v>
      </c>
      <c r="C114" s="46">
        <f>_xlfn.XLOOKUP(F114,'TFS Details'!F:F,'TFS Details'!E:E)</f>
        <v>4250760</v>
      </c>
      <c r="D114" s="17" t="s">
        <v>54</v>
      </c>
      <c r="E114" s="139" t="s">
        <v>375</v>
      </c>
      <c r="F114" s="72">
        <v>4413833</v>
      </c>
      <c r="G114" s="145" t="s">
        <v>353</v>
      </c>
      <c r="H114" s="111" t="s">
        <v>354</v>
      </c>
      <c r="J114" s="250" t="s">
        <v>18</v>
      </c>
      <c r="K114" s="248" t="s">
        <v>584</v>
      </c>
      <c r="L114" s="234" t="s">
        <v>50</v>
      </c>
      <c r="M114" s="17"/>
      <c r="N114" s="78"/>
      <c r="P114" s="102"/>
      <c r="Q114" s="102"/>
      <c r="R114" s="102"/>
      <c r="S114" s="102"/>
      <c r="V114" s="17" t="s">
        <v>204</v>
      </c>
      <c r="W114" s="17" t="s">
        <v>204</v>
      </c>
      <c r="X114" s="17" t="s">
        <v>204</v>
      </c>
      <c r="Y114" s="17" t="s">
        <v>197</v>
      </c>
      <c r="Z114" s="102">
        <v>18</v>
      </c>
      <c r="AA114" s="38">
        <v>18</v>
      </c>
      <c r="AB114" s="102">
        <v>0</v>
      </c>
      <c r="AC114" s="38">
        <v>18</v>
      </c>
      <c r="AD114" s="33">
        <f t="shared" ref="AD114:AD124" si="15">AA114/AC114</f>
        <v>1</v>
      </c>
      <c r="AE114" s="33">
        <v>0.9</v>
      </c>
      <c r="AF114" s="25" t="str">
        <f>_xlfn.XLOOKUP(F114,'TFS Details'!F:F,'TFS Details'!H:H)</f>
        <v>Active</v>
      </c>
      <c r="AG114" s="42">
        <v>0</v>
      </c>
      <c r="AH114" s="42">
        <v>0</v>
      </c>
      <c r="AI114" s="42">
        <v>0</v>
      </c>
      <c r="AJ114" s="42">
        <v>18</v>
      </c>
      <c r="AK114" s="38">
        <f t="shared" si="14"/>
        <v>18</v>
      </c>
      <c r="AL114" s="39">
        <f t="shared" si="12"/>
        <v>0</v>
      </c>
      <c r="AM114" s="39">
        <f t="shared" si="13"/>
        <v>0</v>
      </c>
      <c r="AN114" s="25"/>
      <c r="AO114" s="25" t="str">
        <f>_xlfn.XLOOKUP(F114,'TFS Details'!F:F,'TFS Details'!I:I)</f>
        <v>Insurgents</v>
      </c>
      <c r="AP114" s="25" t="str">
        <f>_xlfn.XLOOKUP(AO114,'TFS Details'!I:I,'TFS Details'!AE:AE)</f>
        <v>K.devaraj</v>
      </c>
    </row>
    <row r="115" spans="1:42" ht="12.95">
      <c r="A115" s="24" t="str">
        <f>_xlfn.XLOOKUP(F115,'TFS Details'!F:F,'TFS Details'!D:D)</f>
        <v>SI KDA</v>
      </c>
      <c r="B115" s="24" t="str">
        <f>_xlfn.XLOOKUP(F115,'TFS Details'!F:F,'TFS Details'!A:A)</f>
        <v>WFH - ATCI and WFH ATCP to include updated logic from DNP</v>
      </c>
      <c r="C115" s="46">
        <f>_xlfn.XLOOKUP(F115,'TFS Details'!F:F,'TFS Details'!E:E)</f>
        <v>4250760</v>
      </c>
      <c r="D115" s="17" t="s">
        <v>54</v>
      </c>
      <c r="E115" s="139" t="s">
        <v>374</v>
      </c>
      <c r="F115" s="72">
        <v>4413836</v>
      </c>
      <c r="G115" s="145" t="s">
        <v>353</v>
      </c>
      <c r="H115" s="111" t="s">
        <v>354</v>
      </c>
      <c r="J115" s="250" t="s">
        <v>18</v>
      </c>
      <c r="K115" s="248" t="s">
        <v>584</v>
      </c>
      <c r="L115" s="234" t="s">
        <v>50</v>
      </c>
      <c r="M115" s="17"/>
      <c r="N115" s="78"/>
      <c r="P115" s="102"/>
      <c r="Q115" s="102"/>
      <c r="R115" s="102"/>
      <c r="S115" s="102"/>
      <c r="V115" s="17" t="s">
        <v>204</v>
      </c>
      <c r="W115" s="17" t="s">
        <v>204</v>
      </c>
      <c r="X115" s="17" t="s">
        <v>204</v>
      </c>
      <c r="Y115" s="17" t="s">
        <v>197</v>
      </c>
      <c r="Z115" s="102">
        <v>18</v>
      </c>
      <c r="AA115" s="38">
        <v>17</v>
      </c>
      <c r="AB115" s="102">
        <v>0</v>
      </c>
      <c r="AC115" s="38">
        <v>17</v>
      </c>
      <c r="AD115" s="33">
        <f t="shared" si="15"/>
        <v>1</v>
      </c>
      <c r="AE115" s="33">
        <v>0.85</v>
      </c>
      <c r="AF115" s="25" t="str">
        <f>_xlfn.XLOOKUP(F115,'TFS Details'!F:F,'TFS Details'!H:H)</f>
        <v>Active</v>
      </c>
      <c r="AG115" s="42">
        <v>0</v>
      </c>
      <c r="AH115" s="42">
        <v>0</v>
      </c>
      <c r="AI115" s="42">
        <v>0</v>
      </c>
      <c r="AJ115" s="42">
        <v>17</v>
      </c>
      <c r="AK115" s="38">
        <f t="shared" si="14"/>
        <v>17</v>
      </c>
      <c r="AL115" s="39">
        <f t="shared" si="12"/>
        <v>0</v>
      </c>
      <c r="AM115" s="39">
        <f t="shared" si="13"/>
        <v>0</v>
      </c>
      <c r="AN115" s="25"/>
      <c r="AO115" s="25" t="str">
        <f>_xlfn.XLOOKUP(F115,'TFS Details'!F:F,'TFS Details'!I:I)</f>
        <v>Insurgents</v>
      </c>
      <c r="AP115" s="25" t="str">
        <f>_xlfn.XLOOKUP(AO115,'TFS Details'!I:I,'TFS Details'!AE:AE)</f>
        <v>K.devaraj</v>
      </c>
    </row>
    <row r="116" spans="1:42" ht="12.95">
      <c r="A116" s="24" t="str">
        <f>_xlfn.XLOOKUP(F116,'TFS Details'!F:F,'TFS Details'!D:D)</f>
        <v>SI KDA</v>
      </c>
      <c r="B116" s="24" t="str">
        <f>_xlfn.XLOOKUP(F116,'TFS Details'!F:F,'TFS Details'!A:A)</f>
        <v>WFH - ATCI and WFH ATCP to include updated logic from DNP</v>
      </c>
      <c r="C116" s="46">
        <f>_xlfn.XLOOKUP(F116,'TFS Details'!F:F,'TFS Details'!E:E)</f>
        <v>4250760</v>
      </c>
      <c r="D116" s="17" t="s">
        <v>54</v>
      </c>
      <c r="E116" s="139" t="s">
        <v>373</v>
      </c>
      <c r="F116" s="72">
        <v>4416198</v>
      </c>
      <c r="G116" s="145" t="s">
        <v>353</v>
      </c>
      <c r="H116" s="111" t="s">
        <v>354</v>
      </c>
      <c r="J116" s="250" t="s">
        <v>18</v>
      </c>
      <c r="K116" s="248" t="s">
        <v>584</v>
      </c>
      <c r="L116" s="234" t="s">
        <v>50</v>
      </c>
      <c r="M116" s="17"/>
      <c r="N116" s="78"/>
      <c r="P116" s="102"/>
      <c r="Q116" s="102"/>
      <c r="R116" s="102"/>
      <c r="S116" s="102"/>
      <c r="V116" s="17" t="s">
        <v>204</v>
      </c>
      <c r="W116" s="17" t="s">
        <v>204</v>
      </c>
      <c r="X116" s="17" t="s">
        <v>204</v>
      </c>
      <c r="Y116" s="17" t="s">
        <v>197</v>
      </c>
      <c r="Z116" s="102">
        <v>16</v>
      </c>
      <c r="AA116" s="38">
        <v>16</v>
      </c>
      <c r="AB116" s="102">
        <v>1</v>
      </c>
      <c r="AC116" s="38">
        <v>17</v>
      </c>
      <c r="AD116" s="33">
        <f t="shared" si="15"/>
        <v>0.94117647058823528</v>
      </c>
      <c r="AE116" s="33">
        <v>0.9</v>
      </c>
      <c r="AF116" s="25" t="str">
        <f>_xlfn.XLOOKUP(F116,'TFS Details'!F:F,'TFS Details'!H:H)</f>
        <v>Active</v>
      </c>
      <c r="AG116" s="42">
        <v>0</v>
      </c>
      <c r="AH116" s="42">
        <v>0</v>
      </c>
      <c r="AI116" s="42">
        <v>0</v>
      </c>
      <c r="AJ116" s="42">
        <v>17</v>
      </c>
      <c r="AK116" s="38">
        <f t="shared" si="14"/>
        <v>17</v>
      </c>
      <c r="AL116" s="39">
        <f t="shared" si="12"/>
        <v>0</v>
      </c>
      <c r="AM116" s="39">
        <f t="shared" si="13"/>
        <v>0</v>
      </c>
      <c r="AN116" s="25"/>
      <c r="AO116" s="25" t="str">
        <f>_xlfn.XLOOKUP(F116,'TFS Details'!F:F,'TFS Details'!I:I)</f>
        <v>Insurgents</v>
      </c>
      <c r="AP116" s="25" t="str">
        <f>_xlfn.XLOOKUP(AO116,'TFS Details'!I:I,'TFS Details'!AE:AE)</f>
        <v>K.devaraj</v>
      </c>
    </row>
    <row r="117" spans="1:42" ht="12.95">
      <c r="A117" s="24"/>
      <c r="B117" s="24"/>
      <c r="C117" s="46"/>
      <c r="D117" s="17" t="s">
        <v>54</v>
      </c>
      <c r="E117" s="139" t="s">
        <v>590</v>
      </c>
      <c r="F117" s="72">
        <v>4470085</v>
      </c>
      <c r="G117" s="145" t="s">
        <v>591</v>
      </c>
      <c r="H117" s="111" t="s">
        <v>400</v>
      </c>
      <c r="J117" s="250" t="s">
        <v>18</v>
      </c>
      <c r="K117" s="173" t="s">
        <v>592</v>
      </c>
      <c r="L117" s="234" t="s">
        <v>50</v>
      </c>
      <c r="M117" s="17"/>
      <c r="N117" s="78"/>
      <c r="P117" s="102"/>
      <c r="Q117" s="102"/>
      <c r="R117" s="102"/>
      <c r="S117" s="102"/>
      <c r="V117" s="17" t="s">
        <v>204</v>
      </c>
      <c r="W117" s="17" t="s">
        <v>204</v>
      </c>
      <c r="X117" s="17" t="s">
        <v>204</v>
      </c>
      <c r="Y117" s="17" t="s">
        <v>216</v>
      </c>
      <c r="Z117" s="102">
        <v>20</v>
      </c>
      <c r="AA117" s="38">
        <v>4</v>
      </c>
      <c r="AB117" s="102">
        <v>14</v>
      </c>
      <c r="AC117" s="38">
        <v>18</v>
      </c>
      <c r="AD117" s="33">
        <f>AA117/AC117</f>
        <v>0.22222222222222221</v>
      </c>
      <c r="AE117" s="33">
        <v>0.22</v>
      </c>
      <c r="AF117" s="25"/>
      <c r="AG117" s="42">
        <v>10</v>
      </c>
      <c r="AH117" s="42">
        <v>0</v>
      </c>
      <c r="AI117" s="42">
        <v>0</v>
      </c>
      <c r="AJ117" s="42">
        <v>8</v>
      </c>
      <c r="AK117" s="38">
        <f>SUM(AG117:AJ117)</f>
        <v>18</v>
      </c>
      <c r="AL117" s="39">
        <f>IF(AG117+AH117=0,0,SUM(AG117:AH117)/AK117)</f>
        <v>0.55555555555555558</v>
      </c>
      <c r="AM117" s="39">
        <f>IF(AG117=0,0,AG117/(SUM(AG117:AI117)))</f>
        <v>1</v>
      </c>
      <c r="AN117" s="25"/>
      <c r="AO117" s="25"/>
      <c r="AP117" s="25"/>
    </row>
    <row r="118" spans="1:42" ht="12.95">
      <c r="A118" s="24" t="str">
        <f>_xlfn.XLOOKUP(F118,'TFS Details'!F:F,'TFS Details'!D:D)</f>
        <v>SI KDA</v>
      </c>
      <c r="B118" s="24" t="str">
        <f>_xlfn.XLOOKUP(F118,'TFS Details'!F:F,'TFS Details'!A:A)</f>
        <v>WFH - ATCI and WFH ATCP to include updated logic from DNP</v>
      </c>
      <c r="C118" s="46">
        <f>_xlfn.XLOOKUP(F118,'TFS Details'!F:F,'TFS Details'!E:E)</f>
        <v>4250760</v>
      </c>
      <c r="D118" s="17" t="s">
        <v>54</v>
      </c>
      <c r="E118" s="139" t="s">
        <v>372</v>
      </c>
      <c r="F118" s="72">
        <v>4416199</v>
      </c>
      <c r="G118" s="145" t="s">
        <v>353</v>
      </c>
      <c r="H118" s="111" t="s">
        <v>354</v>
      </c>
      <c r="J118" s="250" t="s">
        <v>18</v>
      </c>
      <c r="K118" s="248" t="s">
        <v>584</v>
      </c>
      <c r="L118" s="234" t="s">
        <v>50</v>
      </c>
      <c r="M118" s="17"/>
      <c r="N118" s="78"/>
      <c r="P118" s="102"/>
      <c r="Q118" s="102"/>
      <c r="R118" s="102"/>
      <c r="S118" s="102"/>
      <c r="V118" s="17" t="s">
        <v>204</v>
      </c>
      <c r="W118" s="17" t="s">
        <v>204</v>
      </c>
      <c r="X118" s="17" t="s">
        <v>204</v>
      </c>
      <c r="Y118" s="17" t="s">
        <v>197</v>
      </c>
      <c r="Z118" s="102">
        <v>16</v>
      </c>
      <c r="AA118" s="38">
        <v>15</v>
      </c>
      <c r="AB118" s="102">
        <v>1</v>
      </c>
      <c r="AC118" s="38">
        <v>17</v>
      </c>
      <c r="AD118" s="33">
        <f t="shared" si="15"/>
        <v>0.88235294117647056</v>
      </c>
      <c r="AE118" s="33">
        <v>0.85</v>
      </c>
      <c r="AF118" s="25" t="str">
        <f>_xlfn.XLOOKUP(F118,'TFS Details'!F:F,'TFS Details'!H:H)</f>
        <v>Active</v>
      </c>
      <c r="AG118" s="42">
        <v>0</v>
      </c>
      <c r="AH118" s="42">
        <v>0</v>
      </c>
      <c r="AI118" s="42">
        <v>0</v>
      </c>
      <c r="AJ118" s="42">
        <v>17</v>
      </c>
      <c r="AK118" s="38">
        <f t="shared" si="14"/>
        <v>17</v>
      </c>
      <c r="AL118" s="39">
        <f t="shared" si="12"/>
        <v>0</v>
      </c>
      <c r="AM118" s="39">
        <f t="shared" si="13"/>
        <v>0</v>
      </c>
      <c r="AN118" s="25"/>
      <c r="AO118" s="25" t="str">
        <f>_xlfn.XLOOKUP(F118,'TFS Details'!F:F,'TFS Details'!I:I)</f>
        <v>Insurgents</v>
      </c>
      <c r="AP118" s="25" t="str">
        <f>_xlfn.XLOOKUP(AO118,'TFS Details'!I:I,'TFS Details'!AE:AE)</f>
        <v>K.devaraj</v>
      </c>
    </row>
    <row r="119" spans="1:42" ht="12.95">
      <c r="A119" s="24" t="str">
        <f>_xlfn.XLOOKUP(F119,'TFS Details'!F:F,'TFS Details'!D:D)</f>
        <v>SI KDA</v>
      </c>
      <c r="B119" s="24" t="str">
        <f>_xlfn.XLOOKUP(F119,'TFS Details'!F:F,'TFS Details'!A:A)</f>
        <v>WFH - ATCI and WFH ATCP to include updated logic from DNP</v>
      </c>
      <c r="C119" s="46">
        <f>_xlfn.XLOOKUP(F119,'TFS Details'!F:F,'TFS Details'!E:E)</f>
        <v>4250760</v>
      </c>
      <c r="D119" s="17" t="s">
        <v>54</v>
      </c>
      <c r="E119" s="139" t="s">
        <v>371</v>
      </c>
      <c r="F119" s="72">
        <v>4416213</v>
      </c>
      <c r="G119" s="145" t="s">
        <v>353</v>
      </c>
      <c r="H119" s="111" t="s">
        <v>354</v>
      </c>
      <c r="I119" s="21" t="s">
        <v>593</v>
      </c>
      <c r="J119" s="250" t="s">
        <v>20</v>
      </c>
      <c r="K119" s="173" t="s">
        <v>594</v>
      </c>
      <c r="L119" s="234" t="s">
        <v>196</v>
      </c>
      <c r="M119" s="17" t="s">
        <v>311</v>
      </c>
      <c r="N119" s="78"/>
      <c r="O119" s="273">
        <v>0.2</v>
      </c>
      <c r="P119" s="102">
        <v>16</v>
      </c>
      <c r="Q119" s="102">
        <v>6</v>
      </c>
      <c r="R119" s="102">
        <v>2</v>
      </c>
      <c r="S119" s="102">
        <v>8</v>
      </c>
      <c r="T119" s="33">
        <f>Q119/S119</f>
        <v>0.75</v>
      </c>
      <c r="U119" s="33">
        <v>0.7</v>
      </c>
      <c r="V119" s="17" t="s">
        <v>204</v>
      </c>
      <c r="W119" s="17" t="s">
        <v>204</v>
      </c>
      <c r="X119" s="17" t="s">
        <v>204</v>
      </c>
      <c r="Y119" s="17" t="s">
        <v>197</v>
      </c>
      <c r="Z119" s="102">
        <v>16</v>
      </c>
      <c r="AA119" s="38">
        <v>15</v>
      </c>
      <c r="AB119" s="102">
        <v>1</v>
      </c>
      <c r="AC119" s="38">
        <v>16</v>
      </c>
      <c r="AD119" s="33">
        <f t="shared" si="15"/>
        <v>0.9375</v>
      </c>
      <c r="AE119" s="33">
        <v>0.85</v>
      </c>
      <c r="AF119" s="25" t="str">
        <f>_xlfn.XLOOKUP(F119,'TFS Details'!F:F,'TFS Details'!H:H)</f>
        <v>Active</v>
      </c>
      <c r="AG119" s="42">
        <v>0</v>
      </c>
      <c r="AH119" s="42">
        <v>0</v>
      </c>
      <c r="AI119" s="42">
        <v>0</v>
      </c>
      <c r="AJ119" s="42">
        <v>16</v>
      </c>
      <c r="AK119" s="38">
        <f t="shared" si="14"/>
        <v>16</v>
      </c>
      <c r="AL119" s="39">
        <f t="shared" si="12"/>
        <v>0</v>
      </c>
      <c r="AM119" s="39">
        <f t="shared" si="13"/>
        <v>0</v>
      </c>
      <c r="AN119" s="25"/>
      <c r="AO119" s="25" t="str">
        <f>_xlfn.XLOOKUP(F119,'TFS Details'!F:F,'TFS Details'!I:I)</f>
        <v>Insurgents</v>
      </c>
      <c r="AP119" s="25" t="str">
        <f>_xlfn.XLOOKUP(AO119,'TFS Details'!I:I,'TFS Details'!AE:AE)</f>
        <v>K.devaraj</v>
      </c>
    </row>
    <row r="120" spans="1:42" ht="12.95">
      <c r="A120" s="24" t="str">
        <f>_xlfn.XLOOKUP(F120,'TFS Details'!F:F,'TFS Details'!D:D)</f>
        <v>SI KDA</v>
      </c>
      <c r="B120" s="24" t="str">
        <f>_xlfn.XLOOKUP(F120,'TFS Details'!F:F,'TFS Details'!A:A)</f>
        <v>WFH - ATCI and WFH ATCP to include updated logic from DNP</v>
      </c>
      <c r="C120" s="46">
        <f>_xlfn.XLOOKUP(F120,'TFS Details'!F:F,'TFS Details'!E:E)</f>
        <v>4250760</v>
      </c>
      <c r="D120" s="17" t="s">
        <v>54</v>
      </c>
      <c r="E120" s="139" t="s">
        <v>370</v>
      </c>
      <c r="F120" s="72">
        <v>4250789</v>
      </c>
      <c r="G120" s="145" t="s">
        <v>353</v>
      </c>
      <c r="H120" s="111" t="s">
        <v>354</v>
      </c>
      <c r="J120" s="250" t="s">
        <v>18</v>
      </c>
      <c r="K120" s="248" t="s">
        <v>584</v>
      </c>
      <c r="L120" s="234" t="s">
        <v>50</v>
      </c>
      <c r="M120" s="17"/>
      <c r="N120" s="78"/>
      <c r="P120" s="102"/>
      <c r="Q120" s="102"/>
      <c r="R120" s="102"/>
      <c r="S120" s="102"/>
      <c r="V120" s="17" t="s">
        <v>204</v>
      </c>
      <c r="W120" s="17" t="s">
        <v>204</v>
      </c>
      <c r="X120" s="17" t="s">
        <v>204</v>
      </c>
      <c r="Y120" s="17" t="s">
        <v>197</v>
      </c>
      <c r="Z120" s="102">
        <v>17</v>
      </c>
      <c r="AA120" s="38">
        <v>16</v>
      </c>
      <c r="AB120" s="102">
        <v>0</v>
      </c>
      <c r="AC120" s="38">
        <v>16</v>
      </c>
      <c r="AD120" s="33">
        <f t="shared" si="15"/>
        <v>1</v>
      </c>
      <c r="AE120" s="33">
        <v>0.9</v>
      </c>
      <c r="AF120" s="25" t="str">
        <f>_xlfn.XLOOKUP(F120,'TFS Details'!F:F,'TFS Details'!H:H)</f>
        <v>Active</v>
      </c>
      <c r="AG120" s="42">
        <v>0</v>
      </c>
      <c r="AH120" s="42">
        <v>0</v>
      </c>
      <c r="AI120" s="42">
        <v>0</v>
      </c>
      <c r="AJ120" s="42">
        <v>16</v>
      </c>
      <c r="AK120" s="38">
        <f t="shared" si="14"/>
        <v>16</v>
      </c>
      <c r="AL120" s="39">
        <f t="shared" si="12"/>
        <v>0</v>
      </c>
      <c r="AM120" s="39">
        <f t="shared" si="13"/>
        <v>0</v>
      </c>
      <c r="AN120" s="25"/>
      <c r="AO120" s="25" t="str">
        <f>_xlfn.XLOOKUP(F120,'TFS Details'!F:F,'TFS Details'!I:I)</f>
        <v>Insurgents</v>
      </c>
      <c r="AP120" s="25" t="str">
        <f>_xlfn.XLOOKUP(AO120,'TFS Details'!I:I,'TFS Details'!AE:AE)</f>
        <v>K.devaraj</v>
      </c>
    </row>
    <row r="121" spans="1:42" ht="12.95">
      <c r="A121" s="24" t="str">
        <f>_xlfn.XLOOKUP(F121,'TFS Details'!F:F,'TFS Details'!D:D)</f>
        <v>SI KDA</v>
      </c>
      <c r="B121" s="24" t="str">
        <f>_xlfn.XLOOKUP(F121,'TFS Details'!F:F,'TFS Details'!A:A)</f>
        <v>WFH - ATCI and WFH ATCP to include updated logic from DNP</v>
      </c>
      <c r="C121" s="46">
        <f>_xlfn.XLOOKUP(F121,'TFS Details'!F:F,'TFS Details'!E:E)</f>
        <v>4250760</v>
      </c>
      <c r="D121" s="17" t="s">
        <v>54</v>
      </c>
      <c r="E121" s="139" t="s">
        <v>368</v>
      </c>
      <c r="F121" s="72">
        <v>4252811</v>
      </c>
      <c r="G121" s="145" t="s">
        <v>353</v>
      </c>
      <c r="H121" s="111" t="s">
        <v>354</v>
      </c>
      <c r="J121" s="250" t="s">
        <v>18</v>
      </c>
      <c r="K121" s="248" t="s">
        <v>584</v>
      </c>
      <c r="L121" s="234" t="s">
        <v>50</v>
      </c>
      <c r="M121" s="17"/>
      <c r="N121" s="78"/>
      <c r="P121" s="102"/>
      <c r="Q121" s="102"/>
      <c r="R121" s="102"/>
      <c r="S121" s="102"/>
      <c r="V121" s="17" t="s">
        <v>204</v>
      </c>
      <c r="W121" s="17" t="s">
        <v>204</v>
      </c>
      <c r="X121" s="17" t="s">
        <v>204</v>
      </c>
      <c r="Y121" s="17" t="s">
        <v>197</v>
      </c>
      <c r="Z121" s="102">
        <v>16</v>
      </c>
      <c r="AA121" s="38">
        <v>15</v>
      </c>
      <c r="AB121" s="102">
        <v>1</v>
      </c>
      <c r="AC121" s="38">
        <v>16</v>
      </c>
      <c r="AD121" s="33">
        <f t="shared" si="15"/>
        <v>0.9375</v>
      </c>
      <c r="AE121" s="33">
        <v>0.85</v>
      </c>
      <c r="AF121" s="25" t="str">
        <f>_xlfn.XLOOKUP(F121,'TFS Details'!F:F,'TFS Details'!H:H)</f>
        <v>Active</v>
      </c>
      <c r="AG121" s="42">
        <v>0</v>
      </c>
      <c r="AH121" s="42">
        <v>0</v>
      </c>
      <c r="AI121" s="42">
        <v>0</v>
      </c>
      <c r="AJ121" s="42">
        <v>16</v>
      </c>
      <c r="AK121" s="38">
        <f t="shared" si="14"/>
        <v>16</v>
      </c>
      <c r="AL121" s="39">
        <f t="shared" si="12"/>
        <v>0</v>
      </c>
      <c r="AM121" s="39">
        <f t="shared" si="13"/>
        <v>0</v>
      </c>
      <c r="AN121" s="25"/>
      <c r="AO121" s="25" t="str">
        <f>_xlfn.XLOOKUP(F121,'TFS Details'!F:F,'TFS Details'!I:I)</f>
        <v>Insurgents</v>
      </c>
      <c r="AP121" s="25" t="str">
        <f>_xlfn.XLOOKUP(AO121,'TFS Details'!I:I,'TFS Details'!AE:AE)</f>
        <v>K.devaraj</v>
      </c>
    </row>
    <row r="122" spans="1:42" ht="12.95">
      <c r="A122" s="24" t="str">
        <f>_xlfn.XLOOKUP(F122,'TFS Details'!F:F,'TFS Details'!D:D)</f>
        <v>SI KDA</v>
      </c>
      <c r="B122" s="24" t="str">
        <f>_xlfn.XLOOKUP(F122,'TFS Details'!F:F,'TFS Details'!A:A)</f>
        <v>WFH - ATCI and WFH ATCP to include updated logic from DNP</v>
      </c>
      <c r="C122" s="46">
        <f>_xlfn.XLOOKUP(F122,'TFS Details'!F:F,'TFS Details'!E:E)</f>
        <v>4250760</v>
      </c>
      <c r="D122" s="17" t="s">
        <v>54</v>
      </c>
      <c r="E122" s="139" t="s">
        <v>366</v>
      </c>
      <c r="F122" s="72">
        <v>4312145</v>
      </c>
      <c r="G122" s="145" t="s">
        <v>353</v>
      </c>
      <c r="H122" s="111" t="s">
        <v>354</v>
      </c>
      <c r="J122" s="250" t="s">
        <v>18</v>
      </c>
      <c r="K122" s="248" t="s">
        <v>584</v>
      </c>
      <c r="L122" s="234" t="s">
        <v>50</v>
      </c>
      <c r="M122" s="17"/>
      <c r="N122" s="78"/>
      <c r="P122" s="102"/>
      <c r="Q122" s="102"/>
      <c r="R122" s="102"/>
      <c r="S122" s="102"/>
      <c r="V122" s="17" t="s">
        <v>204</v>
      </c>
      <c r="W122" s="17" t="s">
        <v>204</v>
      </c>
      <c r="X122" s="17" t="s">
        <v>204</v>
      </c>
      <c r="Y122" s="17" t="s">
        <v>197</v>
      </c>
      <c r="Z122" s="102">
        <v>17</v>
      </c>
      <c r="AA122" s="38">
        <v>16</v>
      </c>
      <c r="AB122" s="102">
        <v>1</v>
      </c>
      <c r="AC122" s="38">
        <v>17</v>
      </c>
      <c r="AD122" s="33">
        <f t="shared" si="15"/>
        <v>0.94117647058823528</v>
      </c>
      <c r="AE122" s="33">
        <v>0.85</v>
      </c>
      <c r="AF122" s="25" t="str">
        <f>_xlfn.XLOOKUP(F122,'TFS Details'!F:F,'TFS Details'!H:H)</f>
        <v>UT in Progress</v>
      </c>
      <c r="AG122" s="42">
        <v>0</v>
      </c>
      <c r="AH122" s="42">
        <v>0</v>
      </c>
      <c r="AI122" s="42">
        <v>0</v>
      </c>
      <c r="AJ122" s="42">
        <v>17</v>
      </c>
      <c r="AK122" s="38">
        <f t="shared" si="14"/>
        <v>17</v>
      </c>
      <c r="AL122" s="39">
        <f t="shared" si="12"/>
        <v>0</v>
      </c>
      <c r="AM122" s="39">
        <f t="shared" si="13"/>
        <v>0</v>
      </c>
      <c r="AN122" s="25"/>
      <c r="AO122" s="25" t="str">
        <f>_xlfn.XLOOKUP(F122,'TFS Details'!F:F,'TFS Details'!I:I)</f>
        <v>Insurgents</v>
      </c>
      <c r="AP122" s="25" t="str">
        <f>_xlfn.XLOOKUP(AO122,'TFS Details'!I:I,'TFS Details'!AE:AE)</f>
        <v>K.devaraj</v>
      </c>
    </row>
    <row r="123" spans="1:42" ht="12.95">
      <c r="A123" s="24" t="str">
        <f>_xlfn.XLOOKUP(F123,'TFS Details'!F:F,'TFS Details'!D:D)</f>
        <v>SI KDA</v>
      </c>
      <c r="B123" s="24" t="str">
        <f>_xlfn.XLOOKUP(F123,'TFS Details'!F:F,'TFS Details'!A:A)</f>
        <v>WFH - ATCI and WFH ATCP to include updated logic from DNP</v>
      </c>
      <c r="C123" s="46">
        <f>_xlfn.XLOOKUP(F123,'TFS Details'!F:F,'TFS Details'!E:E)</f>
        <v>4250760</v>
      </c>
      <c r="D123" s="17" t="s">
        <v>54</v>
      </c>
      <c r="E123" s="139" t="s">
        <v>364</v>
      </c>
      <c r="F123" s="72">
        <v>4367388</v>
      </c>
      <c r="G123" s="145" t="s">
        <v>353</v>
      </c>
      <c r="H123" s="111" t="s">
        <v>354</v>
      </c>
      <c r="J123" s="250" t="s">
        <v>18</v>
      </c>
      <c r="K123" s="173" t="s">
        <v>365</v>
      </c>
      <c r="L123" s="234" t="s">
        <v>50</v>
      </c>
      <c r="M123" s="17"/>
      <c r="N123" s="78"/>
      <c r="P123" s="102"/>
      <c r="Q123" s="102"/>
      <c r="R123" s="102"/>
      <c r="S123" s="102"/>
      <c r="V123" s="17" t="s">
        <v>204</v>
      </c>
      <c r="W123" s="17" t="s">
        <v>204</v>
      </c>
      <c r="X123" s="17" t="s">
        <v>204</v>
      </c>
      <c r="Y123" s="17" t="s">
        <v>197</v>
      </c>
      <c r="Z123" s="102">
        <v>16</v>
      </c>
      <c r="AA123" s="38">
        <v>14</v>
      </c>
      <c r="AB123" s="102">
        <v>0</v>
      </c>
      <c r="AC123" s="38">
        <v>14</v>
      </c>
      <c r="AD123" s="33">
        <f t="shared" si="15"/>
        <v>1</v>
      </c>
      <c r="AE123" s="33">
        <v>0.8</v>
      </c>
      <c r="AF123" s="25" t="str">
        <f>_xlfn.XLOOKUP(F123,'TFS Details'!F:F,'TFS Details'!H:H)</f>
        <v>Active</v>
      </c>
      <c r="AG123" s="42">
        <v>0</v>
      </c>
      <c r="AH123" s="42">
        <v>0</v>
      </c>
      <c r="AI123" s="42">
        <v>0</v>
      </c>
      <c r="AJ123" s="42">
        <v>14</v>
      </c>
      <c r="AK123" s="38">
        <f t="shared" si="14"/>
        <v>14</v>
      </c>
      <c r="AL123" s="39">
        <f t="shared" si="12"/>
        <v>0</v>
      </c>
      <c r="AM123" s="39">
        <f t="shared" si="13"/>
        <v>0</v>
      </c>
      <c r="AN123" s="25"/>
      <c r="AO123" s="25" t="str">
        <f>_xlfn.XLOOKUP(F123,'TFS Details'!F:F,'TFS Details'!I:I)</f>
        <v>Insurgents</v>
      </c>
      <c r="AP123" s="25" t="str">
        <f>_xlfn.XLOOKUP(AO123,'TFS Details'!I:I,'TFS Details'!AE:AE)</f>
        <v>K.devaraj</v>
      </c>
    </row>
    <row r="124" spans="1:42" ht="12.95">
      <c r="A124" s="24" t="str">
        <f>_xlfn.XLOOKUP(F124,'TFS Details'!F:F,'TFS Details'!D:D)</f>
        <v>SI KDA</v>
      </c>
      <c r="B124" s="24" t="str">
        <f>_xlfn.XLOOKUP(F124,'TFS Details'!F:F,'TFS Details'!A:A)</f>
        <v>WFH - ATCI and WFH ATCP to include updated logic from DNP</v>
      </c>
      <c r="C124" s="46">
        <f>_xlfn.XLOOKUP(F124,'TFS Details'!F:F,'TFS Details'!E:E)</f>
        <v>4250760</v>
      </c>
      <c r="D124" s="17" t="s">
        <v>54</v>
      </c>
      <c r="E124" s="139" t="s">
        <v>363</v>
      </c>
      <c r="F124" s="72">
        <v>4371721</v>
      </c>
      <c r="G124" s="145" t="s">
        <v>353</v>
      </c>
      <c r="H124" s="111" t="s">
        <v>354</v>
      </c>
      <c r="J124" s="250" t="s">
        <v>18</v>
      </c>
      <c r="K124" s="248" t="s">
        <v>595</v>
      </c>
      <c r="L124" s="234" t="s">
        <v>50</v>
      </c>
      <c r="M124" s="17"/>
      <c r="N124" s="78"/>
      <c r="P124" s="102"/>
      <c r="Q124" s="102"/>
      <c r="R124" s="102"/>
      <c r="S124" s="102"/>
      <c r="V124" s="17" t="s">
        <v>204</v>
      </c>
      <c r="W124" s="17" t="s">
        <v>204</v>
      </c>
      <c r="X124" s="17" t="s">
        <v>204</v>
      </c>
      <c r="Y124" s="17" t="s">
        <v>197</v>
      </c>
      <c r="Z124" s="102">
        <v>17</v>
      </c>
      <c r="AA124" s="38">
        <v>16</v>
      </c>
      <c r="AB124" s="102">
        <v>0</v>
      </c>
      <c r="AC124" s="38">
        <v>16</v>
      </c>
      <c r="AD124" s="33">
        <f t="shared" si="15"/>
        <v>1</v>
      </c>
      <c r="AE124" s="33">
        <v>0.9</v>
      </c>
      <c r="AF124" s="25" t="str">
        <f>_xlfn.XLOOKUP(F124,'TFS Details'!F:F,'TFS Details'!H:H)</f>
        <v>Active</v>
      </c>
      <c r="AG124" s="42">
        <v>0</v>
      </c>
      <c r="AH124" s="42">
        <v>0</v>
      </c>
      <c r="AI124" s="42">
        <v>0</v>
      </c>
      <c r="AJ124" s="42">
        <v>16</v>
      </c>
      <c r="AK124" s="38">
        <f t="shared" si="14"/>
        <v>16</v>
      </c>
      <c r="AL124" s="39">
        <f t="shared" si="12"/>
        <v>0</v>
      </c>
      <c r="AM124" s="39">
        <f t="shared" si="13"/>
        <v>0</v>
      </c>
      <c r="AN124" s="25"/>
      <c r="AO124" s="25" t="str">
        <f>_xlfn.XLOOKUP(F124,'TFS Details'!F:F,'TFS Details'!I:I)</f>
        <v>Insurgents</v>
      </c>
      <c r="AP124" s="25" t="str">
        <f>_xlfn.XLOOKUP(AO124,'TFS Details'!I:I,'TFS Details'!AE:AE)</f>
        <v>K.devaraj</v>
      </c>
    </row>
    <row r="125" spans="1:42" ht="14.45">
      <c r="A125" s="24" t="str">
        <f>_xlfn.XLOOKUP(F125,'TFS Details'!F:F,'TFS Details'!D:D)</f>
        <v>SI OCP</v>
      </c>
      <c r="B125" s="24" t="str">
        <f>_xlfn.XLOOKUP(F125,'TFS Details'!F:F,'TFS Details'!A:A)</f>
        <v>Validation error while simulating OCP without ratecard configuration in Staffing screen</v>
      </c>
      <c r="C125" s="46">
        <f>_xlfn.XLOOKUP(F125,'TFS Details'!F:F,'TFS Details'!E:E)</f>
        <v>4446027</v>
      </c>
      <c r="D125" s="17" t="s">
        <v>54</v>
      </c>
      <c r="E125" s="139" t="s">
        <v>596</v>
      </c>
      <c r="F125" s="72">
        <v>4439547</v>
      </c>
      <c r="G125" s="145" t="s">
        <v>348</v>
      </c>
      <c r="H125" s="112" t="s">
        <v>347</v>
      </c>
      <c r="I125" s="21" t="s">
        <v>120</v>
      </c>
      <c r="J125" s="66" t="s">
        <v>1</v>
      </c>
      <c r="K125" s="67"/>
      <c r="L125" s="234"/>
      <c r="M125" s="17" t="s">
        <v>461</v>
      </c>
      <c r="N125" s="78"/>
      <c r="O125" s="273">
        <v>0.1</v>
      </c>
      <c r="P125" s="102">
        <v>16</v>
      </c>
      <c r="Q125" s="102">
        <v>9</v>
      </c>
      <c r="R125" s="102">
        <v>1</v>
      </c>
      <c r="S125" s="102">
        <v>10</v>
      </c>
      <c r="T125" s="33">
        <v>0.9</v>
      </c>
      <c r="U125" s="33">
        <v>0.75</v>
      </c>
      <c r="V125" s="17" t="s">
        <v>204</v>
      </c>
      <c r="W125" s="17" t="s">
        <v>204</v>
      </c>
      <c r="X125" s="17" t="s">
        <v>197</v>
      </c>
      <c r="Y125" s="17" t="s">
        <v>197</v>
      </c>
      <c r="Z125" s="102">
        <v>16</v>
      </c>
      <c r="AA125" s="38">
        <v>13</v>
      </c>
      <c r="AB125" s="102">
        <v>1</v>
      </c>
      <c r="AC125" s="38">
        <v>14</v>
      </c>
      <c r="AD125" s="33">
        <v>0.93</v>
      </c>
      <c r="AE125" s="33">
        <v>0.85</v>
      </c>
      <c r="AF125" s="25" t="str">
        <f>_xlfn.XLOOKUP(F125,'TFS Details'!F:F,'TFS Details'!H:H)</f>
        <v>PT In Test</v>
      </c>
      <c r="AG125" s="42">
        <v>0</v>
      </c>
      <c r="AH125" s="42">
        <v>0</v>
      </c>
      <c r="AI125" s="42">
        <v>0</v>
      </c>
      <c r="AJ125" s="42">
        <v>14</v>
      </c>
      <c r="AK125" s="38">
        <f t="shared" si="14"/>
        <v>14</v>
      </c>
      <c r="AL125" s="39">
        <f t="shared" si="12"/>
        <v>0</v>
      </c>
      <c r="AM125" s="39">
        <f t="shared" si="13"/>
        <v>0</v>
      </c>
      <c r="AN125" s="25"/>
      <c r="AO125" s="25" t="str">
        <f>_xlfn.XLOOKUP(F125,'TFS Details'!F:F,'TFS Details'!I:I)</f>
        <v>Simulators</v>
      </c>
      <c r="AP125" s="25" t="str">
        <f>_xlfn.XLOOKUP(AO125,'TFS Details'!I:I,'TFS Details'!AE:AE)</f>
        <v>K.devaraj</v>
      </c>
    </row>
    <row r="126" spans="1:42">
      <c r="A126" s="24" t="str">
        <f>_xlfn.XLOOKUP(F126,'TFS Details'!F:F,'TFS Details'!D:D)</f>
        <v>IPC Calculator</v>
      </c>
      <c r="B126" s="24" t="str">
        <f>_xlfn.XLOOKUP(F126,'TFS Details'!F:F,'TFS Details'!A:A)</f>
        <v>IPC Calculator | New Exemption Reasons</v>
      </c>
      <c r="C126" s="46">
        <f>_xlfn.XLOOKUP(F126,'TFS Details'!F:F,'TFS Details'!E:E)</f>
        <v>4428652</v>
      </c>
      <c r="D126" s="17" t="s">
        <v>54</v>
      </c>
      <c r="E126" s="139" t="s">
        <v>358</v>
      </c>
      <c r="F126" s="72">
        <v>4428664</v>
      </c>
      <c r="G126" s="145" t="s">
        <v>348</v>
      </c>
      <c r="H126" s="112" t="s">
        <v>347</v>
      </c>
      <c r="I126" s="21" t="s">
        <v>597</v>
      </c>
      <c r="J126" s="262" t="s">
        <v>20</v>
      </c>
      <c r="K126" s="176" t="s">
        <v>349</v>
      </c>
      <c r="L126" s="234" t="s">
        <v>196</v>
      </c>
      <c r="M126" s="17" t="s">
        <v>311</v>
      </c>
      <c r="N126" s="78"/>
      <c r="O126" s="273">
        <v>0.2</v>
      </c>
      <c r="P126" s="102">
        <v>16</v>
      </c>
      <c r="Q126" s="102">
        <v>11</v>
      </c>
      <c r="R126" s="102">
        <v>2</v>
      </c>
      <c r="S126" s="102">
        <v>13</v>
      </c>
      <c r="T126" s="33">
        <f>11/13</f>
        <v>0.84615384615384615</v>
      </c>
      <c r="U126" s="33">
        <v>0.7</v>
      </c>
      <c r="V126" s="17" t="s">
        <v>204</v>
      </c>
      <c r="W126" s="17" t="s">
        <v>204</v>
      </c>
      <c r="X126" s="17" t="s">
        <v>197</v>
      </c>
      <c r="Y126" s="17" t="s">
        <v>216</v>
      </c>
      <c r="Z126" s="102">
        <v>18</v>
      </c>
      <c r="AA126" s="38">
        <v>15</v>
      </c>
      <c r="AB126" s="102">
        <v>1</v>
      </c>
      <c r="AC126" s="38">
        <v>16</v>
      </c>
      <c r="AD126" s="33">
        <v>0.91</v>
      </c>
      <c r="AE126" s="33">
        <v>0.8</v>
      </c>
      <c r="AF126" s="25" t="str">
        <f>_xlfn.XLOOKUP(F126,'TFS Details'!F:F,'TFS Details'!H:H)</f>
        <v>PT In Test</v>
      </c>
      <c r="AG126" s="42">
        <v>0</v>
      </c>
      <c r="AH126" s="42">
        <v>0</v>
      </c>
      <c r="AI126" s="42">
        <v>0</v>
      </c>
      <c r="AJ126" s="42">
        <v>16</v>
      </c>
      <c r="AK126" s="38">
        <f t="shared" si="14"/>
        <v>16</v>
      </c>
      <c r="AL126" s="39">
        <f t="shared" si="12"/>
        <v>0</v>
      </c>
      <c r="AM126" s="39">
        <f t="shared" si="13"/>
        <v>0</v>
      </c>
      <c r="AN126" s="25"/>
      <c r="AO126" s="25" t="str">
        <f>_xlfn.XLOOKUP(F126,'TFS Details'!F:F,'TFS Details'!I:I)</f>
        <v>Insurgents</v>
      </c>
      <c r="AP126" s="25" t="str">
        <f>_xlfn.XLOOKUP(AO126,'TFS Details'!I:I,'TFS Details'!AE:AE)</f>
        <v>K.devaraj</v>
      </c>
    </row>
    <row r="127" spans="1:42" ht="12.95">
      <c r="A127" s="24" t="str">
        <f>_xlfn.XLOOKUP(F127,'TFS Details'!F:F,'TFS Details'!D:D)</f>
        <v>SI KDA</v>
      </c>
      <c r="B127" s="24" t="str">
        <f>_xlfn.XLOOKUP(F127,'TFS Details'!F:F,'TFS Details'!A:A)</f>
        <v>WFH - ATCI and WFH ATCP to include updated logic from DNP</v>
      </c>
      <c r="C127" s="46">
        <f>_xlfn.XLOOKUP(F127,'TFS Details'!F:F,'TFS Details'!E:E)</f>
        <v>4250760</v>
      </c>
      <c r="D127" s="17" t="s">
        <v>54</v>
      </c>
      <c r="E127" s="139" t="s">
        <v>352</v>
      </c>
      <c r="F127" s="72">
        <v>4429069</v>
      </c>
      <c r="G127" s="145" t="s">
        <v>353</v>
      </c>
      <c r="H127" s="116" t="s">
        <v>354</v>
      </c>
      <c r="J127" s="250" t="s">
        <v>18</v>
      </c>
      <c r="K127" s="248" t="s">
        <v>598</v>
      </c>
      <c r="L127" s="234" t="s">
        <v>50</v>
      </c>
      <c r="M127" s="17"/>
      <c r="N127" s="78"/>
      <c r="P127" s="102"/>
      <c r="Q127" s="102"/>
      <c r="R127" s="102"/>
      <c r="S127" s="102"/>
      <c r="V127" s="17" t="s">
        <v>204</v>
      </c>
      <c r="W127" s="17" t="s">
        <v>204</v>
      </c>
      <c r="X127" s="17" t="s">
        <v>204</v>
      </c>
      <c r="Y127" s="17" t="s">
        <v>197</v>
      </c>
      <c r="Z127" s="102">
        <v>14</v>
      </c>
      <c r="AA127" s="38">
        <v>12</v>
      </c>
      <c r="AB127" s="102">
        <v>0</v>
      </c>
      <c r="AC127" s="38">
        <v>12</v>
      </c>
      <c r="AD127" s="33">
        <f>AA127/AC127</f>
        <v>1</v>
      </c>
      <c r="AE127" s="33">
        <v>0.8</v>
      </c>
      <c r="AF127" s="25" t="str">
        <f>_xlfn.XLOOKUP(F127,'TFS Details'!F:F,'TFS Details'!H:H)</f>
        <v>Active</v>
      </c>
      <c r="AG127" s="42">
        <v>0</v>
      </c>
      <c r="AH127" s="42">
        <v>0</v>
      </c>
      <c r="AI127" s="42">
        <v>0</v>
      </c>
      <c r="AJ127" s="42">
        <v>12</v>
      </c>
      <c r="AK127" s="38">
        <f t="shared" si="14"/>
        <v>12</v>
      </c>
      <c r="AL127" s="39">
        <f t="shared" si="12"/>
        <v>0</v>
      </c>
      <c r="AM127" s="39">
        <f t="shared" si="13"/>
        <v>0</v>
      </c>
      <c r="AN127" s="25"/>
      <c r="AO127" s="25" t="str">
        <f>_xlfn.XLOOKUP(F127,'TFS Details'!F:F,'TFS Details'!I:I)</f>
        <v>Insurgents</v>
      </c>
      <c r="AP127" s="25" t="str">
        <f>_xlfn.XLOOKUP(AO127,'TFS Details'!I:I,'TFS Details'!AE:AE)</f>
        <v>K.devaraj</v>
      </c>
    </row>
    <row r="128" spans="1:42">
      <c r="A128" s="24" t="str">
        <f>_xlfn.XLOOKUP(F128,'TFS Details'!F:F,'TFS Details'!D:D)</f>
        <v>SI DCTA</v>
      </c>
      <c r="B128" s="24" t="str">
        <f>_xlfn.XLOOKUP(F128,'TFS Details'!F:F,'TFS Details'!A:A)</f>
        <v>Billable expense parameter split in Financial UI</v>
      </c>
      <c r="C128" s="46">
        <f>_xlfn.XLOOKUP(F128,'TFS Details'!F:F,'TFS Details'!E:E)</f>
        <v>4446026</v>
      </c>
      <c r="D128" s="17" t="s">
        <v>54</v>
      </c>
      <c r="E128" s="139" t="s">
        <v>346</v>
      </c>
      <c r="F128" s="72">
        <v>4435817</v>
      </c>
      <c r="G128" s="146" t="s">
        <v>347</v>
      </c>
      <c r="H128" s="116" t="s">
        <v>348</v>
      </c>
      <c r="J128" s="250" t="s">
        <v>18</v>
      </c>
      <c r="K128" s="263" t="s">
        <v>599</v>
      </c>
      <c r="L128" s="234" t="s">
        <v>50</v>
      </c>
      <c r="M128" s="17"/>
      <c r="N128" s="78"/>
      <c r="P128" s="102"/>
      <c r="Q128" s="102"/>
      <c r="R128" s="102"/>
      <c r="S128" s="102"/>
      <c r="V128" s="17" t="s">
        <v>204</v>
      </c>
      <c r="W128" s="17" t="s">
        <v>204</v>
      </c>
      <c r="X128" s="17" t="s">
        <v>197</v>
      </c>
      <c r="Y128" s="17" t="s">
        <v>197</v>
      </c>
      <c r="Z128" s="102">
        <v>45</v>
      </c>
      <c r="AA128" s="38">
        <v>27</v>
      </c>
      <c r="AB128" s="102">
        <v>2</v>
      </c>
      <c r="AC128" s="38">
        <v>29</v>
      </c>
      <c r="AD128" s="33">
        <v>0.93</v>
      </c>
      <c r="AE128" s="33">
        <v>0.92</v>
      </c>
      <c r="AF128" s="25" t="str">
        <f>_xlfn.XLOOKUP(F128,'TFS Details'!F:F,'TFS Details'!H:H)</f>
        <v>Active</v>
      </c>
      <c r="AG128" s="42">
        <v>0</v>
      </c>
      <c r="AH128" s="42">
        <v>0</v>
      </c>
      <c r="AI128" s="42">
        <v>0</v>
      </c>
      <c r="AJ128" s="42">
        <v>29</v>
      </c>
      <c r="AK128" s="38">
        <f t="shared" si="14"/>
        <v>29</v>
      </c>
      <c r="AL128" s="39">
        <f t="shared" si="12"/>
        <v>0</v>
      </c>
      <c r="AM128" s="39">
        <f t="shared" si="13"/>
        <v>0</v>
      </c>
      <c r="AN128" s="25"/>
      <c r="AO128" s="25" t="str">
        <f>_xlfn.XLOOKUP(F128,'TFS Details'!F:F,'TFS Details'!I:I)</f>
        <v>Simulators</v>
      </c>
      <c r="AP128" s="25" t="str">
        <f>_xlfn.XLOOKUP(AO128,'TFS Details'!I:I,'TFS Details'!AE:AE)</f>
        <v>K.devaraj</v>
      </c>
    </row>
    <row r="129" spans="1:42">
      <c r="A129" s="24" t="str">
        <f>_xlfn.XLOOKUP(F129,'TFS Details'!F:F,'TFS Details'!D:D)</f>
        <v>PMO</v>
      </c>
      <c r="B129" s="24" t="str">
        <f>_xlfn.XLOOKUP(F129,'TFS Details'!F:F,'TFS Details'!A:A)</f>
        <v>[PMO] URL update for Manage and Dashboard screens</v>
      </c>
      <c r="C129" s="46">
        <f>_xlfn.XLOOKUP(F129,'TFS Details'!F:F,'TFS Details'!E:E)</f>
        <v>4440976</v>
      </c>
      <c r="D129" s="17" t="s">
        <v>54</v>
      </c>
      <c r="E129" s="139" t="s">
        <v>600</v>
      </c>
      <c r="F129" s="141">
        <v>4447063</v>
      </c>
      <c r="G129" s="155" t="s">
        <v>347</v>
      </c>
      <c r="H129" s="116" t="s">
        <v>348</v>
      </c>
      <c r="I129" s="21" t="s">
        <v>589</v>
      </c>
      <c r="J129" s="262" t="s">
        <v>20</v>
      </c>
      <c r="K129" s="176" t="s">
        <v>601</v>
      </c>
      <c r="L129" s="234" t="s">
        <v>30</v>
      </c>
      <c r="M129" s="17" t="s">
        <v>311</v>
      </c>
      <c r="N129" s="78"/>
      <c r="O129" s="273">
        <v>0.3</v>
      </c>
      <c r="P129" s="102"/>
      <c r="Q129" s="102"/>
      <c r="R129" s="102"/>
      <c r="S129" s="102"/>
      <c r="V129" s="17" t="s">
        <v>204</v>
      </c>
      <c r="W129" s="17" t="s">
        <v>204</v>
      </c>
      <c r="X129" s="17" t="s">
        <v>197</v>
      </c>
      <c r="Y129" s="17" t="s">
        <v>216</v>
      </c>
      <c r="Z129" s="102">
        <v>28</v>
      </c>
      <c r="AA129" s="156">
        <v>21</v>
      </c>
      <c r="AB129" s="102">
        <v>2</v>
      </c>
      <c r="AC129" s="156">
        <v>23</v>
      </c>
      <c r="AD129" s="33">
        <v>0.91</v>
      </c>
      <c r="AE129" s="33">
        <v>0.95</v>
      </c>
      <c r="AF129" s="25" t="str">
        <f>_xlfn.XLOOKUP(F129,'TFS Details'!F:F,'TFS Details'!H:H)</f>
        <v>PT In Test</v>
      </c>
      <c r="AG129" s="42">
        <v>3</v>
      </c>
      <c r="AH129" s="42">
        <v>0</v>
      </c>
      <c r="AI129" s="42">
        <v>0</v>
      </c>
      <c r="AJ129" s="42">
        <v>20</v>
      </c>
      <c r="AK129" s="38">
        <f>SUM(AG129:AJ129)</f>
        <v>23</v>
      </c>
      <c r="AL129" s="39">
        <f>IF(AG129+AH129=0,0,SUM(AG129:AH129)/AK129)</f>
        <v>0.13043478260869565</v>
      </c>
      <c r="AM129" s="39">
        <f>IF(AG129=0,0,AG129/(SUM(AG129:AI129)))</f>
        <v>1</v>
      </c>
      <c r="AN129" s="25"/>
      <c r="AO129" s="25"/>
      <c r="AP129" s="25"/>
    </row>
    <row r="130" spans="1:42">
      <c r="A130" s="24" t="str">
        <f>_xlfn.XLOOKUP(F130,'TFS Details'!F:F,'TFS Details'!D:D)</f>
        <v>DFD</v>
      </c>
      <c r="B130" s="24" t="str">
        <f>_xlfn.XLOOKUP(F130,'TFS Details'!F:F,'TFS Details'!A:A)</f>
        <v>DFD - SA Cancellation mail functionality</v>
      </c>
      <c r="C130" s="46">
        <f>_xlfn.XLOOKUP(F130,'TFS Details'!F:F,'TFS Details'!E:E)</f>
        <v>4429551</v>
      </c>
      <c r="D130" s="17" t="s">
        <v>24</v>
      </c>
      <c r="E130" s="139" t="s">
        <v>602</v>
      </c>
      <c r="F130" s="141">
        <v>4429554</v>
      </c>
      <c r="G130" s="106" t="s">
        <v>603</v>
      </c>
      <c r="H130" s="106" t="s">
        <v>604</v>
      </c>
      <c r="I130" s="106" t="s">
        <v>605</v>
      </c>
      <c r="J130" s="250" t="s">
        <v>20</v>
      </c>
      <c r="K130" s="264" t="s">
        <v>606</v>
      </c>
      <c r="L130" s="234" t="s">
        <v>460</v>
      </c>
      <c r="M130" s="17"/>
      <c r="N130" s="78"/>
      <c r="O130" s="33">
        <v>0.7</v>
      </c>
      <c r="P130" s="102"/>
      <c r="Q130" s="102"/>
      <c r="R130" s="102"/>
      <c r="S130" s="102"/>
      <c r="V130" s="17" t="s">
        <v>204</v>
      </c>
      <c r="W130" s="17" t="s">
        <v>204</v>
      </c>
      <c r="X130" s="17" t="s">
        <v>197</v>
      </c>
      <c r="Y130" s="17" t="s">
        <v>197</v>
      </c>
      <c r="Z130" s="102">
        <v>60</v>
      </c>
      <c r="AA130" s="102">
        <v>29</v>
      </c>
      <c r="AB130" s="102">
        <v>10</v>
      </c>
      <c r="AC130" s="102">
        <v>29</v>
      </c>
      <c r="AD130" s="33">
        <v>0.9</v>
      </c>
      <c r="AE130" s="33">
        <v>0.95</v>
      </c>
      <c r="AF130" s="25" t="str">
        <f>_xlfn.XLOOKUP(F130,'TFS Details'!F:F,'TFS Details'!H:H)</f>
        <v>Active</v>
      </c>
      <c r="AG130" s="42">
        <v>0</v>
      </c>
      <c r="AH130" s="42">
        <v>0</v>
      </c>
      <c r="AI130" s="42">
        <v>0</v>
      </c>
      <c r="AJ130" s="102">
        <v>29</v>
      </c>
      <c r="AK130" s="38">
        <f t="shared" si="14"/>
        <v>29</v>
      </c>
      <c r="AL130" s="39">
        <f t="shared" si="12"/>
        <v>0</v>
      </c>
      <c r="AM130" s="39">
        <f t="shared" si="13"/>
        <v>0</v>
      </c>
      <c r="AN130" s="25"/>
      <c r="AO130" s="25" t="str">
        <f>_xlfn.XLOOKUP(F130,'TFS Details'!F:F,'TFS Details'!I:I)</f>
        <v>BackDoorGuardians</v>
      </c>
      <c r="AP130" s="25" t="str">
        <f>_xlfn.XLOOKUP(AO130,'TFS Details'!I:I,'TFS Details'!AE:AE)</f>
        <v>sona.job</v>
      </c>
    </row>
    <row r="131" spans="1:42">
      <c r="A131" s="24" t="str">
        <f>_xlfn.XLOOKUP(F131,'TFS Details'!F:F,'TFS Details'!D:D)</f>
        <v>DFD</v>
      </c>
      <c r="B131" s="24" t="str">
        <f>_xlfn.XLOOKUP(F131,'TFS Details'!F:F,'TFS Details'!A:A)</f>
        <v>DFD - SA Cancellation mail functionality</v>
      </c>
      <c r="C131" s="46">
        <f>_xlfn.XLOOKUP(F131,'TFS Details'!F:F,'TFS Details'!E:E)</f>
        <v>4429551</v>
      </c>
      <c r="D131" s="17" t="s">
        <v>24</v>
      </c>
      <c r="E131" s="139" t="s">
        <v>607</v>
      </c>
      <c r="F131" s="141">
        <v>4429581</v>
      </c>
      <c r="G131" s="106" t="s">
        <v>608</v>
      </c>
      <c r="H131" s="106" t="s">
        <v>609</v>
      </c>
      <c r="I131" s="106" t="s">
        <v>610</v>
      </c>
      <c r="J131" s="250" t="s">
        <v>20</v>
      </c>
      <c r="K131" s="16" t="s">
        <v>606</v>
      </c>
      <c r="L131" s="234" t="s">
        <v>460</v>
      </c>
      <c r="M131" s="17"/>
      <c r="N131" s="78"/>
      <c r="O131" s="273">
        <v>0.1</v>
      </c>
      <c r="P131" s="102"/>
      <c r="Q131" s="102"/>
      <c r="R131" s="102"/>
      <c r="S131" s="102"/>
      <c r="V131" s="17" t="s">
        <v>204</v>
      </c>
      <c r="W131" s="17" t="s">
        <v>204</v>
      </c>
      <c r="X131" s="17" t="s">
        <v>197</v>
      </c>
      <c r="Y131" s="17" t="s">
        <v>197</v>
      </c>
      <c r="Z131" s="102">
        <v>38</v>
      </c>
      <c r="AA131" s="102">
        <v>16</v>
      </c>
      <c r="AB131" s="102">
        <v>3</v>
      </c>
      <c r="AC131" s="102">
        <v>19</v>
      </c>
      <c r="AD131" s="33">
        <v>0.85</v>
      </c>
      <c r="AE131" s="33">
        <v>0.85</v>
      </c>
      <c r="AF131" s="25" t="str">
        <f>_xlfn.XLOOKUP(F131,'TFS Details'!F:F,'TFS Details'!H:H)</f>
        <v>Active</v>
      </c>
      <c r="AG131" s="42">
        <v>0</v>
      </c>
      <c r="AH131" s="42">
        <v>0</v>
      </c>
      <c r="AI131" s="42">
        <v>0</v>
      </c>
      <c r="AJ131" s="102">
        <v>19</v>
      </c>
      <c r="AK131" s="38">
        <f t="shared" si="14"/>
        <v>19</v>
      </c>
      <c r="AL131" s="39">
        <f t="shared" si="12"/>
        <v>0</v>
      </c>
      <c r="AM131" s="39">
        <f t="shared" si="13"/>
        <v>0</v>
      </c>
      <c r="AN131" s="25"/>
      <c r="AO131" s="25" t="str">
        <f>_xlfn.XLOOKUP(F131,'TFS Details'!F:F,'TFS Details'!I:I)</f>
        <v>BackDoorGuardians</v>
      </c>
      <c r="AP131" s="25" t="str">
        <f>_xlfn.XLOOKUP(AO131,'TFS Details'!I:I,'TFS Details'!AE:AE)</f>
        <v>sona.job</v>
      </c>
    </row>
    <row r="132" spans="1:42">
      <c r="A132" s="24" t="str">
        <f>_xlfn.XLOOKUP(F132,'TFS Details'!F:F,'TFS Details'!D:D)</f>
        <v>Analytics</v>
      </c>
      <c r="B132" s="24" t="str">
        <f>_xlfn.XLOOKUP(F132,'TFS Details'!F:F,'TFS Details'!A:A)</f>
        <v>SA bandwidth report sheet filters should be aligned as PLD access, should be based on M, MU and CG</v>
      </c>
      <c r="C132" s="46">
        <f>_xlfn.XLOOKUP(F132,'TFS Details'!F:F,'TFS Details'!E:E)</f>
        <v>4432738</v>
      </c>
      <c r="D132" s="17" t="s">
        <v>24</v>
      </c>
      <c r="E132" s="139" t="s">
        <v>611</v>
      </c>
      <c r="F132" s="141">
        <v>4432786</v>
      </c>
      <c r="G132" s="106" t="s">
        <v>612</v>
      </c>
      <c r="H132" s="106" t="s">
        <v>613</v>
      </c>
      <c r="I132" s="106" t="s">
        <v>614</v>
      </c>
      <c r="J132" s="250" t="s">
        <v>20</v>
      </c>
      <c r="K132" s="16" t="s">
        <v>615</v>
      </c>
      <c r="L132" s="234" t="s">
        <v>23</v>
      </c>
      <c r="M132" s="17"/>
      <c r="N132" s="78"/>
      <c r="O132" s="273">
        <v>0.5</v>
      </c>
      <c r="P132" s="102"/>
      <c r="Q132" s="102"/>
      <c r="R132" s="102"/>
      <c r="S132" s="102"/>
      <c r="V132" s="17" t="s">
        <v>204</v>
      </c>
      <c r="W132" s="17" t="s">
        <v>204</v>
      </c>
      <c r="X132" s="17" t="s">
        <v>197</v>
      </c>
      <c r="Y132" s="17" t="s">
        <v>197</v>
      </c>
      <c r="Z132" s="102">
        <v>47</v>
      </c>
      <c r="AA132" s="102">
        <v>12</v>
      </c>
      <c r="AB132" s="102">
        <v>1</v>
      </c>
      <c r="AC132" s="102">
        <v>13</v>
      </c>
      <c r="AD132" s="33">
        <v>0.9</v>
      </c>
      <c r="AE132" s="33">
        <v>0.85</v>
      </c>
      <c r="AF132" s="25" t="str">
        <f>_xlfn.XLOOKUP(F132,'TFS Details'!F:F,'TFS Details'!H:H)</f>
        <v>Active</v>
      </c>
      <c r="AG132" s="42">
        <v>0</v>
      </c>
      <c r="AH132" s="42">
        <v>0</v>
      </c>
      <c r="AI132" s="42">
        <v>0</v>
      </c>
      <c r="AJ132" s="42">
        <v>0</v>
      </c>
      <c r="AK132" s="38">
        <f t="shared" si="14"/>
        <v>0</v>
      </c>
      <c r="AL132" s="39">
        <f t="shared" si="12"/>
        <v>0</v>
      </c>
      <c r="AM132" s="39">
        <f t="shared" si="13"/>
        <v>0</v>
      </c>
      <c r="AN132" s="25"/>
      <c r="AO132" s="25" t="str">
        <f>_xlfn.XLOOKUP(F132,'TFS Details'!F:F,'TFS Details'!I:I)</f>
        <v>Cognilytics</v>
      </c>
      <c r="AP132" s="25" t="str">
        <f>_xlfn.XLOOKUP(AO132,'TFS Details'!I:I,'TFS Details'!AE:AE)</f>
        <v>anil.kadiri</v>
      </c>
    </row>
    <row r="133" spans="1:42">
      <c r="A133" s="24" t="str">
        <f>_xlfn.XLOOKUP(F133,'TFS Details'!F:F,'TFS Details'!D:D)</f>
        <v>DFD</v>
      </c>
      <c r="B133" s="24" t="str">
        <f>_xlfn.XLOOKUP(F133,'TFS Details'!F:F,'TFS Details'!A:A)</f>
        <v>DFD - SA Cancellation mail functionality</v>
      </c>
      <c r="C133" s="46">
        <f>_xlfn.XLOOKUP(F133,'TFS Details'!F:F,'TFS Details'!E:E)</f>
        <v>4429551</v>
      </c>
      <c r="D133" s="17" t="s">
        <v>24</v>
      </c>
      <c r="E133" s="139" t="s">
        <v>616</v>
      </c>
      <c r="F133" s="141">
        <v>4434050</v>
      </c>
      <c r="G133" s="106" t="s">
        <v>612</v>
      </c>
      <c r="H133" s="106" t="s">
        <v>613</v>
      </c>
      <c r="I133" s="265" t="s">
        <v>614</v>
      </c>
      <c r="J133" s="250" t="s">
        <v>20</v>
      </c>
      <c r="K133" s="16" t="s">
        <v>606</v>
      </c>
      <c r="L133" s="234" t="s">
        <v>460</v>
      </c>
      <c r="M133" s="17"/>
      <c r="N133" s="78"/>
      <c r="O133" s="273">
        <v>0.1</v>
      </c>
      <c r="P133" s="102"/>
      <c r="Q133" s="102"/>
      <c r="R133" s="102"/>
      <c r="S133" s="102"/>
      <c r="V133" s="17" t="s">
        <v>204</v>
      </c>
      <c r="W133" s="17" t="s">
        <v>204</v>
      </c>
      <c r="X133" s="17" t="s">
        <v>197</v>
      </c>
      <c r="Y133" s="17" t="s">
        <v>197</v>
      </c>
      <c r="Z133" s="102">
        <v>45</v>
      </c>
      <c r="AA133" s="102">
        <v>8</v>
      </c>
      <c r="AB133" s="102">
        <v>3</v>
      </c>
      <c r="AC133" s="102">
        <v>11</v>
      </c>
      <c r="AD133" s="33">
        <v>0.8</v>
      </c>
      <c r="AE133" s="33">
        <v>0.7</v>
      </c>
      <c r="AF133" s="25" t="str">
        <f>_xlfn.XLOOKUP(F133,'TFS Details'!F:F,'TFS Details'!H:H)</f>
        <v>Active</v>
      </c>
      <c r="AG133" s="42">
        <v>0</v>
      </c>
      <c r="AH133" s="42">
        <v>0</v>
      </c>
      <c r="AI133" s="42">
        <v>0</v>
      </c>
      <c r="AJ133" s="42">
        <v>0</v>
      </c>
      <c r="AK133" s="38">
        <f>SUM(AG133:AJ133)</f>
        <v>0</v>
      </c>
      <c r="AL133" s="39">
        <f t="shared" si="12"/>
        <v>0</v>
      </c>
      <c r="AM133" s="39">
        <f t="shared" si="13"/>
        <v>0</v>
      </c>
      <c r="AN133" s="25"/>
      <c r="AO133" s="25" t="str">
        <f>_xlfn.XLOOKUP(F133,'TFS Details'!F:F,'TFS Details'!I:I)</f>
        <v>BackDoorGuardians</v>
      </c>
      <c r="AP133" s="25" t="str">
        <f>_xlfn.XLOOKUP(AO133,'TFS Details'!I:I,'TFS Details'!AE:AE)</f>
        <v>sona.job</v>
      </c>
    </row>
    <row r="134" spans="1:42">
      <c r="A134" s="24" t="str">
        <f>_xlfn.XLOOKUP(F134,'TFS Details'!F:F,'TFS Details'!D:D)</f>
        <v>DFD</v>
      </c>
      <c r="B134" s="24" t="str">
        <f>_xlfn.XLOOKUP(F134,'TFS Details'!F:F,'TFS Details'!A:A)</f>
        <v>DFD - SA Cancellation mail functionality</v>
      </c>
      <c r="C134" s="46">
        <f>_xlfn.XLOOKUP(F134,'TFS Details'!F:F,'TFS Details'!E:E)</f>
        <v>4429551</v>
      </c>
      <c r="D134" s="17" t="s">
        <v>24</v>
      </c>
      <c r="E134" s="139" t="s">
        <v>617</v>
      </c>
      <c r="F134" s="141">
        <v>4436381</v>
      </c>
      <c r="G134" s="106" t="s">
        <v>609</v>
      </c>
      <c r="H134" s="106" t="s">
        <v>608</v>
      </c>
      <c r="I134" s="106" t="s">
        <v>618</v>
      </c>
      <c r="J134" s="250" t="s">
        <v>20</v>
      </c>
      <c r="K134" s="16" t="s">
        <v>606</v>
      </c>
      <c r="L134" s="234" t="s">
        <v>460</v>
      </c>
      <c r="M134" s="17"/>
      <c r="N134" s="78"/>
      <c r="O134" s="273">
        <v>0.1</v>
      </c>
      <c r="P134" s="102"/>
      <c r="Q134" s="102"/>
      <c r="R134" s="102"/>
      <c r="S134" s="102"/>
      <c r="V134" s="17" t="s">
        <v>204</v>
      </c>
      <c r="W134" s="17" t="s">
        <v>204</v>
      </c>
      <c r="X134" s="17" t="s">
        <v>197</v>
      </c>
      <c r="Y134" s="17" t="s">
        <v>197</v>
      </c>
      <c r="Z134" s="102">
        <v>38</v>
      </c>
      <c r="AA134" s="102">
        <v>26</v>
      </c>
      <c r="AB134" s="102">
        <v>9</v>
      </c>
      <c r="AC134" s="102">
        <v>35</v>
      </c>
      <c r="AD134" s="33">
        <v>0.9</v>
      </c>
      <c r="AE134" s="33">
        <v>0.9</v>
      </c>
      <c r="AF134" s="25" t="str">
        <f>_xlfn.XLOOKUP(F134,'TFS Details'!F:F,'TFS Details'!H:H)</f>
        <v>Active</v>
      </c>
      <c r="AG134" s="42">
        <v>0</v>
      </c>
      <c r="AH134" s="42">
        <v>0</v>
      </c>
      <c r="AI134" s="42">
        <v>0</v>
      </c>
      <c r="AJ134" s="42">
        <v>35</v>
      </c>
      <c r="AK134" s="38">
        <f t="shared" ref="AK134:AK166" si="16">SUM(AG134:AJ134)</f>
        <v>35</v>
      </c>
      <c r="AL134" s="39">
        <f t="shared" ref="AL134:AL168" si="17">IF(AG134+AH134=0,0,SUM(AG134:AH134)/AK134)</f>
        <v>0</v>
      </c>
      <c r="AM134" s="39">
        <f t="shared" ref="AM134:AM168" si="18">IF(AG134=0,0,AG134/(SUM(AG134:AI134)))</f>
        <v>0</v>
      </c>
      <c r="AN134" s="25"/>
      <c r="AO134" s="25" t="str">
        <f>_xlfn.XLOOKUP(F134,'TFS Details'!F:F,'TFS Details'!I:I)</f>
        <v>BackDoorGuardians</v>
      </c>
      <c r="AP134" s="25" t="str">
        <f>_xlfn.XLOOKUP(AO134,'TFS Details'!I:I,'TFS Details'!AE:AE)</f>
        <v>sona.job</v>
      </c>
    </row>
    <row r="135" spans="1:42">
      <c r="A135" s="24" t="str">
        <f>_xlfn.XLOOKUP(F135,'TFS Details'!F:F,'TFS Details'!D:D)</f>
        <v>DFD-myISP</v>
      </c>
      <c r="B135" s="24" t="str">
        <f>_xlfn.XLOOKUP(F135,'TFS Details'!F:F,'TFS Details'!A:A)</f>
        <v>Song Compliant Update | May Scope</v>
      </c>
      <c r="C135" s="46">
        <f>_xlfn.XLOOKUP(F135,'TFS Details'!F:F,'TFS Details'!E:E)</f>
        <v>4446210</v>
      </c>
      <c r="D135" s="17" t="s">
        <v>24</v>
      </c>
      <c r="E135" s="139" t="s">
        <v>619</v>
      </c>
      <c r="F135" s="141">
        <v>4441955</v>
      </c>
      <c r="G135" s="106" t="s">
        <v>608</v>
      </c>
      <c r="H135" s="106" t="s">
        <v>609</v>
      </c>
      <c r="I135" s="52"/>
      <c r="J135" s="250" t="s">
        <v>18</v>
      </c>
      <c r="K135" s="16" t="s">
        <v>620</v>
      </c>
      <c r="L135" s="234" t="s">
        <v>45</v>
      </c>
      <c r="M135" s="17"/>
      <c r="N135" s="78"/>
      <c r="P135" s="102"/>
      <c r="Q135" s="102"/>
      <c r="R135" s="102"/>
      <c r="S135" s="102"/>
      <c r="V135" s="17" t="s">
        <v>204</v>
      </c>
      <c r="W135" s="17" t="s">
        <v>204</v>
      </c>
      <c r="X135" s="17" t="s">
        <v>197</v>
      </c>
      <c r="Y135" s="17" t="s">
        <v>197</v>
      </c>
      <c r="Z135" s="102">
        <v>20</v>
      </c>
      <c r="AA135" s="102">
        <v>9</v>
      </c>
      <c r="AB135" s="102">
        <v>3</v>
      </c>
      <c r="AC135" s="102">
        <v>12</v>
      </c>
      <c r="AD135" s="33">
        <v>0.85</v>
      </c>
      <c r="AE135" s="33">
        <v>0.8</v>
      </c>
      <c r="AF135" s="25" t="str">
        <f>_xlfn.XLOOKUP(F135,'TFS Details'!F:F,'TFS Details'!H:H)</f>
        <v>Active</v>
      </c>
      <c r="AG135" s="42">
        <v>0</v>
      </c>
      <c r="AH135" s="42">
        <v>0</v>
      </c>
      <c r="AI135" s="42">
        <v>0</v>
      </c>
      <c r="AJ135" s="42">
        <v>12</v>
      </c>
      <c r="AK135" s="38">
        <f t="shared" si="16"/>
        <v>12</v>
      </c>
      <c r="AL135" s="39">
        <f t="shared" si="17"/>
        <v>0</v>
      </c>
      <c r="AM135" s="39">
        <f t="shared" si="18"/>
        <v>0</v>
      </c>
      <c r="AN135" s="25"/>
      <c r="AO135" s="25" t="str">
        <f>_xlfn.XLOOKUP(F135,'TFS Details'!F:F,'TFS Details'!I:I)</f>
        <v>DevNinjas</v>
      </c>
      <c r="AP135" s="25" t="str">
        <f>_xlfn.XLOOKUP(AO135,'TFS Details'!I:I,'TFS Details'!AE:AE)</f>
        <v>sona.job</v>
      </c>
    </row>
    <row r="136" spans="1:42">
      <c r="A136" s="24" t="str">
        <f>_xlfn.XLOOKUP(F136,'TFS Details'!F:F,'TFS Details'!D:D)</f>
        <v>PLD Enhancements</v>
      </c>
      <c r="B136" s="24" t="str">
        <f>_xlfn.XLOOKUP(F136,'TFS Details'!F:F,'TFS Details'!A:A)</f>
        <v>Song Compliant Update | May Scope</v>
      </c>
      <c r="C136" s="46">
        <f>_xlfn.XLOOKUP(F136,'TFS Details'!F:F,'TFS Details'!E:E)</f>
        <v>4446210</v>
      </c>
      <c r="D136" s="17" t="s">
        <v>24</v>
      </c>
      <c r="E136" s="139" t="s">
        <v>621</v>
      </c>
      <c r="F136" s="141">
        <v>4441963</v>
      </c>
      <c r="G136" s="106" t="s">
        <v>603</v>
      </c>
      <c r="H136" s="106" t="s">
        <v>612</v>
      </c>
      <c r="I136" s="52" t="s">
        <v>605</v>
      </c>
      <c r="J136" s="250" t="s">
        <v>20</v>
      </c>
      <c r="K136" s="16" t="s">
        <v>622</v>
      </c>
      <c r="L136" s="234" t="s">
        <v>623</v>
      </c>
      <c r="M136" s="17"/>
      <c r="N136" s="78"/>
      <c r="O136" s="33">
        <v>1</v>
      </c>
      <c r="P136" s="102"/>
      <c r="Q136" s="102"/>
      <c r="R136" s="102"/>
      <c r="S136" s="102"/>
      <c r="V136" s="17" t="s">
        <v>204</v>
      </c>
      <c r="W136" s="17" t="s">
        <v>204</v>
      </c>
      <c r="X136" s="17" t="s">
        <v>197</v>
      </c>
      <c r="Y136" s="17" t="s">
        <v>216</v>
      </c>
      <c r="Z136" s="102">
        <v>55</v>
      </c>
      <c r="AA136" s="102">
        <v>21</v>
      </c>
      <c r="AB136" s="102">
        <v>15</v>
      </c>
      <c r="AC136" s="102">
        <v>21</v>
      </c>
      <c r="AD136" s="33">
        <v>0.9</v>
      </c>
      <c r="AE136" s="33">
        <v>0.95</v>
      </c>
      <c r="AF136" s="25" t="str">
        <f>_xlfn.XLOOKUP(F136,'TFS Details'!F:F,'TFS Details'!H:H)</f>
        <v>UAT In Test</v>
      </c>
      <c r="AG136" s="42">
        <v>20</v>
      </c>
      <c r="AH136" s="42">
        <v>1</v>
      </c>
      <c r="AI136" s="42">
        <v>0</v>
      </c>
      <c r="AJ136" s="42">
        <v>0</v>
      </c>
      <c r="AK136" s="38">
        <f t="shared" si="16"/>
        <v>21</v>
      </c>
      <c r="AL136" s="39">
        <f t="shared" si="17"/>
        <v>1</v>
      </c>
      <c r="AM136" s="39">
        <f t="shared" si="18"/>
        <v>0.95238095238095233</v>
      </c>
      <c r="AN136" s="25" t="s">
        <v>624</v>
      </c>
      <c r="AO136" s="25" t="str">
        <f>_xlfn.XLOOKUP(F136,'TFS Details'!F:F,'TFS Details'!I:I)</f>
        <v>DevNinjas</v>
      </c>
      <c r="AP136" s="25" t="str">
        <f>_xlfn.XLOOKUP(AO136,'TFS Details'!I:I,'TFS Details'!AE:AE)</f>
        <v>sona.job</v>
      </c>
    </row>
    <row r="137" spans="1:42" ht="24">
      <c r="A137" s="24" t="str">
        <f>_xlfn.XLOOKUP(F137,'TFS Details'!F:F,'TFS Details'!D:D)</f>
        <v>PMO</v>
      </c>
      <c r="B137" s="24" t="str">
        <f>_xlfn.XLOOKUP(F137,'TFS Details'!F:F,'TFS Details'!A:A)</f>
        <v>[PMO] URL update for Manage and Dashboard screens</v>
      </c>
      <c r="C137" s="46">
        <f>_xlfn.XLOOKUP(F137,'TFS Details'!F:F,'TFS Details'!E:E)</f>
        <v>4440976</v>
      </c>
      <c r="D137" s="17" t="s">
        <v>24</v>
      </c>
      <c r="E137" s="139" t="s">
        <v>625</v>
      </c>
      <c r="F137" s="141">
        <v>4447591</v>
      </c>
      <c r="G137" s="106" t="s">
        <v>609</v>
      </c>
      <c r="H137" s="106" t="s">
        <v>608</v>
      </c>
      <c r="I137" s="52"/>
      <c r="J137" s="250" t="s">
        <v>18</v>
      </c>
      <c r="K137" s="16" t="s">
        <v>626</v>
      </c>
      <c r="L137" s="234" t="s">
        <v>77</v>
      </c>
      <c r="M137" s="17"/>
      <c r="N137" s="78"/>
      <c r="P137" s="102"/>
      <c r="Q137" s="102"/>
      <c r="R137" s="102"/>
      <c r="S137" s="102"/>
      <c r="V137" s="17" t="s">
        <v>204</v>
      </c>
      <c r="W137" s="17" t="s">
        <v>204</v>
      </c>
      <c r="X137" s="17" t="s">
        <v>197</v>
      </c>
      <c r="Y137" s="17" t="s">
        <v>197</v>
      </c>
      <c r="Z137" s="102">
        <v>42</v>
      </c>
      <c r="AA137" s="102">
        <v>23</v>
      </c>
      <c r="AB137" s="102">
        <v>9</v>
      </c>
      <c r="AC137" s="102">
        <v>32</v>
      </c>
      <c r="AD137" s="33">
        <v>0.8</v>
      </c>
      <c r="AE137" s="33">
        <v>0.85</v>
      </c>
      <c r="AF137" s="25" t="str">
        <f>_xlfn.XLOOKUP(F137,'TFS Details'!F:F,'TFS Details'!H:H)</f>
        <v>PT In Test</v>
      </c>
      <c r="AG137" s="42">
        <v>27</v>
      </c>
      <c r="AH137" s="42">
        <v>2</v>
      </c>
      <c r="AI137" s="42">
        <v>3</v>
      </c>
      <c r="AJ137" s="42">
        <v>0</v>
      </c>
      <c r="AK137" s="38">
        <f t="shared" si="16"/>
        <v>32</v>
      </c>
      <c r="AL137" s="39">
        <f t="shared" si="17"/>
        <v>0.90625</v>
      </c>
      <c r="AM137" s="39">
        <f t="shared" si="18"/>
        <v>0.84375</v>
      </c>
      <c r="AN137" s="75" t="s">
        <v>627</v>
      </c>
      <c r="AO137" s="25" t="str">
        <f>_xlfn.XLOOKUP(F137,'TFS Details'!F:F,'TFS Details'!I:I)</f>
        <v>BackDoorGuardians</v>
      </c>
      <c r="AP137" s="25" t="str">
        <f>_xlfn.XLOOKUP(AO137,'TFS Details'!I:I,'TFS Details'!AE:AE)</f>
        <v>sona.job</v>
      </c>
    </row>
    <row r="138" spans="1:42" ht="14.45">
      <c r="A138" s="24">
        <v>1</v>
      </c>
      <c r="B138" s="24" t="str">
        <f>_xlfn.XLOOKUP(F138,'TFS Details'!F:F,'TFS Details'!A:A)</f>
        <v>myISP- Digital DCSO - Publish functionality</v>
      </c>
      <c r="C138" s="46">
        <f>_xlfn.XLOOKUP(F138,'TFS Details'!F:F,'TFS Details'!E:E)</f>
        <v>4420374</v>
      </c>
      <c r="D138" s="17" t="s">
        <v>31</v>
      </c>
      <c r="E138" s="15" t="s">
        <v>342</v>
      </c>
      <c r="F138" s="149">
        <v>4278131</v>
      </c>
      <c r="G138" s="161" t="s">
        <v>339</v>
      </c>
      <c r="H138" s="106" t="s">
        <v>340</v>
      </c>
      <c r="I138" s="52" t="s">
        <v>84</v>
      </c>
      <c r="J138" s="250" t="s">
        <v>20</v>
      </c>
      <c r="K138" s="16" t="s">
        <v>628</v>
      </c>
      <c r="L138" s="234" t="s">
        <v>196</v>
      </c>
      <c r="M138" s="16" t="s">
        <v>461</v>
      </c>
      <c r="N138" s="78">
        <v>3</v>
      </c>
      <c r="O138" s="273">
        <v>0.25</v>
      </c>
      <c r="P138" s="102"/>
      <c r="Q138" s="102"/>
      <c r="R138" s="102"/>
      <c r="S138" s="102"/>
      <c r="V138" s="185" t="s">
        <v>204</v>
      </c>
      <c r="W138" s="185" t="s">
        <v>204</v>
      </c>
      <c r="X138" s="191" t="s">
        <v>204</v>
      </c>
      <c r="Y138" s="277" t="s">
        <v>183</v>
      </c>
      <c r="Z138" s="102">
        <v>15</v>
      </c>
      <c r="AA138" s="102">
        <v>4</v>
      </c>
      <c r="AB138" s="102">
        <v>0</v>
      </c>
      <c r="AC138" s="102">
        <v>4</v>
      </c>
      <c r="AD138" s="33">
        <v>0.9</v>
      </c>
      <c r="AE138" s="33">
        <v>0.9</v>
      </c>
      <c r="AF138" s="25" t="str">
        <f>_xlfn.XLOOKUP(F138,'TFS Details'!F:F,'TFS Details'!H:H)</f>
        <v>Blocked</v>
      </c>
      <c r="AG138" s="42">
        <v>2</v>
      </c>
      <c r="AH138" s="42">
        <v>0</v>
      </c>
      <c r="AI138" s="42">
        <v>0</v>
      </c>
      <c r="AJ138" s="42">
        <v>2</v>
      </c>
      <c r="AK138" s="38">
        <f>SUM(AG138:AJ138)</f>
        <v>4</v>
      </c>
      <c r="AL138" s="39">
        <f t="shared" si="17"/>
        <v>0.5</v>
      </c>
      <c r="AM138" s="39">
        <f t="shared" si="18"/>
        <v>1</v>
      </c>
      <c r="AN138" s="25" t="s">
        <v>629</v>
      </c>
      <c r="AO138" s="25" t="str">
        <f>_xlfn.XLOOKUP(F138,'TFS Details'!F:F,'TFS Details'!I:I)</f>
        <v>TechStars</v>
      </c>
      <c r="AP138" s="25" t="str">
        <f>_xlfn.XLOOKUP(AO138,'TFS Details'!I:I,'TFS Details'!AE:AE)</f>
        <v>mohanraj.a.selvaraj</v>
      </c>
    </row>
    <row r="139" spans="1:42" ht="14.45">
      <c r="A139" s="24" t="str">
        <f>_xlfn.XLOOKUP(F139,'TFS Details'!F:F,'TFS Details'!D:D)</f>
        <v xml:space="preserve">BPMS onboarding </v>
      </c>
      <c r="B139" s="24" t="str">
        <f>_xlfn.XLOOKUP(F139,'TFS Details'!F:F,'TFS Details'!A:A)</f>
        <v>March Release NextGen Enhancements</v>
      </c>
      <c r="C139" s="46">
        <f>_xlfn.XLOOKUP(F139,'TFS Details'!F:F,'TFS Details'!E:E)</f>
        <v>4365826</v>
      </c>
      <c r="D139" s="17" t="s">
        <v>31</v>
      </c>
      <c r="E139" s="15" t="s">
        <v>630</v>
      </c>
      <c r="F139" s="149">
        <v>4361416</v>
      </c>
      <c r="G139" s="161" t="s">
        <v>330</v>
      </c>
      <c r="H139" s="106" t="s">
        <v>326</v>
      </c>
      <c r="I139" s="52" t="s">
        <v>86</v>
      </c>
      <c r="J139" s="66" t="s">
        <v>1</v>
      </c>
      <c r="K139" s="16"/>
      <c r="L139" s="234"/>
      <c r="M139" s="17" t="s">
        <v>461</v>
      </c>
      <c r="N139" s="78"/>
      <c r="O139" s="33">
        <v>0.2</v>
      </c>
      <c r="P139" s="102"/>
      <c r="Q139" s="102"/>
      <c r="R139" s="102"/>
      <c r="S139" s="102"/>
      <c r="V139" s="17" t="s">
        <v>204</v>
      </c>
      <c r="W139" s="17" t="s">
        <v>204</v>
      </c>
      <c r="X139" s="17" t="s">
        <v>204</v>
      </c>
      <c r="Y139" s="17" t="s">
        <v>197</v>
      </c>
      <c r="Z139" s="102">
        <v>20</v>
      </c>
      <c r="AA139" s="102">
        <v>4</v>
      </c>
      <c r="AB139" s="102">
        <v>0</v>
      </c>
      <c r="AC139" s="102">
        <v>4</v>
      </c>
      <c r="AD139" s="33">
        <v>0.8</v>
      </c>
      <c r="AE139" s="33">
        <v>0.8</v>
      </c>
      <c r="AF139" s="25" t="str">
        <f>_xlfn.XLOOKUP(F139,'TFS Details'!F:F,'TFS Details'!H:H)</f>
        <v>Active</v>
      </c>
      <c r="AG139" s="42">
        <v>0</v>
      </c>
      <c r="AH139" s="42">
        <v>0</v>
      </c>
      <c r="AI139" s="42">
        <v>0</v>
      </c>
      <c r="AJ139" s="42">
        <v>4</v>
      </c>
      <c r="AK139" s="38">
        <f t="shared" si="16"/>
        <v>4</v>
      </c>
      <c r="AL139" s="39">
        <f t="shared" si="17"/>
        <v>0</v>
      </c>
      <c r="AM139" s="39">
        <f t="shared" si="18"/>
        <v>0</v>
      </c>
      <c r="AN139" s="25"/>
      <c r="AO139" s="25" t="str">
        <f>_xlfn.XLOOKUP(F139,'TFS Details'!F:F,'TFS Details'!I:I)</f>
        <v>TechWarriors</v>
      </c>
      <c r="AP139" s="25" t="str">
        <f>_xlfn.XLOOKUP(AO139,'TFS Details'!I:I,'TFS Details'!AE:AE)</f>
        <v>Supriya.a.dhingra</v>
      </c>
    </row>
    <row r="140" spans="1:42" ht="14.45">
      <c r="A140" s="24" t="str">
        <f>_xlfn.XLOOKUP(F140,'TFS Details'!F:F,'TFS Details'!D:D)</f>
        <v>BPMS Onboarding</v>
      </c>
      <c r="B140" s="24" t="str">
        <f>_xlfn.XLOOKUP(F140,'TFS Details'!F:F,'TFS Details'!A:A)</f>
        <v>Rolled Up Revenue in Compliance Score and Other Places (2nd Iteration)</v>
      </c>
      <c r="C140" s="46">
        <f>_xlfn.XLOOKUP(F140,'TFS Details'!F:F,'TFS Details'!E:E)</f>
        <v>4437425</v>
      </c>
      <c r="D140" s="17" t="s">
        <v>31</v>
      </c>
      <c r="E140" s="15" t="s">
        <v>631</v>
      </c>
      <c r="F140" s="149">
        <v>4391602</v>
      </c>
      <c r="G140" s="161" t="s">
        <v>331</v>
      </c>
      <c r="H140" s="106"/>
      <c r="I140" s="52" t="s">
        <v>118</v>
      </c>
      <c r="J140" s="234" t="s">
        <v>1</v>
      </c>
      <c r="K140" s="16"/>
      <c r="L140" s="234"/>
      <c r="M140" s="16"/>
      <c r="N140" s="78"/>
      <c r="O140" s="33">
        <v>0.1</v>
      </c>
      <c r="P140" s="102"/>
      <c r="Q140" s="102"/>
      <c r="R140" s="102"/>
      <c r="S140" s="102"/>
      <c r="V140" s="17" t="s">
        <v>204</v>
      </c>
      <c r="W140" s="17" t="s">
        <v>204</v>
      </c>
      <c r="X140" s="17" t="s">
        <v>204</v>
      </c>
      <c r="Y140" s="17" t="s">
        <v>197</v>
      </c>
      <c r="Z140" s="102">
        <v>30</v>
      </c>
      <c r="AA140" s="102">
        <v>20</v>
      </c>
      <c r="AB140" s="102">
        <v>26</v>
      </c>
      <c r="AC140" s="102">
        <v>26</v>
      </c>
      <c r="AD140" s="33">
        <v>0.6</v>
      </c>
      <c r="AE140" s="33">
        <v>0.6</v>
      </c>
      <c r="AF140" s="25" t="str">
        <f>_xlfn.XLOOKUP(F140,'TFS Details'!F:F,'TFS Details'!H:H)</f>
        <v>Active</v>
      </c>
      <c r="AG140" s="42">
        <v>0</v>
      </c>
      <c r="AH140" s="42">
        <v>0</v>
      </c>
      <c r="AI140" s="42">
        <v>0</v>
      </c>
      <c r="AJ140" s="42">
        <v>0</v>
      </c>
      <c r="AK140" s="38">
        <v>26</v>
      </c>
      <c r="AL140" s="39">
        <f t="shared" si="17"/>
        <v>0</v>
      </c>
      <c r="AM140" s="39">
        <f t="shared" si="18"/>
        <v>0</v>
      </c>
      <c r="AN140" s="25"/>
      <c r="AO140" s="25" t="str">
        <f>_xlfn.XLOOKUP(F140,'TFS Details'!F:F,'TFS Details'!I:I)</f>
        <v>TechWarriors</v>
      </c>
      <c r="AP140" s="25" t="str">
        <f>_xlfn.XLOOKUP(AO140,'TFS Details'!I:I,'TFS Details'!AE:AE)</f>
        <v>Supriya.a.dhingra</v>
      </c>
    </row>
    <row r="141" spans="1:42" ht="14.45">
      <c r="A141" s="24" t="str">
        <f>_xlfn.XLOOKUP(F141,'TFS Details'!F:F,'TFS Details'!D:D)</f>
        <v>DCSO</v>
      </c>
      <c r="B141" s="24" t="str">
        <f>_xlfn.XLOOKUP(F141,'TFS Details'!F:F,'TFS Details'!A:A)</f>
        <v>myISP- Digital DCSO - Publish functionality</v>
      </c>
      <c r="C141" s="46">
        <f>_xlfn.XLOOKUP(F141,'TFS Details'!F:F,'TFS Details'!E:E)</f>
        <v>4420374</v>
      </c>
      <c r="D141" s="17" t="s">
        <v>31</v>
      </c>
      <c r="E141" s="15" t="s">
        <v>632</v>
      </c>
      <c r="F141" s="149">
        <v>4421576</v>
      </c>
      <c r="G141" s="161" t="s">
        <v>339</v>
      </c>
      <c r="H141" s="106" t="s">
        <v>340</v>
      </c>
      <c r="I141" s="52" t="s">
        <v>84</v>
      </c>
      <c r="J141" s="66" t="s">
        <v>1</v>
      </c>
      <c r="K141" s="16"/>
      <c r="L141" s="234"/>
      <c r="M141" s="17" t="s">
        <v>461</v>
      </c>
      <c r="N141" s="78">
        <v>6</v>
      </c>
      <c r="O141" s="273">
        <v>0.25</v>
      </c>
      <c r="P141" s="102">
        <v>10</v>
      </c>
      <c r="Q141" s="102">
        <v>6</v>
      </c>
      <c r="R141" s="102">
        <v>0</v>
      </c>
      <c r="S141" s="102">
        <v>6</v>
      </c>
      <c r="T141" s="33">
        <v>0.9</v>
      </c>
      <c r="U141" s="33">
        <v>0.9</v>
      </c>
      <c r="V141" s="185" t="s">
        <v>204</v>
      </c>
      <c r="W141" s="185" t="s">
        <v>204</v>
      </c>
      <c r="X141" s="191" t="s">
        <v>204</v>
      </c>
      <c r="Y141" s="277" t="s">
        <v>183</v>
      </c>
      <c r="Z141" s="102">
        <v>10</v>
      </c>
      <c r="AA141" s="102">
        <v>6</v>
      </c>
      <c r="AB141" s="102">
        <v>0</v>
      </c>
      <c r="AC141" s="102">
        <v>6</v>
      </c>
      <c r="AD141" s="33">
        <v>0.9</v>
      </c>
      <c r="AE141" s="33">
        <v>0.9</v>
      </c>
      <c r="AF141" s="25" t="str">
        <f>_xlfn.XLOOKUP(F141,'TFS Details'!F:F,'TFS Details'!H:H)</f>
        <v>Blocked</v>
      </c>
      <c r="AG141" s="42">
        <v>0</v>
      </c>
      <c r="AH141" s="42">
        <v>0</v>
      </c>
      <c r="AI141" s="42">
        <v>0</v>
      </c>
      <c r="AJ141" s="42">
        <v>6</v>
      </c>
      <c r="AK141" s="38">
        <f>SUM(AG141:AJ141)</f>
        <v>6</v>
      </c>
      <c r="AL141" s="39">
        <f t="shared" si="17"/>
        <v>0</v>
      </c>
      <c r="AM141" s="39">
        <f t="shared" si="18"/>
        <v>0</v>
      </c>
      <c r="AN141" s="25" t="s">
        <v>629</v>
      </c>
      <c r="AO141" s="25" t="str">
        <f>_xlfn.XLOOKUP(F141,'TFS Details'!F:F,'TFS Details'!I:I)</f>
        <v>TechStars</v>
      </c>
      <c r="AP141" s="25" t="str">
        <f>_xlfn.XLOOKUP(AO141,'TFS Details'!I:I,'TFS Details'!AE:AE)</f>
        <v>mohanraj.a.selvaraj</v>
      </c>
    </row>
    <row r="142" spans="1:42" ht="14.45">
      <c r="A142" s="24" t="str">
        <f>_xlfn.XLOOKUP(F142,'TFS Details'!F:F,'TFS Details'!D:D)</f>
        <v>DCSO</v>
      </c>
      <c r="B142" s="24" t="str">
        <f>_xlfn.XLOOKUP(F142,'TFS Details'!F:F,'TFS Details'!A:A)</f>
        <v>myISP- Digital DCSO - Publish functionality</v>
      </c>
      <c r="C142" s="46">
        <f>_xlfn.XLOOKUP(F142,'TFS Details'!F:F,'TFS Details'!E:E)</f>
        <v>4420374</v>
      </c>
      <c r="D142" s="17" t="s">
        <v>31</v>
      </c>
      <c r="E142" s="15" t="s">
        <v>633</v>
      </c>
      <c r="F142" s="149">
        <v>4421613</v>
      </c>
      <c r="G142" s="161" t="s">
        <v>339</v>
      </c>
      <c r="H142" s="106" t="s">
        <v>340</v>
      </c>
      <c r="I142" s="52" t="s">
        <v>84</v>
      </c>
      <c r="J142" s="66" t="s">
        <v>1</v>
      </c>
      <c r="K142" s="16"/>
      <c r="L142" s="234"/>
      <c r="M142" s="17" t="s">
        <v>461</v>
      </c>
      <c r="N142" s="78">
        <v>6</v>
      </c>
      <c r="O142" s="273">
        <v>0.25</v>
      </c>
      <c r="P142" s="102">
        <v>15</v>
      </c>
      <c r="Q142" s="102">
        <v>4</v>
      </c>
      <c r="R142" s="102">
        <v>2</v>
      </c>
      <c r="S142" s="102">
        <v>6</v>
      </c>
      <c r="T142" s="33">
        <v>0.7</v>
      </c>
      <c r="U142" s="33">
        <v>0.7</v>
      </c>
      <c r="V142" s="185" t="s">
        <v>204</v>
      </c>
      <c r="W142" s="185" t="s">
        <v>204</v>
      </c>
      <c r="X142" s="191" t="s">
        <v>204</v>
      </c>
      <c r="Y142" s="277" t="s">
        <v>183</v>
      </c>
      <c r="Z142" s="102">
        <v>15</v>
      </c>
      <c r="AA142" s="102">
        <v>4</v>
      </c>
      <c r="AB142" s="102">
        <v>2</v>
      </c>
      <c r="AC142" s="102">
        <v>6</v>
      </c>
      <c r="AD142" s="33">
        <v>0.7</v>
      </c>
      <c r="AE142" s="33">
        <v>0.7</v>
      </c>
      <c r="AF142" s="25" t="str">
        <f>_xlfn.XLOOKUP(F142,'TFS Details'!F:F,'TFS Details'!H:H)</f>
        <v>Blocked</v>
      </c>
      <c r="AG142" s="42">
        <v>1</v>
      </c>
      <c r="AH142" s="42">
        <v>0</v>
      </c>
      <c r="AI142" s="42">
        <v>0</v>
      </c>
      <c r="AJ142" s="42">
        <v>5</v>
      </c>
      <c r="AK142" s="38">
        <f>SUM(AG142:AJ142)</f>
        <v>6</v>
      </c>
      <c r="AL142" s="39">
        <f t="shared" si="17"/>
        <v>0.16666666666666666</v>
      </c>
      <c r="AM142" s="39">
        <f t="shared" si="18"/>
        <v>1</v>
      </c>
      <c r="AN142" s="25" t="s">
        <v>629</v>
      </c>
      <c r="AO142" s="25" t="str">
        <f>_xlfn.XLOOKUP(F142,'TFS Details'!F:F,'TFS Details'!I:I)</f>
        <v>TechStars</v>
      </c>
      <c r="AP142" s="25" t="str">
        <f>_xlfn.XLOOKUP(AO142,'TFS Details'!I:I,'TFS Details'!AE:AE)</f>
        <v>mohanraj.a.selvaraj</v>
      </c>
    </row>
    <row r="143" spans="1:42" ht="14.45">
      <c r="A143" s="24" t="str">
        <f>_xlfn.XLOOKUP(F143,'TFS Details'!F:F,'TFS Details'!D:D)</f>
        <v>DCSO</v>
      </c>
      <c r="B143" s="24" t="str">
        <f>_xlfn.XLOOKUP(F143,'TFS Details'!F:F,'TFS Details'!A:A)</f>
        <v>myISP- Digital DCSO - Publish functionality</v>
      </c>
      <c r="C143" s="46">
        <f>_xlfn.XLOOKUP(F143,'TFS Details'!F:F,'TFS Details'!E:E)</f>
        <v>4420374</v>
      </c>
      <c r="D143" s="17" t="s">
        <v>31</v>
      </c>
      <c r="E143" s="15" t="s">
        <v>634</v>
      </c>
      <c r="F143" s="149">
        <v>4421619</v>
      </c>
      <c r="G143" s="161" t="s">
        <v>339</v>
      </c>
      <c r="H143" s="106" t="s">
        <v>340</v>
      </c>
      <c r="I143" s="52" t="s">
        <v>84</v>
      </c>
      <c r="J143" s="66" t="s">
        <v>1</v>
      </c>
      <c r="K143" s="100"/>
      <c r="L143" s="234"/>
      <c r="M143" s="17" t="s">
        <v>461</v>
      </c>
      <c r="N143" s="78">
        <v>3</v>
      </c>
      <c r="O143" s="273">
        <v>0.25</v>
      </c>
      <c r="P143" s="102">
        <v>11</v>
      </c>
      <c r="Q143" s="102">
        <v>4</v>
      </c>
      <c r="R143" s="102">
        <v>1</v>
      </c>
      <c r="S143" s="102">
        <v>5</v>
      </c>
      <c r="T143" s="33">
        <v>0.85</v>
      </c>
      <c r="U143" s="33">
        <v>0.85</v>
      </c>
      <c r="V143" s="185" t="s">
        <v>204</v>
      </c>
      <c r="W143" s="185" t="s">
        <v>204</v>
      </c>
      <c r="X143" s="191" t="s">
        <v>204</v>
      </c>
      <c r="Y143" s="277" t="s">
        <v>183</v>
      </c>
      <c r="Z143" s="102">
        <v>11</v>
      </c>
      <c r="AA143" s="102">
        <v>4</v>
      </c>
      <c r="AB143" s="102">
        <v>1</v>
      </c>
      <c r="AC143" s="102">
        <v>5</v>
      </c>
      <c r="AD143" s="33">
        <v>0.85</v>
      </c>
      <c r="AE143" s="33">
        <v>0.85</v>
      </c>
      <c r="AF143" s="25" t="str">
        <f>_xlfn.XLOOKUP(F143,'TFS Details'!F:F,'TFS Details'!H:H)</f>
        <v>Blocked</v>
      </c>
      <c r="AG143" s="42">
        <v>0</v>
      </c>
      <c r="AH143" s="42">
        <v>0</v>
      </c>
      <c r="AI143" s="42">
        <v>0</v>
      </c>
      <c r="AJ143" s="42">
        <v>5</v>
      </c>
      <c r="AK143" s="38">
        <f>SUM(AG143:AJ143)</f>
        <v>5</v>
      </c>
      <c r="AL143" s="39">
        <f t="shared" si="17"/>
        <v>0</v>
      </c>
      <c r="AM143" s="39">
        <f t="shared" si="18"/>
        <v>0</v>
      </c>
      <c r="AN143" s="25" t="s">
        <v>629</v>
      </c>
      <c r="AO143" s="25" t="str">
        <f>_xlfn.XLOOKUP(F143,'TFS Details'!F:F,'TFS Details'!I:I)</f>
        <v>TechStars</v>
      </c>
      <c r="AP143" s="25" t="str">
        <f>_xlfn.XLOOKUP(AO143,'TFS Details'!I:I,'TFS Details'!AE:AE)</f>
        <v>mohanraj.a.selvaraj</v>
      </c>
    </row>
    <row r="144" spans="1:42" ht="14.45">
      <c r="A144" s="24" t="str">
        <f>_xlfn.XLOOKUP(F144,'TFS Details'!F:F,'TFS Details'!D:D)</f>
        <v>DCSO</v>
      </c>
      <c r="B144" s="24" t="str">
        <f>_xlfn.XLOOKUP(F144,'TFS Details'!F:F,'TFS Details'!A:A)</f>
        <v>myISP- Digital DCSO - Publish functionality</v>
      </c>
      <c r="C144" s="46">
        <f>_xlfn.XLOOKUP(F144,'TFS Details'!F:F,'TFS Details'!E:E)</f>
        <v>4420374</v>
      </c>
      <c r="D144" s="17" t="s">
        <v>31</v>
      </c>
      <c r="E144" s="15" t="s">
        <v>338</v>
      </c>
      <c r="F144" s="149">
        <v>4422310</v>
      </c>
      <c r="G144" s="161" t="s">
        <v>339</v>
      </c>
      <c r="H144" s="106" t="s">
        <v>340</v>
      </c>
      <c r="I144" s="52" t="s">
        <v>84</v>
      </c>
      <c r="J144" s="250" t="s">
        <v>1</v>
      </c>
      <c r="K144" s="107" t="s">
        <v>341</v>
      </c>
      <c r="L144" s="234" t="s">
        <v>196</v>
      </c>
      <c r="M144" s="17" t="s">
        <v>461</v>
      </c>
      <c r="N144" s="78"/>
      <c r="O144" s="273">
        <v>0.25</v>
      </c>
      <c r="P144" s="102"/>
      <c r="Q144" s="102"/>
      <c r="R144" s="102"/>
      <c r="S144" s="102"/>
      <c r="V144" s="185" t="s">
        <v>204</v>
      </c>
      <c r="W144" s="185" t="s">
        <v>204</v>
      </c>
      <c r="X144" s="191" t="s">
        <v>204</v>
      </c>
      <c r="Y144" s="277" t="s">
        <v>183</v>
      </c>
      <c r="Z144" s="102">
        <v>20</v>
      </c>
      <c r="AA144" s="102">
        <v>9</v>
      </c>
      <c r="AB144" s="102">
        <v>2</v>
      </c>
      <c r="AC144" s="102">
        <v>11</v>
      </c>
      <c r="AD144" s="33">
        <v>0.7</v>
      </c>
      <c r="AE144" s="33">
        <v>0.7</v>
      </c>
      <c r="AF144" s="25" t="str">
        <f>_xlfn.XLOOKUP(F144,'TFS Details'!F:F,'TFS Details'!H:H)</f>
        <v>On Hold</v>
      </c>
      <c r="AG144" s="42">
        <v>0</v>
      </c>
      <c r="AH144" s="42">
        <v>0</v>
      </c>
      <c r="AI144" s="42">
        <v>0</v>
      </c>
      <c r="AJ144" s="42">
        <v>11</v>
      </c>
      <c r="AK144" s="38">
        <f>SUM(AG144:AJ144)</f>
        <v>11</v>
      </c>
      <c r="AL144" s="39">
        <f t="shared" si="17"/>
        <v>0</v>
      </c>
      <c r="AM144" s="39">
        <f t="shared" si="18"/>
        <v>0</v>
      </c>
      <c r="AN144" s="25" t="s">
        <v>629</v>
      </c>
      <c r="AO144" s="25" t="str">
        <f>_xlfn.XLOOKUP(F144,'TFS Details'!F:F,'TFS Details'!I:I)</f>
        <v>TechStars</v>
      </c>
      <c r="AP144" s="25" t="str">
        <f>_xlfn.XLOOKUP(AO144,'TFS Details'!I:I,'TFS Details'!AE:AE)</f>
        <v>mohanraj.a.selvaraj</v>
      </c>
    </row>
    <row r="145" spans="1:42" ht="14.45">
      <c r="A145" s="24" t="str">
        <f>_xlfn.XLOOKUP(F145,'TFS Details'!F:F,'TFS Details'!D:D)</f>
        <v>DCSO</v>
      </c>
      <c r="B145" s="24" t="str">
        <f>_xlfn.XLOOKUP(F145,'TFS Details'!F:F,'TFS Details'!A:A)</f>
        <v>myISP- Digital DCSO - Publish functionality</v>
      </c>
      <c r="C145" s="46">
        <f>_xlfn.XLOOKUP(F145,'TFS Details'!F:F,'TFS Details'!E:E)</f>
        <v>4420374</v>
      </c>
      <c r="D145" s="17" t="s">
        <v>31</v>
      </c>
      <c r="E145" s="15" t="s">
        <v>635</v>
      </c>
      <c r="F145" s="149">
        <v>4422354</v>
      </c>
      <c r="G145" s="161" t="s">
        <v>336</v>
      </c>
      <c r="H145" s="106" t="s">
        <v>202</v>
      </c>
      <c r="I145" s="52" t="s">
        <v>97</v>
      </c>
      <c r="J145" s="66" t="s">
        <v>1</v>
      </c>
      <c r="K145" s="16"/>
      <c r="L145" s="234"/>
      <c r="M145" s="17" t="s">
        <v>461</v>
      </c>
      <c r="N145" s="78"/>
      <c r="O145" s="33">
        <v>0.2</v>
      </c>
      <c r="P145" s="102"/>
      <c r="Q145" s="102"/>
      <c r="R145" s="102"/>
      <c r="S145" s="102"/>
      <c r="V145" s="17" t="s">
        <v>204</v>
      </c>
      <c r="W145" s="17" t="s">
        <v>204</v>
      </c>
      <c r="X145" s="17" t="s">
        <v>204</v>
      </c>
      <c r="Y145" s="17" t="s">
        <v>197</v>
      </c>
      <c r="Z145" s="102">
        <v>12</v>
      </c>
      <c r="AA145" s="102">
        <v>10</v>
      </c>
      <c r="AB145" s="102">
        <v>12</v>
      </c>
      <c r="AC145" s="102">
        <v>12</v>
      </c>
      <c r="AD145" s="33">
        <v>0.8</v>
      </c>
      <c r="AE145" s="33">
        <v>0.8</v>
      </c>
      <c r="AF145" s="25" t="str">
        <f>_xlfn.XLOOKUP(F145,'TFS Details'!F:F,'TFS Details'!H:H)</f>
        <v>On Hold</v>
      </c>
      <c r="AG145" s="42">
        <v>0</v>
      </c>
      <c r="AH145" s="42">
        <v>0</v>
      </c>
      <c r="AI145" s="42">
        <v>1</v>
      </c>
      <c r="AJ145" s="236">
        <v>11</v>
      </c>
      <c r="AK145" s="38">
        <f t="shared" si="16"/>
        <v>12</v>
      </c>
      <c r="AL145" s="39">
        <f t="shared" si="17"/>
        <v>0</v>
      </c>
      <c r="AM145" s="39">
        <f t="shared" si="18"/>
        <v>0</v>
      </c>
      <c r="AN145" s="25"/>
      <c r="AO145" s="25" t="str">
        <f>_xlfn.XLOOKUP(F145,'TFS Details'!F:F,'TFS Details'!I:I)</f>
        <v>TechStars</v>
      </c>
      <c r="AP145" s="25" t="str">
        <f>_xlfn.XLOOKUP(AO145,'TFS Details'!I:I,'TFS Details'!AE:AE)</f>
        <v>mohanraj.a.selvaraj</v>
      </c>
    </row>
    <row r="146" spans="1:42" ht="14.45">
      <c r="A146" s="24" t="str">
        <f>_xlfn.XLOOKUP(F146,'TFS Details'!F:F,'TFS Details'!D:D)</f>
        <v>DCSO</v>
      </c>
      <c r="B146" s="24" t="str">
        <f>_xlfn.XLOOKUP(F146,'TFS Details'!F:F,'TFS Details'!A:A)</f>
        <v>myISP - Digital DCSO Summary sections addition and Other changes</v>
      </c>
      <c r="C146" s="46">
        <f>_xlfn.XLOOKUP(F146,'TFS Details'!F:F,'TFS Details'!E:E)</f>
        <v>4446711</v>
      </c>
      <c r="D146" s="17" t="s">
        <v>31</v>
      </c>
      <c r="E146" s="15" t="s">
        <v>636</v>
      </c>
      <c r="F146" s="149">
        <v>4423248</v>
      </c>
      <c r="G146" s="161" t="s">
        <v>340</v>
      </c>
      <c r="H146" s="106" t="s">
        <v>339</v>
      </c>
      <c r="I146" s="52" t="s">
        <v>68</v>
      </c>
      <c r="J146" s="66" t="s">
        <v>1</v>
      </c>
      <c r="K146" s="100"/>
      <c r="L146" s="234"/>
      <c r="M146" s="17" t="s">
        <v>311</v>
      </c>
      <c r="N146" s="78"/>
      <c r="O146" s="33">
        <v>0.1</v>
      </c>
      <c r="P146" s="102"/>
      <c r="Q146" s="102"/>
      <c r="R146" s="102"/>
      <c r="S146" s="102"/>
      <c r="V146" s="17" t="s">
        <v>204</v>
      </c>
      <c r="W146" s="17" t="s">
        <v>204</v>
      </c>
      <c r="X146" s="17" t="s">
        <v>204</v>
      </c>
      <c r="Y146" s="17" t="s">
        <v>183</v>
      </c>
      <c r="Z146" s="102">
        <v>8</v>
      </c>
      <c r="AA146" s="102">
        <v>7</v>
      </c>
      <c r="AB146" s="102">
        <v>0</v>
      </c>
      <c r="AC146" s="102">
        <v>7</v>
      </c>
      <c r="AD146" s="33">
        <v>0.95</v>
      </c>
      <c r="AE146" s="33">
        <v>0.98</v>
      </c>
      <c r="AF146" s="25" t="str">
        <f>_xlfn.XLOOKUP(F146,'TFS Details'!F:F,'TFS Details'!H:H)</f>
        <v>Ready for Test</v>
      </c>
      <c r="AG146" s="42">
        <v>0</v>
      </c>
      <c r="AH146" s="42">
        <v>0</v>
      </c>
      <c r="AI146" s="42">
        <v>0</v>
      </c>
      <c r="AJ146" s="236">
        <v>7</v>
      </c>
      <c r="AK146" s="38">
        <f t="shared" si="16"/>
        <v>7</v>
      </c>
      <c r="AL146" s="39">
        <f t="shared" si="17"/>
        <v>0</v>
      </c>
      <c r="AM146" s="39">
        <f t="shared" si="18"/>
        <v>0</v>
      </c>
      <c r="AN146" s="25"/>
      <c r="AO146" s="25" t="str">
        <f>_xlfn.XLOOKUP(F146,'TFS Details'!F:F,'TFS Details'!I:I)</f>
        <v>TechStars</v>
      </c>
      <c r="AP146" s="25" t="str">
        <f>_xlfn.XLOOKUP(AO146,'TFS Details'!I:I,'TFS Details'!AE:AE)</f>
        <v>mohanraj.a.selvaraj</v>
      </c>
    </row>
    <row r="147" spans="1:42" ht="14.45">
      <c r="A147" s="24" t="str">
        <f>_xlfn.XLOOKUP(F147,'TFS Details'!F:F,'TFS Details'!D:D)</f>
        <v>DCSO</v>
      </c>
      <c r="B147" s="24" t="str">
        <f>_xlfn.XLOOKUP(F147,'TFS Details'!F:F,'TFS Details'!A:A)</f>
        <v>myISP - Digital DCSO Summary sections addition and Other changes</v>
      </c>
      <c r="C147" s="46">
        <f>_xlfn.XLOOKUP(F147,'TFS Details'!F:F,'TFS Details'!E:E)</f>
        <v>4446711</v>
      </c>
      <c r="D147" s="17" t="s">
        <v>31</v>
      </c>
      <c r="E147" s="15" t="s">
        <v>637</v>
      </c>
      <c r="F147" s="149">
        <v>4423252</v>
      </c>
      <c r="G147" s="161" t="s">
        <v>340</v>
      </c>
      <c r="H147" s="106" t="s">
        <v>339</v>
      </c>
      <c r="I147" s="52" t="s">
        <v>68</v>
      </c>
      <c r="J147" s="66" t="s">
        <v>1</v>
      </c>
      <c r="K147" s="100"/>
      <c r="L147" s="234"/>
      <c r="M147" s="17" t="s">
        <v>311</v>
      </c>
      <c r="N147" s="78"/>
      <c r="O147" s="33">
        <v>0.2</v>
      </c>
      <c r="P147" s="102"/>
      <c r="Q147" s="102"/>
      <c r="R147" s="102"/>
      <c r="S147" s="102"/>
      <c r="V147" s="17" t="s">
        <v>204</v>
      </c>
      <c r="W147" s="17" t="s">
        <v>204</v>
      </c>
      <c r="X147" s="17" t="s">
        <v>204</v>
      </c>
      <c r="Y147" s="17" t="s">
        <v>197</v>
      </c>
      <c r="Z147" s="102">
        <v>8</v>
      </c>
      <c r="AA147" s="102">
        <v>8</v>
      </c>
      <c r="AB147" s="102">
        <v>0</v>
      </c>
      <c r="AC147" s="102">
        <v>8</v>
      </c>
      <c r="AD147" s="33">
        <v>1</v>
      </c>
      <c r="AE147" s="33">
        <v>1</v>
      </c>
      <c r="AF147" s="25" t="str">
        <f>_xlfn.XLOOKUP(F147,'TFS Details'!F:F,'TFS Details'!H:H)</f>
        <v>Active</v>
      </c>
      <c r="AG147" s="42">
        <v>0</v>
      </c>
      <c r="AH147" s="42">
        <v>0</v>
      </c>
      <c r="AI147" s="42">
        <v>0</v>
      </c>
      <c r="AJ147" s="236">
        <v>8</v>
      </c>
      <c r="AK147" s="38">
        <f t="shared" si="16"/>
        <v>8</v>
      </c>
      <c r="AL147" s="39">
        <f t="shared" si="17"/>
        <v>0</v>
      </c>
      <c r="AM147" s="39">
        <f t="shared" si="18"/>
        <v>0</v>
      </c>
      <c r="AN147" s="25"/>
      <c r="AO147" s="25" t="str">
        <f>_xlfn.XLOOKUP(F147,'TFS Details'!F:F,'TFS Details'!I:I)</f>
        <v>TechWarriors</v>
      </c>
      <c r="AP147" s="25" t="str">
        <f>_xlfn.XLOOKUP(AO147,'TFS Details'!I:I,'TFS Details'!AE:AE)</f>
        <v>Supriya.a.dhingra</v>
      </c>
    </row>
    <row r="148" spans="1:42" ht="14.45">
      <c r="A148" s="24" t="str">
        <f>_xlfn.XLOOKUP(F148,'TFS Details'!F:F,'TFS Details'!D:D)</f>
        <v>DCSO</v>
      </c>
      <c r="B148" s="24" t="str">
        <f>_xlfn.XLOOKUP(F148,'TFS Details'!F:F,'TFS Details'!A:A)</f>
        <v>myISP - Digital DCSO Summary sections addition and Other changes</v>
      </c>
      <c r="C148" s="46">
        <f>_xlfn.XLOOKUP(F148,'TFS Details'!F:F,'TFS Details'!E:E)</f>
        <v>4446711</v>
      </c>
      <c r="D148" s="17" t="s">
        <v>31</v>
      </c>
      <c r="E148" s="15" t="s">
        <v>638</v>
      </c>
      <c r="F148" s="149">
        <v>4423255</v>
      </c>
      <c r="G148" s="161" t="s">
        <v>340</v>
      </c>
      <c r="H148" s="106" t="s">
        <v>339</v>
      </c>
      <c r="I148" s="52" t="s">
        <v>68</v>
      </c>
      <c r="J148" s="66" t="s">
        <v>1</v>
      </c>
      <c r="K148" s="100"/>
      <c r="L148" s="234"/>
      <c r="M148" s="17" t="s">
        <v>311</v>
      </c>
      <c r="N148" s="78"/>
      <c r="O148" s="33">
        <v>0.8</v>
      </c>
      <c r="P148" s="102"/>
      <c r="Q148" s="102"/>
      <c r="R148" s="102"/>
      <c r="S148" s="102"/>
      <c r="V148" s="17" t="s">
        <v>204</v>
      </c>
      <c r="W148" s="17" t="s">
        <v>204</v>
      </c>
      <c r="X148" s="17" t="s">
        <v>204</v>
      </c>
      <c r="Y148" s="17" t="s">
        <v>216</v>
      </c>
      <c r="Z148" s="102">
        <v>8</v>
      </c>
      <c r="AA148" s="102">
        <v>8</v>
      </c>
      <c r="AB148" s="102">
        <v>0</v>
      </c>
      <c r="AC148" s="102">
        <v>8</v>
      </c>
      <c r="AD148" s="33">
        <v>1</v>
      </c>
      <c r="AE148" s="33">
        <v>1</v>
      </c>
      <c r="AF148" s="25" t="str">
        <f>_xlfn.XLOOKUP(F148,'TFS Details'!F:F,'TFS Details'!H:H)</f>
        <v>PT In Test</v>
      </c>
      <c r="AG148" s="42">
        <v>7</v>
      </c>
      <c r="AH148" s="42">
        <v>1</v>
      </c>
      <c r="AI148" s="42">
        <v>0</v>
      </c>
      <c r="AJ148" s="236">
        <v>0</v>
      </c>
      <c r="AK148" s="38">
        <f t="shared" si="16"/>
        <v>8</v>
      </c>
      <c r="AL148" s="39">
        <f t="shared" si="17"/>
        <v>1</v>
      </c>
      <c r="AM148" s="39">
        <f t="shared" si="18"/>
        <v>0.875</v>
      </c>
      <c r="AN148" s="99" t="s">
        <v>639</v>
      </c>
      <c r="AO148" s="25" t="str">
        <f>_xlfn.XLOOKUP(F148,'TFS Details'!F:F,'TFS Details'!I:I)</f>
        <v>Pirates</v>
      </c>
      <c r="AP148" s="25" t="str">
        <f>_xlfn.XLOOKUP(AO148,'TFS Details'!I:I,'TFS Details'!AE:AE)</f>
        <v>pandidurai.ks</v>
      </c>
    </row>
    <row r="149" spans="1:42" ht="14.45">
      <c r="A149" s="24" t="str">
        <f>_xlfn.XLOOKUP(F149,'TFS Details'!F:F,'TFS Details'!D:D)</f>
        <v>DCSO</v>
      </c>
      <c r="B149" s="24" t="str">
        <f>_xlfn.XLOOKUP(F149,'TFS Details'!F:F,'TFS Details'!A:A)</f>
        <v>myISP - Digital DCSO Summary sections addition and Other changes</v>
      </c>
      <c r="C149" s="46">
        <f>_xlfn.XLOOKUP(F149,'TFS Details'!F:F,'TFS Details'!E:E)</f>
        <v>4446711</v>
      </c>
      <c r="D149" s="17" t="s">
        <v>31</v>
      </c>
      <c r="E149" s="15" t="s">
        <v>640</v>
      </c>
      <c r="F149" s="149">
        <v>4423291</v>
      </c>
      <c r="G149" s="161" t="s">
        <v>340</v>
      </c>
      <c r="H149" s="106" t="s">
        <v>339</v>
      </c>
      <c r="I149" s="52" t="s">
        <v>68</v>
      </c>
      <c r="J149" s="66" t="s">
        <v>1</v>
      </c>
      <c r="K149" s="100"/>
      <c r="L149" s="234"/>
      <c r="M149" s="17" t="s">
        <v>461</v>
      </c>
      <c r="N149" s="78"/>
      <c r="O149" s="33">
        <v>0.6</v>
      </c>
      <c r="P149" s="102"/>
      <c r="Q149" s="102"/>
      <c r="R149" s="102"/>
      <c r="S149" s="102"/>
      <c r="V149" s="17" t="s">
        <v>204</v>
      </c>
      <c r="W149" s="17" t="s">
        <v>204</v>
      </c>
      <c r="X149" s="17" t="s">
        <v>204</v>
      </c>
      <c r="Y149" s="17" t="s">
        <v>216</v>
      </c>
      <c r="Z149" s="102">
        <v>7</v>
      </c>
      <c r="AA149" s="102">
        <v>7</v>
      </c>
      <c r="AB149" s="102">
        <v>0</v>
      </c>
      <c r="AC149" s="102">
        <v>7</v>
      </c>
      <c r="AD149" s="33">
        <v>1</v>
      </c>
      <c r="AE149" s="33">
        <v>1</v>
      </c>
      <c r="AF149" s="25" t="str">
        <f>_xlfn.XLOOKUP(F149,'TFS Details'!F:F,'TFS Details'!H:H)</f>
        <v>PT In Test</v>
      </c>
      <c r="AG149" s="42">
        <v>4</v>
      </c>
      <c r="AH149" s="42">
        <v>3</v>
      </c>
      <c r="AI149" s="42">
        <v>0</v>
      </c>
      <c r="AJ149" s="236">
        <v>0</v>
      </c>
      <c r="AK149" s="38">
        <f t="shared" si="16"/>
        <v>7</v>
      </c>
      <c r="AL149" s="39">
        <f t="shared" si="17"/>
        <v>1</v>
      </c>
      <c r="AM149" s="39">
        <f t="shared" si="18"/>
        <v>0.5714285714285714</v>
      </c>
      <c r="AN149" s="99" t="s">
        <v>639</v>
      </c>
      <c r="AO149" s="25" t="str">
        <f>_xlfn.XLOOKUP(F149,'TFS Details'!F:F,'TFS Details'!I:I)</f>
        <v>TechStars</v>
      </c>
      <c r="AP149" s="25" t="str">
        <f>_xlfn.XLOOKUP(AO149,'TFS Details'!I:I,'TFS Details'!AE:AE)</f>
        <v>mohanraj.a.selvaraj</v>
      </c>
    </row>
    <row r="150" spans="1:42" ht="14.45">
      <c r="A150" s="24" t="str">
        <f>_xlfn.XLOOKUP(F150,'TFS Details'!F:F,'TFS Details'!D:D)</f>
        <v>DCSO</v>
      </c>
      <c r="B150" s="24" t="str">
        <f>_xlfn.XLOOKUP(F150,'TFS Details'!F:F,'TFS Details'!A:A)</f>
        <v>myISP - Digital DCSO Summary sections addition and Other changes</v>
      </c>
      <c r="C150" s="46">
        <f>_xlfn.XLOOKUP(F150,'TFS Details'!F:F,'TFS Details'!E:E)</f>
        <v>4446711</v>
      </c>
      <c r="D150" s="17" t="s">
        <v>31</v>
      </c>
      <c r="E150" s="15" t="s">
        <v>641</v>
      </c>
      <c r="F150" s="149">
        <v>4423294</v>
      </c>
      <c r="G150" s="161" t="s">
        <v>340</v>
      </c>
      <c r="H150" s="106" t="s">
        <v>339</v>
      </c>
      <c r="I150" s="52" t="s">
        <v>68</v>
      </c>
      <c r="J150" s="66" t="s">
        <v>1</v>
      </c>
      <c r="K150" s="16"/>
      <c r="L150" s="234"/>
      <c r="M150" s="17" t="s">
        <v>461</v>
      </c>
      <c r="N150" s="78"/>
      <c r="O150" s="273">
        <v>0.2</v>
      </c>
      <c r="P150" s="102"/>
      <c r="Q150" s="102"/>
      <c r="R150" s="102"/>
      <c r="S150" s="102"/>
      <c r="V150" s="17" t="s">
        <v>204</v>
      </c>
      <c r="W150" s="17" t="s">
        <v>204</v>
      </c>
      <c r="X150" s="17" t="s">
        <v>204</v>
      </c>
      <c r="Y150" s="17" t="s">
        <v>216</v>
      </c>
      <c r="Z150" s="102">
        <v>8</v>
      </c>
      <c r="AA150" s="102">
        <v>8</v>
      </c>
      <c r="AB150" s="102">
        <v>0</v>
      </c>
      <c r="AC150" s="102">
        <v>8</v>
      </c>
      <c r="AD150" s="33">
        <v>1</v>
      </c>
      <c r="AE150" s="33">
        <v>1</v>
      </c>
      <c r="AF150" s="25" t="str">
        <f>_xlfn.XLOOKUP(F150,'TFS Details'!F:F,'TFS Details'!H:H)</f>
        <v>PT In Test</v>
      </c>
      <c r="AG150" s="42">
        <v>4</v>
      </c>
      <c r="AH150" s="42">
        <v>0</v>
      </c>
      <c r="AI150" s="42">
        <v>0</v>
      </c>
      <c r="AJ150" s="236">
        <v>4</v>
      </c>
      <c r="AK150" s="38">
        <f t="shared" si="16"/>
        <v>8</v>
      </c>
      <c r="AL150" s="39">
        <f t="shared" si="17"/>
        <v>0.5</v>
      </c>
      <c r="AM150" s="39">
        <f t="shared" si="18"/>
        <v>1</v>
      </c>
      <c r="AN150" s="25"/>
      <c r="AO150" s="25" t="str">
        <f>_xlfn.XLOOKUP(F150,'TFS Details'!F:F,'TFS Details'!I:I)</f>
        <v>TechStars</v>
      </c>
      <c r="AP150" s="25" t="str">
        <f>_xlfn.XLOOKUP(AO150,'TFS Details'!I:I,'TFS Details'!AE:AE)</f>
        <v>mohanraj.a.selvaraj</v>
      </c>
    </row>
    <row r="151" spans="1:42" ht="14.45">
      <c r="A151" s="24" t="str">
        <f>_xlfn.XLOOKUP(F151,'TFS Details'!F:F,'TFS Details'!D:D)</f>
        <v>DCSO</v>
      </c>
      <c r="B151" s="24" t="str">
        <f>_xlfn.XLOOKUP(F151,'TFS Details'!F:F,'TFS Details'!A:A)</f>
        <v>myISP - Digital DCSO Summary sections addition and Other changes</v>
      </c>
      <c r="C151" s="46">
        <f>_xlfn.XLOOKUP(F151,'TFS Details'!F:F,'TFS Details'!E:E)</f>
        <v>4446711</v>
      </c>
      <c r="D151" s="17" t="s">
        <v>31</v>
      </c>
      <c r="E151" s="15" t="s">
        <v>642</v>
      </c>
      <c r="F151" s="149">
        <v>4423296</v>
      </c>
      <c r="G151" s="161" t="s">
        <v>340</v>
      </c>
      <c r="H151" s="106" t="s">
        <v>339</v>
      </c>
      <c r="I151" s="52" t="s">
        <v>68</v>
      </c>
      <c r="J151" s="66" t="s">
        <v>1</v>
      </c>
      <c r="K151" s="16"/>
      <c r="L151" s="234"/>
      <c r="M151" s="17" t="s">
        <v>461</v>
      </c>
      <c r="N151" s="78"/>
      <c r="O151" s="273">
        <v>0.2</v>
      </c>
      <c r="P151" s="102"/>
      <c r="Q151" s="102"/>
      <c r="R151" s="102"/>
      <c r="S151" s="102"/>
      <c r="V151" s="17" t="s">
        <v>204</v>
      </c>
      <c r="W151" s="17" t="s">
        <v>204</v>
      </c>
      <c r="X151" s="17" t="s">
        <v>204</v>
      </c>
      <c r="Y151" s="17" t="s">
        <v>216</v>
      </c>
      <c r="Z151" s="102">
        <v>7</v>
      </c>
      <c r="AA151" s="102">
        <v>7</v>
      </c>
      <c r="AB151" s="102">
        <v>0</v>
      </c>
      <c r="AC151" s="102">
        <v>7</v>
      </c>
      <c r="AD151" s="33">
        <v>1</v>
      </c>
      <c r="AE151" s="33">
        <v>1</v>
      </c>
      <c r="AF151" s="25" t="str">
        <f>_xlfn.XLOOKUP(F151,'TFS Details'!F:F,'TFS Details'!H:H)</f>
        <v>PT In Test</v>
      </c>
      <c r="AG151" s="42">
        <v>4</v>
      </c>
      <c r="AH151" s="42">
        <v>0</v>
      </c>
      <c r="AI151" s="42">
        <v>0</v>
      </c>
      <c r="AJ151" s="236">
        <v>3</v>
      </c>
      <c r="AK151" s="38">
        <f t="shared" si="16"/>
        <v>7</v>
      </c>
      <c r="AL151" s="39">
        <f t="shared" si="17"/>
        <v>0.5714285714285714</v>
      </c>
      <c r="AM151" s="39">
        <f t="shared" si="18"/>
        <v>1</v>
      </c>
      <c r="AN151" s="25"/>
      <c r="AO151" s="25" t="str">
        <f>_xlfn.XLOOKUP(F151,'TFS Details'!F:F,'TFS Details'!I:I)</f>
        <v>TechStars</v>
      </c>
      <c r="AP151" s="25" t="str">
        <f>_xlfn.XLOOKUP(AO151,'TFS Details'!I:I,'TFS Details'!AE:AE)</f>
        <v>mohanraj.a.selvaraj</v>
      </c>
    </row>
    <row r="152" spans="1:42" ht="14.45">
      <c r="A152" s="24" t="str">
        <f>_xlfn.XLOOKUP(F152,'TFS Details'!F:F,'TFS Details'!D:D)</f>
        <v>DCSO</v>
      </c>
      <c r="B152" s="24" t="str">
        <f>_xlfn.XLOOKUP(F152,'TFS Details'!F:F,'TFS Details'!A:A)</f>
        <v>myISP - Digital DCSO Summary sections addition and Other changes</v>
      </c>
      <c r="C152" s="46">
        <f>_xlfn.XLOOKUP(F152,'TFS Details'!F:F,'TFS Details'!E:E)</f>
        <v>4446711</v>
      </c>
      <c r="D152" s="17" t="s">
        <v>31</v>
      </c>
      <c r="E152" s="15" t="s">
        <v>643</v>
      </c>
      <c r="F152" s="149">
        <v>4423299</v>
      </c>
      <c r="G152" s="161" t="s">
        <v>340</v>
      </c>
      <c r="H152" s="106" t="s">
        <v>339</v>
      </c>
      <c r="I152" s="52" t="s">
        <v>68</v>
      </c>
      <c r="J152" s="66" t="s">
        <v>1</v>
      </c>
      <c r="K152" s="65"/>
      <c r="L152" s="234"/>
      <c r="M152" s="17" t="s">
        <v>461</v>
      </c>
      <c r="N152" s="78"/>
      <c r="O152" s="273">
        <v>0.1</v>
      </c>
      <c r="P152" s="102"/>
      <c r="Q152" s="102"/>
      <c r="R152" s="102"/>
      <c r="S152" s="102"/>
      <c r="V152" s="17" t="s">
        <v>204</v>
      </c>
      <c r="W152" s="17" t="s">
        <v>204</v>
      </c>
      <c r="X152" s="17" t="s">
        <v>204</v>
      </c>
      <c r="Y152" s="17" t="s">
        <v>183</v>
      </c>
      <c r="Z152" s="102">
        <v>7</v>
      </c>
      <c r="AA152" s="102">
        <v>7</v>
      </c>
      <c r="AB152" s="102">
        <v>0</v>
      </c>
      <c r="AC152" s="102">
        <v>7</v>
      </c>
      <c r="AD152" s="33">
        <v>1</v>
      </c>
      <c r="AE152" s="33">
        <v>1</v>
      </c>
      <c r="AF152" s="25" t="str">
        <f>_xlfn.XLOOKUP(F152,'TFS Details'!F:F,'TFS Details'!H:H)</f>
        <v>PT In Test</v>
      </c>
      <c r="AG152" s="42">
        <v>0</v>
      </c>
      <c r="AH152" s="42">
        <v>0</v>
      </c>
      <c r="AI152" s="42">
        <v>0</v>
      </c>
      <c r="AJ152" s="42">
        <v>7</v>
      </c>
      <c r="AK152" s="38">
        <f t="shared" si="16"/>
        <v>7</v>
      </c>
      <c r="AL152" s="39">
        <f t="shared" si="17"/>
        <v>0</v>
      </c>
      <c r="AM152" s="39">
        <f t="shared" si="18"/>
        <v>0</v>
      </c>
      <c r="AN152" s="99">
        <v>4487642</v>
      </c>
      <c r="AO152" s="25" t="str">
        <f>_xlfn.XLOOKUP(F152,'TFS Details'!F:F,'TFS Details'!I:I)</f>
        <v>TechStars</v>
      </c>
      <c r="AP152" s="25" t="str">
        <f>_xlfn.XLOOKUP(AO152,'TFS Details'!I:I,'TFS Details'!AE:AE)</f>
        <v>mohanraj.a.selvaraj</v>
      </c>
    </row>
    <row r="153" spans="1:42" ht="14.45">
      <c r="A153" s="24" t="str">
        <f>_xlfn.XLOOKUP(F153,'TFS Details'!F:F,'TFS Details'!D:D)</f>
        <v>DCSO</v>
      </c>
      <c r="B153" s="24" t="str">
        <f>_xlfn.XLOOKUP(F153,'TFS Details'!F:F,'TFS Details'!A:A)</f>
        <v>myISP - Digital DCSO Summary sections addition and Other changes</v>
      </c>
      <c r="C153" s="46">
        <f>_xlfn.XLOOKUP(F153,'TFS Details'!F:F,'TFS Details'!E:E)</f>
        <v>4446711</v>
      </c>
      <c r="D153" s="17" t="s">
        <v>31</v>
      </c>
      <c r="E153" s="15" t="s">
        <v>644</v>
      </c>
      <c r="F153" s="149">
        <v>4423301</v>
      </c>
      <c r="G153" s="161" t="s">
        <v>340</v>
      </c>
      <c r="H153" s="106" t="s">
        <v>339</v>
      </c>
      <c r="I153" s="52" t="s">
        <v>44</v>
      </c>
      <c r="J153" s="66" t="s">
        <v>1</v>
      </c>
      <c r="K153" s="57"/>
      <c r="L153" s="234"/>
      <c r="M153" s="17" t="s">
        <v>465</v>
      </c>
      <c r="N153" s="78">
        <v>6</v>
      </c>
      <c r="O153" s="273">
        <v>1</v>
      </c>
      <c r="P153" s="102">
        <v>6</v>
      </c>
      <c r="Q153" s="102">
        <v>2</v>
      </c>
      <c r="R153" s="102">
        <v>4</v>
      </c>
      <c r="S153" s="102">
        <v>6</v>
      </c>
      <c r="T153" s="33">
        <v>0.4</v>
      </c>
      <c r="U153" s="33">
        <v>0.5</v>
      </c>
      <c r="V153" s="17" t="s">
        <v>204</v>
      </c>
      <c r="W153" s="17" t="s">
        <v>204</v>
      </c>
      <c r="X153" s="17" t="s">
        <v>204</v>
      </c>
      <c r="Y153" s="17" t="s">
        <v>216</v>
      </c>
      <c r="Z153" s="102">
        <v>6</v>
      </c>
      <c r="AA153" s="102">
        <v>6</v>
      </c>
      <c r="AB153" s="102">
        <v>0</v>
      </c>
      <c r="AC153" s="102">
        <v>6</v>
      </c>
      <c r="AD153" s="33">
        <v>1</v>
      </c>
      <c r="AE153" s="33">
        <v>1</v>
      </c>
      <c r="AF153" s="25" t="str">
        <f>_xlfn.XLOOKUP(F153,'TFS Details'!F:F,'TFS Details'!H:H)</f>
        <v>PT In Test</v>
      </c>
      <c r="AG153" s="42">
        <v>3</v>
      </c>
      <c r="AH153" s="42">
        <v>0</v>
      </c>
      <c r="AI153" s="42">
        <v>0</v>
      </c>
      <c r="AJ153" s="42">
        <v>3</v>
      </c>
      <c r="AK153" s="38">
        <f t="shared" si="16"/>
        <v>6</v>
      </c>
      <c r="AL153" s="39">
        <f t="shared" si="17"/>
        <v>0.5</v>
      </c>
      <c r="AM153" s="39">
        <f t="shared" si="18"/>
        <v>1</v>
      </c>
      <c r="AN153" s="25"/>
      <c r="AO153" s="25" t="str">
        <f>_xlfn.XLOOKUP(F153,'TFS Details'!F:F,'TFS Details'!I:I)</f>
        <v>TechStars</v>
      </c>
      <c r="AP153" s="25" t="str">
        <f>_xlfn.XLOOKUP(AO153,'TFS Details'!I:I,'TFS Details'!AE:AE)</f>
        <v>mohanraj.a.selvaraj</v>
      </c>
    </row>
    <row r="154" spans="1:42" ht="14.45">
      <c r="A154" s="24" t="str">
        <f>_xlfn.XLOOKUP(F154,'TFS Details'!F:F,'TFS Details'!D:D)</f>
        <v>DCSO</v>
      </c>
      <c r="B154" s="24" t="str">
        <f>_xlfn.XLOOKUP(F154,'TFS Details'!F:F,'TFS Details'!A:A)</f>
        <v>myISP - Digital DCSO Summary sections addition and Other changes</v>
      </c>
      <c r="C154" s="46">
        <f>_xlfn.XLOOKUP(F154,'TFS Details'!F:F,'TFS Details'!E:E)</f>
        <v>4446711</v>
      </c>
      <c r="D154" s="17" t="s">
        <v>31</v>
      </c>
      <c r="E154" s="15" t="s">
        <v>645</v>
      </c>
      <c r="F154" s="149">
        <v>4423304</v>
      </c>
      <c r="G154" s="161" t="s">
        <v>340</v>
      </c>
      <c r="H154" s="106" t="s">
        <v>339</v>
      </c>
      <c r="I154" s="52" t="s">
        <v>44</v>
      </c>
      <c r="J154" s="66" t="s">
        <v>1</v>
      </c>
      <c r="K154" s="57"/>
      <c r="L154" s="234"/>
      <c r="M154" s="17" t="s">
        <v>461</v>
      </c>
      <c r="N154" s="78"/>
      <c r="O154" s="273">
        <v>0.05</v>
      </c>
      <c r="P154" s="102"/>
      <c r="Q154" s="102"/>
      <c r="R154" s="102"/>
      <c r="S154" s="102"/>
      <c r="V154" s="17" t="s">
        <v>204</v>
      </c>
      <c r="W154" s="17" t="s">
        <v>204</v>
      </c>
      <c r="X154" s="17" t="s">
        <v>204</v>
      </c>
      <c r="Y154" s="17" t="s">
        <v>216</v>
      </c>
      <c r="Z154" s="102">
        <v>7</v>
      </c>
      <c r="AA154" s="102">
        <v>7</v>
      </c>
      <c r="AB154" s="102">
        <v>0</v>
      </c>
      <c r="AC154" s="102">
        <v>7</v>
      </c>
      <c r="AD154" s="33">
        <v>1</v>
      </c>
      <c r="AE154" s="33">
        <v>1</v>
      </c>
      <c r="AF154" s="25" t="str">
        <f>_xlfn.XLOOKUP(F154,'TFS Details'!F:F,'TFS Details'!H:H)</f>
        <v>PT In Test</v>
      </c>
      <c r="AG154" s="42">
        <v>5</v>
      </c>
      <c r="AH154" s="42">
        <v>0</v>
      </c>
      <c r="AI154" s="42">
        <v>0</v>
      </c>
      <c r="AJ154" s="42">
        <v>2</v>
      </c>
      <c r="AK154" s="38">
        <f t="shared" si="16"/>
        <v>7</v>
      </c>
      <c r="AL154" s="39">
        <f t="shared" si="17"/>
        <v>0.7142857142857143</v>
      </c>
      <c r="AM154" s="39">
        <f t="shared" si="18"/>
        <v>1</v>
      </c>
      <c r="AN154" s="25"/>
      <c r="AO154" s="25" t="str">
        <f>_xlfn.XLOOKUP(F154,'TFS Details'!F:F,'TFS Details'!I:I)</f>
        <v>TechStars</v>
      </c>
      <c r="AP154" s="25" t="str">
        <f>_xlfn.XLOOKUP(AO154,'TFS Details'!I:I,'TFS Details'!AE:AE)</f>
        <v>mohanraj.a.selvaraj</v>
      </c>
    </row>
    <row r="155" spans="1:42" ht="14.45">
      <c r="A155" s="24" t="str">
        <f>_xlfn.XLOOKUP(F155,'TFS Details'!F:F,'TFS Details'!D:D)</f>
        <v>DCSO</v>
      </c>
      <c r="B155" s="24" t="str">
        <f>_xlfn.XLOOKUP(F155,'TFS Details'!F:F,'TFS Details'!A:A)</f>
        <v>myISP - Digital DCSO Summary sections addition and Other changes</v>
      </c>
      <c r="C155" s="46">
        <f>_xlfn.XLOOKUP(F155,'TFS Details'!F:F,'TFS Details'!E:E)</f>
        <v>4446711</v>
      </c>
      <c r="D155" s="17" t="s">
        <v>31</v>
      </c>
      <c r="E155" s="15" t="s">
        <v>335</v>
      </c>
      <c r="F155" s="149">
        <v>4425029</v>
      </c>
      <c r="G155" s="161" t="s">
        <v>336</v>
      </c>
      <c r="H155" s="106" t="s">
        <v>202</v>
      </c>
      <c r="I155" s="52" t="s">
        <v>97</v>
      </c>
      <c r="J155" s="250" t="s">
        <v>1</v>
      </c>
      <c r="K155" s="16" t="s">
        <v>327</v>
      </c>
      <c r="L155" s="234" t="s">
        <v>196</v>
      </c>
      <c r="M155" s="17" t="s">
        <v>311</v>
      </c>
      <c r="N155" s="78"/>
      <c r="O155" s="33">
        <v>0.2</v>
      </c>
      <c r="P155" s="102"/>
      <c r="Q155" s="102"/>
      <c r="R155" s="102"/>
      <c r="S155" s="102"/>
      <c r="V155" s="17" t="s">
        <v>204</v>
      </c>
      <c r="W155" s="17" t="s">
        <v>204</v>
      </c>
      <c r="X155" s="17" t="s">
        <v>204</v>
      </c>
      <c r="Y155" s="17" t="s">
        <v>197</v>
      </c>
      <c r="Z155" s="102">
        <v>11</v>
      </c>
      <c r="AA155" s="102">
        <v>8</v>
      </c>
      <c r="AB155" s="102">
        <v>20</v>
      </c>
      <c r="AC155" s="102">
        <v>20</v>
      </c>
      <c r="AD155" s="33">
        <v>0.6</v>
      </c>
      <c r="AE155" s="33">
        <v>0.6</v>
      </c>
      <c r="AF155" s="25" t="str">
        <f>_xlfn.XLOOKUP(F155,'TFS Details'!F:F,'TFS Details'!H:H)</f>
        <v>New</v>
      </c>
      <c r="AG155" s="42">
        <v>0</v>
      </c>
      <c r="AH155" s="42">
        <v>0</v>
      </c>
      <c r="AI155" s="42">
        <v>0</v>
      </c>
      <c r="AJ155" s="42">
        <v>20</v>
      </c>
      <c r="AK155" s="38">
        <f t="shared" si="16"/>
        <v>20</v>
      </c>
      <c r="AL155" s="39">
        <f t="shared" si="17"/>
        <v>0</v>
      </c>
      <c r="AM155" s="39">
        <f t="shared" si="18"/>
        <v>0</v>
      </c>
      <c r="AN155" s="25"/>
      <c r="AO155" s="25" t="str">
        <f>_xlfn.XLOOKUP(F155,'TFS Details'!F:F,'TFS Details'!I:I)</f>
        <v>TechStars</v>
      </c>
      <c r="AP155" s="25" t="str">
        <f>_xlfn.XLOOKUP(AO155,'TFS Details'!I:I,'TFS Details'!AE:AE)</f>
        <v>mohanraj.a.selvaraj</v>
      </c>
    </row>
    <row r="156" spans="1:42" ht="14.45">
      <c r="A156" s="24" t="str">
        <f>_xlfn.XLOOKUP(F156,'TFS Details'!F:F,'TFS Details'!D:D)</f>
        <v>DCSO</v>
      </c>
      <c r="B156" s="24" t="str">
        <f>_xlfn.XLOOKUP(F156,'TFS Details'!F:F,'TFS Details'!A:A)</f>
        <v>myISP- Digital DCSO - Publish functionality</v>
      </c>
      <c r="C156" s="46">
        <f>_xlfn.XLOOKUP(F156,'TFS Details'!F:F,'TFS Details'!E:E)</f>
        <v>4420374</v>
      </c>
      <c r="D156" s="17" t="s">
        <v>31</v>
      </c>
      <c r="E156" s="15" t="s">
        <v>646</v>
      </c>
      <c r="F156" s="149">
        <v>4425459</v>
      </c>
      <c r="G156" s="161" t="s">
        <v>340</v>
      </c>
      <c r="H156" s="106" t="s">
        <v>339</v>
      </c>
      <c r="I156" s="52" t="s">
        <v>68</v>
      </c>
      <c r="J156" s="250" t="s">
        <v>18</v>
      </c>
      <c r="K156" s="16" t="s">
        <v>647</v>
      </c>
      <c r="L156" s="234" t="s">
        <v>45</v>
      </c>
      <c r="M156" s="17" t="s">
        <v>311</v>
      </c>
      <c r="N156" s="78"/>
      <c r="O156" s="273">
        <v>0</v>
      </c>
      <c r="P156" s="102"/>
      <c r="Q156" s="102"/>
      <c r="R156" s="102"/>
      <c r="S156" s="102"/>
      <c r="V156" s="17" t="s">
        <v>204</v>
      </c>
      <c r="W156" s="17" t="s">
        <v>204</v>
      </c>
      <c r="X156" s="17" t="s">
        <v>204</v>
      </c>
      <c r="Y156" s="17" t="s">
        <v>197</v>
      </c>
      <c r="Z156" s="102">
        <v>8</v>
      </c>
      <c r="AA156" s="102">
        <v>8</v>
      </c>
      <c r="AB156" s="102">
        <v>1</v>
      </c>
      <c r="AC156" s="102">
        <v>9</v>
      </c>
      <c r="AD156" s="33">
        <v>0.95</v>
      </c>
      <c r="AE156" s="33">
        <v>0.98</v>
      </c>
      <c r="AF156" s="25" t="str">
        <f>_xlfn.XLOOKUP(F156,'TFS Details'!F:F,'TFS Details'!H:H)</f>
        <v>PT In Test</v>
      </c>
      <c r="AG156" s="42">
        <v>0</v>
      </c>
      <c r="AH156" s="42">
        <v>0</v>
      </c>
      <c r="AI156" s="42">
        <v>0</v>
      </c>
      <c r="AJ156" s="42">
        <v>9</v>
      </c>
      <c r="AK156" s="38">
        <f t="shared" si="16"/>
        <v>9</v>
      </c>
      <c r="AL156" s="39">
        <f t="shared" si="17"/>
        <v>0</v>
      </c>
      <c r="AM156" s="39">
        <f t="shared" si="18"/>
        <v>0</v>
      </c>
      <c r="AN156" s="25"/>
      <c r="AO156" s="25" t="str">
        <f>_xlfn.XLOOKUP(F156,'TFS Details'!F:F,'TFS Details'!I:I)</f>
        <v>TechStars</v>
      </c>
      <c r="AP156" s="25" t="str">
        <f>_xlfn.XLOOKUP(AO156,'TFS Details'!I:I,'TFS Details'!AE:AE)</f>
        <v>mohanraj.a.selvaraj</v>
      </c>
    </row>
    <row r="157" spans="1:42" ht="14.45">
      <c r="A157" s="24" t="str">
        <f>_xlfn.XLOOKUP(F157,'TFS Details'!F:F,'TFS Details'!D:D)</f>
        <v>DCSO</v>
      </c>
      <c r="B157" s="24" t="str">
        <f>_xlfn.XLOOKUP(F157,'TFS Details'!F:F,'TFS Details'!A:A)</f>
        <v>myISP DCSO - Delivery Lead Assignments</v>
      </c>
      <c r="C157" s="46">
        <f>_xlfn.XLOOKUP(F157,'TFS Details'!F:F,'TFS Details'!E:E)</f>
        <v>4446526</v>
      </c>
      <c r="D157" s="17" t="s">
        <v>31</v>
      </c>
      <c r="E157" s="15" t="s">
        <v>648</v>
      </c>
      <c r="F157" s="149">
        <v>4425950</v>
      </c>
      <c r="G157" s="161" t="s">
        <v>649</v>
      </c>
      <c r="H157" s="106" t="s">
        <v>339</v>
      </c>
      <c r="I157" s="52" t="s">
        <v>58</v>
      </c>
      <c r="J157" s="66" t="s">
        <v>1</v>
      </c>
      <c r="K157" s="16"/>
      <c r="L157" s="234"/>
      <c r="M157" s="17" t="s">
        <v>461</v>
      </c>
      <c r="N157" s="78"/>
      <c r="O157" s="273">
        <v>0.2</v>
      </c>
      <c r="P157" s="102"/>
      <c r="Q157" s="102"/>
      <c r="R157" s="102"/>
      <c r="S157" s="102"/>
      <c r="V157" s="17" t="s">
        <v>204</v>
      </c>
      <c r="W157" s="17" t="s">
        <v>204</v>
      </c>
      <c r="X157" s="17" t="s">
        <v>204</v>
      </c>
      <c r="Y157" s="17" t="s">
        <v>197</v>
      </c>
      <c r="Z157" s="102">
        <v>6</v>
      </c>
      <c r="AA157" s="102">
        <v>5</v>
      </c>
      <c r="AB157" s="102">
        <v>1</v>
      </c>
      <c r="AC157" s="102">
        <v>5</v>
      </c>
      <c r="AD157" s="33">
        <v>0.6</v>
      </c>
      <c r="AE157" s="33">
        <v>0.6</v>
      </c>
      <c r="AF157" s="25" t="str">
        <f>_xlfn.XLOOKUP(F157,'TFS Details'!F:F,'TFS Details'!H:H)</f>
        <v>In Development</v>
      </c>
      <c r="AG157" s="42">
        <v>0</v>
      </c>
      <c r="AH157" s="42">
        <v>0</v>
      </c>
      <c r="AI157" s="42">
        <v>0</v>
      </c>
      <c r="AJ157" s="42">
        <v>5</v>
      </c>
      <c r="AK157" s="38">
        <f>SUM(AG157:AJ157)</f>
        <v>5</v>
      </c>
      <c r="AL157" s="39">
        <f t="shared" si="17"/>
        <v>0</v>
      </c>
      <c r="AM157" s="39">
        <f t="shared" si="18"/>
        <v>0</v>
      </c>
      <c r="AN157" s="25"/>
      <c r="AO157" s="25" t="str">
        <f>_xlfn.XLOOKUP(F157,'TFS Details'!F:F,'TFS Details'!I:I)</f>
        <v>TechStars</v>
      </c>
      <c r="AP157" s="25" t="str">
        <f>_xlfn.XLOOKUP(AO157,'TFS Details'!I:I,'TFS Details'!AE:AE)</f>
        <v>mohanraj.a.selvaraj</v>
      </c>
    </row>
    <row r="158" spans="1:42" ht="14.45">
      <c r="A158" s="24" t="str">
        <f>_xlfn.XLOOKUP(F158,'TFS Details'!F:F,'TFS Details'!D:D)</f>
        <v>DCSO</v>
      </c>
      <c r="B158" s="24" t="str">
        <f>_xlfn.XLOOKUP(F158,'TFS Details'!F:F,'TFS Details'!A:A)</f>
        <v>myISP DCSO - Delivery Lead Assignments</v>
      </c>
      <c r="C158" s="46">
        <f>_xlfn.XLOOKUP(F158,'TFS Details'!F:F,'TFS Details'!E:E)</f>
        <v>4446526</v>
      </c>
      <c r="D158" s="17" t="s">
        <v>31</v>
      </c>
      <c r="E158" s="15" t="s">
        <v>650</v>
      </c>
      <c r="F158" s="149">
        <v>4425951</v>
      </c>
      <c r="G158" s="161" t="s">
        <v>649</v>
      </c>
      <c r="H158" s="106" t="s">
        <v>339</v>
      </c>
      <c r="I158" s="52" t="s">
        <v>58</v>
      </c>
      <c r="J158" s="66" t="s">
        <v>1</v>
      </c>
      <c r="K158" s="16"/>
      <c r="L158" s="234"/>
      <c r="M158" s="17" t="s">
        <v>461</v>
      </c>
      <c r="N158" s="78"/>
      <c r="O158" s="273">
        <v>0.2</v>
      </c>
      <c r="P158" s="102"/>
      <c r="Q158" s="102"/>
      <c r="R158" s="102"/>
      <c r="S158" s="102"/>
      <c r="V158" s="17" t="s">
        <v>204</v>
      </c>
      <c r="W158" s="17" t="s">
        <v>204</v>
      </c>
      <c r="X158" s="17" t="s">
        <v>204</v>
      </c>
      <c r="Y158" s="17" t="s">
        <v>197</v>
      </c>
      <c r="Z158" s="102">
        <v>7</v>
      </c>
      <c r="AA158" s="102">
        <v>3</v>
      </c>
      <c r="AB158" s="102">
        <v>2</v>
      </c>
      <c r="AC158" s="102">
        <v>3</v>
      </c>
      <c r="AD158" s="33">
        <v>0.7</v>
      </c>
      <c r="AE158" s="33">
        <v>0.7</v>
      </c>
      <c r="AF158" s="25" t="str">
        <f>_xlfn.XLOOKUP(F158,'TFS Details'!F:F,'TFS Details'!H:H)</f>
        <v>In Development</v>
      </c>
      <c r="AG158" s="42">
        <v>0</v>
      </c>
      <c r="AH158" s="42">
        <v>0</v>
      </c>
      <c r="AI158" s="42">
        <v>0</v>
      </c>
      <c r="AJ158" s="42">
        <v>3</v>
      </c>
      <c r="AK158" s="38">
        <f>SUM(AG158:AJ158)</f>
        <v>3</v>
      </c>
      <c r="AL158" s="39">
        <f t="shared" si="17"/>
        <v>0</v>
      </c>
      <c r="AM158" s="39">
        <f t="shared" si="18"/>
        <v>0</v>
      </c>
      <c r="AN158" s="25"/>
      <c r="AO158" s="25" t="str">
        <f>_xlfn.XLOOKUP(F158,'TFS Details'!F:F,'TFS Details'!I:I)</f>
        <v>TechStars</v>
      </c>
      <c r="AP158" s="25" t="str">
        <f>_xlfn.XLOOKUP(AO158,'TFS Details'!I:I,'TFS Details'!AE:AE)</f>
        <v>mohanraj.a.selvaraj</v>
      </c>
    </row>
    <row r="159" spans="1:42" ht="14.45">
      <c r="A159" s="24" t="str">
        <f>_xlfn.XLOOKUP(F159,'TFS Details'!F:F,'TFS Details'!D:D)</f>
        <v>DCSO</v>
      </c>
      <c r="B159" s="24" t="str">
        <f>_xlfn.XLOOKUP(F159,'TFS Details'!F:F,'TFS Details'!A:A)</f>
        <v>myISP DCSO - Delivery Lead Assignments</v>
      </c>
      <c r="C159" s="46">
        <f>_xlfn.XLOOKUP(F159,'TFS Details'!F:F,'TFS Details'!E:E)</f>
        <v>4446526</v>
      </c>
      <c r="D159" s="17" t="s">
        <v>31</v>
      </c>
      <c r="E159" s="15" t="s">
        <v>651</v>
      </c>
      <c r="F159" s="149">
        <v>4425952</v>
      </c>
      <c r="G159" s="161" t="s">
        <v>649</v>
      </c>
      <c r="H159" s="106" t="s">
        <v>339</v>
      </c>
      <c r="I159" s="52" t="s">
        <v>58</v>
      </c>
      <c r="J159" s="66" t="s">
        <v>1</v>
      </c>
      <c r="K159" s="16"/>
      <c r="L159" s="234"/>
      <c r="M159" s="17" t="s">
        <v>461</v>
      </c>
      <c r="N159" s="78"/>
      <c r="O159" s="273">
        <v>0.2</v>
      </c>
      <c r="P159" s="102"/>
      <c r="Q159" s="102"/>
      <c r="R159" s="102"/>
      <c r="S159" s="102"/>
      <c r="V159" s="17" t="s">
        <v>204</v>
      </c>
      <c r="W159" s="17" t="s">
        <v>204</v>
      </c>
      <c r="X159" s="17" t="s">
        <v>204</v>
      </c>
      <c r="Y159" s="17" t="s">
        <v>197</v>
      </c>
      <c r="Z159" s="102">
        <v>8</v>
      </c>
      <c r="AA159" s="102">
        <v>6</v>
      </c>
      <c r="AB159" s="102">
        <v>3</v>
      </c>
      <c r="AC159" s="102">
        <v>6</v>
      </c>
      <c r="AD159" s="33">
        <v>0.6</v>
      </c>
      <c r="AE159" s="33">
        <v>0.8</v>
      </c>
      <c r="AF159" s="25" t="str">
        <f>_xlfn.XLOOKUP(F159,'TFS Details'!F:F,'TFS Details'!H:H)</f>
        <v>In Development</v>
      </c>
      <c r="AG159" s="42">
        <v>0</v>
      </c>
      <c r="AH159" s="42">
        <v>0</v>
      </c>
      <c r="AI159" s="42">
        <v>0</v>
      </c>
      <c r="AJ159" s="42">
        <v>6</v>
      </c>
      <c r="AK159" s="38">
        <f>SUM(AG159:AJ159)</f>
        <v>6</v>
      </c>
      <c r="AL159" s="39">
        <f t="shared" si="17"/>
        <v>0</v>
      </c>
      <c r="AM159" s="39">
        <f t="shared" si="18"/>
        <v>0</v>
      </c>
      <c r="AN159" s="25"/>
      <c r="AO159" s="25" t="str">
        <f>_xlfn.XLOOKUP(F159,'TFS Details'!F:F,'TFS Details'!I:I)</f>
        <v>TechStars</v>
      </c>
      <c r="AP159" s="25" t="str">
        <f>_xlfn.XLOOKUP(AO159,'TFS Details'!I:I,'TFS Details'!AE:AE)</f>
        <v>mohanraj.a.selvaraj</v>
      </c>
    </row>
    <row r="160" spans="1:42" ht="14.45">
      <c r="A160" s="24" t="str">
        <f>_xlfn.XLOOKUP(F160,'TFS Details'!F:F,'TFS Details'!D:D)</f>
        <v>DCSO</v>
      </c>
      <c r="B160" s="24" t="str">
        <f>_xlfn.XLOOKUP(F160,'TFS Details'!F:F,'TFS Details'!A:A)</f>
        <v>myISP DCSO - Delivery Lead Assignments</v>
      </c>
      <c r="C160" s="46">
        <f>_xlfn.XLOOKUP(F160,'TFS Details'!F:F,'TFS Details'!E:E)</f>
        <v>4446526</v>
      </c>
      <c r="D160" s="17" t="s">
        <v>31</v>
      </c>
      <c r="E160" s="15" t="s">
        <v>652</v>
      </c>
      <c r="F160" s="149">
        <v>4425953</v>
      </c>
      <c r="G160" s="161" t="s">
        <v>326</v>
      </c>
      <c r="H160" s="106" t="s">
        <v>339</v>
      </c>
      <c r="I160" s="52" t="s">
        <v>653</v>
      </c>
      <c r="J160" s="66" t="s">
        <v>18</v>
      </c>
      <c r="K160" s="16" t="s">
        <v>654</v>
      </c>
      <c r="L160" s="234" t="s">
        <v>80</v>
      </c>
      <c r="M160" s="17"/>
      <c r="N160" s="78"/>
      <c r="P160" s="102"/>
      <c r="Q160" s="102"/>
      <c r="R160" s="102"/>
      <c r="S160" s="102"/>
      <c r="V160" s="17" t="s">
        <v>204</v>
      </c>
      <c r="W160" s="17" t="s">
        <v>204</v>
      </c>
      <c r="X160" s="17" t="s">
        <v>204</v>
      </c>
      <c r="Y160" s="17" t="s">
        <v>197</v>
      </c>
      <c r="Z160" s="102">
        <v>11</v>
      </c>
      <c r="AA160" s="102">
        <v>8</v>
      </c>
      <c r="AB160" s="102">
        <v>0</v>
      </c>
      <c r="AC160" s="102">
        <v>8</v>
      </c>
      <c r="AD160" s="33">
        <v>0.75</v>
      </c>
      <c r="AE160" s="33">
        <v>0.8</v>
      </c>
      <c r="AF160" s="25" t="str">
        <f>_xlfn.XLOOKUP(F160,'TFS Details'!F:F,'TFS Details'!H:H)</f>
        <v>In Development</v>
      </c>
      <c r="AG160" s="42">
        <v>0</v>
      </c>
      <c r="AH160" s="42">
        <v>0</v>
      </c>
      <c r="AI160" s="42">
        <v>0</v>
      </c>
      <c r="AJ160" s="42">
        <v>8</v>
      </c>
      <c r="AK160" s="38">
        <f t="shared" si="16"/>
        <v>8</v>
      </c>
      <c r="AL160" s="39">
        <f t="shared" si="17"/>
        <v>0</v>
      </c>
      <c r="AM160" s="39">
        <f t="shared" si="18"/>
        <v>0</v>
      </c>
      <c r="AN160" s="118"/>
      <c r="AO160" s="25" t="str">
        <f>_xlfn.XLOOKUP(F160,'TFS Details'!F:F,'TFS Details'!I:I)</f>
        <v>TechStars</v>
      </c>
      <c r="AP160" s="25" t="str">
        <f>_xlfn.XLOOKUP(AO160,'TFS Details'!I:I,'TFS Details'!AE:AE)</f>
        <v>mohanraj.a.selvaraj</v>
      </c>
    </row>
    <row r="161" spans="1:42" ht="14.45">
      <c r="A161" s="24" t="str">
        <f>_xlfn.XLOOKUP(F161,'TFS Details'!F:F,'TFS Details'!D:D)</f>
        <v>DCSO</v>
      </c>
      <c r="B161" s="24" t="str">
        <f>_xlfn.XLOOKUP(F161,'TFS Details'!F:F,'TFS Details'!A:A)</f>
        <v>myISP DCSO - Delivery Lead Assignments</v>
      </c>
      <c r="C161" s="46">
        <f>_xlfn.XLOOKUP(F161,'TFS Details'!F:F,'TFS Details'!E:E)</f>
        <v>4446526</v>
      </c>
      <c r="D161" s="17" t="s">
        <v>31</v>
      </c>
      <c r="E161" s="15" t="s">
        <v>655</v>
      </c>
      <c r="F161" s="149">
        <v>4425954</v>
      </c>
      <c r="G161" s="161" t="s">
        <v>649</v>
      </c>
      <c r="H161" s="106" t="s">
        <v>339</v>
      </c>
      <c r="I161" s="52" t="s">
        <v>58</v>
      </c>
      <c r="J161" s="66" t="s">
        <v>1</v>
      </c>
      <c r="K161" s="16"/>
      <c r="L161" s="234"/>
      <c r="M161" s="17" t="s">
        <v>461</v>
      </c>
      <c r="N161" s="78"/>
      <c r="O161" s="273">
        <v>0.2</v>
      </c>
      <c r="P161" s="102"/>
      <c r="Q161" s="102"/>
      <c r="R161" s="102"/>
      <c r="S161" s="102"/>
      <c r="V161" s="17" t="s">
        <v>204</v>
      </c>
      <c r="W161" s="17" t="s">
        <v>204</v>
      </c>
      <c r="X161" s="17" t="s">
        <v>204</v>
      </c>
      <c r="Y161" s="17" t="s">
        <v>197</v>
      </c>
      <c r="Z161" s="102">
        <v>15</v>
      </c>
      <c r="AA161" s="102">
        <v>10</v>
      </c>
      <c r="AB161" s="102">
        <v>1</v>
      </c>
      <c r="AC161" s="102">
        <v>10</v>
      </c>
      <c r="AD161" s="33">
        <v>0.5</v>
      </c>
      <c r="AE161" s="33">
        <v>0.6</v>
      </c>
      <c r="AF161" s="25" t="str">
        <f>_xlfn.XLOOKUP(F161,'TFS Details'!F:F,'TFS Details'!H:H)</f>
        <v>In Development</v>
      </c>
      <c r="AG161" s="42">
        <v>0</v>
      </c>
      <c r="AH161" s="42">
        <v>0</v>
      </c>
      <c r="AI161" s="42">
        <v>0</v>
      </c>
      <c r="AJ161" s="42">
        <v>10</v>
      </c>
      <c r="AK161" s="38">
        <f>SUM(AG161:AJ161)</f>
        <v>10</v>
      </c>
      <c r="AL161" s="39">
        <f t="shared" si="17"/>
        <v>0</v>
      </c>
      <c r="AM161" s="39">
        <f t="shared" si="18"/>
        <v>0</v>
      </c>
      <c r="AN161" s="25"/>
      <c r="AO161" s="25" t="str">
        <f>_xlfn.XLOOKUP(F161,'TFS Details'!F:F,'TFS Details'!I:I)</f>
        <v>TechStars</v>
      </c>
      <c r="AP161" s="25" t="str">
        <f>_xlfn.XLOOKUP(AO161,'TFS Details'!I:I,'TFS Details'!AE:AE)</f>
        <v>mohanraj.a.selvaraj</v>
      </c>
    </row>
    <row r="162" spans="1:42" ht="14.45">
      <c r="A162" s="24" t="str">
        <f>_xlfn.XLOOKUP(F162,'TFS Details'!F:F,'TFS Details'!D:D)</f>
        <v>DCSO</v>
      </c>
      <c r="B162" s="24" t="str">
        <f>_xlfn.XLOOKUP(F162,'TFS Details'!F:F,'TFS Details'!A:A)</f>
        <v>myISP DCSO - Delivery Lead Assignments</v>
      </c>
      <c r="C162" s="46">
        <f>_xlfn.XLOOKUP(F162,'TFS Details'!F:F,'TFS Details'!E:E)</f>
        <v>4446526</v>
      </c>
      <c r="D162" s="17" t="s">
        <v>31</v>
      </c>
      <c r="E162" s="15" t="s">
        <v>656</v>
      </c>
      <c r="F162" s="149">
        <v>4425955</v>
      </c>
      <c r="G162" s="161" t="s">
        <v>336</v>
      </c>
      <c r="H162" s="106" t="s">
        <v>202</v>
      </c>
      <c r="I162" s="52" t="s">
        <v>97</v>
      </c>
      <c r="J162" s="250" t="s">
        <v>18</v>
      </c>
      <c r="K162" s="16" t="s">
        <v>654</v>
      </c>
      <c r="L162" s="234" t="s">
        <v>80</v>
      </c>
      <c r="M162" s="17" t="s">
        <v>311</v>
      </c>
      <c r="N162" s="78"/>
      <c r="P162" s="102"/>
      <c r="Q162" s="102"/>
      <c r="R162" s="102"/>
      <c r="S162" s="102"/>
      <c r="V162" s="17" t="s">
        <v>204</v>
      </c>
      <c r="W162" s="17" t="s">
        <v>204</v>
      </c>
      <c r="X162" s="17" t="s">
        <v>204</v>
      </c>
      <c r="Y162" s="17" t="s">
        <v>197</v>
      </c>
      <c r="Z162" s="102">
        <v>8</v>
      </c>
      <c r="AA162" s="102">
        <v>8</v>
      </c>
      <c r="AB162" s="102">
        <v>10</v>
      </c>
      <c r="AC162" s="102">
        <v>10</v>
      </c>
      <c r="AD162" s="33">
        <v>0.8</v>
      </c>
      <c r="AE162" s="33">
        <v>0.8</v>
      </c>
      <c r="AF162" s="25" t="str">
        <f>_xlfn.XLOOKUP(F162,'TFS Details'!F:F,'TFS Details'!H:H)</f>
        <v>In Development</v>
      </c>
      <c r="AG162" s="42">
        <v>0</v>
      </c>
      <c r="AH162" s="42">
        <v>0</v>
      </c>
      <c r="AI162" s="42">
        <v>0</v>
      </c>
      <c r="AJ162" s="42">
        <v>10</v>
      </c>
      <c r="AK162" s="38">
        <f t="shared" si="16"/>
        <v>10</v>
      </c>
      <c r="AL162" s="39">
        <f t="shared" si="17"/>
        <v>0</v>
      </c>
      <c r="AM162" s="39">
        <f t="shared" si="18"/>
        <v>0</v>
      </c>
      <c r="AN162" s="25"/>
      <c r="AO162" s="25" t="str">
        <f>_xlfn.XLOOKUP(F162,'TFS Details'!F:F,'TFS Details'!I:I)</f>
        <v>TechStars</v>
      </c>
      <c r="AP162" s="25" t="str">
        <f>_xlfn.XLOOKUP(AO162,'TFS Details'!I:I,'TFS Details'!AE:AE)</f>
        <v>mohanraj.a.selvaraj</v>
      </c>
    </row>
    <row r="163" spans="1:42" ht="14.45">
      <c r="A163" s="24" t="str">
        <f>_xlfn.XLOOKUP(F163,'TFS Details'!F:F,'TFS Details'!D:D)</f>
        <v>Mobilization CXTA</v>
      </c>
      <c r="B163" s="24" t="str">
        <f>_xlfn.XLOOKUP(F163,'TFS Details'!F:F,'TFS Details'!A:A)</f>
        <v>Mobilization CXTA CR</v>
      </c>
      <c r="C163" s="46">
        <f>_xlfn.XLOOKUP(F163,'TFS Details'!F:F,'TFS Details'!E:E)</f>
        <v>4434343</v>
      </c>
      <c r="D163" s="17" t="s">
        <v>31</v>
      </c>
      <c r="E163" s="15" t="s">
        <v>657</v>
      </c>
      <c r="F163" s="149">
        <v>4434380</v>
      </c>
      <c r="G163" s="161" t="s">
        <v>649</v>
      </c>
      <c r="H163" s="106" t="s">
        <v>339</v>
      </c>
      <c r="I163" s="52" t="s">
        <v>58</v>
      </c>
      <c r="J163" s="66" t="s">
        <v>1</v>
      </c>
      <c r="K163" s="16"/>
      <c r="L163" s="234"/>
      <c r="M163" s="17" t="s">
        <v>465</v>
      </c>
      <c r="N163" s="78"/>
      <c r="O163" s="273">
        <v>0.9</v>
      </c>
      <c r="P163" s="102"/>
      <c r="Q163" s="102"/>
      <c r="R163" s="102"/>
      <c r="S163" s="102"/>
      <c r="V163" s="17" t="s">
        <v>204</v>
      </c>
      <c r="W163" s="17" t="s">
        <v>204</v>
      </c>
      <c r="X163" s="17" t="s">
        <v>204</v>
      </c>
      <c r="Y163" s="17" t="s">
        <v>197</v>
      </c>
      <c r="Z163" s="102">
        <v>9</v>
      </c>
      <c r="AA163" s="102">
        <v>3</v>
      </c>
      <c r="AB163" s="102">
        <v>2</v>
      </c>
      <c r="AC163" s="102">
        <v>4</v>
      </c>
      <c r="AD163" s="33">
        <v>0.4</v>
      </c>
      <c r="AE163" s="33">
        <v>0.5</v>
      </c>
      <c r="AF163" s="25" t="str">
        <f>_xlfn.XLOOKUP(F163,'TFS Details'!F:F,'TFS Details'!H:H)</f>
        <v>PT In Test</v>
      </c>
      <c r="AG163" s="42">
        <v>0</v>
      </c>
      <c r="AH163" s="42">
        <v>0</v>
      </c>
      <c r="AI163" s="42">
        <v>0</v>
      </c>
      <c r="AJ163" s="42">
        <v>4</v>
      </c>
      <c r="AK163" s="38">
        <f>SUM(AG163:AJ163)</f>
        <v>4</v>
      </c>
      <c r="AL163" s="39">
        <f t="shared" si="17"/>
        <v>0</v>
      </c>
      <c r="AM163" s="39">
        <f t="shared" si="18"/>
        <v>0</v>
      </c>
      <c r="AN163" s="25"/>
      <c r="AO163" s="25" t="str">
        <f>_xlfn.XLOOKUP(F163,'TFS Details'!F:F,'TFS Details'!I:I)</f>
        <v>CodeCatalyst</v>
      </c>
      <c r="AP163" s="25" t="str">
        <f>_xlfn.XLOOKUP(AO163,'TFS Details'!I:I,'TFS Details'!AE:AE)</f>
        <v>nityanand.giri</v>
      </c>
    </row>
    <row r="164" spans="1:42" ht="14.45">
      <c r="A164" s="24" t="str">
        <f>_xlfn.XLOOKUP(F164,'TFS Details'!F:F,'TFS Details'!D:D)</f>
        <v>Mobilization CXTA</v>
      </c>
      <c r="B164" s="24" t="str">
        <f>_xlfn.XLOOKUP(F164,'TFS Details'!F:F,'TFS Details'!A:A)</f>
        <v>Mobilization CXTA CR</v>
      </c>
      <c r="C164" s="46">
        <f>_xlfn.XLOOKUP(F164,'TFS Details'!F:F,'TFS Details'!E:E)</f>
        <v>4434343</v>
      </c>
      <c r="D164" s="17" t="s">
        <v>31</v>
      </c>
      <c r="E164" s="15" t="s">
        <v>658</v>
      </c>
      <c r="F164" s="149">
        <v>4434383</v>
      </c>
      <c r="G164" s="161" t="s">
        <v>649</v>
      </c>
      <c r="H164" s="106" t="s">
        <v>339</v>
      </c>
      <c r="I164" s="52" t="s">
        <v>58</v>
      </c>
      <c r="J164" s="66" t="s">
        <v>1</v>
      </c>
      <c r="K164" s="16"/>
      <c r="L164" s="234"/>
      <c r="M164" s="17" t="s">
        <v>465</v>
      </c>
      <c r="N164" s="78"/>
      <c r="O164" s="273">
        <v>1</v>
      </c>
      <c r="P164" s="102"/>
      <c r="Q164" s="102"/>
      <c r="R164" s="102"/>
      <c r="S164" s="102"/>
      <c r="V164" s="17" t="s">
        <v>204</v>
      </c>
      <c r="W164" s="17" t="s">
        <v>204</v>
      </c>
      <c r="X164" s="17" t="s">
        <v>204</v>
      </c>
      <c r="Y164" s="17" t="s">
        <v>216</v>
      </c>
      <c r="Z164" s="102">
        <v>8</v>
      </c>
      <c r="AA164" s="102">
        <v>4</v>
      </c>
      <c r="AB164" s="102">
        <v>1</v>
      </c>
      <c r="AC164" s="102">
        <v>5</v>
      </c>
      <c r="AD164" s="33">
        <v>0.4</v>
      </c>
      <c r="AE164" s="33">
        <v>0.5</v>
      </c>
      <c r="AF164" s="25" t="str">
        <f>_xlfn.XLOOKUP(F164,'TFS Details'!F:F,'TFS Details'!H:H)</f>
        <v>PT In Test</v>
      </c>
      <c r="AG164" s="42">
        <v>0</v>
      </c>
      <c r="AH164" s="42">
        <v>0</v>
      </c>
      <c r="AI164" s="42">
        <v>0</v>
      </c>
      <c r="AJ164" s="42">
        <v>5</v>
      </c>
      <c r="AK164" s="38">
        <f>SUM(AG164:AJ164)</f>
        <v>5</v>
      </c>
      <c r="AL164" s="39">
        <f t="shared" si="17"/>
        <v>0</v>
      </c>
      <c r="AM164" s="39">
        <f t="shared" si="18"/>
        <v>0</v>
      </c>
      <c r="AN164" s="25"/>
      <c r="AO164" s="25" t="str">
        <f>_xlfn.XLOOKUP(F164,'TFS Details'!F:F,'TFS Details'!I:I)</f>
        <v>CodeCatalyst</v>
      </c>
      <c r="AP164" s="25" t="str">
        <f>_xlfn.XLOOKUP(AO164,'TFS Details'!I:I,'TFS Details'!AE:AE)</f>
        <v>nityanand.giri</v>
      </c>
    </row>
    <row r="165" spans="1:42" ht="14.45">
      <c r="A165" s="24" t="str">
        <f>_xlfn.XLOOKUP(F165,'TFS Details'!F:F,'TFS Details'!D:D)</f>
        <v>Mobilization CXTA</v>
      </c>
      <c r="B165" s="24" t="str">
        <f>_xlfn.XLOOKUP(F165,'TFS Details'!F:F,'TFS Details'!A:A)</f>
        <v>Mobilization CXTA CR</v>
      </c>
      <c r="C165" s="46">
        <f>_xlfn.XLOOKUP(F165,'TFS Details'!F:F,'TFS Details'!E:E)</f>
        <v>4434343</v>
      </c>
      <c r="D165" s="17" t="s">
        <v>31</v>
      </c>
      <c r="E165" s="15" t="s">
        <v>659</v>
      </c>
      <c r="F165" s="149">
        <v>4434479</v>
      </c>
      <c r="G165" s="161" t="s">
        <v>649</v>
      </c>
      <c r="H165" s="106" t="s">
        <v>339</v>
      </c>
      <c r="I165" s="52" t="s">
        <v>58</v>
      </c>
      <c r="J165" s="66" t="s">
        <v>1</v>
      </c>
      <c r="K165" s="16"/>
      <c r="L165" s="234"/>
      <c r="M165" s="17" t="s">
        <v>465</v>
      </c>
      <c r="N165" s="78"/>
      <c r="O165" s="33">
        <v>1</v>
      </c>
      <c r="P165" s="102"/>
      <c r="Q165" s="102"/>
      <c r="R165" s="102"/>
      <c r="S165" s="102"/>
      <c r="V165" s="17" t="s">
        <v>204</v>
      </c>
      <c r="W165" s="17" t="s">
        <v>204</v>
      </c>
      <c r="X165" s="17" t="s">
        <v>204</v>
      </c>
      <c r="Y165" s="17" t="s">
        <v>216</v>
      </c>
      <c r="Z165" s="102">
        <v>6</v>
      </c>
      <c r="AA165" s="102">
        <v>4</v>
      </c>
      <c r="AB165" s="102">
        <v>1</v>
      </c>
      <c r="AC165" s="102">
        <v>5</v>
      </c>
      <c r="AD165" s="33">
        <v>0.7</v>
      </c>
      <c r="AE165" s="33">
        <v>0.4</v>
      </c>
      <c r="AF165" s="25" t="str">
        <f>_xlfn.XLOOKUP(F165,'TFS Details'!F:F,'TFS Details'!H:H)</f>
        <v>PT In Test</v>
      </c>
      <c r="AG165" s="42">
        <v>0</v>
      </c>
      <c r="AH165" s="42">
        <v>0</v>
      </c>
      <c r="AI165" s="42">
        <v>0</v>
      </c>
      <c r="AJ165" s="42">
        <v>4</v>
      </c>
      <c r="AK165" s="38">
        <f>SUM(AG165:AJ165)</f>
        <v>4</v>
      </c>
      <c r="AL165" s="39">
        <f t="shared" si="17"/>
        <v>0</v>
      </c>
      <c r="AM165" s="39">
        <f t="shared" si="18"/>
        <v>0</v>
      </c>
      <c r="AN165" s="25"/>
      <c r="AO165" s="25" t="str">
        <f>_xlfn.XLOOKUP(F165,'TFS Details'!F:F,'TFS Details'!I:I)</f>
        <v>CodeCatalyst</v>
      </c>
      <c r="AP165" s="25" t="str">
        <f>_xlfn.XLOOKUP(AO165,'TFS Details'!I:I,'TFS Details'!AE:AE)</f>
        <v>nityanand.giri</v>
      </c>
    </row>
    <row r="166" spans="1:42" ht="14.45">
      <c r="A166" s="24" t="str">
        <f>_xlfn.XLOOKUP(F166,'TFS Details'!F:F,'TFS Details'!D:D)</f>
        <v>DCSO</v>
      </c>
      <c r="B166" s="24" t="str">
        <f>_xlfn.XLOOKUP(F166,'TFS Details'!F:F,'TFS Details'!A:A)</f>
        <v>myISP- Digital DCSO - Publish functionality</v>
      </c>
      <c r="C166" s="46">
        <f>_xlfn.XLOOKUP(F166,'TFS Details'!F:F,'TFS Details'!E:E)</f>
        <v>4420374</v>
      </c>
      <c r="D166" s="17" t="s">
        <v>31</v>
      </c>
      <c r="E166" s="15" t="s">
        <v>660</v>
      </c>
      <c r="F166" s="149">
        <v>4436594</v>
      </c>
      <c r="G166" s="161" t="s">
        <v>326</v>
      </c>
      <c r="H166" s="106" t="s">
        <v>661</v>
      </c>
      <c r="I166" s="52" t="s">
        <v>653</v>
      </c>
      <c r="J166" s="250" t="s">
        <v>18</v>
      </c>
      <c r="K166" s="115" t="s">
        <v>662</v>
      </c>
      <c r="L166" s="234" t="s">
        <v>45</v>
      </c>
      <c r="M166" s="17"/>
      <c r="N166" s="78"/>
      <c r="P166" s="102"/>
      <c r="Q166" s="102"/>
      <c r="R166" s="102"/>
      <c r="S166" s="102"/>
      <c r="V166" s="17" t="s">
        <v>204</v>
      </c>
      <c r="W166" s="17" t="s">
        <v>204</v>
      </c>
      <c r="X166" s="17" t="s">
        <v>204</v>
      </c>
      <c r="Y166" s="17" t="s">
        <v>216</v>
      </c>
      <c r="Z166" s="102">
        <v>15</v>
      </c>
      <c r="AA166" s="102">
        <v>5</v>
      </c>
      <c r="AB166" s="102">
        <v>0</v>
      </c>
      <c r="AC166" s="102">
        <v>5</v>
      </c>
      <c r="AD166" s="33">
        <v>0.8</v>
      </c>
      <c r="AE166" s="33">
        <v>0.75</v>
      </c>
      <c r="AF166" s="25" t="str">
        <f>_xlfn.XLOOKUP(F166,'TFS Details'!F:F,'TFS Details'!H:H)</f>
        <v>PT In Test</v>
      </c>
      <c r="AG166" s="42">
        <v>1</v>
      </c>
      <c r="AH166" s="42">
        <v>0</v>
      </c>
      <c r="AI166" s="42">
        <v>0</v>
      </c>
      <c r="AJ166" s="42">
        <v>4</v>
      </c>
      <c r="AK166" s="38">
        <f t="shared" si="16"/>
        <v>5</v>
      </c>
      <c r="AL166" s="39">
        <f t="shared" si="17"/>
        <v>0.2</v>
      </c>
      <c r="AM166" s="39">
        <f t="shared" si="18"/>
        <v>1</v>
      </c>
      <c r="AN166" s="25"/>
      <c r="AO166" s="25" t="str">
        <f>_xlfn.XLOOKUP(F166,'TFS Details'!F:F,'TFS Details'!I:I)</f>
        <v>TechStars</v>
      </c>
      <c r="AP166" s="25" t="str">
        <f>_xlfn.XLOOKUP(AO166,'TFS Details'!I:I,'TFS Details'!AE:AE)</f>
        <v>mohanraj.a.selvaraj</v>
      </c>
    </row>
    <row r="167" spans="1:42" ht="14.45">
      <c r="A167" s="24" t="str">
        <f>_xlfn.XLOOKUP(F167,'TFS Details'!F:F,'TFS Details'!D:D)</f>
        <v>DCSO</v>
      </c>
      <c r="B167" s="24" t="str">
        <f>_xlfn.XLOOKUP(F167,'TFS Details'!F:F,'TFS Details'!A:A)</f>
        <v>myISP DCSO - Delivery Lead Assignments</v>
      </c>
      <c r="C167" s="46">
        <f>_xlfn.XLOOKUP(F167,'TFS Details'!F:F,'TFS Details'!E:E)</f>
        <v>4446526</v>
      </c>
      <c r="D167" s="17" t="s">
        <v>31</v>
      </c>
      <c r="E167" s="15" t="s">
        <v>663</v>
      </c>
      <c r="F167" s="149">
        <v>4437247</v>
      </c>
      <c r="G167" s="161" t="s">
        <v>664</v>
      </c>
      <c r="H167" s="106" t="s">
        <v>665</v>
      </c>
      <c r="I167" s="52" t="s">
        <v>89</v>
      </c>
      <c r="J167" s="66" t="s">
        <v>1</v>
      </c>
      <c r="K167" s="115"/>
      <c r="L167" s="234"/>
      <c r="M167" s="17" t="s">
        <v>461</v>
      </c>
      <c r="N167" s="78"/>
      <c r="O167" s="273">
        <v>0.1</v>
      </c>
      <c r="P167" s="102"/>
      <c r="Q167" s="102"/>
      <c r="R167" s="102"/>
      <c r="S167" s="102"/>
      <c r="V167" s="17" t="s">
        <v>204</v>
      </c>
      <c r="W167" s="17" t="s">
        <v>204</v>
      </c>
      <c r="X167" s="17" t="s">
        <v>204</v>
      </c>
      <c r="Y167" s="17" t="s">
        <v>197</v>
      </c>
      <c r="Z167" s="102">
        <v>15</v>
      </c>
      <c r="AA167" s="102">
        <v>1</v>
      </c>
      <c r="AB167" s="102">
        <v>4</v>
      </c>
      <c r="AC167" s="102">
        <v>5</v>
      </c>
      <c r="AD167" s="33">
        <v>0.7</v>
      </c>
      <c r="AE167" s="33">
        <v>0.6</v>
      </c>
      <c r="AF167" s="25" t="str">
        <f>_xlfn.XLOOKUP(F167,'TFS Details'!F:F,'TFS Details'!H:H)</f>
        <v>In Development</v>
      </c>
      <c r="AG167" s="42">
        <v>0</v>
      </c>
      <c r="AH167" s="42">
        <v>0</v>
      </c>
      <c r="AI167" s="42">
        <v>0</v>
      </c>
      <c r="AJ167" s="42">
        <v>5</v>
      </c>
      <c r="AK167" s="38">
        <f>SUM(AG167:AJ167)</f>
        <v>5</v>
      </c>
      <c r="AL167" s="39">
        <f t="shared" si="17"/>
        <v>0</v>
      </c>
      <c r="AM167" s="39">
        <f t="shared" si="18"/>
        <v>0</v>
      </c>
      <c r="AN167" s="25"/>
      <c r="AO167" s="25" t="str">
        <f>_xlfn.XLOOKUP(F167,'TFS Details'!F:F,'TFS Details'!I:I)</f>
        <v>TechPhantoms</v>
      </c>
      <c r="AP167" s="25" t="str">
        <f>_xlfn.XLOOKUP(AO167,'TFS Details'!I:I,'TFS Details'!AE:AE)</f>
        <v>sowjanya.kari</v>
      </c>
    </row>
    <row r="168" spans="1:42" ht="14.45">
      <c r="A168" s="24" t="str">
        <f>_xlfn.XLOOKUP(F168,'TFS Details'!F:F,'TFS Details'!D:D)</f>
        <v>DCSO</v>
      </c>
      <c r="B168" s="24" t="str">
        <f>_xlfn.XLOOKUP(F168,'TFS Details'!F:F,'TFS Details'!A:A)</f>
        <v>myISP DCSO - Delivery Lead Assignments</v>
      </c>
      <c r="C168" s="46">
        <f>_xlfn.XLOOKUP(F168,'TFS Details'!F:F,'TFS Details'!E:E)</f>
        <v>4446526</v>
      </c>
      <c r="D168" s="17" t="s">
        <v>31</v>
      </c>
      <c r="E168" s="15" t="s">
        <v>666</v>
      </c>
      <c r="F168" s="149">
        <v>4437254</v>
      </c>
      <c r="G168" s="161" t="s">
        <v>664</v>
      </c>
      <c r="H168" s="106" t="s">
        <v>665</v>
      </c>
      <c r="I168" s="52" t="s">
        <v>89</v>
      </c>
      <c r="J168" s="66" t="s">
        <v>1</v>
      </c>
      <c r="K168" s="115"/>
      <c r="L168" s="234"/>
      <c r="M168" s="17" t="s">
        <v>311</v>
      </c>
      <c r="N168" s="78"/>
      <c r="O168" s="273">
        <v>0.1</v>
      </c>
      <c r="P168" s="102"/>
      <c r="Q168" s="102"/>
      <c r="R168" s="102"/>
      <c r="S168" s="102"/>
      <c r="V168" s="17" t="s">
        <v>204</v>
      </c>
      <c r="W168" s="17" t="s">
        <v>204</v>
      </c>
      <c r="X168" s="17" t="s">
        <v>204</v>
      </c>
      <c r="Y168" s="17" t="s">
        <v>197</v>
      </c>
      <c r="Z168" s="102">
        <v>12</v>
      </c>
      <c r="AA168" s="102">
        <v>1</v>
      </c>
      <c r="AB168" s="102">
        <v>6</v>
      </c>
      <c r="AC168" s="102">
        <v>7</v>
      </c>
      <c r="AD168" s="33">
        <v>0.7</v>
      </c>
      <c r="AE168" s="33">
        <v>0.7</v>
      </c>
      <c r="AF168" s="25" t="str">
        <f>_xlfn.XLOOKUP(F168,'TFS Details'!F:F,'TFS Details'!H:H)</f>
        <v>In Development</v>
      </c>
      <c r="AG168" s="42">
        <v>0</v>
      </c>
      <c r="AH168" s="42">
        <v>0</v>
      </c>
      <c r="AI168" s="42">
        <v>0</v>
      </c>
      <c r="AJ168" s="42">
        <v>7</v>
      </c>
      <c r="AK168" s="38">
        <f>SUM(AG168:AJ168)</f>
        <v>7</v>
      </c>
      <c r="AL168" s="39">
        <f t="shared" si="17"/>
        <v>0</v>
      </c>
      <c r="AM168" s="39">
        <f t="shared" si="18"/>
        <v>0</v>
      </c>
      <c r="AN168" s="75"/>
      <c r="AO168" s="25" t="str">
        <f>_xlfn.XLOOKUP(F168,'TFS Details'!F:F,'TFS Details'!I:I)</f>
        <v>TechPhantoms</v>
      </c>
      <c r="AP168" s="25" t="str">
        <f>_xlfn.XLOOKUP(AO168,'TFS Details'!I:I,'TFS Details'!AE:AE)</f>
        <v>sowjanya.kari</v>
      </c>
    </row>
    <row r="169" spans="1:42" ht="14.45">
      <c r="A169" s="24" t="str">
        <f>_xlfn.XLOOKUP(F169,'TFS Details'!F:F,'TFS Details'!D:D)</f>
        <v>BPMS Onboarding</v>
      </c>
      <c r="B169" s="24" t="str">
        <f>_xlfn.XLOOKUP(F169,'TFS Details'!F:F,'TFS Details'!A:A)</f>
        <v>Auto Reminders for Tech and Mob Architects</v>
      </c>
      <c r="C169" s="46">
        <f>_xlfn.XLOOKUP(F169,'TFS Details'!F:F,'TFS Details'!E:E)</f>
        <v>4437418</v>
      </c>
      <c r="D169" s="17" t="s">
        <v>31</v>
      </c>
      <c r="E169" s="15" t="s">
        <v>667</v>
      </c>
      <c r="F169" s="149">
        <v>4437397</v>
      </c>
      <c r="G169" s="161" t="s">
        <v>339</v>
      </c>
      <c r="H169" s="106" t="s">
        <v>665</v>
      </c>
      <c r="I169" s="52" t="s">
        <v>84</v>
      </c>
      <c r="J169" s="250" t="s">
        <v>20</v>
      </c>
      <c r="K169" s="16" t="s">
        <v>668</v>
      </c>
      <c r="L169" s="234" t="s">
        <v>460</v>
      </c>
      <c r="M169" s="17" t="s">
        <v>461</v>
      </c>
      <c r="N169" s="78">
        <v>5</v>
      </c>
      <c r="O169" s="273">
        <v>0.5</v>
      </c>
      <c r="P169" s="102"/>
      <c r="Q169" s="102"/>
      <c r="R169" s="102"/>
      <c r="S169" s="102"/>
      <c r="V169" s="185" t="s">
        <v>204</v>
      </c>
      <c r="W169" s="185" t="s">
        <v>204</v>
      </c>
      <c r="X169" s="191" t="s">
        <v>204</v>
      </c>
      <c r="Y169" s="17" t="s">
        <v>216</v>
      </c>
      <c r="Z169" s="102">
        <v>21</v>
      </c>
      <c r="AA169" s="102">
        <v>4</v>
      </c>
      <c r="AB169" s="102">
        <v>2</v>
      </c>
      <c r="AC169" s="102">
        <v>6</v>
      </c>
      <c r="AD169" s="33">
        <v>0.8</v>
      </c>
      <c r="AE169" s="33">
        <v>0.8</v>
      </c>
      <c r="AF169" s="25" t="str">
        <f>_xlfn.XLOOKUP(F169,'TFS Details'!F:F,'TFS Details'!H:H)</f>
        <v>PT In Test</v>
      </c>
      <c r="AG169" s="42">
        <v>0</v>
      </c>
      <c r="AH169" s="42">
        <v>0</v>
      </c>
      <c r="AI169" s="42">
        <v>0</v>
      </c>
      <c r="AJ169" s="42">
        <v>6</v>
      </c>
      <c r="AK169" s="38">
        <f>SUM(AG169:AJ169)</f>
        <v>6</v>
      </c>
      <c r="AL169" s="39">
        <f t="shared" ref="AL169:AL190" si="19">IF(AG169+AH169=0,0,SUM(AG169:AH169)/AK169)</f>
        <v>0</v>
      </c>
      <c r="AM169" s="39">
        <f t="shared" ref="AM169:AM190" si="20">IF(AG169=0,0,AG169/(SUM(AG169:AI169)))</f>
        <v>0</v>
      </c>
      <c r="AN169" s="25"/>
      <c r="AO169" s="25" t="str">
        <f>_xlfn.XLOOKUP(F169,'TFS Details'!F:F,'TFS Details'!I:I)</f>
        <v>NGTransformers</v>
      </c>
      <c r="AP169" s="25" t="str">
        <f>_xlfn.XLOOKUP(AO169,'TFS Details'!I:I,'TFS Details'!AE:AE)</f>
        <v>sowjanya.kari</v>
      </c>
    </row>
    <row r="170" spans="1:42" ht="14.45">
      <c r="A170" s="24" t="str">
        <f>_xlfn.XLOOKUP(F170,'TFS Details'!F:F,'TFS Details'!D:D)</f>
        <v>BPMS Onboarding</v>
      </c>
      <c r="B170" s="24" t="str">
        <f>_xlfn.XLOOKUP(F170,'TFS Details'!F:F,'TFS Details'!A:A)</f>
        <v>Lead SA in Define Team Email Notification</v>
      </c>
      <c r="C170" s="46">
        <f>_xlfn.XLOOKUP(F170,'TFS Details'!F:F,'TFS Details'!E:E)</f>
        <v>4437420</v>
      </c>
      <c r="D170" s="17" t="s">
        <v>31</v>
      </c>
      <c r="E170" s="15" t="s">
        <v>669</v>
      </c>
      <c r="F170" s="149">
        <v>4437399</v>
      </c>
      <c r="G170" s="161" t="s">
        <v>326</v>
      </c>
      <c r="H170" s="106" t="s">
        <v>661</v>
      </c>
      <c r="I170" s="52" t="s">
        <v>653</v>
      </c>
      <c r="J170" s="250" t="s">
        <v>20</v>
      </c>
      <c r="K170" s="17" t="s">
        <v>668</v>
      </c>
      <c r="L170" s="234" t="s">
        <v>460</v>
      </c>
      <c r="M170" s="17" t="s">
        <v>461</v>
      </c>
      <c r="N170" s="78"/>
      <c r="O170" s="273">
        <v>0.4</v>
      </c>
      <c r="P170" s="102"/>
      <c r="Q170" s="102"/>
      <c r="R170" s="102"/>
      <c r="S170" s="102"/>
      <c r="V170" s="17" t="s">
        <v>204</v>
      </c>
      <c r="W170" s="17" t="s">
        <v>204</v>
      </c>
      <c r="X170" s="17" t="s">
        <v>204</v>
      </c>
      <c r="Y170" s="17" t="s">
        <v>216</v>
      </c>
      <c r="Z170" s="102">
        <v>11</v>
      </c>
      <c r="AA170" s="102">
        <v>10</v>
      </c>
      <c r="AB170" s="102">
        <v>0</v>
      </c>
      <c r="AC170" s="102">
        <v>10</v>
      </c>
      <c r="AD170" s="33">
        <v>0.9</v>
      </c>
      <c r="AE170" s="33">
        <v>0.95</v>
      </c>
      <c r="AF170" s="25" t="str">
        <f>_xlfn.XLOOKUP(F170,'TFS Details'!F:F,'TFS Details'!H:H)</f>
        <v>PT In Test</v>
      </c>
      <c r="AG170" s="42">
        <v>10</v>
      </c>
      <c r="AH170" s="42">
        <v>0</v>
      </c>
      <c r="AI170" s="42">
        <v>0</v>
      </c>
      <c r="AJ170" s="42">
        <v>0</v>
      </c>
      <c r="AK170" s="38">
        <f t="shared" ref="AK170:AK190" si="21">SUM(AG170:AJ170)</f>
        <v>10</v>
      </c>
      <c r="AL170" s="39">
        <f t="shared" si="19"/>
        <v>1</v>
      </c>
      <c r="AM170" s="39">
        <f t="shared" si="20"/>
        <v>1</v>
      </c>
      <c r="AN170" s="99"/>
      <c r="AO170" s="25" t="str">
        <f>_xlfn.XLOOKUP(F170,'TFS Details'!F:F,'TFS Details'!I:I)</f>
        <v>TechPhantoms</v>
      </c>
      <c r="AP170" s="25" t="str">
        <f>_xlfn.XLOOKUP(AO170,'TFS Details'!I:I,'TFS Details'!AE:AE)</f>
        <v>sowjanya.kari</v>
      </c>
    </row>
    <row r="171" spans="1:42" ht="14.45">
      <c r="A171" s="24" t="str">
        <f>_xlfn.XLOOKUP(F171,'TFS Details'!F:F,'TFS Details'!D:D)</f>
        <v>BPMS Onboarding</v>
      </c>
      <c r="B171" s="24" t="str">
        <f>_xlfn.XLOOKUP(F171,'TFS Details'!F:F,'TFS Details'!A:A)</f>
        <v>TfO Attributes - Reason for No OATL Text Box</v>
      </c>
      <c r="C171" s="46">
        <f>_xlfn.XLOOKUP(F171,'TFS Details'!F:F,'TFS Details'!E:E)</f>
        <v>4437428</v>
      </c>
      <c r="D171" s="17" t="s">
        <v>31</v>
      </c>
      <c r="E171" s="15" t="s">
        <v>670</v>
      </c>
      <c r="F171" s="149">
        <v>4437408</v>
      </c>
      <c r="G171" s="161" t="s">
        <v>664</v>
      </c>
      <c r="H171" s="106" t="s">
        <v>665</v>
      </c>
      <c r="I171" s="52" t="s">
        <v>89</v>
      </c>
      <c r="J171" s="66" t="s">
        <v>1</v>
      </c>
      <c r="K171" s="16"/>
      <c r="L171" s="234"/>
      <c r="M171" s="17" t="s">
        <v>311</v>
      </c>
      <c r="N171" s="78"/>
      <c r="O171" s="273">
        <v>0.7</v>
      </c>
      <c r="P171" s="102">
        <v>4</v>
      </c>
      <c r="Q171" s="102">
        <v>2</v>
      </c>
      <c r="R171" s="102">
        <v>1</v>
      </c>
      <c r="S171" s="102">
        <v>2</v>
      </c>
      <c r="T171" s="33">
        <v>0.8</v>
      </c>
      <c r="U171" s="33">
        <v>0.7</v>
      </c>
      <c r="V171" s="17" t="s">
        <v>204</v>
      </c>
      <c r="W171" s="17" t="s">
        <v>204</v>
      </c>
      <c r="X171" s="191" t="s">
        <v>204</v>
      </c>
      <c r="Y171" s="17" t="s">
        <v>216</v>
      </c>
      <c r="Z171" s="102">
        <v>10</v>
      </c>
      <c r="AA171" s="102">
        <v>4</v>
      </c>
      <c r="AB171" s="102">
        <v>4</v>
      </c>
      <c r="AC171" s="102">
        <v>8</v>
      </c>
      <c r="AD171" s="33">
        <v>0.8</v>
      </c>
      <c r="AE171" s="33">
        <v>0.7</v>
      </c>
      <c r="AF171" s="25" t="str">
        <f>_xlfn.XLOOKUP(F171,'TFS Details'!F:F,'TFS Details'!H:H)</f>
        <v>UAT In Test</v>
      </c>
      <c r="AG171" s="42">
        <v>0</v>
      </c>
      <c r="AH171" s="42">
        <v>0</v>
      </c>
      <c r="AI171" s="42">
        <v>0</v>
      </c>
      <c r="AJ171" s="42">
        <v>0</v>
      </c>
      <c r="AK171" s="38">
        <f t="shared" si="21"/>
        <v>0</v>
      </c>
      <c r="AL171" s="39">
        <f t="shared" si="19"/>
        <v>0</v>
      </c>
      <c r="AM171" s="39">
        <f t="shared" si="20"/>
        <v>0</v>
      </c>
      <c r="AN171" s="25"/>
      <c r="AO171" s="25" t="str">
        <f>_xlfn.XLOOKUP(F171,'TFS Details'!F:F,'TFS Details'!I:I)</f>
        <v>CodeCrafters</v>
      </c>
      <c r="AP171" s="25" t="str">
        <f>_xlfn.XLOOKUP(AO171,'TFS Details'!I:I,'TFS Details'!AE:AE)</f>
        <v>sona.job</v>
      </c>
    </row>
    <row r="172" spans="1:42" ht="14.45">
      <c r="A172" s="24" t="str">
        <f>_xlfn.XLOOKUP(F172,'TFS Details'!F:F,'TFS Details'!D:D)</f>
        <v>BPMS Onboarding</v>
      </c>
      <c r="B172" s="24" t="str">
        <f>_xlfn.XLOOKUP(F172,'TFS Details'!F:F,'TFS Details'!A:A)</f>
        <v>Auto Reminders for Tech and Mob Architects</v>
      </c>
      <c r="C172" s="46">
        <f>_xlfn.XLOOKUP(F172,'TFS Details'!F:F,'TFS Details'!E:E)</f>
        <v>4437418</v>
      </c>
      <c r="D172" s="17" t="s">
        <v>31</v>
      </c>
      <c r="E172" s="15" t="s">
        <v>671</v>
      </c>
      <c r="F172" s="149">
        <v>4437873</v>
      </c>
      <c r="G172" s="161" t="s">
        <v>339</v>
      </c>
      <c r="H172" s="106" t="s">
        <v>665</v>
      </c>
      <c r="I172" s="52" t="s">
        <v>84</v>
      </c>
      <c r="J172" s="250" t="s">
        <v>20</v>
      </c>
      <c r="K172" s="16" t="s">
        <v>668</v>
      </c>
      <c r="L172" s="234" t="s">
        <v>460</v>
      </c>
      <c r="M172" s="17" t="s">
        <v>461</v>
      </c>
      <c r="N172" s="78">
        <v>1</v>
      </c>
      <c r="O172" s="273">
        <v>0.5</v>
      </c>
      <c r="P172" s="102"/>
      <c r="Q172" s="102"/>
      <c r="R172" s="102"/>
      <c r="S172" s="102"/>
      <c r="V172" s="185" t="s">
        <v>204</v>
      </c>
      <c r="W172" s="17" t="s">
        <v>204</v>
      </c>
      <c r="X172" s="191" t="s">
        <v>204</v>
      </c>
      <c r="Y172" s="17" t="s">
        <v>216</v>
      </c>
      <c r="Z172" s="102">
        <v>21</v>
      </c>
      <c r="AA172" s="102">
        <v>7</v>
      </c>
      <c r="AB172" s="102">
        <v>1</v>
      </c>
      <c r="AC172" s="102">
        <v>8</v>
      </c>
      <c r="AD172" s="33">
        <v>0.8</v>
      </c>
      <c r="AE172" s="33">
        <v>0.8</v>
      </c>
      <c r="AF172" s="25" t="str">
        <f>_xlfn.XLOOKUP(F172,'TFS Details'!F:F,'TFS Details'!H:H)</f>
        <v>PT In Test</v>
      </c>
      <c r="AG172" s="42">
        <v>0</v>
      </c>
      <c r="AH172" s="42">
        <v>0</v>
      </c>
      <c r="AI172" s="42">
        <v>0</v>
      </c>
      <c r="AJ172" s="42">
        <v>8</v>
      </c>
      <c r="AK172" s="38">
        <f>SUM(AG172:AJ172)</f>
        <v>8</v>
      </c>
      <c r="AL172" s="39">
        <f t="shared" si="19"/>
        <v>0</v>
      </c>
      <c r="AM172" s="39">
        <f t="shared" si="20"/>
        <v>0</v>
      </c>
      <c r="AN172" s="25"/>
      <c r="AO172" s="25" t="str">
        <f>_xlfn.XLOOKUP(F172,'TFS Details'!F:F,'TFS Details'!I:I)</f>
        <v>NGTransformers</v>
      </c>
      <c r="AP172" s="25" t="str">
        <f>_xlfn.XLOOKUP(AO172,'TFS Details'!I:I,'TFS Details'!AE:AE)</f>
        <v>sowjanya.kari</v>
      </c>
    </row>
    <row r="173" spans="1:42" ht="14.45">
      <c r="A173" s="24" t="str">
        <f>_xlfn.XLOOKUP(F173,'TFS Details'!F:F,'TFS Details'!D:D)</f>
        <v>BPMS Onboarding</v>
      </c>
      <c r="B173" s="24" t="str">
        <f>_xlfn.XLOOKUP(F173,'TFS Details'!F:F,'TFS Details'!A:A)</f>
        <v>Auto Reminders for Tech and Mob Architects</v>
      </c>
      <c r="C173" s="46">
        <f>_xlfn.XLOOKUP(F173,'TFS Details'!F:F,'TFS Details'!E:E)</f>
        <v>4437418</v>
      </c>
      <c r="D173" s="17" t="s">
        <v>31</v>
      </c>
      <c r="E173" s="15" t="s">
        <v>672</v>
      </c>
      <c r="F173" s="149">
        <v>4437874</v>
      </c>
      <c r="G173" s="161" t="s">
        <v>339</v>
      </c>
      <c r="H173" s="106" t="s">
        <v>665</v>
      </c>
      <c r="I173" s="52" t="s">
        <v>84</v>
      </c>
      <c r="J173" s="250" t="s">
        <v>20</v>
      </c>
      <c r="K173" s="16" t="s">
        <v>668</v>
      </c>
      <c r="L173" s="234" t="s">
        <v>460</v>
      </c>
      <c r="M173" s="17" t="s">
        <v>461</v>
      </c>
      <c r="N173" s="78">
        <v>1</v>
      </c>
      <c r="O173" s="273">
        <v>0.5</v>
      </c>
      <c r="P173" s="102"/>
      <c r="Q173" s="102"/>
      <c r="R173" s="102"/>
      <c r="S173" s="102"/>
      <c r="V173" s="185" t="s">
        <v>204</v>
      </c>
      <c r="W173" s="17" t="s">
        <v>204</v>
      </c>
      <c r="X173" s="191" t="s">
        <v>204</v>
      </c>
      <c r="Y173" s="17" t="s">
        <v>216</v>
      </c>
      <c r="Z173" s="102">
        <v>20</v>
      </c>
      <c r="AA173" s="102">
        <v>5</v>
      </c>
      <c r="AB173" s="102">
        <v>2</v>
      </c>
      <c r="AC173" s="102">
        <v>7</v>
      </c>
      <c r="AD173" s="33">
        <v>0.75</v>
      </c>
      <c r="AE173" s="33">
        <v>0.75</v>
      </c>
      <c r="AF173" s="25" t="str">
        <f>_xlfn.XLOOKUP(F173,'TFS Details'!F:F,'TFS Details'!H:H)</f>
        <v>PT In Test</v>
      </c>
      <c r="AG173" s="42">
        <v>0</v>
      </c>
      <c r="AH173" s="42">
        <v>0</v>
      </c>
      <c r="AI173" s="42">
        <v>0</v>
      </c>
      <c r="AJ173" s="42">
        <v>7</v>
      </c>
      <c r="AK173" s="38">
        <f>SUM(AG173:AJ173)</f>
        <v>7</v>
      </c>
      <c r="AL173" s="39">
        <f t="shared" si="19"/>
        <v>0</v>
      </c>
      <c r="AM173" s="39">
        <f t="shared" si="20"/>
        <v>0</v>
      </c>
      <c r="AN173" s="25"/>
      <c r="AO173" s="25" t="str">
        <f>_xlfn.XLOOKUP(F173,'TFS Details'!F:F,'TFS Details'!I:I)</f>
        <v>NGTransformers</v>
      </c>
      <c r="AP173" s="25" t="str">
        <f>_xlfn.XLOOKUP(AO173,'TFS Details'!I:I,'TFS Details'!AE:AE)</f>
        <v>sowjanya.kari</v>
      </c>
    </row>
    <row r="174" spans="1:42" ht="14.45">
      <c r="A174" s="24" t="str">
        <f>_xlfn.XLOOKUP(F174,'TFS Details'!F:F,'TFS Details'!D:D)</f>
        <v>DCSO</v>
      </c>
      <c r="B174" s="24" t="str">
        <f>_xlfn.XLOOKUP(F174,'TFS Details'!F:F,'TFS Details'!A:A)</f>
        <v>myISP- Digital DCSO - Publish functionality</v>
      </c>
      <c r="C174" s="46">
        <f>_xlfn.XLOOKUP(F174,'TFS Details'!F:F,'TFS Details'!E:E)</f>
        <v>4420374</v>
      </c>
      <c r="D174" s="17" t="s">
        <v>31</v>
      </c>
      <c r="E174" s="15" t="s">
        <v>673</v>
      </c>
      <c r="F174" s="149">
        <v>4438249</v>
      </c>
      <c r="G174" s="161" t="s">
        <v>326</v>
      </c>
      <c r="H174" s="106" t="s">
        <v>661</v>
      </c>
      <c r="I174" s="52" t="s">
        <v>653</v>
      </c>
      <c r="J174" s="250" t="s">
        <v>18</v>
      </c>
      <c r="K174" s="16" t="s">
        <v>662</v>
      </c>
      <c r="L174" s="234" t="s">
        <v>45</v>
      </c>
      <c r="M174" s="17"/>
      <c r="N174" s="78"/>
      <c r="P174" s="102"/>
      <c r="Q174" s="102"/>
      <c r="R174" s="102"/>
      <c r="S174" s="102"/>
      <c r="V174" s="17" t="s">
        <v>204</v>
      </c>
      <c r="W174" s="17" t="s">
        <v>204</v>
      </c>
      <c r="X174" s="17" t="s">
        <v>204</v>
      </c>
      <c r="Y174" s="17" t="s">
        <v>216</v>
      </c>
      <c r="Z174" s="102">
        <v>14</v>
      </c>
      <c r="AA174" s="102">
        <v>8</v>
      </c>
      <c r="AB174" s="102">
        <v>0</v>
      </c>
      <c r="AC174" s="102">
        <v>8</v>
      </c>
      <c r="AD174" s="33">
        <v>0.8</v>
      </c>
      <c r="AE174" s="33">
        <v>0.75</v>
      </c>
      <c r="AF174" s="25" t="str">
        <f>_xlfn.XLOOKUP(F174,'TFS Details'!F:F,'TFS Details'!H:H)</f>
        <v>PT In Test</v>
      </c>
      <c r="AG174" s="42">
        <v>0</v>
      </c>
      <c r="AH174" s="42">
        <v>4</v>
      </c>
      <c r="AI174" s="42">
        <v>0</v>
      </c>
      <c r="AJ174" s="42">
        <v>4</v>
      </c>
      <c r="AK174" s="38">
        <f t="shared" si="21"/>
        <v>8</v>
      </c>
      <c r="AL174" s="39">
        <f t="shared" si="19"/>
        <v>0.5</v>
      </c>
      <c r="AM174" s="39">
        <f t="shared" si="20"/>
        <v>0</v>
      </c>
      <c r="AN174" s="25"/>
      <c r="AO174" s="25" t="str">
        <f>_xlfn.XLOOKUP(F174,'TFS Details'!F:F,'TFS Details'!I:I)</f>
        <v>TechStars</v>
      </c>
      <c r="AP174" s="25" t="str">
        <f>_xlfn.XLOOKUP(AO174,'TFS Details'!I:I,'TFS Details'!AE:AE)</f>
        <v>mohanraj.a.selvaraj</v>
      </c>
    </row>
    <row r="175" spans="1:42" ht="14.45">
      <c r="A175" s="24" t="str">
        <f>_xlfn.XLOOKUP(F175,'TFS Details'!F:F,'TFS Details'!D:D)</f>
        <v>BPMS Onboarding</v>
      </c>
      <c r="B175" s="24" t="str">
        <f>_xlfn.XLOOKUP(F175,'TFS Details'!F:F,'TFS Details'!A:A)</f>
        <v>Rolled Up Revenue in Compliance Score and Other Places (2nd Iteration)</v>
      </c>
      <c r="C175" s="46">
        <f>_xlfn.XLOOKUP(F175,'TFS Details'!F:F,'TFS Details'!E:E)</f>
        <v>4437425</v>
      </c>
      <c r="D175" s="17" t="s">
        <v>31</v>
      </c>
      <c r="E175" s="15" t="s">
        <v>674</v>
      </c>
      <c r="F175" s="149">
        <v>4439494</v>
      </c>
      <c r="G175" s="161" t="s">
        <v>330</v>
      </c>
      <c r="H175" s="106" t="s">
        <v>665</v>
      </c>
      <c r="I175" s="52" t="s">
        <v>86</v>
      </c>
      <c r="J175" s="66" t="s">
        <v>1</v>
      </c>
      <c r="K175" s="16"/>
      <c r="L175" s="234"/>
      <c r="M175" s="17" t="s">
        <v>311</v>
      </c>
      <c r="N175" s="78"/>
      <c r="O175" s="33">
        <v>0.4</v>
      </c>
      <c r="P175" s="102">
        <v>9</v>
      </c>
      <c r="Q175" s="102">
        <v>6</v>
      </c>
      <c r="R175" s="102">
        <v>1</v>
      </c>
      <c r="S175" s="102">
        <v>7</v>
      </c>
      <c r="T175" s="33">
        <v>0.65</v>
      </c>
      <c r="U175" s="33">
        <v>0.6</v>
      </c>
      <c r="V175" s="17" t="s">
        <v>204</v>
      </c>
      <c r="W175" s="17" t="s">
        <v>204</v>
      </c>
      <c r="X175" s="17" t="s">
        <v>204</v>
      </c>
      <c r="Y175" s="17" t="s">
        <v>204</v>
      </c>
      <c r="Z175" s="102">
        <v>9</v>
      </c>
      <c r="AA175" s="102">
        <v>6</v>
      </c>
      <c r="AB175" s="102">
        <v>1</v>
      </c>
      <c r="AC175" s="102">
        <v>7</v>
      </c>
      <c r="AD175" s="33">
        <v>0.8</v>
      </c>
      <c r="AE175" s="33">
        <v>0.8</v>
      </c>
      <c r="AF175" s="25" t="str">
        <f>_xlfn.XLOOKUP(F175,'TFS Details'!F:F,'TFS Details'!H:H)</f>
        <v>UAT In Test</v>
      </c>
      <c r="AG175" s="42">
        <v>7</v>
      </c>
      <c r="AH175" s="42">
        <v>0</v>
      </c>
      <c r="AI175" s="42">
        <v>0</v>
      </c>
      <c r="AJ175" s="42">
        <v>0</v>
      </c>
      <c r="AK175" s="38">
        <f t="shared" si="21"/>
        <v>7</v>
      </c>
      <c r="AL175" s="39">
        <f t="shared" si="19"/>
        <v>1</v>
      </c>
      <c r="AM175" s="39">
        <f t="shared" si="20"/>
        <v>1</v>
      </c>
      <c r="AN175" s="25"/>
      <c r="AO175" s="25" t="str">
        <f>_xlfn.XLOOKUP(F175,'TFS Details'!F:F,'TFS Details'!I:I)</f>
        <v>CodeCrafters</v>
      </c>
      <c r="AP175" s="25" t="str">
        <f>_xlfn.XLOOKUP(AO175,'TFS Details'!I:I,'TFS Details'!AE:AE)</f>
        <v>sona.job</v>
      </c>
    </row>
    <row r="176" spans="1:42" ht="14.45">
      <c r="A176" s="24" t="str">
        <f>_xlfn.XLOOKUP(F176,'TFS Details'!F:F,'TFS Details'!D:D)</f>
        <v>BPMS Onboarding</v>
      </c>
      <c r="B176" s="24" t="str">
        <f>_xlfn.XLOOKUP(F176,'TFS Details'!F:F,'TFS Details'!A:A)</f>
        <v>BPMS Trigger Emails - Remove Ops.Transformation.Solutioning from TO/CC</v>
      </c>
      <c r="C176" s="46">
        <f>_xlfn.XLOOKUP(F176,'TFS Details'!F:F,'TFS Details'!E:E)</f>
        <v>4439528</v>
      </c>
      <c r="D176" s="17" t="s">
        <v>31</v>
      </c>
      <c r="E176" s="15" t="s">
        <v>675</v>
      </c>
      <c r="F176" s="149">
        <v>4439525</v>
      </c>
      <c r="G176" s="161" t="s">
        <v>326</v>
      </c>
      <c r="H176" s="106" t="s">
        <v>661</v>
      </c>
      <c r="I176" s="52" t="s">
        <v>653</v>
      </c>
      <c r="J176" s="250" t="s">
        <v>18</v>
      </c>
      <c r="K176" s="16" t="s">
        <v>676</v>
      </c>
      <c r="L176" s="234" t="s">
        <v>36</v>
      </c>
      <c r="M176" s="17"/>
      <c r="N176" s="78"/>
      <c r="P176" s="102"/>
      <c r="Q176" s="102"/>
      <c r="R176" s="102"/>
      <c r="S176" s="102"/>
      <c r="V176" s="17" t="s">
        <v>204</v>
      </c>
      <c r="W176" s="17" t="s">
        <v>204</v>
      </c>
      <c r="X176" s="17" t="s">
        <v>204</v>
      </c>
      <c r="Y176" s="17" t="s">
        <v>216</v>
      </c>
      <c r="Z176" s="102">
        <v>10</v>
      </c>
      <c r="AA176" s="102">
        <v>3</v>
      </c>
      <c r="AB176" s="102">
        <v>0</v>
      </c>
      <c r="AC176" s="102">
        <v>3</v>
      </c>
      <c r="AD176" s="33">
        <v>0.9</v>
      </c>
      <c r="AE176" s="33">
        <v>0.95</v>
      </c>
      <c r="AF176" s="25" t="str">
        <f>_xlfn.XLOOKUP(F176,'TFS Details'!F:F,'TFS Details'!H:H)</f>
        <v>PT In Test</v>
      </c>
      <c r="AG176" s="42">
        <v>3</v>
      </c>
      <c r="AH176" s="42">
        <v>0</v>
      </c>
      <c r="AI176" s="42">
        <v>0</v>
      </c>
      <c r="AJ176" s="42">
        <v>0</v>
      </c>
      <c r="AK176" s="38">
        <f t="shared" si="21"/>
        <v>3</v>
      </c>
      <c r="AL176" s="39">
        <f t="shared" si="19"/>
        <v>1</v>
      </c>
      <c r="AM176" s="39">
        <f t="shared" si="20"/>
        <v>1</v>
      </c>
      <c r="AN176" s="87"/>
      <c r="AO176" s="25" t="str">
        <f>_xlfn.XLOOKUP(F176,'TFS Details'!F:F,'TFS Details'!I:I)</f>
        <v>TechPhantoms</v>
      </c>
      <c r="AP176" s="25" t="str">
        <f>_xlfn.XLOOKUP(AO176,'TFS Details'!I:I,'TFS Details'!AE:AE)</f>
        <v>sowjanya.kari</v>
      </c>
    </row>
    <row r="177" spans="1:42" ht="14.45">
      <c r="A177" s="24" t="str">
        <f>_xlfn.XLOOKUP(F177,'TFS Details'!F:F,'TFS Details'!D:D)</f>
        <v>BPMS Onboarding</v>
      </c>
      <c r="B177" s="24" t="str">
        <f>_xlfn.XLOOKUP(F177,'TFS Details'!F:F,'TFS Details'!A:A)</f>
        <v>FTS Email and Backend Flag Synchronization Across All Trigger Sources</v>
      </c>
      <c r="C177" s="46">
        <f>_xlfn.XLOOKUP(F177,'TFS Details'!F:F,'TFS Details'!E:E)</f>
        <v>4440060</v>
      </c>
      <c r="D177" s="17" t="s">
        <v>31</v>
      </c>
      <c r="E177" s="15" t="s">
        <v>677</v>
      </c>
      <c r="F177" s="149">
        <v>4440017</v>
      </c>
      <c r="G177" s="161" t="s">
        <v>331</v>
      </c>
      <c r="H177" s="106" t="s">
        <v>665</v>
      </c>
      <c r="I177" s="52" t="s">
        <v>118</v>
      </c>
      <c r="J177" s="250" t="s">
        <v>18</v>
      </c>
      <c r="K177" s="16" t="s">
        <v>678</v>
      </c>
      <c r="L177" s="234" t="s">
        <v>36</v>
      </c>
      <c r="M177" s="17"/>
      <c r="N177" s="78"/>
      <c r="P177" s="102"/>
      <c r="Q177" s="102"/>
      <c r="R177" s="102"/>
      <c r="S177" s="102"/>
      <c r="V177" s="17" t="s">
        <v>204</v>
      </c>
      <c r="W177" s="17" t="s">
        <v>204</v>
      </c>
      <c r="X177" s="17" t="s">
        <v>204</v>
      </c>
      <c r="Y177" s="17" t="s">
        <v>216</v>
      </c>
      <c r="Z177" s="102">
        <v>30</v>
      </c>
      <c r="AA177" s="102">
        <v>5</v>
      </c>
      <c r="AB177" s="102">
        <v>7</v>
      </c>
      <c r="AC177" s="102">
        <v>7</v>
      </c>
      <c r="AD177" s="33">
        <v>0.5</v>
      </c>
      <c r="AE177" s="33">
        <v>0.5</v>
      </c>
      <c r="AF177" s="25" t="str">
        <f>_xlfn.XLOOKUP(F177,'TFS Details'!F:F,'TFS Details'!H:H)</f>
        <v>UAT In Test</v>
      </c>
      <c r="AG177" s="42">
        <v>4</v>
      </c>
      <c r="AH177" s="42">
        <v>0</v>
      </c>
      <c r="AI177" s="42">
        <v>0</v>
      </c>
      <c r="AJ177" s="42">
        <v>3</v>
      </c>
      <c r="AK177" s="38">
        <f>SUM(AG177:AJ177)</f>
        <v>7</v>
      </c>
      <c r="AL177" s="39">
        <f t="shared" si="19"/>
        <v>0.5714285714285714</v>
      </c>
      <c r="AM177" s="39">
        <f t="shared" si="20"/>
        <v>1</v>
      </c>
      <c r="AN177" s="87" t="s">
        <v>679</v>
      </c>
      <c r="AO177" s="25" t="str">
        <f>_xlfn.XLOOKUP(F177,'TFS Details'!F:F,'TFS Details'!I:I)</f>
        <v>CodeCrafters</v>
      </c>
      <c r="AP177" s="25" t="str">
        <f>_xlfn.XLOOKUP(AO177,'TFS Details'!I:I,'TFS Details'!AE:AE)</f>
        <v>sona.job</v>
      </c>
    </row>
    <row r="178" spans="1:42" ht="14.45">
      <c r="A178" s="24" t="str">
        <f>_xlfn.XLOOKUP(F178,'TFS Details'!F:F,'TFS Details'!D:D)</f>
        <v>BPMS Onboarding</v>
      </c>
      <c r="B178" s="24" t="str">
        <f>_xlfn.XLOOKUP(F178,'TFS Details'!F:F,'TFS Details'!A:A)</f>
        <v>FTS Email and Backend Flag Synchronization Across All Trigger Sources</v>
      </c>
      <c r="C178" s="46">
        <f>_xlfn.XLOOKUP(F178,'TFS Details'!F:F,'TFS Details'!E:E)</f>
        <v>4440060</v>
      </c>
      <c r="D178" s="17" t="s">
        <v>31</v>
      </c>
      <c r="E178" s="15" t="s">
        <v>680</v>
      </c>
      <c r="F178" s="149">
        <v>4440018</v>
      </c>
      <c r="G178" s="161" t="s">
        <v>331</v>
      </c>
      <c r="H178" s="106" t="s">
        <v>665</v>
      </c>
      <c r="I178" s="52" t="s">
        <v>118</v>
      </c>
      <c r="J178" s="250" t="s">
        <v>18</v>
      </c>
      <c r="K178" s="16" t="s">
        <v>678</v>
      </c>
      <c r="L178" s="234" t="s">
        <v>36</v>
      </c>
      <c r="M178" s="17"/>
      <c r="N178" s="78"/>
      <c r="P178" s="102"/>
      <c r="Q178" s="102"/>
      <c r="R178" s="102"/>
      <c r="S178" s="102"/>
      <c r="V178" s="17" t="s">
        <v>204</v>
      </c>
      <c r="W178" s="17" t="s">
        <v>204</v>
      </c>
      <c r="X178" s="17" t="s">
        <v>204</v>
      </c>
      <c r="Y178" s="17" t="s">
        <v>197</v>
      </c>
      <c r="Z178" s="102">
        <v>30</v>
      </c>
      <c r="AA178" s="102">
        <v>5</v>
      </c>
      <c r="AB178" s="102">
        <v>7</v>
      </c>
      <c r="AC178" s="102">
        <v>7</v>
      </c>
      <c r="AD178" s="33">
        <v>0.5</v>
      </c>
      <c r="AE178" s="33">
        <v>0.5</v>
      </c>
      <c r="AF178" s="25" t="str">
        <f>_xlfn.XLOOKUP(F178,'TFS Details'!F:F,'TFS Details'!H:H)</f>
        <v>In Development</v>
      </c>
      <c r="AG178" s="42">
        <v>0</v>
      </c>
      <c r="AH178" s="42">
        <v>0</v>
      </c>
      <c r="AI178" s="42">
        <v>0</v>
      </c>
      <c r="AJ178" s="42">
        <v>0</v>
      </c>
      <c r="AK178" s="38">
        <v>7</v>
      </c>
      <c r="AL178" s="39">
        <f t="shared" si="19"/>
        <v>0</v>
      </c>
      <c r="AM178" s="39">
        <f t="shared" si="20"/>
        <v>0</v>
      </c>
      <c r="AN178" s="87"/>
      <c r="AO178" s="25" t="str">
        <f>_xlfn.XLOOKUP(F178,'TFS Details'!F:F,'TFS Details'!I:I)</f>
        <v>Pinocchio</v>
      </c>
      <c r="AP178" s="25" t="str">
        <f>_xlfn.XLOOKUP(AO178,'TFS Details'!I:I,'TFS Details'!AE:AE)</f>
        <v>m.ohlan</v>
      </c>
    </row>
    <row r="179" spans="1:42" ht="14.45">
      <c r="A179" s="24" t="str">
        <f>_xlfn.XLOOKUP(F179,'TFS Details'!F:F,'TFS Details'!D:D)</f>
        <v>BPMS Onboarding</v>
      </c>
      <c r="B179" s="24" t="str">
        <f>_xlfn.XLOOKUP(F179,'TFS Details'!F:F,'TFS Details'!A:A)</f>
        <v>FTS Email and Backend Flag Synchronization Across All Trigger Sources</v>
      </c>
      <c r="C179" s="46">
        <f>_xlfn.XLOOKUP(F179,'TFS Details'!F:F,'TFS Details'!E:E)</f>
        <v>4440060</v>
      </c>
      <c r="D179" s="17" t="s">
        <v>31</v>
      </c>
      <c r="E179" s="15" t="s">
        <v>681</v>
      </c>
      <c r="F179" s="149">
        <v>4440019</v>
      </c>
      <c r="G179" s="161" t="s">
        <v>331</v>
      </c>
      <c r="H179" s="106" t="s">
        <v>665</v>
      </c>
      <c r="I179" s="52" t="s">
        <v>118</v>
      </c>
      <c r="J179" s="250" t="s">
        <v>18</v>
      </c>
      <c r="K179" s="16" t="s">
        <v>678</v>
      </c>
      <c r="L179" s="234" t="s">
        <v>36</v>
      </c>
      <c r="M179" s="17"/>
      <c r="N179" s="78"/>
      <c r="P179" s="102"/>
      <c r="Q179" s="102"/>
      <c r="R179" s="102"/>
      <c r="S179" s="102"/>
      <c r="V179" s="17" t="s">
        <v>204</v>
      </c>
      <c r="W179" s="17" t="s">
        <v>204</v>
      </c>
      <c r="X179" s="17" t="s">
        <v>204</v>
      </c>
      <c r="Y179" s="17" t="s">
        <v>197</v>
      </c>
      <c r="Z179" s="102">
        <v>30</v>
      </c>
      <c r="AA179" s="102">
        <v>5</v>
      </c>
      <c r="AB179" s="102">
        <v>7</v>
      </c>
      <c r="AC179" s="102">
        <v>7</v>
      </c>
      <c r="AD179" s="33">
        <v>0.5</v>
      </c>
      <c r="AE179" s="33">
        <v>0.5</v>
      </c>
      <c r="AF179" s="25" t="str">
        <f>_xlfn.XLOOKUP(F179,'TFS Details'!F:F,'TFS Details'!H:H)</f>
        <v>Active</v>
      </c>
      <c r="AG179" s="42">
        <v>0</v>
      </c>
      <c r="AH179" s="42">
        <v>0</v>
      </c>
      <c r="AI179" s="42">
        <v>0</v>
      </c>
      <c r="AJ179" s="42">
        <v>0</v>
      </c>
      <c r="AK179" s="38">
        <v>7</v>
      </c>
      <c r="AL179" s="39">
        <f t="shared" si="19"/>
        <v>0</v>
      </c>
      <c r="AM179" s="39">
        <f t="shared" si="20"/>
        <v>0</v>
      </c>
      <c r="AN179" s="25"/>
      <c r="AO179" s="25" t="str">
        <f>_xlfn.XLOOKUP(F179,'TFS Details'!F:F,'TFS Details'!I:I)</f>
        <v>TechWarriors</v>
      </c>
      <c r="AP179" s="25" t="str">
        <f>_xlfn.XLOOKUP(AO179,'TFS Details'!I:I,'TFS Details'!AE:AE)</f>
        <v>Supriya.a.dhingra</v>
      </c>
    </row>
    <row r="180" spans="1:42" ht="14.45">
      <c r="A180" s="24" t="str">
        <f>_xlfn.XLOOKUP(F180,'TFS Details'!F:F,'TFS Details'!D:D)</f>
        <v>BPMS Onboarding</v>
      </c>
      <c r="B180" s="24" t="str">
        <f>_xlfn.XLOOKUP(F180,'TFS Details'!F:F,'TFS Details'!A:A)</f>
        <v>FTS Email and Backend Flag Synchronization Across All Trigger Sources</v>
      </c>
      <c r="C180" s="46">
        <f>_xlfn.XLOOKUP(F180,'TFS Details'!F:F,'TFS Details'!E:E)</f>
        <v>4440060</v>
      </c>
      <c r="D180" s="17" t="s">
        <v>31</v>
      </c>
      <c r="E180" s="15" t="s">
        <v>682</v>
      </c>
      <c r="F180" s="149">
        <v>4440020</v>
      </c>
      <c r="G180" s="161" t="s">
        <v>331</v>
      </c>
      <c r="H180" s="106" t="s">
        <v>665</v>
      </c>
      <c r="I180" s="52" t="s">
        <v>118</v>
      </c>
      <c r="J180" s="250" t="s">
        <v>18</v>
      </c>
      <c r="K180" s="16" t="s">
        <v>678</v>
      </c>
      <c r="L180" s="234" t="s">
        <v>36</v>
      </c>
      <c r="M180" s="17"/>
      <c r="N180" s="78"/>
      <c r="P180" s="102"/>
      <c r="Q180" s="102"/>
      <c r="R180" s="102"/>
      <c r="S180" s="102"/>
      <c r="V180" s="17" t="s">
        <v>204</v>
      </c>
      <c r="W180" s="17" t="s">
        <v>204</v>
      </c>
      <c r="X180" s="17" t="s">
        <v>204</v>
      </c>
      <c r="Y180" s="17" t="s">
        <v>197</v>
      </c>
      <c r="Z180" s="102">
        <v>30</v>
      </c>
      <c r="AA180" s="102">
        <v>5</v>
      </c>
      <c r="AB180" s="102">
        <v>7</v>
      </c>
      <c r="AC180" s="102">
        <v>7</v>
      </c>
      <c r="AD180" s="33">
        <v>0.5</v>
      </c>
      <c r="AE180" s="33">
        <v>0.5</v>
      </c>
      <c r="AF180" s="25" t="str">
        <f>_xlfn.XLOOKUP(F180,'TFS Details'!F:F,'TFS Details'!H:H)</f>
        <v>In Development</v>
      </c>
      <c r="AG180" s="42">
        <v>0</v>
      </c>
      <c r="AH180" s="42">
        <v>0</v>
      </c>
      <c r="AI180" s="42">
        <v>0</v>
      </c>
      <c r="AJ180" s="42">
        <v>0</v>
      </c>
      <c r="AK180" s="38">
        <v>7</v>
      </c>
      <c r="AL180" s="39">
        <f t="shared" si="19"/>
        <v>0</v>
      </c>
      <c r="AM180" s="39">
        <f t="shared" si="20"/>
        <v>0</v>
      </c>
      <c r="AN180" s="25"/>
      <c r="AO180" s="25" t="str">
        <f>_xlfn.XLOOKUP(F180,'TFS Details'!F:F,'TFS Details'!I:I)</f>
        <v>GoRetro</v>
      </c>
      <c r="AP180" s="25" t="str">
        <f>_xlfn.XLOOKUP(AO180,'TFS Details'!I:I,'TFS Details'!AE:AE)</f>
        <v>sowjanya.kari</v>
      </c>
    </row>
    <row r="181" spans="1:42" ht="14.45">
      <c r="A181" s="24" t="str">
        <f>_xlfn.XLOOKUP(F181,'TFS Details'!F:F,'TFS Details'!D:D)</f>
        <v>BPMS Onboarding</v>
      </c>
      <c r="B181" s="24" t="str">
        <f>_xlfn.XLOOKUP(F181,'TFS Details'!F:F,'TFS Details'!A:A)</f>
        <v>FTS Email and Backend Flag Synchronization Across All Trigger Sources</v>
      </c>
      <c r="C181" s="46">
        <f>_xlfn.XLOOKUP(F181,'TFS Details'!F:F,'TFS Details'!E:E)</f>
        <v>4440060</v>
      </c>
      <c r="D181" s="17" t="s">
        <v>31</v>
      </c>
      <c r="E181" s="15" t="s">
        <v>683</v>
      </c>
      <c r="F181" s="149">
        <v>4440022</v>
      </c>
      <c r="G181" s="161" t="s">
        <v>331</v>
      </c>
      <c r="H181" s="106" t="s">
        <v>665</v>
      </c>
      <c r="I181" s="52" t="s">
        <v>118</v>
      </c>
      <c r="J181" s="250" t="s">
        <v>18</v>
      </c>
      <c r="K181" s="16" t="s">
        <v>678</v>
      </c>
      <c r="L181" s="234" t="s">
        <v>36</v>
      </c>
      <c r="M181" s="17"/>
      <c r="N181" s="78"/>
      <c r="P181" s="102"/>
      <c r="Q181" s="102"/>
      <c r="R181" s="102"/>
      <c r="S181" s="102"/>
      <c r="V181" s="17" t="s">
        <v>204</v>
      </c>
      <c r="W181" s="17" t="s">
        <v>204</v>
      </c>
      <c r="X181" s="17" t="s">
        <v>204</v>
      </c>
      <c r="Y181" s="17" t="s">
        <v>216</v>
      </c>
      <c r="Z181" s="102">
        <v>30</v>
      </c>
      <c r="AA181" s="102">
        <v>5</v>
      </c>
      <c r="AB181" s="102">
        <v>7</v>
      </c>
      <c r="AC181" s="102">
        <v>7</v>
      </c>
      <c r="AD181" s="33">
        <v>0.5</v>
      </c>
      <c r="AE181" s="33">
        <v>0.5</v>
      </c>
      <c r="AF181" s="25" t="str">
        <f>_xlfn.XLOOKUP(F181,'TFS Details'!F:F,'TFS Details'!H:H)</f>
        <v>PT In Test</v>
      </c>
      <c r="AG181" s="42">
        <v>3</v>
      </c>
      <c r="AH181" s="42">
        <v>0</v>
      </c>
      <c r="AI181" s="42">
        <v>0</v>
      </c>
      <c r="AJ181" s="42">
        <v>4</v>
      </c>
      <c r="AK181" s="38">
        <v>7</v>
      </c>
      <c r="AL181" s="39">
        <f t="shared" si="19"/>
        <v>0.42857142857142855</v>
      </c>
      <c r="AM181" s="39">
        <f t="shared" si="20"/>
        <v>1</v>
      </c>
      <c r="AN181" s="87" t="s">
        <v>679</v>
      </c>
      <c r="AO181" s="25" t="str">
        <f>_xlfn.XLOOKUP(F181,'TFS Details'!F:F,'TFS Details'!I:I)</f>
        <v>TechPhantoms</v>
      </c>
      <c r="AP181" s="25" t="str">
        <f>_xlfn.XLOOKUP(AO181,'TFS Details'!I:I,'TFS Details'!AE:AE)</f>
        <v>sowjanya.kari</v>
      </c>
    </row>
    <row r="182" spans="1:42" ht="14.45">
      <c r="A182" s="24" t="str">
        <f>_xlfn.XLOOKUP(F182,'TFS Details'!F:F,'TFS Details'!D:D)</f>
        <v>DCSO</v>
      </c>
      <c r="B182" s="24" t="str">
        <f>_xlfn.XLOOKUP(F182,'TFS Details'!F:F,'TFS Details'!A:A)</f>
        <v>myISP DCSO - Delivery Lead Assignments</v>
      </c>
      <c r="C182" s="46">
        <f>_xlfn.XLOOKUP(F182,'TFS Details'!F:F,'TFS Details'!E:E)</f>
        <v>4446526</v>
      </c>
      <c r="D182" s="17" t="s">
        <v>31</v>
      </c>
      <c r="E182" s="15" t="s">
        <v>684</v>
      </c>
      <c r="F182" s="149">
        <v>4445248</v>
      </c>
      <c r="G182" s="161" t="s">
        <v>202</v>
      </c>
      <c r="H182" s="106" t="s">
        <v>665</v>
      </c>
      <c r="I182" s="52" t="s">
        <v>114</v>
      </c>
      <c r="J182" s="66" t="s">
        <v>20</v>
      </c>
      <c r="K182" s="16" t="s">
        <v>80</v>
      </c>
      <c r="L182" s="234"/>
      <c r="M182" s="17" t="s">
        <v>461</v>
      </c>
      <c r="N182" s="78"/>
      <c r="O182" s="33">
        <v>0.1</v>
      </c>
      <c r="P182" s="102"/>
      <c r="Q182" s="102"/>
      <c r="R182" s="102"/>
      <c r="S182" s="102"/>
      <c r="V182" s="17" t="s">
        <v>204</v>
      </c>
      <c r="W182" s="17" t="s">
        <v>204</v>
      </c>
      <c r="X182" s="17" t="s">
        <v>204</v>
      </c>
      <c r="Y182" s="17" t="s">
        <v>197</v>
      </c>
      <c r="Z182" s="102">
        <v>25</v>
      </c>
      <c r="AA182" s="102">
        <v>15</v>
      </c>
      <c r="AB182" s="102">
        <v>6</v>
      </c>
      <c r="AC182" s="102">
        <v>21</v>
      </c>
      <c r="AD182" s="33">
        <v>1</v>
      </c>
      <c r="AE182" s="33">
        <v>0.9</v>
      </c>
      <c r="AF182" s="25" t="str">
        <f>_xlfn.XLOOKUP(F182,'TFS Details'!F:F,'TFS Details'!H:H)</f>
        <v>In Development</v>
      </c>
      <c r="AG182" s="42">
        <v>0</v>
      </c>
      <c r="AH182" s="42">
        <v>0</v>
      </c>
      <c r="AI182" s="42">
        <v>0</v>
      </c>
      <c r="AJ182" s="42">
        <v>21</v>
      </c>
      <c r="AK182" s="38">
        <f t="shared" si="21"/>
        <v>21</v>
      </c>
      <c r="AL182" s="39">
        <f t="shared" si="19"/>
        <v>0</v>
      </c>
      <c r="AM182" s="39">
        <f t="shared" si="20"/>
        <v>0</v>
      </c>
      <c r="AN182" s="25"/>
      <c r="AO182" s="25" t="str">
        <f>_xlfn.XLOOKUP(F182,'TFS Details'!F:F,'TFS Details'!I:I)</f>
        <v>TechStars</v>
      </c>
      <c r="AP182" s="25" t="str">
        <f>_xlfn.XLOOKUP(AO182,'TFS Details'!I:I,'TFS Details'!AE:AE)</f>
        <v>mohanraj.a.selvaraj</v>
      </c>
    </row>
    <row r="183" spans="1:42" ht="14.45">
      <c r="A183" s="24" t="str">
        <f>_xlfn.XLOOKUP(F183,'TFS Details'!F:F,'TFS Details'!D:D)</f>
        <v>DCSO</v>
      </c>
      <c r="B183" s="24" t="str">
        <f>_xlfn.XLOOKUP(F183,'TFS Details'!F:F,'TFS Details'!A:A)</f>
        <v>myISP DCSO - Delivery Lead Assignments</v>
      </c>
      <c r="C183" s="46">
        <f>_xlfn.XLOOKUP(F183,'TFS Details'!F:F,'TFS Details'!E:E)</f>
        <v>4446526</v>
      </c>
      <c r="D183" s="17" t="s">
        <v>31</v>
      </c>
      <c r="E183" s="15" t="s">
        <v>685</v>
      </c>
      <c r="F183" s="149">
        <v>4445274</v>
      </c>
      <c r="G183" s="161" t="s">
        <v>202</v>
      </c>
      <c r="H183" s="106" t="s">
        <v>665</v>
      </c>
      <c r="I183" s="52" t="s">
        <v>114</v>
      </c>
      <c r="J183" s="66" t="s">
        <v>18</v>
      </c>
      <c r="K183" s="16" t="s">
        <v>80</v>
      </c>
      <c r="L183" s="234" t="s">
        <v>80</v>
      </c>
      <c r="M183" s="17" t="s">
        <v>465</v>
      </c>
      <c r="N183" s="78"/>
      <c r="O183" s="33">
        <v>0.1</v>
      </c>
      <c r="P183" s="102"/>
      <c r="Q183" s="102"/>
      <c r="R183" s="102"/>
      <c r="S183" s="102"/>
      <c r="V183" s="17" t="s">
        <v>204</v>
      </c>
      <c r="W183" s="17" t="s">
        <v>204</v>
      </c>
      <c r="X183" s="17" t="s">
        <v>204</v>
      </c>
      <c r="Y183" s="17" t="s">
        <v>197</v>
      </c>
      <c r="Z183" s="102">
        <v>20</v>
      </c>
      <c r="AA183" s="102">
        <v>12</v>
      </c>
      <c r="AB183" s="102">
        <v>2</v>
      </c>
      <c r="AC183" s="102">
        <v>14</v>
      </c>
      <c r="AD183" s="33">
        <v>1</v>
      </c>
      <c r="AE183" s="33">
        <v>0.9</v>
      </c>
      <c r="AF183" s="25" t="str">
        <f>_xlfn.XLOOKUP(F183,'TFS Details'!F:F,'TFS Details'!H:H)</f>
        <v>In Development</v>
      </c>
      <c r="AG183" s="42">
        <v>0</v>
      </c>
      <c r="AH183" s="42">
        <v>0</v>
      </c>
      <c r="AI183" s="42">
        <v>0</v>
      </c>
      <c r="AJ183" s="42">
        <v>14</v>
      </c>
      <c r="AK183" s="38">
        <f t="shared" si="21"/>
        <v>14</v>
      </c>
      <c r="AL183" s="39">
        <f t="shared" si="19"/>
        <v>0</v>
      </c>
      <c r="AM183" s="39">
        <f t="shared" si="20"/>
        <v>0</v>
      </c>
      <c r="AN183" s="25"/>
      <c r="AO183" s="25" t="str">
        <f>_xlfn.XLOOKUP(F183,'TFS Details'!F:F,'TFS Details'!I:I)</f>
        <v>TechPhantoms</v>
      </c>
      <c r="AP183" s="25" t="str">
        <f>_xlfn.XLOOKUP(AO183,'TFS Details'!I:I,'TFS Details'!AE:AE)</f>
        <v>sowjanya.kari</v>
      </c>
    </row>
    <row r="184" spans="1:42" ht="14.45">
      <c r="A184" s="24" t="str">
        <f>_xlfn.XLOOKUP(F184,'TFS Details'!F:F,'TFS Details'!D:D)</f>
        <v>DCSO</v>
      </c>
      <c r="B184" s="24" t="str">
        <f>_xlfn.XLOOKUP(F184,'TFS Details'!F:F,'TFS Details'!A:A)</f>
        <v>myISP DCSO - Delivery Lead Assignments</v>
      </c>
      <c r="C184" s="46">
        <f>_xlfn.XLOOKUP(F184,'TFS Details'!F:F,'TFS Details'!E:E)</f>
        <v>4446526</v>
      </c>
      <c r="D184" s="17" t="s">
        <v>31</v>
      </c>
      <c r="E184" s="15" t="s">
        <v>686</v>
      </c>
      <c r="F184" s="149">
        <v>4445986</v>
      </c>
      <c r="G184" s="161" t="s">
        <v>194</v>
      </c>
      <c r="H184" s="106" t="s">
        <v>665</v>
      </c>
      <c r="I184" s="52" t="s">
        <v>97</v>
      </c>
      <c r="J184" s="250" t="s">
        <v>18</v>
      </c>
      <c r="K184" s="16"/>
      <c r="L184" s="234" t="s">
        <v>80</v>
      </c>
      <c r="M184" s="17" t="s">
        <v>311</v>
      </c>
      <c r="N184" s="78"/>
      <c r="P184" s="102"/>
      <c r="Q184" s="102"/>
      <c r="R184" s="102"/>
      <c r="S184" s="102"/>
      <c r="V184" s="17" t="s">
        <v>204</v>
      </c>
      <c r="W184" s="17" t="s">
        <v>204</v>
      </c>
      <c r="X184" s="17" t="s">
        <v>204</v>
      </c>
      <c r="Y184" s="17" t="s">
        <v>197</v>
      </c>
      <c r="Z184" s="102">
        <v>8</v>
      </c>
      <c r="AA184" s="102">
        <v>8</v>
      </c>
      <c r="AB184" s="102">
        <v>8</v>
      </c>
      <c r="AC184" s="102">
        <v>8</v>
      </c>
      <c r="AD184" s="33">
        <v>1</v>
      </c>
      <c r="AE184" s="33">
        <v>1</v>
      </c>
      <c r="AF184" s="25" t="str">
        <f>_xlfn.XLOOKUP(F184,'TFS Details'!F:F,'TFS Details'!H:H)</f>
        <v>In Development</v>
      </c>
      <c r="AG184" s="42">
        <v>0</v>
      </c>
      <c r="AH184" s="42">
        <v>0</v>
      </c>
      <c r="AI184" s="42">
        <v>0</v>
      </c>
      <c r="AJ184" s="42">
        <v>8</v>
      </c>
      <c r="AK184" s="38">
        <f t="shared" si="21"/>
        <v>8</v>
      </c>
      <c r="AL184" s="39">
        <f t="shared" si="19"/>
        <v>0</v>
      </c>
      <c r="AM184" s="39">
        <f t="shared" si="20"/>
        <v>0</v>
      </c>
      <c r="AN184" s="25"/>
      <c r="AO184" s="25" t="str">
        <f>_xlfn.XLOOKUP(F184,'TFS Details'!F:F,'TFS Details'!I:I)</f>
        <v>TechStars</v>
      </c>
      <c r="AP184" s="25" t="str">
        <f>_xlfn.XLOOKUP(AO184,'TFS Details'!I:I,'TFS Details'!AE:AE)</f>
        <v>mohanraj.a.selvaraj</v>
      </c>
    </row>
    <row r="185" spans="1:42" ht="14.45">
      <c r="A185" s="24" t="str">
        <f>_xlfn.XLOOKUP(F185,'TFS Details'!F:F,'TFS Details'!D:D)</f>
        <v>DCSO</v>
      </c>
      <c r="B185" s="24" t="str">
        <f>_xlfn.XLOOKUP(F185,'TFS Details'!F:F,'TFS Details'!A:A)</f>
        <v>myISP DCSO - Delivery Lead Assignments</v>
      </c>
      <c r="C185" s="46">
        <f>_xlfn.XLOOKUP(F185,'TFS Details'!F:F,'TFS Details'!E:E)</f>
        <v>4446526</v>
      </c>
      <c r="D185" s="17" t="s">
        <v>31</v>
      </c>
      <c r="E185" s="15" t="s">
        <v>687</v>
      </c>
      <c r="F185" s="149">
        <v>4445987</v>
      </c>
      <c r="G185" s="161" t="s">
        <v>194</v>
      </c>
      <c r="H185" s="106" t="s">
        <v>665</v>
      </c>
      <c r="I185" s="52" t="s">
        <v>97</v>
      </c>
      <c r="J185" s="250" t="s">
        <v>18</v>
      </c>
      <c r="K185" s="16" t="s">
        <v>654</v>
      </c>
      <c r="L185" s="234" t="s">
        <v>80</v>
      </c>
      <c r="M185" s="17" t="s">
        <v>311</v>
      </c>
      <c r="N185" s="78"/>
      <c r="P185" s="102"/>
      <c r="Q185" s="102"/>
      <c r="R185" s="102"/>
      <c r="S185" s="102"/>
      <c r="V185" s="17" t="s">
        <v>204</v>
      </c>
      <c r="W185" s="17" t="s">
        <v>204</v>
      </c>
      <c r="X185" s="17" t="s">
        <v>204</v>
      </c>
      <c r="Y185" s="17" t="s">
        <v>197</v>
      </c>
      <c r="Z185" s="102">
        <v>10</v>
      </c>
      <c r="AA185" s="102">
        <v>8</v>
      </c>
      <c r="AB185" s="102">
        <v>10</v>
      </c>
      <c r="AC185" s="102">
        <v>10</v>
      </c>
      <c r="AD185" s="33">
        <v>0.8</v>
      </c>
      <c r="AE185" s="33">
        <v>0.8</v>
      </c>
      <c r="AF185" s="25" t="str">
        <f>_xlfn.XLOOKUP(F185,'TFS Details'!F:F,'TFS Details'!H:H)</f>
        <v>In Development</v>
      </c>
      <c r="AG185" s="42">
        <v>0</v>
      </c>
      <c r="AH185" s="42">
        <v>0</v>
      </c>
      <c r="AI185" s="42">
        <v>0</v>
      </c>
      <c r="AJ185" s="42">
        <v>10</v>
      </c>
      <c r="AK185" s="38">
        <f t="shared" si="21"/>
        <v>10</v>
      </c>
      <c r="AL185" s="39">
        <f t="shared" si="19"/>
        <v>0</v>
      </c>
      <c r="AM185" s="39">
        <f t="shared" si="20"/>
        <v>0</v>
      </c>
      <c r="AN185" s="25"/>
      <c r="AO185" s="25" t="str">
        <f>_xlfn.XLOOKUP(F185,'TFS Details'!F:F,'TFS Details'!I:I)</f>
        <v>TechStars</v>
      </c>
      <c r="AP185" s="25" t="str">
        <f>_xlfn.XLOOKUP(AO185,'TFS Details'!I:I,'TFS Details'!AE:AE)</f>
        <v>mohanraj.a.selvaraj</v>
      </c>
    </row>
    <row r="186" spans="1:42" ht="14.45">
      <c r="A186" s="24" t="str">
        <f>_xlfn.XLOOKUP(F186,'TFS Details'!F:F,'TFS Details'!D:D)</f>
        <v>DCSO</v>
      </c>
      <c r="B186" s="24" t="str">
        <f>_xlfn.XLOOKUP(F186,'TFS Details'!F:F,'TFS Details'!A:A)</f>
        <v>myISP DCSO - Delivery Lead Assignments</v>
      </c>
      <c r="C186" s="46">
        <f>_xlfn.XLOOKUP(F186,'TFS Details'!F:F,'TFS Details'!E:E)</f>
        <v>4446526</v>
      </c>
      <c r="D186" s="17" t="s">
        <v>31</v>
      </c>
      <c r="E186" s="15" t="s">
        <v>325</v>
      </c>
      <c r="F186" s="149">
        <v>4445991</v>
      </c>
      <c r="G186" s="161" t="s">
        <v>194</v>
      </c>
      <c r="H186" s="106" t="s">
        <v>665</v>
      </c>
      <c r="I186" s="52" t="s">
        <v>97</v>
      </c>
      <c r="J186" s="250" t="s">
        <v>1</v>
      </c>
      <c r="K186" s="16" t="s">
        <v>327</v>
      </c>
      <c r="L186" s="234" t="s">
        <v>196</v>
      </c>
      <c r="M186" s="17" t="s">
        <v>465</v>
      </c>
      <c r="N186" s="78"/>
      <c r="O186" s="33">
        <v>0.1</v>
      </c>
      <c r="P186" s="102"/>
      <c r="Q186" s="102"/>
      <c r="R186" s="102"/>
      <c r="S186" s="102"/>
      <c r="V186" s="17" t="s">
        <v>204</v>
      </c>
      <c r="W186" s="17" t="s">
        <v>204</v>
      </c>
      <c r="X186" s="17" t="s">
        <v>204</v>
      </c>
      <c r="Y186" s="17" t="s">
        <v>197</v>
      </c>
      <c r="Z186" s="102">
        <v>9</v>
      </c>
      <c r="AA186" s="102">
        <v>8</v>
      </c>
      <c r="AB186" s="102">
        <v>9</v>
      </c>
      <c r="AC186" s="102">
        <v>9</v>
      </c>
      <c r="AD186" s="33">
        <v>1</v>
      </c>
      <c r="AE186" s="33">
        <v>1</v>
      </c>
      <c r="AF186" s="25" t="str">
        <f>_xlfn.XLOOKUP(F186,'TFS Details'!F:F,'TFS Details'!H:H)</f>
        <v>In Development</v>
      </c>
      <c r="AG186" s="42">
        <v>0</v>
      </c>
      <c r="AH186" s="42">
        <v>0</v>
      </c>
      <c r="AI186" s="42">
        <v>0</v>
      </c>
      <c r="AJ186" s="42">
        <v>9</v>
      </c>
      <c r="AK186" s="38">
        <f t="shared" si="21"/>
        <v>9</v>
      </c>
      <c r="AL186" s="39">
        <f t="shared" si="19"/>
        <v>0</v>
      </c>
      <c r="AM186" s="39">
        <f t="shared" si="20"/>
        <v>0</v>
      </c>
      <c r="AN186" s="25"/>
      <c r="AO186" s="25" t="str">
        <f>_xlfn.XLOOKUP(F186,'TFS Details'!F:F,'TFS Details'!I:I)</f>
        <v>TechStars</v>
      </c>
      <c r="AP186" s="25" t="str">
        <f>_xlfn.XLOOKUP(AO186,'TFS Details'!I:I,'TFS Details'!AE:AE)</f>
        <v>mohanraj.a.selvaraj</v>
      </c>
    </row>
    <row r="187" spans="1:42" ht="14.45">
      <c r="A187" s="24" t="str">
        <f>_xlfn.XLOOKUP(F187,'TFS Details'!F:F,'TFS Details'!D:D)</f>
        <v>PMO</v>
      </c>
      <c r="B187" s="24" t="str">
        <f>_xlfn.XLOOKUP(F187,'TFS Details'!F:F,'TFS Details'!A:A)</f>
        <v>[PMO] URL update for Manage and Dashboard screens</v>
      </c>
      <c r="C187" s="46">
        <f>_xlfn.XLOOKUP(F187,'TFS Details'!F:F,'TFS Details'!E:E)</f>
        <v>4440976</v>
      </c>
      <c r="D187" s="17" t="s">
        <v>31</v>
      </c>
      <c r="E187" s="15" t="s">
        <v>688</v>
      </c>
      <c r="F187" s="149">
        <v>4446503</v>
      </c>
      <c r="G187" s="161" t="s">
        <v>664</v>
      </c>
      <c r="H187" s="106" t="s">
        <v>665</v>
      </c>
      <c r="I187" s="52" t="s">
        <v>89</v>
      </c>
      <c r="J187" s="66" t="s">
        <v>1</v>
      </c>
      <c r="K187" s="16"/>
      <c r="L187" s="234"/>
      <c r="M187" s="17" t="s">
        <v>311</v>
      </c>
      <c r="N187" s="78"/>
      <c r="O187" s="273">
        <v>0.1</v>
      </c>
      <c r="P187" s="102"/>
      <c r="Q187" s="102"/>
      <c r="R187" s="102"/>
      <c r="S187" s="102"/>
      <c r="V187" s="17" t="s">
        <v>204</v>
      </c>
      <c r="W187" s="17" t="s">
        <v>204</v>
      </c>
      <c r="X187" s="17" t="s">
        <v>204</v>
      </c>
      <c r="Y187" s="17" t="s">
        <v>216</v>
      </c>
      <c r="Z187" s="102">
        <v>15</v>
      </c>
      <c r="AA187" s="102">
        <v>1</v>
      </c>
      <c r="AB187" s="102">
        <v>3</v>
      </c>
      <c r="AC187" s="102">
        <v>4</v>
      </c>
      <c r="AD187" s="33">
        <v>1</v>
      </c>
      <c r="AE187" s="33">
        <v>0.4</v>
      </c>
      <c r="AF187" s="25" t="str">
        <f>_xlfn.XLOOKUP(F187,'TFS Details'!F:F,'TFS Details'!H:H)</f>
        <v>PT In Test</v>
      </c>
      <c r="AG187" s="42">
        <v>0</v>
      </c>
      <c r="AH187" s="42">
        <v>0</v>
      </c>
      <c r="AI187" s="42">
        <v>0</v>
      </c>
      <c r="AJ187" s="42">
        <v>4</v>
      </c>
      <c r="AK187" s="38">
        <f t="shared" si="21"/>
        <v>4</v>
      </c>
      <c r="AL187" s="39">
        <f t="shared" si="19"/>
        <v>0</v>
      </c>
      <c r="AM187" s="39">
        <f t="shared" si="20"/>
        <v>0</v>
      </c>
      <c r="AN187" s="25"/>
      <c r="AO187" s="25" t="str">
        <f>_xlfn.XLOOKUP(F187,'TFS Details'!F:F,'TFS Details'!I:I)</f>
        <v>MYISP_Revamp_UI</v>
      </c>
      <c r="AP187" s="25" t="str">
        <f>_xlfn.XLOOKUP(AO187,'TFS Details'!I:I,'TFS Details'!AE:AE)</f>
        <v>vikrant.r.mohite</v>
      </c>
    </row>
    <row r="188" spans="1:42" ht="14.45">
      <c r="A188" s="24" t="str">
        <f>_xlfn.XLOOKUP(F188,'TFS Details'!F:F,'TFS Details'!D:D)</f>
        <v>DCSO</v>
      </c>
      <c r="B188" s="24" t="str">
        <f>_xlfn.XLOOKUP(F188,'TFS Details'!F:F,'TFS Details'!A:A)</f>
        <v>myISP DCSO - Delivery Lead Assignments</v>
      </c>
      <c r="C188" s="46">
        <f>_xlfn.XLOOKUP(F188,'TFS Details'!F:F,'TFS Details'!E:E)</f>
        <v>4446526</v>
      </c>
      <c r="D188" s="17" t="s">
        <v>31</v>
      </c>
      <c r="E188" s="15" t="s">
        <v>689</v>
      </c>
      <c r="F188" s="149">
        <v>4446548</v>
      </c>
      <c r="G188" s="161" t="s">
        <v>202</v>
      </c>
      <c r="H188" s="106" t="s">
        <v>665</v>
      </c>
      <c r="I188" s="52" t="s">
        <v>114</v>
      </c>
      <c r="J188" s="66" t="s">
        <v>18</v>
      </c>
      <c r="K188" s="16" t="s">
        <v>80</v>
      </c>
      <c r="L188" s="234" t="s">
        <v>80</v>
      </c>
      <c r="M188" s="17" t="s">
        <v>465</v>
      </c>
      <c r="N188" s="78"/>
      <c r="O188" s="33">
        <v>0.1</v>
      </c>
      <c r="P188" s="102"/>
      <c r="Q188" s="102"/>
      <c r="R188" s="102"/>
      <c r="S188" s="102"/>
      <c r="V188" s="17" t="s">
        <v>204</v>
      </c>
      <c r="W188" s="17" t="s">
        <v>204</v>
      </c>
      <c r="X188" s="17" t="s">
        <v>204</v>
      </c>
      <c r="Y188" s="17" t="s">
        <v>197</v>
      </c>
      <c r="Z188" s="102">
        <v>15</v>
      </c>
      <c r="AA188" s="102">
        <v>9</v>
      </c>
      <c r="AB188" s="102">
        <v>0</v>
      </c>
      <c r="AC188" s="102">
        <v>9</v>
      </c>
      <c r="AD188" s="114" t="s">
        <v>690</v>
      </c>
      <c r="AE188" s="114" t="s">
        <v>691</v>
      </c>
      <c r="AF188" s="25"/>
      <c r="AG188" s="42">
        <v>0</v>
      </c>
      <c r="AH188" s="42">
        <v>0</v>
      </c>
      <c r="AI188" s="42">
        <v>0</v>
      </c>
      <c r="AJ188" s="42">
        <v>9</v>
      </c>
      <c r="AK188" s="38">
        <f t="shared" si="21"/>
        <v>9</v>
      </c>
      <c r="AL188" s="39">
        <f t="shared" si="19"/>
        <v>0</v>
      </c>
      <c r="AM188" s="39">
        <f t="shared" si="20"/>
        <v>0</v>
      </c>
      <c r="AN188" s="25"/>
      <c r="AO188" s="25" t="str">
        <f>_xlfn.XLOOKUP(F188,'TFS Details'!F:F,'TFS Details'!I:I)</f>
        <v>TechWarriors</v>
      </c>
      <c r="AP188" s="25" t="str">
        <f>_xlfn.XLOOKUP(AO188,'TFS Details'!I:I,'TFS Details'!AE:AE)</f>
        <v>Supriya.a.dhingra</v>
      </c>
    </row>
    <row r="189" spans="1:42" ht="14.45">
      <c r="A189" s="24" t="str">
        <f>_xlfn.XLOOKUP(F189,'TFS Details'!F:F,'TFS Details'!D:D)</f>
        <v>PMO</v>
      </c>
      <c r="B189" s="24" t="str">
        <f>_xlfn.XLOOKUP(F189,'TFS Details'!F:F,'TFS Details'!A:A)</f>
        <v>[PMO] URL update for Manage and Dashboard screens</v>
      </c>
      <c r="C189" s="46">
        <f>_xlfn.XLOOKUP(F189,'TFS Details'!F:F,'TFS Details'!E:E)</f>
        <v>4440976</v>
      </c>
      <c r="D189" s="17" t="s">
        <v>31</v>
      </c>
      <c r="E189" s="15" t="s">
        <v>692</v>
      </c>
      <c r="F189" s="149">
        <v>4446570</v>
      </c>
      <c r="G189" s="161" t="s">
        <v>664</v>
      </c>
      <c r="H189" s="106" t="s">
        <v>665</v>
      </c>
      <c r="I189" s="52" t="s">
        <v>89</v>
      </c>
      <c r="J189" s="66" t="s">
        <v>1</v>
      </c>
      <c r="K189" s="16"/>
      <c r="L189" s="234"/>
      <c r="M189" s="17" t="s">
        <v>311</v>
      </c>
      <c r="N189" s="78"/>
      <c r="O189" s="273">
        <v>0.1</v>
      </c>
      <c r="P189" s="102"/>
      <c r="Q189" s="102"/>
      <c r="R189" s="102"/>
      <c r="S189" s="102"/>
      <c r="V189" s="17" t="s">
        <v>204</v>
      </c>
      <c r="W189" s="17" t="s">
        <v>204</v>
      </c>
      <c r="X189" s="17" t="s">
        <v>204</v>
      </c>
      <c r="Y189" s="17" t="s">
        <v>216</v>
      </c>
      <c r="Z189" s="102">
        <v>15</v>
      </c>
      <c r="AA189" s="102">
        <v>1</v>
      </c>
      <c r="AB189" s="102">
        <v>4</v>
      </c>
      <c r="AC189" s="102">
        <v>5</v>
      </c>
      <c r="AD189" s="33">
        <v>1</v>
      </c>
      <c r="AE189" s="33">
        <v>0.4</v>
      </c>
      <c r="AF189" s="25" t="str">
        <f>_xlfn.XLOOKUP(F189,'TFS Details'!F:F,'TFS Details'!H:H)</f>
        <v>PT In Test</v>
      </c>
      <c r="AG189" s="42">
        <v>0</v>
      </c>
      <c r="AH189" s="42">
        <v>0</v>
      </c>
      <c r="AI189" s="42">
        <v>0</v>
      </c>
      <c r="AJ189" s="42">
        <v>5</v>
      </c>
      <c r="AK189" s="38">
        <f t="shared" si="21"/>
        <v>5</v>
      </c>
      <c r="AL189" s="39">
        <f t="shared" si="19"/>
        <v>0</v>
      </c>
      <c r="AM189" s="39">
        <f t="shared" si="20"/>
        <v>0</v>
      </c>
      <c r="AN189" s="25"/>
      <c r="AO189" s="25" t="str">
        <f>_xlfn.XLOOKUP(F189,'TFS Details'!F:F,'TFS Details'!I:I)</f>
        <v>Spartans</v>
      </c>
      <c r="AP189" s="25" t="str">
        <f>_xlfn.XLOOKUP(AO189,'TFS Details'!I:I,'TFS Details'!AE:AE)</f>
        <v>nityanand.giri</v>
      </c>
    </row>
    <row r="190" spans="1:42" ht="14.45">
      <c r="A190" s="24" t="str">
        <f>_xlfn.XLOOKUP(F190,'TFS Details'!F:F,'TFS Details'!D:D)</f>
        <v>DCSO</v>
      </c>
      <c r="B190" s="24" t="str">
        <f>_xlfn.XLOOKUP(F190,'TFS Details'!F:F,'TFS Details'!A:A)</f>
        <v>myISP DCSO - Delivery Lead Assignments</v>
      </c>
      <c r="C190" s="46">
        <f>_xlfn.XLOOKUP(F190,'TFS Details'!F:F,'TFS Details'!E:E)</f>
        <v>4446526</v>
      </c>
      <c r="D190" s="17" t="s">
        <v>31</v>
      </c>
      <c r="E190" s="15" t="s">
        <v>693</v>
      </c>
      <c r="F190" s="149">
        <v>4446571</v>
      </c>
      <c r="G190" s="161" t="s">
        <v>330</v>
      </c>
      <c r="H190" s="106" t="s">
        <v>665</v>
      </c>
      <c r="I190" s="52" t="s">
        <v>86</v>
      </c>
      <c r="J190" s="66" t="s">
        <v>18</v>
      </c>
      <c r="K190" t="s">
        <v>80</v>
      </c>
      <c r="L190" s="234" t="s">
        <v>80</v>
      </c>
      <c r="M190" s="17" t="s">
        <v>311</v>
      </c>
      <c r="N190" s="78"/>
      <c r="P190" s="102"/>
      <c r="Q190" s="102"/>
      <c r="R190" s="102"/>
      <c r="S190" s="102"/>
      <c r="V190" s="17" t="s">
        <v>204</v>
      </c>
      <c r="W190" s="17" t="s">
        <v>204</v>
      </c>
      <c r="X190" s="17" t="s">
        <v>204</v>
      </c>
      <c r="Y190" s="17" t="s">
        <v>197</v>
      </c>
      <c r="Z190" s="102">
        <v>9</v>
      </c>
      <c r="AA190" s="102">
        <v>2</v>
      </c>
      <c r="AB190" s="102">
        <v>1</v>
      </c>
      <c r="AC190" s="102">
        <v>3</v>
      </c>
      <c r="AD190" s="33">
        <v>0.75</v>
      </c>
      <c r="AE190" s="33">
        <v>0.8</v>
      </c>
      <c r="AF190" s="25" t="str">
        <f>_xlfn.XLOOKUP(F190,'TFS Details'!F:F,'TFS Details'!H:H)</f>
        <v>Active</v>
      </c>
      <c r="AG190" s="42">
        <v>0</v>
      </c>
      <c r="AH190" s="42">
        <v>0</v>
      </c>
      <c r="AI190" s="42">
        <v>0</v>
      </c>
      <c r="AJ190" s="42">
        <v>3</v>
      </c>
      <c r="AK190" s="38">
        <f t="shared" si="21"/>
        <v>3</v>
      </c>
      <c r="AL190" s="39">
        <f t="shared" si="19"/>
        <v>0</v>
      </c>
      <c r="AM190" s="39">
        <f t="shared" si="20"/>
        <v>0</v>
      </c>
      <c r="AN190" s="25"/>
      <c r="AO190" s="25" t="str">
        <f>_xlfn.XLOOKUP(F190,'TFS Details'!F:F,'TFS Details'!I:I)</f>
        <v>TechWarriors</v>
      </c>
      <c r="AP190" s="25" t="str">
        <f>_xlfn.XLOOKUP(AO190,'TFS Details'!I:I,'TFS Details'!AE:AE)</f>
        <v>Supriya.a.dhingra</v>
      </c>
    </row>
    <row r="191" spans="1:42" ht="14.45">
      <c r="A191" s="24" t="str">
        <f>_xlfn.XLOOKUP(F191,'TFS Details'!F:F,'TFS Details'!D:D)</f>
        <v>DCSO</v>
      </c>
      <c r="B191" s="24" t="str">
        <f>_xlfn.XLOOKUP(F191,'TFS Details'!F:F,'TFS Details'!A:A)</f>
        <v>myISP - Digital DCSO Summary sections addition and Other changes</v>
      </c>
      <c r="C191" s="46">
        <f>_xlfn.XLOOKUP(F191,'TFS Details'!F:F,'TFS Details'!E:E)</f>
        <v>4446711</v>
      </c>
      <c r="D191" s="17" t="s">
        <v>31</v>
      </c>
      <c r="E191" s="15" t="s">
        <v>694</v>
      </c>
      <c r="F191" s="149">
        <v>4446722</v>
      </c>
      <c r="G191" s="161" t="s">
        <v>194</v>
      </c>
      <c r="H191" s="106" t="s">
        <v>665</v>
      </c>
      <c r="I191" s="52" t="s">
        <v>97</v>
      </c>
      <c r="J191" s="66" t="s">
        <v>1</v>
      </c>
      <c r="K191" s="16"/>
      <c r="L191" s="66"/>
      <c r="M191" s="17" t="s">
        <v>461</v>
      </c>
      <c r="N191" s="78"/>
      <c r="O191" s="33">
        <v>0.2</v>
      </c>
      <c r="P191" s="102"/>
      <c r="Q191" s="102"/>
      <c r="R191" s="102"/>
      <c r="S191" s="102"/>
      <c r="V191" s="17" t="s">
        <v>204</v>
      </c>
      <c r="W191" s="17" t="s">
        <v>204</v>
      </c>
      <c r="X191" s="17" t="s">
        <v>204</v>
      </c>
      <c r="Y191" s="17" t="s">
        <v>197</v>
      </c>
      <c r="Z191" s="102">
        <v>8</v>
      </c>
      <c r="AA191" s="102">
        <v>8</v>
      </c>
      <c r="AB191" s="102">
        <v>8</v>
      </c>
      <c r="AC191" s="102">
        <v>8</v>
      </c>
      <c r="AD191" s="33">
        <v>1</v>
      </c>
      <c r="AE191" s="33">
        <v>1</v>
      </c>
      <c r="AF191" s="25" t="str">
        <f>_xlfn.XLOOKUP(F191,'TFS Details'!F:F,'TFS Details'!H:H)</f>
        <v>In Development</v>
      </c>
      <c r="AG191" s="42">
        <v>0</v>
      </c>
      <c r="AH191" s="42">
        <v>0</v>
      </c>
      <c r="AI191" s="42">
        <v>0</v>
      </c>
      <c r="AJ191" s="42">
        <v>8</v>
      </c>
      <c r="AK191" s="38">
        <f t="shared" ref="AK191:AK228" si="22">SUM(AG191:AJ191)</f>
        <v>8</v>
      </c>
      <c r="AL191" s="39">
        <f t="shared" ref="AL191:AL228" si="23">IF(AG191+AH191=0,0,SUM(AG191:AH191)/AK191)</f>
        <v>0</v>
      </c>
      <c r="AM191" s="39">
        <f t="shared" ref="AM191:AM228" si="24">IF(AG191=0,0,AG191/(SUM(AG191:AI191)))</f>
        <v>0</v>
      </c>
      <c r="AN191" s="25"/>
      <c r="AO191" s="25" t="str">
        <f>_xlfn.XLOOKUP(F191,'TFS Details'!F:F,'TFS Details'!I:I)</f>
        <v>TechStars</v>
      </c>
      <c r="AP191" s="25" t="str">
        <f>_xlfn.XLOOKUP(AO191,'TFS Details'!I:I,'TFS Details'!AE:AE)</f>
        <v>mohanraj.a.selvaraj</v>
      </c>
    </row>
    <row r="192" spans="1:42">
      <c r="A192" s="24" t="str">
        <f>_xlfn.XLOOKUP(F192,'TFS Details'!F:F,'TFS Details'!D:D)</f>
        <v>Differentiation</v>
      </c>
      <c r="B192" s="24" t="str">
        <f>_xlfn.XLOOKUP(F192,'TFS Details'!F:F,'TFS Details'!A:A)</f>
        <v>Differentiation Decommission</v>
      </c>
      <c r="C192" s="46">
        <f>_xlfn.XLOOKUP(F192,'TFS Details'!F:F,'TFS Details'!E:E)</f>
        <v>4372017</v>
      </c>
      <c r="D192" s="19" t="s">
        <v>48</v>
      </c>
      <c r="E192" s="139" t="s">
        <v>695</v>
      </c>
      <c r="F192" s="72">
        <v>4372032</v>
      </c>
      <c r="G192" s="168" t="s">
        <v>309</v>
      </c>
      <c r="H192" s="168" t="s">
        <v>696</v>
      </c>
      <c r="I192" s="52" t="s">
        <v>108</v>
      </c>
      <c r="J192" s="66" t="s">
        <v>1</v>
      </c>
      <c r="K192" s="16"/>
      <c r="L192" s="234"/>
      <c r="M192" s="17" t="s">
        <v>311</v>
      </c>
      <c r="N192" s="78"/>
      <c r="O192" s="33">
        <v>0.15</v>
      </c>
      <c r="P192" s="102">
        <v>8</v>
      </c>
      <c r="Q192" s="102">
        <v>6</v>
      </c>
      <c r="R192" s="102">
        <v>0</v>
      </c>
      <c r="S192" s="102">
        <v>6</v>
      </c>
      <c r="T192" s="33">
        <v>0.85</v>
      </c>
      <c r="U192" s="33">
        <v>1</v>
      </c>
      <c r="V192" s="17" t="s">
        <v>204</v>
      </c>
      <c r="W192" s="190" t="s">
        <v>204</v>
      </c>
      <c r="X192" s="17" t="s">
        <v>204</v>
      </c>
      <c r="Y192" s="17" t="s">
        <v>216</v>
      </c>
      <c r="Z192" s="102">
        <v>31</v>
      </c>
      <c r="AA192" s="102">
        <v>10</v>
      </c>
      <c r="AB192" s="102">
        <v>0</v>
      </c>
      <c r="AC192" s="102">
        <v>10</v>
      </c>
      <c r="AD192" s="33">
        <v>1</v>
      </c>
      <c r="AE192" s="33">
        <v>1</v>
      </c>
      <c r="AF192" s="25" t="str">
        <f>_xlfn.XLOOKUP(F192,'TFS Details'!F:F,'TFS Details'!H:H)</f>
        <v>PT In Test</v>
      </c>
      <c r="AG192" s="42">
        <v>3</v>
      </c>
      <c r="AH192" s="42">
        <v>1</v>
      </c>
      <c r="AI192" s="42">
        <v>0</v>
      </c>
      <c r="AJ192" s="42">
        <v>6</v>
      </c>
      <c r="AK192" s="38">
        <f t="shared" si="22"/>
        <v>10</v>
      </c>
      <c r="AL192" s="39">
        <f t="shared" si="23"/>
        <v>0.4</v>
      </c>
      <c r="AM192" s="39">
        <f t="shared" si="24"/>
        <v>0.75</v>
      </c>
      <c r="AN192" s="25" t="s">
        <v>697</v>
      </c>
      <c r="AO192" s="25" t="str">
        <f>_xlfn.XLOOKUP(F192,'TFS Details'!F:F,'TFS Details'!I:I)</f>
        <v>Simulators</v>
      </c>
      <c r="AP192" s="25" t="str">
        <f>_xlfn.XLOOKUP(AO192,'TFS Details'!I:I,'TFS Details'!AE:AE)</f>
        <v>K.devaraj</v>
      </c>
    </row>
    <row r="193" spans="1:42">
      <c r="A193" s="24" t="str">
        <f>_xlfn.XLOOKUP(F193,'TFS Details'!F:F,'TFS Details'!D:D)</f>
        <v>BPMS</v>
      </c>
      <c r="B193" s="24" t="str">
        <f>_xlfn.XLOOKUP(F193,'TFS Details'!F:F,'TFS Details'!A:A)</f>
        <v>BPMS OCP/DCTA: CR - Enhancement changes ( update the logic for identifying PMO Cost)</v>
      </c>
      <c r="C193" s="46">
        <f>_xlfn.XLOOKUP(F193,'TFS Details'!F:F,'TFS Details'!E:E)</f>
        <v>4392134</v>
      </c>
      <c r="D193" s="19" t="s">
        <v>48</v>
      </c>
      <c r="E193" s="139" t="s">
        <v>698</v>
      </c>
      <c r="F193" s="72">
        <v>4390184</v>
      </c>
      <c r="G193" s="169" t="s">
        <v>316</v>
      </c>
      <c r="H193" s="169" t="s">
        <v>297</v>
      </c>
      <c r="I193" s="52"/>
      <c r="J193" s="250" t="s">
        <v>18</v>
      </c>
      <c r="K193" s="16" t="s">
        <v>699</v>
      </c>
      <c r="L193" s="234" t="s">
        <v>30</v>
      </c>
      <c r="M193" s="17"/>
      <c r="N193" s="78"/>
      <c r="P193" s="102"/>
      <c r="Q193" s="102"/>
      <c r="R193" s="102"/>
      <c r="S193" s="102"/>
      <c r="V193" s="17" t="s">
        <v>204</v>
      </c>
      <c r="W193" s="17" t="s">
        <v>204</v>
      </c>
      <c r="X193" s="17" t="s">
        <v>204</v>
      </c>
      <c r="Y193" s="17" t="s">
        <v>216</v>
      </c>
      <c r="Z193" s="102">
        <v>18</v>
      </c>
      <c r="AA193" s="102">
        <v>13</v>
      </c>
      <c r="AB193" s="102">
        <v>6</v>
      </c>
      <c r="AC193" s="102">
        <v>19</v>
      </c>
      <c r="AD193" s="33">
        <v>0.7</v>
      </c>
      <c r="AE193" s="33">
        <v>0.8</v>
      </c>
      <c r="AF193" s="25" t="str">
        <f>_xlfn.XLOOKUP(F193,'TFS Details'!F:F,'TFS Details'!H:H)</f>
        <v>Blocked in PT</v>
      </c>
      <c r="AG193" s="42">
        <v>0</v>
      </c>
      <c r="AH193" s="42">
        <v>0</v>
      </c>
      <c r="AI193" s="42">
        <v>0</v>
      </c>
      <c r="AJ193" s="243">
        <v>19</v>
      </c>
      <c r="AK193" s="38">
        <f>SUM(AG193:AJ193)</f>
        <v>19</v>
      </c>
      <c r="AL193" s="39">
        <f t="shared" si="23"/>
        <v>0</v>
      </c>
      <c r="AM193" s="39">
        <f t="shared" si="24"/>
        <v>0</v>
      </c>
      <c r="AN193" s="25"/>
      <c r="AO193" s="25" t="str">
        <f>_xlfn.XLOOKUP(F193,'TFS Details'!F:F,'TFS Details'!I:I)</f>
        <v>Simulators</v>
      </c>
      <c r="AP193" s="25" t="str">
        <f>_xlfn.XLOOKUP(AO193,'TFS Details'!I:I,'TFS Details'!AE:AE)</f>
        <v>K.devaraj</v>
      </c>
    </row>
    <row r="194" spans="1:42">
      <c r="A194" s="24" t="str">
        <f>_xlfn.XLOOKUP(F194,'TFS Details'!F:F,'TFS Details'!D:D)</f>
        <v>BPMS</v>
      </c>
      <c r="B194" s="24" t="str">
        <f>_xlfn.XLOOKUP(F194,'TFS Details'!F:F,'TFS Details'!A:A)</f>
        <v>BPMS OCP/DCTA: CR - Enhancement changes ( update the logic for identifying PMO Cost)</v>
      </c>
      <c r="C194" s="46">
        <f>_xlfn.XLOOKUP(F194,'TFS Details'!F:F,'TFS Details'!E:E)</f>
        <v>4392134</v>
      </c>
      <c r="D194" s="19" t="s">
        <v>48</v>
      </c>
      <c r="E194" s="139" t="s">
        <v>700</v>
      </c>
      <c r="F194" s="72">
        <v>4390192</v>
      </c>
      <c r="G194" s="169" t="s">
        <v>316</v>
      </c>
      <c r="H194" s="169" t="s">
        <v>321</v>
      </c>
      <c r="I194" s="52"/>
      <c r="J194" s="250" t="s">
        <v>18</v>
      </c>
      <c r="K194" s="16" t="s">
        <v>699</v>
      </c>
      <c r="L194" s="234" t="s">
        <v>30</v>
      </c>
      <c r="M194" s="17"/>
      <c r="N194" s="78"/>
      <c r="P194" s="102"/>
      <c r="Q194" s="102"/>
      <c r="R194" s="102"/>
      <c r="S194" s="102"/>
      <c r="V194" s="17" t="s">
        <v>204</v>
      </c>
      <c r="W194" s="17" t="s">
        <v>204</v>
      </c>
      <c r="X194" s="17" t="s">
        <v>204</v>
      </c>
      <c r="Y194" s="17" t="s">
        <v>216</v>
      </c>
      <c r="Z194" s="102">
        <v>18</v>
      </c>
      <c r="AA194" s="102">
        <v>13</v>
      </c>
      <c r="AB194" s="102">
        <v>6</v>
      </c>
      <c r="AC194" s="102">
        <v>19</v>
      </c>
      <c r="AD194" s="33">
        <v>0.7</v>
      </c>
      <c r="AE194" s="33">
        <v>0.8</v>
      </c>
      <c r="AF194" s="25" t="str">
        <f>_xlfn.XLOOKUP(F194,'TFS Details'!F:F,'TFS Details'!H:H)</f>
        <v>PT In Test</v>
      </c>
      <c r="AG194" s="42">
        <v>10</v>
      </c>
      <c r="AH194" s="42">
        <v>1</v>
      </c>
      <c r="AI194" s="42">
        <v>0</v>
      </c>
      <c r="AJ194" s="42">
        <v>8</v>
      </c>
      <c r="AK194" s="38">
        <f>SUM(AG194:AJ194)</f>
        <v>19</v>
      </c>
      <c r="AL194" s="39">
        <f t="shared" si="23"/>
        <v>0.57894736842105265</v>
      </c>
      <c r="AM194" s="39">
        <f t="shared" si="24"/>
        <v>0.90909090909090906</v>
      </c>
      <c r="AN194" s="25" t="s">
        <v>701</v>
      </c>
      <c r="AO194" s="25" t="str">
        <f>_xlfn.XLOOKUP(F194,'TFS Details'!F:F,'TFS Details'!I:I)</f>
        <v>CodingCrusaders</v>
      </c>
      <c r="AP194" s="25" t="str">
        <f>_xlfn.XLOOKUP(AO194,'TFS Details'!I:I,'TFS Details'!AE:AE)</f>
        <v>K.devaraj</v>
      </c>
    </row>
    <row r="195" spans="1:42">
      <c r="A195" s="24" t="str">
        <f>_xlfn.XLOOKUP(F195,'TFS Details'!F:F,'TFS Details'!D:D)</f>
        <v>AMS, BPMS</v>
      </c>
      <c r="B195" s="24" t="str">
        <f>_xlfn.XLOOKUP(F195,'TFS Details'!F:F,'TFS Details'!A:A)</f>
        <v>MMD: Request to include LCR and Payroll without seat charges on the KDA data</v>
      </c>
      <c r="C195" s="46">
        <f>_xlfn.XLOOKUP(F195,'TFS Details'!F:F,'TFS Details'!E:E)</f>
        <v>4441811</v>
      </c>
      <c r="D195" s="19" t="s">
        <v>48</v>
      </c>
      <c r="E195" s="139" t="s">
        <v>702</v>
      </c>
      <c r="F195" s="72">
        <v>4434927</v>
      </c>
      <c r="G195" s="169" t="s">
        <v>297</v>
      </c>
      <c r="H195" s="169" t="s">
        <v>316</v>
      </c>
      <c r="I195" s="52"/>
      <c r="J195" s="250" t="s">
        <v>18</v>
      </c>
      <c r="K195" s="16" t="s">
        <v>703</v>
      </c>
      <c r="L195" s="234" t="s">
        <v>77</v>
      </c>
      <c r="M195" s="17"/>
      <c r="N195" s="78"/>
      <c r="P195" s="102"/>
      <c r="Q195" s="102"/>
      <c r="R195" s="102"/>
      <c r="S195" s="102"/>
      <c r="V195" s="17" t="s">
        <v>204</v>
      </c>
      <c r="W195" s="17" t="s">
        <v>204</v>
      </c>
      <c r="X195" s="17" t="s">
        <v>204</v>
      </c>
      <c r="Y195" s="17" t="s">
        <v>197</v>
      </c>
      <c r="Z195" s="102">
        <v>22</v>
      </c>
      <c r="AA195" s="102">
        <v>22</v>
      </c>
      <c r="AB195" s="102">
        <v>0</v>
      </c>
      <c r="AC195" s="102"/>
      <c r="AD195" s="33"/>
      <c r="AE195" s="33"/>
      <c r="AF195" s="25" t="str">
        <f>_xlfn.XLOOKUP(F195,'TFS Details'!F:F,'TFS Details'!H:H)</f>
        <v>PT In Test</v>
      </c>
      <c r="AG195" s="42">
        <v>0</v>
      </c>
      <c r="AH195" s="42">
        <v>0</v>
      </c>
      <c r="AI195" s="42">
        <v>0</v>
      </c>
      <c r="AJ195" s="42">
        <v>44</v>
      </c>
      <c r="AK195" s="38">
        <f t="shared" si="22"/>
        <v>44</v>
      </c>
      <c r="AL195" s="39">
        <f t="shared" si="23"/>
        <v>0</v>
      </c>
      <c r="AM195" s="39">
        <f t="shared" si="24"/>
        <v>0</v>
      </c>
      <c r="AN195" s="25"/>
      <c r="AO195" s="25" t="str">
        <f>_xlfn.XLOOKUP(F195,'TFS Details'!F:F,'TFS Details'!I:I)</f>
        <v>Simulators</v>
      </c>
      <c r="AP195" s="25" t="str">
        <f>_xlfn.XLOOKUP(AO195,'TFS Details'!I:I,'TFS Details'!AE:AE)</f>
        <v>K.devaraj</v>
      </c>
    </row>
    <row r="196" spans="1:42">
      <c r="A196" s="24" t="str">
        <f>_xlfn.XLOOKUP(F196,'TFS Details'!F:F,'TFS Details'!D:D)</f>
        <v>IMS</v>
      </c>
      <c r="B196" s="24" t="str">
        <f>_xlfn.XLOOKUP(F196,'TFS Details'!F:F,'TFS Details'!A:A)</f>
        <v>MMD: Request to include LCR and Payroll without seat charges on the KDA data</v>
      </c>
      <c r="C196" s="46">
        <f>_xlfn.XLOOKUP(F196,'TFS Details'!F:F,'TFS Details'!E:E)</f>
        <v>4441811</v>
      </c>
      <c r="D196" s="19" t="s">
        <v>48</v>
      </c>
      <c r="E196" s="139" t="s">
        <v>704</v>
      </c>
      <c r="F196" s="72">
        <v>4437640</v>
      </c>
      <c r="G196" s="169" t="s">
        <v>309</v>
      </c>
      <c r="H196" s="169" t="s">
        <v>696</v>
      </c>
      <c r="I196" s="52"/>
      <c r="J196" s="250" t="s">
        <v>18</v>
      </c>
      <c r="K196" s="16" t="s">
        <v>705</v>
      </c>
      <c r="L196" s="234" t="s">
        <v>77</v>
      </c>
      <c r="M196" s="17" t="s">
        <v>311</v>
      </c>
      <c r="N196" s="78"/>
      <c r="P196" s="102"/>
      <c r="Q196" s="102"/>
      <c r="R196" s="102"/>
      <c r="S196" s="102"/>
      <c r="V196" s="17" t="s">
        <v>204</v>
      </c>
      <c r="W196" s="17" t="s">
        <v>204</v>
      </c>
      <c r="X196" s="17" t="s">
        <v>204</v>
      </c>
      <c r="Y196" s="17" t="s">
        <v>197</v>
      </c>
      <c r="Z196" s="102">
        <v>17</v>
      </c>
      <c r="AA196" s="102">
        <v>17</v>
      </c>
      <c r="AB196" s="102">
        <v>0</v>
      </c>
      <c r="AC196" s="102">
        <v>17</v>
      </c>
      <c r="AD196" s="33">
        <v>1</v>
      </c>
      <c r="AE196" s="33">
        <v>1</v>
      </c>
      <c r="AF196" s="25" t="str">
        <f>_xlfn.XLOOKUP(F196,'TFS Details'!F:F,'TFS Details'!H:H)</f>
        <v>PT In Test</v>
      </c>
      <c r="AG196" s="42">
        <v>0</v>
      </c>
      <c r="AH196" s="42">
        <v>0</v>
      </c>
      <c r="AI196" s="42">
        <v>0</v>
      </c>
      <c r="AJ196" s="42">
        <v>17</v>
      </c>
      <c r="AK196" s="38">
        <f t="shared" si="22"/>
        <v>17</v>
      </c>
      <c r="AL196" s="39">
        <f t="shared" si="23"/>
        <v>0</v>
      </c>
      <c r="AM196" s="39">
        <f t="shared" si="24"/>
        <v>0</v>
      </c>
      <c r="AN196" s="25"/>
      <c r="AO196" s="25" t="str">
        <f>_xlfn.XLOOKUP(F196,'TFS Details'!F:F,'TFS Details'!I:I)</f>
        <v>Simulators</v>
      </c>
      <c r="AP196" s="25" t="str">
        <f>_xlfn.XLOOKUP(AO196,'TFS Details'!I:I,'TFS Details'!AE:AE)</f>
        <v>K.devaraj</v>
      </c>
    </row>
    <row r="197" spans="1:42">
      <c r="A197" s="24" t="str">
        <f>_xlfn.XLOOKUP(F197,'TFS Details'!F:F,'TFS Details'!D:D)</f>
        <v>AMS OCP</v>
      </c>
      <c r="B197" s="24" t="str">
        <f>_xlfn.XLOOKUP(F197,'TFS Details'!F:F,'TFS Details'!A:A)</f>
        <v>AMS-OCP: AMS - Cluster based KDA Phase 1 - OCP KDA UI and Excel reports</v>
      </c>
      <c r="C197" s="46">
        <f>_xlfn.XLOOKUP(F197,'TFS Details'!F:F,'TFS Details'!E:E)</f>
        <v>4438595</v>
      </c>
      <c r="D197" s="19" t="s">
        <v>48</v>
      </c>
      <c r="E197" s="139" t="s">
        <v>706</v>
      </c>
      <c r="F197" s="72">
        <v>4438596</v>
      </c>
      <c r="G197" s="169" t="s">
        <v>297</v>
      </c>
      <c r="H197" s="169" t="s">
        <v>296</v>
      </c>
      <c r="I197" s="52" t="s">
        <v>707</v>
      </c>
      <c r="J197" s="250" t="s">
        <v>20</v>
      </c>
      <c r="K197" s="16" t="s">
        <v>708</v>
      </c>
      <c r="L197" s="234" t="s">
        <v>30</v>
      </c>
      <c r="M197" s="17"/>
      <c r="N197" s="78"/>
      <c r="O197" s="273">
        <v>0.1</v>
      </c>
      <c r="P197" s="102"/>
      <c r="Q197" s="102"/>
      <c r="R197" s="102"/>
      <c r="S197" s="102"/>
      <c r="V197" s="17" t="s">
        <v>204</v>
      </c>
      <c r="W197" s="17" t="s">
        <v>204</v>
      </c>
      <c r="X197" s="17" t="s">
        <v>204</v>
      </c>
      <c r="Y197" s="17" t="s">
        <v>197</v>
      </c>
      <c r="Z197" s="102">
        <v>40</v>
      </c>
      <c r="AA197" s="102">
        <v>39</v>
      </c>
      <c r="AB197" s="102">
        <v>0</v>
      </c>
      <c r="AC197" s="102">
        <v>39</v>
      </c>
      <c r="AD197" s="33">
        <v>1</v>
      </c>
      <c r="AE197" s="33">
        <v>1</v>
      </c>
      <c r="AF197" s="25" t="str">
        <f>_xlfn.XLOOKUP(F197,'TFS Details'!F:F,'TFS Details'!H:H)</f>
        <v>Active</v>
      </c>
      <c r="AG197" s="42">
        <v>0</v>
      </c>
      <c r="AH197" s="42">
        <v>0</v>
      </c>
      <c r="AI197" s="42">
        <v>0</v>
      </c>
      <c r="AJ197" s="42">
        <v>39</v>
      </c>
      <c r="AK197" s="38">
        <f t="shared" si="22"/>
        <v>39</v>
      </c>
      <c r="AL197" s="39">
        <f t="shared" si="23"/>
        <v>0</v>
      </c>
      <c r="AM197" s="39">
        <f t="shared" si="24"/>
        <v>0</v>
      </c>
      <c r="AN197" s="75"/>
      <c r="AO197" s="25" t="str">
        <f>_xlfn.XLOOKUP(F197,'TFS Details'!F:F,'TFS Details'!I:I)</f>
        <v>CreativeCoders</v>
      </c>
      <c r="AP197" s="25" t="str">
        <f>_xlfn.XLOOKUP(AO197,'TFS Details'!I:I,'TFS Details'!AE:AE)</f>
        <v>K.devaraj</v>
      </c>
    </row>
    <row r="198" spans="1:42">
      <c r="A198" s="24" t="str">
        <f>_xlfn.XLOOKUP(F198,'TFS Details'!F:F,'TFS Details'!D:D)</f>
        <v xml:space="preserve">AMS Solution Configuration Agent </v>
      </c>
      <c r="B198" s="24" t="str">
        <f>_xlfn.XLOOKUP(F198,'TFS Details'!F:F,'TFS Details'!A:A)</f>
        <v>AMS SCA MVP3 May 9th Release Scope</v>
      </c>
      <c r="C198" s="46">
        <f>_xlfn.XLOOKUP(F198,'TFS Details'!F:F,'TFS Details'!E:E)</f>
        <v>4439786</v>
      </c>
      <c r="D198" s="19" t="s">
        <v>48</v>
      </c>
      <c r="E198" s="139" t="s">
        <v>709</v>
      </c>
      <c r="F198" s="72">
        <v>4439737</v>
      </c>
      <c r="G198" s="169" t="s">
        <v>710</v>
      </c>
      <c r="H198" s="169" t="s">
        <v>711</v>
      </c>
      <c r="I198" s="52"/>
      <c r="J198" s="250" t="s">
        <v>18</v>
      </c>
      <c r="K198" s="16" t="s">
        <v>712</v>
      </c>
      <c r="L198" s="234" t="s">
        <v>69</v>
      </c>
      <c r="M198" s="17"/>
      <c r="N198" s="78"/>
      <c r="P198" s="102"/>
      <c r="Q198" s="102"/>
      <c r="R198" s="102"/>
      <c r="S198" s="102"/>
      <c r="V198" s="17" t="s">
        <v>204</v>
      </c>
      <c r="W198" s="17" t="s">
        <v>204</v>
      </c>
      <c r="X198" s="17" t="s">
        <v>197</v>
      </c>
      <c r="Y198" s="17" t="s">
        <v>197</v>
      </c>
      <c r="Z198" s="102">
        <v>7</v>
      </c>
      <c r="AA198" s="102">
        <v>1</v>
      </c>
      <c r="AB198" s="102">
        <v>8</v>
      </c>
      <c r="AC198" s="102">
        <v>9</v>
      </c>
      <c r="AD198" s="33">
        <v>0.14000000000000001</v>
      </c>
      <c r="AE198" s="33">
        <v>1</v>
      </c>
      <c r="AF198" s="25" t="str">
        <f>_xlfn.XLOOKUP(F198,'TFS Details'!F:F,'TFS Details'!H:H)</f>
        <v>Ready to Deploy</v>
      </c>
      <c r="AG198" s="42">
        <v>0</v>
      </c>
      <c r="AH198" s="42">
        <v>0</v>
      </c>
      <c r="AI198" s="42">
        <v>0</v>
      </c>
      <c r="AJ198" s="42">
        <v>9</v>
      </c>
      <c r="AK198" s="38">
        <f t="shared" si="22"/>
        <v>9</v>
      </c>
      <c r="AL198" s="39">
        <f t="shared" si="23"/>
        <v>0</v>
      </c>
      <c r="AM198" s="39">
        <f t="shared" si="24"/>
        <v>0</v>
      </c>
      <c r="AN198" s="25"/>
      <c r="AO198" s="25" t="str">
        <f>_xlfn.XLOOKUP(F198,'TFS Details'!F:F,'TFS Details'!I:I)</f>
        <v>GEN AI - Solution Super Agent</v>
      </c>
      <c r="AP198" s="25" t="str">
        <f>_xlfn.XLOOKUP(AO198,'TFS Details'!I:I,'TFS Details'!AE:AE)</f>
        <v>pandidurai.ks</v>
      </c>
    </row>
    <row r="199" spans="1:42">
      <c r="A199" s="24" t="str">
        <f>_xlfn.XLOOKUP(F199,'TFS Details'!F:F,'TFS Details'!D:D)</f>
        <v>IMS MUlti tower</v>
      </c>
      <c r="B199" s="24" t="str">
        <f>_xlfn.XLOOKUP(F199,'TFS Details'!F:F,'TFS Details'!A:A)</f>
        <v>IMS Multi Tower pricing (IMS+SI+CON)</v>
      </c>
      <c r="C199" s="46">
        <f>_xlfn.XLOOKUP(F199,'TFS Details'!F:F,'TFS Details'!E:E)</f>
        <v>4439712</v>
      </c>
      <c r="D199" s="19" t="s">
        <v>48</v>
      </c>
      <c r="E199" s="139" t="s">
        <v>713</v>
      </c>
      <c r="F199" s="72">
        <v>4439746</v>
      </c>
      <c r="G199" s="169" t="s">
        <v>321</v>
      </c>
      <c r="H199" s="169" t="s">
        <v>316</v>
      </c>
      <c r="I199" s="52" t="s">
        <v>714</v>
      </c>
      <c r="J199" s="250" t="s">
        <v>20</v>
      </c>
      <c r="K199" s="16" t="s">
        <v>715</v>
      </c>
      <c r="L199" s="234" t="s">
        <v>30</v>
      </c>
      <c r="M199" s="17"/>
      <c r="N199" s="78"/>
      <c r="O199" s="273">
        <v>0.1</v>
      </c>
      <c r="P199" s="102"/>
      <c r="Q199" s="102"/>
      <c r="R199" s="102"/>
      <c r="S199" s="102"/>
      <c r="V199" s="17" t="s">
        <v>204</v>
      </c>
      <c r="W199" s="17" t="s">
        <v>204</v>
      </c>
      <c r="X199" s="17" t="s">
        <v>197</v>
      </c>
      <c r="Y199" s="17" t="s">
        <v>197</v>
      </c>
      <c r="Z199" s="102">
        <v>64</v>
      </c>
      <c r="AA199" s="102">
        <v>57</v>
      </c>
      <c r="AB199" s="102">
        <v>0</v>
      </c>
      <c r="AC199" s="102">
        <v>57</v>
      </c>
      <c r="AD199" s="33">
        <v>1</v>
      </c>
      <c r="AE199" s="33">
        <v>1</v>
      </c>
      <c r="AF199" s="25" t="str">
        <f>_xlfn.XLOOKUP(F199,'TFS Details'!F:F,'TFS Details'!H:H)</f>
        <v>Active</v>
      </c>
      <c r="AG199" s="42">
        <v>0</v>
      </c>
      <c r="AH199" s="42">
        <v>0</v>
      </c>
      <c r="AI199" s="42">
        <v>0</v>
      </c>
      <c r="AJ199" s="42">
        <v>57</v>
      </c>
      <c r="AK199" s="38">
        <f>SUM(AG199:AJ199)</f>
        <v>57</v>
      </c>
      <c r="AL199" s="39">
        <f t="shared" si="23"/>
        <v>0</v>
      </c>
      <c r="AM199" s="39">
        <f t="shared" si="24"/>
        <v>0</v>
      </c>
      <c r="AN199" s="25"/>
      <c r="AO199" s="25" t="str">
        <f>_xlfn.XLOOKUP(F199,'TFS Details'!F:F,'TFS Details'!I:I)</f>
        <v>CodingCrusaders</v>
      </c>
      <c r="AP199" s="25" t="str">
        <f>_xlfn.XLOOKUP(AO199,'TFS Details'!I:I,'TFS Details'!AE:AE)</f>
        <v>K.devaraj</v>
      </c>
    </row>
    <row r="200" spans="1:42">
      <c r="A200" s="24" t="str">
        <f>_xlfn.XLOOKUP(F200,'TFS Details'!F:F,'TFS Details'!D:D)</f>
        <v>IMS Multi Tower</v>
      </c>
      <c r="B200" s="24" t="str">
        <f>_xlfn.XLOOKUP(F200,'TFS Details'!F:F,'TFS Details'!A:A)</f>
        <v>IMS Multi Tower pricing (IMS+SI+CON)</v>
      </c>
      <c r="C200" s="46">
        <f>_xlfn.XLOOKUP(F200,'TFS Details'!F:F,'TFS Details'!E:E)</f>
        <v>4439712</v>
      </c>
      <c r="D200" s="19" t="s">
        <v>48</v>
      </c>
      <c r="E200" s="139" t="s">
        <v>716</v>
      </c>
      <c r="F200" s="72">
        <v>4439806</v>
      </c>
      <c r="G200" s="169" t="s">
        <v>321</v>
      </c>
      <c r="H200" s="169" t="s">
        <v>316</v>
      </c>
      <c r="I200" s="52" t="s">
        <v>714</v>
      </c>
      <c r="J200" s="250" t="s">
        <v>20</v>
      </c>
      <c r="K200" s="16" t="s">
        <v>715</v>
      </c>
      <c r="L200" s="234" t="s">
        <v>30</v>
      </c>
      <c r="M200" s="17"/>
      <c r="N200" s="78"/>
      <c r="O200" s="273">
        <v>0.15</v>
      </c>
      <c r="P200" s="102"/>
      <c r="Q200" s="102"/>
      <c r="R200" s="102"/>
      <c r="S200" s="102"/>
      <c r="V200" s="17" t="s">
        <v>204</v>
      </c>
      <c r="W200" s="17" t="s">
        <v>204</v>
      </c>
      <c r="X200" s="17" t="s">
        <v>197</v>
      </c>
      <c r="Y200" s="17" t="s">
        <v>197</v>
      </c>
      <c r="Z200" s="102">
        <v>53</v>
      </c>
      <c r="AA200" s="102">
        <v>51</v>
      </c>
      <c r="AB200" s="102">
        <v>0</v>
      </c>
      <c r="AC200" s="102">
        <v>53</v>
      </c>
      <c r="AD200" s="33">
        <v>1</v>
      </c>
      <c r="AE200" s="33">
        <v>1</v>
      </c>
      <c r="AF200" s="25" t="str">
        <f>_xlfn.XLOOKUP(F200,'TFS Details'!F:F,'TFS Details'!H:H)</f>
        <v>Active</v>
      </c>
      <c r="AG200" s="42">
        <v>0</v>
      </c>
      <c r="AH200" s="42">
        <v>0</v>
      </c>
      <c r="AI200" s="42">
        <v>0</v>
      </c>
      <c r="AJ200" s="42">
        <v>53</v>
      </c>
      <c r="AK200" s="38">
        <f>SUM(AG200:AJ200)</f>
        <v>53</v>
      </c>
      <c r="AL200" s="39">
        <f t="shared" si="23"/>
        <v>0</v>
      </c>
      <c r="AM200" s="39">
        <f t="shared" si="24"/>
        <v>0</v>
      </c>
      <c r="AN200" s="25"/>
      <c r="AO200" s="25" t="str">
        <f>_xlfn.XLOOKUP(F200,'TFS Details'!F:F,'TFS Details'!I:I)</f>
        <v>CodingCrusaders</v>
      </c>
      <c r="AP200" s="25" t="str">
        <f>_xlfn.XLOOKUP(AO200,'TFS Details'!I:I,'TFS Details'!AE:AE)</f>
        <v>K.devaraj</v>
      </c>
    </row>
    <row r="201" spans="1:42">
      <c r="A201" s="24" t="str">
        <f>_xlfn.XLOOKUP(F201,'TFS Details'!F:F,'TFS Details'!D:D)</f>
        <v>IMS Multi tower pricing</v>
      </c>
      <c r="B201" s="24" t="str">
        <f>_xlfn.XLOOKUP(F201,'TFS Details'!F:F,'TFS Details'!A:A)</f>
        <v>IMS Multi Tower pricing (IMS+SI+CON)</v>
      </c>
      <c r="C201" s="46">
        <f>_xlfn.XLOOKUP(F201,'TFS Details'!F:F,'TFS Details'!E:E)</f>
        <v>4439712</v>
      </c>
      <c r="D201" s="19" t="s">
        <v>48</v>
      </c>
      <c r="E201" s="139" t="s">
        <v>320</v>
      </c>
      <c r="F201" s="72">
        <v>4439840</v>
      </c>
      <c r="G201" s="169" t="s">
        <v>321</v>
      </c>
      <c r="H201" s="169" t="s">
        <v>316</v>
      </c>
      <c r="I201" s="52" t="s">
        <v>108</v>
      </c>
      <c r="J201" s="250" t="s">
        <v>20</v>
      </c>
      <c r="K201" s="16" t="s">
        <v>322</v>
      </c>
      <c r="L201" s="234" t="s">
        <v>196</v>
      </c>
      <c r="M201" s="17"/>
      <c r="N201" s="78"/>
      <c r="O201" s="273">
        <v>0.1</v>
      </c>
      <c r="P201" s="102"/>
      <c r="Q201" s="102"/>
      <c r="R201" s="102"/>
      <c r="S201" s="102"/>
      <c r="V201" s="17" t="s">
        <v>204</v>
      </c>
      <c r="W201" s="17" t="s">
        <v>204</v>
      </c>
      <c r="X201" s="17" t="s">
        <v>197</v>
      </c>
      <c r="Y201" s="17" t="s">
        <v>197</v>
      </c>
      <c r="Z201" s="102">
        <v>54</v>
      </c>
      <c r="AA201" s="102">
        <v>52</v>
      </c>
      <c r="AB201" s="102">
        <v>0</v>
      </c>
      <c r="AC201" s="102">
        <v>52</v>
      </c>
      <c r="AD201" s="33">
        <v>1</v>
      </c>
      <c r="AE201" s="33">
        <v>1</v>
      </c>
      <c r="AF201" s="25" t="str">
        <f>_xlfn.XLOOKUP(F201,'TFS Details'!F:F,'TFS Details'!H:H)</f>
        <v>Active</v>
      </c>
      <c r="AG201" s="42">
        <v>0</v>
      </c>
      <c r="AH201" s="42">
        <v>0</v>
      </c>
      <c r="AI201" s="42">
        <v>0</v>
      </c>
      <c r="AJ201" s="42">
        <v>52</v>
      </c>
      <c r="AK201" s="38">
        <f t="shared" si="22"/>
        <v>52</v>
      </c>
      <c r="AL201" s="39">
        <f t="shared" si="23"/>
        <v>0</v>
      </c>
      <c r="AM201" s="39">
        <f t="shared" si="24"/>
        <v>0</v>
      </c>
      <c r="AN201" s="25"/>
      <c r="AO201" s="25" t="str">
        <f>_xlfn.XLOOKUP(F201,'TFS Details'!F:F,'TFS Details'!I:I)</f>
        <v>CodingCrusaders</v>
      </c>
      <c r="AP201" s="25" t="str">
        <f>_xlfn.XLOOKUP(AO201,'TFS Details'!I:I,'TFS Details'!AE:AE)</f>
        <v>K.devaraj</v>
      </c>
    </row>
    <row r="202" spans="1:42">
      <c r="A202" s="24" t="str">
        <f>_xlfn.XLOOKUP(F202,'TFS Details'!F:F,'TFS Details'!D:D)</f>
        <v>BPMS DCTA</v>
      </c>
      <c r="B202" s="24" t="str">
        <f>_xlfn.XLOOKUP(F202,'TFS Details'!F:F,'TFS Details'!A:A)</f>
        <v>BPMS Negotiation Contingency</v>
      </c>
      <c r="C202" s="46">
        <f>_xlfn.XLOOKUP(F202,'TFS Details'!F:F,'TFS Details'!E:E)</f>
        <v>4446028</v>
      </c>
      <c r="D202" s="19" t="s">
        <v>48</v>
      </c>
      <c r="E202" s="139" t="s">
        <v>315</v>
      </c>
      <c r="F202" s="72">
        <v>4440929</v>
      </c>
      <c r="G202" s="169" t="s">
        <v>316</v>
      </c>
      <c r="H202" s="169" t="s">
        <v>297</v>
      </c>
      <c r="I202" s="52" t="s">
        <v>707</v>
      </c>
      <c r="J202" s="250" t="s">
        <v>20</v>
      </c>
      <c r="K202" s="107" t="s">
        <v>304</v>
      </c>
      <c r="L202" s="234" t="s">
        <v>196</v>
      </c>
      <c r="M202" s="66"/>
      <c r="N202" s="78"/>
      <c r="O202" s="273">
        <v>0.05</v>
      </c>
      <c r="P202" s="102"/>
      <c r="Q202" s="102"/>
      <c r="R202" s="102"/>
      <c r="S202" s="102"/>
      <c r="V202" s="17" t="s">
        <v>204</v>
      </c>
      <c r="W202" s="17" t="s">
        <v>204</v>
      </c>
      <c r="X202" s="17" t="s">
        <v>204</v>
      </c>
      <c r="Y202" s="17" t="s">
        <v>216</v>
      </c>
      <c r="Z202" s="102">
        <v>20</v>
      </c>
      <c r="AA202" s="102">
        <v>20</v>
      </c>
      <c r="AB202" s="102">
        <v>0</v>
      </c>
      <c r="AC202" s="102">
        <v>20</v>
      </c>
      <c r="AD202" s="33">
        <v>1</v>
      </c>
      <c r="AE202" s="33">
        <v>1</v>
      </c>
      <c r="AF202" s="25" t="str">
        <f>_xlfn.XLOOKUP(F202,'TFS Details'!F:F,'TFS Details'!H:H)</f>
        <v>UAT In Test</v>
      </c>
      <c r="AG202" s="42">
        <v>17</v>
      </c>
      <c r="AH202" s="42">
        <v>3</v>
      </c>
      <c r="AI202" s="42">
        <v>0</v>
      </c>
      <c r="AJ202" s="42">
        <v>0</v>
      </c>
      <c r="AK202" s="38">
        <f>SUM(AG202:AJ202)</f>
        <v>20</v>
      </c>
      <c r="AL202" s="39">
        <f t="shared" si="23"/>
        <v>1</v>
      </c>
      <c r="AM202" s="39">
        <f t="shared" si="24"/>
        <v>0.85</v>
      </c>
      <c r="AN202" s="25" t="s">
        <v>717</v>
      </c>
      <c r="AO202" s="25" t="str">
        <f>_xlfn.XLOOKUP(F202,'TFS Details'!F:F,'TFS Details'!I:I)</f>
        <v>Simulators</v>
      </c>
      <c r="AP202" s="25" t="str">
        <f>_xlfn.XLOOKUP(AO202,'TFS Details'!I:I,'TFS Details'!AE:AE)</f>
        <v>K.devaraj</v>
      </c>
    </row>
    <row r="203" spans="1:42">
      <c r="A203" s="24" t="str">
        <f>_xlfn.XLOOKUP(F203,'TFS Details'!F:F,'TFS Details'!D:D)</f>
        <v xml:space="preserve">AMS Solution Configuration Agent </v>
      </c>
      <c r="B203" s="24" t="str">
        <f>_xlfn.XLOOKUP(F203,'TFS Details'!F:F,'TFS Details'!A:A)</f>
        <v>AMS SCA MVP3 May 9th Release Scope</v>
      </c>
      <c r="C203" s="46">
        <f>_xlfn.XLOOKUP(F203,'TFS Details'!F:F,'TFS Details'!E:E)</f>
        <v>4439786</v>
      </c>
      <c r="D203" s="19" t="s">
        <v>48</v>
      </c>
      <c r="E203" s="139" t="s">
        <v>718</v>
      </c>
      <c r="F203" s="72">
        <v>4441007</v>
      </c>
      <c r="G203" s="113" t="s">
        <v>719</v>
      </c>
      <c r="H203" s="113" t="s">
        <v>720</v>
      </c>
      <c r="I203" s="52"/>
      <c r="J203" s="250" t="s">
        <v>18</v>
      </c>
      <c r="K203" s="16" t="s">
        <v>712</v>
      </c>
      <c r="L203" s="234" t="s">
        <v>69</v>
      </c>
      <c r="M203" s="66"/>
      <c r="N203" s="78"/>
      <c r="S203" s="102"/>
      <c r="V203" s="17" t="s">
        <v>204</v>
      </c>
      <c r="W203" s="17" t="s">
        <v>216</v>
      </c>
      <c r="X203" s="17" t="s">
        <v>197</v>
      </c>
      <c r="Y203" s="17" t="s">
        <v>183</v>
      </c>
      <c r="Z203" s="102">
        <v>5</v>
      </c>
      <c r="AA203" s="102">
        <v>2</v>
      </c>
      <c r="AB203" s="102">
        <v>5</v>
      </c>
      <c r="AC203" s="102">
        <v>7</v>
      </c>
      <c r="AD203" s="33">
        <v>0.4</v>
      </c>
      <c r="AE203" s="33">
        <v>0.71430000000000005</v>
      </c>
      <c r="AF203" s="25" t="str">
        <f>_xlfn.XLOOKUP(F203,'TFS Details'!F:F,'TFS Details'!H:H)</f>
        <v>Ready for Test</v>
      </c>
      <c r="AG203" s="42">
        <v>2</v>
      </c>
      <c r="AH203" s="42">
        <v>0</v>
      </c>
      <c r="AI203" s="42">
        <v>0</v>
      </c>
      <c r="AJ203" s="42">
        <v>5</v>
      </c>
      <c r="AK203" s="38">
        <f t="shared" si="22"/>
        <v>7</v>
      </c>
      <c r="AL203" s="39">
        <f t="shared" si="23"/>
        <v>0.2857142857142857</v>
      </c>
      <c r="AM203" s="39">
        <f t="shared" si="24"/>
        <v>1</v>
      </c>
      <c r="AN203" s="25" t="s">
        <v>721</v>
      </c>
      <c r="AO203" s="25" t="str">
        <f>_xlfn.XLOOKUP(F203,'TFS Details'!F:F,'TFS Details'!I:I)</f>
        <v>GEN AI - Solution Super Agent</v>
      </c>
      <c r="AP203" s="25" t="str">
        <f>_xlfn.XLOOKUP(AO203,'TFS Details'!I:I,'TFS Details'!AE:AE)</f>
        <v>pandidurai.ks</v>
      </c>
    </row>
    <row r="204" spans="1:42">
      <c r="A204" s="24" t="str">
        <f>_xlfn.XLOOKUP(F204,'TFS Details'!F:F,'TFS Details'!D:D)</f>
        <v>AMS Solution Configuration Agent</v>
      </c>
      <c r="B204" s="24" t="str">
        <f>_xlfn.XLOOKUP(F204,'TFS Details'!F:F,'TFS Details'!A:A)</f>
        <v>AMS SCA MVP3 May 9th Release Scope</v>
      </c>
      <c r="C204" s="46">
        <f>_xlfn.XLOOKUP(F204,'TFS Details'!F:F,'TFS Details'!E:E)</f>
        <v>4439786</v>
      </c>
      <c r="D204" s="19" t="s">
        <v>48</v>
      </c>
      <c r="E204" s="139" t="s">
        <v>722</v>
      </c>
      <c r="F204" s="72">
        <v>4442651</v>
      </c>
      <c r="G204" s="113" t="s">
        <v>711</v>
      </c>
      <c r="H204" s="113" t="s">
        <v>710</v>
      </c>
      <c r="I204" s="52"/>
      <c r="J204" s="250" t="s">
        <v>18</v>
      </c>
      <c r="K204" s="16" t="s">
        <v>712</v>
      </c>
      <c r="L204" s="234" t="s">
        <v>69</v>
      </c>
      <c r="M204" s="17"/>
      <c r="N204" s="78"/>
      <c r="P204" s="102"/>
      <c r="Q204" s="102"/>
      <c r="R204" s="102"/>
      <c r="S204" s="102"/>
      <c r="V204" s="17" t="s">
        <v>204</v>
      </c>
      <c r="W204" s="17" t="s">
        <v>204</v>
      </c>
      <c r="X204" s="17" t="s">
        <v>197</v>
      </c>
      <c r="Y204" s="17" t="s">
        <v>197</v>
      </c>
      <c r="Z204" s="102">
        <v>10</v>
      </c>
      <c r="AA204" s="102">
        <v>10</v>
      </c>
      <c r="AB204" s="102">
        <v>4</v>
      </c>
      <c r="AC204" s="102">
        <v>14</v>
      </c>
      <c r="AD204" s="33">
        <v>0.76</v>
      </c>
      <c r="AE204" s="33">
        <v>1</v>
      </c>
      <c r="AF204" s="25" t="str">
        <f>_xlfn.XLOOKUP(F204,'TFS Details'!F:F,'TFS Details'!H:H)</f>
        <v>New</v>
      </c>
      <c r="AG204" s="42">
        <v>0</v>
      </c>
      <c r="AH204" s="42">
        <v>0</v>
      </c>
      <c r="AI204" s="42">
        <v>0</v>
      </c>
      <c r="AJ204" s="42">
        <v>14</v>
      </c>
      <c r="AK204" s="38">
        <f>SUM(AG204:AJ204)</f>
        <v>14</v>
      </c>
      <c r="AL204" s="39">
        <f t="shared" si="23"/>
        <v>0</v>
      </c>
      <c r="AM204" s="39">
        <f t="shared" si="24"/>
        <v>0</v>
      </c>
      <c r="AN204" s="25"/>
      <c r="AO204" s="25" t="str">
        <f>_xlfn.XLOOKUP(F204,'TFS Details'!F:F,'TFS Details'!I:I)</f>
        <v>agentcrafters</v>
      </c>
      <c r="AP204" s="25" t="str">
        <f>_xlfn.XLOOKUP(AO204,'TFS Details'!I:I,'TFS Details'!AE:AE)</f>
        <v>shwetha.shriyan</v>
      </c>
    </row>
    <row r="205" spans="1:42">
      <c r="A205" s="24" t="str">
        <f>_xlfn.XLOOKUP(F205,'TFS Details'!F:F,'TFS Details'!D:D)</f>
        <v xml:space="preserve">AMS </v>
      </c>
      <c r="B205" s="24" t="str">
        <f>_xlfn.XLOOKUP(F205,'TFS Details'!F:F,'TFS Details'!A:A)</f>
        <v>AMS: Increasing Staffing records in LBS UI for OU report</v>
      </c>
      <c r="C205" s="46">
        <f>_xlfn.XLOOKUP(F205,'TFS Details'!F:F,'TFS Details'!E:E)</f>
        <v>4443033</v>
      </c>
      <c r="D205" s="19" t="s">
        <v>48</v>
      </c>
      <c r="E205" s="139" t="s">
        <v>308</v>
      </c>
      <c r="F205" s="72">
        <v>4443034</v>
      </c>
      <c r="G205" s="169" t="s">
        <v>309</v>
      </c>
      <c r="H205" s="169" t="s">
        <v>296</v>
      </c>
      <c r="I205" s="52" t="s">
        <v>79</v>
      </c>
      <c r="J205" s="250" t="s">
        <v>20</v>
      </c>
      <c r="K205" s="58" t="s">
        <v>310</v>
      </c>
      <c r="L205" s="234" t="s">
        <v>196</v>
      </c>
      <c r="M205" s="17" t="s">
        <v>311</v>
      </c>
      <c r="N205" s="78"/>
      <c r="O205" s="273">
        <v>0.3</v>
      </c>
      <c r="P205" s="102"/>
      <c r="Q205" s="102"/>
      <c r="R205" s="102"/>
      <c r="S205" s="102"/>
      <c r="V205" s="17" t="s">
        <v>204</v>
      </c>
      <c r="W205" s="194" t="s">
        <v>204</v>
      </c>
      <c r="X205" s="194" t="s">
        <v>204</v>
      </c>
      <c r="Y205" s="17" t="s">
        <v>197</v>
      </c>
      <c r="Z205" s="102">
        <v>15</v>
      </c>
      <c r="AA205" s="102">
        <v>9</v>
      </c>
      <c r="AB205" s="102">
        <v>0</v>
      </c>
      <c r="AC205" s="102">
        <v>9</v>
      </c>
      <c r="AD205" s="33">
        <v>1</v>
      </c>
      <c r="AE205" s="33">
        <v>1</v>
      </c>
      <c r="AF205" s="25" t="str">
        <f>_xlfn.XLOOKUP(F205,'TFS Details'!F:F,'TFS Details'!H:H)</f>
        <v>Active</v>
      </c>
      <c r="AG205" s="42">
        <v>0</v>
      </c>
      <c r="AH205" s="42">
        <v>0</v>
      </c>
      <c r="AI205" s="42">
        <v>0</v>
      </c>
      <c r="AJ205" s="42">
        <v>9</v>
      </c>
      <c r="AK205" s="38">
        <f t="shared" si="22"/>
        <v>9</v>
      </c>
      <c r="AL205" s="39">
        <f t="shared" si="23"/>
        <v>0</v>
      </c>
      <c r="AM205" s="39">
        <f t="shared" si="24"/>
        <v>0</v>
      </c>
      <c r="AN205" s="25"/>
      <c r="AO205" s="25" t="str">
        <f>_xlfn.XLOOKUP(F205,'TFS Details'!F:F,'TFS Details'!I:I)</f>
        <v>TechMavericks</v>
      </c>
      <c r="AP205" s="25" t="str">
        <f>_xlfn.XLOOKUP(AO205,'TFS Details'!I:I,'TFS Details'!AE:AE)</f>
        <v>Francis.Deepak</v>
      </c>
    </row>
    <row r="206" spans="1:42">
      <c r="A206" s="24" t="str">
        <f>_xlfn.XLOOKUP(F206,'TFS Details'!F:F,'TFS Details'!D:D)</f>
        <v>AMS Solution Configuration Agent</v>
      </c>
      <c r="B206" s="24" t="str">
        <f>_xlfn.XLOOKUP(F206,'TFS Details'!F:F,'TFS Details'!A:A)</f>
        <v>AMS SCA MVP3 May 9th Release Scope</v>
      </c>
      <c r="C206" s="46">
        <f>_xlfn.XLOOKUP(F206,'TFS Details'!F:F,'TFS Details'!E:E)</f>
        <v>4439786</v>
      </c>
      <c r="D206" s="19" t="s">
        <v>48</v>
      </c>
      <c r="E206" s="139" t="s">
        <v>723</v>
      </c>
      <c r="F206" s="72">
        <v>4443558</v>
      </c>
      <c r="G206" s="113" t="s">
        <v>711</v>
      </c>
      <c r="H206" s="113" t="s">
        <v>710</v>
      </c>
      <c r="I206" s="52"/>
      <c r="J206" s="250" t="s">
        <v>18</v>
      </c>
      <c r="K206" s="16" t="s">
        <v>712</v>
      </c>
      <c r="L206" s="234" t="s">
        <v>69</v>
      </c>
      <c r="M206" s="17"/>
      <c r="N206" s="78"/>
      <c r="P206" s="102"/>
      <c r="Q206" s="102"/>
      <c r="R206" s="102"/>
      <c r="S206" s="102"/>
      <c r="V206" s="17" t="s">
        <v>204</v>
      </c>
      <c r="W206" s="17" t="s">
        <v>204</v>
      </c>
      <c r="X206" s="17" t="s">
        <v>197</v>
      </c>
      <c r="Y206" s="17" t="s">
        <v>197</v>
      </c>
      <c r="Z206" s="102">
        <v>16</v>
      </c>
      <c r="AA206" s="102">
        <v>16</v>
      </c>
      <c r="AB206" s="102">
        <v>4</v>
      </c>
      <c r="AC206" s="102">
        <v>20</v>
      </c>
      <c r="AD206" s="33">
        <v>0.75</v>
      </c>
      <c r="AE206" s="33">
        <v>1</v>
      </c>
      <c r="AF206" s="25" t="str">
        <f>_xlfn.XLOOKUP(F206,'TFS Details'!F:F,'TFS Details'!H:H)</f>
        <v>New</v>
      </c>
      <c r="AG206" s="42">
        <v>1</v>
      </c>
      <c r="AH206" s="42">
        <v>5</v>
      </c>
      <c r="AI206" s="42">
        <v>0</v>
      </c>
      <c r="AJ206" s="42">
        <v>14</v>
      </c>
      <c r="AK206" s="38">
        <f>SUM(AG206:AJ206)</f>
        <v>20</v>
      </c>
      <c r="AL206" s="39">
        <f t="shared" si="23"/>
        <v>0.3</v>
      </c>
      <c r="AM206" s="39">
        <f t="shared" si="24"/>
        <v>0.16666666666666666</v>
      </c>
      <c r="AN206" s="25" t="s">
        <v>724</v>
      </c>
      <c r="AO206" s="25" t="str">
        <f>_xlfn.XLOOKUP(F206,'TFS Details'!F:F,'TFS Details'!I:I)</f>
        <v>agentcrafters</v>
      </c>
      <c r="AP206" s="25" t="str">
        <f>_xlfn.XLOOKUP(AO206,'TFS Details'!I:I,'TFS Details'!AE:AE)</f>
        <v>shwetha.shriyan</v>
      </c>
    </row>
    <row r="207" spans="1:42">
      <c r="A207" s="24" t="str">
        <f>_xlfn.XLOOKUP(F207,'TFS Details'!F:F,'TFS Details'!D:D)</f>
        <v xml:space="preserve">AMS Solution Configuration Agent </v>
      </c>
      <c r="B207" s="24" t="str">
        <f>_xlfn.XLOOKUP(F207,'TFS Details'!F:F,'TFS Details'!A:A)</f>
        <v>AMS SCA MVP3 May 9th Release Scope</v>
      </c>
      <c r="C207" s="46">
        <f>_xlfn.XLOOKUP(F207,'TFS Details'!F:F,'TFS Details'!E:E)</f>
        <v>4439786</v>
      </c>
      <c r="D207" s="19" t="s">
        <v>48</v>
      </c>
      <c r="E207" s="139" t="s">
        <v>725</v>
      </c>
      <c r="F207" s="72">
        <v>4443807</v>
      </c>
      <c r="G207" s="113" t="s">
        <v>720</v>
      </c>
      <c r="H207" s="113" t="s">
        <v>719</v>
      </c>
      <c r="I207" s="52"/>
      <c r="J207" s="250" t="s">
        <v>18</v>
      </c>
      <c r="K207" s="16" t="s">
        <v>712</v>
      </c>
      <c r="L207" s="234" t="s">
        <v>69</v>
      </c>
      <c r="M207" s="17"/>
      <c r="N207" s="78"/>
      <c r="P207" s="102">
        <v>51</v>
      </c>
      <c r="Q207" s="102">
        <v>24</v>
      </c>
      <c r="R207" s="102">
        <v>26</v>
      </c>
      <c r="S207" s="102">
        <v>50</v>
      </c>
      <c r="T207" s="33">
        <v>0.47099999999999997</v>
      </c>
      <c r="U207" s="33">
        <v>0.48</v>
      </c>
      <c r="V207" s="17" t="s">
        <v>204</v>
      </c>
      <c r="W207" s="17" t="s">
        <v>216</v>
      </c>
      <c r="X207" s="17" t="s">
        <v>197</v>
      </c>
      <c r="Y207" s="17" t="s">
        <v>197</v>
      </c>
      <c r="Z207" s="102"/>
      <c r="AA207" s="102"/>
      <c r="AB207" s="102"/>
      <c r="AC207" s="102"/>
      <c r="AD207" s="33"/>
      <c r="AE207" s="33"/>
      <c r="AF207" s="25" t="str">
        <f>_xlfn.XLOOKUP(F207,'TFS Details'!F:F,'TFS Details'!H:H)</f>
        <v>New</v>
      </c>
      <c r="AG207" s="42">
        <v>0</v>
      </c>
      <c r="AH207" s="42">
        <v>0</v>
      </c>
      <c r="AI207" s="42">
        <v>0</v>
      </c>
      <c r="AJ207" s="42">
        <v>50</v>
      </c>
      <c r="AK207" s="38">
        <f t="shared" si="22"/>
        <v>50</v>
      </c>
      <c r="AL207" s="39">
        <f t="shared" si="23"/>
        <v>0</v>
      </c>
      <c r="AM207" s="39">
        <f t="shared" si="24"/>
        <v>0</v>
      </c>
      <c r="AN207" s="25"/>
      <c r="AO207" s="25" t="str">
        <f>_xlfn.XLOOKUP(F207,'TFS Details'!F:F,'TFS Details'!I:I)</f>
        <v>agentcrafters</v>
      </c>
      <c r="AP207" s="25" t="str">
        <f>_xlfn.XLOOKUP(AO207,'TFS Details'!I:I,'TFS Details'!AE:AE)</f>
        <v>shwetha.shriyan</v>
      </c>
    </row>
    <row r="208" spans="1:42">
      <c r="A208" s="24" t="str">
        <f>_xlfn.XLOOKUP(F208,'TFS Details'!F:F,'TFS Details'!D:D)</f>
        <v xml:space="preserve">AMS Solution Configuration Agent </v>
      </c>
      <c r="B208" s="24" t="str">
        <f>_xlfn.XLOOKUP(F208,'TFS Details'!F:F,'TFS Details'!A:A)</f>
        <v>AMS SCA MVP3 May 9th Release Scope</v>
      </c>
      <c r="C208" s="46">
        <f>_xlfn.XLOOKUP(F208,'TFS Details'!F:F,'TFS Details'!E:E)</f>
        <v>4439786</v>
      </c>
      <c r="D208" s="19" t="s">
        <v>48</v>
      </c>
      <c r="E208" s="139" t="s">
        <v>726</v>
      </c>
      <c r="F208" s="72">
        <v>4444120</v>
      </c>
      <c r="G208" s="113" t="s">
        <v>710</v>
      </c>
      <c r="H208" s="113" t="s">
        <v>711</v>
      </c>
      <c r="I208" s="52"/>
      <c r="J208" s="250" t="s">
        <v>18</v>
      </c>
      <c r="K208" s="16" t="s">
        <v>712</v>
      </c>
      <c r="L208" s="234" t="s">
        <v>69</v>
      </c>
      <c r="M208" s="17"/>
      <c r="N208" s="78"/>
      <c r="P208" s="102"/>
      <c r="Q208" s="102"/>
      <c r="R208" s="102"/>
      <c r="S208" s="102"/>
      <c r="V208" s="17" t="s">
        <v>204</v>
      </c>
      <c r="W208" s="17" t="s">
        <v>204</v>
      </c>
      <c r="X208" s="17" t="s">
        <v>197</v>
      </c>
      <c r="Y208" s="17" t="s">
        <v>197</v>
      </c>
      <c r="Z208" s="102">
        <v>10</v>
      </c>
      <c r="AA208" s="102">
        <v>9</v>
      </c>
      <c r="AB208" s="102">
        <v>18</v>
      </c>
      <c r="AC208" s="102">
        <v>27</v>
      </c>
      <c r="AD208" s="33">
        <v>0.9</v>
      </c>
      <c r="AE208" s="33">
        <v>1</v>
      </c>
      <c r="AF208" s="25" t="str">
        <f>_xlfn.XLOOKUP(F208,'TFS Details'!F:F,'TFS Details'!H:H)</f>
        <v>Active</v>
      </c>
      <c r="AG208" s="42">
        <v>0</v>
      </c>
      <c r="AH208" s="42">
        <v>0</v>
      </c>
      <c r="AI208" s="42">
        <v>0</v>
      </c>
      <c r="AJ208" s="42">
        <v>27</v>
      </c>
      <c r="AK208" s="38">
        <f t="shared" si="22"/>
        <v>27</v>
      </c>
      <c r="AL208" s="39">
        <f t="shared" si="23"/>
        <v>0</v>
      </c>
      <c r="AM208" s="39">
        <f t="shared" si="24"/>
        <v>0</v>
      </c>
      <c r="AN208" s="25"/>
      <c r="AO208" s="25" t="str">
        <f>_xlfn.XLOOKUP(F208,'TFS Details'!F:F,'TFS Details'!I:I)</f>
        <v>agentcrafters</v>
      </c>
      <c r="AP208" s="25" t="str">
        <f>_xlfn.XLOOKUP(AO208,'TFS Details'!I:I,'TFS Details'!AE:AE)</f>
        <v>shwetha.shriyan</v>
      </c>
    </row>
    <row r="209" spans="1:42">
      <c r="A209" s="24" t="str">
        <f>_xlfn.XLOOKUP(F209,'TFS Details'!F:F,'TFS Details'!D:D)</f>
        <v>BPMS OCP</v>
      </c>
      <c r="B209" s="24" t="str">
        <f>_xlfn.XLOOKUP(F209,'TFS Details'!F:F,'TFS Details'!A:A)</f>
        <v>BPMS Negotiation Contingency</v>
      </c>
      <c r="C209" s="46">
        <f>_xlfn.XLOOKUP(F209,'TFS Details'!F:F,'TFS Details'!E:E)</f>
        <v>4446028</v>
      </c>
      <c r="D209" s="19" t="s">
        <v>48</v>
      </c>
      <c r="E209" s="139" t="s">
        <v>303</v>
      </c>
      <c r="F209" s="72">
        <v>4444316</v>
      </c>
      <c r="G209" s="169" t="s">
        <v>297</v>
      </c>
      <c r="H209" s="169" t="s">
        <v>296</v>
      </c>
      <c r="I209" s="52" t="s">
        <v>119</v>
      </c>
      <c r="J209" s="250" t="s">
        <v>20</v>
      </c>
      <c r="K209" s="107" t="s">
        <v>304</v>
      </c>
      <c r="L209" s="234" t="s">
        <v>196</v>
      </c>
      <c r="M209" s="17"/>
      <c r="N209" s="78"/>
      <c r="O209" s="273">
        <v>0</v>
      </c>
      <c r="P209" s="102"/>
      <c r="Q209" s="102"/>
      <c r="R209" s="102"/>
      <c r="S209" s="102"/>
      <c r="V209" s="17" t="s">
        <v>204</v>
      </c>
      <c r="W209" s="17" t="s">
        <v>204</v>
      </c>
      <c r="X209" s="17" t="s">
        <v>204</v>
      </c>
      <c r="Y209" s="17" t="s">
        <v>216</v>
      </c>
      <c r="Z209" s="102">
        <v>20</v>
      </c>
      <c r="AA209" s="102">
        <v>19</v>
      </c>
      <c r="AB209" s="102">
        <v>0</v>
      </c>
      <c r="AC209" s="102">
        <v>19</v>
      </c>
      <c r="AD209" s="33">
        <v>0.95</v>
      </c>
      <c r="AE209" s="33">
        <v>1</v>
      </c>
      <c r="AF209" s="25" t="str">
        <f>_xlfn.XLOOKUP(F209,'TFS Details'!F:F,'TFS Details'!H:H)</f>
        <v>UAT In Test</v>
      </c>
      <c r="AG209" s="42">
        <v>16</v>
      </c>
      <c r="AH209" s="42">
        <v>3</v>
      </c>
      <c r="AI209" s="42">
        <v>0</v>
      </c>
      <c r="AJ209" s="42">
        <v>0</v>
      </c>
      <c r="AK209" s="38">
        <f>SUM(AG209:AJ209)</f>
        <v>19</v>
      </c>
      <c r="AL209" s="39">
        <f>IF(AG209+AH209=0,0,SUM(AG209:AH209)/AK209)</f>
        <v>1</v>
      </c>
      <c r="AM209" s="39">
        <f t="shared" si="24"/>
        <v>0.84210526315789469</v>
      </c>
      <c r="AN209" s="25" t="s">
        <v>717</v>
      </c>
      <c r="AO209" s="25" t="str">
        <f>_xlfn.XLOOKUP(F209,'TFS Details'!F:F,'TFS Details'!I:I)</f>
        <v>CreativeCoders</v>
      </c>
      <c r="AP209" s="25" t="str">
        <f>_xlfn.XLOOKUP(AO209,'TFS Details'!I:I,'TFS Details'!AE:AE)</f>
        <v>K.devaraj</v>
      </c>
    </row>
    <row r="210" spans="1:42">
      <c r="A210" s="24" t="str">
        <f>_xlfn.XLOOKUP(F210,'TFS Details'!F:F,'TFS Details'!D:D)</f>
        <v>Differentiation</v>
      </c>
      <c r="B210" s="24" t="str">
        <f>_xlfn.XLOOKUP(F210,'TFS Details'!F:F,'TFS Details'!A:A)</f>
        <v>Differentiation Decommission</v>
      </c>
      <c r="C210" s="46">
        <f>_xlfn.XLOOKUP(F210,'TFS Details'!F:F,'TFS Details'!E:E)</f>
        <v>4372017</v>
      </c>
      <c r="D210" s="19" t="s">
        <v>48</v>
      </c>
      <c r="E210" s="139" t="s">
        <v>727</v>
      </c>
      <c r="F210" s="72">
        <v>4446426</v>
      </c>
      <c r="G210" s="169" t="s">
        <v>296</v>
      </c>
      <c r="H210" s="169" t="s">
        <v>309</v>
      </c>
      <c r="I210" s="52" t="s">
        <v>79</v>
      </c>
      <c r="J210" s="66" t="s">
        <v>1</v>
      </c>
      <c r="K210" s="16"/>
      <c r="L210" s="234"/>
      <c r="M210" s="17"/>
      <c r="N210" s="78"/>
      <c r="O210" s="273">
        <v>0.25</v>
      </c>
      <c r="P210" s="102"/>
      <c r="Q210" s="102"/>
      <c r="R210" s="102"/>
      <c r="S210" s="102"/>
      <c r="V210" s="17" t="s">
        <v>204</v>
      </c>
      <c r="W210" s="194" t="s">
        <v>204</v>
      </c>
      <c r="X210" s="194" t="s">
        <v>204</v>
      </c>
      <c r="Y210" s="17" t="s">
        <v>197</v>
      </c>
      <c r="Z210" s="102">
        <v>33</v>
      </c>
      <c r="AA210" s="102">
        <v>10</v>
      </c>
      <c r="AB210" s="102">
        <v>0</v>
      </c>
      <c r="AC210" s="102">
        <v>10</v>
      </c>
      <c r="AD210" s="33">
        <v>1</v>
      </c>
      <c r="AE210" s="33">
        <v>1</v>
      </c>
      <c r="AF210" s="25" t="str">
        <f>_xlfn.XLOOKUP(F210,'TFS Details'!F:F,'TFS Details'!H:H)</f>
        <v>Active</v>
      </c>
      <c r="AG210" s="42">
        <v>0</v>
      </c>
      <c r="AH210" s="42">
        <v>0</v>
      </c>
      <c r="AI210" s="42">
        <v>0</v>
      </c>
      <c r="AJ210" s="42">
        <v>10</v>
      </c>
      <c r="AK210" s="38">
        <f>SUM(AG210:AJ210)</f>
        <v>10</v>
      </c>
      <c r="AL210" s="39">
        <f t="shared" si="23"/>
        <v>0</v>
      </c>
      <c r="AM210" s="39">
        <f t="shared" si="24"/>
        <v>0</v>
      </c>
      <c r="AN210" s="25"/>
      <c r="AO210" s="25" t="str">
        <f>_xlfn.XLOOKUP(F210,'TFS Details'!F:F,'TFS Details'!I:I)</f>
        <v>TechCoders</v>
      </c>
      <c r="AP210" s="25" t="str">
        <f>_xlfn.XLOOKUP(AO210,'TFS Details'!I:I,'TFS Details'!AE:AE)</f>
        <v>Francis.Deepak</v>
      </c>
    </row>
    <row r="211" spans="1:42">
      <c r="A211" s="24" t="str">
        <f>_xlfn.XLOOKUP(F211,'TFS Details'!F:F,'TFS Details'!D:D)</f>
        <v>AMS</v>
      </c>
      <c r="B211" s="24" t="str">
        <f>_xlfn.XLOOKUP(F211,'TFS Details'!F:F,'TFS Details'!A:A)</f>
        <v>AMS OCP/DCTA — ATCI Effort Ratio Logic Update for Offshore Metrics</v>
      </c>
      <c r="C211" s="46">
        <f>_xlfn.XLOOKUP(F211,'TFS Details'!F:F,'TFS Details'!E:E)</f>
        <v>4446614</v>
      </c>
      <c r="D211" s="19" t="s">
        <v>48</v>
      </c>
      <c r="E211" s="139" t="s">
        <v>728</v>
      </c>
      <c r="F211" s="72">
        <v>4446616</v>
      </c>
      <c r="G211" s="169" t="s">
        <v>297</v>
      </c>
      <c r="H211" s="169" t="s">
        <v>296</v>
      </c>
      <c r="I211" s="52" t="s">
        <v>119</v>
      </c>
      <c r="J211" s="250" t="s">
        <v>20</v>
      </c>
      <c r="K211" s="16"/>
      <c r="L211" s="234" t="s">
        <v>30</v>
      </c>
      <c r="M211" s="17"/>
      <c r="N211" s="78"/>
      <c r="O211" s="273">
        <v>0</v>
      </c>
      <c r="P211" s="102"/>
      <c r="Q211" s="102"/>
      <c r="R211" s="102"/>
      <c r="S211" s="102"/>
      <c r="V211" s="17" t="s">
        <v>204</v>
      </c>
      <c r="W211" s="17" t="s">
        <v>204</v>
      </c>
      <c r="X211" s="17" t="s">
        <v>204</v>
      </c>
      <c r="Y211" s="17" t="s">
        <v>197</v>
      </c>
      <c r="Z211" s="102">
        <v>21</v>
      </c>
      <c r="AA211" s="102">
        <v>21</v>
      </c>
      <c r="AB211" s="102">
        <v>0</v>
      </c>
      <c r="AC211" s="102">
        <v>21</v>
      </c>
      <c r="AD211" s="33">
        <v>1</v>
      </c>
      <c r="AE211" s="33">
        <v>1</v>
      </c>
      <c r="AF211" s="25" t="str">
        <f>_xlfn.XLOOKUP(F211,'TFS Details'!F:F,'TFS Details'!H:H)</f>
        <v>PT In Test</v>
      </c>
      <c r="AG211" s="42">
        <v>0</v>
      </c>
      <c r="AH211" s="42">
        <v>0</v>
      </c>
      <c r="AI211" s="42">
        <v>0</v>
      </c>
      <c r="AJ211" s="42">
        <v>21</v>
      </c>
      <c r="AK211" s="38">
        <f t="shared" si="22"/>
        <v>21</v>
      </c>
      <c r="AL211" s="39">
        <f t="shared" si="23"/>
        <v>0</v>
      </c>
      <c r="AM211" s="39">
        <f t="shared" si="24"/>
        <v>0</v>
      </c>
      <c r="AN211" s="25"/>
      <c r="AO211" s="25" t="str">
        <f>_xlfn.XLOOKUP(F211,'TFS Details'!F:F,'TFS Details'!I:I)</f>
        <v>CreativeCoders</v>
      </c>
      <c r="AP211" s="25" t="str">
        <f>_xlfn.XLOOKUP(AO211,'TFS Details'!I:I,'TFS Details'!AE:AE)</f>
        <v>K.devaraj</v>
      </c>
    </row>
    <row r="212" spans="1:42">
      <c r="A212" s="24" t="str">
        <f>_xlfn.XLOOKUP(F212,'TFS Details'!F:F,'TFS Details'!D:D)</f>
        <v>AMS Solution Configuration Agent</v>
      </c>
      <c r="B212" s="24" t="str">
        <f>_xlfn.XLOOKUP(F212,'TFS Details'!F:F,'TFS Details'!A:A)</f>
        <v>AMS SCA MVP3 May 9th Release Scope</v>
      </c>
      <c r="C212" s="46">
        <f>_xlfn.XLOOKUP(F212,'TFS Details'!F:F,'TFS Details'!E:E)</f>
        <v>4439786</v>
      </c>
      <c r="D212" s="19" t="s">
        <v>48</v>
      </c>
      <c r="E212" s="139" t="s">
        <v>729</v>
      </c>
      <c r="F212" s="72">
        <v>4447669</v>
      </c>
      <c r="G212" s="301" t="s">
        <v>720</v>
      </c>
      <c r="H212" s="301" t="s">
        <v>719</v>
      </c>
      <c r="I212" s="52"/>
      <c r="J212" s="250" t="s">
        <v>18</v>
      </c>
      <c r="K212" s="16" t="s">
        <v>712</v>
      </c>
      <c r="L212" s="234" t="s">
        <v>69</v>
      </c>
      <c r="M212" s="17"/>
      <c r="N212" s="78"/>
      <c r="P212" s="102">
        <v>44</v>
      </c>
      <c r="Q212" s="102">
        <v>13</v>
      </c>
      <c r="R212" s="102">
        <v>37</v>
      </c>
      <c r="S212" s="102">
        <v>50</v>
      </c>
      <c r="T212" s="33">
        <v>0.26</v>
      </c>
      <c r="U212" s="33">
        <v>0.24</v>
      </c>
      <c r="V212" s="17" t="s">
        <v>204</v>
      </c>
      <c r="W212" s="17" t="s">
        <v>216</v>
      </c>
      <c r="X212" s="17" t="s">
        <v>197</v>
      </c>
      <c r="Y212" s="17" t="s">
        <v>216</v>
      </c>
      <c r="Z212" s="102"/>
      <c r="AA212" s="102"/>
      <c r="AB212" s="102"/>
      <c r="AC212" s="102"/>
      <c r="AD212" s="33"/>
      <c r="AE212" s="33"/>
      <c r="AF212" s="25" t="str">
        <f>_xlfn.XLOOKUP(F212,'TFS Details'!F:F,'TFS Details'!H:H)</f>
        <v>PT In Test</v>
      </c>
      <c r="AG212" s="42">
        <v>14</v>
      </c>
      <c r="AH212" s="42">
        <v>3</v>
      </c>
      <c r="AI212" s="42">
        <v>0</v>
      </c>
      <c r="AJ212" s="42">
        <v>33</v>
      </c>
      <c r="AK212" s="38">
        <f>SUM(AG212:AJ212)</f>
        <v>50</v>
      </c>
      <c r="AL212" s="39">
        <f t="shared" si="23"/>
        <v>0.34</v>
      </c>
      <c r="AM212" s="39">
        <f t="shared" si="24"/>
        <v>0.82352941176470584</v>
      </c>
      <c r="AN212" s="25" t="s">
        <v>730</v>
      </c>
      <c r="AO212" s="25" t="str">
        <f>_xlfn.XLOOKUP(F212,'TFS Details'!F:F,'TFS Details'!I:I)</f>
        <v>agentcrafters</v>
      </c>
      <c r="AP212" s="25" t="str">
        <f>_xlfn.XLOOKUP(AO212,'TFS Details'!I:I,'TFS Details'!AE:AE)</f>
        <v>shwetha.shriyan</v>
      </c>
    </row>
    <row r="213" spans="1:42">
      <c r="A213" s="24" t="str">
        <f>_xlfn.XLOOKUP(F213,'TFS Details'!F:F,'TFS Details'!D:D)</f>
        <v>AMS</v>
      </c>
      <c r="B213" s="24" t="str">
        <f>_xlfn.XLOOKUP(F213,'TFS Details'!F:F,'TFS Details'!A:A)</f>
        <v>Available Hours OU Report</v>
      </c>
      <c r="C213" s="283">
        <f>_xlfn.XLOOKUP(F213,'TFS Details'!F:F,'TFS Details'!E:E)</f>
        <v>4439196</v>
      </c>
      <c r="D213" s="19" t="s">
        <v>48</v>
      </c>
      <c r="E213" s="139" t="s">
        <v>731</v>
      </c>
      <c r="F213" s="141">
        <v>4439199</v>
      </c>
      <c r="G213" s="265" t="s">
        <v>297</v>
      </c>
      <c r="H213" s="106" t="s">
        <v>309</v>
      </c>
      <c r="I213" s="257" t="s">
        <v>119</v>
      </c>
      <c r="J213" s="250" t="s">
        <v>1</v>
      </c>
      <c r="K213" s="16"/>
      <c r="L213" s="234"/>
      <c r="M213" s="17"/>
      <c r="N213" s="78"/>
      <c r="O213" s="281"/>
      <c r="P213" s="102"/>
      <c r="Q213" s="102"/>
      <c r="R213" s="102"/>
      <c r="S213" s="102"/>
      <c r="V213" s="17" t="s">
        <v>204</v>
      </c>
      <c r="W213" s="17" t="s">
        <v>204</v>
      </c>
      <c r="X213" s="17" t="s">
        <v>204</v>
      </c>
      <c r="Z213" s="102"/>
      <c r="AA213" s="102"/>
      <c r="AB213" s="102"/>
      <c r="AC213" s="102"/>
      <c r="AD213" s="33"/>
      <c r="AE213" s="33"/>
      <c r="AF213" s="25"/>
      <c r="AG213" s="42"/>
      <c r="AH213" s="42"/>
      <c r="AI213" s="42"/>
      <c r="AJ213" s="42"/>
      <c r="AK213" s="38"/>
      <c r="AL213" s="39"/>
      <c r="AM213" s="39"/>
      <c r="AN213" s="25"/>
      <c r="AO213" s="25"/>
      <c r="AP213" s="25"/>
    </row>
    <row r="214" spans="1:42">
      <c r="A214" s="24" t="str">
        <f>_xlfn.XLOOKUP(F214,'TFS Details'!F:F,'TFS Details'!D:D)</f>
        <v>AMS</v>
      </c>
      <c r="B214" s="24" t="str">
        <f>_xlfn.XLOOKUP(F214,'TFS Details'!F:F,'TFS Details'!A:A)</f>
        <v>Available Hours OU Report</v>
      </c>
      <c r="C214" s="46">
        <f>_xlfn.XLOOKUP(F214,'TFS Details'!F:F,'TFS Details'!E:E)</f>
        <v>4439196</v>
      </c>
      <c r="D214" s="19" t="s">
        <v>48</v>
      </c>
      <c r="E214" s="139" t="s">
        <v>732</v>
      </c>
      <c r="F214" s="141">
        <v>4439323</v>
      </c>
      <c r="G214" s="265" t="s">
        <v>297</v>
      </c>
      <c r="H214" s="106" t="s">
        <v>309</v>
      </c>
      <c r="I214" s="257" t="s">
        <v>119</v>
      </c>
      <c r="J214" s="250" t="s">
        <v>20</v>
      </c>
      <c r="K214" s="16"/>
      <c r="L214" s="234"/>
      <c r="M214" s="17"/>
      <c r="N214" s="78"/>
      <c r="O214" s="281"/>
      <c r="P214" s="102"/>
      <c r="Q214" s="102"/>
      <c r="R214" s="102"/>
      <c r="S214" s="102"/>
      <c r="V214" s="17" t="s">
        <v>204</v>
      </c>
      <c r="W214" s="17" t="s">
        <v>204</v>
      </c>
      <c r="X214" s="17" t="s">
        <v>204</v>
      </c>
      <c r="Z214" s="102"/>
      <c r="AA214" s="102"/>
      <c r="AB214" s="102"/>
      <c r="AC214" s="102"/>
      <c r="AD214" s="33"/>
      <c r="AE214" s="33"/>
      <c r="AF214" s="25"/>
      <c r="AG214" s="42"/>
      <c r="AH214" s="42"/>
      <c r="AI214" s="42"/>
      <c r="AJ214" s="42"/>
      <c r="AK214" s="38"/>
      <c r="AL214" s="39"/>
      <c r="AM214" s="39"/>
      <c r="AN214" s="25"/>
      <c r="AO214" s="25"/>
      <c r="AP214" s="25"/>
    </row>
    <row r="215" spans="1:42">
      <c r="A215" s="24" t="str">
        <f>_xlfn.XLOOKUP(F215,'TFS Details'!F:F,'TFS Details'!D:D)</f>
        <v>AMS</v>
      </c>
      <c r="B215" s="24" t="str">
        <f>_xlfn.XLOOKUP(F215,'TFS Details'!F:F,'TFS Details'!A:A)</f>
        <v>Available Hours OU Report</v>
      </c>
      <c r="C215" s="46">
        <f>_xlfn.XLOOKUP(F215,'TFS Details'!F:F,'TFS Details'!E:E)</f>
        <v>4439196</v>
      </c>
      <c r="D215" s="19" t="s">
        <v>48</v>
      </c>
      <c r="E215" s="139" t="s">
        <v>733</v>
      </c>
      <c r="F215" s="141">
        <v>4439343</v>
      </c>
      <c r="G215" s="265" t="s">
        <v>297</v>
      </c>
      <c r="H215" s="106" t="s">
        <v>309</v>
      </c>
      <c r="I215" s="257" t="s">
        <v>79</v>
      </c>
      <c r="J215" s="250" t="s">
        <v>20</v>
      </c>
      <c r="K215" s="16"/>
      <c r="L215" s="234"/>
      <c r="M215" s="17"/>
      <c r="N215" s="78"/>
      <c r="O215" s="281"/>
      <c r="P215" s="102"/>
      <c r="Q215" s="102"/>
      <c r="R215" s="102"/>
      <c r="S215" s="102"/>
      <c r="V215" s="17" t="s">
        <v>204</v>
      </c>
      <c r="W215" s="17" t="s">
        <v>204</v>
      </c>
      <c r="X215" s="17" t="s">
        <v>204</v>
      </c>
      <c r="Z215" s="102"/>
      <c r="AA215" s="102"/>
      <c r="AB215" s="102"/>
      <c r="AC215" s="102"/>
      <c r="AD215" s="33"/>
      <c r="AE215" s="33"/>
      <c r="AF215" s="25"/>
      <c r="AG215" s="42"/>
      <c r="AH215" s="42"/>
      <c r="AI215" s="42"/>
      <c r="AJ215" s="42"/>
      <c r="AK215" s="38"/>
      <c r="AL215" s="39"/>
      <c r="AM215" s="39"/>
      <c r="AN215" s="25"/>
      <c r="AO215" s="25"/>
      <c r="AP215" s="25"/>
    </row>
    <row r="216" spans="1:42">
      <c r="A216" s="24" t="str">
        <f>_xlfn.XLOOKUP(F216,'TFS Details'!F:F,'TFS Details'!D:D)</f>
        <v>AMS</v>
      </c>
      <c r="B216" s="24" t="str">
        <f>_xlfn.XLOOKUP(F216,'TFS Details'!F:F,'TFS Details'!A:A)</f>
        <v>Available Hours OU Report</v>
      </c>
      <c r="C216" s="46">
        <f>_xlfn.XLOOKUP(F216,'TFS Details'!F:F,'TFS Details'!E:E)</f>
        <v>4439196</v>
      </c>
      <c r="D216" s="19" t="s">
        <v>48</v>
      </c>
      <c r="E216" s="139" t="s">
        <v>734</v>
      </c>
      <c r="F216" s="141">
        <v>4439357</v>
      </c>
      <c r="G216" s="265" t="s">
        <v>297</v>
      </c>
      <c r="H216" s="106" t="s">
        <v>309</v>
      </c>
      <c r="I216" s="113" t="s">
        <v>735</v>
      </c>
      <c r="J216" s="250" t="s">
        <v>20</v>
      </c>
      <c r="K216" s="16"/>
      <c r="L216" s="234"/>
      <c r="M216" s="17"/>
      <c r="N216" s="78"/>
      <c r="O216" s="281"/>
      <c r="P216" s="102"/>
      <c r="Q216" s="102"/>
      <c r="R216" s="102"/>
      <c r="S216" s="102"/>
      <c r="V216" s="17" t="s">
        <v>204</v>
      </c>
      <c r="W216" s="17" t="s">
        <v>204</v>
      </c>
      <c r="X216" s="17" t="s">
        <v>204</v>
      </c>
      <c r="Z216" s="102"/>
      <c r="AA216" s="102"/>
      <c r="AB216" s="102"/>
      <c r="AC216" s="102"/>
      <c r="AD216" s="33"/>
      <c r="AE216" s="33"/>
      <c r="AF216" s="25"/>
      <c r="AG216" s="42"/>
      <c r="AH216" s="42"/>
      <c r="AI216" s="42"/>
      <c r="AJ216" s="42"/>
      <c r="AK216" s="38"/>
      <c r="AL216" s="39"/>
      <c r="AM216" s="39"/>
      <c r="AN216" s="25"/>
      <c r="AO216" s="25"/>
      <c r="AP216" s="25"/>
    </row>
    <row r="217" spans="1:42">
      <c r="A217" s="24" t="str">
        <f>_xlfn.XLOOKUP(F217,'TFS Details'!F:F,'TFS Details'!D:D)</f>
        <v>AMS</v>
      </c>
      <c r="B217" s="24" t="str">
        <f>_xlfn.XLOOKUP(F217,'TFS Details'!F:F,'TFS Details'!A:A)</f>
        <v>Available Hours OU Report</v>
      </c>
      <c r="C217" s="46">
        <f>_xlfn.XLOOKUP(F217,'TFS Details'!F:F,'TFS Details'!E:E)</f>
        <v>4439196</v>
      </c>
      <c r="D217" s="19" t="s">
        <v>48</v>
      </c>
      <c r="E217" s="139" t="s">
        <v>736</v>
      </c>
      <c r="F217" s="141">
        <v>4439362</v>
      </c>
      <c r="G217" s="265" t="s">
        <v>297</v>
      </c>
      <c r="H217" s="106" t="s">
        <v>309</v>
      </c>
      <c r="I217" s="113" t="s">
        <v>735</v>
      </c>
      <c r="J217" s="250" t="s">
        <v>20</v>
      </c>
      <c r="K217" s="58" t="s">
        <v>310</v>
      </c>
      <c r="L217" s="234"/>
      <c r="M217" s="17"/>
      <c r="N217" s="78"/>
      <c r="O217" s="281"/>
      <c r="P217" s="102"/>
      <c r="Q217" s="102"/>
      <c r="R217" s="102"/>
      <c r="S217" s="102"/>
      <c r="V217" s="17" t="s">
        <v>204</v>
      </c>
      <c r="W217" s="17" t="s">
        <v>204</v>
      </c>
      <c r="X217" s="17" t="s">
        <v>204</v>
      </c>
      <c r="Z217" s="102"/>
      <c r="AA217" s="102"/>
      <c r="AB217" s="102"/>
      <c r="AC217" s="102"/>
      <c r="AD217" s="33"/>
      <c r="AE217" s="33"/>
      <c r="AF217" s="25"/>
      <c r="AG217" s="42"/>
      <c r="AH217" s="42"/>
      <c r="AI217" s="42"/>
      <c r="AJ217" s="42"/>
      <c r="AK217" s="38"/>
      <c r="AL217" s="39"/>
      <c r="AM217" s="39"/>
      <c r="AN217" s="25"/>
      <c r="AO217" s="25"/>
      <c r="AP217" s="25"/>
    </row>
    <row r="218" spans="1:42">
      <c r="A218" s="24" t="str">
        <f>_xlfn.XLOOKUP(F218,'TFS Details'!F:F,'TFS Details'!D:D)</f>
        <v>PMO</v>
      </c>
      <c r="B218" s="24" t="str">
        <f>_xlfn.XLOOKUP(F218,'TFS Details'!F:F,'TFS Details'!A:A)</f>
        <v>[PMO] URL update for Manage and Dashboard screens</v>
      </c>
      <c r="C218" s="46">
        <f>_xlfn.XLOOKUP(F218,'TFS Details'!F:F,'TFS Details'!E:E)</f>
        <v>4440976</v>
      </c>
      <c r="D218" s="19" t="s">
        <v>48</v>
      </c>
      <c r="E218" s="139" t="s">
        <v>737</v>
      </c>
      <c r="F218" s="72">
        <v>4455628</v>
      </c>
      <c r="G218" s="169" t="s">
        <v>316</v>
      </c>
      <c r="H218" s="169" t="s">
        <v>297</v>
      </c>
      <c r="I218" s="52" t="s">
        <v>108</v>
      </c>
      <c r="J218" s="250" t="s">
        <v>20</v>
      </c>
      <c r="K218" s="16" t="s">
        <v>738</v>
      </c>
      <c r="L218" s="234" t="s">
        <v>30</v>
      </c>
      <c r="M218" s="17"/>
      <c r="N218" s="78"/>
      <c r="O218" s="273">
        <v>0.1</v>
      </c>
      <c r="P218" s="102"/>
      <c r="Q218" s="102"/>
      <c r="R218" s="102"/>
      <c r="S218" s="102"/>
      <c r="V218" s="17" t="s">
        <v>204</v>
      </c>
      <c r="W218" s="17" t="s">
        <v>204</v>
      </c>
      <c r="X218" s="17" t="s">
        <v>204</v>
      </c>
      <c r="Y218" s="17" t="s">
        <v>216</v>
      </c>
      <c r="Z218" s="102">
        <v>17</v>
      </c>
      <c r="AA218" s="102">
        <v>13</v>
      </c>
      <c r="AB218" s="102">
        <v>0</v>
      </c>
      <c r="AC218" s="102">
        <v>13</v>
      </c>
      <c r="AD218" s="33">
        <v>0.95</v>
      </c>
      <c r="AE218" s="33">
        <v>1</v>
      </c>
      <c r="AF218" s="25" t="str">
        <f>_xlfn.XLOOKUP(F218,'TFS Details'!F:F,'TFS Details'!H:H)</f>
        <v>PT In Test</v>
      </c>
      <c r="AG218" s="42">
        <v>7</v>
      </c>
      <c r="AH218" s="42">
        <v>1</v>
      </c>
      <c r="AI218" s="42">
        <v>0</v>
      </c>
      <c r="AJ218" s="42">
        <v>5</v>
      </c>
      <c r="AK218" s="38">
        <f>SUM(AG218:AJ218)</f>
        <v>13</v>
      </c>
      <c r="AL218" s="39">
        <f>IF(AG218+AH218=0,0,SUM(AG218:AH218)/AK218)</f>
        <v>0.61538461538461542</v>
      </c>
      <c r="AM218" s="39">
        <f>IF(AG218=0,0,AG218/(SUM(AG218:AI218)))</f>
        <v>0.875</v>
      </c>
      <c r="AN218" s="25" t="s">
        <v>739</v>
      </c>
      <c r="AO218" s="25"/>
      <c r="AP218" s="25"/>
    </row>
    <row r="219" spans="1:42">
      <c r="A219" s="24" t="str">
        <f>_xlfn.XLOOKUP(F219,'TFS Details'!F:F,'TFS Details'!D:D)</f>
        <v>PMO</v>
      </c>
      <c r="B219" s="24" t="str">
        <f>_xlfn.XLOOKUP(F219,'TFS Details'!F:F,'TFS Details'!A:A)</f>
        <v>[PMO] URL update for Manage and Dashboard screens</v>
      </c>
      <c r="C219" s="46">
        <f>_xlfn.XLOOKUP(F219,'TFS Details'!F:F,'TFS Details'!E:E)</f>
        <v>4440976</v>
      </c>
      <c r="D219" s="19" t="s">
        <v>48</v>
      </c>
      <c r="E219" s="139" t="s">
        <v>740</v>
      </c>
      <c r="F219" s="72">
        <v>4455728</v>
      </c>
      <c r="G219" s="169" t="s">
        <v>321</v>
      </c>
      <c r="H219" s="169" t="s">
        <v>316</v>
      </c>
      <c r="I219" s="52" t="s">
        <v>714</v>
      </c>
      <c r="J219" s="250" t="s">
        <v>20</v>
      </c>
      <c r="K219" s="16" t="s">
        <v>741</v>
      </c>
      <c r="L219" s="234" t="s">
        <v>30</v>
      </c>
      <c r="M219" s="17"/>
      <c r="N219" s="78"/>
      <c r="O219" s="273">
        <v>0.1</v>
      </c>
      <c r="P219" s="102"/>
      <c r="Q219" s="102"/>
      <c r="R219" s="102"/>
      <c r="S219" s="102"/>
      <c r="V219" s="17" t="s">
        <v>204</v>
      </c>
      <c r="W219" s="17" t="s">
        <v>204</v>
      </c>
      <c r="X219" s="17" t="s">
        <v>197</v>
      </c>
      <c r="Y219" s="17" t="s">
        <v>197</v>
      </c>
      <c r="Z219" s="102">
        <v>8</v>
      </c>
      <c r="AA219" s="102">
        <v>8</v>
      </c>
      <c r="AB219" s="102">
        <v>0</v>
      </c>
      <c r="AC219" s="102">
        <v>8</v>
      </c>
      <c r="AD219" s="33">
        <v>1</v>
      </c>
      <c r="AE219" s="33">
        <v>1</v>
      </c>
      <c r="AF219" s="25" t="str">
        <f>_xlfn.XLOOKUP(F219,'TFS Details'!F:F,'TFS Details'!H:H)</f>
        <v>PT In Test</v>
      </c>
      <c r="AG219" s="42">
        <v>3</v>
      </c>
      <c r="AH219" s="42">
        <v>0</v>
      </c>
      <c r="AI219" s="42">
        <v>0</v>
      </c>
      <c r="AJ219" s="42">
        <v>5</v>
      </c>
      <c r="AK219" s="38">
        <f>SUM(AG219:AJ219)</f>
        <v>8</v>
      </c>
      <c r="AL219" s="39">
        <f>IF(AG219+AH219=0,0,SUM(AG219:AH219)/AK219)</f>
        <v>0.375</v>
      </c>
      <c r="AM219" s="39">
        <f>IF(AG219=0,0,AG219/(SUM(AG219:AI219)))</f>
        <v>1</v>
      </c>
      <c r="AN219" s="25"/>
      <c r="AO219" s="25"/>
      <c r="AP219" s="25"/>
    </row>
    <row r="220" spans="1:42">
      <c r="A220" s="24" t="str">
        <f>_xlfn.XLOOKUP(F220,'TFS Details'!F:F,'TFS Details'!D:D)</f>
        <v>PMO</v>
      </c>
      <c r="B220" s="24" t="str">
        <f>_xlfn.XLOOKUP(F220,'TFS Details'!F:F,'TFS Details'!A:A)</f>
        <v>[PMO] URL update for Manage and Dashboard screens</v>
      </c>
      <c r="C220" s="46">
        <f>_xlfn.XLOOKUP(F220,'TFS Details'!F:F,'TFS Details'!E:E)</f>
        <v>4440976</v>
      </c>
      <c r="D220" s="19" t="s">
        <v>48</v>
      </c>
      <c r="E220" s="139" t="s">
        <v>742</v>
      </c>
      <c r="F220" s="72">
        <v>4447062</v>
      </c>
      <c r="G220" s="169" t="s">
        <v>296</v>
      </c>
      <c r="H220" s="169" t="s">
        <v>309</v>
      </c>
      <c r="I220" s="52" t="s">
        <v>119</v>
      </c>
      <c r="J220" s="66" t="s">
        <v>1</v>
      </c>
      <c r="K220" s="16"/>
      <c r="L220" s="234"/>
      <c r="M220" s="17"/>
      <c r="N220" s="78"/>
      <c r="O220" s="273">
        <v>0.1</v>
      </c>
      <c r="P220" s="102">
        <v>8</v>
      </c>
      <c r="Q220" s="102"/>
      <c r="R220" s="102"/>
      <c r="S220" s="102"/>
      <c r="V220" s="17" t="s">
        <v>204</v>
      </c>
      <c r="W220" s="17" t="s">
        <v>204</v>
      </c>
      <c r="X220" s="17" t="s">
        <v>204</v>
      </c>
      <c r="Y220" s="17" t="s">
        <v>197</v>
      </c>
      <c r="Z220" s="102">
        <v>8</v>
      </c>
      <c r="AA220" s="102">
        <v>8</v>
      </c>
      <c r="AB220" s="102">
        <v>0</v>
      </c>
      <c r="AC220" s="102">
        <v>8</v>
      </c>
      <c r="AD220" s="33">
        <v>1</v>
      </c>
      <c r="AE220" s="33">
        <v>1</v>
      </c>
      <c r="AF220" s="25" t="str">
        <f>_xlfn.XLOOKUP(F220,'TFS Details'!F:F,'TFS Details'!H:H)</f>
        <v>PT In Test</v>
      </c>
      <c r="AG220" s="42">
        <v>0</v>
      </c>
      <c r="AH220" s="42">
        <v>0</v>
      </c>
      <c r="AI220" s="42">
        <v>0</v>
      </c>
      <c r="AJ220" s="42">
        <v>8</v>
      </c>
      <c r="AK220" s="38">
        <f>SUM(AG220:AJ220)</f>
        <v>8</v>
      </c>
      <c r="AL220" s="39">
        <f>IF(AG220+AH220=0,0,SUM(AG220:AH220)/AK220)</f>
        <v>0</v>
      </c>
      <c r="AM220" s="39">
        <f>IF(AG220=0,0,AG220/(SUM(AG220:AI220)))</f>
        <v>0</v>
      </c>
      <c r="AN220" s="25"/>
      <c r="AO220" s="25"/>
      <c r="AP220" s="25"/>
    </row>
    <row r="221" spans="1:42">
      <c r="A221" s="24" t="str">
        <f>_xlfn.XLOOKUP(F221,'TFS Details'!F:F,'TFS Details'!D:D)</f>
        <v xml:space="preserve">AMS Solution Configuration Agent </v>
      </c>
      <c r="B221" s="24" t="str">
        <f>_xlfn.XLOOKUP(F221,'TFS Details'!F:F,'TFS Details'!A:A)</f>
        <v>AMS SCA MVP3 May 9th Release Scope</v>
      </c>
      <c r="C221" s="46">
        <f>_xlfn.XLOOKUP(F221,'TFS Details'!F:F,'TFS Details'!E:E)</f>
        <v>4439786</v>
      </c>
      <c r="D221" s="19" t="s">
        <v>48</v>
      </c>
      <c r="E221" s="139" t="s">
        <v>743</v>
      </c>
      <c r="F221" s="72">
        <v>4447863</v>
      </c>
      <c r="G221" s="169" t="s">
        <v>719</v>
      </c>
      <c r="H221" s="169" t="s">
        <v>711</v>
      </c>
      <c r="I221" s="52"/>
      <c r="J221" s="250" t="s">
        <v>18</v>
      </c>
      <c r="K221" s="16" t="s">
        <v>712</v>
      </c>
      <c r="L221" s="234" t="s">
        <v>69</v>
      </c>
      <c r="M221" s="17"/>
      <c r="N221" s="78"/>
      <c r="P221" s="102"/>
      <c r="Q221" s="102"/>
      <c r="R221" s="102"/>
      <c r="S221" s="102"/>
      <c r="V221" s="17" t="s">
        <v>204</v>
      </c>
      <c r="W221" s="17" t="s">
        <v>216</v>
      </c>
      <c r="X221" s="17" t="s">
        <v>197</v>
      </c>
      <c r="Y221" s="17" t="s">
        <v>197</v>
      </c>
      <c r="Z221" s="102">
        <v>22</v>
      </c>
      <c r="AA221" s="102">
        <v>5</v>
      </c>
      <c r="AB221" s="102">
        <v>9</v>
      </c>
      <c r="AC221" s="102">
        <v>14</v>
      </c>
      <c r="AD221" s="33">
        <v>0.22700000000000001</v>
      </c>
      <c r="AE221" s="33">
        <v>0.35709999999999997</v>
      </c>
      <c r="AF221" s="25" t="str">
        <f>_xlfn.XLOOKUP(F221,'TFS Details'!F:F,'TFS Details'!H:H)</f>
        <v>New</v>
      </c>
      <c r="AG221" s="42">
        <v>0</v>
      </c>
      <c r="AH221" s="42">
        <v>0</v>
      </c>
      <c r="AI221" s="42">
        <v>0</v>
      </c>
      <c r="AJ221" s="42">
        <v>14</v>
      </c>
      <c r="AK221" s="38">
        <f t="shared" si="22"/>
        <v>14</v>
      </c>
      <c r="AL221" s="39">
        <f t="shared" si="23"/>
        <v>0</v>
      </c>
      <c r="AM221" s="39">
        <f t="shared" si="24"/>
        <v>0</v>
      </c>
      <c r="AN221" s="25"/>
      <c r="AO221" s="25" t="str">
        <f>_xlfn.XLOOKUP(F221,'TFS Details'!F:F,'TFS Details'!I:I)</f>
        <v>agentcrafters</v>
      </c>
      <c r="AP221" s="25" t="str">
        <f>_xlfn.XLOOKUP(AO221,'TFS Details'!I:I,'TFS Details'!AE:AE)</f>
        <v>shwetha.shriyan</v>
      </c>
    </row>
    <row r="222" spans="1:42">
      <c r="A222" s="24" t="str">
        <f>_xlfn.XLOOKUP(F222,'TFS Details'!F:F,'TFS Details'!D:D)</f>
        <v>AMS Solution Configuration Agent</v>
      </c>
      <c r="B222" s="24" t="str">
        <f>_xlfn.XLOOKUP(F222,'TFS Details'!F:F,'TFS Details'!A:A)</f>
        <v>AMS SCA MVP3 May 9th Release Scope</v>
      </c>
      <c r="C222" s="46">
        <f>_xlfn.XLOOKUP(F222,'TFS Details'!F:F,'TFS Details'!E:E)</f>
        <v>4439786</v>
      </c>
      <c r="D222" s="19" t="s">
        <v>48</v>
      </c>
      <c r="E222" s="139" t="s">
        <v>744</v>
      </c>
      <c r="F222" s="72">
        <v>4449945</v>
      </c>
      <c r="G222" s="66" t="s">
        <v>710</v>
      </c>
      <c r="H222" s="113" t="s">
        <v>711</v>
      </c>
      <c r="I222" s="52"/>
      <c r="J222" s="250" t="s">
        <v>18</v>
      </c>
      <c r="K222" s="16" t="s">
        <v>712</v>
      </c>
      <c r="L222" s="234" t="s">
        <v>69</v>
      </c>
      <c r="M222" s="17"/>
      <c r="N222" s="78"/>
      <c r="P222" s="102"/>
      <c r="Q222" s="102"/>
      <c r="R222" s="102"/>
      <c r="S222" s="102"/>
      <c r="V222" s="17" t="s">
        <v>204</v>
      </c>
      <c r="W222" s="17" t="s">
        <v>204</v>
      </c>
      <c r="X222" s="17" t="s">
        <v>197</v>
      </c>
      <c r="Y222" s="17" t="s">
        <v>197</v>
      </c>
      <c r="Z222" s="102">
        <v>7</v>
      </c>
      <c r="AA222" s="102">
        <v>1</v>
      </c>
      <c r="AB222" s="102">
        <v>14</v>
      </c>
      <c r="AC222" s="102">
        <v>15</v>
      </c>
      <c r="AD222" s="33">
        <v>0.14000000000000001</v>
      </c>
      <c r="AE222" s="33">
        <v>0.5</v>
      </c>
      <c r="AF222" s="25" t="str">
        <f>_xlfn.XLOOKUP(F222,'TFS Details'!F:F,'TFS Details'!H:H)</f>
        <v>New</v>
      </c>
      <c r="AG222" s="42">
        <v>0</v>
      </c>
      <c r="AH222" s="42">
        <v>0</v>
      </c>
      <c r="AI222" s="42">
        <v>0</v>
      </c>
      <c r="AJ222" s="42">
        <v>15</v>
      </c>
      <c r="AK222" s="38">
        <f t="shared" si="22"/>
        <v>15</v>
      </c>
      <c r="AL222" s="39">
        <f t="shared" si="23"/>
        <v>0</v>
      </c>
      <c r="AM222" s="39">
        <f t="shared" si="24"/>
        <v>0</v>
      </c>
      <c r="AN222" s="25"/>
      <c r="AO222" s="25" t="str">
        <f>_xlfn.XLOOKUP(F222,'TFS Details'!F:F,'TFS Details'!I:I)</f>
        <v>agentcrafters</v>
      </c>
      <c r="AP222" s="25" t="str">
        <f>_xlfn.XLOOKUP(AO222,'TFS Details'!I:I,'TFS Details'!AE:AE)</f>
        <v>shwetha.shriyan</v>
      </c>
    </row>
    <row r="223" spans="1:42">
      <c r="A223" s="24" t="str">
        <f>_xlfn.XLOOKUP(F223,'TFS Details'!F:F,'TFS Details'!D:D)</f>
        <v>AMS OCP</v>
      </c>
      <c r="B223" s="24" t="str">
        <f>_xlfn.XLOOKUP(F223,'TFS Details'!F:F,'TFS Details'!A:A)</f>
        <v>AMS-OCP: AMS - Cluster based KDA Phase 1 - OCP KDA UI and Excel reports</v>
      </c>
      <c r="C223" s="46">
        <f>_xlfn.XLOOKUP(F223,'TFS Details'!F:F,'TFS Details'!E:E)</f>
        <v>4438595</v>
      </c>
      <c r="D223" s="19" t="s">
        <v>48</v>
      </c>
      <c r="E223" s="139" t="s">
        <v>295</v>
      </c>
      <c r="F223" s="72">
        <v>4449948</v>
      </c>
      <c r="G223" s="169" t="s">
        <v>296</v>
      </c>
      <c r="H223" s="169" t="s">
        <v>297</v>
      </c>
      <c r="I223" s="52" t="s">
        <v>119</v>
      </c>
      <c r="J223" s="250" t="s">
        <v>20</v>
      </c>
      <c r="K223" s="16" t="s">
        <v>298</v>
      </c>
      <c r="L223" s="234" t="s">
        <v>196</v>
      </c>
      <c r="M223" s="17"/>
      <c r="N223" s="78"/>
      <c r="O223" s="273">
        <v>0</v>
      </c>
      <c r="P223" s="102"/>
      <c r="Q223" s="102"/>
      <c r="R223" s="102"/>
      <c r="S223" s="102"/>
      <c r="V223" s="17" t="s">
        <v>204</v>
      </c>
      <c r="W223" s="17" t="s">
        <v>204</v>
      </c>
      <c r="X223" s="17" t="s">
        <v>204</v>
      </c>
      <c r="Y223" s="17" t="s">
        <v>197</v>
      </c>
      <c r="Z223" s="102">
        <v>35</v>
      </c>
      <c r="AA223" s="102">
        <v>35</v>
      </c>
      <c r="AB223" s="102">
        <v>0</v>
      </c>
      <c r="AC223" s="102">
        <v>35</v>
      </c>
      <c r="AD223" s="33">
        <v>1</v>
      </c>
      <c r="AE223" s="33">
        <v>1</v>
      </c>
      <c r="AF223" s="25" t="str">
        <f>_xlfn.XLOOKUP(F223,'TFS Details'!F:F,'TFS Details'!H:H)</f>
        <v>Active</v>
      </c>
      <c r="AG223" s="42">
        <v>0</v>
      </c>
      <c r="AH223" s="42">
        <v>0</v>
      </c>
      <c r="AI223" s="42">
        <v>0</v>
      </c>
      <c r="AJ223" s="42">
        <v>35</v>
      </c>
      <c r="AK223" s="38">
        <f t="shared" si="22"/>
        <v>35</v>
      </c>
      <c r="AL223" s="39">
        <f t="shared" si="23"/>
        <v>0</v>
      </c>
      <c r="AM223" s="39">
        <f t="shared" si="24"/>
        <v>0</v>
      </c>
      <c r="AN223" s="25"/>
      <c r="AO223" s="25" t="str">
        <f>_xlfn.XLOOKUP(F223,'TFS Details'!F:F,'TFS Details'!I:I)</f>
        <v>CreativeCoders</v>
      </c>
      <c r="AP223" s="25" t="str">
        <f>_xlfn.XLOOKUP(AO223,'TFS Details'!I:I,'TFS Details'!AE:AE)</f>
        <v>K.devaraj</v>
      </c>
    </row>
    <row r="224" spans="1:42">
      <c r="A224" s="24" t="str">
        <f>_xlfn.XLOOKUP(F224,'TFS Details'!F:F,'TFS Details'!D:D)</f>
        <v>Create "FY26 [BPMS BAU] - BPMS - OCP Negotiating Contingency % in the Billing JSON"</v>
      </c>
      <c r="B224" s="24" t="str">
        <f>_xlfn.XLOOKUP(F224,'TFS Details'!F:F,'TFS Details'!A:A)</f>
        <v>FY26 [BPMS BAU] - MMP - DCTA integration enhancements</v>
      </c>
      <c r="C224" s="46">
        <f>_xlfn.XLOOKUP(F224,'TFS Details'!F:F,'TFS Details'!E:E)</f>
        <v>4319026</v>
      </c>
      <c r="D224" s="17" t="s">
        <v>75</v>
      </c>
      <c r="E224" s="139" t="s">
        <v>745</v>
      </c>
      <c r="F224" s="72">
        <v>4440537</v>
      </c>
      <c r="G224" s="17" t="s">
        <v>746</v>
      </c>
      <c r="H224" s="106" t="s">
        <v>747</v>
      </c>
      <c r="I224" s="52"/>
      <c r="J224" s="250" t="s">
        <v>18</v>
      </c>
      <c r="K224" s="16" t="s">
        <v>66</v>
      </c>
      <c r="L224" s="234" t="s">
        <v>66</v>
      </c>
      <c r="M224" s="17"/>
      <c r="N224" s="78"/>
      <c r="P224" s="102"/>
      <c r="Q224" s="102"/>
      <c r="R224" s="102"/>
      <c r="S224" s="102"/>
      <c r="V224" s="17" t="s">
        <v>204</v>
      </c>
      <c r="W224" s="17" t="s">
        <v>204</v>
      </c>
      <c r="X224" s="17" t="s">
        <v>204</v>
      </c>
      <c r="Y224" s="17" t="s">
        <v>183</v>
      </c>
      <c r="Z224" s="102"/>
      <c r="AA224" s="102"/>
      <c r="AB224" s="102"/>
      <c r="AC224" s="102"/>
      <c r="AD224" s="33"/>
      <c r="AE224" s="33"/>
      <c r="AF224" s="25" t="str">
        <f>_xlfn.XLOOKUP(F224,'TFS Details'!F:F,'TFS Details'!H:H)</f>
        <v>PT In Test</v>
      </c>
      <c r="AG224" s="42">
        <v>2</v>
      </c>
      <c r="AH224" s="42">
        <v>2</v>
      </c>
      <c r="AI224" s="42">
        <v>0</v>
      </c>
      <c r="AJ224" s="42">
        <v>0</v>
      </c>
      <c r="AK224" s="38">
        <f t="shared" si="22"/>
        <v>4</v>
      </c>
      <c r="AL224" s="39">
        <f t="shared" si="23"/>
        <v>1</v>
      </c>
      <c r="AM224" s="39">
        <f t="shared" si="24"/>
        <v>0.5</v>
      </c>
      <c r="AN224" s="25"/>
      <c r="AO224" s="25" t="str">
        <f>_xlfn.XLOOKUP(F224,'TFS Details'!F:F,'TFS Details'!I:I)</f>
        <v>Pluto</v>
      </c>
      <c r="AP224" s="25" t="str">
        <f>_xlfn.XLOOKUP(AO224,'TFS Details'!I:I,'TFS Details'!AE:AE)</f>
        <v>m.ohlan</v>
      </c>
    </row>
    <row r="225" spans="1:42">
      <c r="A225" s="24" t="str">
        <f>_xlfn.XLOOKUP(F225,'TFS Details'!F:F,'TFS Details'!D:D)</f>
        <v xml:space="preserve"> Log Reporting DB Sync Scenario, Version, and Timestamp in BDL Generation</v>
      </c>
      <c r="B225" s="24" t="str">
        <f>_xlfn.XLOOKUP(F225,'TFS Details'!F:F,'TFS Details'!A:A)</f>
        <v>FY26 [BPMS BAU] - Enhancements and CRs related to Models, Excel Input uplaod, Templates  and Reports_March 2026_Release</v>
      </c>
      <c r="C225" s="46">
        <f>_xlfn.XLOOKUP(F225,'TFS Details'!F:F,'TFS Details'!E:E)</f>
        <v>4161205</v>
      </c>
      <c r="D225" s="17" t="s">
        <v>75</v>
      </c>
      <c r="E225" s="139" t="s">
        <v>748</v>
      </c>
      <c r="F225" s="72">
        <v>4446089</v>
      </c>
      <c r="G225" s="52" t="s">
        <v>749</v>
      </c>
      <c r="H225" s="106" t="s">
        <v>746</v>
      </c>
      <c r="I225" s="52"/>
      <c r="J225" s="250" t="s">
        <v>18</v>
      </c>
      <c r="K225" s="16" t="s">
        <v>66</v>
      </c>
      <c r="L225" s="234" t="s">
        <v>66</v>
      </c>
      <c r="M225" s="17"/>
      <c r="N225" s="78"/>
      <c r="P225" s="102"/>
      <c r="Q225" s="102"/>
      <c r="R225" s="102"/>
      <c r="S225" s="102"/>
      <c r="V225" s="17" t="s">
        <v>204</v>
      </c>
      <c r="W225" s="17" t="s">
        <v>204</v>
      </c>
      <c r="X225" s="17" t="s">
        <v>204</v>
      </c>
      <c r="Y225" s="17" t="s">
        <v>216</v>
      </c>
      <c r="Z225" s="102"/>
      <c r="AA225" s="102"/>
      <c r="AB225" s="102"/>
      <c r="AC225" s="102"/>
      <c r="AD225" s="33"/>
      <c r="AE225" s="33"/>
      <c r="AF225" s="25" t="str">
        <f>_xlfn.XLOOKUP(F225,'TFS Details'!F:F,'TFS Details'!H:H)</f>
        <v>Ready for Test</v>
      </c>
      <c r="AG225" s="42">
        <v>6</v>
      </c>
      <c r="AH225" s="42">
        <v>0</v>
      </c>
      <c r="AI225" s="42">
        <v>0</v>
      </c>
      <c r="AJ225" s="42">
        <v>10</v>
      </c>
      <c r="AK225" s="38">
        <f t="shared" si="22"/>
        <v>16</v>
      </c>
      <c r="AL225" s="39">
        <f t="shared" si="23"/>
        <v>0.375</v>
      </c>
      <c r="AM225" s="39">
        <f t="shared" si="24"/>
        <v>1</v>
      </c>
      <c r="AN225" s="25"/>
      <c r="AO225" s="25" t="str">
        <f>_xlfn.XLOOKUP(F225,'TFS Details'!F:F,'TFS Details'!I:I)</f>
        <v>Pluto</v>
      </c>
      <c r="AP225" s="25" t="str">
        <f>_xlfn.XLOOKUP(AO225,'TFS Details'!I:I,'TFS Details'!AE:AE)</f>
        <v>m.ohlan</v>
      </c>
    </row>
    <row r="226" spans="1:42">
      <c r="A226" s="24" t="str">
        <f>_xlfn.XLOOKUP(F226,'TFS Details'!F:F,'TFS Details'!D:D)</f>
        <v>CON-CAS - PCW</v>
      </c>
      <c r="B226" s="24" t="str">
        <f>_xlfn.XLOOKUP(F226,'TFS Details'!F:F,'TFS Details'!A:A)</f>
        <v>Standard Role Implementation in PCW &amp; Online SI - May Release</v>
      </c>
      <c r="C226" s="46">
        <f>_xlfn.XLOOKUP(F226,'TFS Details'!F:F,'TFS Details'!E:E)</f>
        <v>4436131</v>
      </c>
      <c r="D226" s="19" t="s">
        <v>27</v>
      </c>
      <c r="E226" s="139" t="s">
        <v>291</v>
      </c>
      <c r="F226" s="72">
        <v>4450157</v>
      </c>
      <c r="G226" s="138" t="s">
        <v>209</v>
      </c>
      <c r="H226" s="106" t="s">
        <v>214</v>
      </c>
      <c r="I226" s="219"/>
      <c r="J226" s="250" t="s">
        <v>18</v>
      </c>
      <c r="K226" s="16" t="s">
        <v>59</v>
      </c>
      <c r="L226" s="234" t="s">
        <v>59</v>
      </c>
      <c r="M226" s="17"/>
      <c r="N226" s="78"/>
      <c r="P226" s="102"/>
      <c r="Q226" s="102"/>
      <c r="R226" s="102"/>
      <c r="S226" s="102"/>
      <c r="V226" s="17" t="s">
        <v>204</v>
      </c>
      <c r="W226" s="17" t="s">
        <v>216</v>
      </c>
      <c r="X226" s="17" t="s">
        <v>197</v>
      </c>
      <c r="Y226" s="17" t="s">
        <v>197</v>
      </c>
      <c r="Z226" s="102">
        <v>51</v>
      </c>
      <c r="AA226" s="102">
        <v>31</v>
      </c>
      <c r="AB226" s="102">
        <v>8</v>
      </c>
      <c r="AC226" s="102">
        <v>39</v>
      </c>
      <c r="AD226" s="33">
        <v>0.8</v>
      </c>
      <c r="AE226" s="33">
        <v>1</v>
      </c>
      <c r="AF226" s="25" t="str">
        <f>_xlfn.XLOOKUP(F226,'TFS Details'!F:F,'TFS Details'!H:H)</f>
        <v>In Development</v>
      </c>
      <c r="AG226" s="42">
        <v>0</v>
      </c>
      <c r="AH226" s="42">
        <v>0</v>
      </c>
      <c r="AI226" s="42">
        <v>0</v>
      </c>
      <c r="AJ226" s="42">
        <v>39</v>
      </c>
      <c r="AK226" s="38">
        <f t="shared" si="22"/>
        <v>39</v>
      </c>
      <c r="AL226" s="39">
        <f t="shared" si="23"/>
        <v>0</v>
      </c>
      <c r="AM226" s="39">
        <f t="shared" si="24"/>
        <v>0</v>
      </c>
      <c r="AN226" s="25"/>
      <c r="AO226" s="25" t="str">
        <f>_xlfn.XLOOKUP(F226,'TFS Details'!F:F,'TFS Details'!I:I)</f>
        <v>Tech Ensemble</v>
      </c>
      <c r="AP226" s="25" t="str">
        <f>_xlfn.XLOOKUP(AO226,'TFS Details'!I:I,'TFS Details'!AE:AE)</f>
        <v>mervinkumar.manickam</v>
      </c>
    </row>
    <row r="227" spans="1:42" s="50" customFormat="1">
      <c r="A227" s="24" t="str">
        <f>_xlfn.XLOOKUP(F227,'TFS Details'!F:F,'TFS Details'!D:D)</f>
        <v>SI</v>
      </c>
      <c r="B227" s="24" t="str">
        <f>_xlfn.XLOOKUP(F227,'TFS Details'!F:F,'TFS Details'!A:A)</f>
        <v>Dynamic Target Pricing - Remaining Scope - May Release</v>
      </c>
      <c r="C227" s="46">
        <f>_xlfn.XLOOKUP(F227,'TFS Details'!F:F,'TFS Details'!E:E)</f>
        <v>4422839</v>
      </c>
      <c r="D227" s="19" t="s">
        <v>27</v>
      </c>
      <c r="E227" s="139" t="s">
        <v>750</v>
      </c>
      <c r="F227" s="72">
        <v>4449760</v>
      </c>
      <c r="G227" s="106" t="s">
        <v>209</v>
      </c>
      <c r="H227" s="106" t="s">
        <v>214</v>
      </c>
      <c r="I227" s="21" t="s">
        <v>62</v>
      </c>
      <c r="J227" s="66" t="s">
        <v>1</v>
      </c>
      <c r="K227" s="142"/>
      <c r="L227" s="66"/>
      <c r="M227" s="50" t="s">
        <v>461</v>
      </c>
      <c r="N227" s="117"/>
      <c r="O227" s="273">
        <v>0.4</v>
      </c>
      <c r="P227" s="105"/>
      <c r="Q227" s="105"/>
      <c r="R227" s="105"/>
      <c r="S227" s="105"/>
      <c r="T227" s="95"/>
      <c r="U227" s="95"/>
      <c r="V227" s="17" t="s">
        <v>204</v>
      </c>
      <c r="W227" s="17" t="s">
        <v>216</v>
      </c>
      <c r="X227" s="17" t="s">
        <v>197</v>
      </c>
      <c r="Y227" s="17" t="s">
        <v>197</v>
      </c>
      <c r="Z227" s="105">
        <v>40</v>
      </c>
      <c r="AA227" s="105">
        <v>25</v>
      </c>
      <c r="AB227" s="105">
        <v>3</v>
      </c>
      <c r="AC227" s="105">
        <v>28</v>
      </c>
      <c r="AD227" s="95">
        <v>0.97</v>
      </c>
      <c r="AE227" s="95">
        <v>1</v>
      </c>
      <c r="AF227" s="25" t="str">
        <f>_xlfn.XLOOKUP(F227,'TFS Details'!F:F,'TFS Details'!H:H)</f>
        <v>In Development</v>
      </c>
      <c r="AG227" s="42">
        <v>0</v>
      </c>
      <c r="AH227" s="42">
        <v>0</v>
      </c>
      <c r="AI227" s="42">
        <v>0</v>
      </c>
      <c r="AJ227" s="42">
        <v>28</v>
      </c>
      <c r="AK227" s="38">
        <f>SUM(AG227:AJ227)</f>
        <v>28</v>
      </c>
      <c r="AL227" s="39">
        <f t="shared" si="23"/>
        <v>0</v>
      </c>
      <c r="AM227" s="39">
        <f t="shared" si="24"/>
        <v>0</v>
      </c>
      <c r="AN227" s="25"/>
      <c r="AO227" s="25" t="str">
        <f>_xlfn.XLOOKUP(F227,'TFS Details'!F:F,'TFS Details'!I:I)</f>
        <v>TechWizards</v>
      </c>
      <c r="AP227" s="25" t="str">
        <f>_xlfn.XLOOKUP(AO227,'TFS Details'!I:I,'TFS Details'!AE:AE)</f>
        <v>mervinkumar.manickam</v>
      </c>
    </row>
    <row r="228" spans="1:42">
      <c r="A228" s="24" t="str">
        <f>_xlfn.XLOOKUP(F228,'TFS Details'!F:F,'TFS Details'!D:D)</f>
        <v>SI</v>
      </c>
      <c r="B228" s="24" t="str">
        <f>_xlfn.XLOOKUP(F228,'TFS Details'!F:F,'TFS Details'!A:A)</f>
        <v>Dynamic Target Pricing - Remaining Scope - May Release</v>
      </c>
      <c r="C228" s="222">
        <f>_xlfn.XLOOKUP(F228,'TFS Details'!F:F,'TFS Details'!E:E)</f>
        <v>4422839</v>
      </c>
      <c r="D228" s="136" t="s">
        <v>27</v>
      </c>
      <c r="E228" s="139" t="s">
        <v>287</v>
      </c>
      <c r="F228" s="72">
        <v>4449779</v>
      </c>
      <c r="G228" s="143" t="s">
        <v>214</v>
      </c>
      <c r="H228" s="106" t="s">
        <v>208</v>
      </c>
      <c r="I228" s="52" t="s">
        <v>568</v>
      </c>
      <c r="J228" s="250" t="s">
        <v>20</v>
      </c>
      <c r="K228" s="23" t="s">
        <v>215</v>
      </c>
      <c r="L228" s="234" t="s">
        <v>196</v>
      </c>
      <c r="M228" s="17" t="s">
        <v>311</v>
      </c>
      <c r="N228" s="78"/>
      <c r="O228" s="273">
        <v>0.45</v>
      </c>
      <c r="P228" s="74">
        <v>10</v>
      </c>
      <c r="Q228" s="74">
        <v>2</v>
      </c>
      <c r="R228" s="74">
        <v>1</v>
      </c>
      <c r="S228" s="74">
        <v>1</v>
      </c>
      <c r="T228" s="33">
        <v>1</v>
      </c>
      <c r="U228" s="33">
        <v>1</v>
      </c>
      <c r="V228" s="17" t="s">
        <v>204</v>
      </c>
      <c r="W228" s="17" t="s">
        <v>216</v>
      </c>
      <c r="X228" s="17" t="s">
        <v>197</v>
      </c>
      <c r="Y228" s="17" t="s">
        <v>197</v>
      </c>
      <c r="Z228" s="74">
        <v>15</v>
      </c>
      <c r="AA228" s="74">
        <v>6</v>
      </c>
      <c r="AB228" s="74">
        <v>5</v>
      </c>
      <c r="AC228" s="74">
        <v>6</v>
      </c>
      <c r="AD228" s="33">
        <v>1</v>
      </c>
      <c r="AE228" s="33">
        <v>1</v>
      </c>
      <c r="AF228" s="25" t="str">
        <f>_xlfn.XLOOKUP(F228,'TFS Details'!F:F,'TFS Details'!H:H)</f>
        <v>In Development</v>
      </c>
      <c r="AG228" s="42">
        <v>0</v>
      </c>
      <c r="AH228" s="42">
        <v>0</v>
      </c>
      <c r="AI228" s="42">
        <v>0</v>
      </c>
      <c r="AJ228" s="42">
        <v>6</v>
      </c>
      <c r="AK228" s="38">
        <f t="shared" si="22"/>
        <v>6</v>
      </c>
      <c r="AL228" s="39">
        <f t="shared" si="23"/>
        <v>0</v>
      </c>
      <c r="AM228" s="39">
        <f t="shared" si="24"/>
        <v>0</v>
      </c>
      <c r="AN228" s="25"/>
      <c r="AO228" s="25" t="str">
        <f>_xlfn.XLOOKUP(F228,'TFS Details'!F:F,'TFS Details'!I:I)</f>
        <v>TechAvengers</v>
      </c>
      <c r="AP228" s="25" t="str">
        <f>_xlfn.XLOOKUP(AO228,'TFS Details'!I:I,'TFS Details'!AE:AE)</f>
        <v>mervinkumar.manickam</v>
      </c>
    </row>
    <row r="229" spans="1:42">
      <c r="A229" s="24" t="str">
        <f>_xlfn.XLOOKUP(F229,'TFS Details'!F:F,'TFS Details'!D:D)</f>
        <v>Differentiation</v>
      </c>
      <c r="B229" s="221" t="str">
        <f>_xlfn.XLOOKUP(F229,'TFS Details'!F:F,'TFS Details'!A:A)</f>
        <v>Differentiation Decommission</v>
      </c>
      <c r="C229" s="225">
        <f>_xlfn.XLOOKUP(F229,'TFS Details'!F:F,'TFS Details'!E:E)</f>
        <v>4372017</v>
      </c>
      <c r="D229" s="101" t="s">
        <v>41</v>
      </c>
      <c r="E229" s="220" t="s">
        <v>751</v>
      </c>
      <c r="F229" s="214">
        <v>4445116</v>
      </c>
      <c r="G229" s="106" t="s">
        <v>284</v>
      </c>
      <c r="H229" s="106" t="s">
        <v>752</v>
      </c>
      <c r="I229" s="106" t="s">
        <v>92</v>
      </c>
      <c r="J229" s="234" t="s">
        <v>1</v>
      </c>
      <c r="K229" s="227" t="s">
        <v>249</v>
      </c>
      <c r="L229" s="234" t="s">
        <v>249</v>
      </c>
      <c r="M229" s="101" t="s">
        <v>311</v>
      </c>
      <c r="N229" s="101" t="s">
        <v>249</v>
      </c>
      <c r="O229" s="273">
        <v>0.15</v>
      </c>
      <c r="P229" s="66" t="s">
        <v>249</v>
      </c>
      <c r="Q229" s="66" t="s">
        <v>249</v>
      </c>
      <c r="R229" s="66" t="s">
        <v>249</v>
      </c>
      <c r="S229" s="66" t="s">
        <v>249</v>
      </c>
      <c r="T229" s="101" t="s">
        <v>249</v>
      </c>
      <c r="U229" s="101" t="s">
        <v>249</v>
      </c>
      <c r="V229" s="101" t="s">
        <v>204</v>
      </c>
      <c r="W229" s="234" t="s">
        <v>204</v>
      </c>
      <c r="X229" s="234" t="s">
        <v>204</v>
      </c>
      <c r="Y229" s="101" t="s">
        <v>197</v>
      </c>
      <c r="Z229" s="106">
        <v>38</v>
      </c>
      <c r="AA229" s="106">
        <v>17</v>
      </c>
      <c r="AB229" s="106">
        <v>0</v>
      </c>
      <c r="AC229" s="106">
        <v>17</v>
      </c>
      <c r="AD229" s="228">
        <v>0.47</v>
      </c>
      <c r="AE229" s="228">
        <v>1</v>
      </c>
      <c r="AF229" s="196" t="s">
        <v>242</v>
      </c>
      <c r="AG229" s="236">
        <v>0</v>
      </c>
      <c r="AH229" s="162">
        <v>0</v>
      </c>
      <c r="AI229" s="162">
        <v>0</v>
      </c>
      <c r="AJ229" s="162">
        <v>17</v>
      </c>
      <c r="AK229" s="38">
        <f t="shared" ref="AK229" si="25">SUM(AG229:AJ229)</f>
        <v>17</v>
      </c>
      <c r="AL229" s="261">
        <f t="shared" ref="AL229:AL260" si="26">IF(AG229+AH229=0,0,SUM(AG229:AH229)/AK229)</f>
        <v>0</v>
      </c>
      <c r="AM229" s="261">
        <f t="shared" ref="AM229:AM260" si="27">IF(AG229=0,0,AG229/(SUM(AG229:AI229)))</f>
        <v>0</v>
      </c>
      <c r="AN229" s="25"/>
      <c r="AO229" s="25" t="str">
        <f>_xlfn.XLOOKUP(F229,'TFS Details'!F:F,'TFS Details'!I:I)</f>
        <v>TechCoders</v>
      </c>
      <c r="AP229" s="25" t="str">
        <f>_xlfn.XLOOKUP(AO229,'TFS Details'!I:I,'TFS Details'!AE:AE)</f>
        <v>Francis.Deepak</v>
      </c>
    </row>
    <row r="230" spans="1:42" ht="14.45">
      <c r="A230" s="24" t="str">
        <f>_xlfn.XLOOKUP(F230,'TFS Details'!F:F,'TFS Details'!D:D)</f>
        <v>Automation Calculator</v>
      </c>
      <c r="B230" s="24" t="str">
        <f>_xlfn.XLOOKUP(F230,'TFS Details'!F:F,'TFS Details'!A:A)</f>
        <v>Shift Productivity Assessment under Automation Calculator as " Automation Maturity. Mandatory for eligible AMS deals</v>
      </c>
      <c r="C230" s="223">
        <f>_xlfn.XLOOKUP(F230,'TFS Details'!F:F,'TFS Details'!E:E)</f>
        <v>4311794</v>
      </c>
      <c r="D230" s="250" t="s">
        <v>41</v>
      </c>
      <c r="E230" s="145" t="s">
        <v>753</v>
      </c>
      <c r="F230" s="118">
        <v>4468291</v>
      </c>
      <c r="G230" s="66" t="s">
        <v>752</v>
      </c>
      <c r="H230" s="66" t="s">
        <v>754</v>
      </c>
      <c r="I230" s="66" t="s">
        <v>127</v>
      </c>
      <c r="J230" s="250" t="s">
        <v>20</v>
      </c>
      <c r="K230" s="161" t="s">
        <v>755</v>
      </c>
      <c r="L230" s="234" t="s">
        <v>30</v>
      </c>
      <c r="M230" s="66" t="s">
        <v>461</v>
      </c>
      <c r="N230" s="66" t="s">
        <v>249</v>
      </c>
      <c r="O230" s="273">
        <v>0.1</v>
      </c>
      <c r="P230" s="66" t="s">
        <v>249</v>
      </c>
      <c r="Q230" s="66" t="s">
        <v>249</v>
      </c>
      <c r="R230" s="66" t="s">
        <v>249</v>
      </c>
      <c r="S230" s="66" t="s">
        <v>249</v>
      </c>
      <c r="T230" s="66" t="s">
        <v>249</v>
      </c>
      <c r="U230" s="66" t="s">
        <v>249</v>
      </c>
      <c r="V230" s="66" t="s">
        <v>204</v>
      </c>
      <c r="W230" s="66" t="s">
        <v>204</v>
      </c>
      <c r="X230" s="66" t="s">
        <v>216</v>
      </c>
      <c r="Y230" s="66" t="s">
        <v>197</v>
      </c>
      <c r="Z230" s="140">
        <v>50</v>
      </c>
      <c r="AA230" s="140">
        <v>23</v>
      </c>
      <c r="AB230" s="140">
        <v>0</v>
      </c>
      <c r="AC230" s="140">
        <v>23</v>
      </c>
      <c r="AD230" s="237">
        <v>0.5</v>
      </c>
      <c r="AE230" s="237">
        <v>0.85</v>
      </c>
      <c r="AF230" s="113" t="s">
        <v>242</v>
      </c>
      <c r="AG230" s="236">
        <v>0</v>
      </c>
      <c r="AH230" s="163">
        <v>0</v>
      </c>
      <c r="AI230" s="163">
        <v>0</v>
      </c>
      <c r="AJ230" s="163">
        <v>23</v>
      </c>
      <c r="AK230" s="38">
        <f t="shared" ref="AK230:AK261" si="28">SUM(AG230:AJ230)</f>
        <v>23</v>
      </c>
      <c r="AL230" s="261">
        <f t="shared" si="26"/>
        <v>0</v>
      </c>
      <c r="AM230" s="261">
        <f t="shared" si="27"/>
        <v>0</v>
      </c>
      <c r="AN230" s="180"/>
      <c r="AO230" s="25" t="str">
        <f>_xlfn.XLOOKUP(F230,'TFS Details'!F:F,'TFS Details'!I:I)</f>
        <v>Codeplayers</v>
      </c>
      <c r="AP230" s="25" t="str">
        <f>_xlfn.XLOOKUP(AO230,'TFS Details'!I:I,'TFS Details'!AE:AE)</f>
        <v>nityanand.giri</v>
      </c>
    </row>
    <row r="231" spans="1:42" ht="14.45">
      <c r="A231" s="24" t="str">
        <f>_xlfn.XLOOKUP(F231,'TFS Details'!F:F,'TFS Details'!D:D)</f>
        <v>Automation Calculator</v>
      </c>
      <c r="B231" s="221" t="str">
        <f>_xlfn.XLOOKUP(F231,'TFS Details'!F:F,'TFS Details'!A:A)</f>
        <v>Shift Productivity Assessment under Automation Calculator as " Automation Maturity. Mandatory for eligible AMS deals</v>
      </c>
      <c r="C231" s="225">
        <f>_xlfn.XLOOKUP(F231,'TFS Details'!F:F,'TFS Details'!E:E)</f>
        <v>4311794</v>
      </c>
      <c r="D231" s="101" t="s">
        <v>41</v>
      </c>
      <c r="E231" s="220" t="s">
        <v>756</v>
      </c>
      <c r="F231" s="214">
        <v>4468292</v>
      </c>
      <c r="G231" s="106" t="s">
        <v>284</v>
      </c>
      <c r="H231" s="106" t="s">
        <v>757</v>
      </c>
      <c r="I231" s="106"/>
      <c r="J231" s="250" t="s">
        <v>18</v>
      </c>
      <c r="K231" s="161" t="s">
        <v>755</v>
      </c>
      <c r="L231" s="234" t="s">
        <v>30</v>
      </c>
      <c r="M231" s="66" t="s">
        <v>249</v>
      </c>
      <c r="N231" s="66" t="s">
        <v>249</v>
      </c>
      <c r="O231" s="66" t="s">
        <v>249</v>
      </c>
      <c r="P231" s="66" t="s">
        <v>249</v>
      </c>
      <c r="Q231" s="66" t="s">
        <v>249</v>
      </c>
      <c r="R231" s="66" t="s">
        <v>249</v>
      </c>
      <c r="S231" s="66" t="s">
        <v>249</v>
      </c>
      <c r="T231" s="66" t="s">
        <v>249</v>
      </c>
      <c r="U231" s="66" t="s">
        <v>249</v>
      </c>
      <c r="V231" s="66" t="s">
        <v>204</v>
      </c>
      <c r="W231" s="66" t="s">
        <v>204</v>
      </c>
      <c r="X231" s="66" t="s">
        <v>204</v>
      </c>
      <c r="Y231" s="66" t="s">
        <v>197</v>
      </c>
      <c r="Z231" s="106">
        <v>22</v>
      </c>
      <c r="AA231" s="106">
        <v>22</v>
      </c>
      <c r="AB231" s="106">
        <v>0</v>
      </c>
      <c r="AC231" s="106">
        <v>22</v>
      </c>
      <c r="AD231" s="228">
        <v>1</v>
      </c>
      <c r="AE231" s="228">
        <v>1</v>
      </c>
      <c r="AF231" s="113" t="s">
        <v>242</v>
      </c>
      <c r="AG231" s="236">
        <v>0</v>
      </c>
      <c r="AH231" s="163">
        <v>0</v>
      </c>
      <c r="AI231" s="163">
        <v>0</v>
      </c>
      <c r="AJ231" s="163">
        <v>22</v>
      </c>
      <c r="AK231" s="38">
        <f t="shared" si="28"/>
        <v>22</v>
      </c>
      <c r="AL231" s="261">
        <f t="shared" si="26"/>
        <v>0</v>
      </c>
      <c r="AM231" s="261">
        <f t="shared" si="27"/>
        <v>0</v>
      </c>
      <c r="AN231" s="180"/>
      <c r="AO231" s="25" t="str">
        <f>_xlfn.XLOOKUP(F231,'TFS Details'!F:F,'TFS Details'!I:I)</f>
        <v>Codeplayers</v>
      </c>
      <c r="AP231" s="25" t="str">
        <f>_xlfn.XLOOKUP(AO231,'TFS Details'!I:I,'TFS Details'!AE:AE)</f>
        <v>nityanand.giri</v>
      </c>
    </row>
    <row r="232" spans="1:42">
      <c r="A232" s="24" t="str">
        <f>_xlfn.XLOOKUP(F232,'TFS Details'!F:F,'TFS Details'!D:D)</f>
        <v>Attach Calculator</v>
      </c>
      <c r="B232" s="24" t="str">
        <f>_xlfn.XLOOKUP(F232,'TFS Details'!F:F,'TFS Details'!A:A)</f>
        <v>Attach Calculator</v>
      </c>
      <c r="C232" s="224">
        <f>_xlfn.XLOOKUP(F232,'TFS Details'!F:F,'TFS Details'!E:E)</f>
        <v>4372279</v>
      </c>
      <c r="D232" s="250" t="s">
        <v>41</v>
      </c>
      <c r="E232" s="163" t="s">
        <v>758</v>
      </c>
      <c r="F232" s="186">
        <v>4368340</v>
      </c>
      <c r="G232" s="66" t="s">
        <v>759</v>
      </c>
      <c r="H232" s="66" t="s">
        <v>752</v>
      </c>
      <c r="I232" s="66"/>
      <c r="J232" s="250" t="s">
        <v>18</v>
      </c>
      <c r="K232" s="198" t="s">
        <v>715</v>
      </c>
      <c r="L232" s="234" t="s">
        <v>30</v>
      </c>
      <c r="M232" s="66" t="s">
        <v>249</v>
      </c>
      <c r="N232" s="66" t="s">
        <v>249</v>
      </c>
      <c r="O232" s="66" t="s">
        <v>249</v>
      </c>
      <c r="P232" s="66" t="s">
        <v>249</v>
      </c>
      <c r="Q232" s="66" t="s">
        <v>249</v>
      </c>
      <c r="R232" s="66" t="s">
        <v>249</v>
      </c>
      <c r="S232" s="66" t="s">
        <v>249</v>
      </c>
      <c r="T232" s="66" t="s">
        <v>249</v>
      </c>
      <c r="U232" s="66" t="s">
        <v>249</v>
      </c>
      <c r="V232" s="66" t="s">
        <v>204</v>
      </c>
      <c r="W232" s="66" t="s">
        <v>204</v>
      </c>
      <c r="X232" s="66" t="s">
        <v>204</v>
      </c>
      <c r="Y232" s="66" t="s">
        <v>183</v>
      </c>
      <c r="Z232" s="106">
        <v>65</v>
      </c>
      <c r="AA232" s="106">
        <v>21</v>
      </c>
      <c r="AB232" s="106">
        <v>0</v>
      </c>
      <c r="AC232" s="106">
        <v>21</v>
      </c>
      <c r="AD232" s="228">
        <v>0.4</v>
      </c>
      <c r="AE232" s="228">
        <v>0.3</v>
      </c>
      <c r="AF232" s="113" t="s">
        <v>242</v>
      </c>
      <c r="AG232" s="236">
        <v>19</v>
      </c>
      <c r="AH232" s="163">
        <v>2</v>
      </c>
      <c r="AI232" s="163">
        <v>0</v>
      </c>
      <c r="AJ232" s="163">
        <v>0</v>
      </c>
      <c r="AK232" s="38">
        <f t="shared" si="28"/>
        <v>21</v>
      </c>
      <c r="AL232" s="261">
        <f t="shared" si="26"/>
        <v>1</v>
      </c>
      <c r="AM232" s="261">
        <f t="shared" si="27"/>
        <v>0.90476190476190477</v>
      </c>
      <c r="AN232" s="17" t="s">
        <v>760</v>
      </c>
      <c r="AO232" s="25" t="str">
        <f>_xlfn.XLOOKUP(F232,'TFS Details'!F:F,'TFS Details'!I:I)</f>
        <v>TitansPlus</v>
      </c>
      <c r="AP232" s="25" t="str">
        <f>_xlfn.XLOOKUP(AO232,'TFS Details'!I:I,'TFS Details'!AE:AE)</f>
        <v>nityanand.giri</v>
      </c>
    </row>
    <row r="233" spans="1:42" s="51" customFormat="1">
      <c r="A233" s="24" t="str">
        <f>_xlfn.XLOOKUP(F233,'TFS Details'!F:F,'TFS Details'!D:D)</f>
        <v>Attach Calculator</v>
      </c>
      <c r="B233" s="24" t="str">
        <f>_xlfn.XLOOKUP(F233,'TFS Details'!F:F,'TFS Details'!A:A)</f>
        <v>Attach Calculator</v>
      </c>
      <c r="C233" s="46">
        <f>_xlfn.XLOOKUP(F233,'TFS Details'!F:F,'TFS Details'!E:E)</f>
        <v>4372279</v>
      </c>
      <c r="D233" s="250" t="s">
        <v>41</v>
      </c>
      <c r="E233" s="163" t="s">
        <v>761</v>
      </c>
      <c r="F233" s="197">
        <v>4368341</v>
      </c>
      <c r="G233" s="66" t="s">
        <v>759</v>
      </c>
      <c r="H233" s="66" t="s">
        <v>752</v>
      </c>
      <c r="I233" s="66"/>
      <c r="J233" s="250" t="s">
        <v>18</v>
      </c>
      <c r="K233" s="198" t="s">
        <v>715</v>
      </c>
      <c r="L233" s="234" t="s">
        <v>30</v>
      </c>
      <c r="M233" s="66" t="s">
        <v>249</v>
      </c>
      <c r="N233" s="66" t="s">
        <v>249</v>
      </c>
      <c r="O233" s="66" t="s">
        <v>249</v>
      </c>
      <c r="P233" s="66" t="s">
        <v>249</v>
      </c>
      <c r="Q233" s="66" t="s">
        <v>249</v>
      </c>
      <c r="R233" s="66" t="s">
        <v>249</v>
      </c>
      <c r="S233" s="66" t="s">
        <v>249</v>
      </c>
      <c r="T233" s="66" t="s">
        <v>249</v>
      </c>
      <c r="U233" s="66" t="s">
        <v>249</v>
      </c>
      <c r="V233" s="66" t="s">
        <v>204</v>
      </c>
      <c r="W233" s="66" t="s">
        <v>204</v>
      </c>
      <c r="X233" s="66" t="s">
        <v>204</v>
      </c>
      <c r="Y233" s="66" t="s">
        <v>183</v>
      </c>
      <c r="Z233" s="106">
        <v>65</v>
      </c>
      <c r="AA233" s="106">
        <v>28</v>
      </c>
      <c r="AB233" s="106">
        <v>0</v>
      </c>
      <c r="AC233" s="106">
        <v>28</v>
      </c>
      <c r="AD233" s="228">
        <v>0.5</v>
      </c>
      <c r="AE233" s="228">
        <v>0.4</v>
      </c>
      <c r="AF233" s="113" t="s">
        <v>242</v>
      </c>
      <c r="AG233" s="236">
        <v>23</v>
      </c>
      <c r="AH233" s="163">
        <v>2</v>
      </c>
      <c r="AI233" s="163">
        <v>0</v>
      </c>
      <c r="AJ233" s="163">
        <v>3</v>
      </c>
      <c r="AK233" s="38">
        <f t="shared" si="28"/>
        <v>28</v>
      </c>
      <c r="AL233" s="261">
        <f t="shared" si="26"/>
        <v>0.8928571428571429</v>
      </c>
      <c r="AM233" s="261">
        <f t="shared" si="27"/>
        <v>0.92</v>
      </c>
      <c r="AN233" s="96" t="s">
        <v>762</v>
      </c>
      <c r="AO233" s="25" t="str">
        <f>_xlfn.XLOOKUP(F233,'TFS Details'!F:F,'TFS Details'!I:I)</f>
        <v>TitansPlus</v>
      </c>
      <c r="AP233" s="25" t="str">
        <f>_xlfn.XLOOKUP(AO233,'TFS Details'!I:I,'TFS Details'!AE:AE)</f>
        <v>nityanand.giri</v>
      </c>
    </row>
    <row r="234" spans="1:42">
      <c r="A234" s="24" t="str">
        <f>_xlfn.XLOOKUP(F234,'TFS Details'!F:F,'TFS Details'!D:D)</f>
        <v>Attach Calculator</v>
      </c>
      <c r="B234" s="24" t="str">
        <f>_xlfn.XLOOKUP(F234,'TFS Details'!F:F,'TFS Details'!A:A)</f>
        <v>Attach Calculator</v>
      </c>
      <c r="C234" s="46">
        <f>_xlfn.XLOOKUP(F234,'TFS Details'!F:F,'TFS Details'!E:E)</f>
        <v>4372279</v>
      </c>
      <c r="D234" s="250" t="s">
        <v>41</v>
      </c>
      <c r="E234" s="163" t="s">
        <v>763</v>
      </c>
      <c r="F234" s="197">
        <v>4358553</v>
      </c>
      <c r="G234" s="198" t="s">
        <v>259</v>
      </c>
      <c r="H234" s="66" t="s">
        <v>258</v>
      </c>
      <c r="I234" s="198" t="s">
        <v>98</v>
      </c>
      <c r="J234" s="250" t="s">
        <v>20</v>
      </c>
      <c r="K234" s="198" t="s">
        <v>715</v>
      </c>
      <c r="L234" s="234" t="s">
        <v>30</v>
      </c>
      <c r="M234" s="66" t="s">
        <v>311</v>
      </c>
      <c r="N234" s="66" t="s">
        <v>249</v>
      </c>
      <c r="O234" s="273">
        <v>0.05</v>
      </c>
      <c r="P234" s="66" t="s">
        <v>249</v>
      </c>
      <c r="Q234" s="66" t="s">
        <v>249</v>
      </c>
      <c r="R234" s="66" t="s">
        <v>249</v>
      </c>
      <c r="S234" s="66" t="s">
        <v>249</v>
      </c>
      <c r="T234" s="66" t="s">
        <v>249</v>
      </c>
      <c r="U234" s="66" t="s">
        <v>249</v>
      </c>
      <c r="V234" s="66" t="s">
        <v>204</v>
      </c>
      <c r="W234" s="66" t="s">
        <v>204</v>
      </c>
      <c r="X234" s="66" t="s">
        <v>197</v>
      </c>
      <c r="Y234" s="66" t="s">
        <v>204</v>
      </c>
      <c r="Z234" s="106">
        <v>44</v>
      </c>
      <c r="AA234" s="106">
        <v>20</v>
      </c>
      <c r="AB234" s="106">
        <v>1</v>
      </c>
      <c r="AC234" s="106">
        <v>21</v>
      </c>
      <c r="AD234" s="228">
        <v>0.95</v>
      </c>
      <c r="AE234" s="228">
        <v>0.95</v>
      </c>
      <c r="AF234" s="113" t="s">
        <v>764</v>
      </c>
      <c r="AG234" s="236">
        <v>21</v>
      </c>
      <c r="AH234" s="163">
        <v>0</v>
      </c>
      <c r="AI234" s="163">
        <v>0</v>
      </c>
      <c r="AJ234" s="163">
        <v>0</v>
      </c>
      <c r="AK234" s="38">
        <f>SUM(AG234:AJ234)</f>
        <v>21</v>
      </c>
      <c r="AL234" s="261">
        <f>IF(AG234+AH234=0,0,SUM(AG234:AH234)/AK234)</f>
        <v>1</v>
      </c>
      <c r="AM234" s="261">
        <f>IF(AG234=0,0,AG234/(SUM(AG234:AI234)))</f>
        <v>1</v>
      </c>
      <c r="AN234" s="25"/>
      <c r="AO234" s="25" t="str">
        <f>_xlfn.XLOOKUP(F234,'TFS Details'!F:F,'TFS Details'!I:I)</f>
        <v>TitansPlus</v>
      </c>
      <c r="AP234" s="25" t="str">
        <f>_xlfn.XLOOKUP(AO234,'TFS Details'!I:I,'TFS Details'!AE:AE)</f>
        <v>nityanand.giri</v>
      </c>
    </row>
    <row r="235" spans="1:42">
      <c r="A235" s="24" t="str">
        <f>_xlfn.XLOOKUP(F235,'TFS Details'!F:F,'TFS Details'!D:D)</f>
        <v>Attach Calculator</v>
      </c>
      <c r="B235" s="24" t="str">
        <f>_xlfn.XLOOKUP(F235,'TFS Details'!F:F,'TFS Details'!A:A)</f>
        <v>Attach Calculator</v>
      </c>
      <c r="C235" s="46">
        <f>_xlfn.XLOOKUP(F235,'TFS Details'!F:F,'TFS Details'!E:E)</f>
        <v>4372279</v>
      </c>
      <c r="D235" s="250" t="s">
        <v>41</v>
      </c>
      <c r="E235" s="163" t="s">
        <v>765</v>
      </c>
      <c r="F235" s="197">
        <v>4358614</v>
      </c>
      <c r="G235" s="198" t="s">
        <v>759</v>
      </c>
      <c r="H235" s="66" t="s">
        <v>752</v>
      </c>
      <c r="I235" s="66"/>
      <c r="J235" s="250" t="s">
        <v>18</v>
      </c>
      <c r="K235" s="198" t="s">
        <v>715</v>
      </c>
      <c r="L235" s="234" t="s">
        <v>30</v>
      </c>
      <c r="M235" s="66" t="s">
        <v>249</v>
      </c>
      <c r="N235" s="66" t="s">
        <v>249</v>
      </c>
      <c r="O235" s="66" t="s">
        <v>249</v>
      </c>
      <c r="P235" s="66" t="s">
        <v>249</v>
      </c>
      <c r="Q235" s="66" t="s">
        <v>249</v>
      </c>
      <c r="R235" s="66" t="s">
        <v>249</v>
      </c>
      <c r="S235" s="66" t="s">
        <v>249</v>
      </c>
      <c r="T235" s="66" t="s">
        <v>249</v>
      </c>
      <c r="U235" s="66" t="s">
        <v>249</v>
      </c>
      <c r="V235" s="66" t="s">
        <v>204</v>
      </c>
      <c r="W235" s="66" t="s">
        <v>204</v>
      </c>
      <c r="X235" s="66" t="s">
        <v>204</v>
      </c>
      <c r="Y235" s="66" t="s">
        <v>53</v>
      </c>
      <c r="Z235" s="106">
        <v>58</v>
      </c>
      <c r="AA235" s="106">
        <v>15</v>
      </c>
      <c r="AB235" s="106">
        <v>0</v>
      </c>
      <c r="AC235" s="106">
        <v>15</v>
      </c>
      <c r="AD235" s="228">
        <v>0.5</v>
      </c>
      <c r="AE235" s="237">
        <v>0.4</v>
      </c>
      <c r="AF235" s="113" t="s">
        <v>242</v>
      </c>
      <c r="AG235" s="236">
        <v>13</v>
      </c>
      <c r="AH235" s="163">
        <v>2</v>
      </c>
      <c r="AI235" s="163">
        <v>0</v>
      </c>
      <c r="AJ235" s="163">
        <v>0</v>
      </c>
      <c r="AK235" s="38">
        <f>SUM(AG235:AJ235)</f>
        <v>15</v>
      </c>
      <c r="AL235" s="261">
        <f>IF(AG235+AH235=0,0,SUM(AG235:AH235)/AK235)</f>
        <v>1</v>
      </c>
      <c r="AM235" s="261">
        <f>IF(AG235=0,0,AG235/(SUM(AG235:AI235)))</f>
        <v>0.8666666666666667</v>
      </c>
      <c r="AN235" s="25" t="s">
        <v>766</v>
      </c>
      <c r="AO235" s="25" t="str">
        <f>_xlfn.XLOOKUP(F235,'TFS Details'!F:F,'TFS Details'!I:I)</f>
        <v>TitansPlus</v>
      </c>
      <c r="AP235" s="25" t="str">
        <f>_xlfn.XLOOKUP(AO235,'TFS Details'!I:I,'TFS Details'!AE:AE)</f>
        <v>nityanand.giri</v>
      </c>
    </row>
    <row r="236" spans="1:42">
      <c r="A236" s="24" t="str">
        <f>_xlfn.XLOOKUP(F236,'TFS Details'!F:F,'TFS Details'!D:D)</f>
        <v>Attach Calculator</v>
      </c>
      <c r="B236" s="24" t="str">
        <f>_xlfn.XLOOKUP(F236,'TFS Details'!F:F,'TFS Details'!A:A)</f>
        <v>Attach Calculator</v>
      </c>
      <c r="C236" s="46">
        <f>_xlfn.XLOOKUP(F236,'TFS Details'!F:F,'TFS Details'!E:E)</f>
        <v>4372279</v>
      </c>
      <c r="D236" s="250" t="s">
        <v>41</v>
      </c>
      <c r="E236" s="163" t="s">
        <v>767</v>
      </c>
      <c r="F236" s="197">
        <v>4358616</v>
      </c>
      <c r="G236" s="198" t="s">
        <v>759</v>
      </c>
      <c r="H236" s="66" t="s">
        <v>752</v>
      </c>
      <c r="I236" s="66"/>
      <c r="J236" s="250" t="s">
        <v>18</v>
      </c>
      <c r="K236" s="198" t="s">
        <v>715</v>
      </c>
      <c r="L236" s="234" t="s">
        <v>30</v>
      </c>
      <c r="M236" s="66" t="s">
        <v>249</v>
      </c>
      <c r="N236" s="66" t="s">
        <v>249</v>
      </c>
      <c r="O236" s="66" t="s">
        <v>249</v>
      </c>
      <c r="P236" s="66" t="s">
        <v>249</v>
      </c>
      <c r="Q236" s="66" t="s">
        <v>249</v>
      </c>
      <c r="R236" s="66" t="s">
        <v>249</v>
      </c>
      <c r="S236" s="66" t="s">
        <v>249</v>
      </c>
      <c r="T236" s="66" t="s">
        <v>249</v>
      </c>
      <c r="U236" s="66" t="s">
        <v>249</v>
      </c>
      <c r="V236" s="66" t="s">
        <v>204</v>
      </c>
      <c r="W236" s="66" t="s">
        <v>204</v>
      </c>
      <c r="X236" s="66" t="s">
        <v>204</v>
      </c>
      <c r="Y236" s="66" t="s">
        <v>183</v>
      </c>
      <c r="Z236" s="106">
        <v>59</v>
      </c>
      <c r="AA236" s="106">
        <v>30</v>
      </c>
      <c r="AB236" s="106">
        <v>0</v>
      </c>
      <c r="AC236" s="106">
        <v>30</v>
      </c>
      <c r="AD236" s="228">
        <v>0.6</v>
      </c>
      <c r="AE236" s="228">
        <v>0.5</v>
      </c>
      <c r="AF236" s="113" t="s">
        <v>242</v>
      </c>
      <c r="AG236" s="236">
        <v>28</v>
      </c>
      <c r="AH236" s="163">
        <v>2</v>
      </c>
      <c r="AI236" s="163">
        <v>0</v>
      </c>
      <c r="AJ236" s="163">
        <v>0</v>
      </c>
      <c r="AK236" s="38">
        <f>SUM(AG236:AJ236)</f>
        <v>30</v>
      </c>
      <c r="AL236" s="261">
        <f>IF(AG236+AH236=0,0,SUM(AG236:AH236)/AK236)</f>
        <v>1</v>
      </c>
      <c r="AM236" s="261">
        <f>IF(AG236=0,0,AG236/(SUM(AG236:AI236)))</f>
        <v>0.93333333333333335</v>
      </c>
      <c r="AN236" s="25" t="s">
        <v>768</v>
      </c>
      <c r="AO236" s="25" t="str">
        <f>_xlfn.XLOOKUP(F236,'TFS Details'!F:F,'TFS Details'!I:I)</f>
        <v>TitansPlus</v>
      </c>
      <c r="AP236" s="25" t="str">
        <f>_xlfn.XLOOKUP(AO236,'TFS Details'!I:I,'TFS Details'!AE:AE)</f>
        <v>nityanand.giri</v>
      </c>
    </row>
    <row r="237" spans="1:42">
      <c r="A237" s="24" t="str">
        <f>_xlfn.XLOOKUP(F237,'TFS Details'!F:F,'TFS Details'!D:D)</f>
        <v>Calculator</v>
      </c>
      <c r="B237" s="24" t="str">
        <f>_xlfn.XLOOKUP(F237,'TFS Details'!F:F,'TFS Details'!A:A)</f>
        <v>Attach Calculator</v>
      </c>
      <c r="C237" s="46">
        <f>_xlfn.XLOOKUP(F237,'TFS Details'!F:F,'TFS Details'!E:E)</f>
        <v>4372279</v>
      </c>
      <c r="D237" s="250" t="s">
        <v>41</v>
      </c>
      <c r="E237" s="163" t="s">
        <v>769</v>
      </c>
      <c r="F237" s="197">
        <v>4367497</v>
      </c>
      <c r="G237" s="198" t="s">
        <v>770</v>
      </c>
      <c r="H237" s="66" t="s">
        <v>284</v>
      </c>
      <c r="I237" s="66" t="s">
        <v>117</v>
      </c>
      <c r="J237" s="66" t="s">
        <v>1</v>
      </c>
      <c r="K237" s="198" t="s">
        <v>249</v>
      </c>
      <c r="L237" s="66" t="s">
        <v>249</v>
      </c>
      <c r="M237" s="66" t="s">
        <v>311</v>
      </c>
      <c r="N237" s="66" t="s">
        <v>249</v>
      </c>
      <c r="O237" s="273">
        <v>0.1</v>
      </c>
      <c r="P237" s="66" t="s">
        <v>249</v>
      </c>
      <c r="Q237" s="66" t="s">
        <v>249</v>
      </c>
      <c r="R237" s="66" t="s">
        <v>249</v>
      </c>
      <c r="S237" s="66" t="s">
        <v>249</v>
      </c>
      <c r="T237" s="66" t="s">
        <v>249</v>
      </c>
      <c r="U237" s="66" t="s">
        <v>249</v>
      </c>
      <c r="V237" s="66" t="s">
        <v>204</v>
      </c>
      <c r="W237" s="66" t="s">
        <v>204</v>
      </c>
      <c r="X237" s="66" t="s">
        <v>204</v>
      </c>
      <c r="Y237" s="66" t="s">
        <v>204</v>
      </c>
      <c r="Z237" s="106">
        <v>24</v>
      </c>
      <c r="AA237" s="106">
        <v>22</v>
      </c>
      <c r="AB237" s="106">
        <v>0</v>
      </c>
      <c r="AC237" s="106">
        <v>22</v>
      </c>
      <c r="AD237" s="228">
        <v>0.91</v>
      </c>
      <c r="AE237" s="228">
        <v>0.95</v>
      </c>
      <c r="AF237" s="113" t="s">
        <v>242</v>
      </c>
      <c r="AG237" s="236">
        <v>22</v>
      </c>
      <c r="AH237" s="163">
        <v>0</v>
      </c>
      <c r="AI237" s="163">
        <v>0</v>
      </c>
      <c r="AJ237" s="163">
        <v>0</v>
      </c>
      <c r="AK237" s="38">
        <f>SUM(AG237:AJ237)</f>
        <v>22</v>
      </c>
      <c r="AL237" s="261">
        <f>IF(AG237+AH237=0,0,SUM(AG237:AH237)/AK237)</f>
        <v>1</v>
      </c>
      <c r="AM237" s="261">
        <f>IF(AG237=0,0,AG237/(SUM(AG237:AI237)))</f>
        <v>1</v>
      </c>
      <c r="AN237" s="25"/>
      <c r="AO237" s="25" t="str">
        <f>_xlfn.XLOOKUP(F237,'TFS Details'!F:F,'TFS Details'!I:I)</f>
        <v>TitansPlus</v>
      </c>
      <c r="AP237" s="25" t="str">
        <f>_xlfn.XLOOKUP(AO237,'TFS Details'!I:I,'TFS Details'!AE:AE)</f>
        <v>nityanand.giri</v>
      </c>
    </row>
    <row r="238" spans="1:42">
      <c r="A238" s="24" t="str">
        <f>_xlfn.XLOOKUP(F238,'TFS Details'!F:F,'TFS Details'!D:D)</f>
        <v>Attach Calculator</v>
      </c>
      <c r="B238" s="24" t="str">
        <f>_xlfn.XLOOKUP(F238,'TFS Details'!F:F,'TFS Details'!A:A)</f>
        <v>Attach Calculator</v>
      </c>
      <c r="C238" s="46">
        <f>_xlfn.XLOOKUP(F238,'TFS Details'!F:F,'TFS Details'!E:E)</f>
        <v>4372279</v>
      </c>
      <c r="D238" s="250" t="s">
        <v>41</v>
      </c>
      <c r="E238" s="163" t="s">
        <v>771</v>
      </c>
      <c r="F238" s="197">
        <v>4367141</v>
      </c>
      <c r="G238" s="198" t="s">
        <v>258</v>
      </c>
      <c r="H238" s="66" t="s">
        <v>259</v>
      </c>
      <c r="I238" s="198" t="s">
        <v>113</v>
      </c>
      <c r="J238" s="250" t="s">
        <v>20</v>
      </c>
      <c r="K238" s="198" t="s">
        <v>772</v>
      </c>
      <c r="L238" s="66" t="s">
        <v>30</v>
      </c>
      <c r="M238" s="66" t="s">
        <v>311</v>
      </c>
      <c r="N238" s="66" t="s">
        <v>249</v>
      </c>
      <c r="O238" s="273">
        <v>0.1</v>
      </c>
      <c r="P238" s="66" t="s">
        <v>249</v>
      </c>
      <c r="Q238" s="66" t="s">
        <v>249</v>
      </c>
      <c r="R238" s="66" t="s">
        <v>249</v>
      </c>
      <c r="S238" s="66" t="s">
        <v>249</v>
      </c>
      <c r="T238" s="66" t="s">
        <v>249</v>
      </c>
      <c r="U238" s="66" t="s">
        <v>249</v>
      </c>
      <c r="V238" s="66" t="s">
        <v>204</v>
      </c>
      <c r="W238" s="66" t="s">
        <v>204</v>
      </c>
      <c r="X238" s="66" t="s">
        <v>17</v>
      </c>
      <c r="Y238" s="66" t="s">
        <v>53</v>
      </c>
      <c r="Z238" s="106">
        <v>70</v>
      </c>
      <c r="AA238" s="106">
        <v>49</v>
      </c>
      <c r="AB238" s="106">
        <v>0</v>
      </c>
      <c r="AC238" s="106">
        <v>49</v>
      </c>
      <c r="AD238" s="228">
        <v>1</v>
      </c>
      <c r="AE238" s="228">
        <v>0.8</v>
      </c>
      <c r="AF238" s="113" t="s">
        <v>242</v>
      </c>
      <c r="AG238" s="236">
        <v>30</v>
      </c>
      <c r="AH238" s="163">
        <v>0</v>
      </c>
      <c r="AI238" s="163">
        <v>0</v>
      </c>
      <c r="AJ238" s="163">
        <v>19</v>
      </c>
      <c r="AK238" s="38">
        <f>SUM(AG238:AJ238)</f>
        <v>49</v>
      </c>
      <c r="AL238" s="261">
        <f>IF(AG238+AH238=0,0,SUM(AG238:AH238)/AK238)</f>
        <v>0.61224489795918369</v>
      </c>
      <c r="AM238" s="261">
        <f>IF(AG238=0,0,AG238/(SUM(AG238:AI238)))</f>
        <v>1</v>
      </c>
      <c r="AN238" s="25"/>
      <c r="AO238" s="25" t="str">
        <f>_xlfn.XLOOKUP(F238,'TFS Details'!F:F,'TFS Details'!I:I)</f>
        <v>TitansPlus</v>
      </c>
      <c r="AP238" s="25" t="str">
        <f>_xlfn.XLOOKUP(AO238,'TFS Details'!I:I,'TFS Details'!AE:AE)</f>
        <v>nityanand.giri</v>
      </c>
    </row>
    <row r="239" spans="1:42">
      <c r="A239" s="24" t="str">
        <f>_xlfn.XLOOKUP(F239,'TFS Details'!F:F,'TFS Details'!D:D)</f>
        <v>Attach Calculator</v>
      </c>
      <c r="B239" s="24" t="str">
        <f>_xlfn.XLOOKUP(F239,'TFS Details'!F:F,'TFS Details'!A:A)</f>
        <v>Attach Calculator</v>
      </c>
      <c r="C239" s="46">
        <f>_xlfn.XLOOKUP(F239,'TFS Details'!F:F,'TFS Details'!E:E)</f>
        <v>4372279</v>
      </c>
      <c r="D239" s="250" t="s">
        <v>41</v>
      </c>
      <c r="E239" s="163" t="s">
        <v>773</v>
      </c>
      <c r="F239" s="197">
        <v>4367142</v>
      </c>
      <c r="G239" s="66" t="s">
        <v>774</v>
      </c>
      <c r="H239" s="66" t="s">
        <v>757</v>
      </c>
      <c r="I239" s="66" t="s">
        <v>128</v>
      </c>
      <c r="J239" s="66" t="s">
        <v>1</v>
      </c>
      <c r="K239" s="198" t="s">
        <v>249</v>
      </c>
      <c r="L239" s="66" t="s">
        <v>249</v>
      </c>
      <c r="M239" s="66" t="s">
        <v>249</v>
      </c>
      <c r="N239" s="66" t="s">
        <v>249</v>
      </c>
      <c r="O239" s="273">
        <v>0.05</v>
      </c>
      <c r="P239" s="66" t="s">
        <v>249</v>
      </c>
      <c r="Q239" s="66" t="s">
        <v>249</v>
      </c>
      <c r="R239" s="66" t="s">
        <v>249</v>
      </c>
      <c r="S239" s="66" t="s">
        <v>249</v>
      </c>
      <c r="T239" s="66" t="s">
        <v>249</v>
      </c>
      <c r="U239" s="66" t="s">
        <v>249</v>
      </c>
      <c r="V239" s="66" t="s">
        <v>204</v>
      </c>
      <c r="W239" s="66" t="s">
        <v>204</v>
      </c>
      <c r="X239" s="66" t="s">
        <v>197</v>
      </c>
      <c r="Y239" s="66" t="s">
        <v>53</v>
      </c>
      <c r="Z239" s="106">
        <v>50</v>
      </c>
      <c r="AA239" s="106">
        <v>37</v>
      </c>
      <c r="AB239" s="106">
        <v>0</v>
      </c>
      <c r="AC239" s="106">
        <v>37</v>
      </c>
      <c r="AD239" s="230">
        <v>1</v>
      </c>
      <c r="AE239" s="230">
        <v>1</v>
      </c>
      <c r="AF239" s="113" t="s">
        <v>242</v>
      </c>
      <c r="AG239" s="236">
        <v>30</v>
      </c>
      <c r="AH239" s="163">
        <v>0</v>
      </c>
      <c r="AI239" s="163">
        <v>0</v>
      </c>
      <c r="AJ239" s="163">
        <v>7</v>
      </c>
      <c r="AK239" s="38">
        <v>37</v>
      </c>
      <c r="AL239" s="261">
        <f>IF(AG239+AH239=0,0,SUM(AG239:AH239)/AK239)</f>
        <v>0.81081081081081086</v>
      </c>
      <c r="AM239" s="261">
        <f>IF(AG239=0,0,AG239/(SUM(AG239:AI239)))</f>
        <v>1</v>
      </c>
      <c r="AN239" s="25"/>
      <c r="AO239" s="25" t="str">
        <f>_xlfn.XLOOKUP(F239,'TFS Details'!F:F,'TFS Details'!I:I)</f>
        <v>TitansPlus</v>
      </c>
      <c r="AP239" s="25" t="str">
        <f>_xlfn.XLOOKUP(AO239,'TFS Details'!I:I,'TFS Details'!AE:AE)</f>
        <v>nityanand.giri</v>
      </c>
    </row>
    <row r="240" spans="1:42">
      <c r="A240" s="24" t="str">
        <f>_xlfn.XLOOKUP(F240,'TFS Details'!F:F,'TFS Details'!D:D)</f>
        <v>Attach Calculator</v>
      </c>
      <c r="B240" s="24" t="str">
        <f>_xlfn.XLOOKUP(F240,'TFS Details'!F:F,'TFS Details'!A:A)</f>
        <v>Attach Calculator</v>
      </c>
      <c r="C240" s="46">
        <f>_xlfn.XLOOKUP(F240,'TFS Details'!F:F,'TFS Details'!E:E)</f>
        <v>4372279</v>
      </c>
      <c r="D240" s="250" t="s">
        <v>41</v>
      </c>
      <c r="E240" s="163" t="s">
        <v>775</v>
      </c>
      <c r="F240" s="197">
        <v>4367160</v>
      </c>
      <c r="G240" s="66" t="s">
        <v>774</v>
      </c>
      <c r="H240" s="66" t="s">
        <v>757</v>
      </c>
      <c r="I240" s="66" t="s">
        <v>128</v>
      </c>
      <c r="J240" s="66" t="s">
        <v>1</v>
      </c>
      <c r="K240" s="198" t="s">
        <v>249</v>
      </c>
      <c r="L240" s="66" t="s">
        <v>249</v>
      </c>
      <c r="M240" s="66" t="s">
        <v>249</v>
      </c>
      <c r="N240" s="66" t="s">
        <v>249</v>
      </c>
      <c r="O240" s="273">
        <v>0.05</v>
      </c>
      <c r="P240" s="66" t="s">
        <v>249</v>
      </c>
      <c r="Q240" s="66" t="s">
        <v>249</v>
      </c>
      <c r="R240" s="66" t="s">
        <v>249</v>
      </c>
      <c r="S240" s="66" t="s">
        <v>249</v>
      </c>
      <c r="T240" s="66" t="s">
        <v>249</v>
      </c>
      <c r="U240" s="66" t="s">
        <v>249</v>
      </c>
      <c r="V240" s="66" t="s">
        <v>204</v>
      </c>
      <c r="W240" s="66" t="s">
        <v>204</v>
      </c>
      <c r="X240" s="66" t="s">
        <v>197</v>
      </c>
      <c r="Y240" s="66" t="s">
        <v>53</v>
      </c>
      <c r="Z240" s="106">
        <v>50</v>
      </c>
      <c r="AA240" s="106">
        <v>40</v>
      </c>
      <c r="AB240" s="106">
        <v>0</v>
      </c>
      <c r="AC240" s="106">
        <v>40</v>
      </c>
      <c r="AD240" s="230">
        <v>1</v>
      </c>
      <c r="AE240" s="230">
        <v>1</v>
      </c>
      <c r="AF240" s="113" t="s">
        <v>242</v>
      </c>
      <c r="AG240" s="236">
        <v>37</v>
      </c>
      <c r="AH240" s="163">
        <v>0</v>
      </c>
      <c r="AI240" s="163">
        <v>0</v>
      </c>
      <c r="AJ240" s="163">
        <v>3</v>
      </c>
      <c r="AK240" s="38">
        <f>SUM(AG240:AJ240)</f>
        <v>40</v>
      </c>
      <c r="AL240" s="261">
        <f>IF(AG240+AH240=0,0,SUM(AG240:AH240)/AK240)</f>
        <v>0.92500000000000004</v>
      </c>
      <c r="AM240" s="261">
        <f>IF(AG240=0,0,AG240/(SUM(AG240:AI240)))</f>
        <v>1</v>
      </c>
      <c r="AN240" s="25"/>
      <c r="AO240" s="25" t="str">
        <f>_xlfn.XLOOKUP(F240,'TFS Details'!F:F,'TFS Details'!I:I)</f>
        <v>TitansPlus</v>
      </c>
      <c r="AP240" s="25" t="str">
        <f>_xlfn.XLOOKUP(AO240,'TFS Details'!I:I,'TFS Details'!AE:AE)</f>
        <v>nityanand.giri</v>
      </c>
    </row>
    <row r="241" spans="1:42">
      <c r="A241" s="24" t="str">
        <f>_xlfn.XLOOKUP(F241,'TFS Details'!F:F,'TFS Details'!D:D)</f>
        <v>Attach Calculator</v>
      </c>
      <c r="B241" s="24" t="str">
        <f>_xlfn.XLOOKUP(F241,'TFS Details'!F:F,'TFS Details'!A:A)</f>
        <v>Attach Calculator</v>
      </c>
      <c r="C241" s="46">
        <f>_xlfn.XLOOKUP(F241,'TFS Details'!F:F,'TFS Details'!E:E)</f>
        <v>4372279</v>
      </c>
      <c r="D241" s="250" t="s">
        <v>41</v>
      </c>
      <c r="E241" s="163" t="s">
        <v>776</v>
      </c>
      <c r="F241" s="197">
        <v>4367481</v>
      </c>
      <c r="G241" s="198" t="s">
        <v>770</v>
      </c>
      <c r="H241" s="66" t="s">
        <v>284</v>
      </c>
      <c r="I241" s="66" t="s">
        <v>117</v>
      </c>
      <c r="J241" s="66" t="s">
        <v>1</v>
      </c>
      <c r="K241" s="198" t="s">
        <v>249</v>
      </c>
      <c r="L241" s="66" t="s">
        <v>249</v>
      </c>
      <c r="M241" s="66" t="s">
        <v>465</v>
      </c>
      <c r="N241" s="66" t="s">
        <v>249</v>
      </c>
      <c r="O241" s="84">
        <v>0.1</v>
      </c>
      <c r="P241" s="66" t="s">
        <v>249</v>
      </c>
      <c r="Q241" s="66" t="s">
        <v>249</v>
      </c>
      <c r="R241" s="66" t="s">
        <v>249</v>
      </c>
      <c r="S241" s="66" t="s">
        <v>249</v>
      </c>
      <c r="T241" s="66" t="s">
        <v>249</v>
      </c>
      <c r="U241" s="66" t="s">
        <v>249</v>
      </c>
      <c r="V241" s="66" t="s">
        <v>204</v>
      </c>
      <c r="W241" s="66" t="s">
        <v>204</v>
      </c>
      <c r="X241" s="66" t="s">
        <v>204</v>
      </c>
      <c r="Y241" s="66" t="s">
        <v>204</v>
      </c>
      <c r="Z241" s="106">
        <v>12</v>
      </c>
      <c r="AA241" s="106">
        <v>9</v>
      </c>
      <c r="AB241" s="106">
        <v>0</v>
      </c>
      <c r="AC241" s="106">
        <v>9</v>
      </c>
      <c r="AD241" s="228">
        <v>0.9</v>
      </c>
      <c r="AE241" s="228">
        <v>0.95</v>
      </c>
      <c r="AF241" s="113" t="s">
        <v>242</v>
      </c>
      <c r="AG241" s="236">
        <v>5</v>
      </c>
      <c r="AH241" s="163">
        <v>0</v>
      </c>
      <c r="AI241" s="163">
        <v>0</v>
      </c>
      <c r="AJ241" s="163">
        <v>0</v>
      </c>
      <c r="AK241" s="38">
        <f>SUM(AG241:AJ241)</f>
        <v>5</v>
      </c>
      <c r="AL241" s="261">
        <f>IF(AG241+AH241=0,0,SUM(AG241:AH241)/AK241)</f>
        <v>1</v>
      </c>
      <c r="AM241" s="261">
        <f>IF(AG241=0,0,AG241/(SUM(AG241:AI241)))</f>
        <v>1</v>
      </c>
      <c r="AN241" s="116"/>
      <c r="AO241" s="25" t="str">
        <f>_xlfn.XLOOKUP(F241,'TFS Details'!F:F,'TFS Details'!I:I)</f>
        <v>TitansPlus</v>
      </c>
      <c r="AP241" s="25" t="str">
        <f>_xlfn.XLOOKUP(AO241,'TFS Details'!I:I,'TFS Details'!AE:AE)</f>
        <v>nityanand.giri</v>
      </c>
    </row>
    <row r="242" spans="1:42">
      <c r="A242" s="24" t="str">
        <f>_xlfn.XLOOKUP(F242,'TFS Details'!F:F,'TFS Details'!D:D)</f>
        <v>Attach Calculator</v>
      </c>
      <c r="B242" s="24" t="str">
        <f>_xlfn.XLOOKUP(F242,'TFS Details'!F:F,'TFS Details'!A:A)</f>
        <v>Attach Calculator</v>
      </c>
      <c r="C242" s="46">
        <f>_xlfn.XLOOKUP(F242,'TFS Details'!F:F,'TFS Details'!E:E)</f>
        <v>4372279</v>
      </c>
      <c r="D242" s="250" t="s">
        <v>41</v>
      </c>
      <c r="E242" s="163" t="s">
        <v>777</v>
      </c>
      <c r="F242" s="197">
        <v>4367490</v>
      </c>
      <c r="G242" s="198" t="s">
        <v>259</v>
      </c>
      <c r="H242" s="66" t="s">
        <v>284</v>
      </c>
      <c r="I242" s="198" t="s">
        <v>249</v>
      </c>
      <c r="J242" s="250" t="s">
        <v>18</v>
      </c>
      <c r="K242" s="198" t="s">
        <v>778</v>
      </c>
      <c r="L242" s="234" t="s">
        <v>30</v>
      </c>
      <c r="M242" s="66" t="s">
        <v>311</v>
      </c>
      <c r="N242" s="66" t="s">
        <v>249</v>
      </c>
      <c r="O242" s="66" t="s">
        <v>249</v>
      </c>
      <c r="P242" s="66" t="s">
        <v>249</v>
      </c>
      <c r="Q242" s="66" t="s">
        <v>249</v>
      </c>
      <c r="R242" s="66" t="s">
        <v>249</v>
      </c>
      <c r="S242" s="66" t="s">
        <v>249</v>
      </c>
      <c r="T242" s="66" t="s">
        <v>249</v>
      </c>
      <c r="U242" s="66" t="s">
        <v>249</v>
      </c>
      <c r="V242" s="17" t="s">
        <v>204</v>
      </c>
      <c r="W242" s="17" t="s">
        <v>204</v>
      </c>
      <c r="X242" s="17" t="s">
        <v>197</v>
      </c>
      <c r="Y242" s="17" t="s">
        <v>216</v>
      </c>
      <c r="Z242" s="106">
        <v>27</v>
      </c>
      <c r="AA242" s="106">
        <v>27</v>
      </c>
      <c r="AB242" s="106">
        <v>0</v>
      </c>
      <c r="AC242" s="106">
        <v>27</v>
      </c>
      <c r="AD242" s="228">
        <v>1</v>
      </c>
      <c r="AE242" s="228">
        <v>1</v>
      </c>
      <c r="AF242" s="113" t="s">
        <v>305</v>
      </c>
      <c r="AG242" s="236">
        <v>4</v>
      </c>
      <c r="AH242" s="163">
        <v>0</v>
      </c>
      <c r="AI242" s="163">
        <v>0</v>
      </c>
      <c r="AJ242" s="163">
        <v>23</v>
      </c>
      <c r="AK242" s="38">
        <f>SUM(AG242:AJ242)</f>
        <v>27</v>
      </c>
      <c r="AL242" s="261">
        <f>IF(AG242+AH242=0,0,SUM(AG242:AH242)/AK242)</f>
        <v>0.14814814814814814</v>
      </c>
      <c r="AM242" s="261">
        <f>IF(AG242=0,0,AG242/(SUM(AG242:AI242)))</f>
        <v>1</v>
      </c>
      <c r="AN242" s="25"/>
      <c r="AO242" s="25" t="str">
        <f>_xlfn.XLOOKUP(F242,'TFS Details'!F:F,'TFS Details'!I:I)</f>
        <v>TitansPlus</v>
      </c>
      <c r="AP242" s="25" t="str">
        <f>_xlfn.XLOOKUP(AO242,'TFS Details'!I:I,'TFS Details'!AE:AE)</f>
        <v>nityanand.giri</v>
      </c>
    </row>
    <row r="243" spans="1:42">
      <c r="A243" s="24" t="str">
        <f>_xlfn.XLOOKUP(F243,'TFS Details'!F:F,'TFS Details'!D:D)</f>
        <v>Attach Calculator</v>
      </c>
      <c r="B243" s="24" t="str">
        <f>_xlfn.XLOOKUP(F243,'TFS Details'!F:F,'TFS Details'!A:A)</f>
        <v>Attach Calculator</v>
      </c>
      <c r="C243" s="46">
        <f>_xlfn.XLOOKUP(F243,'TFS Details'!F:F,'TFS Details'!E:E)</f>
        <v>4372279</v>
      </c>
      <c r="D243" s="250" t="s">
        <v>41</v>
      </c>
      <c r="E243" s="163" t="s">
        <v>779</v>
      </c>
      <c r="F243" s="197">
        <v>4367494</v>
      </c>
      <c r="G243" s="198" t="s">
        <v>759</v>
      </c>
      <c r="H243" s="66" t="s">
        <v>752</v>
      </c>
      <c r="I243" s="66" t="s">
        <v>49</v>
      </c>
      <c r="J243" s="66" t="s">
        <v>1</v>
      </c>
      <c r="K243" s="198" t="s">
        <v>249</v>
      </c>
      <c r="L243" s="66" t="s">
        <v>249</v>
      </c>
      <c r="M243" s="66" t="s">
        <v>461</v>
      </c>
      <c r="N243" s="66" t="s">
        <v>249</v>
      </c>
      <c r="O243" s="84">
        <v>0.45</v>
      </c>
      <c r="P243" s="66">
        <v>5</v>
      </c>
      <c r="Q243" s="66">
        <v>1</v>
      </c>
      <c r="R243" s="66">
        <v>0</v>
      </c>
      <c r="S243" s="66">
        <v>1</v>
      </c>
      <c r="T243" s="66" t="s">
        <v>249</v>
      </c>
      <c r="U243" s="66" t="s">
        <v>249</v>
      </c>
      <c r="V243" s="66" t="s">
        <v>204</v>
      </c>
      <c r="W243" s="66" t="s">
        <v>204</v>
      </c>
      <c r="X243" s="66" t="s">
        <v>204</v>
      </c>
      <c r="Y243" s="66" t="s">
        <v>204</v>
      </c>
      <c r="Z243" s="106">
        <v>75</v>
      </c>
      <c r="AA243" s="106">
        <v>17</v>
      </c>
      <c r="AB243" s="106">
        <v>0</v>
      </c>
      <c r="AC243" s="106">
        <v>17</v>
      </c>
      <c r="AD243" s="228">
        <v>0.5</v>
      </c>
      <c r="AE243" s="228">
        <v>0.4</v>
      </c>
      <c r="AF243" s="113" t="s">
        <v>242</v>
      </c>
      <c r="AG243" s="236">
        <v>17</v>
      </c>
      <c r="AH243" s="163">
        <v>0</v>
      </c>
      <c r="AI243" s="163">
        <v>0</v>
      </c>
      <c r="AJ243" s="163">
        <v>0</v>
      </c>
      <c r="AK243" s="38">
        <v>17</v>
      </c>
      <c r="AL243" s="261">
        <f>IF(AG243+AH243=0,0,SUM(AG243:AH243)/AK243)</f>
        <v>1</v>
      </c>
      <c r="AM243" s="261">
        <f>IF(AG243=0,0,AG243/(SUM(AG243:AI243)))</f>
        <v>1</v>
      </c>
      <c r="AN243" s="25"/>
      <c r="AO243" s="25" t="str">
        <f>_xlfn.XLOOKUP(F243,'TFS Details'!F:F,'TFS Details'!I:I)</f>
        <v>TitansPlus</v>
      </c>
      <c r="AP243" s="25" t="str">
        <f>_xlfn.XLOOKUP(AO243,'TFS Details'!I:I,'TFS Details'!AE:AE)</f>
        <v>nityanand.giri</v>
      </c>
    </row>
    <row r="244" spans="1:42">
      <c r="A244" s="24" t="str">
        <f>_xlfn.XLOOKUP(F244,'TFS Details'!F:F,'TFS Details'!D:D)</f>
        <v>Attach Calculator</v>
      </c>
      <c r="B244" s="24" t="str">
        <f>_xlfn.XLOOKUP(F244,'TFS Details'!F:F,'TFS Details'!A:A)</f>
        <v>Attach Calculator</v>
      </c>
      <c r="C244" s="46">
        <f>_xlfn.XLOOKUP(F244,'TFS Details'!F:F,'TFS Details'!E:E)</f>
        <v>4372279</v>
      </c>
      <c r="D244" s="250" t="s">
        <v>41</v>
      </c>
      <c r="E244" s="163" t="s">
        <v>780</v>
      </c>
      <c r="F244" s="197">
        <v>4367162</v>
      </c>
      <c r="G244" s="198" t="s">
        <v>770</v>
      </c>
      <c r="H244" s="66" t="s">
        <v>284</v>
      </c>
      <c r="I244" s="66" t="s">
        <v>117</v>
      </c>
      <c r="J244" s="66" t="s">
        <v>1</v>
      </c>
      <c r="K244" s="198" t="s">
        <v>249</v>
      </c>
      <c r="L244" s="66" t="s">
        <v>249</v>
      </c>
      <c r="M244" s="66" t="s">
        <v>311</v>
      </c>
      <c r="N244" s="66" t="s">
        <v>249</v>
      </c>
      <c r="O244" s="273">
        <v>0.1</v>
      </c>
      <c r="P244" s="66" t="s">
        <v>249</v>
      </c>
      <c r="Q244" s="66" t="s">
        <v>249</v>
      </c>
      <c r="R244" s="66" t="s">
        <v>249</v>
      </c>
      <c r="S244" s="66" t="s">
        <v>249</v>
      </c>
      <c r="T244" s="66" t="s">
        <v>249</v>
      </c>
      <c r="U244" s="66" t="s">
        <v>249</v>
      </c>
      <c r="V244" s="66" t="s">
        <v>204</v>
      </c>
      <c r="W244" s="66" t="s">
        <v>204</v>
      </c>
      <c r="X244" s="66" t="s">
        <v>204</v>
      </c>
      <c r="Y244" s="66" t="s">
        <v>216</v>
      </c>
      <c r="Z244" s="106">
        <v>24</v>
      </c>
      <c r="AA244" s="106">
        <v>23</v>
      </c>
      <c r="AB244" s="106">
        <v>0</v>
      </c>
      <c r="AC244" s="106">
        <v>23</v>
      </c>
      <c r="AD244" s="228">
        <v>0.95</v>
      </c>
      <c r="AE244" s="228">
        <v>0.98</v>
      </c>
      <c r="AF244" s="113" t="s">
        <v>242</v>
      </c>
      <c r="AG244" s="236">
        <v>20</v>
      </c>
      <c r="AH244" s="163">
        <v>0</v>
      </c>
      <c r="AI244" s="163">
        <v>0</v>
      </c>
      <c r="AJ244" s="163">
        <v>3</v>
      </c>
      <c r="AK244" s="38">
        <f>SUM(AG244:AJ244)</f>
        <v>23</v>
      </c>
      <c r="AL244" s="261">
        <f>IF(AG244+AH244=0,0,SUM(AG244:AH244)/AK244)</f>
        <v>0.86956521739130432</v>
      </c>
      <c r="AM244" s="261">
        <f>IF(AG244=0,0,AG244/(SUM(AG244:AI244)))</f>
        <v>1</v>
      </c>
      <c r="AN244" s="25"/>
      <c r="AO244" s="25" t="str">
        <f>_xlfn.XLOOKUP(F244,'TFS Details'!F:F,'TFS Details'!I:I)</f>
        <v>TitansPlus</v>
      </c>
      <c r="AP244" s="25" t="str">
        <f>_xlfn.XLOOKUP(AO244,'TFS Details'!I:I,'TFS Details'!AE:AE)</f>
        <v>nityanand.giri</v>
      </c>
    </row>
    <row r="245" spans="1:42">
      <c r="A245" s="24" t="str">
        <f>_xlfn.XLOOKUP(F245,'TFS Details'!F:F,'TFS Details'!D:D)</f>
        <v>Attach Calculator</v>
      </c>
      <c r="B245" s="24" t="str">
        <f>_xlfn.XLOOKUP(F245,'TFS Details'!F:F,'TFS Details'!A:A)</f>
        <v>Attach Calculator</v>
      </c>
      <c r="C245" s="46">
        <f>_xlfn.XLOOKUP(F245,'TFS Details'!F:F,'TFS Details'!E:E)</f>
        <v>4372279</v>
      </c>
      <c r="D245" s="250" t="s">
        <v>41</v>
      </c>
      <c r="E245" s="163" t="s">
        <v>781</v>
      </c>
      <c r="F245" s="197">
        <v>4367480</v>
      </c>
      <c r="G245" s="198" t="s">
        <v>782</v>
      </c>
      <c r="H245" s="66" t="s">
        <v>284</v>
      </c>
      <c r="I245" s="198" t="s">
        <v>88</v>
      </c>
      <c r="J245" s="66" t="s">
        <v>1</v>
      </c>
      <c r="K245" s="198" t="s">
        <v>249</v>
      </c>
      <c r="L245" s="66" t="s">
        <v>249</v>
      </c>
      <c r="M245" s="66" t="s">
        <v>461</v>
      </c>
      <c r="N245" s="66" t="s">
        <v>249</v>
      </c>
      <c r="O245" s="273">
        <v>0.6</v>
      </c>
      <c r="P245" s="66" t="s">
        <v>249</v>
      </c>
      <c r="Q245" s="66" t="s">
        <v>249</v>
      </c>
      <c r="R245" s="66" t="s">
        <v>249</v>
      </c>
      <c r="S245" s="66" t="s">
        <v>249</v>
      </c>
      <c r="T245" s="66" t="s">
        <v>249</v>
      </c>
      <c r="U245" s="66" t="s">
        <v>249</v>
      </c>
      <c r="V245" s="66" t="s">
        <v>204</v>
      </c>
      <c r="W245" s="66" t="s">
        <v>197</v>
      </c>
      <c r="X245" s="66" t="s">
        <v>197</v>
      </c>
      <c r="Y245" s="66" t="s">
        <v>204</v>
      </c>
      <c r="Z245" s="106">
        <v>18</v>
      </c>
      <c r="AA245" s="106">
        <v>9</v>
      </c>
      <c r="AB245" s="106">
        <v>0</v>
      </c>
      <c r="AC245" s="106">
        <v>9</v>
      </c>
      <c r="AD245" s="228">
        <v>0.7</v>
      </c>
      <c r="AE245" s="228">
        <v>0.6</v>
      </c>
      <c r="AF245" s="113" t="s">
        <v>783</v>
      </c>
      <c r="AG245" s="236">
        <v>8</v>
      </c>
      <c r="AH245" s="163">
        <v>0</v>
      </c>
      <c r="AI245" s="163">
        <v>0</v>
      </c>
      <c r="AJ245" s="265">
        <v>0</v>
      </c>
      <c r="AK245" s="38">
        <f>SUM(AG245:AJ245)</f>
        <v>8</v>
      </c>
      <c r="AL245" s="261">
        <f>IF(AG245+AH245=0,0,SUM(AG245:AH245)/AK245)</f>
        <v>1</v>
      </c>
      <c r="AM245" s="261">
        <f>IF(AG245=0,0,AG245/(SUM(AG245:AI245)))</f>
        <v>1</v>
      </c>
      <c r="AN245" s="25"/>
      <c r="AO245" s="25" t="str">
        <f>_xlfn.XLOOKUP(F245,'TFS Details'!F:F,'TFS Details'!I:I)</f>
        <v>TitansPlus</v>
      </c>
      <c r="AP245" s="25" t="str">
        <f>_xlfn.XLOOKUP(AO245,'TFS Details'!I:I,'TFS Details'!AE:AE)</f>
        <v>nityanand.giri</v>
      </c>
    </row>
    <row r="246" spans="1:42">
      <c r="A246" s="24" t="str">
        <f>_xlfn.XLOOKUP(F246,'TFS Details'!F:F,'TFS Details'!D:D)</f>
        <v>Attach Calculator</v>
      </c>
      <c r="B246" s="24" t="str">
        <f>_xlfn.XLOOKUP(F246,'TFS Details'!F:F,'TFS Details'!A:A)</f>
        <v>Attach Calculator</v>
      </c>
      <c r="C246" s="46">
        <f>_xlfn.XLOOKUP(F246,'TFS Details'!F:F,'TFS Details'!E:E)</f>
        <v>4372279</v>
      </c>
      <c r="D246" s="250" t="s">
        <v>41</v>
      </c>
      <c r="E246" s="163" t="s">
        <v>784</v>
      </c>
      <c r="F246" s="197">
        <v>4367145</v>
      </c>
      <c r="G246" s="198" t="s">
        <v>782</v>
      </c>
      <c r="H246" s="66" t="s">
        <v>754</v>
      </c>
      <c r="I246" s="198" t="s">
        <v>88</v>
      </c>
      <c r="J246" s="66" t="s">
        <v>1</v>
      </c>
      <c r="K246" s="198" t="s">
        <v>249</v>
      </c>
      <c r="L246" s="66" t="s">
        <v>249</v>
      </c>
      <c r="M246" s="66" t="s">
        <v>461</v>
      </c>
      <c r="N246" s="66" t="s">
        <v>249</v>
      </c>
      <c r="O246" s="273">
        <v>0.2</v>
      </c>
      <c r="P246" s="66" t="s">
        <v>249</v>
      </c>
      <c r="Q246" s="66" t="s">
        <v>249</v>
      </c>
      <c r="R246" s="66" t="s">
        <v>249</v>
      </c>
      <c r="S246" s="66" t="s">
        <v>249</v>
      </c>
      <c r="T246" s="66" t="s">
        <v>249</v>
      </c>
      <c r="U246" s="66" t="s">
        <v>249</v>
      </c>
      <c r="V246" s="66" t="s">
        <v>204</v>
      </c>
      <c r="W246" s="66" t="s">
        <v>197</v>
      </c>
      <c r="X246" s="66" t="s">
        <v>197</v>
      </c>
      <c r="Y246" s="66" t="s">
        <v>204</v>
      </c>
      <c r="Z246" s="106">
        <v>53</v>
      </c>
      <c r="AA246" s="106">
        <v>53</v>
      </c>
      <c r="AB246" s="106">
        <v>0</v>
      </c>
      <c r="AC246" s="106">
        <v>53</v>
      </c>
      <c r="AD246" s="228">
        <v>0.7</v>
      </c>
      <c r="AE246" s="228">
        <v>0.7</v>
      </c>
      <c r="AF246" s="113" t="s">
        <v>783</v>
      </c>
      <c r="AG246" s="236">
        <v>27</v>
      </c>
      <c r="AH246" s="163">
        <v>0</v>
      </c>
      <c r="AI246" s="163">
        <v>0</v>
      </c>
      <c r="AJ246" s="265">
        <v>0</v>
      </c>
      <c r="AK246" s="38">
        <f>SUM(AG246:AJ246)</f>
        <v>27</v>
      </c>
      <c r="AL246" s="261">
        <f>IF(AG246+AH246=0,0,SUM(AG246:AH246)/AK246)</f>
        <v>1</v>
      </c>
      <c r="AM246" s="261">
        <f>IF(AG246=0,0,AG246/(SUM(AG246:AI246)))</f>
        <v>1</v>
      </c>
      <c r="AN246" s="25"/>
      <c r="AO246" s="25" t="str">
        <f>_xlfn.XLOOKUP(F246,'TFS Details'!F:F,'TFS Details'!I:I)</f>
        <v>TitansPlus</v>
      </c>
      <c r="AP246" s="25" t="str">
        <f>_xlfn.XLOOKUP(AO246,'TFS Details'!I:I,'TFS Details'!AE:AE)</f>
        <v>nityanand.giri</v>
      </c>
    </row>
    <row r="247" spans="1:42">
      <c r="A247" s="24" t="str">
        <f>_xlfn.XLOOKUP(F247,'TFS Details'!F:F,'TFS Details'!D:D)</f>
        <v>Calculator</v>
      </c>
      <c r="B247" s="24" t="str">
        <f>_xlfn.XLOOKUP(F247,'TFS Details'!F:F,'TFS Details'!A:A)</f>
        <v>Attach Calculator</v>
      </c>
      <c r="C247" s="46">
        <f>_xlfn.XLOOKUP(F247,'TFS Details'!F:F,'TFS Details'!E:E)</f>
        <v>4372279</v>
      </c>
      <c r="D247" s="250" t="s">
        <v>41</v>
      </c>
      <c r="E247" s="163" t="s">
        <v>282</v>
      </c>
      <c r="F247" s="197">
        <v>4367506</v>
      </c>
      <c r="G247" s="198" t="s">
        <v>782</v>
      </c>
      <c r="H247" s="66" t="s">
        <v>752</v>
      </c>
      <c r="I247" s="198" t="s">
        <v>88</v>
      </c>
      <c r="J247" s="250" t="s">
        <v>20</v>
      </c>
      <c r="K247" s="198" t="s">
        <v>785</v>
      </c>
      <c r="L247" s="66" t="s">
        <v>196</v>
      </c>
      <c r="M247" s="66" t="s">
        <v>249</v>
      </c>
      <c r="N247" s="66" t="s">
        <v>249</v>
      </c>
      <c r="O247" s="273">
        <v>0.1</v>
      </c>
      <c r="P247" s="66" t="s">
        <v>249</v>
      </c>
      <c r="Q247" s="66" t="s">
        <v>249</v>
      </c>
      <c r="R247" s="66" t="s">
        <v>249</v>
      </c>
      <c r="S247" s="66" t="s">
        <v>249</v>
      </c>
      <c r="T247" s="66" t="s">
        <v>249</v>
      </c>
      <c r="U247" s="66" t="s">
        <v>249</v>
      </c>
      <c r="V247" s="66" t="s">
        <v>204</v>
      </c>
      <c r="W247" s="66" t="s">
        <v>197</v>
      </c>
      <c r="X247" s="66" t="s">
        <v>197</v>
      </c>
      <c r="Y247" s="66" t="s">
        <v>204</v>
      </c>
      <c r="Z247" s="106">
        <v>11</v>
      </c>
      <c r="AA247" s="106">
        <v>10</v>
      </c>
      <c r="AB247" s="106">
        <v>0</v>
      </c>
      <c r="AC247" s="106">
        <v>10</v>
      </c>
      <c r="AD247" s="228">
        <v>0.8</v>
      </c>
      <c r="AE247" s="228">
        <v>0.8</v>
      </c>
      <c r="AF247" s="113" t="s">
        <v>783</v>
      </c>
      <c r="AG247" s="236">
        <v>12</v>
      </c>
      <c r="AH247" s="163">
        <v>0</v>
      </c>
      <c r="AI247" s="163">
        <v>0</v>
      </c>
      <c r="AJ247" s="265">
        <v>0</v>
      </c>
      <c r="AK247" s="38">
        <f>SUM(AG247:AJ247)</f>
        <v>12</v>
      </c>
      <c r="AL247" s="261">
        <f>IF(AG247+AH247=0,0,SUM(AG247:AH247)/AK247)</f>
        <v>1</v>
      </c>
      <c r="AM247" s="261">
        <f>IF(AG247=0,0,AG247/(SUM(AG247:AI247)))</f>
        <v>1</v>
      </c>
      <c r="AN247" s="25"/>
      <c r="AO247" s="25" t="str">
        <f>_xlfn.XLOOKUP(F247,'TFS Details'!F:F,'TFS Details'!I:I)</f>
        <v>TitansPlus</v>
      </c>
      <c r="AP247" s="25" t="str">
        <f>_xlfn.XLOOKUP(AO247,'TFS Details'!I:I,'TFS Details'!AE:AE)</f>
        <v>nityanand.giri</v>
      </c>
    </row>
    <row r="248" spans="1:42">
      <c r="A248" s="24" t="str">
        <f>_xlfn.XLOOKUP(F248,'TFS Details'!F:F,'TFS Details'!D:D)</f>
        <v>Calculator</v>
      </c>
      <c r="B248" s="24" t="str">
        <f>_xlfn.XLOOKUP(F248,'TFS Details'!F:F,'TFS Details'!A:A)</f>
        <v>Attach Calculator</v>
      </c>
      <c r="C248" s="46">
        <f>_xlfn.XLOOKUP(F248,'TFS Details'!F:F,'TFS Details'!E:E)</f>
        <v>4372279</v>
      </c>
      <c r="D248" s="250" t="s">
        <v>41</v>
      </c>
      <c r="E248" s="163" t="s">
        <v>786</v>
      </c>
      <c r="F248" s="197">
        <v>4367508</v>
      </c>
      <c r="G248" s="198" t="s">
        <v>787</v>
      </c>
      <c r="H248" s="66" t="s">
        <v>284</v>
      </c>
      <c r="I248" s="198" t="s">
        <v>107</v>
      </c>
      <c r="J248" s="66" t="s">
        <v>1</v>
      </c>
      <c r="K248" s="198" t="s">
        <v>249</v>
      </c>
      <c r="L248" s="66" t="s">
        <v>249</v>
      </c>
      <c r="M248" s="66" t="s">
        <v>311</v>
      </c>
      <c r="N248" s="66" t="s">
        <v>249</v>
      </c>
      <c r="O248" s="273">
        <v>0.1</v>
      </c>
      <c r="P248" s="66" t="s">
        <v>249</v>
      </c>
      <c r="Q248" s="66" t="s">
        <v>249</v>
      </c>
      <c r="R248" s="66" t="s">
        <v>249</v>
      </c>
      <c r="S248" s="66" t="s">
        <v>249</v>
      </c>
      <c r="T248" s="66" t="s">
        <v>249</v>
      </c>
      <c r="U248" s="66" t="s">
        <v>249</v>
      </c>
      <c r="V248" s="66" t="s">
        <v>204</v>
      </c>
      <c r="W248" s="66" t="s">
        <v>197</v>
      </c>
      <c r="X248" s="66" t="s">
        <v>197</v>
      </c>
      <c r="Y248" s="66" t="s">
        <v>197</v>
      </c>
      <c r="Z248" s="106">
        <v>67</v>
      </c>
      <c r="AA248" s="106">
        <v>67</v>
      </c>
      <c r="AB248" s="106">
        <v>0</v>
      </c>
      <c r="AC248" s="106">
        <v>67</v>
      </c>
      <c r="AD248" s="106">
        <v>100</v>
      </c>
      <c r="AE248" s="106">
        <v>100</v>
      </c>
      <c r="AF248" s="113" t="s">
        <v>242</v>
      </c>
      <c r="AG248" s="236">
        <v>0</v>
      </c>
      <c r="AH248" s="163">
        <v>0</v>
      </c>
      <c r="AI248" s="163">
        <v>0</v>
      </c>
      <c r="AJ248" s="265">
        <v>67</v>
      </c>
      <c r="AK248" s="38">
        <f>SUM(AG248:AJ248)</f>
        <v>67</v>
      </c>
      <c r="AL248" s="261">
        <f>IF(AG248+AH248=0,0,SUM(AG248:AH248)/AK248)</f>
        <v>0</v>
      </c>
      <c r="AM248" s="261">
        <f>IF(AG248=0,0,AG248/(SUM(AG248:AI248)))</f>
        <v>0</v>
      </c>
      <c r="AN248" s="75"/>
      <c r="AO248" s="25" t="str">
        <f>_xlfn.XLOOKUP(F248,'TFS Details'!F:F,'TFS Details'!I:I)</f>
        <v>TechMavericks</v>
      </c>
      <c r="AP248" s="25" t="str">
        <f>_xlfn.XLOOKUP(AO248,'TFS Details'!I:I,'TFS Details'!AE:AE)</f>
        <v>Francis.Deepak</v>
      </c>
    </row>
    <row r="249" spans="1:42">
      <c r="A249" s="24" t="str">
        <f>_xlfn.XLOOKUP(F249,'TFS Details'!F:F,'TFS Details'!D:D)</f>
        <v>Calculator</v>
      </c>
      <c r="B249" s="24" t="str">
        <f>_xlfn.XLOOKUP(F249,'TFS Details'!F:F,'TFS Details'!A:A)</f>
        <v>Attach Calculator</v>
      </c>
      <c r="C249" s="46">
        <f>_xlfn.XLOOKUP(F249,'TFS Details'!F:F,'TFS Details'!E:E)</f>
        <v>4372279</v>
      </c>
      <c r="D249" s="250" t="s">
        <v>41</v>
      </c>
      <c r="E249" s="163" t="s">
        <v>788</v>
      </c>
      <c r="F249" s="197">
        <v>4367567</v>
      </c>
      <c r="G249" s="198" t="s">
        <v>782</v>
      </c>
      <c r="H249" s="66" t="s">
        <v>284</v>
      </c>
      <c r="I249" s="198" t="s">
        <v>88</v>
      </c>
      <c r="J249" s="66" t="s">
        <v>1</v>
      </c>
      <c r="K249" s="198" t="s">
        <v>249</v>
      </c>
      <c r="L249" s="66" t="s">
        <v>249</v>
      </c>
      <c r="M249" s="66" t="s">
        <v>461</v>
      </c>
      <c r="N249" s="66" t="s">
        <v>249</v>
      </c>
      <c r="O249" s="273">
        <v>0.1</v>
      </c>
      <c r="P249" s="66" t="s">
        <v>249</v>
      </c>
      <c r="Q249" s="66" t="s">
        <v>249</v>
      </c>
      <c r="R249" s="66" t="s">
        <v>249</v>
      </c>
      <c r="S249" s="66" t="s">
        <v>249</v>
      </c>
      <c r="T249" s="66" t="s">
        <v>249</v>
      </c>
      <c r="U249" s="66" t="s">
        <v>249</v>
      </c>
      <c r="V249" s="66" t="s">
        <v>204</v>
      </c>
      <c r="W249" s="66" t="s">
        <v>204</v>
      </c>
      <c r="X249" s="66" t="s">
        <v>197</v>
      </c>
      <c r="Y249" s="66" t="s">
        <v>216</v>
      </c>
      <c r="Z249" s="106">
        <v>26</v>
      </c>
      <c r="AA249" s="106">
        <v>24</v>
      </c>
      <c r="AB249" s="106">
        <v>0</v>
      </c>
      <c r="AC249" s="106">
        <v>24</v>
      </c>
      <c r="AD249" s="228">
        <v>0.8</v>
      </c>
      <c r="AE249" s="228">
        <v>0.7</v>
      </c>
      <c r="AF249" s="113" t="s">
        <v>305</v>
      </c>
      <c r="AG249" s="236">
        <v>2</v>
      </c>
      <c r="AH249" s="163">
        <v>0</v>
      </c>
      <c r="AI249" s="163">
        <v>0</v>
      </c>
      <c r="AJ249" s="71">
        <v>22</v>
      </c>
      <c r="AK249" s="38">
        <f>SUM(AG249:AJ249)</f>
        <v>24</v>
      </c>
      <c r="AL249" s="261">
        <f>IF(AG249+AH249=0,0,SUM(AG249:AH249)/AK249)</f>
        <v>8.3333333333333329E-2</v>
      </c>
      <c r="AM249" s="261">
        <f>IF(AG249=0,0,AG249/(SUM(AG249:AI249)))</f>
        <v>1</v>
      </c>
      <c r="AN249" s="75"/>
      <c r="AO249" s="25" t="str">
        <f>_xlfn.XLOOKUP(F249,'TFS Details'!F:F,'TFS Details'!I:I)</f>
        <v>TechSavers</v>
      </c>
      <c r="AP249" s="25" t="str">
        <f>_xlfn.XLOOKUP(AO249,'TFS Details'!I:I,'TFS Details'!AE:AE)</f>
        <v>nityanand.giri</v>
      </c>
    </row>
    <row r="250" spans="1:42">
      <c r="A250" s="24" t="str">
        <f>_xlfn.XLOOKUP(F250,'TFS Details'!F:F,'TFS Details'!D:D)</f>
        <v>Attach Calculators</v>
      </c>
      <c r="B250" s="24" t="str">
        <f>_xlfn.XLOOKUP(F250,'TFS Details'!F:F,'TFS Details'!A:A)</f>
        <v>Automation calculator - Attach Calculator</v>
      </c>
      <c r="C250" s="46">
        <f>_xlfn.XLOOKUP(F250,'TFS Details'!F:F,'TFS Details'!E:E)</f>
        <v>4387285</v>
      </c>
      <c r="D250" s="250" t="s">
        <v>41</v>
      </c>
      <c r="E250" s="163" t="s">
        <v>789</v>
      </c>
      <c r="F250" s="197">
        <v>4367870</v>
      </c>
      <c r="G250" s="198" t="s">
        <v>790</v>
      </c>
      <c r="H250" s="66" t="s">
        <v>791</v>
      </c>
      <c r="I250" s="198" t="s">
        <v>112</v>
      </c>
      <c r="J250" s="66" t="s">
        <v>1</v>
      </c>
      <c r="K250" s="198" t="s">
        <v>249</v>
      </c>
      <c r="L250" s="66" t="s">
        <v>249</v>
      </c>
      <c r="M250" s="66" t="s">
        <v>249</v>
      </c>
      <c r="N250" s="66" t="s">
        <v>249</v>
      </c>
      <c r="O250" s="273">
        <v>0.1</v>
      </c>
      <c r="P250" s="66" t="s">
        <v>249</v>
      </c>
      <c r="Q250" s="66" t="s">
        <v>249</v>
      </c>
      <c r="R250" s="66" t="s">
        <v>249</v>
      </c>
      <c r="S250" s="66" t="s">
        <v>249</v>
      </c>
      <c r="T250" s="66" t="s">
        <v>249</v>
      </c>
      <c r="U250" s="66" t="s">
        <v>249</v>
      </c>
      <c r="V250" s="66" t="s">
        <v>204</v>
      </c>
      <c r="W250" s="66" t="s">
        <v>204</v>
      </c>
      <c r="X250" s="66" t="s">
        <v>197</v>
      </c>
      <c r="Y250" s="66" t="s">
        <v>197</v>
      </c>
      <c r="Z250" s="106" t="s">
        <v>792</v>
      </c>
      <c r="AA250" s="106">
        <v>6</v>
      </c>
      <c r="AB250" s="106">
        <v>9</v>
      </c>
      <c r="AC250" s="106" t="s">
        <v>793</v>
      </c>
      <c r="AD250" s="106" t="s">
        <v>794</v>
      </c>
      <c r="AE250" s="106" t="s">
        <v>795</v>
      </c>
      <c r="AF250" s="113" t="s">
        <v>242</v>
      </c>
      <c r="AG250" s="236">
        <v>0</v>
      </c>
      <c r="AH250" s="163">
        <v>0</v>
      </c>
      <c r="AI250" s="163">
        <v>0</v>
      </c>
      <c r="AJ250" s="71">
        <v>15</v>
      </c>
      <c r="AK250" s="38">
        <f>SUM(AG250:AJ250)</f>
        <v>15</v>
      </c>
      <c r="AL250" s="261">
        <f>IF(AG250+AH250=0,0,SUM(AG250:AH250)/AK250)</f>
        <v>0</v>
      </c>
      <c r="AM250" s="261">
        <f>IF(AG250=0,0,AG250/(SUM(AG250:AI250)))</f>
        <v>0</v>
      </c>
      <c r="AN250" s="25"/>
      <c r="AO250" s="25" t="str">
        <f>_xlfn.XLOOKUP(F250,'TFS Details'!F:F,'TFS Details'!I:I)</f>
        <v>CrazyCoders</v>
      </c>
      <c r="AP250" s="25" t="str">
        <f>_xlfn.XLOOKUP(AO250,'TFS Details'!I:I,'TFS Details'!AE:AE)</f>
        <v>nityanand.giri</v>
      </c>
    </row>
    <row r="251" spans="1:42">
      <c r="A251" s="24" t="str">
        <f>_xlfn.XLOOKUP(F251,'TFS Details'!F:F,'TFS Details'!D:D)</f>
        <v>Attach Calculators</v>
      </c>
      <c r="B251" s="24" t="str">
        <f>_xlfn.XLOOKUP(F251,'TFS Details'!F:F,'TFS Details'!A:A)</f>
        <v>Automation calculator - Attach Calculator</v>
      </c>
      <c r="C251" s="46">
        <f>_xlfn.XLOOKUP(F251,'TFS Details'!F:F,'TFS Details'!E:E)</f>
        <v>4387285</v>
      </c>
      <c r="D251" s="250" t="s">
        <v>41</v>
      </c>
      <c r="E251" s="163" t="s">
        <v>796</v>
      </c>
      <c r="F251" s="197">
        <v>4367874</v>
      </c>
      <c r="G251" s="198" t="s">
        <v>790</v>
      </c>
      <c r="H251" s="66" t="s">
        <v>791</v>
      </c>
      <c r="I251" s="198" t="s">
        <v>112</v>
      </c>
      <c r="J251" s="66" t="s">
        <v>1</v>
      </c>
      <c r="K251" s="198" t="s">
        <v>249</v>
      </c>
      <c r="L251" s="66" t="s">
        <v>249</v>
      </c>
      <c r="M251" s="66" t="s">
        <v>249</v>
      </c>
      <c r="N251" s="66" t="s">
        <v>249</v>
      </c>
      <c r="O251" s="273">
        <v>0.1</v>
      </c>
      <c r="P251" s="66" t="s">
        <v>249</v>
      </c>
      <c r="Q251" s="66" t="s">
        <v>249</v>
      </c>
      <c r="R251" s="66" t="s">
        <v>249</v>
      </c>
      <c r="S251" s="66" t="s">
        <v>249</v>
      </c>
      <c r="T251" s="66" t="s">
        <v>249</v>
      </c>
      <c r="U251" s="66" t="s">
        <v>249</v>
      </c>
      <c r="V251" s="66" t="s">
        <v>204</v>
      </c>
      <c r="W251" s="66" t="s">
        <v>204</v>
      </c>
      <c r="X251" s="66" t="s">
        <v>197</v>
      </c>
      <c r="Y251" s="66" t="s">
        <v>197</v>
      </c>
      <c r="Z251" s="106" t="s">
        <v>797</v>
      </c>
      <c r="AA251" s="106" t="s">
        <v>798</v>
      </c>
      <c r="AB251" s="106" t="s">
        <v>799</v>
      </c>
      <c r="AC251" s="106" t="s">
        <v>793</v>
      </c>
      <c r="AD251" s="106" t="s">
        <v>795</v>
      </c>
      <c r="AE251" s="106" t="s">
        <v>795</v>
      </c>
      <c r="AF251" s="113" t="s">
        <v>242</v>
      </c>
      <c r="AG251" s="236">
        <v>0</v>
      </c>
      <c r="AH251" s="163">
        <v>0</v>
      </c>
      <c r="AI251" s="163">
        <v>0</v>
      </c>
      <c r="AJ251" s="163">
        <v>15</v>
      </c>
      <c r="AK251" s="38">
        <f>SUM(AG251:AJ251)</f>
        <v>15</v>
      </c>
      <c r="AL251" s="261">
        <f>IF(AG251+AH251=0,0,SUM(AG251:AH251)/AK251)</f>
        <v>0</v>
      </c>
      <c r="AM251" s="261">
        <f>IF(AG251=0,0,AG251/(SUM(AG251:AI251)))</f>
        <v>0</v>
      </c>
      <c r="AN251" s="25"/>
      <c r="AO251" s="25" t="str">
        <f>_xlfn.XLOOKUP(F251,'TFS Details'!F:F,'TFS Details'!I:I)</f>
        <v>CrazyCoders</v>
      </c>
      <c r="AP251" s="25" t="str">
        <f>_xlfn.XLOOKUP(AO251,'TFS Details'!I:I,'TFS Details'!AE:AE)</f>
        <v>nityanand.giri</v>
      </c>
    </row>
    <row r="252" spans="1:42" ht="24">
      <c r="A252" s="24" t="str">
        <f>_xlfn.XLOOKUP(F252,'TFS Details'!F:F,'TFS Details'!D:D)</f>
        <v>Attach Calculators</v>
      </c>
      <c r="B252" s="24" t="str">
        <f>_xlfn.XLOOKUP(F252,'TFS Details'!F:F,'TFS Details'!A:A)</f>
        <v>Attach Calculator - S&amp;C Sync</v>
      </c>
      <c r="C252" s="46">
        <f>_xlfn.XLOOKUP(F252,'TFS Details'!F:F,'TFS Details'!E:E)</f>
        <v>4366166</v>
      </c>
      <c r="D252" s="250" t="s">
        <v>41</v>
      </c>
      <c r="E252" s="163" t="s">
        <v>800</v>
      </c>
      <c r="F252" s="197">
        <v>4358683</v>
      </c>
      <c r="G252" s="66" t="s">
        <v>790</v>
      </c>
      <c r="H252" s="66" t="s">
        <v>791</v>
      </c>
      <c r="I252" s="198" t="s">
        <v>112</v>
      </c>
      <c r="J252" s="250" t="s">
        <v>20</v>
      </c>
      <c r="K252" s="202" t="s">
        <v>801</v>
      </c>
      <c r="L252" s="66" t="s">
        <v>460</v>
      </c>
      <c r="M252" s="66" t="s">
        <v>249</v>
      </c>
      <c r="N252" s="66" t="s">
        <v>249</v>
      </c>
      <c r="O252" s="273">
        <v>0.15</v>
      </c>
      <c r="P252" s="66" t="s">
        <v>249</v>
      </c>
      <c r="Q252" s="66" t="s">
        <v>249</v>
      </c>
      <c r="R252" s="66" t="s">
        <v>249</v>
      </c>
      <c r="S252" s="66" t="s">
        <v>249</v>
      </c>
      <c r="T252" s="66" t="s">
        <v>249</v>
      </c>
      <c r="U252" s="66" t="s">
        <v>249</v>
      </c>
      <c r="V252" s="66" t="s">
        <v>204</v>
      </c>
      <c r="W252" s="66" t="s">
        <v>204</v>
      </c>
      <c r="X252" s="66" t="s">
        <v>197</v>
      </c>
      <c r="Y252" s="66" t="s">
        <v>197</v>
      </c>
      <c r="Z252" s="106">
        <v>34</v>
      </c>
      <c r="AA252" s="106">
        <v>7</v>
      </c>
      <c r="AB252" s="106" t="s">
        <v>802</v>
      </c>
      <c r="AC252" s="106" t="s">
        <v>803</v>
      </c>
      <c r="AD252" s="106" t="s">
        <v>794</v>
      </c>
      <c r="AE252" s="228">
        <v>0.8</v>
      </c>
      <c r="AF252" s="113" t="s">
        <v>198</v>
      </c>
      <c r="AG252" s="236">
        <v>0</v>
      </c>
      <c r="AH252" s="163">
        <v>0</v>
      </c>
      <c r="AI252" s="163">
        <v>0</v>
      </c>
      <c r="AJ252" s="163">
        <v>12</v>
      </c>
      <c r="AK252" s="38">
        <f>SUM(AG252:AJ252)</f>
        <v>12</v>
      </c>
      <c r="AL252" s="261">
        <f>IF(AG252+AH252=0,0,SUM(AG252:AH252)/AK252)</f>
        <v>0</v>
      </c>
      <c r="AM252" s="261">
        <f>IF(AG252=0,0,AG252/(SUM(AG252:AI252)))</f>
        <v>0</v>
      </c>
      <c r="AN252" s="25"/>
      <c r="AO252" s="25" t="str">
        <f>_xlfn.XLOOKUP(F252,'TFS Details'!F:F,'TFS Details'!I:I)</f>
        <v>Codeplayers</v>
      </c>
      <c r="AP252" s="25" t="str">
        <f>_xlfn.XLOOKUP(AO252,'TFS Details'!I:I,'TFS Details'!AE:AE)</f>
        <v>nityanand.giri</v>
      </c>
    </row>
    <row r="253" spans="1:42">
      <c r="A253" s="24" t="str">
        <f>_xlfn.XLOOKUP(F253,'TFS Details'!F:F,'TFS Details'!D:D)</f>
        <v>IMS Mobilization Calculator</v>
      </c>
      <c r="B253" s="24" t="str">
        <f>_xlfn.XLOOKUP(F253,'TFS Details'!F:F,'TFS Details'!A:A)</f>
        <v>IMS Mobilization Calculator enablement-Top Down/Bottom Up</v>
      </c>
      <c r="C253" s="46">
        <f>_xlfn.XLOOKUP(F253,'TFS Details'!F:F,'TFS Details'!E:E)</f>
        <v>4386528</v>
      </c>
      <c r="D253" s="250" t="s">
        <v>41</v>
      </c>
      <c r="E253" s="163" t="s">
        <v>804</v>
      </c>
      <c r="F253" s="197">
        <v>4359135</v>
      </c>
      <c r="G253" s="66" t="s">
        <v>805</v>
      </c>
      <c r="H253" s="66" t="s">
        <v>259</v>
      </c>
      <c r="I253" s="66" t="s">
        <v>115</v>
      </c>
      <c r="J253" s="66" t="s">
        <v>1</v>
      </c>
      <c r="K253" s="66" t="s">
        <v>249</v>
      </c>
      <c r="L253" s="66" t="s">
        <v>249</v>
      </c>
      <c r="M253" s="66" t="s">
        <v>461</v>
      </c>
      <c r="N253" s="66" t="s">
        <v>249</v>
      </c>
      <c r="O253" s="273">
        <v>0.1</v>
      </c>
      <c r="P253" s="66" t="s">
        <v>249</v>
      </c>
      <c r="Q253" s="66" t="s">
        <v>249</v>
      </c>
      <c r="R253" s="66" t="s">
        <v>249</v>
      </c>
      <c r="S253" s="66" t="s">
        <v>249</v>
      </c>
      <c r="T253" s="66" t="s">
        <v>249</v>
      </c>
      <c r="U253" s="66" t="s">
        <v>249</v>
      </c>
      <c r="V253" s="66" t="s">
        <v>204</v>
      </c>
      <c r="W253" s="66" t="s">
        <v>204</v>
      </c>
      <c r="X253" s="66" t="s">
        <v>204</v>
      </c>
      <c r="Y253" s="17" t="s">
        <v>216</v>
      </c>
      <c r="Z253" s="106">
        <v>18</v>
      </c>
      <c r="AA253" s="106">
        <v>13</v>
      </c>
      <c r="AB253" s="106">
        <v>1</v>
      </c>
      <c r="AC253" s="106" t="s">
        <v>249</v>
      </c>
      <c r="AD253" s="228">
        <v>0.9</v>
      </c>
      <c r="AE253" s="228">
        <v>0.9</v>
      </c>
      <c r="AF253" s="113" t="s">
        <v>242</v>
      </c>
      <c r="AG253" s="236">
        <v>1</v>
      </c>
      <c r="AH253" s="163">
        <v>0</v>
      </c>
      <c r="AI253" s="163">
        <v>0</v>
      </c>
      <c r="AJ253" s="163">
        <v>13</v>
      </c>
      <c r="AK253" s="38">
        <f>SUM(AG253:AJ253)</f>
        <v>14</v>
      </c>
      <c r="AL253" s="261">
        <f>IF(AG253+AH253=0,0,SUM(AG253:AH253)/AK253)</f>
        <v>7.1428571428571425E-2</v>
      </c>
      <c r="AM253" s="261">
        <f>IF(AG253=0,0,AG253/(SUM(AG253:AI253)))</f>
        <v>1</v>
      </c>
      <c r="AN253" s="25"/>
      <c r="AO253" s="25" t="str">
        <f>_xlfn.XLOOKUP(F253,'TFS Details'!F:F,'TFS Details'!I:I)</f>
        <v>Everest</v>
      </c>
      <c r="AP253" s="25" t="str">
        <f>_xlfn.XLOOKUP(AO253,'TFS Details'!I:I,'TFS Details'!AE:AE)</f>
        <v>nityanand.giri</v>
      </c>
    </row>
    <row r="254" spans="1:42">
      <c r="A254" s="24" t="str">
        <f>_xlfn.XLOOKUP(F254,'TFS Details'!F:F,'TFS Details'!D:D)</f>
        <v>IMS Mobilization Calculator</v>
      </c>
      <c r="B254" s="24" t="str">
        <f>_xlfn.XLOOKUP(F254,'TFS Details'!F:F,'TFS Details'!A:A)</f>
        <v>IMS Mobilization Calculator enablement-Top Down/Bottom Up</v>
      </c>
      <c r="C254" s="46">
        <f>_xlfn.XLOOKUP(F254,'TFS Details'!F:F,'TFS Details'!E:E)</f>
        <v>4386528</v>
      </c>
      <c r="D254" s="250" t="s">
        <v>41</v>
      </c>
      <c r="E254" s="163" t="s">
        <v>806</v>
      </c>
      <c r="F254" s="197">
        <v>4359177</v>
      </c>
      <c r="G254" s="66" t="s">
        <v>805</v>
      </c>
      <c r="H254" s="66" t="s">
        <v>259</v>
      </c>
      <c r="I254" s="66" t="s">
        <v>115</v>
      </c>
      <c r="J254" s="250" t="s">
        <v>20</v>
      </c>
      <c r="K254" s="66" t="s">
        <v>807</v>
      </c>
      <c r="L254" s="66" t="s">
        <v>623</v>
      </c>
      <c r="M254" s="66" t="s">
        <v>461</v>
      </c>
      <c r="N254" s="66" t="s">
        <v>249</v>
      </c>
      <c r="O254" s="273">
        <v>0.15</v>
      </c>
      <c r="P254" s="66" t="s">
        <v>249</v>
      </c>
      <c r="Q254" s="66" t="s">
        <v>249</v>
      </c>
      <c r="R254" s="66" t="s">
        <v>249</v>
      </c>
      <c r="S254" s="66" t="s">
        <v>249</v>
      </c>
      <c r="T254" s="66" t="s">
        <v>249</v>
      </c>
      <c r="U254" s="66" t="s">
        <v>249</v>
      </c>
      <c r="V254" s="66" t="s">
        <v>204</v>
      </c>
      <c r="W254" s="66" t="s">
        <v>204</v>
      </c>
      <c r="X254" s="66" t="s">
        <v>204</v>
      </c>
      <c r="Y254" s="17" t="s">
        <v>216</v>
      </c>
      <c r="Z254" s="106">
        <v>35</v>
      </c>
      <c r="AA254" s="106">
        <v>33</v>
      </c>
      <c r="AB254" s="106">
        <v>2</v>
      </c>
      <c r="AC254" s="106" t="s">
        <v>249</v>
      </c>
      <c r="AD254" s="228">
        <v>0.9</v>
      </c>
      <c r="AE254" s="228">
        <v>0.8</v>
      </c>
      <c r="AF254" s="113" t="s">
        <v>198</v>
      </c>
      <c r="AG254" s="236">
        <v>1</v>
      </c>
      <c r="AH254" s="163">
        <v>0</v>
      </c>
      <c r="AI254" s="163">
        <v>0</v>
      </c>
      <c r="AJ254" s="163">
        <v>34</v>
      </c>
      <c r="AK254" s="38">
        <f>SUM(AG254:AJ254)</f>
        <v>35</v>
      </c>
      <c r="AL254" s="261">
        <f>IF(AG254+AH254=0,0,SUM(AG254:AH254)/AK254)</f>
        <v>2.8571428571428571E-2</v>
      </c>
      <c r="AM254" s="261">
        <f>IF(AG254=0,0,AG254/(SUM(AG254:AI254)))</f>
        <v>1</v>
      </c>
      <c r="AN254" s="25"/>
      <c r="AO254" s="25" t="str">
        <f>_xlfn.XLOOKUP(F254,'TFS Details'!F:F,'TFS Details'!I:I)</f>
        <v>Everest</v>
      </c>
      <c r="AP254" s="25" t="str">
        <f>_xlfn.XLOOKUP(AO254,'TFS Details'!I:I,'TFS Details'!AE:AE)</f>
        <v>nityanand.giri</v>
      </c>
    </row>
    <row r="255" spans="1:42">
      <c r="A255" s="24" t="str">
        <f>_xlfn.XLOOKUP(F255,'TFS Details'!F:F,'TFS Details'!D:D)</f>
        <v>IMS Mobilization Calculator</v>
      </c>
      <c r="B255" s="24" t="str">
        <f>_xlfn.XLOOKUP(F255,'TFS Details'!F:F,'TFS Details'!A:A)</f>
        <v>IMS Mobilization Calculator enablement-Top Down/Bottom Up</v>
      </c>
      <c r="C255" s="46">
        <f>_xlfn.XLOOKUP(F255,'TFS Details'!F:F,'TFS Details'!E:E)</f>
        <v>4386528</v>
      </c>
      <c r="D255" s="250" t="s">
        <v>41</v>
      </c>
      <c r="E255" s="163" t="s">
        <v>808</v>
      </c>
      <c r="F255" s="197">
        <v>4359621</v>
      </c>
      <c r="G255" s="66" t="s">
        <v>805</v>
      </c>
      <c r="H255" s="66" t="s">
        <v>259</v>
      </c>
      <c r="I255" s="66" t="s">
        <v>115</v>
      </c>
      <c r="J255" s="250" t="s">
        <v>20</v>
      </c>
      <c r="K255" s="66" t="s">
        <v>807</v>
      </c>
      <c r="L255" s="66" t="s">
        <v>623</v>
      </c>
      <c r="M255" s="66" t="s">
        <v>461</v>
      </c>
      <c r="N255" s="66" t="s">
        <v>249</v>
      </c>
      <c r="O255" s="273">
        <v>0.05</v>
      </c>
      <c r="P255" s="66" t="s">
        <v>249</v>
      </c>
      <c r="Q255" s="66" t="s">
        <v>249</v>
      </c>
      <c r="R255" s="66" t="s">
        <v>249</v>
      </c>
      <c r="S255" s="66" t="s">
        <v>249</v>
      </c>
      <c r="T255" s="66" t="s">
        <v>249</v>
      </c>
      <c r="U255" s="66" t="s">
        <v>249</v>
      </c>
      <c r="V255" s="66" t="s">
        <v>204</v>
      </c>
      <c r="W255" s="66" t="s">
        <v>204</v>
      </c>
      <c r="X255" s="66" t="s">
        <v>204</v>
      </c>
      <c r="Y255" s="17" t="s">
        <v>216</v>
      </c>
      <c r="Z255" s="106">
        <v>37</v>
      </c>
      <c r="AA255" s="106">
        <v>30</v>
      </c>
      <c r="AB255" s="106">
        <v>2</v>
      </c>
      <c r="AC255" s="106" t="s">
        <v>249</v>
      </c>
      <c r="AD255" s="228">
        <v>0.9</v>
      </c>
      <c r="AE255" s="228">
        <v>0.8</v>
      </c>
      <c r="AF255" s="113" t="s">
        <v>242</v>
      </c>
      <c r="AG255" s="236">
        <v>1</v>
      </c>
      <c r="AH255" s="163">
        <v>0</v>
      </c>
      <c r="AI255" s="163">
        <v>0</v>
      </c>
      <c r="AJ255" s="163">
        <v>31</v>
      </c>
      <c r="AK255" s="38">
        <f>SUM(AG255:AJ255)</f>
        <v>32</v>
      </c>
      <c r="AL255" s="261">
        <f>IF(AG255+AH255=0,0,SUM(AG255:AH255)/AK255)</f>
        <v>3.125E-2</v>
      </c>
      <c r="AM255" s="261">
        <f>IF(AG255=0,0,AG255/(SUM(AG255:AI255)))</f>
        <v>1</v>
      </c>
      <c r="AN255" s="25"/>
      <c r="AO255" s="25" t="str">
        <f>_xlfn.XLOOKUP(F255,'TFS Details'!F:F,'TFS Details'!I:I)</f>
        <v>Everest</v>
      </c>
      <c r="AP255" s="25" t="str">
        <f>_xlfn.XLOOKUP(AO255,'TFS Details'!I:I,'TFS Details'!AE:AE)</f>
        <v>nityanand.giri</v>
      </c>
    </row>
    <row r="256" spans="1:42">
      <c r="A256" s="24" t="str">
        <f>_xlfn.XLOOKUP(F256,'TFS Details'!F:F,'TFS Details'!D:D)</f>
        <v>Attach Calculator</v>
      </c>
      <c r="B256" s="24" t="str">
        <f>_xlfn.XLOOKUP(F256,'TFS Details'!F:F,'TFS Details'!A:A)</f>
        <v>Attach Calculator</v>
      </c>
      <c r="C256" s="46">
        <f>_xlfn.XLOOKUP(F256,'TFS Details'!F:F,'TFS Details'!E:E)</f>
        <v>4372279</v>
      </c>
      <c r="D256" s="250" t="s">
        <v>41</v>
      </c>
      <c r="E256" s="163" t="s">
        <v>809</v>
      </c>
      <c r="F256" s="197">
        <v>4366838</v>
      </c>
      <c r="G256" s="66" t="s">
        <v>774</v>
      </c>
      <c r="H256" s="66" t="s">
        <v>757</v>
      </c>
      <c r="I256" s="66" t="s">
        <v>100</v>
      </c>
      <c r="J256" s="66" t="s">
        <v>1</v>
      </c>
      <c r="K256" s="66" t="s">
        <v>249</v>
      </c>
      <c r="L256" s="66" t="s">
        <v>249</v>
      </c>
      <c r="M256" s="66" t="s">
        <v>249</v>
      </c>
      <c r="N256" s="66" t="s">
        <v>249</v>
      </c>
      <c r="O256" s="273">
        <v>0.1</v>
      </c>
      <c r="P256" s="66">
        <v>5</v>
      </c>
      <c r="Q256" s="66">
        <v>2</v>
      </c>
      <c r="R256" s="66">
        <v>0</v>
      </c>
      <c r="S256" s="66">
        <v>2</v>
      </c>
      <c r="T256" s="66">
        <v>75</v>
      </c>
      <c r="U256" s="66">
        <v>70</v>
      </c>
      <c r="V256" s="66" t="s">
        <v>204</v>
      </c>
      <c r="W256" s="66" t="s">
        <v>204</v>
      </c>
      <c r="X256" s="66" t="s">
        <v>204</v>
      </c>
      <c r="Y256" s="17" t="s">
        <v>216</v>
      </c>
      <c r="Z256" s="106">
        <v>40</v>
      </c>
      <c r="AA256" s="106">
        <v>25</v>
      </c>
      <c r="AB256" s="106">
        <v>0</v>
      </c>
      <c r="AC256" s="106">
        <v>25</v>
      </c>
      <c r="AD256" s="230">
        <v>1</v>
      </c>
      <c r="AE256" s="230">
        <v>1</v>
      </c>
      <c r="AF256" s="113" t="s">
        <v>242</v>
      </c>
      <c r="AG256" s="236">
        <v>20</v>
      </c>
      <c r="AH256" s="163">
        <v>0</v>
      </c>
      <c r="AI256" s="163">
        <v>0</v>
      </c>
      <c r="AJ256" s="163">
        <v>5</v>
      </c>
      <c r="AK256" s="38">
        <f>SUM(AG256:AJ256)</f>
        <v>25</v>
      </c>
      <c r="AL256" s="261">
        <f>IF(AG256+AH256=0,0,SUM(AG256:AH256)/AK256)</f>
        <v>0.8</v>
      </c>
      <c r="AM256" s="261">
        <f>IF(AG256=0,0,AG256/(SUM(AG256:AI256)))</f>
        <v>1</v>
      </c>
      <c r="AN256" s="25"/>
      <c r="AO256" s="25" t="str">
        <f>_xlfn.XLOOKUP(F256,'TFS Details'!F:F,'TFS Details'!I:I)</f>
        <v>TitansPlus</v>
      </c>
      <c r="AP256" s="25" t="str">
        <f>_xlfn.XLOOKUP(AO256,'TFS Details'!I:I,'TFS Details'!AE:AE)</f>
        <v>nityanand.giri</v>
      </c>
    </row>
    <row r="257" spans="1:42">
      <c r="A257" s="24" t="str">
        <f>_xlfn.XLOOKUP(F257,'TFS Details'!F:F,'TFS Details'!D:D)</f>
        <v>Attach Calculator</v>
      </c>
      <c r="B257" s="24" t="str">
        <f>_xlfn.XLOOKUP(F257,'TFS Details'!F:F,'TFS Details'!A:A)</f>
        <v>Attach Calculator</v>
      </c>
      <c r="C257" s="46">
        <f>_xlfn.XLOOKUP(F257,'TFS Details'!F:F,'TFS Details'!E:E)</f>
        <v>4372279</v>
      </c>
      <c r="D257" s="250" t="s">
        <v>41</v>
      </c>
      <c r="E257" s="163" t="s">
        <v>810</v>
      </c>
      <c r="F257" s="197">
        <v>4366839</v>
      </c>
      <c r="G257" s="66" t="s">
        <v>774</v>
      </c>
      <c r="H257" s="66" t="s">
        <v>757</v>
      </c>
      <c r="I257" s="66" t="s">
        <v>128</v>
      </c>
      <c r="J257" s="66" t="s">
        <v>1</v>
      </c>
      <c r="K257" s="66" t="s">
        <v>249</v>
      </c>
      <c r="L257" s="66" t="s">
        <v>249</v>
      </c>
      <c r="M257" s="66" t="s">
        <v>249</v>
      </c>
      <c r="N257" s="66" t="s">
        <v>249</v>
      </c>
      <c r="O257" s="273">
        <v>0.05</v>
      </c>
      <c r="P257" s="66" t="s">
        <v>249</v>
      </c>
      <c r="Q257" s="66" t="s">
        <v>249</v>
      </c>
      <c r="R257" s="66" t="s">
        <v>249</v>
      </c>
      <c r="S257" s="66" t="s">
        <v>249</v>
      </c>
      <c r="T257" s="66" t="s">
        <v>249</v>
      </c>
      <c r="U257" s="66" t="s">
        <v>249</v>
      </c>
      <c r="V257" s="66" t="s">
        <v>204</v>
      </c>
      <c r="W257" s="66" t="s">
        <v>204</v>
      </c>
      <c r="X257" s="66" t="s">
        <v>197</v>
      </c>
      <c r="Y257" s="17" t="s">
        <v>216</v>
      </c>
      <c r="Z257" s="106">
        <v>30</v>
      </c>
      <c r="AA257" s="106">
        <v>20</v>
      </c>
      <c r="AB257" s="106">
        <v>0</v>
      </c>
      <c r="AC257" s="106">
        <v>20</v>
      </c>
      <c r="AD257" s="230">
        <v>1</v>
      </c>
      <c r="AE257" s="230">
        <v>1</v>
      </c>
      <c r="AF257" s="113" t="s">
        <v>242</v>
      </c>
      <c r="AG257" s="236">
        <v>17</v>
      </c>
      <c r="AH257" s="163">
        <v>0</v>
      </c>
      <c r="AI257" s="163">
        <v>1</v>
      </c>
      <c r="AJ257" s="163">
        <v>2</v>
      </c>
      <c r="AK257" s="38">
        <f>SUM(AG257:AJ257)</f>
        <v>20</v>
      </c>
      <c r="AL257" s="261">
        <f>IF(AG257+AH257=0,0,SUM(AG257:AH257)/AK257)</f>
        <v>0.85</v>
      </c>
      <c r="AM257" s="261">
        <f>IF(AG257=0,0,AG257/(SUM(AG257:AI257)))</f>
        <v>0.94444444444444442</v>
      </c>
      <c r="AN257" s="25" t="s">
        <v>811</v>
      </c>
      <c r="AO257" s="25" t="str">
        <f>_xlfn.XLOOKUP(F257,'TFS Details'!F:F,'TFS Details'!I:I)</f>
        <v>TitansPlus</v>
      </c>
      <c r="AP257" s="25" t="str">
        <f>_xlfn.XLOOKUP(AO257,'TFS Details'!I:I,'TFS Details'!AE:AE)</f>
        <v>nityanand.giri</v>
      </c>
    </row>
    <row r="258" spans="1:42">
      <c r="A258" s="24" t="str">
        <f>_xlfn.XLOOKUP(F258,'TFS Details'!F:F,'TFS Details'!D:D)</f>
        <v>Value Shaping</v>
      </c>
      <c r="B258" s="24" t="str">
        <f>_xlfn.XLOOKUP(F258,'TFS Details'!F:F,'TFS Details'!A:A)</f>
        <v>Value Shaping –Enhancements</v>
      </c>
      <c r="C258" s="46">
        <f>_xlfn.XLOOKUP(F258,'TFS Details'!F:F,'TFS Details'!E:E)</f>
        <v>4330994</v>
      </c>
      <c r="D258" s="250" t="s">
        <v>41</v>
      </c>
      <c r="E258" s="163" t="s">
        <v>279</v>
      </c>
      <c r="F258" s="197">
        <v>4165210</v>
      </c>
      <c r="G258" s="66" t="s">
        <v>812</v>
      </c>
      <c r="H258" s="66" t="s">
        <v>248</v>
      </c>
      <c r="I258" s="66" t="s">
        <v>813</v>
      </c>
      <c r="J258" s="250" t="s">
        <v>20</v>
      </c>
      <c r="K258" s="66" t="s">
        <v>274</v>
      </c>
      <c r="L258" s="66" t="s">
        <v>196</v>
      </c>
      <c r="M258" s="66" t="s">
        <v>249</v>
      </c>
      <c r="N258" s="66" t="s">
        <v>249</v>
      </c>
      <c r="O258" s="273">
        <v>0.1</v>
      </c>
      <c r="P258" s="66" t="s">
        <v>249</v>
      </c>
      <c r="Q258" s="66" t="s">
        <v>249</v>
      </c>
      <c r="R258" s="66" t="s">
        <v>249</v>
      </c>
      <c r="S258" s="66" t="s">
        <v>249</v>
      </c>
      <c r="T258" s="66" t="s">
        <v>249</v>
      </c>
      <c r="U258" s="66" t="s">
        <v>249</v>
      </c>
      <c r="V258" s="66" t="s">
        <v>204</v>
      </c>
      <c r="W258" s="66" t="s">
        <v>204</v>
      </c>
      <c r="X258" s="66" t="s">
        <v>204</v>
      </c>
      <c r="Y258" s="66" t="s">
        <v>197</v>
      </c>
      <c r="Z258" s="106">
        <v>57</v>
      </c>
      <c r="AA258" s="106">
        <v>31</v>
      </c>
      <c r="AB258" s="106">
        <v>4</v>
      </c>
      <c r="AC258" s="106">
        <v>35</v>
      </c>
      <c r="AD258" s="106">
        <v>88</v>
      </c>
      <c r="AE258" s="106">
        <v>55</v>
      </c>
      <c r="AF258" s="113" t="s">
        <v>242</v>
      </c>
      <c r="AG258" s="236">
        <v>0</v>
      </c>
      <c r="AH258" s="163">
        <v>0</v>
      </c>
      <c r="AI258" s="163">
        <v>0</v>
      </c>
      <c r="AJ258" s="163">
        <v>35</v>
      </c>
      <c r="AK258" s="38">
        <f>SUM(AG258:AJ258)</f>
        <v>35</v>
      </c>
      <c r="AL258" s="261">
        <f>IF(AG258+AH258=0,0,SUM(AG258:AH258)/AK258)</f>
        <v>0</v>
      </c>
      <c r="AM258" s="261">
        <f>IF(AG258=0,0,AG258/(SUM(AG258:AI258)))</f>
        <v>0</v>
      </c>
      <c r="AN258" s="25"/>
      <c r="AO258" s="25" t="str">
        <f>_xlfn.XLOOKUP(F258,'TFS Details'!F:F,'TFS Details'!I:I)</f>
        <v>Spartans</v>
      </c>
      <c r="AP258" s="25" t="str">
        <f>_xlfn.XLOOKUP(AO258,'TFS Details'!I:I,'TFS Details'!AE:AE)</f>
        <v>nityanand.giri</v>
      </c>
    </row>
    <row r="259" spans="1:42">
      <c r="A259" s="24" t="str">
        <f>_xlfn.XLOOKUP(F259,'TFS Details'!F:F,'TFS Details'!D:D)</f>
        <v>Value Shaping</v>
      </c>
      <c r="B259" s="24" t="str">
        <f>_xlfn.XLOOKUP(F259,'TFS Details'!F:F,'TFS Details'!A:A)</f>
        <v>Value Shaping –Enhancements</v>
      </c>
      <c r="C259" s="46">
        <f>_xlfn.XLOOKUP(F259,'TFS Details'!F:F,'TFS Details'!E:E)</f>
        <v>4330994</v>
      </c>
      <c r="D259" s="250" t="s">
        <v>41</v>
      </c>
      <c r="E259" s="163" t="s">
        <v>278</v>
      </c>
      <c r="F259" s="197">
        <v>4165212</v>
      </c>
      <c r="G259" s="66" t="s">
        <v>812</v>
      </c>
      <c r="H259" s="66" t="s">
        <v>247</v>
      </c>
      <c r="I259" s="66" t="s">
        <v>813</v>
      </c>
      <c r="J259" s="250" t="s">
        <v>20</v>
      </c>
      <c r="K259" s="66" t="s">
        <v>274</v>
      </c>
      <c r="L259" s="66" t="s">
        <v>196</v>
      </c>
      <c r="M259" s="66" t="s">
        <v>249</v>
      </c>
      <c r="N259" s="66" t="s">
        <v>249</v>
      </c>
      <c r="O259" s="273">
        <v>0.1</v>
      </c>
      <c r="P259" s="66" t="s">
        <v>249</v>
      </c>
      <c r="Q259" s="66" t="s">
        <v>249</v>
      </c>
      <c r="R259" s="66" t="s">
        <v>249</v>
      </c>
      <c r="S259" s="66" t="s">
        <v>249</v>
      </c>
      <c r="T259" s="66" t="s">
        <v>249</v>
      </c>
      <c r="U259" s="66" t="s">
        <v>249</v>
      </c>
      <c r="V259" s="66" t="s">
        <v>204</v>
      </c>
      <c r="W259" s="66" t="s">
        <v>204</v>
      </c>
      <c r="X259" s="66" t="s">
        <v>204</v>
      </c>
      <c r="Y259" s="66" t="s">
        <v>197</v>
      </c>
      <c r="Z259" s="106">
        <v>38</v>
      </c>
      <c r="AA259" s="106">
        <v>26</v>
      </c>
      <c r="AB259" s="106">
        <v>4</v>
      </c>
      <c r="AC259" s="106">
        <v>30</v>
      </c>
      <c r="AD259" s="106">
        <v>86</v>
      </c>
      <c r="AE259" s="106">
        <v>68</v>
      </c>
      <c r="AF259" s="113" t="s">
        <v>242</v>
      </c>
      <c r="AG259" s="236">
        <v>0</v>
      </c>
      <c r="AH259" s="163">
        <v>0</v>
      </c>
      <c r="AI259" s="163">
        <v>0</v>
      </c>
      <c r="AJ259" s="163">
        <v>29</v>
      </c>
      <c r="AK259" s="38">
        <f>SUM(AG259:AJ259)</f>
        <v>29</v>
      </c>
      <c r="AL259" s="261">
        <f>IF(AG259+AH259=0,0,SUM(AG259:AH259)/AK259)</f>
        <v>0</v>
      </c>
      <c r="AM259" s="261">
        <f>IF(AG259=0,0,AG259/(SUM(AG259:AI259)))</f>
        <v>0</v>
      </c>
      <c r="AN259" s="75"/>
      <c r="AO259" s="25" t="str">
        <f>_xlfn.XLOOKUP(F259,'TFS Details'!F:F,'TFS Details'!I:I)</f>
        <v>Spartans</v>
      </c>
      <c r="AP259" s="25" t="str">
        <f>_xlfn.XLOOKUP(AO259,'TFS Details'!I:I,'TFS Details'!AE:AE)</f>
        <v>nityanand.giri</v>
      </c>
    </row>
    <row r="260" spans="1:42">
      <c r="A260" s="24" t="str">
        <f>_xlfn.XLOOKUP(F260,'TFS Details'!F:F,'TFS Details'!D:D)</f>
        <v>Value Shaping</v>
      </c>
      <c r="B260" s="24" t="str">
        <f>_xlfn.XLOOKUP(F260,'TFS Details'!F:F,'TFS Details'!A:A)</f>
        <v>Value Shaping –Enhancements</v>
      </c>
      <c r="C260" s="46">
        <f>_xlfn.XLOOKUP(F260,'TFS Details'!F:F,'TFS Details'!E:E)</f>
        <v>4330994</v>
      </c>
      <c r="D260" s="250" t="s">
        <v>41</v>
      </c>
      <c r="E260" s="163" t="s">
        <v>277</v>
      </c>
      <c r="F260" s="197">
        <v>4165224</v>
      </c>
      <c r="G260" s="66" t="s">
        <v>248</v>
      </c>
      <c r="H260" s="66" t="s">
        <v>247</v>
      </c>
      <c r="I260" s="66" t="s">
        <v>93</v>
      </c>
      <c r="J260" s="250" t="s">
        <v>20</v>
      </c>
      <c r="K260" s="66" t="s">
        <v>274</v>
      </c>
      <c r="L260" s="66" t="s">
        <v>196</v>
      </c>
      <c r="M260" s="66" t="s">
        <v>249</v>
      </c>
      <c r="N260" s="66" t="s">
        <v>249</v>
      </c>
      <c r="O260" s="273" t="s">
        <v>814</v>
      </c>
      <c r="P260" s="66" t="s">
        <v>249</v>
      </c>
      <c r="Q260" s="66" t="s">
        <v>249</v>
      </c>
      <c r="R260" s="66" t="s">
        <v>249</v>
      </c>
      <c r="S260" s="66" t="s">
        <v>249</v>
      </c>
      <c r="T260" s="66" t="s">
        <v>249</v>
      </c>
      <c r="U260" s="66" t="s">
        <v>249</v>
      </c>
      <c r="V260" s="66" t="s">
        <v>204</v>
      </c>
      <c r="W260" s="66" t="s">
        <v>204</v>
      </c>
      <c r="X260" s="66" t="s">
        <v>204</v>
      </c>
      <c r="Y260" s="66" t="s">
        <v>197</v>
      </c>
      <c r="Z260" s="106">
        <v>38</v>
      </c>
      <c r="AA260" s="106">
        <v>26</v>
      </c>
      <c r="AB260" s="106">
        <v>4</v>
      </c>
      <c r="AC260" s="106">
        <v>30</v>
      </c>
      <c r="AD260" s="106">
        <v>86</v>
      </c>
      <c r="AE260" s="106">
        <v>68</v>
      </c>
      <c r="AF260" s="113" t="s">
        <v>242</v>
      </c>
      <c r="AG260" s="236">
        <v>0</v>
      </c>
      <c r="AH260" s="163">
        <v>0</v>
      </c>
      <c r="AI260" s="163">
        <v>0</v>
      </c>
      <c r="AJ260" s="163">
        <v>30</v>
      </c>
      <c r="AK260" s="38">
        <f>SUM(AG260:AJ260)</f>
        <v>30</v>
      </c>
      <c r="AL260" s="261">
        <f>IF(AG260+AH260=0,0,SUM(AG260:AH260)/AK260)</f>
        <v>0</v>
      </c>
      <c r="AM260" s="261">
        <f>IF(AG260=0,0,AG260/(SUM(AG260:AI260)))</f>
        <v>0</v>
      </c>
      <c r="AN260" s="75"/>
      <c r="AO260" s="25" t="str">
        <f>_xlfn.XLOOKUP(F260,'TFS Details'!F:F,'TFS Details'!I:I)</f>
        <v>Spartans</v>
      </c>
      <c r="AP260" s="25" t="str">
        <f>_xlfn.XLOOKUP(AO260,'TFS Details'!I:I,'TFS Details'!AE:AE)</f>
        <v>nityanand.giri</v>
      </c>
    </row>
    <row r="261" spans="1:42">
      <c r="A261" s="24" t="str">
        <f>_xlfn.XLOOKUP(F261,'TFS Details'!F:F,'TFS Details'!D:D)</f>
        <v>Value Shaping</v>
      </c>
      <c r="B261" s="24" t="str">
        <f>_xlfn.XLOOKUP(F261,'TFS Details'!F:F,'TFS Details'!A:A)</f>
        <v>Value Shaping –Enhancements</v>
      </c>
      <c r="C261" s="46">
        <f>_xlfn.XLOOKUP(F261,'TFS Details'!F:F,'TFS Details'!E:E)</f>
        <v>4330994</v>
      </c>
      <c r="D261" s="250" t="s">
        <v>41</v>
      </c>
      <c r="E261" s="163" t="s">
        <v>276</v>
      </c>
      <c r="F261" s="197">
        <v>4165232</v>
      </c>
      <c r="G261" s="66" t="s">
        <v>247</v>
      </c>
      <c r="H261" s="66" t="s">
        <v>248</v>
      </c>
      <c r="I261" s="66" t="s">
        <v>81</v>
      </c>
      <c r="J261" s="250" t="s">
        <v>20</v>
      </c>
      <c r="K261" s="66" t="s">
        <v>274</v>
      </c>
      <c r="L261" s="66" t="s">
        <v>196</v>
      </c>
      <c r="M261" s="66" t="s">
        <v>249</v>
      </c>
      <c r="N261" s="66" t="s">
        <v>249</v>
      </c>
      <c r="O261" s="273">
        <v>0.25</v>
      </c>
      <c r="P261" s="66" t="s">
        <v>249</v>
      </c>
      <c r="Q261" s="66" t="s">
        <v>249</v>
      </c>
      <c r="R261" s="66" t="s">
        <v>249</v>
      </c>
      <c r="S261" s="66" t="s">
        <v>249</v>
      </c>
      <c r="T261" s="66" t="s">
        <v>249</v>
      </c>
      <c r="U261" s="66" t="s">
        <v>249</v>
      </c>
      <c r="V261" s="66" t="s">
        <v>204</v>
      </c>
      <c r="W261" s="66" t="s">
        <v>204</v>
      </c>
      <c r="X261" s="66" t="s">
        <v>204</v>
      </c>
      <c r="Y261" s="66" t="s">
        <v>197</v>
      </c>
      <c r="Z261" s="106">
        <v>35</v>
      </c>
      <c r="AA261" s="106">
        <v>20</v>
      </c>
      <c r="AB261" s="106">
        <v>3</v>
      </c>
      <c r="AC261" s="106">
        <v>23</v>
      </c>
      <c r="AD261" s="106">
        <v>87</v>
      </c>
      <c r="AE261" s="106">
        <v>60</v>
      </c>
      <c r="AF261" s="113" t="s">
        <v>242</v>
      </c>
      <c r="AG261" s="236">
        <v>0</v>
      </c>
      <c r="AH261" s="163">
        <v>0</v>
      </c>
      <c r="AI261" s="163">
        <v>0</v>
      </c>
      <c r="AJ261" s="163">
        <v>23</v>
      </c>
      <c r="AK261" s="38">
        <f>SUM(AG261:AJ261)</f>
        <v>23</v>
      </c>
      <c r="AL261" s="261">
        <f>IF(AG261+AH261=0,0,SUM(AG261:AH261)/AK261)</f>
        <v>0</v>
      </c>
      <c r="AM261" s="261">
        <f>IF(AG261=0,0,AG261/(SUM(AG261:AI261)))</f>
        <v>0</v>
      </c>
      <c r="AN261" s="25"/>
      <c r="AO261" s="25" t="str">
        <f>_xlfn.XLOOKUP(F261,'TFS Details'!F:F,'TFS Details'!I:I)</f>
        <v>Spartans</v>
      </c>
      <c r="AP261" s="25" t="str">
        <f>_xlfn.XLOOKUP(AO261,'TFS Details'!I:I,'TFS Details'!AE:AE)</f>
        <v>nityanand.giri</v>
      </c>
    </row>
    <row r="262" spans="1:42">
      <c r="A262" s="24" t="str">
        <f>_xlfn.XLOOKUP(F262,'TFS Details'!F:F,'TFS Details'!D:D)</f>
        <v>Value Shaping</v>
      </c>
      <c r="B262" s="24" t="str">
        <f>_xlfn.XLOOKUP(F262,'TFS Details'!F:F,'TFS Details'!A:A)</f>
        <v>Value Shaping –Enhancements</v>
      </c>
      <c r="C262" s="46">
        <f>_xlfn.XLOOKUP(F262,'TFS Details'!F:F,'TFS Details'!E:E)</f>
        <v>4330994</v>
      </c>
      <c r="D262" s="250" t="s">
        <v>41</v>
      </c>
      <c r="E262" s="163" t="s">
        <v>275</v>
      </c>
      <c r="F262" s="197">
        <v>4165234</v>
      </c>
      <c r="G262" s="66" t="s">
        <v>247</v>
      </c>
      <c r="H262" s="66" t="s">
        <v>248</v>
      </c>
      <c r="I262" s="66" t="s">
        <v>81</v>
      </c>
      <c r="J262" s="250" t="s">
        <v>20</v>
      </c>
      <c r="K262" s="66" t="s">
        <v>274</v>
      </c>
      <c r="L262" s="66" t="s">
        <v>196</v>
      </c>
      <c r="M262" s="66" t="s">
        <v>249</v>
      </c>
      <c r="N262" s="66" t="s">
        <v>249</v>
      </c>
      <c r="O262" s="273">
        <v>0.25</v>
      </c>
      <c r="P262" s="66" t="s">
        <v>249</v>
      </c>
      <c r="Q262" s="66" t="s">
        <v>249</v>
      </c>
      <c r="R262" s="66" t="s">
        <v>249</v>
      </c>
      <c r="S262" s="66" t="s">
        <v>249</v>
      </c>
      <c r="T262" s="66" t="s">
        <v>249</v>
      </c>
      <c r="U262" s="66" t="s">
        <v>249</v>
      </c>
      <c r="V262" s="66" t="s">
        <v>204</v>
      </c>
      <c r="W262" s="66" t="s">
        <v>204</v>
      </c>
      <c r="X262" s="66" t="s">
        <v>204</v>
      </c>
      <c r="Y262" s="66" t="s">
        <v>197</v>
      </c>
      <c r="Z262" s="106">
        <v>35</v>
      </c>
      <c r="AA262" s="106">
        <v>29</v>
      </c>
      <c r="AB262" s="106">
        <v>5</v>
      </c>
      <c r="AC262" s="106">
        <v>34</v>
      </c>
      <c r="AD262" s="106">
        <v>85</v>
      </c>
      <c r="AE262" s="106">
        <v>82</v>
      </c>
      <c r="AF262" s="113" t="s">
        <v>242</v>
      </c>
      <c r="AG262" s="236">
        <v>0</v>
      </c>
      <c r="AH262" s="163">
        <v>0</v>
      </c>
      <c r="AI262" s="163">
        <v>0</v>
      </c>
      <c r="AJ262" s="163">
        <v>34</v>
      </c>
      <c r="AK262" s="38">
        <f>SUM(AG262:AJ262)</f>
        <v>34</v>
      </c>
      <c r="AL262" s="261">
        <f>IF(AG262+AH262=0,0,SUM(AG262:AH262)/AK262)</f>
        <v>0</v>
      </c>
      <c r="AM262" s="261">
        <f>IF(AG262=0,0,AG262/(SUM(AG262:AI262)))</f>
        <v>0</v>
      </c>
      <c r="AN262" s="25"/>
      <c r="AO262" s="25" t="str">
        <f>_xlfn.XLOOKUP(F262,'TFS Details'!F:F,'TFS Details'!I:I)</f>
        <v>Spartans</v>
      </c>
      <c r="AP262" s="25" t="str">
        <f>_xlfn.XLOOKUP(AO262,'TFS Details'!I:I,'TFS Details'!AE:AE)</f>
        <v>nityanand.giri</v>
      </c>
    </row>
    <row r="263" spans="1:42">
      <c r="A263" s="24" t="str">
        <f>_xlfn.XLOOKUP(F263,'TFS Details'!F:F,'TFS Details'!D:D)</f>
        <v>Mobilization Calculator</v>
      </c>
      <c r="B263" s="24" t="str">
        <f>_xlfn.XLOOKUP(F263,'TFS Details'!F:F,'TFS Details'!A:A)</f>
        <v>Mobilization Calculator -Bottom Up CRs</v>
      </c>
      <c r="C263" s="46">
        <f>_xlfn.XLOOKUP(F263,'TFS Details'!F:F,'TFS Details'!E:E)</f>
        <v>4232673</v>
      </c>
      <c r="D263" s="250" t="s">
        <v>41</v>
      </c>
      <c r="E263" s="163" t="s">
        <v>815</v>
      </c>
      <c r="F263" s="197">
        <v>4227424</v>
      </c>
      <c r="G263" s="66" t="s">
        <v>816</v>
      </c>
      <c r="H263" s="66" t="s">
        <v>817</v>
      </c>
      <c r="I263" s="66" t="s">
        <v>124</v>
      </c>
      <c r="J263" s="66" t="s">
        <v>1</v>
      </c>
      <c r="K263" s="66" t="s">
        <v>249</v>
      </c>
      <c r="L263" s="66" t="s">
        <v>249</v>
      </c>
      <c r="M263" s="66" t="s">
        <v>461</v>
      </c>
      <c r="N263" s="66" t="s">
        <v>249</v>
      </c>
      <c r="O263" s="273">
        <v>0.15</v>
      </c>
      <c r="P263" s="66" t="s">
        <v>249</v>
      </c>
      <c r="Q263" s="66" t="s">
        <v>249</v>
      </c>
      <c r="R263" s="66" t="s">
        <v>249</v>
      </c>
      <c r="S263" s="66" t="s">
        <v>249</v>
      </c>
      <c r="T263" s="66" t="s">
        <v>249</v>
      </c>
      <c r="U263" s="66" t="s">
        <v>249</v>
      </c>
      <c r="V263" s="66" t="s">
        <v>204</v>
      </c>
      <c r="W263" s="66" t="s">
        <v>204</v>
      </c>
      <c r="X263" s="66" t="s">
        <v>204</v>
      </c>
      <c r="Y263" s="66" t="s">
        <v>216</v>
      </c>
      <c r="Z263" s="106">
        <v>55</v>
      </c>
      <c r="AA263" s="106">
        <v>24</v>
      </c>
      <c r="AB263" s="106">
        <v>0</v>
      </c>
      <c r="AC263" s="106">
        <v>24</v>
      </c>
      <c r="AD263" s="228">
        <v>1</v>
      </c>
      <c r="AE263" s="228">
        <v>1</v>
      </c>
      <c r="AF263" s="113" t="s">
        <v>242</v>
      </c>
      <c r="AG263" s="236">
        <v>0</v>
      </c>
      <c r="AH263" s="163">
        <v>0</v>
      </c>
      <c r="AI263" s="163">
        <v>0</v>
      </c>
      <c r="AJ263" s="163">
        <v>24</v>
      </c>
      <c r="AK263" s="38">
        <f>SUM(AG263:AJ263)</f>
        <v>24</v>
      </c>
      <c r="AL263" s="261">
        <f>IF(AG263+AH263=0,0,SUM(AG263:AH263)/AK263)</f>
        <v>0</v>
      </c>
      <c r="AM263" s="261">
        <f>IF(AG263=0,0,AG263/(SUM(AG263:AI263)))</f>
        <v>0</v>
      </c>
      <c r="AN263" s="25"/>
      <c r="AO263" s="25" t="str">
        <f>_xlfn.XLOOKUP(F263,'TFS Details'!F:F,'TFS Details'!I:I)</f>
        <v>Everest</v>
      </c>
      <c r="AP263" s="25" t="str">
        <f>_xlfn.XLOOKUP(AO263,'TFS Details'!I:I,'TFS Details'!AE:AE)</f>
        <v>nityanand.giri</v>
      </c>
    </row>
    <row r="264" spans="1:42">
      <c r="A264" s="24" t="str">
        <f>_xlfn.XLOOKUP(F264,'TFS Details'!F:F,'TFS Details'!D:D)</f>
        <v>IPC Calculator</v>
      </c>
      <c r="B264" s="24" t="str">
        <f>_xlfn.XLOOKUP(F264,'TFS Details'!F:F,'TFS Details'!A:A)</f>
        <v>IPC Calculator | Package and Cost screen UI changes</v>
      </c>
      <c r="C264" s="46">
        <f>_xlfn.XLOOKUP(F264,'TFS Details'!F:F,'TFS Details'!E:E)</f>
        <v>4313249</v>
      </c>
      <c r="D264" s="250" t="s">
        <v>41</v>
      </c>
      <c r="E264" s="163" t="s">
        <v>818</v>
      </c>
      <c r="F264" s="197">
        <v>4313255</v>
      </c>
      <c r="G264" s="66" t="s">
        <v>259</v>
      </c>
      <c r="H264" s="66" t="s">
        <v>258</v>
      </c>
      <c r="I264" s="66" t="s">
        <v>98</v>
      </c>
      <c r="J264" s="66" t="s">
        <v>1</v>
      </c>
      <c r="K264" s="66" t="s">
        <v>249</v>
      </c>
      <c r="L264" s="66" t="s">
        <v>249</v>
      </c>
      <c r="M264" s="66" t="s">
        <v>311</v>
      </c>
      <c r="N264" s="66" t="s">
        <v>249</v>
      </c>
      <c r="O264" s="273">
        <v>0.05</v>
      </c>
      <c r="P264" s="66" t="s">
        <v>249</v>
      </c>
      <c r="Q264" s="66" t="s">
        <v>249</v>
      </c>
      <c r="R264" s="66" t="s">
        <v>249</v>
      </c>
      <c r="S264" s="66" t="s">
        <v>249</v>
      </c>
      <c r="T264" s="66" t="s">
        <v>249</v>
      </c>
      <c r="U264" s="66" t="s">
        <v>249</v>
      </c>
      <c r="V264" s="66" t="s">
        <v>204</v>
      </c>
      <c r="W264" s="66" t="s">
        <v>204</v>
      </c>
      <c r="X264" s="66" t="s">
        <v>197</v>
      </c>
      <c r="Y264" s="66" t="s">
        <v>197</v>
      </c>
      <c r="Z264" s="106">
        <v>35</v>
      </c>
      <c r="AA264" s="106">
        <v>21</v>
      </c>
      <c r="AB264" s="106">
        <v>0</v>
      </c>
      <c r="AC264" s="106">
        <v>21</v>
      </c>
      <c r="AD264" s="228">
        <v>1</v>
      </c>
      <c r="AE264" s="228">
        <v>1</v>
      </c>
      <c r="AF264" s="113" t="s">
        <v>242</v>
      </c>
      <c r="AG264" s="236">
        <v>0</v>
      </c>
      <c r="AH264" s="163">
        <v>0</v>
      </c>
      <c r="AI264" s="163">
        <v>0</v>
      </c>
      <c r="AJ264" s="163">
        <v>21</v>
      </c>
      <c r="AK264" s="38">
        <f>SUM(AG264:AJ264)</f>
        <v>21</v>
      </c>
      <c r="AL264" s="261">
        <f>IF(AG264+AH264=0,0,SUM(AG264:AH264)/AK264)</f>
        <v>0</v>
      </c>
      <c r="AM264" s="261">
        <f>IF(AG264=0,0,AG264/(SUM(AG264:AI264)))</f>
        <v>0</v>
      </c>
      <c r="AN264" s="25"/>
      <c r="AO264" s="25" t="str">
        <f>_xlfn.XLOOKUP(F264,'TFS Details'!F:F,'TFS Details'!I:I)</f>
        <v>TitansPlus</v>
      </c>
      <c r="AP264" s="25" t="str">
        <f>_xlfn.XLOOKUP(AO264,'TFS Details'!I:I,'TFS Details'!AE:AE)</f>
        <v>nityanand.giri</v>
      </c>
    </row>
    <row r="265" spans="1:42">
      <c r="A265" s="24" t="str">
        <f>_xlfn.XLOOKUP(F265,'TFS Details'!F:F,'TFS Details'!D:D)</f>
        <v>Value Shaping</v>
      </c>
      <c r="B265" s="24" t="str">
        <f>_xlfn.XLOOKUP(F265,'TFS Details'!F:F,'TFS Details'!A:A)</f>
        <v>Value Shaping –Enhancements</v>
      </c>
      <c r="C265" s="46">
        <f>_xlfn.XLOOKUP(F265,'TFS Details'!F:F,'TFS Details'!E:E)</f>
        <v>4330994</v>
      </c>
      <c r="D265" s="250" t="s">
        <v>41</v>
      </c>
      <c r="E265" s="163" t="s">
        <v>273</v>
      </c>
      <c r="F265" s="197">
        <v>4318913</v>
      </c>
      <c r="G265" s="66" t="s">
        <v>248</v>
      </c>
      <c r="H265" s="66" t="s">
        <v>247</v>
      </c>
      <c r="I265" s="66" t="s">
        <v>81</v>
      </c>
      <c r="J265" s="250" t="s">
        <v>20</v>
      </c>
      <c r="K265" s="66" t="s">
        <v>274</v>
      </c>
      <c r="L265" s="66" t="s">
        <v>819</v>
      </c>
      <c r="M265" s="66" t="s">
        <v>249</v>
      </c>
      <c r="N265" s="66" t="s">
        <v>249</v>
      </c>
      <c r="O265" s="273">
        <v>0.25</v>
      </c>
      <c r="P265" s="66" t="s">
        <v>249</v>
      </c>
      <c r="Q265" s="66" t="s">
        <v>249</v>
      </c>
      <c r="R265" s="66" t="s">
        <v>249</v>
      </c>
      <c r="S265" s="66" t="s">
        <v>249</v>
      </c>
      <c r="T265" s="66" t="s">
        <v>249</v>
      </c>
      <c r="U265" s="66" t="s">
        <v>249</v>
      </c>
      <c r="V265" s="66" t="s">
        <v>204</v>
      </c>
      <c r="W265" s="66" t="s">
        <v>204</v>
      </c>
      <c r="X265" s="66" t="s">
        <v>204</v>
      </c>
      <c r="Y265" s="66" t="s">
        <v>197</v>
      </c>
      <c r="Z265" s="106">
        <v>36</v>
      </c>
      <c r="AA265" s="106">
        <v>17</v>
      </c>
      <c r="AB265" s="106">
        <v>0</v>
      </c>
      <c r="AC265" s="106">
        <v>17</v>
      </c>
      <c r="AD265" s="228">
        <v>1</v>
      </c>
      <c r="AE265" s="228">
        <v>1</v>
      </c>
      <c r="AF265" s="113" t="s">
        <v>242</v>
      </c>
      <c r="AG265" s="236">
        <v>0</v>
      </c>
      <c r="AH265" s="163">
        <v>0</v>
      </c>
      <c r="AI265" s="163">
        <v>0</v>
      </c>
      <c r="AJ265" s="163">
        <v>17</v>
      </c>
      <c r="AK265" s="38">
        <f>SUM(AG265:AJ265)</f>
        <v>17</v>
      </c>
      <c r="AL265" s="261">
        <f>IF(AG265+AH265=0,0,SUM(AG265:AH265)/AK265)</f>
        <v>0</v>
      </c>
      <c r="AM265" s="261">
        <f>IF(AG265=0,0,AG265/(SUM(AG265:AI265)))</f>
        <v>0</v>
      </c>
      <c r="AN265" s="25"/>
      <c r="AO265" s="25" t="str">
        <f>_xlfn.XLOOKUP(F265,'TFS Details'!F:F,'TFS Details'!I:I)</f>
        <v>Spartans</v>
      </c>
      <c r="AP265" s="25" t="str">
        <f>_xlfn.XLOOKUP(AO265,'TFS Details'!I:I,'TFS Details'!AE:AE)</f>
        <v>nityanand.giri</v>
      </c>
    </row>
    <row r="266" spans="1:42">
      <c r="A266" s="24" t="str">
        <f>_xlfn.XLOOKUP(F266,'TFS Details'!F:F,'TFS Details'!D:D)</f>
        <v>Value Shaping</v>
      </c>
      <c r="B266" s="24" t="str">
        <f>_xlfn.XLOOKUP(F266,'TFS Details'!F:F,'TFS Details'!A:A)</f>
        <v>Value Shaping –Enhancements</v>
      </c>
      <c r="C266" s="46">
        <f>_xlfn.XLOOKUP(F266,'TFS Details'!F:F,'TFS Details'!E:E)</f>
        <v>4330994</v>
      </c>
      <c r="D266" s="250" t="s">
        <v>41</v>
      </c>
      <c r="E266" s="163" t="s">
        <v>820</v>
      </c>
      <c r="F266" s="197">
        <v>4318914</v>
      </c>
      <c r="G266" s="66" t="s">
        <v>248</v>
      </c>
      <c r="H266" s="66" t="s">
        <v>247</v>
      </c>
      <c r="I266" s="66" t="s">
        <v>81</v>
      </c>
      <c r="J266" s="250" t="s">
        <v>20</v>
      </c>
      <c r="K266" s="66" t="s">
        <v>821</v>
      </c>
      <c r="L266" s="66" t="s">
        <v>822</v>
      </c>
      <c r="M266" s="66" t="s">
        <v>249</v>
      </c>
      <c r="N266" s="66" t="s">
        <v>249</v>
      </c>
      <c r="O266" s="273">
        <v>0.25</v>
      </c>
      <c r="P266" s="66" t="s">
        <v>249</v>
      </c>
      <c r="Q266" s="66" t="s">
        <v>249</v>
      </c>
      <c r="R266" s="66" t="s">
        <v>249</v>
      </c>
      <c r="S266" s="66" t="s">
        <v>249</v>
      </c>
      <c r="T266" s="66" t="s">
        <v>249</v>
      </c>
      <c r="U266" s="66" t="s">
        <v>249</v>
      </c>
      <c r="V266" s="66" t="s">
        <v>204</v>
      </c>
      <c r="W266" s="66" t="s">
        <v>204</v>
      </c>
      <c r="X266" s="66" t="s">
        <v>204</v>
      </c>
      <c r="Y266" s="66" t="s">
        <v>197</v>
      </c>
      <c r="Z266" s="106">
        <v>34</v>
      </c>
      <c r="AA266" s="106">
        <v>16</v>
      </c>
      <c r="AB266" s="106">
        <v>0</v>
      </c>
      <c r="AC266" s="106">
        <v>16</v>
      </c>
      <c r="AD266" s="228">
        <v>1</v>
      </c>
      <c r="AE266" s="228">
        <v>1</v>
      </c>
      <c r="AF266" s="113" t="s">
        <v>242</v>
      </c>
      <c r="AG266" s="236">
        <v>0</v>
      </c>
      <c r="AH266" s="163">
        <v>0</v>
      </c>
      <c r="AI266" s="163">
        <v>0</v>
      </c>
      <c r="AJ266" s="163">
        <v>16</v>
      </c>
      <c r="AK266" s="38">
        <f>SUM(AG266:AJ266)</f>
        <v>16</v>
      </c>
      <c r="AL266" s="261">
        <f>IF(AG266+AH266=0,0,SUM(AG266:AH266)/AK266)</f>
        <v>0</v>
      </c>
      <c r="AM266" s="261">
        <f>IF(AG266=0,0,AG266/(SUM(AG266:AI266)))</f>
        <v>0</v>
      </c>
      <c r="AN266" s="25"/>
      <c r="AO266" s="25" t="str">
        <f>_xlfn.XLOOKUP(F266,'TFS Details'!F:F,'TFS Details'!I:I)</f>
        <v>Spartans</v>
      </c>
      <c r="AP266" s="25" t="str">
        <f>_xlfn.XLOOKUP(AO266,'TFS Details'!I:I,'TFS Details'!AE:AE)</f>
        <v>nityanand.giri</v>
      </c>
    </row>
    <row r="267" spans="1:42">
      <c r="A267" s="24" t="str">
        <f>_xlfn.XLOOKUP(F267,'TFS Details'!F:F,'TFS Details'!D:D)</f>
        <v>Value Shaping</v>
      </c>
      <c r="B267" s="24" t="str">
        <f>_xlfn.XLOOKUP(F267,'TFS Details'!F:F,'TFS Details'!A:A)</f>
        <v>Value Shaping –Enhancements</v>
      </c>
      <c r="C267" s="46">
        <f>_xlfn.XLOOKUP(F267,'TFS Details'!F:F,'TFS Details'!E:E)</f>
        <v>4330994</v>
      </c>
      <c r="D267" s="250" t="s">
        <v>41</v>
      </c>
      <c r="E267" s="163" t="s">
        <v>823</v>
      </c>
      <c r="F267" s="197">
        <v>4318915</v>
      </c>
      <c r="G267" s="66" t="s">
        <v>812</v>
      </c>
      <c r="H267" s="66" t="s">
        <v>247</v>
      </c>
      <c r="I267" s="66" t="s">
        <v>813</v>
      </c>
      <c r="J267" s="250" t="s">
        <v>20</v>
      </c>
      <c r="K267" s="66" t="s">
        <v>821</v>
      </c>
      <c r="L267" s="66" t="s">
        <v>822</v>
      </c>
      <c r="M267" s="66" t="s">
        <v>249</v>
      </c>
      <c r="N267" s="66" t="s">
        <v>249</v>
      </c>
      <c r="O267" s="273">
        <v>0.2</v>
      </c>
      <c r="P267" s="66" t="s">
        <v>249</v>
      </c>
      <c r="Q267" s="66" t="s">
        <v>249</v>
      </c>
      <c r="R267" s="66" t="s">
        <v>249</v>
      </c>
      <c r="S267" s="66" t="s">
        <v>249</v>
      </c>
      <c r="T267" s="66" t="s">
        <v>249</v>
      </c>
      <c r="U267" s="66" t="s">
        <v>249</v>
      </c>
      <c r="V267" s="66" t="s">
        <v>204</v>
      </c>
      <c r="W267" s="66" t="s">
        <v>204</v>
      </c>
      <c r="X267" s="66" t="s">
        <v>204</v>
      </c>
      <c r="Y267" s="66" t="s">
        <v>216</v>
      </c>
      <c r="Z267" s="106">
        <v>34</v>
      </c>
      <c r="AA267" s="106">
        <v>15</v>
      </c>
      <c r="AB267" s="106">
        <v>0</v>
      </c>
      <c r="AC267" s="106">
        <v>15</v>
      </c>
      <c r="AD267" s="228">
        <v>1</v>
      </c>
      <c r="AE267" s="228">
        <v>1</v>
      </c>
      <c r="AF267" s="113" t="s">
        <v>242</v>
      </c>
      <c r="AG267" s="236">
        <v>5</v>
      </c>
      <c r="AH267" s="163">
        <v>0</v>
      </c>
      <c r="AI267" s="163">
        <v>0</v>
      </c>
      <c r="AJ267" s="163">
        <v>10</v>
      </c>
      <c r="AK267" s="38">
        <f>SUM(AG267:AJ267)</f>
        <v>15</v>
      </c>
      <c r="AL267" s="261">
        <f>IF(AG267+AH267=0,0,SUM(AG267:AH267)/AK267)</f>
        <v>0.33333333333333331</v>
      </c>
      <c r="AM267" s="261">
        <f>IF(AG267=0,0,AG267/(SUM(AG267:AI267)))</f>
        <v>1</v>
      </c>
      <c r="AN267" s="25"/>
      <c r="AO267" s="25" t="str">
        <f>_xlfn.XLOOKUP(F267,'TFS Details'!F:F,'TFS Details'!I:I)</f>
        <v>Spartans</v>
      </c>
      <c r="AP267" s="25" t="str">
        <f>_xlfn.XLOOKUP(AO267,'TFS Details'!I:I,'TFS Details'!AE:AE)</f>
        <v>nityanand.giri</v>
      </c>
    </row>
    <row r="268" spans="1:42">
      <c r="A268" s="24" t="str">
        <f>_xlfn.XLOOKUP(F268,'TFS Details'!F:F,'TFS Details'!D:D)</f>
        <v>Value Shaping</v>
      </c>
      <c r="B268" s="24" t="str">
        <f>_xlfn.XLOOKUP(F268,'TFS Details'!F:F,'TFS Details'!A:A)</f>
        <v>Value Shaping –Enhancements</v>
      </c>
      <c r="C268" s="46">
        <f>_xlfn.XLOOKUP(F268,'TFS Details'!F:F,'TFS Details'!E:E)</f>
        <v>4330994</v>
      </c>
      <c r="D268" s="250" t="s">
        <v>41</v>
      </c>
      <c r="E268" s="163" t="s">
        <v>824</v>
      </c>
      <c r="F268" s="197">
        <v>4318916</v>
      </c>
      <c r="G268" s="66" t="s">
        <v>812</v>
      </c>
      <c r="H268" s="66" t="s">
        <v>248</v>
      </c>
      <c r="I268" s="66" t="s">
        <v>813</v>
      </c>
      <c r="J268" s="250" t="s">
        <v>20</v>
      </c>
      <c r="K268" s="66" t="s">
        <v>821</v>
      </c>
      <c r="L268" s="66" t="s">
        <v>822</v>
      </c>
      <c r="M268" s="66" t="s">
        <v>249</v>
      </c>
      <c r="N268" s="66" t="s">
        <v>249</v>
      </c>
      <c r="O268" s="273">
        <v>0.1</v>
      </c>
      <c r="P268" s="66" t="s">
        <v>249</v>
      </c>
      <c r="Q268" s="66" t="s">
        <v>249</v>
      </c>
      <c r="R268" s="66" t="s">
        <v>249</v>
      </c>
      <c r="S268" s="66" t="s">
        <v>249</v>
      </c>
      <c r="T268" s="66" t="s">
        <v>249</v>
      </c>
      <c r="U268" s="66" t="s">
        <v>249</v>
      </c>
      <c r="V268" s="66" t="s">
        <v>204</v>
      </c>
      <c r="W268" s="66" t="s">
        <v>204</v>
      </c>
      <c r="X268" s="66" t="s">
        <v>204</v>
      </c>
      <c r="Y268" s="66" t="s">
        <v>216</v>
      </c>
      <c r="Z268" s="106">
        <v>35</v>
      </c>
      <c r="AA268" s="106">
        <v>22</v>
      </c>
      <c r="AB268" s="106">
        <v>4</v>
      </c>
      <c r="AC268" s="106">
        <v>26</v>
      </c>
      <c r="AD268" s="106">
        <v>84</v>
      </c>
      <c r="AE268" s="106">
        <v>65</v>
      </c>
      <c r="AF268" s="113" t="s">
        <v>242</v>
      </c>
      <c r="AG268" s="236">
        <v>2</v>
      </c>
      <c r="AH268" s="163">
        <v>0</v>
      </c>
      <c r="AI268" s="163">
        <v>0</v>
      </c>
      <c r="AJ268" s="163">
        <v>24</v>
      </c>
      <c r="AK268" s="38">
        <f>SUM(AG268:AJ268)</f>
        <v>26</v>
      </c>
      <c r="AL268" s="261">
        <f>IF(AG268+AH268=0,0,SUM(AG268:AH268)/AK268)</f>
        <v>7.6923076923076927E-2</v>
      </c>
      <c r="AM268" s="261">
        <f>IF(AG268=0,0,AG268/(SUM(AG268:AI268)))</f>
        <v>1</v>
      </c>
      <c r="AN268" s="25"/>
      <c r="AO268" s="25" t="str">
        <f>_xlfn.XLOOKUP(F268,'TFS Details'!F:F,'TFS Details'!I:I)</f>
        <v>Spartans</v>
      </c>
      <c r="AP268" s="25" t="str">
        <f>_xlfn.XLOOKUP(AO268,'TFS Details'!I:I,'TFS Details'!AE:AE)</f>
        <v>nityanand.giri</v>
      </c>
    </row>
    <row r="269" spans="1:42">
      <c r="A269" s="24" t="str">
        <f>_xlfn.XLOOKUP(F269,'TFS Details'!F:F,'TFS Details'!D:D)</f>
        <v>SnC Calculator</v>
      </c>
      <c r="B269" s="24" t="str">
        <f>_xlfn.XLOOKUP(F269,'TFS Details'!F:F,'TFS Details'!A:A)</f>
        <v>S&amp;C Calculator Updated Access Functionality for all SA</v>
      </c>
      <c r="C269" s="46">
        <f>_xlfn.XLOOKUP(F269,'TFS Details'!F:F,'TFS Details'!E:E)</f>
        <v>4327715</v>
      </c>
      <c r="D269" s="250" t="s">
        <v>41</v>
      </c>
      <c r="E269" s="163" t="s">
        <v>825</v>
      </c>
      <c r="F269" s="197">
        <v>4327802</v>
      </c>
      <c r="G269" s="66" t="s">
        <v>826</v>
      </c>
      <c r="H269" s="66" t="s">
        <v>827</v>
      </c>
      <c r="I269" s="66" t="s">
        <v>249</v>
      </c>
      <c r="J269" s="250" t="s">
        <v>18</v>
      </c>
      <c r="K269" s="66" t="s">
        <v>828</v>
      </c>
      <c r="L269" s="234" t="s">
        <v>30</v>
      </c>
      <c r="M269" s="66" t="s">
        <v>249</v>
      </c>
      <c r="N269" s="66" t="s">
        <v>249</v>
      </c>
      <c r="O269" s="66" t="s">
        <v>249</v>
      </c>
      <c r="P269" s="66" t="s">
        <v>249</v>
      </c>
      <c r="Q269" s="66" t="s">
        <v>249</v>
      </c>
      <c r="R269" s="66" t="s">
        <v>249</v>
      </c>
      <c r="S269" s="66" t="s">
        <v>249</v>
      </c>
      <c r="T269" s="66" t="s">
        <v>249</v>
      </c>
      <c r="U269" s="66" t="s">
        <v>249</v>
      </c>
      <c r="V269" s="66" t="s">
        <v>204</v>
      </c>
      <c r="W269" s="66" t="s">
        <v>204</v>
      </c>
      <c r="X269" s="66" t="s">
        <v>204</v>
      </c>
      <c r="Y269" s="66" t="s">
        <v>216</v>
      </c>
      <c r="Z269" s="106" t="s">
        <v>803</v>
      </c>
      <c r="AA269" s="106" t="s">
        <v>803</v>
      </c>
      <c r="AB269" s="106" t="s">
        <v>829</v>
      </c>
      <c r="AC269" s="106" t="s">
        <v>830</v>
      </c>
      <c r="AD269" s="106" t="s">
        <v>831</v>
      </c>
      <c r="AE269" s="106" t="s">
        <v>832</v>
      </c>
      <c r="AF269" s="113" t="s">
        <v>242</v>
      </c>
      <c r="AG269" s="236">
        <v>12</v>
      </c>
      <c r="AH269" s="163">
        <v>0</v>
      </c>
      <c r="AI269" s="163">
        <v>0</v>
      </c>
      <c r="AJ269" s="163">
        <v>0</v>
      </c>
      <c r="AK269" s="38">
        <f>SUM(AG269:AJ269)</f>
        <v>12</v>
      </c>
      <c r="AL269" s="261">
        <f>IF(AG269+AH269=0,0,SUM(AG269:AH269)/AK269)</f>
        <v>1</v>
      </c>
      <c r="AM269" s="261">
        <f>IF(AG269=0,0,AG269/(SUM(AG269:AI269)))</f>
        <v>1</v>
      </c>
      <c r="AN269" s="25"/>
      <c r="AO269" s="25" t="str">
        <f>_xlfn.XLOOKUP(F269,'TFS Details'!F:F,'TFS Details'!I:I)</f>
        <v>Codeplayers</v>
      </c>
      <c r="AP269" s="25" t="str">
        <f>_xlfn.XLOOKUP(AO269,'TFS Details'!I:I,'TFS Details'!AE:AE)</f>
        <v>nityanand.giri</v>
      </c>
    </row>
    <row r="270" spans="1:42">
      <c r="A270" s="24" t="str">
        <f>_xlfn.XLOOKUP(F270,'TFS Details'!F:F,'TFS Details'!D:D)</f>
        <v>SnC Calculator</v>
      </c>
      <c r="B270" s="24" t="str">
        <f>_xlfn.XLOOKUP(F270,'TFS Details'!F:F,'TFS Details'!A:A)</f>
        <v>S&amp;C Calculator Updated Access Functionality for all SA</v>
      </c>
      <c r="C270" s="46">
        <f>_xlfn.XLOOKUP(F270,'TFS Details'!F:F,'TFS Details'!E:E)</f>
        <v>4327715</v>
      </c>
      <c r="D270" s="250" t="s">
        <v>41</v>
      </c>
      <c r="E270" s="163" t="s">
        <v>833</v>
      </c>
      <c r="F270" s="197">
        <v>4329271</v>
      </c>
      <c r="G270" s="66" t="s">
        <v>827</v>
      </c>
      <c r="H270" s="66" t="s">
        <v>827</v>
      </c>
      <c r="I270" s="66" t="s">
        <v>249</v>
      </c>
      <c r="J270" s="250" t="s">
        <v>18</v>
      </c>
      <c r="K270" s="66" t="s">
        <v>834</v>
      </c>
      <c r="L270" s="234" t="s">
        <v>30</v>
      </c>
      <c r="M270" s="66" t="s">
        <v>249</v>
      </c>
      <c r="N270" s="66" t="s">
        <v>249</v>
      </c>
      <c r="O270" s="66" t="s">
        <v>249</v>
      </c>
      <c r="P270" s="66" t="s">
        <v>249</v>
      </c>
      <c r="Q270" s="66" t="s">
        <v>249</v>
      </c>
      <c r="R270" s="66" t="s">
        <v>249</v>
      </c>
      <c r="S270" s="66" t="s">
        <v>249</v>
      </c>
      <c r="T270" s="66" t="s">
        <v>249</v>
      </c>
      <c r="U270" s="66" t="s">
        <v>249</v>
      </c>
      <c r="V270" s="66" t="s">
        <v>204</v>
      </c>
      <c r="W270" s="66" t="s">
        <v>204</v>
      </c>
      <c r="X270" s="66" t="s">
        <v>204</v>
      </c>
      <c r="Y270" s="66" t="s">
        <v>204</v>
      </c>
      <c r="Z270" s="106">
        <v>22</v>
      </c>
      <c r="AA270" s="106">
        <v>11</v>
      </c>
      <c r="AB270" s="106">
        <v>0</v>
      </c>
      <c r="AC270" s="106">
        <v>11</v>
      </c>
      <c r="AD270" s="228">
        <v>1</v>
      </c>
      <c r="AE270" s="106" t="s">
        <v>249</v>
      </c>
      <c r="AF270" s="113" t="s">
        <v>242</v>
      </c>
      <c r="AG270" s="236">
        <v>11</v>
      </c>
      <c r="AH270" s="163">
        <v>0</v>
      </c>
      <c r="AI270" s="163">
        <v>0</v>
      </c>
      <c r="AJ270" s="163">
        <v>0</v>
      </c>
      <c r="AK270" s="38">
        <f>SUM(AG270:AJ270)</f>
        <v>11</v>
      </c>
      <c r="AL270" s="261">
        <f>IF(AG270+AH270=0,0,SUM(AG270:AH270)/AK270)</f>
        <v>1</v>
      </c>
      <c r="AM270" s="261">
        <f>IF(AG270=0,0,AG270/(SUM(AG270:AI270)))</f>
        <v>1</v>
      </c>
      <c r="AN270" s="25"/>
      <c r="AO270" s="25" t="str">
        <f>_xlfn.XLOOKUP(F270,'TFS Details'!F:F,'TFS Details'!I:I)</f>
        <v>Codeplayers</v>
      </c>
      <c r="AP270" s="25" t="str">
        <f>_xlfn.XLOOKUP(AO270,'TFS Details'!I:I,'TFS Details'!AE:AE)</f>
        <v>nityanand.giri</v>
      </c>
    </row>
    <row r="271" spans="1:42">
      <c r="A271" s="24" t="str">
        <f>_xlfn.XLOOKUP(F271,'TFS Details'!F:F,'TFS Details'!D:D)</f>
        <v>SnC Calculator</v>
      </c>
      <c r="B271" s="24" t="str">
        <f>_xlfn.XLOOKUP(F271,'TFS Details'!F:F,'TFS Details'!A:A)</f>
        <v>S&amp;C Calculator Updated Access Functionality for all SA</v>
      </c>
      <c r="C271" s="46">
        <f>_xlfn.XLOOKUP(F271,'TFS Details'!F:F,'TFS Details'!E:E)</f>
        <v>4327715</v>
      </c>
      <c r="D271" s="250" t="s">
        <v>41</v>
      </c>
      <c r="E271" s="163" t="s">
        <v>835</v>
      </c>
      <c r="F271" s="197">
        <v>4329273</v>
      </c>
      <c r="G271" s="66" t="s">
        <v>266</v>
      </c>
      <c r="H271" s="66" t="s">
        <v>247</v>
      </c>
      <c r="I271" s="66" t="s">
        <v>249</v>
      </c>
      <c r="J271" s="250" t="s">
        <v>18</v>
      </c>
      <c r="K271" s="66" t="s">
        <v>834</v>
      </c>
      <c r="L271" s="234" t="s">
        <v>30</v>
      </c>
      <c r="M271" s="66" t="s">
        <v>249</v>
      </c>
      <c r="N271" s="66" t="s">
        <v>249</v>
      </c>
      <c r="O271" s="66" t="s">
        <v>249</v>
      </c>
      <c r="P271" s="66" t="s">
        <v>249</v>
      </c>
      <c r="Q271" s="66" t="s">
        <v>249</v>
      </c>
      <c r="R271" s="66" t="s">
        <v>249</v>
      </c>
      <c r="S271" s="66" t="s">
        <v>249</v>
      </c>
      <c r="T271" s="66" t="s">
        <v>249</v>
      </c>
      <c r="U271" s="66" t="s">
        <v>249</v>
      </c>
      <c r="V271" s="66" t="s">
        <v>204</v>
      </c>
      <c r="W271" s="66" t="s">
        <v>204</v>
      </c>
      <c r="X271" s="66" t="s">
        <v>197</v>
      </c>
      <c r="Y271" s="66" t="s">
        <v>216</v>
      </c>
      <c r="Z271" s="106">
        <v>20</v>
      </c>
      <c r="AA271" s="106">
        <v>16</v>
      </c>
      <c r="AB271" s="106">
        <v>0</v>
      </c>
      <c r="AC271" s="106">
        <v>16</v>
      </c>
      <c r="AD271" s="228">
        <v>0.9</v>
      </c>
      <c r="AE271" s="228">
        <v>0.8</v>
      </c>
      <c r="AF271" s="113" t="s">
        <v>242</v>
      </c>
      <c r="AG271" s="236">
        <v>6</v>
      </c>
      <c r="AH271" s="163">
        <v>0</v>
      </c>
      <c r="AI271" s="163">
        <v>0</v>
      </c>
      <c r="AJ271" s="163">
        <v>5</v>
      </c>
      <c r="AK271" s="38">
        <f>SUM(AG271:AJ271)</f>
        <v>11</v>
      </c>
      <c r="AL271" s="261">
        <f>IF(AG271+AH271=0,0,SUM(AG271:AH271)/AK271)</f>
        <v>0.54545454545454541</v>
      </c>
      <c r="AM271" s="261">
        <f>IF(AG271=0,0,AG271/(SUM(AG271:AI271)))</f>
        <v>1</v>
      </c>
      <c r="AN271" s="25"/>
      <c r="AO271" s="25" t="str">
        <f>_xlfn.XLOOKUP(F271,'TFS Details'!F:F,'TFS Details'!I:I)</f>
        <v>Codeplayers</v>
      </c>
      <c r="AP271" s="25" t="str">
        <f>_xlfn.XLOOKUP(AO271,'TFS Details'!I:I,'TFS Details'!AE:AE)</f>
        <v>nityanand.giri</v>
      </c>
    </row>
    <row r="272" spans="1:42" ht="14.45">
      <c r="A272" s="24" t="str">
        <f>_xlfn.XLOOKUP(F272,'TFS Details'!F:F,'TFS Details'!D:D)</f>
        <v>SnC Calculator</v>
      </c>
      <c r="B272" s="24" t="str">
        <f>_xlfn.XLOOKUP(F272,'TFS Details'!F:F,'TFS Details'!A:A)</f>
        <v>S&amp;C Calculator Updated Access Functionality for all SA</v>
      </c>
      <c r="C272" s="46">
        <f>_xlfn.XLOOKUP(F272,'TFS Details'!F:F,'TFS Details'!E:E)</f>
        <v>4327715</v>
      </c>
      <c r="D272" s="250" t="s">
        <v>41</v>
      </c>
      <c r="E272" s="163" t="s">
        <v>836</v>
      </c>
      <c r="F272" s="197">
        <v>4329279</v>
      </c>
      <c r="G272" s="66" t="s">
        <v>752</v>
      </c>
      <c r="H272" s="66" t="s">
        <v>827</v>
      </c>
      <c r="I272" s="66"/>
      <c r="J272" s="250" t="s">
        <v>18</v>
      </c>
      <c r="K272" s="66" t="s">
        <v>834</v>
      </c>
      <c r="L272" s="234" t="s">
        <v>30</v>
      </c>
      <c r="M272" s="66" t="s">
        <v>249</v>
      </c>
      <c r="N272" s="66" t="s">
        <v>249</v>
      </c>
      <c r="O272" s="273"/>
      <c r="P272" s="66" t="s">
        <v>249</v>
      </c>
      <c r="Q272" s="66" t="s">
        <v>249</v>
      </c>
      <c r="R272" s="66" t="s">
        <v>249</v>
      </c>
      <c r="S272" s="66" t="s">
        <v>249</v>
      </c>
      <c r="T272" s="66" t="s">
        <v>249</v>
      </c>
      <c r="U272" s="66" t="s">
        <v>249</v>
      </c>
      <c r="V272" s="66" t="s">
        <v>204</v>
      </c>
      <c r="W272" s="66" t="s">
        <v>204</v>
      </c>
      <c r="X272" s="66" t="s">
        <v>216</v>
      </c>
      <c r="Y272" s="66" t="s">
        <v>197</v>
      </c>
      <c r="Z272" s="140">
        <v>25</v>
      </c>
      <c r="AA272" s="140">
        <v>11</v>
      </c>
      <c r="AB272" s="140">
        <v>0</v>
      </c>
      <c r="AC272" s="140">
        <v>11</v>
      </c>
      <c r="AD272" s="228">
        <v>0.69</v>
      </c>
      <c r="AE272" s="228">
        <v>0.9</v>
      </c>
      <c r="AF272" s="113" t="s">
        <v>242</v>
      </c>
      <c r="AG272" s="236">
        <v>3</v>
      </c>
      <c r="AH272" s="163">
        <v>0</v>
      </c>
      <c r="AI272" s="163">
        <v>0</v>
      </c>
      <c r="AJ272" s="163">
        <v>8</v>
      </c>
      <c r="AK272" s="38">
        <f>SUM(AG272:AJ272)</f>
        <v>11</v>
      </c>
      <c r="AL272" s="261">
        <f>IF(AG272+AH272=0,0,SUM(AG272:AH272)/AK272)</f>
        <v>0.27272727272727271</v>
      </c>
      <c r="AM272" s="261">
        <f>IF(AG272=0,0,AG272/(SUM(AG272:AI272)))</f>
        <v>1</v>
      </c>
      <c r="AN272" s="25"/>
      <c r="AO272" s="25" t="str">
        <f>_xlfn.XLOOKUP(F272,'TFS Details'!F:F,'TFS Details'!I:I)</f>
        <v>Codeplayers</v>
      </c>
      <c r="AP272" s="25" t="str">
        <f>_xlfn.XLOOKUP(AO272,'TFS Details'!I:I,'TFS Details'!AE:AE)</f>
        <v>nityanand.giri</v>
      </c>
    </row>
    <row r="273" spans="1:42">
      <c r="A273" s="24" t="str">
        <f>_xlfn.XLOOKUP(F273,'TFS Details'!F:F,'TFS Details'!D:D)</f>
        <v>Mobilization Calculator</v>
      </c>
      <c r="B273" s="24" t="str">
        <f>_xlfn.XLOOKUP(F273,'TFS Details'!F:F,'TFS Details'!A:A)</f>
        <v>Mobilization Calculator -Bottom Up CRs</v>
      </c>
      <c r="C273" s="46">
        <f>_xlfn.XLOOKUP(F273,'TFS Details'!F:F,'TFS Details'!E:E)</f>
        <v>4232673</v>
      </c>
      <c r="D273" s="250" t="s">
        <v>41</v>
      </c>
      <c r="E273" s="163" t="s">
        <v>837</v>
      </c>
      <c r="F273" s="197">
        <v>4330382</v>
      </c>
      <c r="G273" s="66" t="s">
        <v>258</v>
      </c>
      <c r="H273" s="66" t="s">
        <v>266</v>
      </c>
      <c r="I273" s="66" t="s">
        <v>113</v>
      </c>
      <c r="J273" s="250" t="s">
        <v>1</v>
      </c>
      <c r="K273" s="66"/>
      <c r="L273" s="66" t="s">
        <v>30</v>
      </c>
      <c r="M273" s="66" t="s">
        <v>311</v>
      </c>
      <c r="N273" s="66" t="s">
        <v>249</v>
      </c>
      <c r="O273" s="273">
        <v>0.1</v>
      </c>
      <c r="P273" s="66" t="s">
        <v>249</v>
      </c>
      <c r="Q273" s="66" t="s">
        <v>249</v>
      </c>
      <c r="R273" s="66" t="s">
        <v>249</v>
      </c>
      <c r="S273" s="66" t="s">
        <v>249</v>
      </c>
      <c r="T273" s="66" t="s">
        <v>249</v>
      </c>
      <c r="U273" s="66" t="s">
        <v>249</v>
      </c>
      <c r="V273" s="66" t="s">
        <v>204</v>
      </c>
      <c r="W273" s="66" t="s">
        <v>204</v>
      </c>
      <c r="X273" s="66" t="s">
        <v>17</v>
      </c>
      <c r="Y273" s="66" t="s">
        <v>53</v>
      </c>
      <c r="Z273" s="106">
        <v>40</v>
      </c>
      <c r="AA273" s="106">
        <v>32</v>
      </c>
      <c r="AB273" s="106">
        <v>0</v>
      </c>
      <c r="AC273" s="106">
        <v>32</v>
      </c>
      <c r="AD273" s="228">
        <v>1</v>
      </c>
      <c r="AE273" s="228">
        <v>0.9</v>
      </c>
      <c r="AF273" s="113" t="s">
        <v>242</v>
      </c>
      <c r="AG273" s="236">
        <v>15</v>
      </c>
      <c r="AH273" s="163">
        <v>0</v>
      </c>
      <c r="AI273" s="163">
        <v>0</v>
      </c>
      <c r="AJ273" s="163">
        <v>17</v>
      </c>
      <c r="AK273" s="38">
        <f>SUM(AG273:AJ273)</f>
        <v>32</v>
      </c>
      <c r="AL273" s="261">
        <f>IF(AG273+AH273=0,0,SUM(AG273:AH273)/AK273)</f>
        <v>0.46875</v>
      </c>
      <c r="AM273" s="261">
        <f>IF(AG273=0,0,AG273/(SUM(AG273:AI273)))</f>
        <v>1</v>
      </c>
      <c r="AN273" s="75"/>
      <c r="AO273" s="25" t="str">
        <f>_xlfn.XLOOKUP(F273,'TFS Details'!F:F,'TFS Details'!I:I)</f>
        <v>Everest</v>
      </c>
      <c r="AP273" s="25" t="str">
        <f>_xlfn.XLOOKUP(AO273,'TFS Details'!I:I,'TFS Details'!AE:AE)</f>
        <v>nityanand.giri</v>
      </c>
    </row>
    <row r="274" spans="1:42">
      <c r="A274" s="24" t="str">
        <f>_xlfn.XLOOKUP(F274,'TFS Details'!F:F,'TFS Details'!D:D)</f>
        <v>SnC Calculator</v>
      </c>
      <c r="B274" s="24" t="str">
        <f>_xlfn.XLOOKUP(F274,'TFS Details'!F:F,'TFS Details'!A:A)</f>
        <v>S&amp;C Calculator Updated Access Functionality for all SA</v>
      </c>
      <c r="C274" s="46">
        <f>_xlfn.XLOOKUP(F274,'TFS Details'!F:F,'TFS Details'!E:E)</f>
        <v>4327715</v>
      </c>
      <c r="D274" s="250" t="s">
        <v>41</v>
      </c>
      <c r="E274" s="163" t="s">
        <v>838</v>
      </c>
      <c r="F274" s="197">
        <v>4331550</v>
      </c>
      <c r="G274" s="66" t="s">
        <v>827</v>
      </c>
      <c r="H274" s="66" t="s">
        <v>791</v>
      </c>
      <c r="I274" s="66" t="s">
        <v>249</v>
      </c>
      <c r="J274" s="250" t="s">
        <v>18</v>
      </c>
      <c r="K274" s="66" t="s">
        <v>834</v>
      </c>
      <c r="L274" s="234" t="s">
        <v>30</v>
      </c>
      <c r="M274" s="66" t="s">
        <v>249</v>
      </c>
      <c r="N274" s="66" t="s">
        <v>249</v>
      </c>
      <c r="O274" s="66" t="s">
        <v>249</v>
      </c>
      <c r="P274" s="66" t="s">
        <v>249</v>
      </c>
      <c r="Q274" s="66" t="s">
        <v>249</v>
      </c>
      <c r="R274" s="66" t="s">
        <v>249</v>
      </c>
      <c r="S274" s="66" t="s">
        <v>249</v>
      </c>
      <c r="T274" s="66" t="s">
        <v>249</v>
      </c>
      <c r="U274" s="66" t="s">
        <v>249</v>
      </c>
      <c r="V274" s="66" t="s">
        <v>204</v>
      </c>
      <c r="W274" s="66" t="s">
        <v>204</v>
      </c>
      <c r="X274" s="66" t="s">
        <v>204</v>
      </c>
      <c r="Y274" s="66" t="s">
        <v>216</v>
      </c>
      <c r="Z274" s="106">
        <v>25</v>
      </c>
      <c r="AA274" s="106">
        <v>16</v>
      </c>
      <c r="AB274" s="106">
        <v>0</v>
      </c>
      <c r="AC274" s="106">
        <v>16</v>
      </c>
      <c r="AD274" s="228">
        <v>1</v>
      </c>
      <c r="AE274" s="106" t="s">
        <v>249</v>
      </c>
      <c r="AF274" s="113" t="s">
        <v>242</v>
      </c>
      <c r="AG274" s="236">
        <v>4</v>
      </c>
      <c r="AH274" s="163">
        <v>0</v>
      </c>
      <c r="AI274" s="163">
        <v>0</v>
      </c>
      <c r="AJ274" s="163">
        <v>12</v>
      </c>
      <c r="AK274" s="38">
        <f>SUM(AG274:AJ274)</f>
        <v>16</v>
      </c>
      <c r="AL274" s="261">
        <f>IF(AG274+AH274=0,0,SUM(AG274:AH274)/AK274)</f>
        <v>0.25</v>
      </c>
      <c r="AM274" s="261">
        <f>IF(AG274=0,0,AG274/(SUM(AG274:AI274)))</f>
        <v>1</v>
      </c>
      <c r="AN274" s="25"/>
      <c r="AO274" s="25" t="str">
        <f>_xlfn.XLOOKUP(F274,'TFS Details'!F:F,'TFS Details'!I:I)</f>
        <v>Codeplayers</v>
      </c>
      <c r="AP274" s="25" t="str">
        <f>_xlfn.XLOOKUP(AO274,'TFS Details'!I:I,'TFS Details'!AE:AE)</f>
        <v>nityanand.giri</v>
      </c>
    </row>
    <row r="275" spans="1:42">
      <c r="A275" s="24" t="str">
        <f>_xlfn.XLOOKUP(F275,'TFS Details'!F:F,'TFS Details'!D:D)</f>
        <v>IPC Calculator</v>
      </c>
      <c r="B275" s="24" t="str">
        <f>_xlfn.XLOOKUP(F275,'TFS Details'!F:F,'TFS Details'!A:A)</f>
        <v>IPC Calculator | Cost Update to Standard Package</v>
      </c>
      <c r="C275" s="46">
        <f>_xlfn.XLOOKUP(F275,'TFS Details'!F:F,'TFS Details'!E:E)</f>
        <v>4341363</v>
      </c>
      <c r="D275" s="250" t="s">
        <v>41</v>
      </c>
      <c r="E275" s="163" t="s">
        <v>839</v>
      </c>
      <c r="F275" s="197">
        <v>4343709</v>
      </c>
      <c r="G275" s="66" t="s">
        <v>817</v>
      </c>
      <c r="H275" s="66" t="s">
        <v>259</v>
      </c>
      <c r="I275" s="66" t="s">
        <v>249</v>
      </c>
      <c r="J275" s="250" t="s">
        <v>18</v>
      </c>
      <c r="K275" s="66" t="s">
        <v>840</v>
      </c>
      <c r="L275" s="234" t="s">
        <v>30</v>
      </c>
      <c r="M275" s="252" t="s">
        <v>841</v>
      </c>
      <c r="N275" s="66" t="s">
        <v>249</v>
      </c>
      <c r="O275" s="66" t="s">
        <v>249</v>
      </c>
      <c r="P275" s="66" t="s">
        <v>249</v>
      </c>
      <c r="Q275" s="66" t="s">
        <v>249</v>
      </c>
      <c r="R275" s="66" t="s">
        <v>249</v>
      </c>
      <c r="S275" s="66" t="s">
        <v>249</v>
      </c>
      <c r="T275" s="66" t="s">
        <v>249</v>
      </c>
      <c r="U275" s="66" t="s">
        <v>249</v>
      </c>
      <c r="V275" s="66" t="s">
        <v>204</v>
      </c>
      <c r="W275" s="66" t="s">
        <v>204</v>
      </c>
      <c r="X275" s="66" t="s">
        <v>204</v>
      </c>
      <c r="Y275" s="66" t="s">
        <v>197</v>
      </c>
      <c r="Z275" s="106">
        <v>51</v>
      </c>
      <c r="AA275" s="106">
        <v>13</v>
      </c>
      <c r="AB275" s="106">
        <v>8</v>
      </c>
      <c r="AC275" s="106">
        <v>21</v>
      </c>
      <c r="AD275" s="228">
        <v>0.7</v>
      </c>
      <c r="AE275" s="228">
        <v>0.7</v>
      </c>
      <c r="AF275" s="113" t="s">
        <v>242</v>
      </c>
      <c r="AG275" s="236">
        <v>0</v>
      </c>
      <c r="AH275" s="163">
        <v>0</v>
      </c>
      <c r="AI275" s="163">
        <v>0</v>
      </c>
      <c r="AJ275" s="163">
        <v>21</v>
      </c>
      <c r="AK275" s="38">
        <f>SUM(AG275:AJ275)</f>
        <v>21</v>
      </c>
      <c r="AL275" s="261">
        <f>IF(AG275+AH275=0,0,SUM(AG275:AH275)/AK275)</f>
        <v>0</v>
      </c>
      <c r="AM275" s="261">
        <f>IF(AG275=0,0,AG275/(SUM(AG275:AI275)))</f>
        <v>0</v>
      </c>
      <c r="AN275" s="25"/>
      <c r="AO275" s="25" t="str">
        <f>_xlfn.XLOOKUP(F275,'TFS Details'!F:F,'TFS Details'!I:I)</f>
        <v>TitansPlus</v>
      </c>
      <c r="AP275" s="25" t="str">
        <f>_xlfn.XLOOKUP(AO275,'TFS Details'!I:I,'TFS Details'!AE:AE)</f>
        <v>nityanand.giri</v>
      </c>
    </row>
    <row r="276" spans="1:42">
      <c r="A276" s="24" t="str">
        <f>_xlfn.XLOOKUP(F276,'TFS Details'!F:F,'TFS Details'!D:D)</f>
        <v>SnC Calculator</v>
      </c>
      <c r="B276" s="24" t="str">
        <f>_xlfn.XLOOKUP(F276,'TFS Details'!F:F,'TFS Details'!A:A)</f>
        <v>SnC Calculator | Enabling Access for AMS Service Group and enable sync functionality in both SI and AMS</v>
      </c>
      <c r="C276" s="46">
        <f>_xlfn.XLOOKUP(F276,'TFS Details'!F:F,'TFS Details'!E:E)</f>
        <v>4341384</v>
      </c>
      <c r="D276" s="250" t="s">
        <v>41</v>
      </c>
      <c r="E276" s="163" t="s">
        <v>838</v>
      </c>
      <c r="F276" s="197">
        <v>4343880</v>
      </c>
      <c r="G276" s="66" t="s">
        <v>827</v>
      </c>
      <c r="H276" s="66" t="s">
        <v>284</v>
      </c>
      <c r="I276" s="66" t="s">
        <v>249</v>
      </c>
      <c r="J276" s="250" t="s">
        <v>18</v>
      </c>
      <c r="K276" s="66" t="s">
        <v>840</v>
      </c>
      <c r="L276" s="234" t="s">
        <v>30</v>
      </c>
      <c r="M276" s="66" t="s">
        <v>249</v>
      </c>
      <c r="N276" s="66" t="s">
        <v>249</v>
      </c>
      <c r="O276" s="66" t="s">
        <v>249</v>
      </c>
      <c r="P276" s="66" t="s">
        <v>249</v>
      </c>
      <c r="Q276" s="66" t="s">
        <v>249</v>
      </c>
      <c r="R276" s="66" t="s">
        <v>249</v>
      </c>
      <c r="S276" s="66" t="s">
        <v>249</v>
      </c>
      <c r="T276" s="66" t="s">
        <v>249</v>
      </c>
      <c r="U276" s="66" t="s">
        <v>249</v>
      </c>
      <c r="V276" s="66" t="s">
        <v>204</v>
      </c>
      <c r="W276" s="66" t="s">
        <v>204</v>
      </c>
      <c r="X276" s="66" t="s">
        <v>204</v>
      </c>
      <c r="Y276" s="66" t="s">
        <v>216</v>
      </c>
      <c r="Z276" s="106">
        <v>26</v>
      </c>
      <c r="AA276" s="106">
        <v>16</v>
      </c>
      <c r="AB276" s="106">
        <v>0</v>
      </c>
      <c r="AC276" s="106">
        <v>16</v>
      </c>
      <c r="AD276" s="228">
        <v>1</v>
      </c>
      <c r="AE276" s="106" t="s">
        <v>249</v>
      </c>
      <c r="AF276" s="113" t="s">
        <v>242</v>
      </c>
      <c r="AG276" s="236">
        <v>3</v>
      </c>
      <c r="AH276" s="163">
        <v>0</v>
      </c>
      <c r="AI276" s="163">
        <v>0</v>
      </c>
      <c r="AJ276" s="163">
        <v>13</v>
      </c>
      <c r="AK276" s="38">
        <f>SUM(AG276:AJ276)</f>
        <v>16</v>
      </c>
      <c r="AL276" s="261">
        <f>IF(AG276+AH276=0,0,SUM(AG276:AH276)/AK276)</f>
        <v>0.1875</v>
      </c>
      <c r="AM276" s="261">
        <f>IF(AG276=0,0,AG276/(SUM(AG276:AI276)))</f>
        <v>1</v>
      </c>
      <c r="AN276" s="25"/>
      <c r="AO276" s="25" t="str">
        <f>_xlfn.XLOOKUP(F276,'TFS Details'!F:F,'TFS Details'!I:I)</f>
        <v>TechWarriors</v>
      </c>
      <c r="AP276" s="25" t="str">
        <f>_xlfn.XLOOKUP(AO276,'TFS Details'!I:I,'TFS Details'!AE:AE)</f>
        <v>Supriya.a.dhingra</v>
      </c>
    </row>
    <row r="277" spans="1:42">
      <c r="A277" s="24" t="str">
        <f>_xlfn.XLOOKUP(F277,'TFS Details'!F:F,'TFS Details'!D:D)</f>
        <v>IPC Calculator</v>
      </c>
      <c r="B277" s="24" t="str">
        <f>_xlfn.XLOOKUP(F277,'TFS Details'!F:F,'TFS Details'!A:A)</f>
        <v>IPC Calculator | Package and Cost screen UI changes</v>
      </c>
      <c r="C277" s="46">
        <f>_xlfn.XLOOKUP(F277,'TFS Details'!F:F,'TFS Details'!E:E)</f>
        <v>4313249</v>
      </c>
      <c r="D277" s="250" t="s">
        <v>41</v>
      </c>
      <c r="E277" s="163" t="s">
        <v>269</v>
      </c>
      <c r="F277" s="197">
        <v>4354055</v>
      </c>
      <c r="G277" s="66" t="s">
        <v>258</v>
      </c>
      <c r="H277" s="66" t="s">
        <v>259</v>
      </c>
      <c r="I277" s="66" t="s">
        <v>113</v>
      </c>
      <c r="J277" s="250" t="s">
        <v>1</v>
      </c>
      <c r="K277" s="66" t="s">
        <v>840</v>
      </c>
      <c r="L277" s="66"/>
      <c r="M277" s="66" t="s">
        <v>311</v>
      </c>
      <c r="N277" s="66" t="s">
        <v>249</v>
      </c>
      <c r="O277" s="273">
        <v>0</v>
      </c>
      <c r="P277" s="66" t="s">
        <v>249</v>
      </c>
      <c r="Q277" s="66" t="s">
        <v>249</v>
      </c>
      <c r="R277" s="66" t="s">
        <v>249</v>
      </c>
      <c r="S277" s="66" t="s">
        <v>249</v>
      </c>
      <c r="T277" s="66" t="s">
        <v>249</v>
      </c>
      <c r="U277" s="66" t="s">
        <v>249</v>
      </c>
      <c r="V277" s="66" t="s">
        <v>204</v>
      </c>
      <c r="W277" s="66" t="s">
        <v>204</v>
      </c>
      <c r="X277" s="66" t="s">
        <v>17</v>
      </c>
      <c r="Y277" s="66" t="s">
        <v>197</v>
      </c>
      <c r="Z277" s="106">
        <v>51</v>
      </c>
      <c r="AA277" s="106">
        <v>28</v>
      </c>
      <c r="AB277" s="106">
        <v>0</v>
      </c>
      <c r="AC277" s="106">
        <v>28</v>
      </c>
      <c r="AD277" s="228">
        <v>1</v>
      </c>
      <c r="AE277" s="228">
        <v>0.8</v>
      </c>
      <c r="AF277" s="113" t="s">
        <v>242</v>
      </c>
      <c r="AG277" s="236">
        <v>0</v>
      </c>
      <c r="AH277" s="163">
        <v>0</v>
      </c>
      <c r="AI277" s="163">
        <v>0</v>
      </c>
      <c r="AJ277" s="163">
        <v>28</v>
      </c>
      <c r="AK277" s="38">
        <f>SUM(AG277:AJ277)</f>
        <v>28</v>
      </c>
      <c r="AL277" s="261">
        <f>IF(AG277+AH277=0,0,SUM(AG277:AH277)/AK277)</f>
        <v>0</v>
      </c>
      <c r="AM277" s="261">
        <f>IF(AG277=0,0,AG277/(SUM(AG277:AI277)))</f>
        <v>0</v>
      </c>
      <c r="AN277" s="25"/>
      <c r="AO277" s="25" t="str">
        <f>_xlfn.XLOOKUP(F277,'TFS Details'!F:F,'TFS Details'!I:I)</f>
        <v>TitansPlus</v>
      </c>
      <c r="AP277" s="25" t="str">
        <f>_xlfn.XLOOKUP(AO277,'TFS Details'!I:I,'TFS Details'!AE:AE)</f>
        <v>nityanand.giri</v>
      </c>
    </row>
    <row r="278" spans="1:42">
      <c r="A278" s="24" t="str">
        <f>_xlfn.XLOOKUP(F278,'TFS Details'!F:F,'TFS Details'!D:D)</f>
        <v>Automation Calculator</v>
      </c>
      <c r="B278" s="24" t="str">
        <f>_xlfn.XLOOKUP(F278,'TFS Details'!F:F,'TFS Details'!A:A)</f>
        <v>Calculator - Hover message for Default version</v>
      </c>
      <c r="C278" s="46">
        <f>_xlfn.XLOOKUP(F278,'TFS Details'!F:F,'TFS Details'!E:E)</f>
        <v>4366167</v>
      </c>
      <c r="D278" s="250" t="s">
        <v>41</v>
      </c>
      <c r="E278" s="163" t="s">
        <v>842</v>
      </c>
      <c r="F278" s="197">
        <v>4355700</v>
      </c>
      <c r="G278" s="66" t="s">
        <v>843</v>
      </c>
      <c r="H278" s="66" t="s">
        <v>752</v>
      </c>
      <c r="I278" s="66" t="s">
        <v>105</v>
      </c>
      <c r="J278" s="66" t="s">
        <v>1</v>
      </c>
      <c r="K278" s="66" t="s">
        <v>840</v>
      </c>
      <c r="L278" s="66" t="s">
        <v>249</v>
      </c>
      <c r="M278" s="66" t="s">
        <v>465</v>
      </c>
      <c r="N278" s="66" t="s">
        <v>249</v>
      </c>
      <c r="O278" s="273">
        <v>0.1</v>
      </c>
      <c r="P278" s="66" t="s">
        <v>249</v>
      </c>
      <c r="Q278" s="66" t="s">
        <v>249</v>
      </c>
      <c r="R278" s="66" t="s">
        <v>249</v>
      </c>
      <c r="S278" s="66" t="s">
        <v>249</v>
      </c>
      <c r="T278" s="66" t="s">
        <v>249</v>
      </c>
      <c r="U278" s="66" t="s">
        <v>249</v>
      </c>
      <c r="V278" s="66" t="s">
        <v>204</v>
      </c>
      <c r="W278" s="66" t="s">
        <v>204</v>
      </c>
      <c r="X278" s="66" t="s">
        <v>197</v>
      </c>
      <c r="Y278" s="66" t="s">
        <v>197</v>
      </c>
      <c r="Z278" s="106">
        <v>35</v>
      </c>
      <c r="AA278" s="106">
        <v>10</v>
      </c>
      <c r="AB278" s="106" t="s">
        <v>249</v>
      </c>
      <c r="AC278" s="106" t="s">
        <v>249</v>
      </c>
      <c r="AD278" s="106" t="s">
        <v>249</v>
      </c>
      <c r="AE278" s="106" t="s">
        <v>249</v>
      </c>
      <c r="AF278" s="113" t="s">
        <v>198</v>
      </c>
      <c r="AG278" s="236">
        <v>0</v>
      </c>
      <c r="AH278" s="163">
        <v>0</v>
      </c>
      <c r="AI278" s="163">
        <v>0</v>
      </c>
      <c r="AJ278" s="163">
        <v>9</v>
      </c>
      <c r="AK278" s="38">
        <f>SUM(AG278:AJ278)</f>
        <v>9</v>
      </c>
      <c r="AL278" s="261">
        <f>IF(AG278+AH278=0,0,SUM(AG278:AH278)/AK278)</f>
        <v>0</v>
      </c>
      <c r="AM278" s="261">
        <f>IF(AG278=0,0,AG278/(SUM(AG278:AI278)))</f>
        <v>0</v>
      </c>
      <c r="AN278" s="25"/>
      <c r="AO278" s="25" t="str">
        <f>_xlfn.XLOOKUP(F278,'TFS Details'!F:F,'TFS Details'!I:I)</f>
        <v>TechWarriors</v>
      </c>
      <c r="AP278" s="25" t="str">
        <f>_xlfn.XLOOKUP(AO278,'TFS Details'!I:I,'TFS Details'!AE:AE)</f>
        <v>Supriya.a.dhingra</v>
      </c>
    </row>
    <row r="279" spans="1:42">
      <c r="A279" s="24" t="str">
        <f>_xlfn.XLOOKUP(F279,'TFS Details'!F:F,'TFS Details'!D:D)</f>
        <v>Asset Blueprint Calculators</v>
      </c>
      <c r="B279" s="24" t="str">
        <f>_xlfn.XLOOKUP(F279,'TFS Details'!F:F,'TFS Details'!A:A)</f>
        <v>Attach Calculator</v>
      </c>
      <c r="C279" s="46">
        <f>_xlfn.XLOOKUP(F279,'TFS Details'!F:F,'TFS Details'!E:E)</f>
        <v>4372279</v>
      </c>
      <c r="D279" s="250" t="s">
        <v>41</v>
      </c>
      <c r="E279" s="163" t="s">
        <v>844</v>
      </c>
      <c r="F279" s="197">
        <v>4358519</v>
      </c>
      <c r="G279" s="66" t="s">
        <v>754</v>
      </c>
      <c r="H279" s="66" t="s">
        <v>791</v>
      </c>
      <c r="I279" s="66" t="s">
        <v>125</v>
      </c>
      <c r="J279" s="66" t="s">
        <v>1</v>
      </c>
      <c r="K279" s="66" t="s">
        <v>840</v>
      </c>
      <c r="L279" s="66" t="s">
        <v>249</v>
      </c>
      <c r="M279" s="66" t="s">
        <v>461</v>
      </c>
      <c r="N279" s="66" t="s">
        <v>249</v>
      </c>
      <c r="O279" s="273">
        <v>0.05</v>
      </c>
      <c r="P279" s="66" t="s">
        <v>249</v>
      </c>
      <c r="Q279" s="66" t="s">
        <v>249</v>
      </c>
      <c r="R279" s="66" t="s">
        <v>249</v>
      </c>
      <c r="S279" s="66" t="s">
        <v>249</v>
      </c>
      <c r="T279" s="66" t="s">
        <v>249</v>
      </c>
      <c r="U279" s="66" t="s">
        <v>249</v>
      </c>
      <c r="V279" s="66" t="s">
        <v>204</v>
      </c>
      <c r="W279" s="66" t="s">
        <v>204</v>
      </c>
      <c r="X279" s="66" t="s">
        <v>197</v>
      </c>
      <c r="Y279" s="66" t="s">
        <v>197</v>
      </c>
      <c r="Z279" s="106">
        <v>35</v>
      </c>
      <c r="AA279" s="106">
        <v>31</v>
      </c>
      <c r="AB279" s="106">
        <v>12</v>
      </c>
      <c r="AC279" s="106">
        <v>43</v>
      </c>
      <c r="AD279" s="228">
        <v>0.8</v>
      </c>
      <c r="AE279" s="228">
        <v>0.8</v>
      </c>
      <c r="AF279" s="113" t="s">
        <v>288</v>
      </c>
      <c r="AG279" s="236">
        <v>0</v>
      </c>
      <c r="AH279" s="163">
        <v>0</v>
      </c>
      <c r="AI279" s="163">
        <v>0</v>
      </c>
      <c r="AJ279" s="163">
        <v>43</v>
      </c>
      <c r="AK279" s="38">
        <f>SUM(AG279:AJ279)</f>
        <v>43</v>
      </c>
      <c r="AL279" s="261">
        <f>IF(AG279+AH279=0,0,SUM(AG279:AH279)/AK279)</f>
        <v>0</v>
      </c>
      <c r="AM279" s="261">
        <f>IF(AG279=0,0,AG279/(SUM(AG279:AI279)))</f>
        <v>0</v>
      </c>
      <c r="AN279" s="25"/>
      <c r="AO279" s="25" t="str">
        <f>_xlfn.XLOOKUP(F279,'TFS Details'!F:F,'TFS Details'!I:I)</f>
        <v>DevStormers</v>
      </c>
      <c r="AP279" s="25" t="str">
        <f>_xlfn.XLOOKUP(AO279,'TFS Details'!I:I,'TFS Details'!AE:AE)</f>
        <v>mervinkumar.manickam</v>
      </c>
    </row>
    <row r="280" spans="1:42" ht="36">
      <c r="A280" s="24" t="str">
        <f>_xlfn.XLOOKUP(F280,'TFS Details'!F:F,'TFS Details'!D:D)</f>
        <v>Attach Calculator</v>
      </c>
      <c r="B280" s="24" t="str">
        <f>_xlfn.XLOOKUP(F280,'TFS Details'!F:F,'TFS Details'!A:A)</f>
        <v>Attach Calculator</v>
      </c>
      <c r="C280" s="46">
        <f>_xlfn.XLOOKUP(F280,'TFS Details'!F:F,'TFS Details'!E:E)</f>
        <v>4372279</v>
      </c>
      <c r="D280" s="250" t="s">
        <v>41</v>
      </c>
      <c r="E280" s="163" t="s">
        <v>845</v>
      </c>
      <c r="F280" s="197">
        <v>4368342</v>
      </c>
      <c r="G280" s="66" t="s">
        <v>846</v>
      </c>
      <c r="H280" s="66" t="s">
        <v>754</v>
      </c>
      <c r="I280" s="66"/>
      <c r="J280" s="250" t="s">
        <v>18</v>
      </c>
      <c r="K280" s="66" t="s">
        <v>840</v>
      </c>
      <c r="L280" s="234" t="s">
        <v>30</v>
      </c>
      <c r="M280" s="66" t="s">
        <v>249</v>
      </c>
      <c r="N280" s="66" t="s">
        <v>249</v>
      </c>
      <c r="O280" s="66" t="s">
        <v>249</v>
      </c>
      <c r="P280" s="66" t="s">
        <v>249</v>
      </c>
      <c r="Q280" s="66" t="s">
        <v>249</v>
      </c>
      <c r="R280" s="66" t="s">
        <v>249</v>
      </c>
      <c r="S280" s="66" t="s">
        <v>249</v>
      </c>
      <c r="T280" s="66" t="s">
        <v>249</v>
      </c>
      <c r="U280" s="66" t="s">
        <v>249</v>
      </c>
      <c r="V280" s="200" t="s">
        <v>204</v>
      </c>
      <c r="W280" s="66" t="s">
        <v>204</v>
      </c>
      <c r="X280" s="66" t="s">
        <v>204</v>
      </c>
      <c r="Y280" s="66" t="s">
        <v>216</v>
      </c>
      <c r="Z280" s="106">
        <v>44</v>
      </c>
      <c r="AA280" s="106">
        <v>21</v>
      </c>
      <c r="AB280" s="106">
        <v>0</v>
      </c>
      <c r="AC280" s="106">
        <v>21</v>
      </c>
      <c r="AD280" s="228">
        <v>1</v>
      </c>
      <c r="AE280" s="228">
        <v>0.9</v>
      </c>
      <c r="AF280" s="113" t="s">
        <v>242</v>
      </c>
      <c r="AG280" s="236">
        <v>18</v>
      </c>
      <c r="AH280" s="163">
        <v>1</v>
      </c>
      <c r="AI280" s="163">
        <v>2</v>
      </c>
      <c r="AJ280" s="163">
        <v>0</v>
      </c>
      <c r="AK280" s="38">
        <f>SUM(AG280:AJ280)</f>
        <v>21</v>
      </c>
      <c r="AL280" s="261">
        <f>IF(AG280+AH280=0,0,SUM(AG280:AH280)/AK280)</f>
        <v>0.90476190476190477</v>
      </c>
      <c r="AM280" s="261">
        <f>IF(AG280=0,0,AG280/(SUM(AG280:AI280)))</f>
        <v>0.8571428571428571</v>
      </c>
      <c r="AN280" s="75" t="s">
        <v>847</v>
      </c>
      <c r="AO280" s="25" t="str">
        <f>_xlfn.XLOOKUP(F280,'TFS Details'!F:F,'TFS Details'!I:I)</f>
        <v>TitansPlus</v>
      </c>
      <c r="AP280" s="25" t="str">
        <f>_xlfn.XLOOKUP(AO280,'TFS Details'!I:I,'TFS Details'!AE:AE)</f>
        <v>nityanand.giri</v>
      </c>
    </row>
    <row r="281" spans="1:42" ht="36">
      <c r="A281" s="24" t="str">
        <f>_xlfn.XLOOKUP(F281,'TFS Details'!F:F,'TFS Details'!D:D)</f>
        <v>Attach Calculator</v>
      </c>
      <c r="B281" s="24" t="str">
        <f>_xlfn.XLOOKUP(F281,'TFS Details'!F:F,'TFS Details'!A:A)</f>
        <v>Attach Calculator</v>
      </c>
      <c r="C281" s="46">
        <f>_xlfn.XLOOKUP(F281,'TFS Details'!F:F,'TFS Details'!E:E)</f>
        <v>4372279</v>
      </c>
      <c r="D281" s="250" t="s">
        <v>41</v>
      </c>
      <c r="E281" s="163" t="s">
        <v>848</v>
      </c>
      <c r="F281" s="197">
        <v>4368343</v>
      </c>
      <c r="G281" s="66" t="s">
        <v>846</v>
      </c>
      <c r="H281" s="66" t="s">
        <v>754</v>
      </c>
      <c r="I281" s="66"/>
      <c r="J281" s="250" t="s">
        <v>18</v>
      </c>
      <c r="K281" s="66" t="s">
        <v>840</v>
      </c>
      <c r="L281" s="234" t="s">
        <v>30</v>
      </c>
      <c r="M281" s="66" t="s">
        <v>249</v>
      </c>
      <c r="N281" s="66" t="s">
        <v>249</v>
      </c>
      <c r="O281" s="66" t="s">
        <v>249</v>
      </c>
      <c r="P281" s="66" t="s">
        <v>249</v>
      </c>
      <c r="Q281" s="66" t="s">
        <v>249</v>
      </c>
      <c r="R281" s="66" t="s">
        <v>249</v>
      </c>
      <c r="S281" s="66" t="s">
        <v>249</v>
      </c>
      <c r="T281" s="66" t="s">
        <v>249</v>
      </c>
      <c r="U281" s="66" t="s">
        <v>249</v>
      </c>
      <c r="V281" s="200" t="s">
        <v>204</v>
      </c>
      <c r="W281" s="66" t="s">
        <v>204</v>
      </c>
      <c r="X281" s="66" t="s">
        <v>204</v>
      </c>
      <c r="Y281" s="66" t="s">
        <v>216</v>
      </c>
      <c r="Z281" s="106">
        <v>46</v>
      </c>
      <c r="AA281" s="106">
        <v>18</v>
      </c>
      <c r="AB281" s="106">
        <v>0</v>
      </c>
      <c r="AC281" s="106">
        <v>18</v>
      </c>
      <c r="AD281" s="228">
        <v>0.9</v>
      </c>
      <c r="AE281" s="228">
        <v>0.95</v>
      </c>
      <c r="AF281" s="113" t="s">
        <v>242</v>
      </c>
      <c r="AG281" s="236">
        <v>15</v>
      </c>
      <c r="AH281" s="163">
        <v>1</v>
      </c>
      <c r="AI281" s="163">
        <v>2</v>
      </c>
      <c r="AJ281" s="163">
        <v>0</v>
      </c>
      <c r="AK281" s="38">
        <f>SUM(AG281:AJ281)</f>
        <v>18</v>
      </c>
      <c r="AL281" s="261">
        <f>IF(AG281+AH281=0,0,SUM(AG281:AH281)/AK281)</f>
        <v>0.88888888888888884</v>
      </c>
      <c r="AM281" s="261">
        <f>IF(AG281=0,0,AG281/(SUM(AG281:AI281)))</f>
        <v>0.83333333333333337</v>
      </c>
      <c r="AN281" s="75" t="s">
        <v>847</v>
      </c>
      <c r="AO281" s="25" t="str">
        <f>_xlfn.XLOOKUP(F281,'TFS Details'!F:F,'TFS Details'!I:I)</f>
        <v>TitansPlus</v>
      </c>
      <c r="AP281" s="25" t="str">
        <f>_xlfn.XLOOKUP(AO281,'TFS Details'!I:I,'TFS Details'!AE:AE)</f>
        <v>nityanand.giri</v>
      </c>
    </row>
    <row r="282" spans="1:42">
      <c r="A282" s="24" t="str">
        <f>_xlfn.XLOOKUP(F282,'TFS Details'!F:F,'TFS Details'!D:D)</f>
        <v>Mobilization Calculator</v>
      </c>
      <c r="B282" s="24" t="str">
        <f>_xlfn.XLOOKUP(F282,'TFS Details'!F:F,'TFS Details'!A:A)</f>
        <v>Mobilization Calculator -Bottom Up CRs</v>
      </c>
      <c r="C282" s="46">
        <f>_xlfn.XLOOKUP(F282,'TFS Details'!F:F,'TFS Details'!E:E)</f>
        <v>4232673</v>
      </c>
      <c r="D282" s="250" t="s">
        <v>41</v>
      </c>
      <c r="E282" s="163" t="s">
        <v>265</v>
      </c>
      <c r="F282" s="197">
        <v>4368362</v>
      </c>
      <c r="G282" s="66" t="s">
        <v>266</v>
      </c>
      <c r="H282" s="66" t="s">
        <v>259</v>
      </c>
      <c r="I282" s="66" t="s">
        <v>126</v>
      </c>
      <c r="J282" s="250" t="s">
        <v>20</v>
      </c>
      <c r="K282" s="66" t="s">
        <v>840</v>
      </c>
      <c r="L282" s="66" t="s">
        <v>196</v>
      </c>
      <c r="M282" s="66" t="s">
        <v>249</v>
      </c>
      <c r="N282" s="66" t="s">
        <v>249</v>
      </c>
      <c r="O282" s="84">
        <v>0.05</v>
      </c>
      <c r="P282" s="66" t="s">
        <v>249</v>
      </c>
      <c r="Q282" s="66" t="s">
        <v>249</v>
      </c>
      <c r="R282" s="66" t="s">
        <v>249</v>
      </c>
      <c r="S282" s="66" t="s">
        <v>249</v>
      </c>
      <c r="T282" s="66" t="s">
        <v>249</v>
      </c>
      <c r="U282" s="66" t="s">
        <v>249</v>
      </c>
      <c r="V282" s="66" t="s">
        <v>204</v>
      </c>
      <c r="W282" s="66" t="s">
        <v>204</v>
      </c>
      <c r="X282" s="66" t="s">
        <v>197</v>
      </c>
      <c r="Y282" s="66" t="s">
        <v>216</v>
      </c>
      <c r="Z282" s="106">
        <v>20</v>
      </c>
      <c r="AA282" s="106">
        <v>19</v>
      </c>
      <c r="AB282" s="106">
        <v>0</v>
      </c>
      <c r="AC282" s="106">
        <v>19</v>
      </c>
      <c r="AD282" s="228">
        <v>0.9</v>
      </c>
      <c r="AE282" s="228">
        <v>0.9</v>
      </c>
      <c r="AF282" s="113" t="s">
        <v>198</v>
      </c>
      <c r="AG282" s="236">
        <v>3</v>
      </c>
      <c r="AH282" s="163">
        <v>0</v>
      </c>
      <c r="AI282" s="163">
        <v>0</v>
      </c>
      <c r="AJ282" s="163">
        <v>16</v>
      </c>
      <c r="AK282" s="38">
        <f>SUM(AG282:AJ282)</f>
        <v>19</v>
      </c>
      <c r="AL282" s="261">
        <f>IF(AG282+AH282=0,0,SUM(AG282:AH282)/AK282)</f>
        <v>0.15789473684210525</v>
      </c>
      <c r="AM282" s="261">
        <f>IF(AG282=0,0,AG282/(SUM(AG282:AI282)))</f>
        <v>1</v>
      </c>
      <c r="AN282" s="25"/>
      <c r="AO282" s="25" t="str">
        <f>_xlfn.XLOOKUP(F282,'TFS Details'!F:F,'TFS Details'!I:I)</f>
        <v>Everest</v>
      </c>
      <c r="AP282" s="25" t="str">
        <f>_xlfn.XLOOKUP(AO282,'TFS Details'!I:I,'TFS Details'!AE:AE)</f>
        <v>nityanand.giri</v>
      </c>
    </row>
    <row r="283" spans="1:42">
      <c r="A283" s="24" t="str">
        <f>_xlfn.XLOOKUP(F283,'TFS Details'!F:F,'TFS Details'!D:D)</f>
        <v>Calculator</v>
      </c>
      <c r="B283" s="24" t="str">
        <f>_xlfn.XLOOKUP(F283,'TFS Details'!F:F,'TFS Details'!A:A)</f>
        <v>Asset Calculator -  Asset accordions to be added  in Asset Catalog</v>
      </c>
      <c r="C283" s="46">
        <f>_xlfn.XLOOKUP(F283,'TFS Details'!F:F,'TFS Details'!E:E)</f>
        <v>4331001</v>
      </c>
      <c r="D283" s="250" t="s">
        <v>41</v>
      </c>
      <c r="E283" s="163" t="s">
        <v>849</v>
      </c>
      <c r="F283" s="197">
        <v>4368513</v>
      </c>
      <c r="G283" s="66" t="s">
        <v>754</v>
      </c>
      <c r="H283" s="66" t="s">
        <v>850</v>
      </c>
      <c r="I283" s="66" t="s">
        <v>125</v>
      </c>
      <c r="J283" s="66" t="s">
        <v>1</v>
      </c>
      <c r="K283" s="66" t="s">
        <v>840</v>
      </c>
      <c r="L283" s="66" t="s">
        <v>249</v>
      </c>
      <c r="M283" s="66" t="s">
        <v>461</v>
      </c>
      <c r="N283" s="66" t="s">
        <v>249</v>
      </c>
      <c r="O283" s="273">
        <v>0.15</v>
      </c>
      <c r="P283" s="66" t="s">
        <v>249</v>
      </c>
      <c r="Q283" s="66" t="s">
        <v>249</v>
      </c>
      <c r="R283" s="66" t="s">
        <v>249</v>
      </c>
      <c r="S283" s="66" t="s">
        <v>249</v>
      </c>
      <c r="T283" s="66" t="s">
        <v>249</v>
      </c>
      <c r="U283" s="66" t="s">
        <v>249</v>
      </c>
      <c r="V283" s="66" t="s">
        <v>204</v>
      </c>
      <c r="W283" s="66" t="s">
        <v>204</v>
      </c>
      <c r="X283" s="66" t="s">
        <v>197</v>
      </c>
      <c r="Y283" s="66" t="s">
        <v>197</v>
      </c>
      <c r="Z283" s="106">
        <v>40</v>
      </c>
      <c r="AA283" s="106">
        <v>40</v>
      </c>
      <c r="AB283" s="106">
        <v>13</v>
      </c>
      <c r="AC283" s="106">
        <v>53</v>
      </c>
      <c r="AD283" s="228">
        <v>0.8</v>
      </c>
      <c r="AE283" s="228">
        <v>0.8</v>
      </c>
      <c r="AF283" s="113" t="s">
        <v>242</v>
      </c>
      <c r="AG283" s="236">
        <v>0</v>
      </c>
      <c r="AH283" s="163">
        <v>0</v>
      </c>
      <c r="AI283" s="163">
        <v>0</v>
      </c>
      <c r="AJ283" s="163">
        <v>53</v>
      </c>
      <c r="AK283" s="38">
        <f>SUM(AG283:AJ283)</f>
        <v>53</v>
      </c>
      <c r="AL283" s="261">
        <f>IF(AG283+AH283=0,0,SUM(AG283:AH283)/AK283)</f>
        <v>0</v>
      </c>
      <c r="AM283" s="261">
        <f>IF(AG283=0,0,AG283/(SUM(AG283:AI283)))</f>
        <v>0</v>
      </c>
      <c r="AN283" s="25"/>
      <c r="AO283" s="25" t="str">
        <f>_xlfn.XLOOKUP(F283,'TFS Details'!F:F,'TFS Details'!I:I)</f>
        <v>TechSavers</v>
      </c>
      <c r="AP283" s="25" t="str">
        <f>_xlfn.XLOOKUP(AO283,'TFS Details'!I:I,'TFS Details'!AE:AE)</f>
        <v>nityanand.giri</v>
      </c>
    </row>
    <row r="284" spans="1:42">
      <c r="A284" s="24" t="str">
        <f>_xlfn.XLOOKUP(F284,'TFS Details'!F:F,'TFS Details'!D:D)</f>
        <v>SnC Calculator</v>
      </c>
      <c r="B284" s="24" t="str">
        <f>_xlfn.XLOOKUP(F284,'TFS Details'!F:F,'TFS Details'!A:A)</f>
        <v>SnC Calculator | Enabling Access for AMS Service Group and enable sync functionality in both SI and AMS</v>
      </c>
      <c r="C284" s="46">
        <f>_xlfn.XLOOKUP(F284,'TFS Details'!F:F,'TFS Details'!E:E)</f>
        <v>4341384</v>
      </c>
      <c r="D284" s="250" t="s">
        <v>41</v>
      </c>
      <c r="E284" s="163" t="s">
        <v>851</v>
      </c>
      <c r="F284" s="197">
        <v>4369378</v>
      </c>
      <c r="G284" s="66" t="s">
        <v>826</v>
      </c>
      <c r="H284" s="66" t="s">
        <v>827</v>
      </c>
      <c r="I284" s="66" t="s">
        <v>39</v>
      </c>
      <c r="J284" s="66" t="s">
        <v>1</v>
      </c>
      <c r="K284" s="66" t="s">
        <v>840</v>
      </c>
      <c r="L284" s="66" t="s">
        <v>249</v>
      </c>
      <c r="M284" s="66" t="s">
        <v>465</v>
      </c>
      <c r="N284" s="66" t="s">
        <v>852</v>
      </c>
      <c r="O284" s="73" t="s">
        <v>832</v>
      </c>
      <c r="P284" s="66" t="s">
        <v>793</v>
      </c>
      <c r="Q284" s="66" t="s">
        <v>249</v>
      </c>
      <c r="R284" s="66" t="s">
        <v>249</v>
      </c>
      <c r="S284" s="66" t="s">
        <v>249</v>
      </c>
      <c r="T284" s="66" t="s">
        <v>249</v>
      </c>
      <c r="U284" s="66" t="s">
        <v>249</v>
      </c>
      <c r="V284" s="66" t="s">
        <v>204</v>
      </c>
      <c r="W284" s="66" t="s">
        <v>204</v>
      </c>
      <c r="X284" s="66" t="s">
        <v>204</v>
      </c>
      <c r="Y284" s="66" t="s">
        <v>204</v>
      </c>
      <c r="Z284" s="106" t="s">
        <v>853</v>
      </c>
      <c r="AA284" s="106" t="s">
        <v>853</v>
      </c>
      <c r="AB284" s="106" t="s">
        <v>854</v>
      </c>
      <c r="AC284" s="106" t="s">
        <v>855</v>
      </c>
      <c r="AD284" s="106" t="s">
        <v>856</v>
      </c>
      <c r="AE284" s="106" t="s">
        <v>832</v>
      </c>
      <c r="AF284" s="113" t="s">
        <v>242</v>
      </c>
      <c r="AG284" s="236">
        <v>10</v>
      </c>
      <c r="AH284" s="163">
        <v>0</v>
      </c>
      <c r="AI284" s="163">
        <v>0</v>
      </c>
      <c r="AJ284" s="163">
        <v>0</v>
      </c>
      <c r="AK284" s="38">
        <f>SUM(AG284:AJ284)</f>
        <v>10</v>
      </c>
      <c r="AL284" s="261">
        <f>IF(AG284+AH284=0,0,SUM(AG284:AH284)/AK284)</f>
        <v>1</v>
      </c>
      <c r="AM284" s="261">
        <f>IF(AG284=0,0,AG284/(SUM(AG284:AI284)))</f>
        <v>1</v>
      </c>
      <c r="AN284" s="25"/>
      <c r="AO284" s="25" t="str">
        <f>_xlfn.XLOOKUP(F284,'TFS Details'!F:F,'TFS Details'!I:I)</f>
        <v>Codeplayers</v>
      </c>
      <c r="AP284" s="25" t="str">
        <f>_xlfn.XLOOKUP(AO284,'TFS Details'!I:I,'TFS Details'!AE:AE)</f>
        <v>nityanand.giri</v>
      </c>
    </row>
    <row r="285" spans="1:42">
      <c r="A285" s="24" t="str">
        <f>_xlfn.XLOOKUP(F285,'TFS Details'!F:F,'TFS Details'!D:D)</f>
        <v>SnC Calculator</v>
      </c>
      <c r="B285" s="24" t="str">
        <f>_xlfn.XLOOKUP(F285,'TFS Details'!F:F,'TFS Details'!A:A)</f>
        <v>SnC Calculator | Enabling Access for AMS Service Group and enable sync functionality in both SI and AMS</v>
      </c>
      <c r="C285" s="46">
        <f>_xlfn.XLOOKUP(F285,'TFS Details'!F:F,'TFS Details'!E:E)</f>
        <v>4341384</v>
      </c>
      <c r="D285" s="250" t="s">
        <v>41</v>
      </c>
      <c r="E285" s="163" t="s">
        <v>857</v>
      </c>
      <c r="F285" s="197">
        <v>4369381</v>
      </c>
      <c r="G285" s="66" t="s">
        <v>827</v>
      </c>
      <c r="H285" s="66" t="s">
        <v>757</v>
      </c>
      <c r="I285" s="66" t="s">
        <v>111</v>
      </c>
      <c r="J285" s="66" t="s">
        <v>1</v>
      </c>
      <c r="K285" s="66" t="s">
        <v>840</v>
      </c>
      <c r="L285" s="66" t="s">
        <v>249</v>
      </c>
      <c r="M285" s="66" t="s">
        <v>465</v>
      </c>
      <c r="N285" s="66" t="s">
        <v>249</v>
      </c>
      <c r="O285" s="273">
        <v>0.15</v>
      </c>
      <c r="P285" s="66" t="s">
        <v>249</v>
      </c>
      <c r="Q285" s="66" t="s">
        <v>249</v>
      </c>
      <c r="R285" s="66" t="s">
        <v>249</v>
      </c>
      <c r="S285" s="66" t="s">
        <v>249</v>
      </c>
      <c r="T285" s="66" t="s">
        <v>249</v>
      </c>
      <c r="U285" s="66" t="s">
        <v>249</v>
      </c>
      <c r="V285" s="66" t="s">
        <v>204</v>
      </c>
      <c r="W285" s="66" t="s">
        <v>204</v>
      </c>
      <c r="X285" s="66" t="s">
        <v>204</v>
      </c>
      <c r="Y285" s="66" t="s">
        <v>204</v>
      </c>
      <c r="Z285" s="106">
        <v>22</v>
      </c>
      <c r="AA285" s="106">
        <v>12</v>
      </c>
      <c r="AB285" s="106">
        <v>0</v>
      </c>
      <c r="AC285" s="106">
        <v>12</v>
      </c>
      <c r="AD285" s="228">
        <v>1</v>
      </c>
      <c r="AE285" s="106"/>
      <c r="AF285" s="113" t="s">
        <v>242</v>
      </c>
      <c r="AG285" s="236">
        <v>2</v>
      </c>
      <c r="AH285" s="163">
        <v>0</v>
      </c>
      <c r="AI285" s="163">
        <v>0</v>
      </c>
      <c r="AJ285" s="163">
        <v>9</v>
      </c>
      <c r="AK285" s="38">
        <f>SUM(AG285:AJ285)</f>
        <v>11</v>
      </c>
      <c r="AL285" s="261">
        <f>IF(AG285+AH285=0,0,SUM(AG285:AH285)/AK285)</f>
        <v>0.18181818181818182</v>
      </c>
      <c r="AM285" s="261">
        <f>IF(AG285=0,0,AG285/(SUM(AG285:AI285)))</f>
        <v>1</v>
      </c>
      <c r="AN285" s="25"/>
      <c r="AO285" s="25" t="str">
        <f>_xlfn.XLOOKUP(F285,'TFS Details'!F:F,'TFS Details'!I:I)</f>
        <v>Codeplayers</v>
      </c>
      <c r="AP285" s="25" t="str">
        <f>_xlfn.XLOOKUP(AO285,'TFS Details'!I:I,'TFS Details'!AE:AE)</f>
        <v>nityanand.giri</v>
      </c>
    </row>
    <row r="286" spans="1:42">
      <c r="A286" s="24" t="str">
        <f>_xlfn.XLOOKUP(F286,'TFS Details'!F:F,'TFS Details'!D:D)</f>
        <v>SnC Calculator</v>
      </c>
      <c r="B286" s="24" t="str">
        <f>_xlfn.XLOOKUP(F286,'TFS Details'!F:F,'TFS Details'!A:A)</f>
        <v>SnC Calculator | Enabling Access for AMS Service Group and enable sync functionality in both SI and AMS</v>
      </c>
      <c r="C286" s="46">
        <f>_xlfn.XLOOKUP(F286,'TFS Details'!F:F,'TFS Details'!E:E)</f>
        <v>4341384</v>
      </c>
      <c r="D286" s="250" t="s">
        <v>41</v>
      </c>
      <c r="E286" s="163" t="s">
        <v>858</v>
      </c>
      <c r="F286" s="197">
        <v>4369382</v>
      </c>
      <c r="G286" s="66" t="s">
        <v>266</v>
      </c>
      <c r="H286" s="66" t="s">
        <v>247</v>
      </c>
      <c r="I286" s="66" t="s">
        <v>126</v>
      </c>
      <c r="J286" s="66" t="s">
        <v>1</v>
      </c>
      <c r="K286" s="66" t="s">
        <v>840</v>
      </c>
      <c r="L286" s="66" t="s">
        <v>249</v>
      </c>
      <c r="M286" s="66" t="s">
        <v>461</v>
      </c>
      <c r="N286" s="66" t="s">
        <v>249</v>
      </c>
      <c r="O286" s="84">
        <v>0.1</v>
      </c>
      <c r="P286" s="66" t="s">
        <v>249</v>
      </c>
      <c r="Q286" s="66" t="s">
        <v>249</v>
      </c>
      <c r="R286" s="66" t="s">
        <v>249</v>
      </c>
      <c r="S286" s="66" t="s">
        <v>249</v>
      </c>
      <c r="T286" s="66" t="s">
        <v>249</v>
      </c>
      <c r="U286" s="66" t="s">
        <v>249</v>
      </c>
      <c r="V286" s="66" t="s">
        <v>204</v>
      </c>
      <c r="W286" s="66" t="s">
        <v>204</v>
      </c>
      <c r="X286" s="66" t="s">
        <v>197</v>
      </c>
      <c r="Y286" s="66" t="s">
        <v>216</v>
      </c>
      <c r="Z286" s="106">
        <v>25</v>
      </c>
      <c r="AA286" s="106">
        <v>19</v>
      </c>
      <c r="AB286" s="106">
        <v>0</v>
      </c>
      <c r="AC286" s="106">
        <v>19</v>
      </c>
      <c r="AD286" s="228">
        <v>0.8</v>
      </c>
      <c r="AE286" s="228">
        <v>0.85</v>
      </c>
      <c r="AF286" s="113" t="s">
        <v>242</v>
      </c>
      <c r="AG286" s="236">
        <v>5</v>
      </c>
      <c r="AH286" s="163">
        <v>0</v>
      </c>
      <c r="AI286" s="163">
        <v>0</v>
      </c>
      <c r="AJ286" s="163">
        <v>10</v>
      </c>
      <c r="AK286" s="38">
        <f>SUM(AG286:AJ286)</f>
        <v>15</v>
      </c>
      <c r="AL286" s="261">
        <f>IF(AG286+AH286=0,0,SUM(AG286:AH286)/AK286)</f>
        <v>0.33333333333333331</v>
      </c>
      <c r="AM286" s="261">
        <f>IF(AG286=0,0,AG286/(SUM(AG286:AI286)))</f>
        <v>1</v>
      </c>
      <c r="AN286" s="25"/>
      <c r="AO286" s="25" t="str">
        <f>_xlfn.XLOOKUP(F286,'TFS Details'!F:F,'TFS Details'!I:I)</f>
        <v>Codeplayers</v>
      </c>
      <c r="AP286" s="25" t="str">
        <f>_xlfn.XLOOKUP(AO286,'TFS Details'!I:I,'TFS Details'!AE:AE)</f>
        <v>nityanand.giri</v>
      </c>
    </row>
    <row r="287" spans="1:42" ht="14.45">
      <c r="A287" s="24" t="str">
        <f>_xlfn.XLOOKUP(F287,'TFS Details'!F:F,'TFS Details'!D:D)</f>
        <v>SnC Calculator</v>
      </c>
      <c r="B287" s="24" t="str">
        <f>_xlfn.XLOOKUP(F287,'TFS Details'!F:F,'TFS Details'!A:A)</f>
        <v>SnC Calculator | Enabling Access for AMS Service Group and enable sync functionality in both SI and AMS</v>
      </c>
      <c r="C287" s="46">
        <f>_xlfn.XLOOKUP(F287,'TFS Details'!F:F,'TFS Details'!E:E)</f>
        <v>4341384</v>
      </c>
      <c r="D287" s="250" t="s">
        <v>41</v>
      </c>
      <c r="E287" s="163" t="s">
        <v>859</v>
      </c>
      <c r="F287" s="197">
        <v>4369383</v>
      </c>
      <c r="G287" s="66" t="s">
        <v>752</v>
      </c>
      <c r="H287" s="66" t="s">
        <v>827</v>
      </c>
      <c r="I287" s="66" t="s">
        <v>127</v>
      </c>
      <c r="J287" s="66" t="s">
        <v>1</v>
      </c>
      <c r="K287" s="66"/>
      <c r="L287" s="66" t="s">
        <v>249</v>
      </c>
      <c r="M287" s="66" t="s">
        <v>465</v>
      </c>
      <c r="N287" s="66" t="s">
        <v>249</v>
      </c>
      <c r="O287" s="273">
        <v>0.1</v>
      </c>
      <c r="P287" s="66">
        <v>27</v>
      </c>
      <c r="Q287" s="66">
        <v>1</v>
      </c>
      <c r="R287" s="66">
        <v>0</v>
      </c>
      <c r="S287" s="66">
        <v>1</v>
      </c>
      <c r="T287" s="199">
        <v>0.65</v>
      </c>
      <c r="U287" s="199">
        <v>0.78</v>
      </c>
      <c r="V287" s="66" t="s">
        <v>204</v>
      </c>
      <c r="W287" s="66" t="s">
        <v>204</v>
      </c>
      <c r="X287" s="66" t="s">
        <v>216</v>
      </c>
      <c r="Y287" s="66" t="s">
        <v>197</v>
      </c>
      <c r="Z287" s="238">
        <v>25</v>
      </c>
      <c r="AA287" s="238">
        <v>12</v>
      </c>
      <c r="AB287" s="238">
        <v>0</v>
      </c>
      <c r="AC287" s="238">
        <v>12</v>
      </c>
      <c r="AD287" s="228">
        <v>0.63</v>
      </c>
      <c r="AE287" s="228">
        <v>0.74</v>
      </c>
      <c r="AF287" s="113" t="s">
        <v>242</v>
      </c>
      <c r="AG287" s="236">
        <v>12</v>
      </c>
      <c r="AH287" s="163">
        <v>0</v>
      </c>
      <c r="AI287" s="163">
        <v>0</v>
      </c>
      <c r="AJ287" s="163">
        <v>0</v>
      </c>
      <c r="AK287" s="38">
        <f>SUM(AG287:AJ287)</f>
        <v>12</v>
      </c>
      <c r="AL287" s="261">
        <f>IF(AG287+AH287=0,0,SUM(AG287:AH287)/AK287)</f>
        <v>1</v>
      </c>
      <c r="AM287" s="261">
        <f>IF(AG287=0,0,AG287/(SUM(AG287:AI287)))</f>
        <v>1</v>
      </c>
      <c r="AN287" s="25"/>
      <c r="AO287" s="25" t="str">
        <f>_xlfn.XLOOKUP(F287,'TFS Details'!F:F,'TFS Details'!I:I)</f>
        <v>Codeplayers</v>
      </c>
      <c r="AP287" s="25" t="str">
        <f>_xlfn.XLOOKUP(AO287,'TFS Details'!I:I,'TFS Details'!AE:AE)</f>
        <v>nityanand.giri</v>
      </c>
    </row>
    <row r="288" spans="1:42">
      <c r="A288" s="24" t="str">
        <f>_xlfn.XLOOKUP(F288,'TFS Details'!F:F,'TFS Details'!D:D)</f>
        <v>Attach Calculators</v>
      </c>
      <c r="B288" s="24" t="str">
        <f>_xlfn.XLOOKUP(F288,'TFS Details'!F:F,'TFS Details'!A:A)</f>
        <v>Automation calculator - Attach Calculator</v>
      </c>
      <c r="C288" s="46">
        <f>_xlfn.XLOOKUP(F288,'TFS Details'!F:F,'TFS Details'!E:E)</f>
        <v>4387285</v>
      </c>
      <c r="D288" s="250" t="s">
        <v>41</v>
      </c>
      <c r="E288" s="163" t="s">
        <v>860</v>
      </c>
      <c r="F288" s="197">
        <v>4370640</v>
      </c>
      <c r="G288" s="66" t="s">
        <v>826</v>
      </c>
      <c r="H288" s="66" t="s">
        <v>754</v>
      </c>
      <c r="I288" s="66" t="s">
        <v>39</v>
      </c>
      <c r="J288" s="66" t="s">
        <v>1</v>
      </c>
      <c r="K288" s="66" t="s">
        <v>840</v>
      </c>
      <c r="L288" s="66" t="s">
        <v>249</v>
      </c>
      <c r="M288" s="66" t="s">
        <v>311</v>
      </c>
      <c r="N288" s="66" t="s">
        <v>249</v>
      </c>
      <c r="O288" s="273">
        <v>0.1</v>
      </c>
      <c r="P288" s="66" t="s">
        <v>249</v>
      </c>
      <c r="Q288" s="66" t="s">
        <v>249</v>
      </c>
      <c r="R288" s="66" t="s">
        <v>249</v>
      </c>
      <c r="S288" s="66" t="s">
        <v>249</v>
      </c>
      <c r="T288" s="66" t="s">
        <v>249</v>
      </c>
      <c r="U288" s="66" t="s">
        <v>249</v>
      </c>
      <c r="V288" s="66" t="s">
        <v>204</v>
      </c>
      <c r="W288" s="66" t="s">
        <v>204</v>
      </c>
      <c r="X288" s="66" t="s">
        <v>204</v>
      </c>
      <c r="Y288" s="66" t="s">
        <v>197</v>
      </c>
      <c r="Z288" s="106" t="s">
        <v>803</v>
      </c>
      <c r="AA288" s="106" t="s">
        <v>803</v>
      </c>
      <c r="AB288" s="106" t="s">
        <v>854</v>
      </c>
      <c r="AC288" s="106" t="s">
        <v>861</v>
      </c>
      <c r="AD288" s="106" t="s">
        <v>862</v>
      </c>
      <c r="AE288" s="106" t="s">
        <v>832</v>
      </c>
      <c r="AF288" s="113" t="s">
        <v>242</v>
      </c>
      <c r="AG288" s="236">
        <v>0</v>
      </c>
      <c r="AH288" s="163">
        <v>0</v>
      </c>
      <c r="AI288" s="163">
        <v>0</v>
      </c>
      <c r="AJ288" s="163">
        <v>17</v>
      </c>
      <c r="AK288" s="38">
        <f>SUM(AG288:AJ288)</f>
        <v>17</v>
      </c>
      <c r="AL288" s="261">
        <f>IF(AG288+AH288=0,0,SUM(AG288:AH288)/AK288)</f>
        <v>0</v>
      </c>
      <c r="AM288" s="261">
        <f>IF(AG288=0,0,AG288/(SUM(AG288:AI288)))</f>
        <v>0</v>
      </c>
      <c r="AN288" s="25"/>
      <c r="AO288" s="25" t="str">
        <f>_xlfn.XLOOKUP(F288,'TFS Details'!F:F,'TFS Details'!I:I)</f>
        <v>CrazyCoders</v>
      </c>
      <c r="AP288" s="25" t="str">
        <f>_xlfn.XLOOKUP(AO288,'TFS Details'!I:I,'TFS Details'!AE:AE)</f>
        <v>nityanand.giri</v>
      </c>
    </row>
    <row r="289" spans="1:42">
      <c r="A289" s="24" t="str">
        <f>_xlfn.XLOOKUP(F289,'TFS Details'!F:F,'TFS Details'!D:D)</f>
        <v>Attach Calculators</v>
      </c>
      <c r="B289" s="24" t="str">
        <f>_xlfn.XLOOKUP(F289,'TFS Details'!F:F,'TFS Details'!A:A)</f>
        <v>Automation calculator - Attach Calculator</v>
      </c>
      <c r="C289" s="46">
        <f>_xlfn.XLOOKUP(F289,'TFS Details'!F:F,'TFS Details'!E:E)</f>
        <v>4387285</v>
      </c>
      <c r="D289" s="250" t="s">
        <v>41</v>
      </c>
      <c r="E289" s="163" t="s">
        <v>863</v>
      </c>
      <c r="F289" s="197">
        <v>4370648</v>
      </c>
      <c r="G289" s="66" t="s">
        <v>791</v>
      </c>
      <c r="H289" s="66" t="s">
        <v>754</v>
      </c>
      <c r="I289" s="66" t="s">
        <v>90</v>
      </c>
      <c r="J289" s="66" t="s">
        <v>1</v>
      </c>
      <c r="K289" s="66"/>
      <c r="L289" s="66" t="s">
        <v>249</v>
      </c>
      <c r="M289" s="66" t="s">
        <v>311</v>
      </c>
      <c r="N289" s="66" t="s">
        <v>249</v>
      </c>
      <c r="O289" s="273">
        <v>0.15</v>
      </c>
      <c r="P289" s="66" t="s">
        <v>249</v>
      </c>
      <c r="Q289" s="66" t="s">
        <v>249</v>
      </c>
      <c r="R289" s="66" t="s">
        <v>249</v>
      </c>
      <c r="S289" s="66" t="s">
        <v>249</v>
      </c>
      <c r="T289" s="66" t="s">
        <v>249</v>
      </c>
      <c r="U289" s="66" t="s">
        <v>249</v>
      </c>
      <c r="V289" s="66" t="s">
        <v>204</v>
      </c>
      <c r="W289" s="66" t="s">
        <v>204</v>
      </c>
      <c r="X289" s="66" t="s">
        <v>204</v>
      </c>
      <c r="Y289" s="66" t="s">
        <v>216</v>
      </c>
      <c r="Z289" s="106">
        <v>26</v>
      </c>
      <c r="AA289" s="106">
        <v>12</v>
      </c>
      <c r="AB289" s="106">
        <v>0</v>
      </c>
      <c r="AC289" s="106">
        <v>12</v>
      </c>
      <c r="AD289" s="228">
        <v>1</v>
      </c>
      <c r="AE289" s="228">
        <v>1</v>
      </c>
      <c r="AF289" s="113" t="s">
        <v>242</v>
      </c>
      <c r="AG289" s="236">
        <v>6</v>
      </c>
      <c r="AH289" s="163">
        <v>0</v>
      </c>
      <c r="AI289" s="163">
        <v>0</v>
      </c>
      <c r="AJ289" s="163">
        <v>6</v>
      </c>
      <c r="AK289" s="38">
        <f>SUM(AG289:AJ289)</f>
        <v>12</v>
      </c>
      <c r="AL289" s="261">
        <f>IF(AG289+AH289=0,0,SUM(AG289:AH289)/AK289)</f>
        <v>0.5</v>
      </c>
      <c r="AM289" s="261">
        <f>IF(AG289=0,0,AG289/(SUM(AG289:AI289)))</f>
        <v>1</v>
      </c>
      <c r="AN289" s="25"/>
      <c r="AO289" s="25" t="str">
        <f>_xlfn.XLOOKUP(F289,'TFS Details'!F:F,'TFS Details'!I:I)</f>
        <v>CrazyCoders</v>
      </c>
      <c r="AP289" s="25" t="str">
        <f>_xlfn.XLOOKUP(AO289,'TFS Details'!I:I,'TFS Details'!AE:AE)</f>
        <v>nityanand.giri</v>
      </c>
    </row>
    <row r="290" spans="1:42">
      <c r="A290" s="24" t="str">
        <f>_xlfn.XLOOKUP(F290,'TFS Details'!F:F,'TFS Details'!D:D)</f>
        <v>Attach Calculators</v>
      </c>
      <c r="B290" s="24" t="str">
        <f>_xlfn.XLOOKUP(F290,'TFS Details'!F:F,'TFS Details'!A:A)</f>
        <v>Automation calculator - Attach Calculator</v>
      </c>
      <c r="C290" s="46">
        <f>_xlfn.XLOOKUP(F290,'TFS Details'!F:F,'TFS Details'!E:E)</f>
        <v>4387285</v>
      </c>
      <c r="D290" s="250" t="s">
        <v>41</v>
      </c>
      <c r="E290" s="163" t="s">
        <v>864</v>
      </c>
      <c r="F290" s="197">
        <v>4370649</v>
      </c>
      <c r="G290" s="66" t="s">
        <v>787</v>
      </c>
      <c r="H290" s="66" t="s">
        <v>752</v>
      </c>
      <c r="I290" s="66" t="s">
        <v>127</v>
      </c>
      <c r="J290" s="66" t="s">
        <v>1</v>
      </c>
      <c r="K290" s="66"/>
      <c r="L290" s="66" t="s">
        <v>249</v>
      </c>
      <c r="M290" s="66" t="s">
        <v>461</v>
      </c>
      <c r="N290" s="66" t="s">
        <v>249</v>
      </c>
      <c r="O290" s="273">
        <v>0</v>
      </c>
      <c r="P290" s="66">
        <v>11</v>
      </c>
      <c r="Q290" s="66">
        <v>1</v>
      </c>
      <c r="R290" s="66">
        <v>0</v>
      </c>
      <c r="S290" s="66">
        <v>1</v>
      </c>
      <c r="T290" s="199">
        <v>0.72</v>
      </c>
      <c r="U290" s="199">
        <v>0.8</v>
      </c>
      <c r="V290" s="66" t="s">
        <v>204</v>
      </c>
      <c r="W290" s="66" t="s">
        <v>204</v>
      </c>
      <c r="X290" s="66" t="s">
        <v>204</v>
      </c>
      <c r="Y290" s="66" t="s">
        <v>216</v>
      </c>
      <c r="Z290" s="106">
        <v>49</v>
      </c>
      <c r="AA290" s="106">
        <v>49</v>
      </c>
      <c r="AB290" s="106">
        <v>0</v>
      </c>
      <c r="AC290" s="106">
        <v>49</v>
      </c>
      <c r="AD290" s="106">
        <v>100</v>
      </c>
      <c r="AE290" s="106">
        <v>100</v>
      </c>
      <c r="AF290" s="113" t="s">
        <v>242</v>
      </c>
      <c r="AG290" s="236">
        <v>1</v>
      </c>
      <c r="AH290" s="163">
        <v>0</v>
      </c>
      <c r="AI290" s="163">
        <v>48</v>
      </c>
      <c r="AJ290" s="163">
        <v>0</v>
      </c>
      <c r="AK290" s="38">
        <f>SUM(AG290:AJ290)</f>
        <v>49</v>
      </c>
      <c r="AL290" s="261">
        <f>IF(AG290+AH290=0,0,SUM(AG290:AH290)/AK290)</f>
        <v>2.0408163265306121E-2</v>
      </c>
      <c r="AM290" s="261">
        <f>IF(AG290=0,0,AG290/(SUM(AG290:AI290)))</f>
        <v>2.0408163265306121E-2</v>
      </c>
      <c r="AN290" s="25" t="s">
        <v>865</v>
      </c>
      <c r="AO290" s="25" t="str">
        <f>_xlfn.XLOOKUP(F290,'TFS Details'!F:F,'TFS Details'!I:I)</f>
        <v>CrazyCoders</v>
      </c>
      <c r="AP290" s="25" t="str">
        <f>_xlfn.XLOOKUP(AO290,'TFS Details'!I:I,'TFS Details'!AE:AE)</f>
        <v>nityanand.giri</v>
      </c>
    </row>
    <row r="291" spans="1:42">
      <c r="A291" s="24" t="str">
        <f>_xlfn.XLOOKUP(F291,'TFS Details'!F:F,'TFS Details'!D:D)</f>
        <v>Attach Calculators</v>
      </c>
      <c r="B291" s="24" t="str">
        <f>_xlfn.XLOOKUP(F291,'TFS Details'!F:F,'TFS Details'!A:A)</f>
        <v>Automation calculator - Attach Calculator</v>
      </c>
      <c r="C291" s="46">
        <f>_xlfn.XLOOKUP(F291,'TFS Details'!F:F,'TFS Details'!E:E)</f>
        <v>4387285</v>
      </c>
      <c r="D291" s="250" t="s">
        <v>41</v>
      </c>
      <c r="E291" s="163" t="s">
        <v>866</v>
      </c>
      <c r="F291" s="197">
        <v>4370650</v>
      </c>
      <c r="G291" s="66" t="s">
        <v>787</v>
      </c>
      <c r="H291" s="66" t="s">
        <v>284</v>
      </c>
      <c r="I291" s="66" t="s">
        <v>107</v>
      </c>
      <c r="J291" s="66" t="s">
        <v>1</v>
      </c>
      <c r="K291" s="66" t="s">
        <v>840</v>
      </c>
      <c r="L291" s="66" t="s">
        <v>249</v>
      </c>
      <c r="M291" s="66" t="s">
        <v>311</v>
      </c>
      <c r="N291" s="66" t="s">
        <v>249</v>
      </c>
      <c r="O291" s="273">
        <v>0.1</v>
      </c>
      <c r="P291" s="66" t="s">
        <v>249</v>
      </c>
      <c r="Q291" s="66" t="s">
        <v>249</v>
      </c>
      <c r="R291" s="66" t="s">
        <v>249</v>
      </c>
      <c r="S291" s="66" t="s">
        <v>249</v>
      </c>
      <c r="T291" s="66" t="s">
        <v>249</v>
      </c>
      <c r="U291" s="66" t="s">
        <v>249</v>
      </c>
      <c r="V291" s="66" t="s">
        <v>204</v>
      </c>
      <c r="W291" s="66" t="s">
        <v>204</v>
      </c>
      <c r="X291" s="66" t="s">
        <v>204</v>
      </c>
      <c r="Y291" s="66" t="s">
        <v>216</v>
      </c>
      <c r="Z291" s="106">
        <v>54</v>
      </c>
      <c r="AA291" s="106">
        <v>54</v>
      </c>
      <c r="AB291" s="106">
        <v>0</v>
      </c>
      <c r="AC291" s="106">
        <v>54</v>
      </c>
      <c r="AD291" s="106">
        <v>100</v>
      </c>
      <c r="AE291" s="106">
        <v>100</v>
      </c>
      <c r="AF291" s="113" t="s">
        <v>242</v>
      </c>
      <c r="AG291" s="236">
        <v>1</v>
      </c>
      <c r="AH291" s="163">
        <v>0</v>
      </c>
      <c r="AI291" s="163">
        <v>53</v>
      </c>
      <c r="AJ291" s="163">
        <v>0</v>
      </c>
      <c r="AK291" s="38">
        <f>SUM(AG291:AJ291)</f>
        <v>54</v>
      </c>
      <c r="AL291" s="261">
        <f>IF(AG291+AH291=0,0,SUM(AG291:AH291)/AK291)</f>
        <v>1.8518518518518517E-2</v>
      </c>
      <c r="AM291" s="261">
        <f>IF(AG291=0,0,AG291/(SUM(AG291:AI291)))</f>
        <v>1.8518518518518517E-2</v>
      </c>
      <c r="AN291" s="25" t="s">
        <v>865</v>
      </c>
      <c r="AO291" s="25" t="str">
        <f>_xlfn.XLOOKUP(F291,'TFS Details'!F:F,'TFS Details'!I:I)</f>
        <v>CrazyCoders</v>
      </c>
      <c r="AP291" s="25" t="str">
        <f>_xlfn.XLOOKUP(AO291,'TFS Details'!I:I,'TFS Details'!AE:AE)</f>
        <v>nityanand.giri</v>
      </c>
    </row>
    <row r="292" spans="1:42">
      <c r="A292" s="24" t="str">
        <f>_xlfn.XLOOKUP(F292,'TFS Details'!F:F,'TFS Details'!D:D)</f>
        <v>Attach Calculators</v>
      </c>
      <c r="B292" s="24" t="str">
        <f>_xlfn.XLOOKUP(F292,'TFS Details'!F:F,'TFS Details'!A:A)</f>
        <v>Automation calculator - Attach Calculator</v>
      </c>
      <c r="C292" s="46">
        <f>_xlfn.XLOOKUP(F292,'TFS Details'!F:F,'TFS Details'!E:E)</f>
        <v>4387285</v>
      </c>
      <c r="D292" s="250" t="s">
        <v>41</v>
      </c>
      <c r="E292" s="163" t="s">
        <v>867</v>
      </c>
      <c r="F292" s="197">
        <v>4370651</v>
      </c>
      <c r="G292" s="66" t="s">
        <v>787</v>
      </c>
      <c r="H292" s="66" t="s">
        <v>284</v>
      </c>
      <c r="I292" s="66" t="s">
        <v>107</v>
      </c>
      <c r="J292" s="66" t="s">
        <v>1</v>
      </c>
      <c r="K292" s="66" t="s">
        <v>840</v>
      </c>
      <c r="L292" s="66" t="s">
        <v>249</v>
      </c>
      <c r="M292" s="66" t="s">
        <v>311</v>
      </c>
      <c r="N292" s="66" t="s">
        <v>249</v>
      </c>
      <c r="O292" s="273">
        <v>0.1</v>
      </c>
      <c r="P292" s="66" t="s">
        <v>249</v>
      </c>
      <c r="Q292" s="66" t="s">
        <v>249</v>
      </c>
      <c r="R292" s="66" t="s">
        <v>249</v>
      </c>
      <c r="S292" s="66" t="s">
        <v>249</v>
      </c>
      <c r="T292" s="66" t="s">
        <v>249</v>
      </c>
      <c r="U292" s="66" t="s">
        <v>249</v>
      </c>
      <c r="V292" s="66" t="s">
        <v>204</v>
      </c>
      <c r="W292" s="66" t="s">
        <v>204</v>
      </c>
      <c r="X292" s="66" t="s">
        <v>204</v>
      </c>
      <c r="Y292" s="66" t="s">
        <v>216</v>
      </c>
      <c r="Z292" s="106">
        <v>52</v>
      </c>
      <c r="AA292" s="106">
        <v>52</v>
      </c>
      <c r="AB292" s="106">
        <v>0</v>
      </c>
      <c r="AC292" s="106">
        <v>52</v>
      </c>
      <c r="AD292" s="106">
        <v>100</v>
      </c>
      <c r="AE292" s="106">
        <v>100</v>
      </c>
      <c r="AF292" s="113" t="s">
        <v>242</v>
      </c>
      <c r="AG292" s="236">
        <v>2</v>
      </c>
      <c r="AH292" s="163">
        <v>10</v>
      </c>
      <c r="AI292" s="163">
        <v>0</v>
      </c>
      <c r="AJ292" s="163">
        <v>40</v>
      </c>
      <c r="AK292" s="38">
        <f>SUM(AG292:AJ292)</f>
        <v>52</v>
      </c>
      <c r="AL292" s="261">
        <f>IF(AG292+AH292=0,0,SUM(AG292:AH292)/AK292)</f>
        <v>0.23076923076923078</v>
      </c>
      <c r="AM292" s="261">
        <f>IF(AG292=0,0,AG292/(SUM(AG292:AI292)))</f>
        <v>0.16666666666666666</v>
      </c>
      <c r="AN292" s="25" t="s">
        <v>868</v>
      </c>
      <c r="AO292" s="25" t="str">
        <f>_xlfn.XLOOKUP(F292,'TFS Details'!F:F,'TFS Details'!I:I)</f>
        <v>CrazyCoders</v>
      </c>
      <c r="AP292" s="25" t="str">
        <f>_xlfn.XLOOKUP(AO292,'TFS Details'!I:I,'TFS Details'!AE:AE)</f>
        <v>nityanand.giri</v>
      </c>
    </row>
    <row r="293" spans="1:42">
      <c r="A293" s="24" t="str">
        <f>_xlfn.XLOOKUP(F293,'TFS Details'!F:F,'TFS Details'!D:D)</f>
        <v>IPC Calculator</v>
      </c>
      <c r="B293" s="24" t="str">
        <f>_xlfn.XLOOKUP(F293,'TFS Details'!F:F,'TFS Details'!A:A)</f>
        <v>IPC Calculator | Package and Cost screen UI changes</v>
      </c>
      <c r="C293" s="46">
        <f>_xlfn.XLOOKUP(F293,'TFS Details'!F:F,'TFS Details'!E:E)</f>
        <v>4313249</v>
      </c>
      <c r="D293" s="250" t="s">
        <v>41</v>
      </c>
      <c r="E293" s="163" t="s">
        <v>869</v>
      </c>
      <c r="F293" s="197">
        <v>4371240</v>
      </c>
      <c r="G293" s="66" t="s">
        <v>816</v>
      </c>
      <c r="H293" s="66" t="s">
        <v>258</v>
      </c>
      <c r="I293" s="66" t="s">
        <v>249</v>
      </c>
      <c r="J293" s="250" t="s">
        <v>18</v>
      </c>
      <c r="K293" s="66" t="s">
        <v>870</v>
      </c>
      <c r="L293" s="234" t="s">
        <v>36</v>
      </c>
      <c r="M293" s="66" t="s">
        <v>249</v>
      </c>
      <c r="N293" s="66" t="s">
        <v>249</v>
      </c>
      <c r="O293" s="66" t="s">
        <v>249</v>
      </c>
      <c r="P293" s="66" t="s">
        <v>249</v>
      </c>
      <c r="Q293" s="66" t="s">
        <v>249</v>
      </c>
      <c r="R293" s="66" t="s">
        <v>249</v>
      </c>
      <c r="S293" s="66" t="s">
        <v>249</v>
      </c>
      <c r="T293" s="66" t="s">
        <v>249</v>
      </c>
      <c r="U293" s="66" t="s">
        <v>249</v>
      </c>
      <c r="V293" s="66" t="s">
        <v>204</v>
      </c>
      <c r="W293" s="66" t="s">
        <v>204</v>
      </c>
      <c r="X293" s="66" t="s">
        <v>204</v>
      </c>
      <c r="Y293" s="66" t="s">
        <v>197</v>
      </c>
      <c r="Z293" s="106">
        <v>41</v>
      </c>
      <c r="AA293" s="106">
        <v>9</v>
      </c>
      <c r="AB293" s="106">
        <v>0</v>
      </c>
      <c r="AC293" s="106">
        <v>9</v>
      </c>
      <c r="AD293" s="228">
        <v>1</v>
      </c>
      <c r="AE293" s="228">
        <v>1</v>
      </c>
      <c r="AF293" s="113" t="s">
        <v>242</v>
      </c>
      <c r="AG293" s="236">
        <v>0</v>
      </c>
      <c r="AH293" s="163">
        <v>0</v>
      </c>
      <c r="AI293" s="163">
        <v>0</v>
      </c>
      <c r="AJ293" s="163">
        <v>9</v>
      </c>
      <c r="AK293" s="38">
        <f>SUM(AG293:AJ293)</f>
        <v>9</v>
      </c>
      <c r="AL293" s="261">
        <f>IF(AG293+AH293=0,0,SUM(AG293:AH293)/AK293)</f>
        <v>0</v>
      </c>
      <c r="AM293" s="261">
        <f>IF(AG293=0,0,AG293/(SUM(AG293:AI293)))</f>
        <v>0</v>
      </c>
      <c r="AN293" s="25"/>
      <c r="AO293" s="25" t="str">
        <f>_xlfn.XLOOKUP(F293,'TFS Details'!F:F,'TFS Details'!I:I)</f>
        <v>TitansPlus</v>
      </c>
      <c r="AP293" s="25" t="str">
        <f>_xlfn.XLOOKUP(AO293,'TFS Details'!I:I,'TFS Details'!AE:AE)</f>
        <v>nityanand.giri</v>
      </c>
    </row>
    <row r="294" spans="1:42">
      <c r="A294" s="24" t="str">
        <f>_xlfn.XLOOKUP(F294,'TFS Details'!F:F,'TFS Details'!D:D)</f>
        <v>IPC Calculator</v>
      </c>
      <c r="B294" s="24" t="str">
        <f>_xlfn.XLOOKUP(F294,'TFS Details'!F:F,'TFS Details'!A:A)</f>
        <v>IPC Calculator | Package and Cost screen UI changes</v>
      </c>
      <c r="C294" s="46">
        <f>_xlfn.XLOOKUP(F294,'TFS Details'!F:F,'TFS Details'!E:E)</f>
        <v>4313249</v>
      </c>
      <c r="D294" s="250" t="s">
        <v>41</v>
      </c>
      <c r="E294" s="163" t="s">
        <v>871</v>
      </c>
      <c r="F294" s="197">
        <v>4372175</v>
      </c>
      <c r="G294" s="66" t="s">
        <v>816</v>
      </c>
      <c r="H294" s="66" t="s">
        <v>258</v>
      </c>
      <c r="I294" s="66" t="s">
        <v>249</v>
      </c>
      <c r="J294" s="250" t="s">
        <v>18</v>
      </c>
      <c r="K294" s="66" t="s">
        <v>840</v>
      </c>
      <c r="L294" s="234" t="s">
        <v>30</v>
      </c>
      <c r="M294" s="66" t="s">
        <v>249</v>
      </c>
      <c r="N294" s="66" t="s">
        <v>249</v>
      </c>
      <c r="O294" s="66" t="s">
        <v>249</v>
      </c>
      <c r="P294" s="66" t="s">
        <v>249</v>
      </c>
      <c r="Q294" s="66" t="s">
        <v>249</v>
      </c>
      <c r="R294" s="66" t="s">
        <v>249</v>
      </c>
      <c r="S294" s="66" t="s">
        <v>249</v>
      </c>
      <c r="T294" s="66" t="s">
        <v>249</v>
      </c>
      <c r="U294" s="66" t="s">
        <v>249</v>
      </c>
      <c r="V294" s="66" t="s">
        <v>204</v>
      </c>
      <c r="W294" s="66" t="s">
        <v>204</v>
      </c>
      <c r="X294" s="66" t="s">
        <v>204</v>
      </c>
      <c r="Y294" s="66" t="s">
        <v>197</v>
      </c>
      <c r="Z294" s="106">
        <v>45</v>
      </c>
      <c r="AA294" s="106">
        <v>10</v>
      </c>
      <c r="AB294" s="106">
        <v>0</v>
      </c>
      <c r="AC294" s="106">
        <v>10</v>
      </c>
      <c r="AD294" s="228">
        <v>1</v>
      </c>
      <c r="AE294" s="228">
        <v>1</v>
      </c>
      <c r="AF294" s="113" t="s">
        <v>242</v>
      </c>
      <c r="AG294" s="236">
        <v>0</v>
      </c>
      <c r="AH294" s="163">
        <v>0</v>
      </c>
      <c r="AI294" s="163">
        <v>0</v>
      </c>
      <c r="AJ294" s="163">
        <v>10</v>
      </c>
      <c r="AK294" s="38">
        <f>SUM(AG294:AJ294)</f>
        <v>10</v>
      </c>
      <c r="AL294" s="261">
        <f>IF(AG294+AH294=0,0,SUM(AG294:AH294)/AK294)</f>
        <v>0</v>
      </c>
      <c r="AM294" s="261">
        <f>IF(AG294=0,0,AG294/(SUM(AG294:AI294)))</f>
        <v>0</v>
      </c>
      <c r="AN294" s="25"/>
      <c r="AO294" s="25" t="str">
        <f>_xlfn.XLOOKUP(F294,'TFS Details'!F:F,'TFS Details'!I:I)</f>
        <v>TitansPlus</v>
      </c>
      <c r="AP294" s="25" t="str">
        <f>_xlfn.XLOOKUP(AO294,'TFS Details'!I:I,'TFS Details'!AE:AE)</f>
        <v>nityanand.giri</v>
      </c>
    </row>
    <row r="295" spans="1:42">
      <c r="A295" s="24" t="str">
        <f>_xlfn.XLOOKUP(F295,'TFS Details'!F:F,'TFS Details'!D:D)</f>
        <v>IPC Calculator</v>
      </c>
      <c r="B295" s="24" t="str">
        <f>_xlfn.XLOOKUP(F295,'TFS Details'!F:F,'TFS Details'!A:A)</f>
        <v>IPC Calculator | Package and Cost screen UI changes</v>
      </c>
      <c r="C295" s="46">
        <f>_xlfn.XLOOKUP(F295,'TFS Details'!F:F,'TFS Details'!E:E)</f>
        <v>4313249</v>
      </c>
      <c r="D295" s="250" t="s">
        <v>41</v>
      </c>
      <c r="E295" s="163" t="s">
        <v>257</v>
      </c>
      <c r="F295" s="197">
        <v>4372864</v>
      </c>
      <c r="G295" s="66" t="s">
        <v>258</v>
      </c>
      <c r="H295" s="66" t="s">
        <v>259</v>
      </c>
      <c r="I295" s="66" t="s">
        <v>249</v>
      </c>
      <c r="J295" s="250" t="s">
        <v>18</v>
      </c>
      <c r="K295" s="234" t="s">
        <v>840</v>
      </c>
      <c r="L295" s="234" t="s">
        <v>30</v>
      </c>
      <c r="M295" s="66" t="s">
        <v>311</v>
      </c>
      <c r="N295" s="66" t="s">
        <v>249</v>
      </c>
      <c r="O295" s="66" t="s">
        <v>249</v>
      </c>
      <c r="P295" s="66" t="s">
        <v>249</v>
      </c>
      <c r="Q295" s="66" t="s">
        <v>249</v>
      </c>
      <c r="R295" s="66" t="s">
        <v>249</v>
      </c>
      <c r="S295" s="66" t="s">
        <v>249</v>
      </c>
      <c r="T295" s="66" t="s">
        <v>249</v>
      </c>
      <c r="U295" s="66" t="s">
        <v>249</v>
      </c>
      <c r="V295" s="66" t="s">
        <v>204</v>
      </c>
      <c r="W295" s="66" t="s">
        <v>204</v>
      </c>
      <c r="X295" s="66" t="s">
        <v>17</v>
      </c>
      <c r="Y295" s="66" t="s">
        <v>197</v>
      </c>
      <c r="Z295" s="106">
        <v>50</v>
      </c>
      <c r="AA295" s="106">
        <v>26</v>
      </c>
      <c r="AB295" s="106">
        <v>0</v>
      </c>
      <c r="AC295" s="106">
        <v>26</v>
      </c>
      <c r="AD295" s="228">
        <v>1</v>
      </c>
      <c r="AE295" s="228">
        <v>0.8</v>
      </c>
      <c r="AF295" s="113" t="s">
        <v>198</v>
      </c>
      <c r="AG295" s="236">
        <v>0</v>
      </c>
      <c r="AH295" s="163">
        <v>0</v>
      </c>
      <c r="AI295" s="163">
        <v>0</v>
      </c>
      <c r="AJ295" s="163">
        <v>26</v>
      </c>
      <c r="AK295" s="38">
        <f>SUM(AG295:AJ295)</f>
        <v>26</v>
      </c>
      <c r="AL295" s="261">
        <f>IF(AG295+AH295=0,0,SUM(AG295:AH295)/AK295)</f>
        <v>0</v>
      </c>
      <c r="AM295" s="261">
        <f>IF(AG295=0,0,AG295/(SUM(AG295:AI295)))</f>
        <v>0</v>
      </c>
      <c r="AN295" s="25"/>
      <c r="AO295" s="25" t="str">
        <f>_xlfn.XLOOKUP(F295,'TFS Details'!F:F,'TFS Details'!I:I)</f>
        <v>TechWarriors</v>
      </c>
      <c r="AP295" s="25" t="str">
        <f>_xlfn.XLOOKUP(AO295,'TFS Details'!I:I,'TFS Details'!AE:AE)</f>
        <v>Supriya.a.dhingra</v>
      </c>
    </row>
    <row r="296" spans="1:42">
      <c r="A296" s="24" t="str">
        <f>_xlfn.XLOOKUP(F296,'TFS Details'!F:F,'TFS Details'!D:D)</f>
        <v>Attach Calculator</v>
      </c>
      <c r="B296" s="24" t="str">
        <f>_xlfn.XLOOKUP(F296,'TFS Details'!F:F,'TFS Details'!A:A)</f>
        <v>Attach Calculator</v>
      </c>
      <c r="C296" s="46">
        <f>_xlfn.XLOOKUP(F296,'TFS Details'!F:F,'TFS Details'!E:E)</f>
        <v>4372279</v>
      </c>
      <c r="D296" s="250" t="s">
        <v>41</v>
      </c>
      <c r="E296" s="163" t="s">
        <v>872</v>
      </c>
      <c r="F296" s="197">
        <v>4373606</v>
      </c>
      <c r="G296" s="66" t="s">
        <v>817</v>
      </c>
      <c r="H296" s="66" t="s">
        <v>258</v>
      </c>
      <c r="I296" s="66" t="s">
        <v>249</v>
      </c>
      <c r="J296" s="250" t="s">
        <v>18</v>
      </c>
      <c r="K296" s="234" t="s">
        <v>840</v>
      </c>
      <c r="L296" s="234" t="s">
        <v>30</v>
      </c>
      <c r="M296" s="66" t="s">
        <v>841</v>
      </c>
      <c r="N296" s="66" t="s">
        <v>249</v>
      </c>
      <c r="O296" s="66" t="s">
        <v>249</v>
      </c>
      <c r="P296" s="66" t="s">
        <v>249</v>
      </c>
      <c r="Q296" s="66" t="s">
        <v>249</v>
      </c>
      <c r="R296" s="66" t="s">
        <v>249</v>
      </c>
      <c r="S296" s="66" t="s">
        <v>249</v>
      </c>
      <c r="T296" s="66" t="s">
        <v>249</v>
      </c>
      <c r="U296" s="66" t="s">
        <v>249</v>
      </c>
      <c r="V296" s="66" t="s">
        <v>204</v>
      </c>
      <c r="W296" s="66" t="s">
        <v>204</v>
      </c>
      <c r="X296" s="66" t="s">
        <v>204</v>
      </c>
      <c r="Y296" s="66" t="s">
        <v>216</v>
      </c>
      <c r="Z296" s="106">
        <v>50</v>
      </c>
      <c r="AA296" s="106">
        <v>5</v>
      </c>
      <c r="AB296" s="106">
        <v>29</v>
      </c>
      <c r="AC296" s="106">
        <v>34</v>
      </c>
      <c r="AD296" s="228">
        <v>0.3</v>
      </c>
      <c r="AE296" s="228">
        <v>0.3</v>
      </c>
      <c r="AF296" s="113" t="s">
        <v>242</v>
      </c>
      <c r="AG296" s="236">
        <v>10</v>
      </c>
      <c r="AH296" s="163">
        <v>0</v>
      </c>
      <c r="AI296" s="163">
        <v>0</v>
      </c>
      <c r="AJ296" s="163">
        <v>24</v>
      </c>
      <c r="AK296" s="38">
        <f>SUM(AG296:AJ296)</f>
        <v>34</v>
      </c>
      <c r="AL296" s="261">
        <f>IF(AG296+AH296=0,0,SUM(AG296:AH296)/AK296)</f>
        <v>0.29411764705882354</v>
      </c>
      <c r="AM296" s="261">
        <f>IF(AG296=0,0,AG296/(SUM(AG296:AI296)))</f>
        <v>1</v>
      </c>
      <c r="AN296" s="25"/>
      <c r="AO296" s="25" t="str">
        <f>_xlfn.XLOOKUP(F296,'TFS Details'!F:F,'TFS Details'!I:I)</f>
        <v>TitansPlus</v>
      </c>
      <c r="AP296" s="25" t="str">
        <f>_xlfn.XLOOKUP(AO296,'TFS Details'!I:I,'TFS Details'!AE:AE)</f>
        <v>nityanand.giri</v>
      </c>
    </row>
    <row r="297" spans="1:42">
      <c r="A297" s="24" t="str">
        <f>_xlfn.XLOOKUP(F297,'TFS Details'!F:F,'TFS Details'!D:D)</f>
        <v>Calculator</v>
      </c>
      <c r="B297" s="24" t="str">
        <f>_xlfn.XLOOKUP(F297,'TFS Details'!F:F,'TFS Details'!A:A)</f>
        <v>Attach Calculator</v>
      </c>
      <c r="C297" s="46">
        <f>_xlfn.XLOOKUP(F297,'TFS Details'!F:F,'TFS Details'!E:E)</f>
        <v>4372279</v>
      </c>
      <c r="D297" s="250" t="s">
        <v>41</v>
      </c>
      <c r="E297" s="163" t="s">
        <v>873</v>
      </c>
      <c r="F297" s="197">
        <v>4373608</v>
      </c>
      <c r="G297" s="66" t="s">
        <v>752</v>
      </c>
      <c r="H297" s="66" t="s">
        <v>791</v>
      </c>
      <c r="I297" s="66" t="s">
        <v>129</v>
      </c>
      <c r="J297" s="66" t="s">
        <v>1</v>
      </c>
      <c r="K297" s="66" t="s">
        <v>249</v>
      </c>
      <c r="L297" s="66" t="s">
        <v>249</v>
      </c>
      <c r="M297" s="66" t="s">
        <v>311</v>
      </c>
      <c r="N297" s="66" t="s">
        <v>249</v>
      </c>
      <c r="O297" s="273">
        <v>0</v>
      </c>
      <c r="P297" s="66">
        <v>16</v>
      </c>
      <c r="Q297" s="66" t="s">
        <v>249</v>
      </c>
      <c r="R297" s="66" t="s">
        <v>249</v>
      </c>
      <c r="S297" s="66" t="s">
        <v>249</v>
      </c>
      <c r="T297" s="66" t="s">
        <v>249</v>
      </c>
      <c r="U297" s="66" t="s">
        <v>249</v>
      </c>
      <c r="V297" s="66" t="s">
        <v>204</v>
      </c>
      <c r="W297" s="66" t="s">
        <v>204</v>
      </c>
      <c r="X297" s="66" t="s">
        <v>197</v>
      </c>
      <c r="Y297" s="66" t="s">
        <v>204</v>
      </c>
      <c r="Z297" s="106">
        <v>25</v>
      </c>
      <c r="AA297" s="106">
        <v>20</v>
      </c>
      <c r="AB297" s="106">
        <v>0</v>
      </c>
      <c r="AC297" s="106">
        <v>20</v>
      </c>
      <c r="AD297" s="228">
        <v>0.8</v>
      </c>
      <c r="AE297" s="228">
        <v>0.8</v>
      </c>
      <c r="AF297" s="113" t="s">
        <v>242</v>
      </c>
      <c r="AG297" s="236">
        <v>20</v>
      </c>
      <c r="AH297" s="163">
        <v>0</v>
      </c>
      <c r="AI297" s="163">
        <v>0</v>
      </c>
      <c r="AJ297" s="163">
        <v>0</v>
      </c>
      <c r="AK297" s="38">
        <f>SUM(AG297:AJ297)</f>
        <v>20</v>
      </c>
      <c r="AL297" s="261">
        <f>IF(AG297+AH297=0,0,SUM(AG297:AH297)/AK297)</f>
        <v>1</v>
      </c>
      <c r="AM297" s="261">
        <f>IF(AG297=0,0,AG297/(SUM(AG297:AI297)))</f>
        <v>1</v>
      </c>
      <c r="AN297" s="25"/>
      <c r="AO297" s="25" t="str">
        <f>_xlfn.XLOOKUP(F297,'TFS Details'!F:F,'TFS Details'!I:I)</f>
        <v>TitansPlus</v>
      </c>
      <c r="AP297" s="25" t="str">
        <f>_xlfn.XLOOKUP(AO297,'TFS Details'!I:I,'TFS Details'!AE:AE)</f>
        <v>nityanand.giri</v>
      </c>
    </row>
    <row r="298" spans="1:42">
      <c r="A298" s="24" t="str">
        <f>_xlfn.XLOOKUP(F298,'TFS Details'!F:F,'TFS Details'!D:D)</f>
        <v>Calculator</v>
      </c>
      <c r="B298" s="24" t="str">
        <f>_xlfn.XLOOKUP(F298,'TFS Details'!F:F,'TFS Details'!A:A)</f>
        <v>Attach Calculator</v>
      </c>
      <c r="C298" s="46">
        <f>_xlfn.XLOOKUP(F298,'TFS Details'!F:F,'TFS Details'!E:E)</f>
        <v>4372279</v>
      </c>
      <c r="D298" s="250" t="s">
        <v>41</v>
      </c>
      <c r="E298" s="163" t="s">
        <v>874</v>
      </c>
      <c r="F298" s="197">
        <v>4373612</v>
      </c>
      <c r="G298" s="66" t="s">
        <v>843</v>
      </c>
      <c r="H298" s="66" t="s">
        <v>826</v>
      </c>
      <c r="I298" s="66" t="s">
        <v>105</v>
      </c>
      <c r="J298" s="66" t="s">
        <v>1</v>
      </c>
      <c r="K298" s="66" t="s">
        <v>249</v>
      </c>
      <c r="L298" s="66" t="s">
        <v>249</v>
      </c>
      <c r="M298" s="66" t="s">
        <v>311</v>
      </c>
      <c r="N298" s="66" t="s">
        <v>249</v>
      </c>
      <c r="O298" s="273">
        <v>0.3</v>
      </c>
      <c r="P298" s="66">
        <v>2</v>
      </c>
      <c r="Q298" s="66" t="s">
        <v>249</v>
      </c>
      <c r="R298" s="66" t="s">
        <v>249</v>
      </c>
      <c r="S298" s="66" t="s">
        <v>249</v>
      </c>
      <c r="T298" s="66" t="s">
        <v>249</v>
      </c>
      <c r="U298" s="66" t="s">
        <v>249</v>
      </c>
      <c r="V298" s="66" t="s">
        <v>204</v>
      </c>
      <c r="W298" s="66" t="s">
        <v>204</v>
      </c>
      <c r="X298" s="66" t="s">
        <v>197</v>
      </c>
      <c r="Y298" s="66" t="s">
        <v>197</v>
      </c>
      <c r="Z298" s="106">
        <v>59</v>
      </c>
      <c r="AA298" s="106">
        <v>12</v>
      </c>
      <c r="AB298" s="106" t="s">
        <v>249</v>
      </c>
      <c r="AC298" s="106" t="s">
        <v>249</v>
      </c>
      <c r="AD298" s="106" t="s">
        <v>249</v>
      </c>
      <c r="AE298" s="106" t="s">
        <v>249</v>
      </c>
      <c r="AF298" s="113" t="s">
        <v>242</v>
      </c>
      <c r="AG298" s="236">
        <v>23</v>
      </c>
      <c r="AH298" s="163">
        <v>0</v>
      </c>
      <c r="AI298" s="163">
        <v>0</v>
      </c>
      <c r="AJ298" s="163">
        <v>7</v>
      </c>
      <c r="AK298" s="38">
        <f>SUM(AG298:AJ298)</f>
        <v>30</v>
      </c>
      <c r="AL298" s="261">
        <f>IF(AG298+AH298=0,0,SUM(AG298:AH298)/AK298)</f>
        <v>0.76666666666666672</v>
      </c>
      <c r="AM298" s="261">
        <f>IF(AG298=0,0,AG298/(SUM(AG298:AI298)))</f>
        <v>1</v>
      </c>
      <c r="AN298" s="25"/>
      <c r="AO298" s="25" t="str">
        <f>_xlfn.XLOOKUP(F298,'TFS Details'!F:F,'TFS Details'!I:I)</f>
        <v>TitansPlus</v>
      </c>
      <c r="AP298" s="25" t="str">
        <f>_xlfn.XLOOKUP(AO298,'TFS Details'!I:I,'TFS Details'!AE:AE)</f>
        <v>nityanand.giri</v>
      </c>
    </row>
    <row r="299" spans="1:42">
      <c r="A299" s="24" t="str">
        <f>_xlfn.XLOOKUP(F299,'TFS Details'!F:F,'TFS Details'!D:D)</f>
        <v>Calculator</v>
      </c>
      <c r="B299" s="24" t="str">
        <f>_xlfn.XLOOKUP(F299,'TFS Details'!F:F,'TFS Details'!A:A)</f>
        <v>Attach Calculator</v>
      </c>
      <c r="C299" s="46">
        <f>_xlfn.XLOOKUP(F299,'TFS Details'!F:F,'TFS Details'!E:E)</f>
        <v>4372279</v>
      </c>
      <c r="D299" s="250" t="s">
        <v>41</v>
      </c>
      <c r="E299" s="163" t="s">
        <v>875</v>
      </c>
      <c r="F299" s="197">
        <v>4373619</v>
      </c>
      <c r="G299" s="66" t="s">
        <v>817</v>
      </c>
      <c r="H299" s="66" t="s">
        <v>258</v>
      </c>
      <c r="I299" s="66" t="s">
        <v>121</v>
      </c>
      <c r="J299" s="250" t="s">
        <v>20</v>
      </c>
      <c r="K299" s="66"/>
      <c r="L299" s="66"/>
      <c r="M299" s="252" t="s">
        <v>841</v>
      </c>
      <c r="N299" s="66" t="s">
        <v>249</v>
      </c>
      <c r="O299" s="273">
        <v>0.05</v>
      </c>
      <c r="P299" s="66" t="s">
        <v>249</v>
      </c>
      <c r="Q299" s="66" t="s">
        <v>249</v>
      </c>
      <c r="R299" s="66" t="s">
        <v>249</v>
      </c>
      <c r="S299" s="66" t="s">
        <v>249</v>
      </c>
      <c r="T299" s="66" t="s">
        <v>249</v>
      </c>
      <c r="U299" s="66" t="s">
        <v>249</v>
      </c>
      <c r="V299" s="66" t="s">
        <v>204</v>
      </c>
      <c r="W299" s="66" t="s">
        <v>204</v>
      </c>
      <c r="X299" s="66" t="s">
        <v>204</v>
      </c>
      <c r="Y299" s="66" t="s">
        <v>216</v>
      </c>
      <c r="Z299" s="106">
        <v>50</v>
      </c>
      <c r="AA299" s="106">
        <v>5</v>
      </c>
      <c r="AB299" s="106">
        <v>13</v>
      </c>
      <c r="AC299" s="106">
        <v>18</v>
      </c>
      <c r="AD299" s="228">
        <v>0.85</v>
      </c>
      <c r="AE299" s="228">
        <v>0.85</v>
      </c>
      <c r="AF299" s="113" t="s">
        <v>242</v>
      </c>
      <c r="AG299" s="236">
        <v>0</v>
      </c>
      <c r="AH299" s="163">
        <v>0</v>
      </c>
      <c r="AI299" s="163">
        <v>0</v>
      </c>
      <c r="AJ299" s="163">
        <v>18</v>
      </c>
      <c r="AK299" s="38">
        <f>SUM(AG299:AJ299)</f>
        <v>18</v>
      </c>
      <c r="AL299" s="261">
        <f>IF(AG299+AH299=0,0,SUM(AG299:AH299)/AK299)</f>
        <v>0</v>
      </c>
      <c r="AM299" s="261">
        <f>IF(AG299=0,0,AG299/(SUM(AG299:AI299)))</f>
        <v>0</v>
      </c>
      <c r="AN299" s="25"/>
      <c r="AO299" s="25" t="str">
        <f>_xlfn.XLOOKUP(F299,'TFS Details'!F:F,'TFS Details'!I:I)</f>
        <v>TitansPlus</v>
      </c>
      <c r="AP299" s="25" t="str">
        <f>_xlfn.XLOOKUP(AO299,'TFS Details'!I:I,'TFS Details'!AE:AE)</f>
        <v>nityanand.giri</v>
      </c>
    </row>
    <row r="300" spans="1:42">
      <c r="A300" s="24" t="str">
        <f>_xlfn.XLOOKUP(F300,'TFS Details'!F:F,'TFS Details'!D:D)</f>
        <v>Calculator</v>
      </c>
      <c r="B300" s="24" t="str">
        <f>_xlfn.XLOOKUP(F300,'TFS Details'!F:F,'TFS Details'!A:A)</f>
        <v>Attach Calculator</v>
      </c>
      <c r="C300" s="46">
        <f>_xlfn.XLOOKUP(F300,'TFS Details'!F:F,'TFS Details'!E:E)</f>
        <v>4372279</v>
      </c>
      <c r="D300" s="250" t="s">
        <v>41</v>
      </c>
      <c r="E300" s="163" t="s">
        <v>876</v>
      </c>
      <c r="F300" s="197">
        <v>4373625</v>
      </c>
      <c r="G300" s="66" t="s">
        <v>791</v>
      </c>
      <c r="H300" s="66" t="s">
        <v>791</v>
      </c>
      <c r="I300" s="66" t="s">
        <v>129</v>
      </c>
      <c r="J300" s="250" t="s">
        <v>20</v>
      </c>
      <c r="K300" s="66" t="s">
        <v>274</v>
      </c>
      <c r="L300" s="66" t="s">
        <v>196</v>
      </c>
      <c r="M300" s="66" t="s">
        <v>311</v>
      </c>
      <c r="N300" s="66" t="s">
        <v>249</v>
      </c>
      <c r="O300" s="273">
        <v>0</v>
      </c>
      <c r="P300" s="66">
        <v>25</v>
      </c>
      <c r="Q300" s="66" t="s">
        <v>249</v>
      </c>
      <c r="R300" s="66" t="s">
        <v>249</v>
      </c>
      <c r="S300" s="66" t="s">
        <v>249</v>
      </c>
      <c r="T300" s="66" t="s">
        <v>249</v>
      </c>
      <c r="U300" s="66" t="s">
        <v>249</v>
      </c>
      <c r="V300" s="66" t="s">
        <v>204</v>
      </c>
      <c r="W300" s="66" t="s">
        <v>204</v>
      </c>
      <c r="X300" s="66" t="s">
        <v>204</v>
      </c>
      <c r="Y300" s="66" t="s">
        <v>216</v>
      </c>
      <c r="Z300" s="106">
        <v>35</v>
      </c>
      <c r="AA300" s="106">
        <v>20</v>
      </c>
      <c r="AB300" s="106">
        <v>0</v>
      </c>
      <c r="AC300" s="106">
        <v>20</v>
      </c>
      <c r="AD300" s="228">
        <v>0.7</v>
      </c>
      <c r="AE300" s="228">
        <v>0.7</v>
      </c>
      <c r="AF300" s="113" t="s">
        <v>242</v>
      </c>
      <c r="AG300" s="236">
        <v>5</v>
      </c>
      <c r="AH300" s="163">
        <v>0</v>
      </c>
      <c r="AI300" s="163">
        <v>0</v>
      </c>
      <c r="AJ300" s="163">
        <v>15</v>
      </c>
      <c r="AK300" s="38">
        <f>SUM(AG300:AJ300)</f>
        <v>20</v>
      </c>
      <c r="AL300" s="261">
        <f>IF(AG300+AH300=0,0,SUM(AG300:AH300)/AK300)</f>
        <v>0.25</v>
      </c>
      <c r="AM300" s="261">
        <f>IF(AG300=0,0,AG300/(SUM(AG300:AI300)))</f>
        <v>1</v>
      </c>
      <c r="AN300" s="25"/>
      <c r="AO300" s="25" t="str">
        <f>_xlfn.XLOOKUP(F300,'TFS Details'!F:F,'TFS Details'!I:I)</f>
        <v>TitansPlus</v>
      </c>
      <c r="AP300" s="25" t="str">
        <f>_xlfn.XLOOKUP(AO300,'TFS Details'!I:I,'TFS Details'!AE:AE)</f>
        <v>nityanand.giri</v>
      </c>
    </row>
    <row r="301" spans="1:42">
      <c r="A301" s="24" t="str">
        <f>_xlfn.XLOOKUP(F301,'TFS Details'!F:F,'TFS Details'!D:D)</f>
        <v>Attach Calculator</v>
      </c>
      <c r="B301" s="24" t="str">
        <f>_xlfn.XLOOKUP(F301,'TFS Details'!F:F,'TFS Details'!A:A)</f>
        <v>Attach Calculator</v>
      </c>
      <c r="C301" s="46">
        <f>_xlfn.XLOOKUP(F301,'TFS Details'!F:F,'TFS Details'!E:E)</f>
        <v>4372279</v>
      </c>
      <c r="D301" s="250" t="s">
        <v>41</v>
      </c>
      <c r="E301" s="163" t="s">
        <v>877</v>
      </c>
      <c r="F301" s="197">
        <v>4373629</v>
      </c>
      <c r="G301" s="66" t="s">
        <v>787</v>
      </c>
      <c r="H301" s="66" t="s">
        <v>284</v>
      </c>
      <c r="I301" s="66" t="s">
        <v>107</v>
      </c>
      <c r="J301" s="66" t="s">
        <v>1</v>
      </c>
      <c r="K301" s="66" t="s">
        <v>249</v>
      </c>
      <c r="L301" s="66" t="s">
        <v>249</v>
      </c>
      <c r="M301" s="66" t="s">
        <v>311</v>
      </c>
      <c r="N301" s="66" t="s">
        <v>249</v>
      </c>
      <c r="O301" s="273">
        <v>0.3</v>
      </c>
      <c r="P301" s="66" t="s">
        <v>249</v>
      </c>
      <c r="Q301" s="66" t="s">
        <v>249</v>
      </c>
      <c r="R301" s="66" t="s">
        <v>249</v>
      </c>
      <c r="S301" s="66" t="s">
        <v>249</v>
      </c>
      <c r="T301" s="66" t="s">
        <v>249</v>
      </c>
      <c r="U301" s="66" t="s">
        <v>249</v>
      </c>
      <c r="V301" s="66" t="s">
        <v>204</v>
      </c>
      <c r="W301" s="66" t="s">
        <v>204</v>
      </c>
      <c r="X301" s="66" t="s">
        <v>204</v>
      </c>
      <c r="Y301" s="66" t="s">
        <v>216</v>
      </c>
      <c r="Z301" s="106">
        <v>46</v>
      </c>
      <c r="AA301" s="106">
        <v>46</v>
      </c>
      <c r="AB301" s="106">
        <v>0</v>
      </c>
      <c r="AC301" s="106">
        <v>46</v>
      </c>
      <c r="AD301" s="106">
        <v>100</v>
      </c>
      <c r="AE301" s="106">
        <v>100</v>
      </c>
      <c r="AF301" s="113" t="s">
        <v>242</v>
      </c>
      <c r="AG301" s="236">
        <v>45</v>
      </c>
      <c r="AH301" s="163">
        <v>1</v>
      </c>
      <c r="AI301" s="163">
        <v>0</v>
      </c>
      <c r="AJ301" s="163">
        <v>0</v>
      </c>
      <c r="AK301" s="38">
        <f>SUM(AG301:AJ301)</f>
        <v>46</v>
      </c>
      <c r="AL301" s="261">
        <f>IF(AG301+AH301=0,0,SUM(AG301:AH301)/AK301)</f>
        <v>1</v>
      </c>
      <c r="AM301" s="261">
        <f>IF(AG301=0,0,AG301/(SUM(AG301:AI301)))</f>
        <v>0.97826086956521741</v>
      </c>
      <c r="AN301" s="25" t="s">
        <v>878</v>
      </c>
      <c r="AO301" s="25" t="str">
        <f>_xlfn.XLOOKUP(F301,'TFS Details'!F:F,'TFS Details'!I:I)</f>
        <v>TechSavers</v>
      </c>
      <c r="AP301" s="25" t="str">
        <f>_xlfn.XLOOKUP(AO301,'TFS Details'!I:I,'TFS Details'!AE:AE)</f>
        <v>nityanand.giri</v>
      </c>
    </row>
    <row r="302" spans="1:42">
      <c r="A302" s="24" t="str">
        <f>_xlfn.XLOOKUP(F302,'TFS Details'!F:F,'TFS Details'!D:D)</f>
        <v>Calculator</v>
      </c>
      <c r="B302" s="24" t="str">
        <f>_xlfn.XLOOKUP(F302,'TFS Details'!F:F,'TFS Details'!A:A)</f>
        <v>Attach Calculator</v>
      </c>
      <c r="C302" s="46">
        <f>_xlfn.XLOOKUP(F302,'TFS Details'!F:F,'TFS Details'!E:E)</f>
        <v>4372279</v>
      </c>
      <c r="D302" s="250" t="s">
        <v>41</v>
      </c>
      <c r="E302" s="163" t="s">
        <v>879</v>
      </c>
      <c r="F302" s="197">
        <v>4373870</v>
      </c>
      <c r="G302" s="66" t="s">
        <v>790</v>
      </c>
      <c r="H302" s="66" t="s">
        <v>791</v>
      </c>
      <c r="I302" s="198" t="s">
        <v>112</v>
      </c>
      <c r="J302" s="66" t="s">
        <v>1</v>
      </c>
      <c r="K302" s="66" t="s">
        <v>249</v>
      </c>
      <c r="L302" s="66" t="s">
        <v>249</v>
      </c>
      <c r="M302" s="66" t="s">
        <v>249</v>
      </c>
      <c r="N302" s="66" t="s">
        <v>249</v>
      </c>
      <c r="O302" s="273">
        <v>0.1</v>
      </c>
      <c r="P302" s="66" t="s">
        <v>249</v>
      </c>
      <c r="Q302" s="66" t="s">
        <v>249</v>
      </c>
      <c r="R302" s="66" t="s">
        <v>249</v>
      </c>
      <c r="S302" s="66" t="s">
        <v>249</v>
      </c>
      <c r="T302" s="66" t="s">
        <v>249</v>
      </c>
      <c r="U302" s="66" t="s">
        <v>249</v>
      </c>
      <c r="V302" s="66" t="s">
        <v>204</v>
      </c>
      <c r="W302" s="66" t="s">
        <v>204</v>
      </c>
      <c r="X302" s="66" t="s">
        <v>197</v>
      </c>
      <c r="Y302" s="66" t="s">
        <v>197</v>
      </c>
      <c r="Z302" s="106">
        <v>37</v>
      </c>
      <c r="AA302" s="106">
        <v>6</v>
      </c>
      <c r="AB302" s="106">
        <v>3</v>
      </c>
      <c r="AC302" s="106">
        <v>9</v>
      </c>
      <c r="AD302" s="106" t="s">
        <v>880</v>
      </c>
      <c r="AE302" s="106" t="s">
        <v>881</v>
      </c>
      <c r="AF302" s="113" t="s">
        <v>242</v>
      </c>
      <c r="AG302" s="236">
        <v>0</v>
      </c>
      <c r="AH302" s="163">
        <v>0</v>
      </c>
      <c r="AI302" s="163">
        <v>0</v>
      </c>
      <c r="AJ302" s="163">
        <v>9</v>
      </c>
      <c r="AK302" s="38">
        <f>SUM(AG302:AJ302)</f>
        <v>9</v>
      </c>
      <c r="AL302" s="261">
        <f>IF(AG302+AH302=0,0,SUM(AG302:AH302)/AK302)</f>
        <v>0</v>
      </c>
      <c r="AM302" s="261">
        <f>IF(AG302=0,0,AG302/(SUM(AG302:AI302)))</f>
        <v>0</v>
      </c>
      <c r="AN302" s="25"/>
      <c r="AO302" s="25" t="str">
        <f>_xlfn.XLOOKUP(F302,'TFS Details'!F:F,'TFS Details'!I:I)</f>
        <v>TechSavers</v>
      </c>
      <c r="AP302" s="25" t="str">
        <f>_xlfn.XLOOKUP(AO302,'TFS Details'!I:I,'TFS Details'!AE:AE)</f>
        <v>nityanand.giri</v>
      </c>
    </row>
    <row r="303" spans="1:42" ht="14.45">
      <c r="A303" s="24" t="str">
        <f>_xlfn.XLOOKUP(F303,'TFS Details'!F:F,'TFS Details'!D:D)</f>
        <v>Calculator</v>
      </c>
      <c r="B303" s="24" t="str">
        <f>_xlfn.XLOOKUP(F303,'TFS Details'!F:F,'TFS Details'!A:A)</f>
        <v>Attach Calculator</v>
      </c>
      <c r="C303" s="46">
        <f>_xlfn.XLOOKUP(F303,'TFS Details'!F:F,'TFS Details'!E:E)</f>
        <v>4372279</v>
      </c>
      <c r="D303" s="250" t="s">
        <v>41</v>
      </c>
      <c r="E303" s="163" t="s">
        <v>882</v>
      </c>
      <c r="F303" s="197">
        <v>4373872</v>
      </c>
      <c r="G303" s="66" t="s">
        <v>791</v>
      </c>
      <c r="H303" s="66" t="s">
        <v>752</v>
      </c>
      <c r="I303" s="66" t="s">
        <v>90</v>
      </c>
      <c r="J303" s="66" t="s">
        <v>1</v>
      </c>
      <c r="K303" s="66" t="s">
        <v>249</v>
      </c>
      <c r="L303" s="66" t="s">
        <v>249</v>
      </c>
      <c r="M303" s="66" t="s">
        <v>311</v>
      </c>
      <c r="N303" s="66" t="s">
        <v>249</v>
      </c>
      <c r="O303" s="273">
        <v>0.15</v>
      </c>
      <c r="P303" s="66" t="s">
        <v>249</v>
      </c>
      <c r="Q303" s="66" t="s">
        <v>249</v>
      </c>
      <c r="R303" s="66" t="s">
        <v>249</v>
      </c>
      <c r="S303" s="66" t="s">
        <v>249</v>
      </c>
      <c r="T303" s="66" t="s">
        <v>249</v>
      </c>
      <c r="U303" s="66" t="s">
        <v>249</v>
      </c>
      <c r="V303" s="66" t="s">
        <v>204</v>
      </c>
      <c r="W303" s="66" t="s">
        <v>204</v>
      </c>
      <c r="X303" s="66" t="s">
        <v>204</v>
      </c>
      <c r="Y303" s="66" t="s">
        <v>204</v>
      </c>
      <c r="Z303" s="140">
        <v>68</v>
      </c>
      <c r="AA303" s="140">
        <v>66</v>
      </c>
      <c r="AB303" s="140">
        <v>0</v>
      </c>
      <c r="AC303" s="140">
        <v>66</v>
      </c>
      <c r="AD303" s="229">
        <v>1</v>
      </c>
      <c r="AE303" s="229">
        <v>1</v>
      </c>
      <c r="AF303" s="113" t="s">
        <v>242</v>
      </c>
      <c r="AG303" s="236">
        <v>66</v>
      </c>
      <c r="AH303" s="163"/>
      <c r="AI303" s="163">
        <v>0</v>
      </c>
      <c r="AJ303" s="163">
        <v>0</v>
      </c>
      <c r="AK303" s="38">
        <f>SUM(AG303:AJ303)</f>
        <v>66</v>
      </c>
      <c r="AL303" s="261">
        <f>IF(AG303+AH303=0,0,SUM(AG303:AH303)/AK303)</f>
        <v>1</v>
      </c>
      <c r="AM303" s="261">
        <f>IF(AG303=0,0,AG303/(SUM(AG303:AI303)))</f>
        <v>1</v>
      </c>
      <c r="AN303" s="75"/>
      <c r="AO303" s="25" t="str">
        <f>_xlfn.XLOOKUP(F303,'TFS Details'!F:F,'TFS Details'!I:I)</f>
        <v>TechSavers</v>
      </c>
      <c r="AP303" s="25" t="str">
        <f>_xlfn.XLOOKUP(AO303,'TFS Details'!I:I,'TFS Details'!AE:AE)</f>
        <v>nityanand.giri</v>
      </c>
    </row>
    <row r="304" spans="1:42">
      <c r="A304" s="24" t="str">
        <f>_xlfn.XLOOKUP(F304,'TFS Details'!F:F,'TFS Details'!D:D)</f>
        <v>IPC Calculator</v>
      </c>
      <c r="B304" s="24" t="str">
        <f>_xlfn.XLOOKUP(F304,'TFS Details'!F:F,'TFS Details'!A:A)</f>
        <v>IPC Calculator | Package and Cost screen UI changes</v>
      </c>
      <c r="C304" s="46">
        <f>_xlfn.XLOOKUP(F304,'TFS Details'!F:F,'TFS Details'!E:E)</f>
        <v>4313249</v>
      </c>
      <c r="D304" s="250" t="s">
        <v>41</v>
      </c>
      <c r="E304" s="163" t="s">
        <v>883</v>
      </c>
      <c r="F304" s="197">
        <v>4373905</v>
      </c>
      <c r="G304" s="66" t="s">
        <v>258</v>
      </c>
      <c r="H304" s="66" t="s">
        <v>259</v>
      </c>
      <c r="I304" s="66" t="s">
        <v>113</v>
      </c>
      <c r="J304" s="66" t="s">
        <v>1</v>
      </c>
      <c r="K304" s="66" t="s">
        <v>249</v>
      </c>
      <c r="L304" s="66" t="s">
        <v>249</v>
      </c>
      <c r="M304" s="66" t="s">
        <v>311</v>
      </c>
      <c r="N304" s="66" t="s">
        <v>249</v>
      </c>
      <c r="O304" s="273">
        <v>0.2</v>
      </c>
      <c r="P304" s="66" t="s">
        <v>249</v>
      </c>
      <c r="Q304" s="66" t="s">
        <v>249</v>
      </c>
      <c r="R304" s="66" t="s">
        <v>249</v>
      </c>
      <c r="S304" s="66" t="s">
        <v>249</v>
      </c>
      <c r="T304" s="66" t="s">
        <v>249</v>
      </c>
      <c r="U304" s="66" t="s">
        <v>249</v>
      </c>
      <c r="V304" s="66" t="s">
        <v>204</v>
      </c>
      <c r="W304" s="66" t="s">
        <v>204</v>
      </c>
      <c r="X304" s="66" t="s">
        <v>17</v>
      </c>
      <c r="Y304" s="66" t="s">
        <v>53</v>
      </c>
      <c r="Z304" s="106">
        <v>40</v>
      </c>
      <c r="AA304" s="106">
        <v>20</v>
      </c>
      <c r="AB304" s="106">
        <v>0</v>
      </c>
      <c r="AC304" s="106">
        <v>20</v>
      </c>
      <c r="AD304" s="228">
        <v>1</v>
      </c>
      <c r="AE304" s="228">
        <v>0.8</v>
      </c>
      <c r="AF304" s="113" t="s">
        <v>242</v>
      </c>
      <c r="AG304" s="236">
        <v>10</v>
      </c>
      <c r="AH304" s="163">
        <v>0</v>
      </c>
      <c r="AI304" s="163">
        <v>0</v>
      </c>
      <c r="AJ304" s="163">
        <v>10</v>
      </c>
      <c r="AK304" s="38">
        <f>SUM(AG304:AJ304)</f>
        <v>20</v>
      </c>
      <c r="AL304" s="261">
        <f>IF(AG304+AH304=0,0,SUM(AG304:AH304)/AK304)</f>
        <v>0.5</v>
      </c>
      <c r="AM304" s="261">
        <f>IF(AG304=0,0,AG304/(SUM(AG304:AI304)))</f>
        <v>1</v>
      </c>
      <c r="AN304" s="25"/>
      <c r="AO304" s="25" t="str">
        <f>_xlfn.XLOOKUP(F304,'TFS Details'!F:F,'TFS Details'!I:I)</f>
        <v>TitansPlus</v>
      </c>
      <c r="AP304" s="25" t="str">
        <f>_xlfn.XLOOKUP(AO304,'TFS Details'!I:I,'TFS Details'!AE:AE)</f>
        <v>nityanand.giri</v>
      </c>
    </row>
    <row r="305" spans="1:42">
      <c r="A305" s="24" t="str">
        <f>_xlfn.XLOOKUP(F305,'TFS Details'!F:F,'TFS Details'!D:D)</f>
        <v>IMS Mobilization Calculator</v>
      </c>
      <c r="B305" s="24" t="str">
        <f>_xlfn.XLOOKUP(F305,'TFS Details'!F:F,'TFS Details'!A:A)</f>
        <v>IMS Mobilization Calculator enablement-Top Down/Bottom Up</v>
      </c>
      <c r="C305" s="46">
        <f>_xlfn.XLOOKUP(F305,'TFS Details'!F:F,'TFS Details'!E:E)</f>
        <v>4386528</v>
      </c>
      <c r="D305" s="250" t="s">
        <v>41</v>
      </c>
      <c r="E305" s="163" t="s">
        <v>884</v>
      </c>
      <c r="F305" s="197">
        <v>4386542</v>
      </c>
      <c r="G305" s="66" t="s">
        <v>885</v>
      </c>
      <c r="H305" s="66" t="s">
        <v>266</v>
      </c>
      <c r="I305" s="66" t="s">
        <v>95</v>
      </c>
      <c r="J305" s="250" t="s">
        <v>20</v>
      </c>
      <c r="K305" s="66" t="s">
        <v>886</v>
      </c>
      <c r="L305" s="66" t="s">
        <v>566</v>
      </c>
      <c r="M305" s="66" t="s">
        <v>249</v>
      </c>
      <c r="N305" s="66" t="s">
        <v>249</v>
      </c>
      <c r="O305" s="273">
        <v>0.05</v>
      </c>
      <c r="P305" s="66" t="s">
        <v>249</v>
      </c>
      <c r="Q305" s="66" t="s">
        <v>249</v>
      </c>
      <c r="R305" s="66" t="s">
        <v>249</v>
      </c>
      <c r="S305" s="66" t="s">
        <v>249</v>
      </c>
      <c r="T305" s="66" t="s">
        <v>249</v>
      </c>
      <c r="U305" s="66" t="s">
        <v>249</v>
      </c>
      <c r="V305" s="201" t="s">
        <v>204</v>
      </c>
      <c r="W305" s="66" t="s">
        <v>204</v>
      </c>
      <c r="X305" s="66" t="s">
        <v>197</v>
      </c>
      <c r="Y305" s="66" t="s">
        <v>183</v>
      </c>
      <c r="Z305" s="106">
        <v>30</v>
      </c>
      <c r="AA305" s="106">
        <v>18</v>
      </c>
      <c r="AB305" s="106">
        <v>2</v>
      </c>
      <c r="AC305" s="106">
        <v>20</v>
      </c>
      <c r="AD305" s="228">
        <v>0.7</v>
      </c>
      <c r="AE305" s="228">
        <v>0.9</v>
      </c>
      <c r="AF305" s="113" t="s">
        <v>242</v>
      </c>
      <c r="AG305" s="236">
        <v>0</v>
      </c>
      <c r="AH305" s="163">
        <v>0</v>
      </c>
      <c r="AI305" s="163">
        <v>0</v>
      </c>
      <c r="AJ305" s="163">
        <v>20</v>
      </c>
      <c r="AK305" s="38">
        <f>SUM(AG305:AJ305)</f>
        <v>20</v>
      </c>
      <c r="AL305" s="261">
        <f>IF(AG305+AH305=0,0,SUM(AG305:AH305)/AK305)</f>
        <v>0</v>
      </c>
      <c r="AM305" s="261">
        <f>IF(AG305=0,0,AG305/(SUM(AG305:AI305)))</f>
        <v>0</v>
      </c>
      <c r="AN305" s="25"/>
      <c r="AO305" s="25" t="str">
        <f>_xlfn.XLOOKUP(F305,'TFS Details'!F:F,'TFS Details'!I:I)</f>
        <v>Everest</v>
      </c>
      <c r="AP305" s="25" t="str">
        <f>_xlfn.XLOOKUP(AO305,'TFS Details'!I:I,'TFS Details'!AE:AE)</f>
        <v>nityanand.giri</v>
      </c>
    </row>
    <row r="306" spans="1:42">
      <c r="A306" s="24" t="str">
        <f>_xlfn.XLOOKUP(F306,'TFS Details'!F:F,'TFS Details'!D:D)</f>
        <v>IMS Mobilization Calculator</v>
      </c>
      <c r="B306" s="24" t="str">
        <f>_xlfn.XLOOKUP(F306,'TFS Details'!F:F,'TFS Details'!A:A)</f>
        <v>IMS Mobilization Calculator enablement-Top Down/Bottom Up</v>
      </c>
      <c r="C306" s="46">
        <f>_xlfn.XLOOKUP(F306,'TFS Details'!F:F,'TFS Details'!E:E)</f>
        <v>4386528</v>
      </c>
      <c r="D306" s="250" t="s">
        <v>41</v>
      </c>
      <c r="E306" s="163" t="s">
        <v>887</v>
      </c>
      <c r="F306" s="197">
        <v>4386543</v>
      </c>
      <c r="G306" s="66" t="s">
        <v>805</v>
      </c>
      <c r="H306" s="66" t="s">
        <v>259</v>
      </c>
      <c r="I306" s="66" t="s">
        <v>249</v>
      </c>
      <c r="J306" s="250" t="s">
        <v>18</v>
      </c>
      <c r="K306" s="66" t="s">
        <v>888</v>
      </c>
      <c r="L306" s="234" t="s">
        <v>30</v>
      </c>
      <c r="M306" s="66"/>
      <c r="N306" s="66" t="s">
        <v>249</v>
      </c>
      <c r="O306" s="66" t="s">
        <v>249</v>
      </c>
      <c r="P306" s="66" t="s">
        <v>249</v>
      </c>
      <c r="Q306" s="66" t="s">
        <v>249</v>
      </c>
      <c r="R306" s="66" t="s">
        <v>249</v>
      </c>
      <c r="S306" s="66" t="s">
        <v>249</v>
      </c>
      <c r="T306" s="66" t="s">
        <v>249</v>
      </c>
      <c r="U306" s="66" t="s">
        <v>249</v>
      </c>
      <c r="V306" s="201" t="s">
        <v>204</v>
      </c>
      <c r="W306" s="66" t="s">
        <v>204</v>
      </c>
      <c r="X306" s="66" t="s">
        <v>204</v>
      </c>
      <c r="Y306" s="66" t="s">
        <v>197</v>
      </c>
      <c r="Z306" s="106">
        <v>24</v>
      </c>
      <c r="AA306" s="106">
        <v>21</v>
      </c>
      <c r="AB306" s="106">
        <v>1</v>
      </c>
      <c r="AC306" s="106" t="s">
        <v>249</v>
      </c>
      <c r="AD306" s="228">
        <v>0.9</v>
      </c>
      <c r="AE306" s="228">
        <v>0.8</v>
      </c>
      <c r="AF306" s="113" t="s">
        <v>242</v>
      </c>
      <c r="AG306" s="236">
        <v>0</v>
      </c>
      <c r="AH306" s="163">
        <v>0</v>
      </c>
      <c r="AI306" s="163">
        <v>0</v>
      </c>
      <c r="AJ306" s="163">
        <v>22</v>
      </c>
      <c r="AK306" s="38">
        <f>SUM(AG306:AJ306)</f>
        <v>22</v>
      </c>
      <c r="AL306" s="261">
        <f>IF(AG306+AH306=0,0,SUM(AG306:AH306)/AK306)</f>
        <v>0</v>
      </c>
      <c r="AM306" s="261">
        <f>IF(AG306=0,0,AG306/(SUM(AG306:AI306)))</f>
        <v>0</v>
      </c>
      <c r="AN306" s="25"/>
      <c r="AO306" s="25" t="str">
        <f>_xlfn.XLOOKUP(F306,'TFS Details'!F:F,'TFS Details'!I:I)</f>
        <v>Everest</v>
      </c>
      <c r="AP306" s="25" t="str">
        <f>_xlfn.XLOOKUP(AO306,'TFS Details'!I:I,'TFS Details'!AE:AE)</f>
        <v>nityanand.giri</v>
      </c>
    </row>
    <row r="307" spans="1:42">
      <c r="A307" s="24" t="str">
        <f>_xlfn.XLOOKUP(F307,'TFS Details'!F:F,'TFS Details'!D:D)</f>
        <v>IMS Mobilization Calculator</v>
      </c>
      <c r="B307" s="24" t="str">
        <f>_xlfn.XLOOKUP(F307,'TFS Details'!F:F,'TFS Details'!A:A)</f>
        <v>IMS Mobilization Calculator enablement-Top Down/Bottom Up</v>
      </c>
      <c r="C307" s="46">
        <f>_xlfn.XLOOKUP(F307,'TFS Details'!F:F,'TFS Details'!E:E)</f>
        <v>4386528</v>
      </c>
      <c r="D307" s="250" t="s">
        <v>41</v>
      </c>
      <c r="E307" s="163" t="s">
        <v>889</v>
      </c>
      <c r="F307" s="197">
        <v>4386544</v>
      </c>
      <c r="G307" s="66" t="s">
        <v>258</v>
      </c>
      <c r="H307" s="66" t="s">
        <v>817</v>
      </c>
      <c r="I307" s="66"/>
      <c r="J307" s="250" t="s">
        <v>18</v>
      </c>
      <c r="K307" s="252" t="s">
        <v>890</v>
      </c>
      <c r="L307" s="66" t="s">
        <v>30</v>
      </c>
      <c r="M307" s="66" t="s">
        <v>311</v>
      </c>
      <c r="N307" s="66" t="s">
        <v>249</v>
      </c>
      <c r="O307" s="273"/>
      <c r="P307" s="66" t="s">
        <v>249</v>
      </c>
      <c r="Q307" s="66" t="s">
        <v>249</v>
      </c>
      <c r="R307" s="66" t="s">
        <v>249</v>
      </c>
      <c r="S307" s="66" t="s">
        <v>249</v>
      </c>
      <c r="T307" s="66" t="s">
        <v>249</v>
      </c>
      <c r="U307" s="66" t="s">
        <v>249</v>
      </c>
      <c r="V307" s="66" t="s">
        <v>204</v>
      </c>
      <c r="W307" s="66" t="s">
        <v>204</v>
      </c>
      <c r="X307" s="66" t="s">
        <v>17</v>
      </c>
      <c r="Y307" s="66" t="s">
        <v>197</v>
      </c>
      <c r="Z307" s="106">
        <v>53</v>
      </c>
      <c r="AA307" s="106">
        <v>42</v>
      </c>
      <c r="AB307" s="106">
        <v>0</v>
      </c>
      <c r="AC307" s="106">
        <v>42</v>
      </c>
      <c r="AD307" s="228">
        <v>1</v>
      </c>
      <c r="AE307" s="228">
        <v>0.9</v>
      </c>
      <c r="AF307" s="113" t="s">
        <v>242</v>
      </c>
      <c r="AG307" s="236">
        <v>0</v>
      </c>
      <c r="AH307" s="163">
        <v>0</v>
      </c>
      <c r="AI307" s="163">
        <v>0</v>
      </c>
      <c r="AJ307" s="163">
        <v>42</v>
      </c>
      <c r="AK307" s="38">
        <f>SUM(AG307:AJ307)</f>
        <v>42</v>
      </c>
      <c r="AL307" s="261">
        <f>IF(AG307+AH307=0,0,SUM(AG307:AH307)/AK307)</f>
        <v>0</v>
      </c>
      <c r="AM307" s="261">
        <f>IF(AG307=0,0,AG307/(SUM(AG307:AI307)))</f>
        <v>0</v>
      </c>
      <c r="AN307" s="25"/>
      <c r="AO307" s="25" t="str">
        <f>_xlfn.XLOOKUP(F307,'TFS Details'!F:F,'TFS Details'!I:I)</f>
        <v>Everest</v>
      </c>
      <c r="AP307" s="25" t="str">
        <f>_xlfn.XLOOKUP(AO307,'TFS Details'!I:I,'TFS Details'!AE:AE)</f>
        <v>nityanand.giri</v>
      </c>
    </row>
    <row r="308" spans="1:42">
      <c r="A308" s="24" t="str">
        <f>_xlfn.XLOOKUP(F308,'TFS Details'!F:F,'TFS Details'!D:D)</f>
        <v>IMS Mobilization Calculator</v>
      </c>
      <c r="B308" s="24" t="str">
        <f>_xlfn.XLOOKUP(F308,'TFS Details'!F:F,'TFS Details'!A:A)</f>
        <v>IMS Mobilization Calculator enablement-Top Down/Bottom Up</v>
      </c>
      <c r="C308" s="46">
        <f>_xlfn.XLOOKUP(F308,'TFS Details'!F:F,'TFS Details'!E:E)</f>
        <v>4386528</v>
      </c>
      <c r="D308" s="250" t="s">
        <v>41</v>
      </c>
      <c r="E308" s="163" t="s">
        <v>891</v>
      </c>
      <c r="F308" s="197">
        <v>4386545</v>
      </c>
      <c r="G308" s="66" t="s">
        <v>259</v>
      </c>
      <c r="H308" s="66" t="s">
        <v>816</v>
      </c>
      <c r="I308" s="66" t="s">
        <v>249</v>
      </c>
      <c r="J308" s="250" t="s">
        <v>18</v>
      </c>
      <c r="K308" s="66" t="s">
        <v>892</v>
      </c>
      <c r="L308" s="234" t="s">
        <v>30</v>
      </c>
      <c r="M308" s="66" t="s">
        <v>311</v>
      </c>
      <c r="N308" s="66" t="s">
        <v>249</v>
      </c>
      <c r="O308" s="66" t="s">
        <v>249</v>
      </c>
      <c r="P308" s="66" t="s">
        <v>249</v>
      </c>
      <c r="Q308" s="66" t="s">
        <v>249</v>
      </c>
      <c r="R308" s="66" t="s">
        <v>249</v>
      </c>
      <c r="S308" s="66" t="s">
        <v>249</v>
      </c>
      <c r="T308" s="66" t="s">
        <v>249</v>
      </c>
      <c r="U308" s="66" t="s">
        <v>249</v>
      </c>
      <c r="V308" s="66" t="s">
        <v>204</v>
      </c>
      <c r="W308" s="66" t="s">
        <v>204</v>
      </c>
      <c r="X308" s="66" t="s">
        <v>197</v>
      </c>
      <c r="Y308" s="66" t="s">
        <v>197</v>
      </c>
      <c r="Z308" s="106">
        <v>41</v>
      </c>
      <c r="AA308" s="106">
        <v>29</v>
      </c>
      <c r="AB308" s="106">
        <v>0</v>
      </c>
      <c r="AC308" s="106">
        <v>29</v>
      </c>
      <c r="AD308" s="228">
        <v>1</v>
      </c>
      <c r="AE308" s="228">
        <v>0.85</v>
      </c>
      <c r="AF308" s="113" t="s">
        <v>242</v>
      </c>
      <c r="AG308" s="236">
        <v>0</v>
      </c>
      <c r="AH308" s="163">
        <v>0</v>
      </c>
      <c r="AI308" s="163">
        <v>0</v>
      </c>
      <c r="AJ308" s="163">
        <v>29</v>
      </c>
      <c r="AK308" s="38">
        <f>SUM(AG308:AJ308)</f>
        <v>29</v>
      </c>
      <c r="AL308" s="261">
        <f>IF(AG308+AH308=0,0,SUM(AG308:AH308)/AK308)</f>
        <v>0</v>
      </c>
      <c r="AM308" s="261">
        <f>IF(AG308=0,0,AG308/(SUM(AG308:AI308)))</f>
        <v>0</v>
      </c>
      <c r="AN308" s="25"/>
      <c r="AO308" s="25" t="str">
        <f>_xlfn.XLOOKUP(F308,'TFS Details'!F:F,'TFS Details'!I:I)</f>
        <v>Everest</v>
      </c>
      <c r="AP308" s="25" t="str">
        <f>_xlfn.XLOOKUP(AO308,'TFS Details'!I:I,'TFS Details'!AE:AE)</f>
        <v>nityanand.giri</v>
      </c>
    </row>
    <row r="309" spans="1:42">
      <c r="A309" s="24" t="str">
        <f>_xlfn.XLOOKUP(F309,'TFS Details'!F:F,'TFS Details'!D:D)</f>
        <v>IMS Mobilization Calculator</v>
      </c>
      <c r="B309" s="24" t="str">
        <f>_xlfn.XLOOKUP(F309,'TFS Details'!F:F,'TFS Details'!A:A)</f>
        <v>IMS Mobilization Calculator enablement-Top Down/Bottom Up</v>
      </c>
      <c r="C309" s="46">
        <f>_xlfn.XLOOKUP(F309,'TFS Details'!F:F,'TFS Details'!E:E)</f>
        <v>4386528</v>
      </c>
      <c r="D309" s="250" t="s">
        <v>41</v>
      </c>
      <c r="E309" s="163" t="s">
        <v>893</v>
      </c>
      <c r="F309" s="197">
        <v>4386548</v>
      </c>
      <c r="G309" s="66" t="s">
        <v>816</v>
      </c>
      <c r="H309" s="66" t="s">
        <v>817</v>
      </c>
      <c r="I309" s="66" t="s">
        <v>124</v>
      </c>
      <c r="J309" s="66" t="s">
        <v>1</v>
      </c>
      <c r="K309" s="66" t="s">
        <v>249</v>
      </c>
      <c r="L309" s="66" t="s">
        <v>249</v>
      </c>
      <c r="M309" s="66" t="s">
        <v>461</v>
      </c>
      <c r="N309" s="66" t="s">
        <v>249</v>
      </c>
      <c r="O309" s="273">
        <v>0.03</v>
      </c>
      <c r="P309" s="66" t="s">
        <v>249</v>
      </c>
      <c r="Q309" s="66" t="s">
        <v>249</v>
      </c>
      <c r="R309" s="66" t="s">
        <v>249</v>
      </c>
      <c r="S309" s="66" t="s">
        <v>249</v>
      </c>
      <c r="T309" s="66" t="s">
        <v>249</v>
      </c>
      <c r="U309" s="66" t="s">
        <v>249</v>
      </c>
      <c r="V309" s="66" t="s">
        <v>204</v>
      </c>
      <c r="W309" s="66" t="s">
        <v>204</v>
      </c>
      <c r="X309" s="66" t="s">
        <v>204</v>
      </c>
      <c r="Y309" s="66" t="s">
        <v>197</v>
      </c>
      <c r="Z309" s="106">
        <v>95</v>
      </c>
      <c r="AA309" s="106">
        <v>44</v>
      </c>
      <c r="AB309" s="106">
        <v>0</v>
      </c>
      <c r="AC309" s="106">
        <v>44</v>
      </c>
      <c r="AD309" s="228">
        <v>1</v>
      </c>
      <c r="AE309" s="228">
        <v>1</v>
      </c>
      <c r="AF309" s="113" t="s">
        <v>242</v>
      </c>
      <c r="AG309" s="236">
        <v>0</v>
      </c>
      <c r="AH309" s="163">
        <v>0</v>
      </c>
      <c r="AI309" s="163">
        <v>0</v>
      </c>
      <c r="AJ309" s="163">
        <v>44</v>
      </c>
      <c r="AK309" s="38">
        <f>SUM(AG309:AJ309)</f>
        <v>44</v>
      </c>
      <c r="AL309" s="261">
        <f>IF(AG309+AH309=0,0,SUM(AG309:AH309)/AK309)</f>
        <v>0</v>
      </c>
      <c r="AM309" s="261">
        <f>IF(AG309=0,0,AG309/(SUM(AG309:AI309)))</f>
        <v>0</v>
      </c>
      <c r="AN309" s="25"/>
      <c r="AO309" s="25" t="str">
        <f>_xlfn.XLOOKUP(F309,'TFS Details'!F:F,'TFS Details'!I:I)</f>
        <v>Everest</v>
      </c>
      <c r="AP309" s="25" t="str">
        <f>_xlfn.XLOOKUP(AO309,'TFS Details'!I:I,'TFS Details'!AE:AE)</f>
        <v>nityanand.giri</v>
      </c>
    </row>
    <row r="310" spans="1:42">
      <c r="A310" s="24" t="str">
        <f>_xlfn.XLOOKUP(F310,'TFS Details'!F:F,'TFS Details'!D:D)</f>
        <v>IMS Mobilization Calculator</v>
      </c>
      <c r="B310" s="24" t="str">
        <f>_xlfn.XLOOKUP(F310,'TFS Details'!F:F,'TFS Details'!A:A)</f>
        <v>IMS Mobilization Calculator enablement-Top Down/Bottom Up</v>
      </c>
      <c r="C310" s="46">
        <f>_xlfn.XLOOKUP(F310,'TFS Details'!F:F,'TFS Details'!E:E)</f>
        <v>4386528</v>
      </c>
      <c r="D310" s="250" t="s">
        <v>41</v>
      </c>
      <c r="E310" s="163" t="s">
        <v>894</v>
      </c>
      <c r="F310" s="197">
        <v>4386549</v>
      </c>
      <c r="G310" s="66" t="s">
        <v>817</v>
      </c>
      <c r="H310" s="66" t="s">
        <v>259</v>
      </c>
      <c r="I310" s="66" t="s">
        <v>121</v>
      </c>
      <c r="J310" s="66" t="s">
        <v>20</v>
      </c>
      <c r="K310" s="66"/>
      <c r="L310" s="66"/>
      <c r="M310" s="66" t="s">
        <v>461</v>
      </c>
      <c r="N310" s="66" t="s">
        <v>249</v>
      </c>
      <c r="O310" s="273">
        <v>0.05</v>
      </c>
      <c r="P310" s="66" t="s">
        <v>249</v>
      </c>
      <c r="Q310" s="66" t="s">
        <v>249</v>
      </c>
      <c r="R310" s="66" t="s">
        <v>249</v>
      </c>
      <c r="S310" s="66" t="s">
        <v>249</v>
      </c>
      <c r="T310" s="66" t="s">
        <v>249</v>
      </c>
      <c r="U310" s="66" t="s">
        <v>249</v>
      </c>
      <c r="V310" s="66" t="s">
        <v>204</v>
      </c>
      <c r="W310" s="66" t="s">
        <v>204</v>
      </c>
      <c r="X310" s="66" t="s">
        <v>204</v>
      </c>
      <c r="Y310" s="66" t="s">
        <v>197</v>
      </c>
      <c r="Z310" s="106">
        <v>40</v>
      </c>
      <c r="AA310" s="106">
        <v>10</v>
      </c>
      <c r="AB310" s="106">
        <v>22</v>
      </c>
      <c r="AC310" s="106">
        <v>32</v>
      </c>
      <c r="AD310" s="228">
        <v>0.5</v>
      </c>
      <c r="AE310" s="228">
        <v>0.5</v>
      </c>
      <c r="AF310" s="113" t="s">
        <v>242</v>
      </c>
      <c r="AG310" s="236">
        <v>0</v>
      </c>
      <c r="AH310" s="163">
        <v>0</v>
      </c>
      <c r="AI310" s="163">
        <v>0</v>
      </c>
      <c r="AJ310" s="163">
        <v>32</v>
      </c>
      <c r="AK310" s="38">
        <f>SUM(AG310:AJ310)</f>
        <v>32</v>
      </c>
      <c r="AL310" s="261">
        <f>IF(AG310+AH310=0,0,SUM(AG310:AH310)/AK310)</f>
        <v>0</v>
      </c>
      <c r="AM310" s="261">
        <f>IF(AG310=0,0,AG310/(SUM(AG310:AI310)))</f>
        <v>0</v>
      </c>
      <c r="AN310" s="25"/>
      <c r="AO310" s="25" t="str">
        <f>_xlfn.XLOOKUP(F310,'TFS Details'!F:F,'TFS Details'!I:I)</f>
        <v>Everest</v>
      </c>
      <c r="AP310" s="25" t="str">
        <f>_xlfn.XLOOKUP(AO310,'TFS Details'!I:I,'TFS Details'!AE:AE)</f>
        <v>nityanand.giri</v>
      </c>
    </row>
    <row r="311" spans="1:42">
      <c r="A311" s="24" t="str">
        <f>_xlfn.XLOOKUP(F311,'TFS Details'!F:F,'TFS Details'!D:D)</f>
        <v>IMS Mobilization Calculator</v>
      </c>
      <c r="B311" s="24" t="str">
        <f>_xlfn.XLOOKUP(F311,'TFS Details'!F:F,'TFS Details'!A:A)</f>
        <v>IMS Mobilization Calculator enablement-Top Down/Bottom Up</v>
      </c>
      <c r="C311" s="46">
        <f>_xlfn.XLOOKUP(F311,'TFS Details'!F:F,'TFS Details'!E:E)</f>
        <v>4386528</v>
      </c>
      <c r="D311" s="250" t="s">
        <v>41</v>
      </c>
      <c r="E311" s="163" t="s">
        <v>895</v>
      </c>
      <c r="F311" s="197">
        <v>4386552</v>
      </c>
      <c r="G311" s="66" t="s">
        <v>817</v>
      </c>
      <c r="H311" s="66" t="s">
        <v>259</v>
      </c>
      <c r="I311" s="66" t="s">
        <v>249</v>
      </c>
      <c r="J311" s="250" t="s">
        <v>18</v>
      </c>
      <c r="K311" s="234" t="s">
        <v>840</v>
      </c>
      <c r="L311" s="234" t="s">
        <v>30</v>
      </c>
      <c r="M311" s="252" t="s">
        <v>841</v>
      </c>
      <c r="N311" s="66" t="s">
        <v>249</v>
      </c>
      <c r="O311" s="66" t="s">
        <v>249</v>
      </c>
      <c r="P311" s="66" t="s">
        <v>249</v>
      </c>
      <c r="Q311" s="66" t="s">
        <v>249</v>
      </c>
      <c r="R311" s="66" t="s">
        <v>249</v>
      </c>
      <c r="S311" s="66" t="s">
        <v>249</v>
      </c>
      <c r="T311" s="66" t="s">
        <v>249</v>
      </c>
      <c r="U311" s="66" t="s">
        <v>249</v>
      </c>
      <c r="V311" s="66" t="s">
        <v>204</v>
      </c>
      <c r="W311" s="66" t="s">
        <v>204</v>
      </c>
      <c r="X311" s="66" t="s">
        <v>204</v>
      </c>
      <c r="Y311" s="66" t="s">
        <v>197</v>
      </c>
      <c r="Z311" s="106">
        <v>42</v>
      </c>
      <c r="AA311" s="106">
        <v>25</v>
      </c>
      <c r="AB311" s="106">
        <v>6</v>
      </c>
      <c r="AC311" s="106">
        <v>31</v>
      </c>
      <c r="AD311" s="228">
        <v>0.9</v>
      </c>
      <c r="AE311" s="228">
        <v>0.9</v>
      </c>
      <c r="AF311" s="113" t="s">
        <v>242</v>
      </c>
      <c r="AG311" s="236">
        <v>0</v>
      </c>
      <c r="AH311" s="163">
        <v>0</v>
      </c>
      <c r="AI311" s="163">
        <v>0</v>
      </c>
      <c r="AJ311" s="163">
        <v>31</v>
      </c>
      <c r="AK311" s="38">
        <f>SUM(AG311:AJ311)</f>
        <v>31</v>
      </c>
      <c r="AL311" s="261">
        <f>IF(AG311+AH311=0,0,SUM(AG311:AH311)/AK311)</f>
        <v>0</v>
      </c>
      <c r="AM311" s="261">
        <f>IF(AG311=0,0,AG311/(SUM(AG311:AI311)))</f>
        <v>0</v>
      </c>
      <c r="AN311" s="25"/>
      <c r="AO311" s="25" t="str">
        <f>_xlfn.XLOOKUP(F311,'TFS Details'!F:F,'TFS Details'!I:I)</f>
        <v>Everest</v>
      </c>
      <c r="AP311" s="25" t="str">
        <f>_xlfn.XLOOKUP(AO311,'TFS Details'!I:I,'TFS Details'!AE:AE)</f>
        <v>nityanand.giri</v>
      </c>
    </row>
    <row r="312" spans="1:42">
      <c r="A312" s="24" t="str">
        <f>_xlfn.XLOOKUP(F312,'TFS Details'!F:F,'TFS Details'!D:D)</f>
        <v>IMS Mobilization Calculator</v>
      </c>
      <c r="B312" s="24" t="str">
        <f>_xlfn.XLOOKUP(F312,'TFS Details'!F:F,'TFS Details'!A:A)</f>
        <v>IMS Mobilization Calculator enablement-Top Down/Bottom Up</v>
      </c>
      <c r="C312" s="46">
        <f>_xlfn.XLOOKUP(F312,'TFS Details'!F:F,'TFS Details'!E:E)</f>
        <v>4386528</v>
      </c>
      <c r="D312" s="250" t="s">
        <v>41</v>
      </c>
      <c r="E312" s="163" t="s">
        <v>896</v>
      </c>
      <c r="F312" s="197">
        <v>4386553</v>
      </c>
      <c r="G312" s="66" t="s">
        <v>885</v>
      </c>
      <c r="H312" s="66" t="s">
        <v>266</v>
      </c>
      <c r="I312" s="66" t="s">
        <v>95</v>
      </c>
      <c r="J312" s="250" t="s">
        <v>20</v>
      </c>
      <c r="K312" s="101" t="s">
        <v>897</v>
      </c>
      <c r="L312" s="66" t="s">
        <v>30</v>
      </c>
      <c r="M312" s="66" t="s">
        <v>249</v>
      </c>
      <c r="N312" s="66" t="s">
        <v>249</v>
      </c>
      <c r="O312" s="273">
        <v>0.05</v>
      </c>
      <c r="P312" s="66" t="s">
        <v>249</v>
      </c>
      <c r="Q312" s="66" t="s">
        <v>249</v>
      </c>
      <c r="R312" s="66" t="s">
        <v>249</v>
      </c>
      <c r="S312" s="66" t="s">
        <v>249</v>
      </c>
      <c r="T312" s="66" t="s">
        <v>249</v>
      </c>
      <c r="U312" s="66" t="s">
        <v>249</v>
      </c>
      <c r="V312" s="201" t="s">
        <v>204</v>
      </c>
      <c r="W312" s="66" t="s">
        <v>204</v>
      </c>
      <c r="X312" s="66" t="s">
        <v>197</v>
      </c>
      <c r="Y312" s="66" t="s">
        <v>216</v>
      </c>
      <c r="Z312" s="106">
        <v>40</v>
      </c>
      <c r="AA312" s="106">
        <v>14</v>
      </c>
      <c r="AB312" s="106">
        <v>3</v>
      </c>
      <c r="AC312" s="106">
        <v>17</v>
      </c>
      <c r="AD312" s="228">
        <v>0.7</v>
      </c>
      <c r="AE312" s="228">
        <v>0.8</v>
      </c>
      <c r="AF312" s="113" t="s">
        <v>242</v>
      </c>
      <c r="AG312" s="236">
        <v>0</v>
      </c>
      <c r="AH312" s="163">
        <v>0</v>
      </c>
      <c r="AI312" s="163">
        <v>0</v>
      </c>
      <c r="AJ312" s="163">
        <v>17</v>
      </c>
      <c r="AK312" s="38">
        <f>SUM(AG312:AJ312)</f>
        <v>17</v>
      </c>
      <c r="AL312" s="261">
        <f>IF(AG312+AH312=0,0,SUM(AG312:AH312)/AK312)</f>
        <v>0</v>
      </c>
      <c r="AM312" s="261">
        <f>IF(AG312=0,0,AG312/(SUM(AG312:AI312)))</f>
        <v>0</v>
      </c>
      <c r="AN312" s="25"/>
      <c r="AO312" s="25" t="str">
        <f>_xlfn.XLOOKUP(F312,'TFS Details'!F:F,'TFS Details'!I:I)</f>
        <v>Everest</v>
      </c>
      <c r="AP312" s="25" t="str">
        <f>_xlfn.XLOOKUP(AO312,'TFS Details'!I:I,'TFS Details'!AE:AE)</f>
        <v>nityanand.giri</v>
      </c>
    </row>
    <row r="313" spans="1:42">
      <c r="A313" s="24" t="str">
        <f>_xlfn.XLOOKUP(F313,'TFS Details'!F:F,'TFS Details'!D:D)</f>
        <v>IMS Mobilization Calculator</v>
      </c>
      <c r="B313" s="24" t="str">
        <f>_xlfn.XLOOKUP(F313,'TFS Details'!F:F,'TFS Details'!A:A)</f>
        <v>IMS Mobilization Calculator enablement-Top Down/Bottom Up</v>
      </c>
      <c r="C313" s="46">
        <f>_xlfn.XLOOKUP(F313,'TFS Details'!F:F,'TFS Details'!E:E)</f>
        <v>4386528</v>
      </c>
      <c r="D313" s="250" t="s">
        <v>41</v>
      </c>
      <c r="E313" s="163" t="s">
        <v>898</v>
      </c>
      <c r="F313" s="197">
        <v>4386555</v>
      </c>
      <c r="G313" s="66" t="s">
        <v>816</v>
      </c>
      <c r="H313" s="66" t="s">
        <v>259</v>
      </c>
      <c r="I313" s="66" t="s">
        <v>249</v>
      </c>
      <c r="J313" s="250" t="s">
        <v>18</v>
      </c>
      <c r="K313" s="66" t="s">
        <v>888</v>
      </c>
      <c r="L313" s="66" t="s">
        <v>30</v>
      </c>
      <c r="M313" s="66" t="s">
        <v>249</v>
      </c>
      <c r="N313" s="66" t="s">
        <v>249</v>
      </c>
      <c r="O313" s="66" t="s">
        <v>249</v>
      </c>
      <c r="P313" s="66" t="s">
        <v>249</v>
      </c>
      <c r="Q313" s="66" t="s">
        <v>249</v>
      </c>
      <c r="R313" s="66" t="s">
        <v>249</v>
      </c>
      <c r="S313" s="66" t="s">
        <v>249</v>
      </c>
      <c r="T313" s="66" t="s">
        <v>249</v>
      </c>
      <c r="U313" s="66" t="s">
        <v>249</v>
      </c>
      <c r="V313" s="66" t="s">
        <v>204</v>
      </c>
      <c r="W313" s="66" t="s">
        <v>204</v>
      </c>
      <c r="X313" s="66" t="s">
        <v>204</v>
      </c>
      <c r="Y313" s="66" t="s">
        <v>197</v>
      </c>
      <c r="Z313" s="106">
        <v>75</v>
      </c>
      <c r="AA313" s="106">
        <v>40</v>
      </c>
      <c r="AB313" s="106">
        <v>0</v>
      </c>
      <c r="AC313" s="106">
        <v>40</v>
      </c>
      <c r="AD313" s="228">
        <v>1</v>
      </c>
      <c r="AE313" s="228">
        <v>1</v>
      </c>
      <c r="AF313" s="113" t="s">
        <v>242</v>
      </c>
      <c r="AG313" s="236">
        <v>0</v>
      </c>
      <c r="AH313" s="163">
        <v>0</v>
      </c>
      <c r="AI313" s="163">
        <v>0</v>
      </c>
      <c r="AJ313" s="163">
        <v>40</v>
      </c>
      <c r="AK313" s="38">
        <f>SUM(AG313:AJ313)</f>
        <v>40</v>
      </c>
      <c r="AL313" s="261">
        <f>IF(AG313+AH313=0,0,SUM(AG313:AH313)/AK313)</f>
        <v>0</v>
      </c>
      <c r="AM313" s="261">
        <f>IF(AG313=0,0,AG313/(SUM(AG313:AI313)))</f>
        <v>0</v>
      </c>
      <c r="AN313" s="25"/>
      <c r="AO313" s="25" t="str">
        <f>_xlfn.XLOOKUP(F313,'TFS Details'!F:F,'TFS Details'!I:I)</f>
        <v>Everest</v>
      </c>
      <c r="AP313" s="25" t="str">
        <f>_xlfn.XLOOKUP(AO313,'TFS Details'!I:I,'TFS Details'!AE:AE)</f>
        <v>nityanand.giri</v>
      </c>
    </row>
    <row r="314" spans="1:42">
      <c r="A314" s="24" t="str">
        <f>_xlfn.XLOOKUP(F314,'TFS Details'!F:F,'TFS Details'!D:D)</f>
        <v>IMS Mobilization Calculator</v>
      </c>
      <c r="B314" s="24" t="str">
        <f>_xlfn.XLOOKUP(F314,'TFS Details'!F:F,'TFS Details'!A:A)</f>
        <v>IMS Mobilization Calculator enablement-Top Down/Bottom Up</v>
      </c>
      <c r="C314" s="46">
        <f>_xlfn.XLOOKUP(F314,'TFS Details'!F:F,'TFS Details'!E:E)</f>
        <v>4386528</v>
      </c>
      <c r="D314" s="250" t="s">
        <v>41</v>
      </c>
      <c r="E314" s="163" t="s">
        <v>899</v>
      </c>
      <c r="F314" s="197">
        <v>4389872</v>
      </c>
      <c r="G314" s="66" t="s">
        <v>816</v>
      </c>
      <c r="H314" s="66" t="s">
        <v>259</v>
      </c>
      <c r="I314" s="66" t="s">
        <v>249</v>
      </c>
      <c r="J314" s="250" t="s">
        <v>18</v>
      </c>
      <c r="K314" s="66" t="s">
        <v>888</v>
      </c>
      <c r="L314" s="66" t="s">
        <v>30</v>
      </c>
      <c r="M314" s="66" t="s">
        <v>249</v>
      </c>
      <c r="N314" s="66" t="s">
        <v>249</v>
      </c>
      <c r="O314" s="66" t="s">
        <v>249</v>
      </c>
      <c r="P314" s="66" t="s">
        <v>249</v>
      </c>
      <c r="Q314" s="66" t="s">
        <v>249</v>
      </c>
      <c r="R314" s="66" t="s">
        <v>249</v>
      </c>
      <c r="S314" s="66" t="s">
        <v>249</v>
      </c>
      <c r="T314" s="66" t="s">
        <v>249</v>
      </c>
      <c r="U314" s="66" t="s">
        <v>249</v>
      </c>
      <c r="V314" s="66" t="s">
        <v>204</v>
      </c>
      <c r="W314" s="66" t="s">
        <v>204</v>
      </c>
      <c r="X314" s="66" t="s">
        <v>204</v>
      </c>
      <c r="Y314" s="66" t="s">
        <v>197</v>
      </c>
      <c r="Z314" s="106">
        <v>52</v>
      </c>
      <c r="AA314" s="106">
        <v>17</v>
      </c>
      <c r="AB314" s="106">
        <v>0</v>
      </c>
      <c r="AC314" s="106">
        <v>17</v>
      </c>
      <c r="AD314" s="228">
        <v>1</v>
      </c>
      <c r="AE314" s="228">
        <v>1</v>
      </c>
      <c r="AF314" s="113" t="s">
        <v>242</v>
      </c>
      <c r="AG314" s="236">
        <v>0</v>
      </c>
      <c r="AH314" s="163">
        <v>0</v>
      </c>
      <c r="AI314" s="163">
        <v>0</v>
      </c>
      <c r="AJ314" s="163">
        <v>17</v>
      </c>
      <c r="AK314" s="38">
        <f>SUM(AG314:AJ314)</f>
        <v>17</v>
      </c>
      <c r="AL314" s="261">
        <f>IF(AG314+AH314=0,0,SUM(AG314:AH314)/AK314)</f>
        <v>0</v>
      </c>
      <c r="AM314" s="261">
        <f>IF(AG314=0,0,AG314/(SUM(AG314:AI314)))</f>
        <v>0</v>
      </c>
      <c r="AN314" s="25"/>
      <c r="AO314" s="25" t="str">
        <f>_xlfn.XLOOKUP(F314,'TFS Details'!F:F,'TFS Details'!I:I)</f>
        <v>Everest</v>
      </c>
      <c r="AP314" s="25" t="str">
        <f>_xlfn.XLOOKUP(AO314,'TFS Details'!I:I,'TFS Details'!AE:AE)</f>
        <v>nityanand.giri</v>
      </c>
    </row>
    <row r="315" spans="1:42">
      <c r="A315" s="24" t="str">
        <f>_xlfn.XLOOKUP(F315,'TFS Details'!F:F,'TFS Details'!D:D)</f>
        <v>IPC Calculator</v>
      </c>
      <c r="B315" s="24" t="str">
        <f>_xlfn.XLOOKUP(F315,'TFS Details'!F:F,'TFS Details'!A:A)</f>
        <v>IPC Calculator | Cost Update to Standard Package</v>
      </c>
      <c r="C315" s="46">
        <f>_xlfn.XLOOKUP(F315,'TFS Details'!F:F,'TFS Details'!E:E)</f>
        <v>4341363</v>
      </c>
      <c r="D315" s="250" t="s">
        <v>41</v>
      </c>
      <c r="E315" s="163" t="s">
        <v>900</v>
      </c>
      <c r="F315" s="197">
        <v>4394479</v>
      </c>
      <c r="G315" s="66" t="s">
        <v>266</v>
      </c>
      <c r="H315" s="66" t="s">
        <v>816</v>
      </c>
      <c r="I315" s="66" t="s">
        <v>249</v>
      </c>
      <c r="J315" s="250" t="s">
        <v>18</v>
      </c>
      <c r="K315" s="66" t="s">
        <v>901</v>
      </c>
      <c r="L315" s="234" t="s">
        <v>30</v>
      </c>
      <c r="M315" s="66" t="s">
        <v>249</v>
      </c>
      <c r="N315" s="66" t="s">
        <v>249</v>
      </c>
      <c r="O315" s="66" t="s">
        <v>249</v>
      </c>
      <c r="P315" s="66" t="s">
        <v>249</v>
      </c>
      <c r="Q315" s="66" t="s">
        <v>249</v>
      </c>
      <c r="R315" s="66" t="s">
        <v>249</v>
      </c>
      <c r="S315" s="66" t="s">
        <v>249</v>
      </c>
      <c r="T315" s="66" t="s">
        <v>249</v>
      </c>
      <c r="U315" s="66" t="s">
        <v>249</v>
      </c>
      <c r="V315" s="66" t="s">
        <v>204</v>
      </c>
      <c r="W315" s="66" t="s">
        <v>204</v>
      </c>
      <c r="X315" s="66" t="s">
        <v>197</v>
      </c>
      <c r="Y315" s="66" t="s">
        <v>216</v>
      </c>
      <c r="Z315" s="106">
        <v>27</v>
      </c>
      <c r="AA315" s="106">
        <v>25</v>
      </c>
      <c r="AB315" s="106">
        <v>0</v>
      </c>
      <c r="AC315" s="106">
        <v>25</v>
      </c>
      <c r="AD315" s="228">
        <v>0.9</v>
      </c>
      <c r="AE315" s="228">
        <v>0.9</v>
      </c>
      <c r="AF315" s="113" t="s">
        <v>242</v>
      </c>
      <c r="AG315" s="236">
        <v>10</v>
      </c>
      <c r="AH315" s="163">
        <v>0</v>
      </c>
      <c r="AI315" s="163">
        <v>0</v>
      </c>
      <c r="AJ315" s="163">
        <v>10</v>
      </c>
      <c r="AK315" s="38">
        <f>SUM(AG315:AJ315)</f>
        <v>20</v>
      </c>
      <c r="AL315" s="261">
        <f>IF(AG315+AH315=0,0,SUM(AG315:AH315)/AK315)</f>
        <v>0.5</v>
      </c>
      <c r="AM315" s="261">
        <f>IF(AG315=0,0,AG315/(SUM(AG315:AI315)))</f>
        <v>1</v>
      </c>
      <c r="AO315" s="25" t="str">
        <f>_xlfn.XLOOKUP(F315,'TFS Details'!F:F,'TFS Details'!I:I)</f>
        <v>TitansPlus</v>
      </c>
      <c r="AP315" s="25" t="str">
        <f>_xlfn.XLOOKUP(AO315,'TFS Details'!I:I,'TFS Details'!AE:AE)</f>
        <v>nityanand.giri</v>
      </c>
    </row>
    <row r="316" spans="1:42">
      <c r="A316" s="24" t="str">
        <f>_xlfn.XLOOKUP(F316,'TFS Details'!F:F,'TFS Details'!D:D)</f>
        <v>IPC Calculator</v>
      </c>
      <c r="B316" s="24" t="str">
        <f>_xlfn.XLOOKUP(F316,'TFS Details'!F:F,'TFS Details'!A:A)</f>
        <v>IPC Calculator | New Exemption Reasons</v>
      </c>
      <c r="C316" s="46">
        <f>_xlfn.XLOOKUP(F316,'TFS Details'!F:F,'TFS Details'!E:E)</f>
        <v>4428652</v>
      </c>
      <c r="D316" s="250" t="s">
        <v>41</v>
      </c>
      <c r="E316" s="163" t="s">
        <v>902</v>
      </c>
      <c r="F316" s="197">
        <v>4428654</v>
      </c>
      <c r="G316" s="66" t="s">
        <v>259</v>
      </c>
      <c r="H316" s="66" t="s">
        <v>817</v>
      </c>
      <c r="I316" s="66" t="s">
        <v>98</v>
      </c>
      <c r="J316" s="66" t="s">
        <v>1</v>
      </c>
      <c r="K316" s="66" t="s">
        <v>249</v>
      </c>
      <c r="L316" s="66" t="s">
        <v>249</v>
      </c>
      <c r="M316" s="66" t="s">
        <v>461</v>
      </c>
      <c r="N316" s="66" t="s">
        <v>249</v>
      </c>
      <c r="O316" s="273">
        <v>0.3</v>
      </c>
      <c r="P316" s="66" t="s">
        <v>249</v>
      </c>
      <c r="Q316" s="66" t="s">
        <v>249</v>
      </c>
      <c r="R316" s="66" t="s">
        <v>249</v>
      </c>
      <c r="S316" s="66" t="s">
        <v>249</v>
      </c>
      <c r="T316" s="66" t="s">
        <v>249</v>
      </c>
      <c r="U316" s="66" t="s">
        <v>249</v>
      </c>
      <c r="V316" s="66" t="s">
        <v>204</v>
      </c>
      <c r="W316" s="66" t="s">
        <v>204</v>
      </c>
      <c r="X316" s="66" t="s">
        <v>197</v>
      </c>
      <c r="Y316" s="66" t="s">
        <v>216</v>
      </c>
      <c r="Z316" s="106">
        <v>35</v>
      </c>
      <c r="AA316" s="106">
        <v>23</v>
      </c>
      <c r="AB316" s="106">
        <v>1</v>
      </c>
      <c r="AC316" s="106">
        <v>24</v>
      </c>
      <c r="AD316" s="228">
        <v>0.95</v>
      </c>
      <c r="AE316" s="228">
        <v>0.95</v>
      </c>
      <c r="AF316" s="113" t="s">
        <v>305</v>
      </c>
      <c r="AG316" s="236">
        <v>11</v>
      </c>
      <c r="AH316" s="163">
        <v>0</v>
      </c>
      <c r="AI316" s="163">
        <v>0</v>
      </c>
      <c r="AJ316" s="163">
        <v>10</v>
      </c>
      <c r="AK316" s="38">
        <f>SUM(AG316:AJ316)</f>
        <v>21</v>
      </c>
      <c r="AL316" s="261">
        <f>IF(AG316+AH316=0,0,SUM(AG316:AH316)/AK316)</f>
        <v>0.52380952380952384</v>
      </c>
      <c r="AM316" s="261">
        <f>IF(AG316=0,0,AG316/(SUM(AG316:AI316)))</f>
        <v>1</v>
      </c>
      <c r="AO316" s="25" t="str">
        <f>_xlfn.XLOOKUP(F316,'TFS Details'!F:F,'TFS Details'!I:I)</f>
        <v>TitansPlus</v>
      </c>
      <c r="AP316" s="25" t="str">
        <f>_xlfn.XLOOKUP(AO316,'TFS Details'!I:I,'TFS Details'!AE:AE)</f>
        <v>nityanand.giri</v>
      </c>
    </row>
    <row r="317" spans="1:42">
      <c r="A317" s="24" t="str">
        <f>_xlfn.XLOOKUP(F317,'TFS Details'!F:F,'TFS Details'!D:D)</f>
        <v>IPC Calculator</v>
      </c>
      <c r="B317" s="24" t="str">
        <f>_xlfn.XLOOKUP(F317,'TFS Details'!F:F,'TFS Details'!A:A)</f>
        <v>IPC Calculator | New Exemption Reasons</v>
      </c>
      <c r="C317" s="46">
        <f>_xlfn.XLOOKUP(F317,'TFS Details'!F:F,'TFS Details'!E:E)</f>
        <v>4428652</v>
      </c>
      <c r="D317" s="250" t="s">
        <v>41</v>
      </c>
      <c r="E317" s="163" t="s">
        <v>903</v>
      </c>
      <c r="F317" s="197">
        <v>4428655</v>
      </c>
      <c r="G317" s="66" t="s">
        <v>817</v>
      </c>
      <c r="H317" s="66" t="s">
        <v>266</v>
      </c>
      <c r="I317" s="66" t="s">
        <v>121</v>
      </c>
      <c r="J317" s="66" t="s">
        <v>1</v>
      </c>
      <c r="K317" s="66" t="s">
        <v>249</v>
      </c>
      <c r="L317" s="66" t="s">
        <v>249</v>
      </c>
      <c r="M317" s="66" t="s">
        <v>465</v>
      </c>
      <c r="N317" s="66" t="s">
        <v>249</v>
      </c>
      <c r="O317" s="273">
        <v>0.5</v>
      </c>
      <c r="P317" s="66" t="s">
        <v>249</v>
      </c>
      <c r="Q317" s="66" t="s">
        <v>249</v>
      </c>
      <c r="R317" s="66" t="s">
        <v>249</v>
      </c>
      <c r="S317" s="66" t="s">
        <v>249</v>
      </c>
      <c r="T317" s="66" t="s">
        <v>249</v>
      </c>
      <c r="U317" s="66" t="s">
        <v>249</v>
      </c>
      <c r="V317" s="66" t="s">
        <v>204</v>
      </c>
      <c r="W317" s="66" t="s">
        <v>204</v>
      </c>
      <c r="X317" s="66" t="s">
        <v>204</v>
      </c>
      <c r="Y317" s="66" t="s">
        <v>216</v>
      </c>
      <c r="Z317" s="106">
        <v>52</v>
      </c>
      <c r="AA317" s="106">
        <v>7</v>
      </c>
      <c r="AB317" s="106">
        <v>3</v>
      </c>
      <c r="AC317" s="106">
        <v>10</v>
      </c>
      <c r="AD317" s="228">
        <v>0.85</v>
      </c>
      <c r="AE317" s="228">
        <v>0.85</v>
      </c>
      <c r="AF317" s="113" t="s">
        <v>242</v>
      </c>
      <c r="AG317" s="236">
        <v>0</v>
      </c>
      <c r="AH317" s="163">
        <v>0</v>
      </c>
      <c r="AI317" s="163">
        <v>0</v>
      </c>
      <c r="AJ317" s="163">
        <v>10</v>
      </c>
      <c r="AK317" s="38">
        <f>SUM(AG317:AJ317)</f>
        <v>10</v>
      </c>
      <c r="AL317" s="261">
        <f>IF(AG317+AH317=0,0,SUM(AG317:AH317)/AK317)</f>
        <v>0</v>
      </c>
      <c r="AM317" s="261">
        <f>IF(AG317=0,0,AG317/(SUM(AG317:AI317)))</f>
        <v>0</v>
      </c>
      <c r="AO317" s="25" t="str">
        <f>_xlfn.XLOOKUP(F317,'TFS Details'!F:F,'TFS Details'!I:I)</f>
        <v>TitansPlus</v>
      </c>
      <c r="AP317" s="25" t="str">
        <f>_xlfn.XLOOKUP(AO317,'TFS Details'!I:I,'TFS Details'!AE:AE)</f>
        <v>nityanand.giri</v>
      </c>
    </row>
    <row r="318" spans="1:42">
      <c r="A318" s="24" t="str">
        <f>_xlfn.XLOOKUP(F318,'TFS Details'!F:F,'TFS Details'!D:D)</f>
        <v>Calculator Dashboard</v>
      </c>
      <c r="B318" s="24" t="str">
        <f>_xlfn.XLOOKUP(F318,'TFS Details'!F:F,'TFS Details'!A:A)</f>
        <v>Attach Calculator</v>
      </c>
      <c r="C318" s="46">
        <f>_xlfn.XLOOKUP(F318,'TFS Details'!F:F,'TFS Details'!E:E)</f>
        <v>4372279</v>
      </c>
      <c r="D318" s="250" t="s">
        <v>41</v>
      </c>
      <c r="E318" s="163" t="s">
        <v>904</v>
      </c>
      <c r="F318" s="197">
        <v>4438504</v>
      </c>
      <c r="G318" s="66" t="s">
        <v>826</v>
      </c>
      <c r="H318" s="66" t="s">
        <v>791</v>
      </c>
      <c r="I318" s="66" t="s">
        <v>129</v>
      </c>
      <c r="J318" s="250" t="s">
        <v>20</v>
      </c>
      <c r="K318" s="202" t="s">
        <v>905</v>
      </c>
      <c r="L318" s="234" t="s">
        <v>30</v>
      </c>
      <c r="M318" s="20" t="s">
        <v>311</v>
      </c>
      <c r="N318" s="202" t="s">
        <v>249</v>
      </c>
      <c r="O318" s="273">
        <v>0</v>
      </c>
      <c r="P318" s="66" t="s">
        <v>249</v>
      </c>
      <c r="Q318" s="66" t="s">
        <v>249</v>
      </c>
      <c r="R318" s="66" t="s">
        <v>249</v>
      </c>
      <c r="S318" s="66" t="s">
        <v>249</v>
      </c>
      <c r="T318" s="66" t="s">
        <v>249</v>
      </c>
      <c r="U318" s="66" t="s">
        <v>249</v>
      </c>
      <c r="V318" s="66" t="s">
        <v>204</v>
      </c>
      <c r="W318" s="66" t="s">
        <v>204</v>
      </c>
      <c r="X318" s="66" t="s">
        <v>197</v>
      </c>
      <c r="Y318" s="66" t="s">
        <v>197</v>
      </c>
      <c r="Z318" s="106">
        <v>37</v>
      </c>
      <c r="AA318" s="106">
        <v>30</v>
      </c>
      <c r="AB318" s="106">
        <v>0</v>
      </c>
      <c r="AC318" s="106">
        <v>30</v>
      </c>
      <c r="AD318" s="228">
        <v>0.8</v>
      </c>
      <c r="AE318" s="228">
        <v>0.8</v>
      </c>
      <c r="AF318" s="113" t="s">
        <v>242</v>
      </c>
      <c r="AG318" s="236">
        <v>0</v>
      </c>
      <c r="AH318" s="163">
        <v>0</v>
      </c>
      <c r="AI318" s="163">
        <v>0</v>
      </c>
      <c r="AJ318" s="163">
        <v>30</v>
      </c>
      <c r="AK318" s="38">
        <f>SUM(AG318:AJ318)</f>
        <v>30</v>
      </c>
      <c r="AL318" s="261">
        <f>IF(AG318+AH318=0,0,SUM(AG318:AH318)/AK318)</f>
        <v>0</v>
      </c>
      <c r="AM318" s="261">
        <f>IF(AG318=0,0,AG318/(SUM(AG318:AI318)))</f>
        <v>0</v>
      </c>
      <c r="AO318" s="25" t="str">
        <f>_xlfn.XLOOKUP(F318,'TFS Details'!F:F,'TFS Details'!I:I)</f>
        <v>TechWarriors</v>
      </c>
      <c r="AP318" s="25" t="str">
        <f>_xlfn.XLOOKUP(AO318,'TFS Details'!I:I,'TFS Details'!AE:AE)</f>
        <v>Supriya.a.dhingra</v>
      </c>
    </row>
    <row r="319" spans="1:42">
      <c r="A319" s="24" t="str">
        <f>_xlfn.XLOOKUP(F319,'TFS Details'!F:F,'TFS Details'!D:D)</f>
        <v>Attach Calculator</v>
      </c>
      <c r="B319" s="24" t="str">
        <f>_xlfn.XLOOKUP(F319,'TFS Details'!F:F,'TFS Details'!A:A)</f>
        <v>Attach Calculator</v>
      </c>
      <c r="C319" s="46">
        <f>_xlfn.XLOOKUP(F319,'TFS Details'!F:F,'TFS Details'!E:E)</f>
        <v>4372279</v>
      </c>
      <c r="D319" s="250" t="s">
        <v>41</v>
      </c>
      <c r="E319" s="163" t="s">
        <v>906</v>
      </c>
      <c r="F319" s="197">
        <v>4438507</v>
      </c>
      <c r="G319" s="66" t="s">
        <v>259</v>
      </c>
      <c r="H319" s="66" t="s">
        <v>284</v>
      </c>
      <c r="I319" s="66" t="s">
        <v>249</v>
      </c>
      <c r="J319" s="250" t="s">
        <v>18</v>
      </c>
      <c r="K319" s="66" t="s">
        <v>892</v>
      </c>
      <c r="L319" s="234" t="s">
        <v>30</v>
      </c>
      <c r="M319" s="202" t="s">
        <v>311</v>
      </c>
      <c r="N319" s="202" t="s">
        <v>249</v>
      </c>
      <c r="O319" s="66" t="s">
        <v>249</v>
      </c>
      <c r="P319" s="66" t="s">
        <v>249</v>
      </c>
      <c r="Q319" s="66" t="s">
        <v>249</v>
      </c>
      <c r="R319" s="66" t="s">
        <v>249</v>
      </c>
      <c r="S319" s="66" t="s">
        <v>249</v>
      </c>
      <c r="T319" s="66" t="s">
        <v>249</v>
      </c>
      <c r="U319" s="66" t="s">
        <v>249</v>
      </c>
      <c r="V319" s="66" t="s">
        <v>204</v>
      </c>
      <c r="W319" s="66" t="s">
        <v>204</v>
      </c>
      <c r="X319" s="66" t="s">
        <v>197</v>
      </c>
      <c r="Y319" s="66" t="s">
        <v>197</v>
      </c>
      <c r="Z319" s="187">
        <v>36</v>
      </c>
      <c r="AA319" s="187">
        <v>25</v>
      </c>
      <c r="AB319" s="187">
        <v>0</v>
      </c>
      <c r="AC319" s="187">
        <v>25</v>
      </c>
      <c r="AD319" s="230">
        <v>1</v>
      </c>
      <c r="AE319" s="230">
        <v>0.9</v>
      </c>
      <c r="AF319" s="113" t="s">
        <v>242</v>
      </c>
      <c r="AG319" s="236">
        <v>0</v>
      </c>
      <c r="AH319" s="163">
        <v>0</v>
      </c>
      <c r="AI319" s="163">
        <v>0</v>
      </c>
      <c r="AJ319" s="163">
        <v>25</v>
      </c>
      <c r="AK319" s="38">
        <f>SUM(AG319:AJ319)</f>
        <v>25</v>
      </c>
      <c r="AL319" s="261">
        <f>IF(AG319+AH319=0,0,SUM(AG319:AH319)/AK319)</f>
        <v>0</v>
      </c>
      <c r="AM319" s="261">
        <f>IF(AG319=0,0,AG319/(SUM(AG319:AI319)))</f>
        <v>0</v>
      </c>
      <c r="AO319" s="25" t="str">
        <f>_xlfn.XLOOKUP(F319,'TFS Details'!F:F,'TFS Details'!I:I)</f>
        <v>TitansPlus</v>
      </c>
      <c r="AP319" s="25" t="str">
        <f>_xlfn.XLOOKUP(AO319,'TFS Details'!I:I,'TFS Details'!AE:AE)</f>
        <v>nityanand.giri</v>
      </c>
    </row>
    <row r="320" spans="1:42">
      <c r="A320" s="24" t="str">
        <f>_xlfn.XLOOKUP(F320,'TFS Details'!F:F,'TFS Details'!D:D)</f>
        <v>Value Shaping</v>
      </c>
      <c r="B320" s="24" t="str">
        <f>_xlfn.XLOOKUP(F320,'TFS Details'!F:F,'TFS Details'!A:A)</f>
        <v>Value Shaping CR | May Scope</v>
      </c>
      <c r="C320" s="46">
        <f>_xlfn.XLOOKUP(F320,'TFS Details'!F:F,'TFS Details'!E:E)</f>
        <v>4446213</v>
      </c>
      <c r="D320" s="250" t="s">
        <v>41</v>
      </c>
      <c r="E320" s="163" t="s">
        <v>907</v>
      </c>
      <c r="F320" s="197">
        <v>4438584</v>
      </c>
      <c r="G320" s="66" t="s">
        <v>812</v>
      </c>
      <c r="H320" s="66" t="s">
        <v>247</v>
      </c>
      <c r="I320" s="66" t="s">
        <v>813</v>
      </c>
      <c r="J320" s="66" t="s">
        <v>20</v>
      </c>
      <c r="K320" s="202" t="s">
        <v>254</v>
      </c>
      <c r="L320" s="66" t="s">
        <v>196</v>
      </c>
      <c r="M320" s="202"/>
      <c r="N320" s="202" t="s">
        <v>249</v>
      </c>
      <c r="O320" s="273">
        <v>0.1</v>
      </c>
      <c r="P320" s="66" t="s">
        <v>249</v>
      </c>
      <c r="Q320" s="66" t="s">
        <v>249</v>
      </c>
      <c r="R320" s="66" t="s">
        <v>249</v>
      </c>
      <c r="S320" s="66" t="s">
        <v>249</v>
      </c>
      <c r="T320" s="66" t="s">
        <v>249</v>
      </c>
      <c r="U320" s="66" t="s">
        <v>249</v>
      </c>
      <c r="V320" s="66" t="s">
        <v>204</v>
      </c>
      <c r="W320" s="66" t="s">
        <v>204</v>
      </c>
      <c r="X320" s="66" t="s">
        <v>204</v>
      </c>
      <c r="Y320" s="66" t="s">
        <v>216</v>
      </c>
      <c r="Z320" s="187">
        <v>23</v>
      </c>
      <c r="AA320" s="187">
        <v>4</v>
      </c>
      <c r="AB320" s="187">
        <v>0</v>
      </c>
      <c r="AC320" s="187">
        <v>4</v>
      </c>
      <c r="AD320" s="237">
        <v>1</v>
      </c>
      <c r="AE320" s="230">
        <v>1</v>
      </c>
      <c r="AF320" s="113" t="s">
        <v>242</v>
      </c>
      <c r="AG320" s="236">
        <v>0</v>
      </c>
      <c r="AH320" s="163">
        <v>0</v>
      </c>
      <c r="AI320" s="163">
        <v>0</v>
      </c>
      <c r="AJ320" s="163">
        <v>4</v>
      </c>
      <c r="AK320" s="38">
        <f>SUM(AG320:AJ320)</f>
        <v>4</v>
      </c>
      <c r="AL320" s="261">
        <f>IF(AG320+AH320=0,0,SUM(AG320:AH320)/AK320)</f>
        <v>0</v>
      </c>
      <c r="AM320" s="261">
        <f>IF(AG320=0,0,AG320/(SUM(AG320:AI320)))</f>
        <v>0</v>
      </c>
      <c r="AO320" s="25" t="str">
        <f>_xlfn.XLOOKUP(F320,'TFS Details'!F:F,'TFS Details'!I:I)</f>
        <v>Spartans</v>
      </c>
      <c r="AP320" s="25" t="str">
        <f>_xlfn.XLOOKUP(AO320,'TFS Details'!I:I,'TFS Details'!AE:AE)</f>
        <v>nityanand.giri</v>
      </c>
    </row>
    <row r="321" spans="1:42">
      <c r="A321" s="24" t="str">
        <f>_xlfn.XLOOKUP(F321,'TFS Details'!F:F,'TFS Details'!D:D)</f>
        <v>Value Shaping</v>
      </c>
      <c r="B321" s="24" t="str">
        <f>_xlfn.XLOOKUP(F321,'TFS Details'!F:F,'TFS Details'!A:A)</f>
        <v>Value Shaping CR | May Scope</v>
      </c>
      <c r="C321" s="46">
        <f>_xlfn.XLOOKUP(F321,'TFS Details'!F:F,'TFS Details'!E:E)</f>
        <v>4446213</v>
      </c>
      <c r="D321" s="250" t="s">
        <v>41</v>
      </c>
      <c r="E321" s="163" t="s">
        <v>253</v>
      </c>
      <c r="F321" s="197">
        <v>4438585</v>
      </c>
      <c r="G321" s="66" t="s">
        <v>247</v>
      </c>
      <c r="H321" s="66" t="s">
        <v>248</v>
      </c>
      <c r="I321" s="66" t="s">
        <v>81</v>
      </c>
      <c r="J321" s="250" t="s">
        <v>20</v>
      </c>
      <c r="K321" s="202" t="s">
        <v>254</v>
      </c>
      <c r="L321" s="66" t="s">
        <v>196</v>
      </c>
      <c r="M321" s="202" t="s">
        <v>249</v>
      </c>
      <c r="N321" s="202" t="s">
        <v>249</v>
      </c>
      <c r="O321" s="273">
        <v>0.25</v>
      </c>
      <c r="P321" s="66" t="s">
        <v>249</v>
      </c>
      <c r="Q321" s="66" t="s">
        <v>249</v>
      </c>
      <c r="R321" s="66" t="s">
        <v>249</v>
      </c>
      <c r="S321" s="66" t="s">
        <v>249</v>
      </c>
      <c r="T321" s="66" t="s">
        <v>249</v>
      </c>
      <c r="U321" s="66" t="s">
        <v>249</v>
      </c>
      <c r="V321" s="66" t="s">
        <v>204</v>
      </c>
      <c r="W321" s="66" t="s">
        <v>204</v>
      </c>
      <c r="X321" s="66" t="s">
        <v>204</v>
      </c>
      <c r="Y321" s="66" t="s">
        <v>216</v>
      </c>
      <c r="Z321" s="187">
        <v>35</v>
      </c>
      <c r="AA321" s="187">
        <v>27</v>
      </c>
      <c r="AB321" s="187">
        <v>5</v>
      </c>
      <c r="AC321" s="187">
        <v>32</v>
      </c>
      <c r="AD321" s="187">
        <v>84</v>
      </c>
      <c r="AE321" s="187">
        <v>80</v>
      </c>
      <c r="AF321" s="113" t="s">
        <v>242</v>
      </c>
      <c r="AG321" s="236">
        <v>32</v>
      </c>
      <c r="AH321" s="163">
        <v>0</v>
      </c>
      <c r="AI321" s="163">
        <v>0</v>
      </c>
      <c r="AJ321" s="163">
        <v>0</v>
      </c>
      <c r="AK321" s="38">
        <f>SUM(AG321:AJ321)</f>
        <v>32</v>
      </c>
      <c r="AL321" s="261">
        <f>IF(AG321+AH321=0,0,SUM(AG321:AH321)/AK321)</f>
        <v>1</v>
      </c>
      <c r="AM321" s="261">
        <f>IF(AG321=0,0,AG321/(SUM(AG321:AI321)))</f>
        <v>1</v>
      </c>
      <c r="AO321" s="25" t="str">
        <f>_xlfn.XLOOKUP(F321,'TFS Details'!F:F,'TFS Details'!I:I)</f>
        <v>Spartans</v>
      </c>
      <c r="AP321" s="25" t="str">
        <f>_xlfn.XLOOKUP(AO321,'TFS Details'!I:I,'TFS Details'!AE:AE)</f>
        <v>nityanand.giri</v>
      </c>
    </row>
    <row r="322" spans="1:42">
      <c r="A322" s="24" t="str">
        <f>_xlfn.XLOOKUP(F322,'TFS Details'!F:F,'TFS Details'!D:D)</f>
        <v>Asset Calculator</v>
      </c>
      <c r="B322" s="24" t="str">
        <f>_xlfn.XLOOKUP(F322,'TFS Details'!F:F,'TFS Details'!A:A)</f>
        <v>Asset Calculator CR | May Scope</v>
      </c>
      <c r="C322" s="46">
        <f>_xlfn.XLOOKUP(F322,'TFS Details'!F:F,'TFS Details'!E:E)</f>
        <v>4446215</v>
      </c>
      <c r="D322" s="250" t="s">
        <v>41</v>
      </c>
      <c r="E322" s="163" t="s">
        <v>908</v>
      </c>
      <c r="F322" s="197">
        <v>4438589</v>
      </c>
      <c r="G322" s="66" t="s">
        <v>826</v>
      </c>
      <c r="H322" s="66" t="s">
        <v>827</v>
      </c>
      <c r="I322" s="66" t="s">
        <v>111</v>
      </c>
      <c r="J322" s="66" t="s">
        <v>1</v>
      </c>
      <c r="K322" s="202" t="s">
        <v>249</v>
      </c>
      <c r="L322" s="66" t="s">
        <v>249</v>
      </c>
      <c r="M322" s="66" t="s">
        <v>311</v>
      </c>
      <c r="N322" s="202" t="s">
        <v>249</v>
      </c>
      <c r="O322" s="273">
        <v>0.15</v>
      </c>
      <c r="P322" s="66" t="s">
        <v>249</v>
      </c>
      <c r="Q322" s="66" t="s">
        <v>249</v>
      </c>
      <c r="R322" s="66" t="s">
        <v>249</v>
      </c>
      <c r="S322" s="66" t="s">
        <v>249</v>
      </c>
      <c r="T322" s="66" t="s">
        <v>249</v>
      </c>
      <c r="U322" s="66" t="s">
        <v>249</v>
      </c>
      <c r="V322" s="66" t="s">
        <v>204</v>
      </c>
      <c r="W322" s="66" t="s">
        <v>204</v>
      </c>
      <c r="X322" s="66" t="s">
        <v>204</v>
      </c>
      <c r="Y322" s="66" t="s">
        <v>216</v>
      </c>
      <c r="Z322" s="187" t="s">
        <v>793</v>
      </c>
      <c r="AA322" s="187" t="s">
        <v>793</v>
      </c>
      <c r="AB322" s="187" t="s">
        <v>854</v>
      </c>
      <c r="AC322" s="187" t="s">
        <v>909</v>
      </c>
      <c r="AD322" s="187" t="s">
        <v>910</v>
      </c>
      <c r="AE322" s="187" t="s">
        <v>832</v>
      </c>
      <c r="AF322" s="113" t="s">
        <v>242</v>
      </c>
      <c r="AG322" s="236">
        <v>1</v>
      </c>
      <c r="AH322" s="163">
        <v>0</v>
      </c>
      <c r="AI322" s="163">
        <v>0</v>
      </c>
      <c r="AJ322" s="163">
        <v>14</v>
      </c>
      <c r="AK322" s="38">
        <f>SUM(AG322:AJ322)</f>
        <v>15</v>
      </c>
      <c r="AL322" s="261">
        <f>IF(AG322+AH322=0,0,SUM(AG322:AH322)/AK322)</f>
        <v>6.6666666666666666E-2</v>
      </c>
      <c r="AM322" s="261">
        <f>IF(AG322=0,0,AG322/(SUM(AG322:AI322)))</f>
        <v>1</v>
      </c>
      <c r="AO322" s="25" t="str">
        <f>_xlfn.XLOOKUP(F322,'TFS Details'!F:F,'TFS Details'!I:I)</f>
        <v>TechSavers</v>
      </c>
      <c r="AP322" s="25" t="str">
        <f>_xlfn.XLOOKUP(AO322,'TFS Details'!I:I,'TFS Details'!AE:AE)</f>
        <v>nityanand.giri</v>
      </c>
    </row>
    <row r="323" spans="1:42">
      <c r="A323" s="24" t="str">
        <f>_xlfn.XLOOKUP(F323,'TFS Details'!F:F,'TFS Details'!D:D)</f>
        <v>Asset Calculator</v>
      </c>
      <c r="B323" s="24" t="str">
        <f>_xlfn.XLOOKUP(F323,'TFS Details'!F:F,'TFS Details'!A:A)</f>
        <v>Asset Calculator CR | May Scope</v>
      </c>
      <c r="C323" s="46">
        <f>_xlfn.XLOOKUP(F323,'TFS Details'!F:F,'TFS Details'!E:E)</f>
        <v>4446215</v>
      </c>
      <c r="D323" s="250" t="s">
        <v>41</v>
      </c>
      <c r="E323" s="163" t="s">
        <v>911</v>
      </c>
      <c r="F323" s="197">
        <v>4438592</v>
      </c>
      <c r="G323" s="66" t="s">
        <v>827</v>
      </c>
      <c r="H323" s="66" t="s">
        <v>826</v>
      </c>
      <c r="I323" s="66" t="s">
        <v>111</v>
      </c>
      <c r="J323" s="66" t="s">
        <v>1</v>
      </c>
      <c r="K323" s="202" t="s">
        <v>249</v>
      </c>
      <c r="L323" s="66" t="s">
        <v>249</v>
      </c>
      <c r="M323" s="202" t="s">
        <v>461</v>
      </c>
      <c r="N323" s="202" t="s">
        <v>249</v>
      </c>
      <c r="O323" s="273">
        <v>0.15</v>
      </c>
      <c r="P323" s="66" t="s">
        <v>249</v>
      </c>
      <c r="Q323" s="66" t="s">
        <v>249</v>
      </c>
      <c r="R323" s="66" t="s">
        <v>249</v>
      </c>
      <c r="S323" s="66" t="s">
        <v>249</v>
      </c>
      <c r="T323" s="66" t="s">
        <v>249</v>
      </c>
      <c r="U323" s="66" t="s">
        <v>249</v>
      </c>
      <c r="V323" s="66" t="s">
        <v>204</v>
      </c>
      <c r="W323" s="66" t="s">
        <v>204</v>
      </c>
      <c r="X323" s="66" t="s">
        <v>204</v>
      </c>
      <c r="Y323" s="66" t="s">
        <v>216</v>
      </c>
      <c r="Z323" s="187">
        <v>21</v>
      </c>
      <c r="AA323" s="187">
        <v>21</v>
      </c>
      <c r="AB323" s="187">
        <v>0</v>
      </c>
      <c r="AC323" s="187">
        <v>21</v>
      </c>
      <c r="AD323" s="230">
        <v>1</v>
      </c>
      <c r="AE323" s="187" t="s">
        <v>249</v>
      </c>
      <c r="AF323" s="113" t="s">
        <v>242</v>
      </c>
      <c r="AG323" s="236">
        <v>3</v>
      </c>
      <c r="AH323" s="163">
        <v>0</v>
      </c>
      <c r="AI323" s="163">
        <v>0</v>
      </c>
      <c r="AJ323" s="163">
        <v>18</v>
      </c>
      <c r="AK323" s="38">
        <f>SUM(AG323:AJ323)</f>
        <v>21</v>
      </c>
      <c r="AL323" s="261">
        <f>IF(AG323+AH323=0,0,SUM(AG323:AH323)/AK323)</f>
        <v>0.14285714285714285</v>
      </c>
      <c r="AM323" s="261">
        <f>IF(AG323=0,0,AG323/(SUM(AG323:AI323)))</f>
        <v>1</v>
      </c>
      <c r="AO323" s="25" t="str">
        <f>_xlfn.XLOOKUP(F323,'TFS Details'!F:F,'TFS Details'!I:I)</f>
        <v>TechSavers</v>
      </c>
      <c r="AP323" s="25" t="str">
        <f>_xlfn.XLOOKUP(AO323,'TFS Details'!I:I,'TFS Details'!AE:AE)</f>
        <v>nityanand.giri</v>
      </c>
    </row>
    <row r="324" spans="1:42">
      <c r="A324" s="24" t="str">
        <f>_xlfn.XLOOKUP(F324,'TFS Details'!F:F,'TFS Details'!D:D)</f>
        <v>Attach Calculator</v>
      </c>
      <c r="B324" s="24" t="str">
        <f>_xlfn.XLOOKUP(F324,'TFS Details'!F:F,'TFS Details'!A:A)</f>
        <v>Attach Calculator</v>
      </c>
      <c r="C324" s="46">
        <f>_xlfn.XLOOKUP(F324,'TFS Details'!F:F,'TFS Details'!E:E)</f>
        <v>4372279</v>
      </c>
      <c r="D324" s="250" t="s">
        <v>41</v>
      </c>
      <c r="E324" s="163" t="s">
        <v>912</v>
      </c>
      <c r="F324" s="197">
        <v>4438642</v>
      </c>
      <c r="G324" s="66" t="s">
        <v>827</v>
      </c>
      <c r="H324" s="66" t="s">
        <v>791</v>
      </c>
      <c r="I324" s="66" t="s">
        <v>129</v>
      </c>
      <c r="J324" s="66" t="s">
        <v>1</v>
      </c>
      <c r="K324" s="202" t="s">
        <v>249</v>
      </c>
      <c r="L324" s="66" t="s">
        <v>249</v>
      </c>
      <c r="M324" s="20" t="s">
        <v>461</v>
      </c>
      <c r="N324" s="202" t="s">
        <v>249</v>
      </c>
      <c r="O324" s="273">
        <v>0.1</v>
      </c>
      <c r="P324" s="66">
        <v>30</v>
      </c>
      <c r="Q324" s="66">
        <v>1</v>
      </c>
      <c r="R324" s="66">
        <v>0</v>
      </c>
      <c r="S324" s="66">
        <v>1</v>
      </c>
      <c r="T324" s="279">
        <v>0.9</v>
      </c>
      <c r="U324" s="279">
        <v>0.9</v>
      </c>
      <c r="V324" s="66" t="s">
        <v>204</v>
      </c>
      <c r="W324" s="66" t="s">
        <v>204</v>
      </c>
      <c r="X324" s="66" t="s">
        <v>204</v>
      </c>
      <c r="Y324" s="66" t="s">
        <v>204</v>
      </c>
      <c r="Z324" s="106">
        <v>31</v>
      </c>
      <c r="AA324" s="106">
        <v>1</v>
      </c>
      <c r="AB324" s="106">
        <v>4</v>
      </c>
      <c r="AC324" s="106">
        <v>5</v>
      </c>
      <c r="AD324" s="228">
        <v>0.1</v>
      </c>
      <c r="AE324" s="228">
        <v>0.1</v>
      </c>
      <c r="AF324" s="113" t="s">
        <v>305</v>
      </c>
      <c r="AG324" s="236">
        <v>5</v>
      </c>
      <c r="AH324" s="163">
        <v>0</v>
      </c>
      <c r="AI324" s="163">
        <v>0</v>
      </c>
      <c r="AJ324" s="163">
        <v>5</v>
      </c>
      <c r="AK324" s="38">
        <f>SUM(AG324:AJ324)</f>
        <v>10</v>
      </c>
      <c r="AL324" s="261">
        <f>IF(AG324+AH324=0,0,SUM(AG324:AH324)/AK324)</f>
        <v>0.5</v>
      </c>
      <c r="AM324" s="261">
        <f>IF(AG324=0,0,AG324/(SUM(AG324:AI324)))</f>
        <v>1</v>
      </c>
      <c r="AO324" s="25" t="str">
        <f>_xlfn.XLOOKUP(F324,'TFS Details'!F:F,'TFS Details'!I:I)</f>
        <v>TechAvengers</v>
      </c>
      <c r="AP324" s="25" t="str">
        <f>_xlfn.XLOOKUP(AO324,'TFS Details'!I:I,'TFS Details'!AE:AE)</f>
        <v>mervinkumar.manickam</v>
      </c>
    </row>
    <row r="325" spans="1:42" ht="17.100000000000001">
      <c r="A325" s="24" t="str">
        <f>_xlfn.XLOOKUP(F325,'TFS Details'!F:F,'TFS Details'!D:D)</f>
        <v>Value Shaping</v>
      </c>
      <c r="B325" s="24" t="str">
        <f>_xlfn.XLOOKUP(F325,'TFS Details'!F:F,'TFS Details'!A:A)</f>
        <v>Value Shaping CR | May Scope</v>
      </c>
      <c r="C325" s="46">
        <f>_xlfn.XLOOKUP(F325,'TFS Details'!F:F,'TFS Details'!E:E)</f>
        <v>4446213</v>
      </c>
      <c r="D325" s="250" t="s">
        <v>41</v>
      </c>
      <c r="E325" s="163" t="s">
        <v>913</v>
      </c>
      <c r="F325" s="197">
        <v>4439526</v>
      </c>
      <c r="G325" s="66" t="s">
        <v>266</v>
      </c>
      <c r="H325" s="66" t="s">
        <v>247</v>
      </c>
      <c r="I325" s="66" t="s">
        <v>93</v>
      </c>
      <c r="J325" s="66" t="s">
        <v>1</v>
      </c>
      <c r="K325" s="203"/>
      <c r="L325" s="234" t="s">
        <v>249</v>
      </c>
      <c r="M325" s="202" t="s">
        <v>311</v>
      </c>
      <c r="N325" s="202" t="s">
        <v>249</v>
      </c>
      <c r="O325" s="273">
        <v>0.2</v>
      </c>
      <c r="P325" s="66" t="s">
        <v>249</v>
      </c>
      <c r="Q325" s="66" t="s">
        <v>249</v>
      </c>
      <c r="R325" s="66" t="s">
        <v>249</v>
      </c>
      <c r="S325" s="66" t="s">
        <v>249</v>
      </c>
      <c r="T325" s="66" t="s">
        <v>249</v>
      </c>
      <c r="U325" s="66" t="s">
        <v>249</v>
      </c>
      <c r="V325" s="66" t="s">
        <v>204</v>
      </c>
      <c r="W325" s="66" t="s">
        <v>204</v>
      </c>
      <c r="X325" s="66" t="s">
        <v>204</v>
      </c>
      <c r="Y325" s="66" t="s">
        <v>197</v>
      </c>
      <c r="Z325" s="187">
        <v>29</v>
      </c>
      <c r="AA325" s="187">
        <v>11</v>
      </c>
      <c r="AB325" s="187">
        <v>0</v>
      </c>
      <c r="AC325" s="187">
        <v>11</v>
      </c>
      <c r="AD325" s="230">
        <v>1</v>
      </c>
      <c r="AE325" s="230">
        <v>0.85</v>
      </c>
      <c r="AF325" s="113" t="s">
        <v>242</v>
      </c>
      <c r="AG325" s="236">
        <v>0</v>
      </c>
      <c r="AH325" s="163">
        <v>0</v>
      </c>
      <c r="AI325" s="163">
        <v>0</v>
      </c>
      <c r="AJ325" s="163">
        <v>11</v>
      </c>
      <c r="AK325" s="38">
        <f>SUM(AG325:AJ325)</f>
        <v>11</v>
      </c>
      <c r="AL325" s="261">
        <f>IF(AG325+AH325=0,0,SUM(AG325:AH325)/AK325)</f>
        <v>0</v>
      </c>
      <c r="AM325" s="261">
        <f>IF(AG325=0,0,AG325/(SUM(AG325:AI325)))</f>
        <v>0</v>
      </c>
      <c r="AO325" s="25" t="str">
        <f>_xlfn.XLOOKUP(F325,'TFS Details'!F:F,'TFS Details'!I:I)</f>
        <v>Spartans</v>
      </c>
      <c r="AP325" s="25" t="str">
        <f>_xlfn.XLOOKUP(AO325,'TFS Details'!I:I,'TFS Details'!AE:AE)</f>
        <v>nityanand.giri</v>
      </c>
    </row>
    <row r="326" spans="1:42">
      <c r="A326" s="24" t="str">
        <f>_xlfn.XLOOKUP(F326,'TFS Details'!F:F,'TFS Details'!D:D)</f>
        <v>Value Shaping</v>
      </c>
      <c r="B326" s="24" t="str">
        <f>_xlfn.XLOOKUP(F326,'TFS Details'!F:F,'TFS Details'!A:A)</f>
        <v>Value Shaping CR | May Scope</v>
      </c>
      <c r="C326" s="46">
        <f>_xlfn.XLOOKUP(F326,'TFS Details'!F:F,'TFS Details'!E:E)</f>
        <v>4446213</v>
      </c>
      <c r="D326" s="250" t="s">
        <v>41</v>
      </c>
      <c r="E326" s="163" t="s">
        <v>914</v>
      </c>
      <c r="F326" s="197">
        <v>4439527</v>
      </c>
      <c r="G326" s="66" t="s">
        <v>247</v>
      </c>
      <c r="H326" s="66" t="s">
        <v>248</v>
      </c>
      <c r="I326" s="66" t="s">
        <v>81</v>
      </c>
      <c r="J326" s="66" t="s">
        <v>1</v>
      </c>
      <c r="K326" s="204" t="s">
        <v>249</v>
      </c>
      <c r="L326" s="66" t="s">
        <v>249</v>
      </c>
      <c r="M326" s="202" t="s">
        <v>461</v>
      </c>
      <c r="N326" s="202" t="s">
        <v>249</v>
      </c>
      <c r="O326" s="273">
        <v>0.25</v>
      </c>
      <c r="P326" s="66" t="s">
        <v>249</v>
      </c>
      <c r="Q326" s="66" t="s">
        <v>249</v>
      </c>
      <c r="R326" s="66" t="s">
        <v>249</v>
      </c>
      <c r="S326" s="66" t="s">
        <v>249</v>
      </c>
      <c r="T326" s="66" t="s">
        <v>249</v>
      </c>
      <c r="U326" s="66" t="s">
        <v>249</v>
      </c>
      <c r="V326" s="66" t="s">
        <v>204</v>
      </c>
      <c r="W326" s="66" t="s">
        <v>204</v>
      </c>
      <c r="X326" s="66" t="s">
        <v>204</v>
      </c>
      <c r="Y326" s="66" t="s">
        <v>197</v>
      </c>
      <c r="Z326" s="187">
        <v>35</v>
      </c>
      <c r="AA326" s="187">
        <v>23</v>
      </c>
      <c r="AB326" s="187">
        <v>3</v>
      </c>
      <c r="AC326" s="187">
        <v>26</v>
      </c>
      <c r="AD326" s="187">
        <v>88</v>
      </c>
      <c r="AE326" s="187">
        <v>65</v>
      </c>
      <c r="AF326" s="113" t="s">
        <v>242</v>
      </c>
      <c r="AG326" s="236">
        <v>0</v>
      </c>
      <c r="AH326" s="163">
        <v>0</v>
      </c>
      <c r="AI326" s="163">
        <v>0</v>
      </c>
      <c r="AJ326" s="163">
        <v>26</v>
      </c>
      <c r="AK326" s="38">
        <f>SUM(AG326:AJ326)</f>
        <v>26</v>
      </c>
      <c r="AL326" s="261">
        <f>IF(AG326+AH326=0,0,SUM(AG326:AH326)/AK326)</f>
        <v>0</v>
      </c>
      <c r="AM326" s="261">
        <f>IF(AG326=0,0,AG326/(SUM(AG326:AI326)))</f>
        <v>0</v>
      </c>
      <c r="AO326" s="25" t="str">
        <f>_xlfn.XLOOKUP(F326,'TFS Details'!F:F,'TFS Details'!I:I)</f>
        <v>Spartans</v>
      </c>
      <c r="AP326" s="25" t="str">
        <f>_xlfn.XLOOKUP(AO326,'TFS Details'!I:I,'TFS Details'!AE:AE)</f>
        <v>nityanand.giri</v>
      </c>
    </row>
    <row r="327" spans="1:42">
      <c r="A327" s="24" t="str">
        <f>_xlfn.XLOOKUP(F327,'TFS Details'!F:F,'TFS Details'!D:D)</f>
        <v>Value Shaping</v>
      </c>
      <c r="B327" s="24" t="str">
        <f>_xlfn.XLOOKUP(F327,'TFS Details'!F:F,'TFS Details'!A:A)</f>
        <v>Value Shaping CR | May Scope</v>
      </c>
      <c r="C327" s="46">
        <f>_xlfn.XLOOKUP(F327,'TFS Details'!F:F,'TFS Details'!E:E)</f>
        <v>4446213</v>
      </c>
      <c r="D327" s="250" t="s">
        <v>41</v>
      </c>
      <c r="E327" s="163" t="s">
        <v>246</v>
      </c>
      <c r="F327" s="197">
        <v>4439529</v>
      </c>
      <c r="G327" s="66" t="s">
        <v>247</v>
      </c>
      <c r="H327" s="66" t="s">
        <v>248</v>
      </c>
      <c r="I327" s="66" t="s">
        <v>81</v>
      </c>
      <c r="J327" s="250" t="s">
        <v>20</v>
      </c>
      <c r="K327" s="202" t="s">
        <v>250</v>
      </c>
      <c r="L327" s="66" t="s">
        <v>196</v>
      </c>
      <c r="M327" s="202" t="s">
        <v>249</v>
      </c>
      <c r="N327" s="202" t="s">
        <v>249</v>
      </c>
      <c r="O327" s="273">
        <v>0.25</v>
      </c>
      <c r="P327" s="66" t="s">
        <v>249</v>
      </c>
      <c r="Q327" s="66" t="s">
        <v>249</v>
      </c>
      <c r="R327" s="66" t="s">
        <v>249</v>
      </c>
      <c r="S327" s="66" t="s">
        <v>249</v>
      </c>
      <c r="T327" s="66" t="s">
        <v>249</v>
      </c>
      <c r="U327" s="66" t="s">
        <v>249</v>
      </c>
      <c r="V327" s="66" t="s">
        <v>204</v>
      </c>
      <c r="W327" s="66" t="s">
        <v>204</v>
      </c>
      <c r="X327" s="66" t="s">
        <v>204</v>
      </c>
      <c r="Y327" s="66" t="s">
        <v>197</v>
      </c>
      <c r="Z327" s="187">
        <v>35</v>
      </c>
      <c r="AA327" s="187">
        <v>25</v>
      </c>
      <c r="AB327" s="187">
        <v>5</v>
      </c>
      <c r="AC327" s="187">
        <v>30</v>
      </c>
      <c r="AD327" s="187">
        <v>83</v>
      </c>
      <c r="AE327" s="187">
        <v>70</v>
      </c>
      <c r="AF327" s="113" t="s">
        <v>242</v>
      </c>
      <c r="AG327" s="236">
        <v>0</v>
      </c>
      <c r="AH327" s="163">
        <v>0</v>
      </c>
      <c r="AI327" s="163">
        <v>0</v>
      </c>
      <c r="AJ327" s="163">
        <v>30</v>
      </c>
      <c r="AK327" s="38">
        <f>SUM(AG327:AJ327)</f>
        <v>30</v>
      </c>
      <c r="AL327" s="261">
        <f>IF(AG327+AH327=0,0,SUM(AG327:AH327)/AK327)</f>
        <v>0</v>
      </c>
      <c r="AM327" s="261">
        <f>IF(AG327=0,0,AG327/(SUM(AG327:AI327)))</f>
        <v>0</v>
      </c>
      <c r="AO327" s="25" t="str">
        <f>_xlfn.XLOOKUP(F327,'TFS Details'!F:F,'TFS Details'!I:I)</f>
        <v>Spartans</v>
      </c>
      <c r="AP327" s="25" t="str">
        <f>_xlfn.XLOOKUP(AO327,'TFS Details'!I:I,'TFS Details'!AE:AE)</f>
        <v>nityanand.giri</v>
      </c>
    </row>
    <row r="328" spans="1:42">
      <c r="A328" s="24" t="str">
        <f>_xlfn.XLOOKUP(F328,'TFS Details'!F:F,'TFS Details'!D:D)</f>
        <v>Calculator</v>
      </c>
      <c r="B328" s="24" t="str">
        <f>_xlfn.XLOOKUP(F328,'TFS Details'!F:F,'TFS Details'!A:A)</f>
        <v>Attach Calculator</v>
      </c>
      <c r="C328" s="46">
        <f>_xlfn.XLOOKUP(F328,'TFS Details'!F:F,'TFS Details'!E:E)</f>
        <v>4372279</v>
      </c>
      <c r="D328" s="250" t="s">
        <v>41</v>
      </c>
      <c r="E328" s="163" t="s">
        <v>915</v>
      </c>
      <c r="F328" s="197">
        <v>4367503</v>
      </c>
      <c r="G328" s="66" t="s">
        <v>754</v>
      </c>
      <c r="H328" s="66" t="s">
        <v>284</v>
      </c>
      <c r="I328" s="66" t="s">
        <v>125</v>
      </c>
      <c r="J328" s="250" t="s">
        <v>1</v>
      </c>
      <c r="K328" s="202"/>
      <c r="L328" s="66"/>
      <c r="M328" s="202" t="s">
        <v>461</v>
      </c>
      <c r="N328" s="202"/>
      <c r="O328" s="73">
        <v>0.1</v>
      </c>
      <c r="P328" s="66"/>
      <c r="Q328" s="66"/>
      <c r="R328" s="66"/>
      <c r="S328" s="66"/>
      <c r="T328" s="66"/>
      <c r="U328" s="66"/>
      <c r="V328" s="66" t="s">
        <v>197</v>
      </c>
      <c r="W328" s="66" t="s">
        <v>197</v>
      </c>
      <c r="X328" s="66" t="s">
        <v>197</v>
      </c>
      <c r="Y328" s="66" t="s">
        <v>197</v>
      </c>
      <c r="Z328" s="187"/>
      <c r="AA328" s="187"/>
      <c r="AB328" s="187"/>
      <c r="AC328" s="187"/>
      <c r="AD328" s="187"/>
      <c r="AE328" s="187"/>
      <c r="AF328" s="113"/>
      <c r="AG328" s="236">
        <v>0</v>
      </c>
      <c r="AH328" s="163">
        <v>0</v>
      </c>
      <c r="AI328" s="163">
        <v>0</v>
      </c>
      <c r="AJ328" s="163">
        <v>0</v>
      </c>
      <c r="AK328" s="38">
        <f>SUM(AG328:AJ328)</f>
        <v>0</v>
      </c>
      <c r="AL328" s="261">
        <f>IF(AG328+AH328=0,0,SUM(AG328:AH328)/AK328)</f>
        <v>0</v>
      </c>
      <c r="AM328" s="261">
        <f>IF(AG328=0,0,AG328/(SUM(AG328:AI328)))</f>
        <v>0</v>
      </c>
      <c r="AO328" s="25" t="str">
        <f>_xlfn.XLOOKUP(F328,'TFS Details'!F:F,'TFS Details'!I:I)</f>
        <v>TitansPlus</v>
      </c>
      <c r="AP328" s="25" t="str">
        <f>_xlfn.XLOOKUP(AO328,'TFS Details'!I:I,'TFS Details'!AE:AE)</f>
        <v>nityanand.giri</v>
      </c>
    </row>
    <row r="329" spans="1:42">
      <c r="A329" s="24" t="str">
        <f>_xlfn.XLOOKUP(F329,'TFS Details'!F:F,'TFS Details'!D:D)</f>
        <v>Calculator Dashboard</v>
      </c>
      <c r="B329" s="24" t="str">
        <f>_xlfn.XLOOKUP(F329,'TFS Details'!F:F,'TFS Details'!A:A)</f>
        <v>Attach Calculator</v>
      </c>
      <c r="C329" s="46">
        <f>_xlfn.XLOOKUP(F329,'TFS Details'!F:F,'TFS Details'!E:E)</f>
        <v>4372279</v>
      </c>
      <c r="D329" s="250" t="s">
        <v>41</v>
      </c>
      <c r="E329" s="163" t="s">
        <v>916</v>
      </c>
      <c r="F329" s="197">
        <v>4440940</v>
      </c>
      <c r="G329" s="66" t="s">
        <v>791</v>
      </c>
      <c r="H329" s="66" t="s">
        <v>791</v>
      </c>
      <c r="I329" s="66" t="s">
        <v>129</v>
      </c>
      <c r="J329" s="250" t="s">
        <v>20</v>
      </c>
      <c r="K329" s="202" t="s">
        <v>905</v>
      </c>
      <c r="L329" s="234" t="s">
        <v>30</v>
      </c>
      <c r="M329" s="20" t="s">
        <v>311</v>
      </c>
      <c r="N329" s="202" t="s">
        <v>249</v>
      </c>
      <c r="O329" s="73">
        <v>0</v>
      </c>
      <c r="P329" s="66" t="s">
        <v>249</v>
      </c>
      <c r="Q329" s="66" t="s">
        <v>249</v>
      </c>
      <c r="R329" s="66" t="s">
        <v>249</v>
      </c>
      <c r="S329" s="66" t="s">
        <v>249</v>
      </c>
      <c r="T329" s="66" t="s">
        <v>249</v>
      </c>
      <c r="U329" s="66" t="s">
        <v>249</v>
      </c>
      <c r="V329" s="66" t="s">
        <v>204</v>
      </c>
      <c r="W329" s="66" t="s">
        <v>204</v>
      </c>
      <c r="X329" s="66" t="s">
        <v>204</v>
      </c>
      <c r="Y329" s="66" t="s">
        <v>216</v>
      </c>
      <c r="Z329" s="187">
        <v>45</v>
      </c>
      <c r="AA329" s="187">
        <v>41</v>
      </c>
      <c r="AB329" s="187">
        <v>0</v>
      </c>
      <c r="AC329" s="187">
        <v>41</v>
      </c>
      <c r="AD329" s="230">
        <v>0.9</v>
      </c>
      <c r="AE329" s="230">
        <v>0.9</v>
      </c>
      <c r="AF329" s="113" t="s">
        <v>242</v>
      </c>
      <c r="AG329" s="236">
        <v>6</v>
      </c>
      <c r="AH329" s="163">
        <v>0</v>
      </c>
      <c r="AI329" s="163">
        <v>0</v>
      </c>
      <c r="AJ329" s="163">
        <v>35</v>
      </c>
      <c r="AK329" s="38">
        <f>SUM(AG329:AJ329)</f>
        <v>41</v>
      </c>
      <c r="AL329" s="261">
        <f>IF(AG329+AH329=0,0,SUM(AG329:AH329)/AK329)</f>
        <v>0.14634146341463414</v>
      </c>
      <c r="AM329" s="261">
        <f>IF(AG329=0,0,AG329/(SUM(AG329:AI329)))</f>
        <v>1</v>
      </c>
      <c r="AO329" s="25" t="str">
        <f>_xlfn.XLOOKUP(F329,'TFS Details'!F:F,'TFS Details'!I:I)</f>
        <v>TitansPlus</v>
      </c>
      <c r="AP329" s="25" t="str">
        <f>_xlfn.XLOOKUP(AO329,'TFS Details'!I:I,'TFS Details'!AE:AE)</f>
        <v>nityanand.giri</v>
      </c>
    </row>
    <row r="330" spans="1:42" ht="36">
      <c r="A330" s="24" t="str">
        <f>_xlfn.XLOOKUP(F330,'TFS Details'!F:F,'TFS Details'!D:D)</f>
        <v>Automation Calculator</v>
      </c>
      <c r="B330" s="24" t="str">
        <f>_xlfn.XLOOKUP(F330,'TFS Details'!F:F,'TFS Details'!A:A)</f>
        <v>ROI - Default levers and Summary PDF changes</v>
      </c>
      <c r="C330" s="46">
        <f>_xlfn.XLOOKUP(F330,'TFS Details'!F:F,'TFS Details'!E:E)</f>
        <v>4452034</v>
      </c>
      <c r="D330" s="250" t="s">
        <v>41</v>
      </c>
      <c r="E330" s="163" t="s">
        <v>917</v>
      </c>
      <c r="F330" s="197">
        <v>4443719</v>
      </c>
      <c r="G330" s="66" t="s">
        <v>757</v>
      </c>
      <c r="H330" s="66" t="s">
        <v>754</v>
      </c>
      <c r="I330" s="66" t="s">
        <v>100</v>
      </c>
      <c r="J330" s="250" t="s">
        <v>20</v>
      </c>
      <c r="K330" s="202" t="s">
        <v>918</v>
      </c>
      <c r="L330" s="66" t="s">
        <v>30</v>
      </c>
      <c r="M330" s="202" t="s">
        <v>465</v>
      </c>
      <c r="N330" s="202" t="s">
        <v>249</v>
      </c>
      <c r="O330" s="73">
        <v>0.2</v>
      </c>
      <c r="P330" s="66">
        <v>6</v>
      </c>
      <c r="Q330" s="66">
        <v>2</v>
      </c>
      <c r="R330" s="66">
        <v>0</v>
      </c>
      <c r="S330" s="66">
        <v>2</v>
      </c>
      <c r="T330" s="66">
        <v>70</v>
      </c>
      <c r="U330" s="66">
        <v>75</v>
      </c>
      <c r="V330" s="66" t="s">
        <v>204</v>
      </c>
      <c r="W330" s="66" t="s">
        <v>204</v>
      </c>
      <c r="X330" s="66" t="s">
        <v>204</v>
      </c>
      <c r="Y330" s="66" t="s">
        <v>53</v>
      </c>
      <c r="Z330" s="187">
        <v>36</v>
      </c>
      <c r="AA330" s="187">
        <v>30</v>
      </c>
      <c r="AB330" s="187">
        <v>0</v>
      </c>
      <c r="AC330" s="187">
        <v>30</v>
      </c>
      <c r="AD330" s="230">
        <v>0.9</v>
      </c>
      <c r="AE330" s="271">
        <v>0.9</v>
      </c>
      <c r="AF330" s="113" t="s">
        <v>242</v>
      </c>
      <c r="AG330" s="236">
        <v>0</v>
      </c>
      <c r="AH330" s="163">
        <v>0</v>
      </c>
      <c r="AI330" s="163">
        <v>0</v>
      </c>
      <c r="AJ330" s="163">
        <v>30</v>
      </c>
      <c r="AK330" s="38">
        <f>SUM(AG330:AJ330)</f>
        <v>30</v>
      </c>
      <c r="AL330" s="261">
        <f>IF(AG330+AH330=0,0,SUM(AG330:AH330)/AK330)</f>
        <v>0</v>
      </c>
      <c r="AM330" s="261">
        <f>IF(AG330=0,0,AG330/(SUM(AG330:AI330)))</f>
        <v>0</v>
      </c>
      <c r="AO330" s="25" t="str">
        <f>_xlfn.XLOOKUP(F330,'TFS Details'!F:F,'TFS Details'!I:I)</f>
        <v>CrazyCoders</v>
      </c>
      <c r="AP330" s="25" t="str">
        <f>_xlfn.XLOOKUP(AO330,'TFS Details'!I:I,'TFS Details'!AE:AE)</f>
        <v>nityanand.giri</v>
      </c>
    </row>
    <row r="331" spans="1:42">
      <c r="A331" s="24" t="str">
        <f>_xlfn.XLOOKUP(F331,'TFS Details'!F:F,'TFS Details'!D:D)</f>
        <v>Automation Calculator</v>
      </c>
      <c r="B331" s="24" t="str">
        <f>_xlfn.XLOOKUP(F331,'TFS Details'!F:F,'TFS Details'!A:A)</f>
        <v>Automation calculator - Attach Calculator</v>
      </c>
      <c r="C331" s="46">
        <f>_xlfn.XLOOKUP(F331,'TFS Details'!F:F,'TFS Details'!E:E)</f>
        <v>4387285</v>
      </c>
      <c r="D331" s="250" t="s">
        <v>41</v>
      </c>
      <c r="E331" s="163" t="s">
        <v>919</v>
      </c>
      <c r="F331" s="197">
        <v>4443721</v>
      </c>
      <c r="G331" s="66" t="s">
        <v>757</v>
      </c>
      <c r="H331" s="66" t="s">
        <v>791</v>
      </c>
      <c r="I331" s="66" t="s">
        <v>249</v>
      </c>
      <c r="J331" s="250" t="s">
        <v>18</v>
      </c>
      <c r="K331" s="202" t="s">
        <v>920</v>
      </c>
      <c r="L331" s="66" t="s">
        <v>45</v>
      </c>
      <c r="M331" s="202" t="s">
        <v>249</v>
      </c>
      <c r="N331" s="202" t="s">
        <v>249</v>
      </c>
      <c r="O331" s="73" t="s">
        <v>249</v>
      </c>
      <c r="P331" s="66">
        <v>40</v>
      </c>
      <c r="Q331" s="66">
        <v>23</v>
      </c>
      <c r="R331" s="66">
        <v>0</v>
      </c>
      <c r="S331" s="66">
        <v>23</v>
      </c>
      <c r="T331" s="66">
        <v>65</v>
      </c>
      <c r="U331" s="66">
        <v>60</v>
      </c>
      <c r="V331" s="66" t="s">
        <v>204</v>
      </c>
      <c r="W331" s="66" t="s">
        <v>204</v>
      </c>
      <c r="X331" s="66" t="s">
        <v>53</v>
      </c>
      <c r="Y331" s="66" t="s">
        <v>197</v>
      </c>
      <c r="Z331" s="187">
        <v>40</v>
      </c>
      <c r="AA331" s="187">
        <v>23</v>
      </c>
      <c r="AB331" s="187">
        <v>0</v>
      </c>
      <c r="AC331" s="187">
        <v>23</v>
      </c>
      <c r="AD331" s="187">
        <v>65</v>
      </c>
      <c r="AE331" s="187" t="s">
        <v>249</v>
      </c>
      <c r="AF331" s="113" t="s">
        <v>242</v>
      </c>
      <c r="AG331" s="236">
        <v>0</v>
      </c>
      <c r="AH331" s="163">
        <v>0</v>
      </c>
      <c r="AI331" s="163">
        <v>0</v>
      </c>
      <c r="AJ331" s="163">
        <v>23</v>
      </c>
      <c r="AK331" s="38">
        <f>SUM(AG331:AJ331)</f>
        <v>23</v>
      </c>
      <c r="AL331" s="261">
        <f>IF(AG331+AH331=0,0,SUM(AG331:AH331)/AK331)</f>
        <v>0</v>
      </c>
      <c r="AM331" s="261">
        <f>IF(AG331=0,0,AG331/(SUM(AG331:AI331)))</f>
        <v>0</v>
      </c>
      <c r="AO331" s="25" t="str">
        <f>_xlfn.XLOOKUP(F331,'TFS Details'!F:F,'TFS Details'!I:I)</f>
        <v>CrazyCoders</v>
      </c>
      <c r="AP331" s="25" t="str">
        <f>_xlfn.XLOOKUP(AO331,'TFS Details'!I:I,'TFS Details'!AE:AE)</f>
        <v>nityanand.giri</v>
      </c>
    </row>
    <row r="332" spans="1:42" ht="14.45">
      <c r="A332" s="24" t="str">
        <f>_xlfn.XLOOKUP(F332,'TFS Details'!F:F,'TFS Details'!D:D)</f>
        <v>Automation Calculator</v>
      </c>
      <c r="B332" s="24" t="str">
        <f>_xlfn.XLOOKUP(F332,'TFS Details'!F:F,'TFS Details'!A:A)</f>
        <v>Automation calculator - Attach Calculator</v>
      </c>
      <c r="C332" s="222">
        <f>_xlfn.XLOOKUP(F332,'TFS Details'!F:F,'TFS Details'!E:E)</f>
        <v>4387285</v>
      </c>
      <c r="D332" s="250" t="s">
        <v>41</v>
      </c>
      <c r="E332" s="163" t="s">
        <v>921</v>
      </c>
      <c r="F332" s="197">
        <v>4443722</v>
      </c>
      <c r="G332" s="66" t="s">
        <v>752</v>
      </c>
      <c r="H332" s="66" t="s">
        <v>757</v>
      </c>
      <c r="I332" s="66" t="s">
        <v>249</v>
      </c>
      <c r="J332" s="250" t="s">
        <v>18</v>
      </c>
      <c r="K332" s="202" t="s">
        <v>922</v>
      </c>
      <c r="L332" s="66" t="s">
        <v>45</v>
      </c>
      <c r="M332" s="202" t="s">
        <v>249</v>
      </c>
      <c r="N332" s="202" t="s">
        <v>249</v>
      </c>
      <c r="O332" s="73" t="s">
        <v>249</v>
      </c>
      <c r="P332" s="66">
        <v>40</v>
      </c>
      <c r="Q332" s="66" t="s">
        <v>249</v>
      </c>
      <c r="R332" s="66" t="s">
        <v>249</v>
      </c>
      <c r="S332" s="66" t="s">
        <v>249</v>
      </c>
      <c r="T332" s="66" t="s">
        <v>249</v>
      </c>
      <c r="U332" s="66" t="s">
        <v>249</v>
      </c>
      <c r="V332" s="66" t="s">
        <v>204</v>
      </c>
      <c r="W332" s="66" t="s">
        <v>204</v>
      </c>
      <c r="X332" s="66" t="s">
        <v>216</v>
      </c>
      <c r="Y332" s="66" t="s">
        <v>197</v>
      </c>
      <c r="Z332" s="140">
        <v>33</v>
      </c>
      <c r="AA332" s="140">
        <v>21</v>
      </c>
      <c r="AB332" s="140">
        <v>0</v>
      </c>
      <c r="AC332" s="187">
        <v>21</v>
      </c>
      <c r="AD332" s="230">
        <v>0.75</v>
      </c>
      <c r="AE332" s="230">
        <v>0.84</v>
      </c>
      <c r="AF332" s="113" t="s">
        <v>242</v>
      </c>
      <c r="AG332" s="236">
        <v>0</v>
      </c>
      <c r="AH332" s="163">
        <v>0</v>
      </c>
      <c r="AI332" s="163">
        <v>0</v>
      </c>
      <c r="AJ332" s="163">
        <v>21</v>
      </c>
      <c r="AK332" s="38">
        <f>SUM(AG332:AJ332)</f>
        <v>21</v>
      </c>
      <c r="AL332" s="261">
        <f>IF(AG332+AH332=0,0,SUM(AG332:AH332)/AK332)</f>
        <v>0</v>
      </c>
      <c r="AM332" s="261">
        <f>IF(AG332=0,0,AG332/(SUM(AG332:AI332)))</f>
        <v>0</v>
      </c>
      <c r="AO332" s="25" t="str">
        <f>_xlfn.XLOOKUP(F332,'TFS Details'!F:F,'TFS Details'!I:I)</f>
        <v>CrazyCoders</v>
      </c>
      <c r="AP332" s="25" t="str">
        <f>_xlfn.XLOOKUP(AO332,'TFS Details'!I:I,'TFS Details'!AE:AE)</f>
        <v>nityanand.giri</v>
      </c>
    </row>
    <row r="333" spans="1:42">
      <c r="A333" s="24" t="str">
        <f>_xlfn.XLOOKUP(F333,'TFS Details'!F:F,'TFS Details'!D:D)</f>
        <v>Automation Calculator</v>
      </c>
      <c r="B333" s="221" t="str">
        <f>_xlfn.XLOOKUP(F333,'TFS Details'!F:F,'TFS Details'!A:A)</f>
        <v>Shift Productivity Assessment under Automation Calculator as " Automation Maturity. Mandatory for eligible AMS deals</v>
      </c>
      <c r="C333" s="225">
        <f>_xlfn.XLOOKUP(F333,'TFS Details'!F:F,'TFS Details'!E:E)</f>
        <v>4311794</v>
      </c>
      <c r="D333" s="101" t="s">
        <v>41</v>
      </c>
      <c r="E333" s="220" t="s">
        <v>923</v>
      </c>
      <c r="F333" s="214">
        <v>4443725</v>
      </c>
      <c r="G333" s="106" t="s">
        <v>284</v>
      </c>
      <c r="H333" s="106" t="s">
        <v>924</v>
      </c>
      <c r="I333" s="106" t="s">
        <v>92</v>
      </c>
      <c r="J333" s="234" t="s">
        <v>1</v>
      </c>
      <c r="K333" s="202" t="s">
        <v>249</v>
      </c>
      <c r="L333" s="66" t="s">
        <v>249</v>
      </c>
      <c r="M333" s="202" t="s">
        <v>461</v>
      </c>
      <c r="N333" s="202" t="s">
        <v>249</v>
      </c>
      <c r="O333" s="73">
        <v>0.25</v>
      </c>
      <c r="P333" s="66">
        <v>40</v>
      </c>
      <c r="Q333" s="66" t="s">
        <v>249</v>
      </c>
      <c r="R333" s="66" t="s">
        <v>249</v>
      </c>
      <c r="S333" s="66" t="s">
        <v>249</v>
      </c>
      <c r="T333" s="66" t="s">
        <v>249</v>
      </c>
      <c r="U333" s="66" t="s">
        <v>249</v>
      </c>
      <c r="V333" s="66" t="s">
        <v>204</v>
      </c>
      <c r="W333" s="66" t="s">
        <v>204</v>
      </c>
      <c r="X333" s="66" t="s">
        <v>204</v>
      </c>
      <c r="Y333" s="66" t="s">
        <v>216</v>
      </c>
      <c r="Z333" s="187">
        <v>26</v>
      </c>
      <c r="AA333" s="187">
        <v>21</v>
      </c>
      <c r="AB333" s="187">
        <v>0</v>
      </c>
      <c r="AC333" s="187">
        <v>21</v>
      </c>
      <c r="AD333" s="233">
        <v>0.80769999999999997</v>
      </c>
      <c r="AE333" s="230">
        <v>1</v>
      </c>
      <c r="AF333" s="113" t="s">
        <v>242</v>
      </c>
      <c r="AG333" s="236">
        <v>10</v>
      </c>
      <c r="AH333" s="163">
        <v>0</v>
      </c>
      <c r="AI333" s="163">
        <v>0</v>
      </c>
      <c r="AJ333" s="163">
        <v>11</v>
      </c>
      <c r="AK333" s="38">
        <f>SUM(AG333:AJ333)</f>
        <v>21</v>
      </c>
      <c r="AL333" s="261">
        <f>IF(AG333+AH333=0,0,SUM(AG333:AH333)/AK333)</f>
        <v>0.47619047619047616</v>
      </c>
      <c r="AM333" s="261">
        <f>IF(AG333=0,0,AG333/(SUM(AG333:AI333)))</f>
        <v>1</v>
      </c>
      <c r="AO333" s="25" t="str">
        <f>_xlfn.XLOOKUP(F333,'TFS Details'!F:F,'TFS Details'!I:I)</f>
        <v>Codeplayers</v>
      </c>
      <c r="AP333" s="25" t="str">
        <f>_xlfn.XLOOKUP(AO333,'TFS Details'!I:I,'TFS Details'!AE:AE)</f>
        <v>nityanand.giri</v>
      </c>
    </row>
    <row r="334" spans="1:42">
      <c r="A334" s="24" t="str">
        <f>_xlfn.XLOOKUP(F334,'TFS Details'!F:F,'TFS Details'!D:D)</f>
        <v>Drop 4 - Angular upgrade v19 to v21</v>
      </c>
      <c r="B334" s="24" t="str">
        <f>_xlfn.XLOOKUP(F334,'TFS Details'!F:F,'TFS Details'!A:A)</f>
        <v>Angular upgrade version 19 to version 21 - 9th May</v>
      </c>
      <c r="C334" s="224">
        <f>_xlfn.XLOOKUP(F334,'TFS Details'!F:F,'TFS Details'!E:E)</f>
        <v>4444328</v>
      </c>
      <c r="D334" s="250" t="s">
        <v>41</v>
      </c>
      <c r="E334" s="163" t="s">
        <v>925</v>
      </c>
      <c r="F334" s="197">
        <v>4444330</v>
      </c>
      <c r="G334" s="66" t="s">
        <v>266</v>
      </c>
      <c r="H334" s="66" t="s">
        <v>247</v>
      </c>
      <c r="I334" s="66" t="s">
        <v>249</v>
      </c>
      <c r="J334" s="250" t="s">
        <v>18</v>
      </c>
      <c r="K334" s="202" t="s">
        <v>926</v>
      </c>
      <c r="L334" s="66" t="s">
        <v>45</v>
      </c>
      <c r="M334" s="202" t="s">
        <v>249</v>
      </c>
      <c r="N334" s="202" t="s">
        <v>249</v>
      </c>
      <c r="O334" s="73" t="s">
        <v>249</v>
      </c>
      <c r="P334" s="66">
        <v>40</v>
      </c>
      <c r="Q334" s="66" t="s">
        <v>249</v>
      </c>
      <c r="R334" s="66" t="s">
        <v>249</v>
      </c>
      <c r="S334" s="66" t="s">
        <v>249</v>
      </c>
      <c r="T334" s="66" t="s">
        <v>249</v>
      </c>
      <c r="U334" s="66" t="s">
        <v>249</v>
      </c>
      <c r="V334" s="66" t="s">
        <v>204</v>
      </c>
      <c r="W334" s="66" t="s">
        <v>204</v>
      </c>
      <c r="X334" s="66" t="s">
        <v>216</v>
      </c>
      <c r="Y334" s="66" t="s">
        <v>197</v>
      </c>
      <c r="Z334" s="187">
        <v>29</v>
      </c>
      <c r="AA334" s="187">
        <v>10</v>
      </c>
      <c r="AB334" s="187">
        <v>0</v>
      </c>
      <c r="AC334" s="187">
        <v>10</v>
      </c>
      <c r="AD334" s="230">
        <v>1</v>
      </c>
      <c r="AE334" s="230">
        <v>1</v>
      </c>
      <c r="AF334" s="113" t="s">
        <v>305</v>
      </c>
      <c r="AG334" s="236">
        <v>0</v>
      </c>
      <c r="AH334" s="163">
        <v>0</v>
      </c>
      <c r="AI334" s="163">
        <v>0</v>
      </c>
      <c r="AJ334" s="163">
        <v>10</v>
      </c>
      <c r="AK334" s="38">
        <f>SUM(AG334:AJ334)</f>
        <v>10</v>
      </c>
      <c r="AL334" s="261">
        <f>IF(AG334+AH334=0,0,SUM(AG334:AH334)/AK334)</f>
        <v>0</v>
      </c>
      <c r="AM334" s="261">
        <f>IF(AG334=0,0,AG334/(SUM(AG334:AI334)))</f>
        <v>0</v>
      </c>
      <c r="AO334" s="25" t="str">
        <f>_xlfn.XLOOKUP(F334,'TFS Details'!F:F,'TFS Details'!I:I)</f>
        <v>MYISP_Revamp_UI</v>
      </c>
      <c r="AP334" s="25" t="str">
        <f>_xlfn.XLOOKUP(AO334,'TFS Details'!I:I,'TFS Details'!AE:AE)</f>
        <v>vikrant.r.mohite</v>
      </c>
    </row>
    <row r="335" spans="1:42" ht="14.45">
      <c r="A335" s="24" t="str">
        <f>_xlfn.XLOOKUP(F335,'TFS Details'!F:F,'TFS Details'!D:D)</f>
        <v>Drop 4 - Angular upgrade v19 to v21</v>
      </c>
      <c r="B335" s="24" t="str">
        <f>_xlfn.XLOOKUP(F335,'TFS Details'!F:F,'TFS Details'!A:A)</f>
        <v>Angular upgrade version 19 to version 21 - 9th May</v>
      </c>
      <c r="C335" s="46">
        <f>_xlfn.XLOOKUP(F335,'TFS Details'!F:F,'TFS Details'!E:E)</f>
        <v>4444328</v>
      </c>
      <c r="D335" s="250" t="s">
        <v>41</v>
      </c>
      <c r="E335" s="163" t="s">
        <v>927</v>
      </c>
      <c r="F335" s="197">
        <v>4444334</v>
      </c>
      <c r="G335" s="66" t="s">
        <v>752</v>
      </c>
      <c r="H335" s="66" t="s">
        <v>826</v>
      </c>
      <c r="I335" s="66" t="s">
        <v>249</v>
      </c>
      <c r="J335" s="250" t="s">
        <v>18</v>
      </c>
      <c r="K335" s="202" t="s">
        <v>928</v>
      </c>
      <c r="L335" s="66" t="s">
        <v>45</v>
      </c>
      <c r="M335" s="202" t="s">
        <v>249</v>
      </c>
      <c r="N335" s="202" t="s">
        <v>249</v>
      </c>
      <c r="O335" s="73" t="s">
        <v>249</v>
      </c>
      <c r="P335" s="66">
        <v>40</v>
      </c>
      <c r="Q335" s="66" t="s">
        <v>249</v>
      </c>
      <c r="R335" s="66" t="s">
        <v>249</v>
      </c>
      <c r="S335" s="66" t="s">
        <v>249</v>
      </c>
      <c r="T335" s="66" t="s">
        <v>249</v>
      </c>
      <c r="U335" s="66" t="s">
        <v>249</v>
      </c>
      <c r="V335" s="66" t="s">
        <v>204</v>
      </c>
      <c r="W335" s="66" t="s">
        <v>204</v>
      </c>
      <c r="X335" s="66" t="s">
        <v>216</v>
      </c>
      <c r="Y335" s="66" t="s">
        <v>197</v>
      </c>
      <c r="Z335" s="140">
        <v>42</v>
      </c>
      <c r="AA335" s="140">
        <v>13</v>
      </c>
      <c r="AB335" s="140">
        <v>0</v>
      </c>
      <c r="AC335" s="140">
        <v>13</v>
      </c>
      <c r="AD335" s="230">
        <v>0.55000000000000004</v>
      </c>
      <c r="AE335" s="230">
        <v>0.7</v>
      </c>
      <c r="AF335" s="113" t="s">
        <v>305</v>
      </c>
      <c r="AG335" s="236">
        <v>5</v>
      </c>
      <c r="AH335" s="163">
        <v>0</v>
      </c>
      <c r="AI335" s="163">
        <v>0</v>
      </c>
      <c r="AJ335" s="163">
        <v>8</v>
      </c>
      <c r="AK335" s="38">
        <f>SUM(AG335:AJ335)</f>
        <v>13</v>
      </c>
      <c r="AL335" s="261">
        <f>IF(AG335+AH335=0,0,SUM(AG335:AH335)/AK335)</f>
        <v>0.38461538461538464</v>
      </c>
      <c r="AM335" s="261">
        <f>IF(AG335=0,0,AG335/(SUM(AG335:AI335)))</f>
        <v>1</v>
      </c>
      <c r="AO335" s="25" t="str">
        <f>_xlfn.XLOOKUP(F335,'TFS Details'!F:F,'TFS Details'!I:I)</f>
        <v>MYISP_Revamp_UI</v>
      </c>
      <c r="AP335" s="25" t="str">
        <f>_xlfn.XLOOKUP(AO335,'TFS Details'!I:I,'TFS Details'!AE:AE)</f>
        <v>vikrant.r.mohite</v>
      </c>
    </row>
    <row r="336" spans="1:42">
      <c r="A336" s="24" t="str">
        <f>_xlfn.XLOOKUP(F336,'TFS Details'!F:F,'TFS Details'!D:D)</f>
        <v>Drop 4 - Angular upgrade v19 to v21</v>
      </c>
      <c r="B336" s="24" t="str">
        <f>_xlfn.XLOOKUP(F336,'TFS Details'!F:F,'TFS Details'!A:A)</f>
        <v>Angular upgrade version 19 to version 21 - 9th May</v>
      </c>
      <c r="C336" s="46">
        <f>_xlfn.XLOOKUP(F336,'TFS Details'!F:F,'TFS Details'!E:E)</f>
        <v>4444328</v>
      </c>
      <c r="D336" s="250" t="s">
        <v>41</v>
      </c>
      <c r="E336" s="163" t="s">
        <v>929</v>
      </c>
      <c r="F336" s="197">
        <v>4444335</v>
      </c>
      <c r="G336" s="66" t="s">
        <v>791</v>
      </c>
      <c r="H336" s="66" t="s">
        <v>827</v>
      </c>
      <c r="I336" s="66" t="s">
        <v>249</v>
      </c>
      <c r="J336" s="250" t="s">
        <v>18</v>
      </c>
      <c r="K336" s="202" t="s">
        <v>928</v>
      </c>
      <c r="L336" s="66" t="s">
        <v>45</v>
      </c>
      <c r="M336" s="202" t="s">
        <v>249</v>
      </c>
      <c r="N336" s="202" t="s">
        <v>249</v>
      </c>
      <c r="O336" s="73" t="s">
        <v>249</v>
      </c>
      <c r="P336" s="66">
        <v>40</v>
      </c>
      <c r="Q336" s="66" t="s">
        <v>249</v>
      </c>
      <c r="R336" s="66" t="s">
        <v>249</v>
      </c>
      <c r="S336" s="66" t="s">
        <v>249</v>
      </c>
      <c r="T336" s="66" t="s">
        <v>249</v>
      </c>
      <c r="U336" s="66" t="s">
        <v>249</v>
      </c>
      <c r="V336" s="66" t="s">
        <v>204</v>
      </c>
      <c r="W336" s="66" t="s">
        <v>204</v>
      </c>
      <c r="X336" s="66" t="s">
        <v>204</v>
      </c>
      <c r="Y336" s="66" t="s">
        <v>204</v>
      </c>
      <c r="Z336" s="187" t="s">
        <v>249</v>
      </c>
      <c r="AA336" s="187" t="s">
        <v>249</v>
      </c>
      <c r="AB336" s="187" t="s">
        <v>249</v>
      </c>
      <c r="AC336" s="187" t="s">
        <v>249</v>
      </c>
      <c r="AD336" s="187" t="s">
        <v>249</v>
      </c>
      <c r="AE336" s="187" t="s">
        <v>249</v>
      </c>
      <c r="AF336" s="113" t="s">
        <v>242</v>
      </c>
      <c r="AG336" s="236">
        <v>0</v>
      </c>
      <c r="AH336" s="163">
        <v>0</v>
      </c>
      <c r="AI336" s="163">
        <v>0</v>
      </c>
      <c r="AJ336" s="163">
        <v>0</v>
      </c>
      <c r="AK336" s="38">
        <f>SUM(AG336:AJ336)</f>
        <v>0</v>
      </c>
      <c r="AL336" s="261">
        <f>IF(AG336+AH336=0,0,SUM(AG336:AH336)/AK336)</f>
        <v>0</v>
      </c>
      <c r="AM336" s="261">
        <f>IF(AG336=0,0,AG336/(SUM(AG336:AI336)))</f>
        <v>0</v>
      </c>
      <c r="AO336" s="25" t="str">
        <f>_xlfn.XLOOKUP(F336,'TFS Details'!F:F,'TFS Details'!I:I)</f>
        <v>MYISP_Revamp_UI</v>
      </c>
      <c r="AP336" s="25" t="str">
        <f>_xlfn.XLOOKUP(AO336,'TFS Details'!I:I,'TFS Details'!AE:AE)</f>
        <v>vikrant.r.mohite</v>
      </c>
    </row>
    <row r="337" spans="1:43" ht="14.45">
      <c r="A337" s="24" t="str">
        <f>_xlfn.XLOOKUP(F337,'TFS Details'!F:F,'TFS Details'!D:D)</f>
        <v>Automation Calculator</v>
      </c>
      <c r="B337" s="24" t="str">
        <f>_xlfn.XLOOKUP(F337,'TFS Details'!F:F,'TFS Details'!A:A)</f>
        <v>Shift Productivity Assessment under Automation Calculator as " Automation Maturity. Mandatory for eligible AMS deals</v>
      </c>
      <c r="C337" s="46">
        <f>_xlfn.XLOOKUP(F337,'TFS Details'!F:F,'TFS Details'!E:E)</f>
        <v>4311794</v>
      </c>
      <c r="D337" s="250" t="s">
        <v>41</v>
      </c>
      <c r="E337" s="163" t="s">
        <v>930</v>
      </c>
      <c r="F337" s="197">
        <v>4445058</v>
      </c>
      <c r="G337" s="66" t="s">
        <v>791</v>
      </c>
      <c r="H337" s="66" t="s">
        <v>826</v>
      </c>
      <c r="I337" s="66" t="s">
        <v>90</v>
      </c>
      <c r="J337" s="66" t="s">
        <v>1</v>
      </c>
      <c r="K337" s="202" t="s">
        <v>249</v>
      </c>
      <c r="L337" s="66" t="s">
        <v>249</v>
      </c>
      <c r="M337" s="66" t="s">
        <v>311</v>
      </c>
      <c r="N337" s="202">
        <v>1</v>
      </c>
      <c r="O337" s="73">
        <v>0.35</v>
      </c>
      <c r="P337" s="66">
        <v>10</v>
      </c>
      <c r="Q337" s="66">
        <v>1</v>
      </c>
      <c r="R337" s="66">
        <v>0</v>
      </c>
      <c r="S337" s="66">
        <v>1</v>
      </c>
      <c r="T337" s="199">
        <v>1</v>
      </c>
      <c r="U337" s="199">
        <v>1</v>
      </c>
      <c r="V337" s="66" t="s">
        <v>204</v>
      </c>
      <c r="W337" s="66" t="s">
        <v>204</v>
      </c>
      <c r="X337" s="66" t="s">
        <v>204</v>
      </c>
      <c r="Y337" s="66" t="s">
        <v>204</v>
      </c>
      <c r="Z337" s="231">
        <v>30</v>
      </c>
      <c r="AA337" s="231">
        <v>25</v>
      </c>
      <c r="AB337" s="231">
        <v>0</v>
      </c>
      <c r="AC337" s="231">
        <v>25</v>
      </c>
      <c r="AD337" s="232">
        <v>1</v>
      </c>
      <c r="AE337" s="232">
        <v>1</v>
      </c>
      <c r="AF337" s="113" t="s">
        <v>242</v>
      </c>
      <c r="AG337" s="236">
        <v>25</v>
      </c>
      <c r="AH337" s="163">
        <v>0</v>
      </c>
      <c r="AI337" s="163">
        <v>0</v>
      </c>
      <c r="AJ337" s="163">
        <v>0</v>
      </c>
      <c r="AK337" s="38">
        <f>SUM(AG337:AJ337)</f>
        <v>25</v>
      </c>
      <c r="AL337" s="261">
        <f>IF(AG337+AH337=0,0,SUM(AG337:AH337)/AK337)</f>
        <v>1</v>
      </c>
      <c r="AM337" s="261">
        <f>IF(AG337=0,0,AG337/(SUM(AG337:AI337)))</f>
        <v>1</v>
      </c>
      <c r="AO337" s="25" t="str">
        <f>_xlfn.XLOOKUP(F337,'TFS Details'!F:F,'TFS Details'!I:I)</f>
        <v>Codeplayers</v>
      </c>
      <c r="AP337" s="25" t="str">
        <f>_xlfn.XLOOKUP(AO337,'TFS Details'!I:I,'TFS Details'!AE:AE)</f>
        <v>nityanand.giri</v>
      </c>
    </row>
    <row r="338" spans="1:43" ht="24">
      <c r="A338" s="24" t="str">
        <f>_xlfn.XLOOKUP(F338,'TFS Details'!F:F,'TFS Details'!D:D)</f>
        <v>Attach Calculator</v>
      </c>
      <c r="B338" s="24" t="str">
        <f>_xlfn.XLOOKUP(F338,'TFS Details'!F:F,'TFS Details'!A:A)</f>
        <v>Attach Calculator</v>
      </c>
      <c r="C338" s="46">
        <f>_xlfn.XLOOKUP(F338,'TFS Details'!F:F,'TFS Details'!E:E)</f>
        <v>4372279</v>
      </c>
      <c r="D338" s="250" t="s">
        <v>41</v>
      </c>
      <c r="E338" s="163" t="s">
        <v>931</v>
      </c>
      <c r="F338" s="197">
        <v>4446516</v>
      </c>
      <c r="G338" s="66" t="s">
        <v>846</v>
      </c>
      <c r="H338" s="66" t="s">
        <v>826</v>
      </c>
      <c r="I338" s="66"/>
      <c r="J338" s="250" t="s">
        <v>18</v>
      </c>
      <c r="K338" s="202" t="s">
        <v>932</v>
      </c>
      <c r="L338" s="234" t="s">
        <v>30</v>
      </c>
      <c r="M338" s="202"/>
      <c r="N338" s="202" t="s">
        <v>249</v>
      </c>
      <c r="O338" s="73" t="s">
        <v>249</v>
      </c>
      <c r="P338" s="66"/>
      <c r="Q338" s="66" t="s">
        <v>249</v>
      </c>
      <c r="R338" s="66" t="s">
        <v>249</v>
      </c>
      <c r="S338" s="66" t="s">
        <v>249</v>
      </c>
      <c r="T338" s="66" t="s">
        <v>249</v>
      </c>
      <c r="U338" s="66" t="s">
        <v>249</v>
      </c>
      <c r="V338" s="66" t="s">
        <v>204</v>
      </c>
      <c r="W338" s="66" t="s">
        <v>204</v>
      </c>
      <c r="X338" s="66" t="s">
        <v>204</v>
      </c>
      <c r="Y338" s="66" t="s">
        <v>216</v>
      </c>
      <c r="Z338" s="187">
        <v>24</v>
      </c>
      <c r="AA338" s="187">
        <v>24</v>
      </c>
      <c r="AB338" s="187">
        <v>6</v>
      </c>
      <c r="AC338" s="187">
        <v>30</v>
      </c>
      <c r="AD338" s="230">
        <v>0.95</v>
      </c>
      <c r="AE338" s="230">
        <v>1</v>
      </c>
      <c r="AF338" s="113" t="s">
        <v>242</v>
      </c>
      <c r="AG338" s="236">
        <v>14</v>
      </c>
      <c r="AH338" s="163">
        <v>0</v>
      </c>
      <c r="AI338" s="163">
        <v>0</v>
      </c>
      <c r="AJ338" s="163">
        <v>5</v>
      </c>
      <c r="AK338" s="38">
        <v>19</v>
      </c>
      <c r="AL338" s="261">
        <f>IF(AG338+AH338=0,0,SUM(AG338:AH338)/AK338)</f>
        <v>0.73684210526315785</v>
      </c>
      <c r="AM338" s="261">
        <f>IF(AG338=0,0,AG338/(SUM(AG338:AI338)))</f>
        <v>1</v>
      </c>
      <c r="AN338" s="17" t="s">
        <v>933</v>
      </c>
      <c r="AO338" s="25" t="str">
        <f>_xlfn.XLOOKUP(F338,'TFS Details'!F:F,'TFS Details'!I:I)</f>
        <v>TechSavers</v>
      </c>
      <c r="AP338" s="25" t="str">
        <f>_xlfn.XLOOKUP(AO338,'TFS Details'!I:I,'TFS Details'!AE:AE)</f>
        <v>nityanand.giri</v>
      </c>
    </row>
    <row r="339" spans="1:43">
      <c r="A339" s="24" t="str">
        <f>_xlfn.XLOOKUP(F339,'TFS Details'!F:F,'TFS Details'!D:D)</f>
        <v>Calculator Dashboard</v>
      </c>
      <c r="B339" s="24" t="str">
        <f>_xlfn.XLOOKUP(F339,'TFS Details'!F:F,'TFS Details'!A:A)</f>
        <v>Attach Calculator</v>
      </c>
      <c r="C339" s="46">
        <f>_xlfn.XLOOKUP(F339,'TFS Details'!F:F,'TFS Details'!E:E)</f>
        <v>4372279</v>
      </c>
      <c r="D339" s="250" t="s">
        <v>41</v>
      </c>
      <c r="E339" s="163" t="s">
        <v>934</v>
      </c>
      <c r="F339" s="197">
        <v>4447576</v>
      </c>
      <c r="G339" s="66" t="s">
        <v>754</v>
      </c>
      <c r="H339" s="66" t="s">
        <v>757</v>
      </c>
      <c r="I339" s="66" t="s">
        <v>125</v>
      </c>
      <c r="J339" s="66" t="s">
        <v>1</v>
      </c>
      <c r="K339" s="66" t="s">
        <v>249</v>
      </c>
      <c r="L339" s="66" t="s">
        <v>249</v>
      </c>
      <c r="M339" s="202" t="s">
        <v>461</v>
      </c>
      <c r="N339" s="202" t="s">
        <v>249</v>
      </c>
      <c r="O339" s="73">
        <v>0.05</v>
      </c>
      <c r="P339" s="66">
        <v>40</v>
      </c>
      <c r="Q339" s="66" t="s">
        <v>249</v>
      </c>
      <c r="R339" s="66" t="s">
        <v>249</v>
      </c>
      <c r="S339" s="66" t="s">
        <v>249</v>
      </c>
      <c r="T339" s="66" t="s">
        <v>249</v>
      </c>
      <c r="U339" s="66" t="s">
        <v>249</v>
      </c>
      <c r="V339" s="66" t="s">
        <v>204</v>
      </c>
      <c r="W339" s="66" t="s">
        <v>204</v>
      </c>
      <c r="X339" s="66" t="s">
        <v>197</v>
      </c>
      <c r="Y339" s="66" t="s">
        <v>197</v>
      </c>
      <c r="Z339" s="187">
        <v>46</v>
      </c>
      <c r="AA339" s="187">
        <v>46</v>
      </c>
      <c r="AB339" s="187">
        <v>8</v>
      </c>
      <c r="AC339" s="187">
        <v>54</v>
      </c>
      <c r="AD339" s="230">
        <v>1</v>
      </c>
      <c r="AE339" s="230">
        <v>1</v>
      </c>
      <c r="AF339" s="113" t="s">
        <v>242</v>
      </c>
      <c r="AG339" s="236">
        <v>0</v>
      </c>
      <c r="AH339" s="163">
        <v>0</v>
      </c>
      <c r="AI339" s="163">
        <v>0</v>
      </c>
      <c r="AJ339" s="163">
        <v>54</v>
      </c>
      <c r="AK339" s="38">
        <f>SUM(AG339:AJ339)</f>
        <v>54</v>
      </c>
      <c r="AL339" s="261">
        <f>IF(AG339+AH339=0,0,SUM(AG339:AH339)/AK339)</f>
        <v>0</v>
      </c>
      <c r="AM339" s="261">
        <f>IF(AG339=0,0,AG339/(SUM(AG339:AI339)))</f>
        <v>0</v>
      </c>
      <c r="AO339" s="25" t="str">
        <f>_xlfn.XLOOKUP(F339,'TFS Details'!F:F,'TFS Details'!I:I)</f>
        <v>TechSavers</v>
      </c>
      <c r="AP339" s="25" t="str">
        <f>_xlfn.XLOOKUP(AO339,'TFS Details'!I:I,'TFS Details'!AE:AE)</f>
        <v>nityanand.giri</v>
      </c>
    </row>
    <row r="340" spans="1:43">
      <c r="A340" s="24" t="str">
        <f>_xlfn.XLOOKUP(F340,'TFS Details'!F:F,'TFS Details'!D:D)</f>
        <v>Calculator</v>
      </c>
      <c r="B340" s="24" t="str">
        <f>_xlfn.XLOOKUP(F340,'TFS Details'!F:F,'TFS Details'!A:A)</f>
        <v>Attach Calculator</v>
      </c>
      <c r="C340" s="46">
        <f>_xlfn.XLOOKUP(F340,'TFS Details'!F:F,'TFS Details'!E:E)</f>
        <v>4372279</v>
      </c>
      <c r="D340" s="250" t="s">
        <v>41</v>
      </c>
      <c r="E340" s="163" t="s">
        <v>935</v>
      </c>
      <c r="F340" s="197">
        <v>4448171</v>
      </c>
      <c r="G340" s="66" t="s">
        <v>774</v>
      </c>
      <c r="H340" s="66" t="s">
        <v>754</v>
      </c>
      <c r="I340" s="66" t="s">
        <v>128</v>
      </c>
      <c r="J340" s="66" t="s">
        <v>1</v>
      </c>
      <c r="K340" s="202" t="s">
        <v>249</v>
      </c>
      <c r="L340" s="66" t="s">
        <v>249</v>
      </c>
      <c r="M340" s="202" t="s">
        <v>461</v>
      </c>
      <c r="N340" s="202" t="s">
        <v>249</v>
      </c>
      <c r="O340" s="73">
        <v>0.05</v>
      </c>
      <c r="P340" s="66">
        <v>40</v>
      </c>
      <c r="Q340" s="66" t="s">
        <v>249</v>
      </c>
      <c r="R340" s="66" t="s">
        <v>249</v>
      </c>
      <c r="S340" s="66" t="s">
        <v>249</v>
      </c>
      <c r="T340" s="66" t="s">
        <v>249</v>
      </c>
      <c r="U340" s="66" t="s">
        <v>249</v>
      </c>
      <c r="V340" s="66" t="s">
        <v>204</v>
      </c>
      <c r="W340" s="66" t="s">
        <v>204</v>
      </c>
      <c r="X340" s="66" t="s">
        <v>197</v>
      </c>
      <c r="Y340" s="17" t="s">
        <v>204</v>
      </c>
      <c r="Z340" s="187">
        <v>23</v>
      </c>
      <c r="AA340" s="187">
        <v>18</v>
      </c>
      <c r="AB340" s="187">
        <v>0</v>
      </c>
      <c r="AC340" s="187">
        <v>18</v>
      </c>
      <c r="AD340" s="230">
        <v>1</v>
      </c>
      <c r="AE340" s="230">
        <v>1</v>
      </c>
      <c r="AF340" s="113" t="s">
        <v>242</v>
      </c>
      <c r="AG340" s="236">
        <v>18</v>
      </c>
      <c r="AH340" s="163">
        <v>0</v>
      </c>
      <c r="AI340" s="163">
        <v>0</v>
      </c>
      <c r="AJ340" s="163">
        <v>0</v>
      </c>
      <c r="AK340" s="38">
        <f>SUM(AG340:AJ340)</f>
        <v>18</v>
      </c>
      <c r="AL340" s="261">
        <f>IF(AG340+AH340=0,0,SUM(AG340:AH340)/AK340)</f>
        <v>1</v>
      </c>
      <c r="AM340" s="261">
        <f>IF(AG340=0,0,AG340/(SUM(AG340:AI340)))</f>
        <v>1</v>
      </c>
      <c r="AO340" s="25" t="str">
        <f>_xlfn.XLOOKUP(F340,'TFS Details'!F:F,'TFS Details'!I:I)</f>
        <v>TechSavers</v>
      </c>
      <c r="AP340" s="25" t="str">
        <f>_xlfn.XLOOKUP(AO340,'TFS Details'!I:I,'TFS Details'!AE:AE)</f>
        <v>nityanand.giri</v>
      </c>
    </row>
    <row r="341" spans="1:43">
      <c r="A341" s="24" t="str">
        <f>_xlfn.XLOOKUP(F341,'TFS Details'!F:F,'TFS Details'!D:D)</f>
        <v>Calculator Dashboard</v>
      </c>
      <c r="B341" s="24" t="str">
        <f>_xlfn.XLOOKUP(F341,'TFS Details'!F:F,'TFS Details'!A:A)</f>
        <v>Attach Calculator</v>
      </c>
      <c r="C341" s="46">
        <f>_xlfn.XLOOKUP(F341,'TFS Details'!F:F,'TFS Details'!E:E)</f>
        <v>4372279</v>
      </c>
      <c r="D341" s="250" t="s">
        <v>41</v>
      </c>
      <c r="E341" s="163" t="s">
        <v>936</v>
      </c>
      <c r="F341" s="197">
        <v>4448490</v>
      </c>
      <c r="G341" s="66" t="s">
        <v>757</v>
      </c>
      <c r="H341" s="66" t="s">
        <v>752</v>
      </c>
      <c r="I341" s="66" t="s">
        <v>100</v>
      </c>
      <c r="J341" s="250" t="s">
        <v>20</v>
      </c>
      <c r="K341" s="202" t="s">
        <v>937</v>
      </c>
      <c r="L341" s="66" t="s">
        <v>30</v>
      </c>
      <c r="M341" s="202" t="s">
        <v>311</v>
      </c>
      <c r="N341" s="202" t="s">
        <v>249</v>
      </c>
      <c r="O341" s="73">
        <v>0.2</v>
      </c>
      <c r="P341" s="66">
        <v>5</v>
      </c>
      <c r="Q341" s="66">
        <v>2</v>
      </c>
      <c r="R341" s="66">
        <v>0</v>
      </c>
      <c r="S341" s="66">
        <v>2</v>
      </c>
      <c r="T341" s="66">
        <v>75</v>
      </c>
      <c r="U341" s="66">
        <v>75</v>
      </c>
      <c r="V341" s="66" t="s">
        <v>204</v>
      </c>
      <c r="W341" s="66" t="s">
        <v>204</v>
      </c>
      <c r="X341" s="66" t="s">
        <v>204</v>
      </c>
      <c r="Y341" s="66" t="s">
        <v>197</v>
      </c>
      <c r="Z341" s="187">
        <v>40</v>
      </c>
      <c r="AA341" s="187">
        <v>36</v>
      </c>
      <c r="AB341" s="187">
        <v>0</v>
      </c>
      <c r="AC341" s="187">
        <v>36</v>
      </c>
      <c r="AD341" s="271">
        <v>0.9</v>
      </c>
      <c r="AE341" s="271">
        <v>0.9</v>
      </c>
      <c r="AF341" s="113" t="s">
        <v>242</v>
      </c>
      <c r="AG341" s="236">
        <v>0</v>
      </c>
      <c r="AH341" s="163">
        <v>0</v>
      </c>
      <c r="AI341" s="163">
        <v>0</v>
      </c>
      <c r="AJ341" s="163">
        <v>36</v>
      </c>
      <c r="AK341" s="38">
        <f>SUM(AG341:AJ341)</f>
        <v>36</v>
      </c>
      <c r="AL341" s="261">
        <f>IF(AG341+AH341=0,0,SUM(AG341:AH341)/AK341)</f>
        <v>0</v>
      </c>
      <c r="AM341" s="261">
        <f>IF(AG341=0,0,AG341/(SUM(AG341:AI341)))</f>
        <v>0</v>
      </c>
      <c r="AO341" s="25" t="str">
        <f>_xlfn.XLOOKUP(F341,'TFS Details'!F:F,'TFS Details'!I:I)</f>
        <v>CrazyCoders</v>
      </c>
      <c r="AP341" s="25" t="str">
        <f>_xlfn.XLOOKUP(AO341,'TFS Details'!I:I,'TFS Details'!AE:AE)</f>
        <v>nityanand.giri</v>
      </c>
    </row>
    <row r="342" spans="1:43">
      <c r="A342" s="24" t="str">
        <f>_xlfn.XLOOKUP(F342,'TFS Details'!F:F,'TFS Details'!D:D)</f>
        <v>Attach Calculator</v>
      </c>
      <c r="B342" s="24" t="str">
        <f>_xlfn.XLOOKUP(F342,'TFS Details'!F:F,'TFS Details'!A:A)</f>
        <v>Attach Calculator</v>
      </c>
      <c r="C342" s="46">
        <f>_xlfn.XLOOKUP(F342,'TFS Details'!F:F,'TFS Details'!E:E)</f>
        <v>4372279</v>
      </c>
      <c r="D342" s="250" t="s">
        <v>41</v>
      </c>
      <c r="E342" s="163" t="s">
        <v>938</v>
      </c>
      <c r="F342" s="197">
        <v>4448492</v>
      </c>
      <c r="G342" s="66" t="s">
        <v>846</v>
      </c>
      <c r="H342" s="66" t="s">
        <v>754</v>
      </c>
      <c r="I342" s="66" t="s">
        <v>249</v>
      </c>
      <c r="J342" s="250" t="s">
        <v>18</v>
      </c>
      <c r="K342" s="159" t="s">
        <v>939</v>
      </c>
      <c r="L342" s="234" t="s">
        <v>30</v>
      </c>
      <c r="M342" s="202" t="s">
        <v>249</v>
      </c>
      <c r="N342" s="202" t="s">
        <v>249</v>
      </c>
      <c r="O342" s="73" t="s">
        <v>249</v>
      </c>
      <c r="P342" s="66" t="s">
        <v>249</v>
      </c>
      <c r="Q342" s="66" t="s">
        <v>249</v>
      </c>
      <c r="R342" s="66" t="s">
        <v>249</v>
      </c>
      <c r="S342" s="66" t="s">
        <v>249</v>
      </c>
      <c r="T342" s="66" t="s">
        <v>249</v>
      </c>
      <c r="U342" s="66" t="s">
        <v>249</v>
      </c>
      <c r="V342" s="66" t="s">
        <v>204</v>
      </c>
      <c r="W342" s="66" t="s">
        <v>204</v>
      </c>
      <c r="X342" s="66" t="s">
        <v>204</v>
      </c>
      <c r="Y342" s="66" t="s">
        <v>197</v>
      </c>
      <c r="Z342" s="187">
        <v>46</v>
      </c>
      <c r="AA342" s="187">
        <v>43</v>
      </c>
      <c r="AB342" s="187">
        <v>9</v>
      </c>
      <c r="AC342" s="187">
        <v>52</v>
      </c>
      <c r="AD342" s="230">
        <v>1</v>
      </c>
      <c r="AE342" s="230">
        <v>1</v>
      </c>
      <c r="AF342" s="113" t="s">
        <v>242</v>
      </c>
      <c r="AG342" s="236">
        <v>0</v>
      </c>
      <c r="AH342" s="163">
        <v>0</v>
      </c>
      <c r="AI342" s="163">
        <v>0</v>
      </c>
      <c r="AJ342" s="163">
        <v>52</v>
      </c>
      <c r="AK342" s="38">
        <f>SUM(AG342:AJ342)</f>
        <v>52</v>
      </c>
      <c r="AL342" s="261">
        <f>IF(AG342+AH342=0,0,SUM(AG342:AH342)/AK342)</f>
        <v>0</v>
      </c>
      <c r="AM342" s="261">
        <f>IF(AG342=0,0,AG342/(SUM(AG342:AI342)))</f>
        <v>0</v>
      </c>
      <c r="AO342" s="25" t="str">
        <f>_xlfn.XLOOKUP(F342,'TFS Details'!F:F,'TFS Details'!I:I)</f>
        <v>TechSavers</v>
      </c>
      <c r="AP342" s="25" t="str">
        <f>_xlfn.XLOOKUP(AO342,'TFS Details'!I:I,'TFS Details'!AE:AE)</f>
        <v>nityanand.giri</v>
      </c>
    </row>
    <row r="343" spans="1:43">
      <c r="A343" s="24" t="str">
        <f>_xlfn.XLOOKUP(F343,'TFS Details'!F:F,'TFS Details'!D:D)</f>
        <v>Attach Calculator</v>
      </c>
      <c r="B343" s="24" t="str">
        <f>_xlfn.XLOOKUP(F343,'TFS Details'!F:F,'TFS Details'!A:A)</f>
        <v>Attach Calculator</v>
      </c>
      <c r="C343" s="222">
        <f>_xlfn.XLOOKUP(F343,'TFS Details'!F:F,'TFS Details'!E:E)</f>
        <v>4372279</v>
      </c>
      <c r="D343" s="250" t="s">
        <v>41</v>
      </c>
      <c r="E343" s="163" t="s">
        <v>940</v>
      </c>
      <c r="F343" s="197">
        <v>4448499</v>
      </c>
      <c r="G343" s="66" t="s">
        <v>770</v>
      </c>
      <c r="H343" s="66" t="s">
        <v>754</v>
      </c>
      <c r="I343" s="66" t="s">
        <v>92</v>
      </c>
      <c r="J343" s="66" t="s">
        <v>1</v>
      </c>
      <c r="K343" s="202" t="s">
        <v>249</v>
      </c>
      <c r="L343" s="66" t="s">
        <v>249</v>
      </c>
      <c r="M343" s="202" t="s">
        <v>311</v>
      </c>
      <c r="N343" s="202" t="s">
        <v>249</v>
      </c>
      <c r="O343" s="73">
        <v>0.3</v>
      </c>
      <c r="P343" s="66" t="s">
        <v>249</v>
      </c>
      <c r="Q343" s="66" t="s">
        <v>249</v>
      </c>
      <c r="R343" s="66" t="s">
        <v>249</v>
      </c>
      <c r="S343" s="66" t="s">
        <v>249</v>
      </c>
      <c r="T343" s="66" t="s">
        <v>249</v>
      </c>
      <c r="U343" s="66" t="s">
        <v>249</v>
      </c>
      <c r="V343" s="66" t="s">
        <v>204</v>
      </c>
      <c r="W343" s="66" t="s">
        <v>204</v>
      </c>
      <c r="X343" s="66" t="s">
        <v>204</v>
      </c>
      <c r="Y343" s="66" t="s">
        <v>216</v>
      </c>
      <c r="Z343" s="187">
        <v>24</v>
      </c>
      <c r="AA343" s="187" t="s">
        <v>941</v>
      </c>
      <c r="AB343" s="187">
        <v>0</v>
      </c>
      <c r="AC343" s="187">
        <v>14</v>
      </c>
      <c r="AD343" s="230">
        <v>0.9</v>
      </c>
      <c r="AE343" s="230">
        <v>0.9</v>
      </c>
      <c r="AF343" s="113" t="s">
        <v>242</v>
      </c>
      <c r="AG343" s="236">
        <v>7</v>
      </c>
      <c r="AH343" s="163">
        <v>0</v>
      </c>
      <c r="AI343" s="163">
        <v>0</v>
      </c>
      <c r="AJ343" s="163">
        <v>7</v>
      </c>
      <c r="AK343" s="38">
        <f>SUM(AG343:AJ343)</f>
        <v>14</v>
      </c>
      <c r="AL343" s="261">
        <f>IF(AG343+AH343=0,0,SUM(AG343:AH343)/AK343)</f>
        <v>0.5</v>
      </c>
      <c r="AM343" s="261">
        <f>IF(AG343=0,0,AG343/(SUM(AG343:AI343)))</f>
        <v>1</v>
      </c>
      <c r="AO343" s="25" t="str">
        <f>_xlfn.XLOOKUP(F343,'TFS Details'!F:F,'TFS Details'!I:I)</f>
        <v>CrazyCoders</v>
      </c>
      <c r="AP343" s="25" t="str">
        <f>_xlfn.XLOOKUP(AO343,'TFS Details'!I:I,'TFS Details'!AE:AE)</f>
        <v>nityanand.giri</v>
      </c>
    </row>
    <row r="344" spans="1:43">
      <c r="A344" s="24" t="str">
        <f>_xlfn.XLOOKUP(F344,'TFS Details'!F:F,'TFS Details'!D:D)</f>
        <v>Differentiation</v>
      </c>
      <c r="B344" s="221" t="str">
        <f>_xlfn.XLOOKUP(F344,'TFS Details'!F:F,'TFS Details'!A:A)</f>
        <v>Attach Calculator</v>
      </c>
      <c r="C344" s="225">
        <f>_xlfn.XLOOKUP(F344,'TFS Details'!F:F,'TFS Details'!E:E)</f>
        <v>4372279</v>
      </c>
      <c r="D344" s="101" t="s">
        <v>41</v>
      </c>
      <c r="E344" s="220" t="s">
        <v>942</v>
      </c>
      <c r="F344" s="214">
        <v>4449970</v>
      </c>
      <c r="G344" s="106" t="s">
        <v>284</v>
      </c>
      <c r="H344" s="106" t="s">
        <v>826</v>
      </c>
      <c r="I344" s="106" t="s">
        <v>249</v>
      </c>
      <c r="J344" s="250" t="s">
        <v>18</v>
      </c>
      <c r="K344" s="202" t="s">
        <v>943</v>
      </c>
      <c r="L344" s="66" t="s">
        <v>45</v>
      </c>
      <c r="M344" s="202" t="s">
        <v>249</v>
      </c>
      <c r="N344" s="202" t="s">
        <v>249</v>
      </c>
      <c r="O344" s="73" t="s">
        <v>249</v>
      </c>
      <c r="P344" s="66" t="s">
        <v>249</v>
      </c>
      <c r="Q344" s="66" t="s">
        <v>249</v>
      </c>
      <c r="R344" s="66" t="s">
        <v>249</v>
      </c>
      <c r="S344" s="66" t="s">
        <v>249</v>
      </c>
      <c r="T344" s="66" t="s">
        <v>249</v>
      </c>
      <c r="U344" s="66" t="s">
        <v>249</v>
      </c>
      <c r="V344" s="66" t="s">
        <v>204</v>
      </c>
      <c r="W344" s="66" t="s">
        <v>204</v>
      </c>
      <c r="X344" s="66" t="s">
        <v>204</v>
      </c>
      <c r="Y344" s="66" t="s">
        <v>197</v>
      </c>
      <c r="Z344" s="187">
        <v>40</v>
      </c>
      <c r="AA344" s="187">
        <v>23</v>
      </c>
      <c r="AB344" s="187">
        <v>0</v>
      </c>
      <c r="AC344" s="187">
        <v>23</v>
      </c>
      <c r="AD344" s="233">
        <v>0.57499999999999996</v>
      </c>
      <c r="AE344" s="230">
        <v>1</v>
      </c>
      <c r="AF344" s="113" t="s">
        <v>242</v>
      </c>
      <c r="AG344" s="236">
        <v>0</v>
      </c>
      <c r="AH344" s="163">
        <v>0</v>
      </c>
      <c r="AI344" s="163">
        <v>0</v>
      </c>
      <c r="AJ344" s="163">
        <v>23</v>
      </c>
      <c r="AK344" s="38">
        <f>SUM(AG344:AJ344)</f>
        <v>23</v>
      </c>
      <c r="AL344" s="261">
        <f>IF(AG344+AH344=0,0,SUM(AG344:AH344)/AK344)</f>
        <v>0</v>
      </c>
      <c r="AM344" s="261">
        <f>IF(AG344=0,0,AG344/(SUM(AG344:AI344)))</f>
        <v>0</v>
      </c>
      <c r="AO344" s="25" t="str">
        <f>_xlfn.XLOOKUP(F344,'TFS Details'!F:F,'TFS Details'!I:I)</f>
        <v>CrazyCoders</v>
      </c>
      <c r="AP344" s="25" t="str">
        <f>_xlfn.XLOOKUP(AO344,'TFS Details'!I:I,'TFS Details'!AE:AE)</f>
        <v>nityanand.giri</v>
      </c>
    </row>
    <row r="345" spans="1:43" ht="12.95">
      <c r="A345" s="24" t="str">
        <f>_xlfn.XLOOKUP(F345,'TFS Details'!F:F,'TFS Details'!D:D)</f>
        <v>Attach Calculator</v>
      </c>
      <c r="B345" s="24" t="str">
        <f>_xlfn.XLOOKUP(F345,'TFS Details'!F:F,'TFS Details'!A:A)</f>
        <v>Attach Calculator</v>
      </c>
      <c r="C345" s="224">
        <f>_xlfn.XLOOKUP(F345,'TFS Details'!F:F,'TFS Details'!E:E)</f>
        <v>4372279</v>
      </c>
      <c r="D345" s="250" t="s">
        <v>41</v>
      </c>
      <c r="E345" s="163" t="s">
        <v>944</v>
      </c>
      <c r="F345" s="197">
        <v>4450158</v>
      </c>
      <c r="G345" s="66" t="s">
        <v>752</v>
      </c>
      <c r="H345" s="66" t="s">
        <v>945</v>
      </c>
      <c r="I345" s="66" t="s">
        <v>127</v>
      </c>
      <c r="J345" s="250" t="s">
        <v>20</v>
      </c>
      <c r="K345" s="205" t="s">
        <v>946</v>
      </c>
      <c r="L345" s="234" t="s">
        <v>30</v>
      </c>
      <c r="M345" s="202" t="s">
        <v>249</v>
      </c>
      <c r="N345" s="202" t="s">
        <v>249</v>
      </c>
      <c r="O345" s="73">
        <v>0.1</v>
      </c>
      <c r="P345" s="66" t="s">
        <v>249</v>
      </c>
      <c r="Q345" s="66" t="s">
        <v>249</v>
      </c>
      <c r="R345" s="66" t="s">
        <v>249</v>
      </c>
      <c r="S345" s="66" t="s">
        <v>249</v>
      </c>
      <c r="T345" s="66" t="s">
        <v>249</v>
      </c>
      <c r="U345" s="66" t="s">
        <v>249</v>
      </c>
      <c r="V345" s="66" t="s">
        <v>204</v>
      </c>
      <c r="W345" s="66" t="s">
        <v>204</v>
      </c>
      <c r="X345" s="66" t="s">
        <v>216</v>
      </c>
      <c r="Y345" s="66" t="s">
        <v>197</v>
      </c>
      <c r="Z345" s="187">
        <v>45</v>
      </c>
      <c r="AA345" s="187">
        <v>30</v>
      </c>
      <c r="AB345" s="187">
        <v>0</v>
      </c>
      <c r="AC345" s="187">
        <v>30</v>
      </c>
      <c r="AD345" s="230">
        <v>0.7</v>
      </c>
      <c r="AE345" s="230">
        <v>0.89</v>
      </c>
      <c r="AF345" s="113" t="s">
        <v>242</v>
      </c>
      <c r="AG345" s="236">
        <v>0</v>
      </c>
      <c r="AH345" s="163">
        <v>0</v>
      </c>
      <c r="AI345" s="163">
        <v>0</v>
      </c>
      <c r="AJ345" s="163">
        <v>30</v>
      </c>
      <c r="AK345" s="38">
        <f>SUM(AG345:AJ345)</f>
        <v>30</v>
      </c>
      <c r="AL345" s="261">
        <f>IF(AG345+AH345=0,0,SUM(AG345:AH345)/AK345)</f>
        <v>0</v>
      </c>
      <c r="AM345" s="261">
        <f>IF(AG345=0,0,AG345/(SUM(AG345:AI345)))</f>
        <v>0</v>
      </c>
      <c r="AO345" s="25" t="str">
        <f>_xlfn.XLOOKUP(F345,'TFS Details'!F:F,'TFS Details'!I:I)</f>
        <v>TitansPlus</v>
      </c>
      <c r="AP345" s="25" t="str">
        <f>_xlfn.XLOOKUP(AO345,'TFS Details'!I:I,'TFS Details'!AE:AE)</f>
        <v>nityanand.giri</v>
      </c>
    </row>
    <row r="346" spans="1:43" ht="14.45">
      <c r="A346" s="24" t="str">
        <f>_xlfn.XLOOKUP(F346,'TFS Details'!F:F,'TFS Details'!D:D)</f>
        <v>Attach Calculator</v>
      </c>
      <c r="B346" s="24" t="str">
        <f>_xlfn.XLOOKUP(F346,'TFS Details'!F:F,'TFS Details'!A:A)</f>
        <v>Attach Calculator</v>
      </c>
      <c r="C346" s="46">
        <f>_xlfn.XLOOKUP(F346,'TFS Details'!F:F,'TFS Details'!E:E)</f>
        <v>4372279</v>
      </c>
      <c r="D346" s="250" t="s">
        <v>41</v>
      </c>
      <c r="E346" s="116" t="s">
        <v>947</v>
      </c>
      <c r="F346" s="206">
        <v>4454065</v>
      </c>
      <c r="G346" s="234" t="s">
        <v>846</v>
      </c>
      <c r="H346" s="66" t="s">
        <v>754</v>
      </c>
      <c r="I346" s="104" t="s">
        <v>73</v>
      </c>
      <c r="J346" s="66" t="s">
        <v>1</v>
      </c>
      <c r="K346" s="204"/>
      <c r="L346" s="66"/>
      <c r="M346" s="202" t="s">
        <v>249</v>
      </c>
      <c r="N346" s="202" t="s">
        <v>249</v>
      </c>
      <c r="O346" s="73">
        <v>0.3</v>
      </c>
      <c r="P346" s="66">
        <v>22</v>
      </c>
      <c r="Q346" s="66">
        <v>0</v>
      </c>
      <c r="R346" s="66">
        <v>2</v>
      </c>
      <c r="S346" s="66">
        <v>2</v>
      </c>
      <c r="T346" s="66">
        <v>40</v>
      </c>
      <c r="U346" s="66">
        <v>20</v>
      </c>
      <c r="V346" s="200" t="s">
        <v>204</v>
      </c>
      <c r="W346" s="66" t="s">
        <v>204</v>
      </c>
      <c r="X346" s="66" t="s">
        <v>204</v>
      </c>
      <c r="Y346" s="66" t="s">
        <v>204</v>
      </c>
      <c r="Z346" s="187">
        <v>45</v>
      </c>
      <c r="AA346" s="187">
        <v>22</v>
      </c>
      <c r="AB346" s="187">
        <v>0</v>
      </c>
      <c r="AC346" s="187">
        <v>22</v>
      </c>
      <c r="AD346" s="230">
        <v>1</v>
      </c>
      <c r="AE346" s="230">
        <v>1</v>
      </c>
      <c r="AF346" s="113" t="s">
        <v>305</v>
      </c>
      <c r="AG346" s="236">
        <v>22</v>
      </c>
      <c r="AH346" s="163">
        <v>0</v>
      </c>
      <c r="AI346" s="163">
        <v>0</v>
      </c>
      <c r="AJ346" s="163">
        <v>0</v>
      </c>
      <c r="AK346" s="38">
        <v>22</v>
      </c>
      <c r="AL346" s="261">
        <f>IF(AG346+AH346=0,0,SUM(AG346:AH346)/AK346)</f>
        <v>1</v>
      </c>
      <c r="AM346" s="261">
        <f>IF(AG346=0,0,AG346/(SUM(AG346:AI346)))</f>
        <v>1</v>
      </c>
      <c r="AO346" s="25" t="str">
        <f>_xlfn.XLOOKUP(F346,'TFS Details'!F:F,'TFS Details'!I:I)</f>
        <v>MYISP_Revamp_UI</v>
      </c>
      <c r="AP346" s="25" t="str">
        <f>_xlfn.XLOOKUP(AO346,'TFS Details'!I:I,'TFS Details'!AE:AE)</f>
        <v>vikrant.r.mohite</v>
      </c>
    </row>
    <row r="347" spans="1:43" ht="36">
      <c r="A347" s="24" t="str">
        <f>_xlfn.XLOOKUP(F347,'TFS Details'!F:F,'TFS Details'!D:D)</f>
        <v>IMS Mobilization Calculator</v>
      </c>
      <c r="B347" s="24" t="str">
        <f>_xlfn.XLOOKUP(F347,'TFS Details'!F:F,'TFS Details'!A:A)</f>
        <v>IMS Mobilization Calculator enablement-Top Down/Bottom Up</v>
      </c>
      <c r="C347" s="46">
        <f>_xlfn.XLOOKUP(F347,'TFS Details'!F:F,'TFS Details'!E:E)</f>
        <v>4386528</v>
      </c>
      <c r="D347" s="250" t="s">
        <v>41</v>
      </c>
      <c r="E347" s="101" t="s">
        <v>948</v>
      </c>
      <c r="F347" s="207">
        <v>4389790</v>
      </c>
      <c r="G347" s="101" t="s">
        <v>885</v>
      </c>
      <c r="H347" s="66" t="s">
        <v>266</v>
      </c>
      <c r="I347" s="101" t="s">
        <v>95</v>
      </c>
      <c r="J347" s="250" t="s">
        <v>20</v>
      </c>
      <c r="K347" s="202" t="s">
        <v>886</v>
      </c>
      <c r="L347" s="66" t="s">
        <v>30</v>
      </c>
      <c r="M347" s="202" t="s">
        <v>249</v>
      </c>
      <c r="N347" s="202" t="s">
        <v>249</v>
      </c>
      <c r="O347" s="73">
        <v>0.05</v>
      </c>
      <c r="P347" s="66" t="s">
        <v>249</v>
      </c>
      <c r="Q347" s="66" t="s">
        <v>249</v>
      </c>
      <c r="R347" s="66" t="s">
        <v>249</v>
      </c>
      <c r="S347" s="66" t="s">
        <v>249</v>
      </c>
      <c r="T347" s="66" t="s">
        <v>249</v>
      </c>
      <c r="U347" s="66" t="s">
        <v>249</v>
      </c>
      <c r="V347" s="201" t="s">
        <v>204</v>
      </c>
      <c r="W347" s="66" t="s">
        <v>204</v>
      </c>
      <c r="X347" s="66" t="s">
        <v>197</v>
      </c>
      <c r="Y347" s="66" t="s">
        <v>183</v>
      </c>
      <c r="Z347" s="187">
        <v>38</v>
      </c>
      <c r="AA347" s="187">
        <v>20</v>
      </c>
      <c r="AB347" s="187">
        <v>0</v>
      </c>
      <c r="AC347" s="187">
        <v>20</v>
      </c>
      <c r="AD347" s="230">
        <v>1</v>
      </c>
      <c r="AE347" s="230">
        <v>0.9</v>
      </c>
      <c r="AF347" s="113" t="s">
        <v>242</v>
      </c>
      <c r="AG347" s="236">
        <v>0</v>
      </c>
      <c r="AH347" s="163">
        <v>0</v>
      </c>
      <c r="AI347" s="163">
        <v>0</v>
      </c>
      <c r="AJ347" s="163">
        <v>20</v>
      </c>
      <c r="AK347" s="38">
        <f>SUM(AG347:AJ347)</f>
        <v>20</v>
      </c>
      <c r="AL347" s="261">
        <f>IF(AG347+AH347=0,0,SUM(AG347:AH347)/AK347)</f>
        <v>0</v>
      </c>
      <c r="AM347" s="261">
        <f>IF(AG347=0,0,AG347/(SUM(AG347:AI347)))</f>
        <v>0</v>
      </c>
      <c r="AO347" s="25" t="str">
        <f>_xlfn.XLOOKUP(F347,'TFS Details'!F:F,'TFS Details'!I:I)</f>
        <v>TechWarriors</v>
      </c>
      <c r="AP347" s="25" t="str">
        <f>_xlfn.XLOOKUP(AO347,'TFS Details'!I:I,'TFS Details'!AE:AE)</f>
        <v>Supriya.a.dhingra</v>
      </c>
    </row>
    <row r="348" spans="1:43">
      <c r="A348" s="24" t="str">
        <f>_xlfn.XLOOKUP(F348,'TFS Details'!F:F,'TFS Details'!D:D)</f>
        <v>IMS Mobilization Calculator</v>
      </c>
      <c r="B348" s="24" t="str">
        <f>_xlfn.XLOOKUP(F348,'TFS Details'!F:F,'TFS Details'!A:A)</f>
        <v>IMS Mobilization Calculator enablement-Top Down/Bottom Up</v>
      </c>
      <c r="C348" s="46">
        <f>_xlfn.XLOOKUP(F348,'TFS Details'!F:F,'TFS Details'!E:E)</f>
        <v>4386528</v>
      </c>
      <c r="D348" s="250" t="s">
        <v>41</v>
      </c>
      <c r="E348" s="66" t="s">
        <v>949</v>
      </c>
      <c r="F348" s="208">
        <v>4389725</v>
      </c>
      <c r="G348" s="66" t="s">
        <v>885</v>
      </c>
      <c r="H348" s="66" t="s">
        <v>266</v>
      </c>
      <c r="I348" s="66" t="s">
        <v>95</v>
      </c>
      <c r="J348" s="66" t="s">
        <v>1</v>
      </c>
      <c r="K348" s="202" t="s">
        <v>249</v>
      </c>
      <c r="L348" s="66" t="s">
        <v>249</v>
      </c>
      <c r="M348" s="202" t="s">
        <v>461</v>
      </c>
      <c r="N348" s="202" t="s">
        <v>249</v>
      </c>
      <c r="O348" s="73">
        <v>0.2</v>
      </c>
      <c r="P348" s="66" t="s">
        <v>249</v>
      </c>
      <c r="Q348" s="66" t="s">
        <v>249</v>
      </c>
      <c r="R348" s="66" t="s">
        <v>249</v>
      </c>
      <c r="S348" s="66" t="s">
        <v>249</v>
      </c>
      <c r="T348" s="66" t="s">
        <v>249</v>
      </c>
      <c r="U348" s="66" t="s">
        <v>249</v>
      </c>
      <c r="V348" s="201" t="s">
        <v>204</v>
      </c>
      <c r="W348" s="66" t="s">
        <v>204</v>
      </c>
      <c r="X348" s="66" t="s">
        <v>197</v>
      </c>
      <c r="Y348" s="66" t="s">
        <v>183</v>
      </c>
      <c r="Z348" s="187">
        <v>37</v>
      </c>
      <c r="AA348" s="187">
        <v>11</v>
      </c>
      <c r="AB348" s="187">
        <v>1</v>
      </c>
      <c r="AC348" s="187">
        <v>12</v>
      </c>
      <c r="AD348" s="230">
        <v>0.9</v>
      </c>
      <c r="AE348" s="230">
        <v>0.9</v>
      </c>
      <c r="AF348" s="113" t="s">
        <v>242</v>
      </c>
      <c r="AG348" s="236">
        <v>0</v>
      </c>
      <c r="AH348" s="163">
        <v>0</v>
      </c>
      <c r="AI348" s="163">
        <v>0</v>
      </c>
      <c r="AJ348" s="163">
        <v>12</v>
      </c>
      <c r="AK348" s="38">
        <f>SUM(AG348:AJ348)</f>
        <v>12</v>
      </c>
      <c r="AL348" s="261">
        <f>IF(AG348+AH348=0,0,SUM(AG348:AH348)/AK348)</f>
        <v>0</v>
      </c>
      <c r="AM348" s="261">
        <f>IF(AG348=0,0,AG348/(SUM(AG348:AI348)))</f>
        <v>0</v>
      </c>
      <c r="AO348" s="25" t="str">
        <f>_xlfn.XLOOKUP(F348,'TFS Details'!F:F,'TFS Details'!I:I)</f>
        <v>TechWarriors</v>
      </c>
      <c r="AP348" s="25" t="str">
        <f>_xlfn.XLOOKUP(AO348,'TFS Details'!I:I,'TFS Details'!AE:AE)</f>
        <v>Supriya.a.dhingra</v>
      </c>
    </row>
    <row r="349" spans="1:43" ht="24">
      <c r="A349" s="24" t="str">
        <f>_xlfn.XLOOKUP(F349,'TFS Details'!F:F,'TFS Details'!D:D)</f>
        <v>PMO</v>
      </c>
      <c r="B349" s="24" t="str">
        <f>_xlfn.XLOOKUP(F349,'TFS Details'!F:F,'TFS Details'!A:A)</f>
        <v>[PMO] URL update for Manage and Dashboard screens</v>
      </c>
      <c r="C349" s="46">
        <f>_xlfn.XLOOKUP(F349,'TFS Details'!F:F,'TFS Details'!E:E)</f>
        <v>4440976</v>
      </c>
      <c r="D349" s="250" t="s">
        <v>41</v>
      </c>
      <c r="E349" s="66" t="s">
        <v>950</v>
      </c>
      <c r="F349" s="208">
        <v>4457575</v>
      </c>
      <c r="G349" s="66" t="s">
        <v>827</v>
      </c>
      <c r="H349" s="66" t="s">
        <v>826</v>
      </c>
      <c r="I349" s="66" t="s">
        <v>249</v>
      </c>
      <c r="J349" s="250" t="s">
        <v>18</v>
      </c>
      <c r="K349" s="202" t="s">
        <v>951</v>
      </c>
      <c r="L349" s="234" t="s">
        <v>30</v>
      </c>
      <c r="M349" s="202" t="s">
        <v>249</v>
      </c>
      <c r="N349" s="202" t="s">
        <v>249</v>
      </c>
      <c r="O349" s="73" t="s">
        <v>249</v>
      </c>
      <c r="P349" s="66" t="s">
        <v>249</v>
      </c>
      <c r="Q349" s="66" t="s">
        <v>249</v>
      </c>
      <c r="R349" s="66" t="s">
        <v>249</v>
      </c>
      <c r="S349" s="66" t="s">
        <v>249</v>
      </c>
      <c r="T349" s="66" t="s">
        <v>249</v>
      </c>
      <c r="U349" s="66" t="s">
        <v>249</v>
      </c>
      <c r="V349" s="66" t="s">
        <v>204</v>
      </c>
      <c r="W349" s="66" t="s">
        <v>204</v>
      </c>
      <c r="X349" s="66" t="s">
        <v>204</v>
      </c>
      <c r="Y349" s="66" t="s">
        <v>216</v>
      </c>
      <c r="Z349" s="187">
        <v>18</v>
      </c>
      <c r="AA349" s="187">
        <v>10</v>
      </c>
      <c r="AB349" s="187">
        <v>11</v>
      </c>
      <c r="AC349" s="187">
        <v>21</v>
      </c>
      <c r="AD349" s="230">
        <v>0.9</v>
      </c>
      <c r="AE349" s="187" t="s">
        <v>249</v>
      </c>
      <c r="AF349" s="113" t="s">
        <v>242</v>
      </c>
      <c r="AG349" s="236">
        <v>0</v>
      </c>
      <c r="AH349" s="163">
        <v>0</v>
      </c>
      <c r="AI349" s="163">
        <v>0</v>
      </c>
      <c r="AJ349" s="163">
        <v>21</v>
      </c>
      <c r="AK349" s="38">
        <f>SUM(AG349:AJ349)</f>
        <v>21</v>
      </c>
      <c r="AL349" s="261">
        <f>IF(AG349+AH349=0,0,SUM(AG349:AH349)/AK349)</f>
        <v>0</v>
      </c>
      <c r="AM349" s="261">
        <f>IF(AG349=0,0,AG349/(SUM(AG349:AI349)))</f>
        <v>0</v>
      </c>
      <c r="AO349" s="25" t="str">
        <f>_xlfn.XLOOKUP(F349,'TFS Details'!F:F,'TFS Details'!I:I)</f>
        <v>TechSavers</v>
      </c>
      <c r="AP349" s="25" t="str">
        <f>_xlfn.XLOOKUP(AO349,'TFS Details'!I:I,'TFS Details'!AE:AE)</f>
        <v>nityanand.giri</v>
      </c>
      <c r="AQ349" s="17" t="s">
        <v>952</v>
      </c>
    </row>
    <row r="350" spans="1:43" ht="14.45">
      <c r="A350" s="24" t="str">
        <f>_xlfn.XLOOKUP(F350,'TFS Details'!F:F,'TFS Details'!D:D)</f>
        <v>PMO</v>
      </c>
      <c r="B350" s="24" t="str">
        <f>_xlfn.XLOOKUP(F350,'TFS Details'!F:F,'TFS Details'!A:A)</f>
        <v>[PMO] URL update for Manage and Dashboard screens</v>
      </c>
      <c r="C350" s="46">
        <f>_xlfn.XLOOKUP(F350,'TFS Details'!F:F,'TFS Details'!E:E)</f>
        <v>4440976</v>
      </c>
      <c r="D350" s="250" t="s">
        <v>41</v>
      </c>
      <c r="E350" s="66" t="s">
        <v>953</v>
      </c>
      <c r="F350" s="208">
        <v>4457581</v>
      </c>
      <c r="G350" s="66" t="s">
        <v>826</v>
      </c>
      <c r="H350" s="66" t="s">
        <v>827</v>
      </c>
      <c r="I350" s="66" t="s">
        <v>249</v>
      </c>
      <c r="J350" s="250" t="s">
        <v>18</v>
      </c>
      <c r="K350" s="202" t="s">
        <v>954</v>
      </c>
      <c r="L350" s="234" t="s">
        <v>30</v>
      </c>
      <c r="M350" s="202" t="s">
        <v>249</v>
      </c>
      <c r="N350" s="202" t="s">
        <v>249</v>
      </c>
      <c r="O350" s="73" t="s">
        <v>249</v>
      </c>
      <c r="P350" s="66" t="s">
        <v>249</v>
      </c>
      <c r="Q350" s="66" t="s">
        <v>249</v>
      </c>
      <c r="R350" s="66" t="s">
        <v>249</v>
      </c>
      <c r="S350" s="66" t="s">
        <v>249</v>
      </c>
      <c r="T350" s="66" t="s">
        <v>249</v>
      </c>
      <c r="U350" s="66" t="s">
        <v>249</v>
      </c>
      <c r="V350" s="66" t="s">
        <v>204</v>
      </c>
      <c r="W350" s="66" t="s">
        <v>204</v>
      </c>
      <c r="X350" s="66" t="s">
        <v>204</v>
      </c>
      <c r="Y350" s="66" t="s">
        <v>53</v>
      </c>
      <c r="Z350" s="187" t="s">
        <v>853</v>
      </c>
      <c r="AA350" s="187" t="s">
        <v>853</v>
      </c>
      <c r="AB350" s="187" t="s">
        <v>802</v>
      </c>
      <c r="AC350" s="187" t="s">
        <v>793</v>
      </c>
      <c r="AD350" s="187" t="s">
        <v>955</v>
      </c>
      <c r="AE350" s="187" t="s">
        <v>832</v>
      </c>
      <c r="AF350" s="113" t="s">
        <v>242</v>
      </c>
      <c r="AG350" s="236">
        <v>3</v>
      </c>
      <c r="AH350" s="163">
        <v>0</v>
      </c>
      <c r="AI350" s="163">
        <v>0</v>
      </c>
      <c r="AJ350" s="163">
        <v>7</v>
      </c>
      <c r="AK350" s="38">
        <f>SUM(AG350:AJ350)</f>
        <v>10</v>
      </c>
      <c r="AL350" s="261">
        <f>IF(AG350+AH350=0,0,SUM(AG350:AH350)/AK350)</f>
        <v>0.3</v>
      </c>
      <c r="AM350" s="261">
        <f>IF(AG350=0,0,AG350/(SUM(AG350:AI350)))</f>
        <v>1</v>
      </c>
      <c r="AO350" s="25" t="str">
        <f>_xlfn.XLOOKUP(F350,'TFS Details'!F:F,'TFS Details'!I:I)</f>
        <v>Codeplayers</v>
      </c>
      <c r="AP350" s="25" t="str">
        <f>_xlfn.XLOOKUP(AO350,'TFS Details'!I:I,'TFS Details'!AE:AE)</f>
        <v>nityanand.giri</v>
      </c>
      <c r="AQ350" s="278" t="s">
        <v>952</v>
      </c>
    </row>
    <row r="351" spans="1:43" ht="43.5">
      <c r="A351" s="24" t="str">
        <f>_xlfn.XLOOKUP(F351,'TFS Details'!F:F,'TFS Details'!D:D)</f>
        <v>PMO</v>
      </c>
      <c r="B351" s="24" t="str">
        <f>_xlfn.XLOOKUP(F351,'TFS Details'!F:F,'TFS Details'!A:A)</f>
        <v>[PMO] URL update for Manage and Dashboard screens</v>
      </c>
      <c r="C351" s="46">
        <f>_xlfn.XLOOKUP(F351,'TFS Details'!F:F,'TFS Details'!E:E)</f>
        <v>4440976</v>
      </c>
      <c r="D351" s="250" t="s">
        <v>41</v>
      </c>
      <c r="E351" s="163" t="s">
        <v>956</v>
      </c>
      <c r="F351" s="209">
        <v>4457573</v>
      </c>
      <c r="G351" s="66" t="s">
        <v>790</v>
      </c>
      <c r="H351" s="66" t="s">
        <v>957</v>
      </c>
      <c r="I351" s="66" t="s">
        <v>249</v>
      </c>
      <c r="J351" s="250" t="s">
        <v>18</v>
      </c>
      <c r="K351" s="242" t="s">
        <v>958</v>
      </c>
      <c r="L351" s="234" t="s">
        <v>30</v>
      </c>
      <c r="M351" s="202" t="s">
        <v>249</v>
      </c>
      <c r="N351" s="202" t="s">
        <v>249</v>
      </c>
      <c r="O351" s="73" t="s">
        <v>249</v>
      </c>
      <c r="P351" s="66" t="s">
        <v>249</v>
      </c>
      <c r="Q351" s="66" t="s">
        <v>249</v>
      </c>
      <c r="R351" s="66" t="s">
        <v>249</v>
      </c>
      <c r="S351" s="66" t="s">
        <v>249</v>
      </c>
      <c r="T351" s="66" t="s">
        <v>249</v>
      </c>
      <c r="U351" s="66" t="s">
        <v>249</v>
      </c>
      <c r="V351" s="66" t="s">
        <v>204</v>
      </c>
      <c r="W351" s="66" t="s">
        <v>204</v>
      </c>
      <c r="X351" s="66" t="s">
        <v>197</v>
      </c>
      <c r="Y351" s="66" t="s">
        <v>197</v>
      </c>
      <c r="Z351" s="187">
        <v>40</v>
      </c>
      <c r="AA351" s="187">
        <v>13</v>
      </c>
      <c r="AB351" s="187">
        <v>0</v>
      </c>
      <c r="AC351" s="187">
        <v>13</v>
      </c>
      <c r="AD351" s="230">
        <v>1</v>
      </c>
      <c r="AE351" s="230">
        <v>0.7</v>
      </c>
      <c r="AF351" s="113" t="s">
        <v>242</v>
      </c>
      <c r="AG351" s="236">
        <v>0</v>
      </c>
      <c r="AH351" s="163">
        <v>0</v>
      </c>
      <c r="AI351" s="163">
        <v>0</v>
      </c>
      <c r="AJ351" s="163">
        <v>13</v>
      </c>
      <c r="AK351" s="38">
        <f>SUM(AG351:AJ351)</f>
        <v>13</v>
      </c>
      <c r="AL351" s="261">
        <f>IF(AG351+AH351=0,0,SUM(AG351:AH351)/AK351)</f>
        <v>0</v>
      </c>
      <c r="AM351" s="261">
        <f>IF(AG351=0,0,AG351/(SUM(AG351:AI351)))</f>
        <v>0</v>
      </c>
      <c r="AO351" s="25" t="str">
        <f>_xlfn.XLOOKUP(F351,'TFS Details'!F:F,'TFS Details'!I:I)</f>
        <v>TitansPlus</v>
      </c>
      <c r="AP351" s="25" t="str">
        <f>_xlfn.XLOOKUP(AO351,'TFS Details'!I:I,'TFS Details'!AE:AE)</f>
        <v>nityanand.giri</v>
      </c>
      <c r="AQ351" s="17" t="s">
        <v>952</v>
      </c>
    </row>
    <row r="352" spans="1:43">
      <c r="A352" s="24" t="str">
        <f>_xlfn.XLOOKUP(F352,'TFS Details'!F:F,'TFS Details'!D:D)</f>
        <v>Attach Calculator</v>
      </c>
      <c r="B352" s="24" t="str">
        <f>_xlfn.XLOOKUP(F352,'TFS Details'!F:F,'TFS Details'!A:A)</f>
        <v>Attach Calculator</v>
      </c>
      <c r="C352" s="46">
        <f>_xlfn.XLOOKUP(F352,'TFS Details'!F:F,'TFS Details'!E:E)</f>
        <v>4372279</v>
      </c>
      <c r="D352" s="250" t="s">
        <v>41</v>
      </c>
      <c r="E352" s="163" t="s">
        <v>959</v>
      </c>
      <c r="F352" s="197">
        <v>4461784</v>
      </c>
      <c r="G352" s="66" t="s">
        <v>770</v>
      </c>
      <c r="H352" s="66" t="s">
        <v>757</v>
      </c>
      <c r="I352" s="66" t="s">
        <v>117</v>
      </c>
      <c r="J352" s="66" t="s">
        <v>1</v>
      </c>
      <c r="K352" s="204" t="s">
        <v>249</v>
      </c>
      <c r="L352" s="66" t="s">
        <v>249</v>
      </c>
      <c r="M352" s="202" t="s">
        <v>465</v>
      </c>
      <c r="N352" s="202" t="s">
        <v>249</v>
      </c>
      <c r="O352" s="73">
        <v>0.1</v>
      </c>
      <c r="P352" s="66" t="s">
        <v>249</v>
      </c>
      <c r="Q352" s="66" t="s">
        <v>249</v>
      </c>
      <c r="R352" s="66" t="s">
        <v>249</v>
      </c>
      <c r="S352" s="66" t="s">
        <v>249</v>
      </c>
      <c r="T352" s="66" t="s">
        <v>249</v>
      </c>
      <c r="U352" s="66" t="s">
        <v>249</v>
      </c>
      <c r="V352" s="66" t="s">
        <v>204</v>
      </c>
      <c r="W352" s="66" t="s">
        <v>204</v>
      </c>
      <c r="X352" s="66" t="s">
        <v>204</v>
      </c>
      <c r="Y352" s="66" t="s">
        <v>216</v>
      </c>
      <c r="Z352" s="187">
        <v>24</v>
      </c>
      <c r="AA352" s="187">
        <v>7</v>
      </c>
      <c r="AB352" s="187">
        <v>0</v>
      </c>
      <c r="AC352" s="187">
        <v>7</v>
      </c>
      <c r="AD352" s="230">
        <v>0.9</v>
      </c>
      <c r="AE352" s="230">
        <v>0.9</v>
      </c>
      <c r="AF352" s="113" t="s">
        <v>242</v>
      </c>
      <c r="AG352" s="236">
        <v>4</v>
      </c>
      <c r="AH352" s="163">
        <v>0</v>
      </c>
      <c r="AI352" s="163">
        <v>0</v>
      </c>
      <c r="AJ352" s="163">
        <v>3</v>
      </c>
      <c r="AK352" s="38">
        <f>SUM(AG352:AJ352)</f>
        <v>7</v>
      </c>
      <c r="AL352" s="261">
        <f>IF(AG352+AH352=0,0,SUM(AG352:AH352)/AK352)</f>
        <v>0.5714285714285714</v>
      </c>
      <c r="AM352" s="261">
        <f>IF(AG352=0,0,AG352/(SUM(AG352:AI352)))</f>
        <v>1</v>
      </c>
      <c r="AO352" s="25" t="str">
        <f>_xlfn.XLOOKUP(F352,'TFS Details'!F:F,'TFS Details'!I:I)</f>
        <v>TechSavers</v>
      </c>
      <c r="AP352" s="25" t="str">
        <f>_xlfn.XLOOKUP(AO352,'TFS Details'!I:I,'TFS Details'!AE:AE)</f>
        <v>nityanand.giri</v>
      </c>
    </row>
    <row r="353" spans="1:42">
      <c r="A353" s="24" t="str">
        <f>_xlfn.XLOOKUP(F353,'TFS Details'!F:F,'TFS Details'!D:D)</f>
        <v>Attach Calculator</v>
      </c>
      <c r="B353" s="24" t="str">
        <f>_xlfn.XLOOKUP(F353,'TFS Details'!F:F,'TFS Details'!A:A)</f>
        <v>Attach Calculator</v>
      </c>
      <c r="C353" s="46">
        <f>_xlfn.XLOOKUP(F353,'TFS Details'!F:F,'TFS Details'!E:E)</f>
        <v>4372279</v>
      </c>
      <c r="D353" s="250" t="s">
        <v>41</v>
      </c>
      <c r="E353" s="163" t="s">
        <v>960</v>
      </c>
      <c r="F353" s="197">
        <v>4461789</v>
      </c>
      <c r="G353" s="66" t="s">
        <v>843</v>
      </c>
      <c r="H353" s="66" t="s">
        <v>752</v>
      </c>
      <c r="I353" s="66" t="s">
        <v>105</v>
      </c>
      <c r="J353" s="66" t="s">
        <v>1</v>
      </c>
      <c r="K353" s="202" t="s">
        <v>249</v>
      </c>
      <c r="L353" s="66" t="s">
        <v>249</v>
      </c>
      <c r="M353" s="202" t="s">
        <v>461</v>
      </c>
      <c r="N353" s="202" t="s">
        <v>249</v>
      </c>
      <c r="O353" s="73">
        <v>0.1</v>
      </c>
      <c r="P353" s="66" t="s">
        <v>249</v>
      </c>
      <c r="Q353" s="66" t="s">
        <v>249</v>
      </c>
      <c r="R353" s="66" t="s">
        <v>249</v>
      </c>
      <c r="S353" s="66" t="s">
        <v>249</v>
      </c>
      <c r="T353" s="66" t="s">
        <v>249</v>
      </c>
      <c r="U353" s="66" t="s">
        <v>249</v>
      </c>
      <c r="V353" s="66" t="s">
        <v>204</v>
      </c>
      <c r="W353" s="66" t="s">
        <v>204</v>
      </c>
      <c r="X353" s="66" t="s">
        <v>197</v>
      </c>
      <c r="Y353" s="66" t="s">
        <v>197</v>
      </c>
      <c r="Z353" s="187">
        <v>38</v>
      </c>
      <c r="AA353" s="187">
        <v>11</v>
      </c>
      <c r="AB353" s="187" t="s">
        <v>249</v>
      </c>
      <c r="AC353" s="187" t="s">
        <v>249</v>
      </c>
      <c r="AD353" s="187" t="s">
        <v>249</v>
      </c>
      <c r="AE353" s="187" t="s">
        <v>249</v>
      </c>
      <c r="AF353" s="113" t="s">
        <v>242</v>
      </c>
      <c r="AG353" s="236">
        <v>2</v>
      </c>
      <c r="AH353" s="163">
        <v>0</v>
      </c>
      <c r="AI353" s="163">
        <v>0</v>
      </c>
      <c r="AJ353" s="163">
        <v>7</v>
      </c>
      <c r="AK353" s="38">
        <f>SUM(AG353:AJ353)</f>
        <v>9</v>
      </c>
      <c r="AL353" s="261">
        <f>IF(AG353+AH353=0,0,SUM(AG353:AH353)/AK353)</f>
        <v>0.22222222222222221</v>
      </c>
      <c r="AM353" s="261">
        <f>IF(AG353=0,0,AG353/(SUM(AG353:AI353)))</f>
        <v>1</v>
      </c>
      <c r="AO353" s="25" t="str">
        <f>_xlfn.XLOOKUP(F353,'TFS Details'!F:F,'TFS Details'!I:I)</f>
        <v>TitansPlus</v>
      </c>
      <c r="AP353" s="25" t="str">
        <f>_xlfn.XLOOKUP(AO353,'TFS Details'!I:I,'TFS Details'!AE:AE)</f>
        <v>nityanand.giri</v>
      </c>
    </row>
    <row r="354" spans="1:42">
      <c r="A354" s="24" t="str">
        <f>_xlfn.XLOOKUP(F354,'TFS Details'!F:F,'TFS Details'!D:D)</f>
        <v>Attach Calculator</v>
      </c>
      <c r="B354" s="24" t="str">
        <f>_xlfn.XLOOKUP(F354,'TFS Details'!F:F,'TFS Details'!A:A)</f>
        <v>Automation calculator - Attach Calculator</v>
      </c>
      <c r="C354" s="46">
        <f>_xlfn.XLOOKUP(F354,'TFS Details'!F:F,'TFS Details'!E:E)</f>
        <v>4387285</v>
      </c>
      <c r="D354" s="250" t="s">
        <v>41</v>
      </c>
      <c r="E354" s="163" t="s">
        <v>961</v>
      </c>
      <c r="F354" s="197">
        <v>4461955</v>
      </c>
      <c r="G354" s="66" t="s">
        <v>843</v>
      </c>
      <c r="H354" s="66" t="s">
        <v>752</v>
      </c>
      <c r="I354" s="66" t="s">
        <v>105</v>
      </c>
      <c r="J354" s="66" t="s">
        <v>1</v>
      </c>
      <c r="K354" s="202" t="s">
        <v>249</v>
      </c>
      <c r="L354" s="66" t="s">
        <v>249</v>
      </c>
      <c r="M354" s="202" t="s">
        <v>461</v>
      </c>
      <c r="N354" s="202" t="s">
        <v>249</v>
      </c>
      <c r="O354" s="73">
        <v>0.1</v>
      </c>
      <c r="P354" s="66" t="s">
        <v>249</v>
      </c>
      <c r="Q354" s="66" t="s">
        <v>249</v>
      </c>
      <c r="R354" s="66" t="s">
        <v>249</v>
      </c>
      <c r="S354" s="66" t="s">
        <v>249</v>
      </c>
      <c r="T354" s="66" t="s">
        <v>249</v>
      </c>
      <c r="U354" s="66" t="s">
        <v>249</v>
      </c>
      <c r="V354" s="66" t="s">
        <v>204</v>
      </c>
      <c r="W354" s="66" t="s">
        <v>204</v>
      </c>
      <c r="X354" s="66" t="s">
        <v>197</v>
      </c>
      <c r="Y354" s="66" t="s">
        <v>197</v>
      </c>
      <c r="Z354" s="187">
        <v>44</v>
      </c>
      <c r="AA354" s="187">
        <v>16</v>
      </c>
      <c r="AB354" s="187" t="s">
        <v>249</v>
      </c>
      <c r="AC354" s="187" t="s">
        <v>249</v>
      </c>
      <c r="AD354" s="187" t="s">
        <v>249</v>
      </c>
      <c r="AE354" s="187" t="s">
        <v>249</v>
      </c>
      <c r="AF354" s="113" t="s">
        <v>242</v>
      </c>
      <c r="AG354" s="236">
        <v>0</v>
      </c>
      <c r="AH354" s="163">
        <v>0</v>
      </c>
      <c r="AI354" s="163">
        <v>0</v>
      </c>
      <c r="AJ354" s="163">
        <v>9</v>
      </c>
      <c r="AK354" s="38">
        <f>SUM(AG354:AJ354)</f>
        <v>9</v>
      </c>
      <c r="AL354" s="261">
        <f>IF(AG354+AH354=0,0,SUM(AG354:AH354)/AK354)</f>
        <v>0</v>
      </c>
      <c r="AM354" s="261">
        <f>IF(AG354=0,0,AG354/(SUM(AG354:AI354)))</f>
        <v>0</v>
      </c>
      <c r="AO354" s="25" t="str">
        <f>_xlfn.XLOOKUP(F354,'TFS Details'!F:F,'TFS Details'!I:I)</f>
        <v>CrazyCoders</v>
      </c>
      <c r="AP354" s="25" t="str">
        <f>_xlfn.XLOOKUP(AO354,'TFS Details'!I:I,'TFS Details'!AE:AE)</f>
        <v>nityanand.giri</v>
      </c>
    </row>
    <row r="355" spans="1:42">
      <c r="A355" s="24" t="str">
        <f>_xlfn.XLOOKUP(F355,'TFS Details'!F:F,'TFS Details'!D:D)</f>
        <v>Calculator</v>
      </c>
      <c r="B355" s="24" t="str">
        <f>_xlfn.XLOOKUP(F355,'TFS Details'!F:F,'TFS Details'!A:A)</f>
        <v>Attach Calculator</v>
      </c>
      <c r="C355" s="222">
        <f>_xlfn.XLOOKUP(F355,'TFS Details'!F:F,'TFS Details'!E:E)</f>
        <v>4372279</v>
      </c>
      <c r="D355" s="250" t="s">
        <v>41</v>
      </c>
      <c r="E355" s="163" t="s">
        <v>962</v>
      </c>
      <c r="F355" s="197">
        <v>4446726</v>
      </c>
      <c r="G355" s="66" t="s">
        <v>843</v>
      </c>
      <c r="H355" s="66" t="s">
        <v>827</v>
      </c>
      <c r="I355" s="66" t="s">
        <v>39</v>
      </c>
      <c r="J355" s="66" t="s">
        <v>1</v>
      </c>
      <c r="K355" s="202" t="s">
        <v>249</v>
      </c>
      <c r="L355" s="66" t="s">
        <v>249</v>
      </c>
      <c r="M355" s="202" t="s">
        <v>963</v>
      </c>
      <c r="N355" s="202" t="s">
        <v>852</v>
      </c>
      <c r="O355" s="73">
        <v>1</v>
      </c>
      <c r="P355" s="66" t="s">
        <v>964</v>
      </c>
      <c r="Q355" s="66" t="s">
        <v>249</v>
      </c>
      <c r="R355" s="66" t="s">
        <v>249</v>
      </c>
      <c r="S355" s="66" t="s">
        <v>249</v>
      </c>
      <c r="T355" s="66" t="s">
        <v>249</v>
      </c>
      <c r="U355" s="66" t="s">
        <v>249</v>
      </c>
      <c r="V355" s="66" t="s">
        <v>204</v>
      </c>
      <c r="W355" s="66" t="s">
        <v>204</v>
      </c>
      <c r="X355" s="66" t="s">
        <v>197</v>
      </c>
      <c r="Y355" s="66" t="s">
        <v>197</v>
      </c>
      <c r="Z355" s="187">
        <v>38</v>
      </c>
      <c r="AA355" s="187">
        <v>15</v>
      </c>
      <c r="AB355" s="187" t="s">
        <v>249</v>
      </c>
      <c r="AC355" s="187" t="s">
        <v>249</v>
      </c>
      <c r="AD355" s="187" t="s">
        <v>249</v>
      </c>
      <c r="AE355" s="187" t="s">
        <v>249</v>
      </c>
      <c r="AF355" s="113" t="s">
        <v>242</v>
      </c>
      <c r="AG355" s="236">
        <v>10</v>
      </c>
      <c r="AH355" s="163">
        <v>0</v>
      </c>
      <c r="AI355" s="163">
        <v>0</v>
      </c>
      <c r="AJ355" s="163">
        <v>0</v>
      </c>
      <c r="AK355" s="38">
        <f>SUM(AG355:AJ355)</f>
        <v>10</v>
      </c>
      <c r="AL355" s="261">
        <f>IF(AG355+AH355=0,0,SUM(AG355:AH355)/AK355)</f>
        <v>1</v>
      </c>
      <c r="AM355" s="261">
        <f>IF(AG355=0,0,AG355/(SUM(AG355:AI355)))</f>
        <v>1</v>
      </c>
      <c r="AO355" s="25" t="str">
        <f>_xlfn.XLOOKUP(F355,'TFS Details'!F:F,'TFS Details'!I:I)</f>
        <v>TitansPlus</v>
      </c>
      <c r="AP355" s="25" t="str">
        <f>_xlfn.XLOOKUP(AO355,'TFS Details'!I:I,'TFS Details'!AE:AE)</f>
        <v>nityanand.giri</v>
      </c>
    </row>
    <row r="356" spans="1:42">
      <c r="A356" s="24" t="str">
        <f>_xlfn.XLOOKUP(F356,'TFS Details'!F:F,'TFS Details'!D:D)</f>
        <v>Calculator</v>
      </c>
      <c r="B356" s="221" t="str">
        <f>_xlfn.XLOOKUP(F356,'TFS Details'!F:F,'TFS Details'!A:A)</f>
        <v>Attach Calculator</v>
      </c>
      <c r="C356" s="225">
        <f>_xlfn.XLOOKUP(F356,'TFS Details'!F:F,'TFS Details'!E:E)</f>
        <v>4372279</v>
      </c>
      <c r="D356" s="101" t="s">
        <v>41</v>
      </c>
      <c r="E356" s="220" t="s">
        <v>965</v>
      </c>
      <c r="F356" s="214">
        <v>4446655</v>
      </c>
      <c r="G356" s="106" t="s">
        <v>284</v>
      </c>
      <c r="H356" s="106" t="s">
        <v>754</v>
      </c>
      <c r="I356" s="106" t="s">
        <v>92</v>
      </c>
      <c r="J356" s="234" t="s">
        <v>1</v>
      </c>
      <c r="K356" s="210" t="s">
        <v>249</v>
      </c>
      <c r="L356" s="234" t="s">
        <v>249</v>
      </c>
      <c r="M356" s="210" t="s">
        <v>461</v>
      </c>
      <c r="N356" s="210" t="s">
        <v>249</v>
      </c>
      <c r="O356" s="73">
        <v>0.15</v>
      </c>
      <c r="P356" s="104" t="s">
        <v>249</v>
      </c>
      <c r="Q356" s="104" t="s">
        <v>249</v>
      </c>
      <c r="R356" s="104" t="s">
        <v>249</v>
      </c>
      <c r="S356" s="104" t="s">
        <v>249</v>
      </c>
      <c r="T356" s="104" t="s">
        <v>249</v>
      </c>
      <c r="U356" s="104" t="s">
        <v>249</v>
      </c>
      <c r="V356" s="66" t="s">
        <v>204</v>
      </c>
      <c r="W356" s="66" t="s">
        <v>204</v>
      </c>
      <c r="X356" s="66" t="s">
        <v>204</v>
      </c>
      <c r="Y356" s="66" t="s">
        <v>197</v>
      </c>
      <c r="Z356" s="187">
        <v>30</v>
      </c>
      <c r="AA356" s="187">
        <v>20</v>
      </c>
      <c r="AB356" s="187">
        <v>0</v>
      </c>
      <c r="AC356" s="187">
        <v>20</v>
      </c>
      <c r="AD356" s="233">
        <v>0.66669999999999996</v>
      </c>
      <c r="AE356" s="230">
        <v>1</v>
      </c>
      <c r="AF356" s="113" t="s">
        <v>242</v>
      </c>
      <c r="AG356" s="236">
        <v>0</v>
      </c>
      <c r="AH356" s="163">
        <v>0</v>
      </c>
      <c r="AI356" s="163">
        <v>0</v>
      </c>
      <c r="AJ356" s="163">
        <v>20</v>
      </c>
      <c r="AK356" s="38">
        <f>SUM(AG356:AJ356)</f>
        <v>20</v>
      </c>
      <c r="AL356" s="261">
        <f>IF(AG356+AH356=0,0,SUM(AG356:AH356)/AK356)</f>
        <v>0</v>
      </c>
      <c r="AM356" s="261">
        <f>IF(AG356=0,0,AG356/(SUM(AG356:AI356)))</f>
        <v>0</v>
      </c>
      <c r="AO356" s="25" t="str">
        <f>_xlfn.XLOOKUP(F356,'TFS Details'!F:F,'TFS Details'!I:I)</f>
        <v>TechSavers</v>
      </c>
      <c r="AP356" s="25" t="str">
        <f>_xlfn.XLOOKUP(AO356,'TFS Details'!I:I,'TFS Details'!AE:AE)</f>
        <v>nityanand.giri</v>
      </c>
    </row>
    <row r="357" spans="1:42">
      <c r="A357" s="24" t="str">
        <f>_xlfn.XLOOKUP(F357,'TFS Details'!F:F,'TFS Details'!D:D)</f>
        <v>Automation Calculator</v>
      </c>
      <c r="B357" s="24" t="str">
        <f>_xlfn.XLOOKUP(F357,'TFS Details'!F:F,'TFS Details'!A:A)</f>
        <v>Shift Productivity Assessment under Automation Calculator as " Automation Maturity. Mandatory for eligible AMS deals</v>
      </c>
      <c r="C357" s="223">
        <f>_xlfn.XLOOKUP(F357,'TFS Details'!F:F,'TFS Details'!E:E)</f>
        <v>4311794</v>
      </c>
      <c r="D357" s="250" t="s">
        <v>41</v>
      </c>
      <c r="E357" s="163" t="s">
        <v>966</v>
      </c>
      <c r="F357" s="186">
        <v>4468947</v>
      </c>
      <c r="G357" s="113" t="s">
        <v>754</v>
      </c>
      <c r="H357" s="113" t="s">
        <v>757</v>
      </c>
      <c r="I357" s="113" t="s">
        <v>125</v>
      </c>
      <c r="J357" s="234" t="s">
        <v>1</v>
      </c>
      <c r="K357" s="196" t="s">
        <v>249</v>
      </c>
      <c r="L357" s="234" t="s">
        <v>249</v>
      </c>
      <c r="M357" s="211" t="s">
        <v>311</v>
      </c>
      <c r="N357" s="211" t="s">
        <v>249</v>
      </c>
      <c r="O357" s="73">
        <v>0.05</v>
      </c>
      <c r="P357" s="196" t="s">
        <v>249</v>
      </c>
      <c r="Q357" s="196" t="s">
        <v>249</v>
      </c>
      <c r="R357" s="196" t="s">
        <v>249</v>
      </c>
      <c r="S357" s="196" t="s">
        <v>249</v>
      </c>
      <c r="T357" s="196" t="s">
        <v>249</v>
      </c>
      <c r="U357" s="196" t="s">
        <v>249</v>
      </c>
      <c r="V357" s="66" t="s">
        <v>204</v>
      </c>
      <c r="W357" s="66" t="s">
        <v>204</v>
      </c>
      <c r="X357" s="66" t="s">
        <v>197</v>
      </c>
      <c r="Y357" s="66" t="s">
        <v>197</v>
      </c>
      <c r="Z357" s="187">
        <v>50</v>
      </c>
      <c r="AA357" s="187">
        <v>50</v>
      </c>
      <c r="AB357" s="187">
        <v>0</v>
      </c>
      <c r="AC357" s="187">
        <v>50</v>
      </c>
      <c r="AD357" s="230">
        <v>1</v>
      </c>
      <c r="AE357" s="230">
        <v>1</v>
      </c>
      <c r="AF357" s="113" t="s">
        <v>242</v>
      </c>
      <c r="AG357" s="236">
        <v>0</v>
      </c>
      <c r="AH357" s="163">
        <v>0</v>
      </c>
      <c r="AI357" s="163">
        <v>0</v>
      </c>
      <c r="AJ357" s="163">
        <v>50</v>
      </c>
      <c r="AK357" s="38">
        <f>SUM(AG357:AJ357)</f>
        <v>50</v>
      </c>
      <c r="AL357" s="261">
        <f>IF(AG357+AH357=0,0,SUM(AG357:AH357)/AK357)</f>
        <v>0</v>
      </c>
      <c r="AM357" s="261">
        <f>IF(AG357=0,0,AG357/(SUM(AG357:AI357)))</f>
        <v>0</v>
      </c>
      <c r="AO357" s="25" t="str">
        <f>_xlfn.XLOOKUP(F357,'TFS Details'!F:F,'TFS Details'!I:I)</f>
        <v>Codeplayers</v>
      </c>
      <c r="AP357" s="25" t="str">
        <f>_xlfn.XLOOKUP(AO357,'TFS Details'!I:I,'TFS Details'!AE:AE)</f>
        <v>nityanand.giri</v>
      </c>
    </row>
    <row r="358" spans="1:42" ht="14.45">
      <c r="A358" s="24" t="str">
        <f>_xlfn.XLOOKUP(F358,'TFS Details'!F:F,'TFS Details'!D:D)</f>
        <v>Attach Calculator</v>
      </c>
      <c r="B358" s="221" t="str">
        <f>_xlfn.XLOOKUP(F358,'TFS Details'!F:F,'TFS Details'!A:A)</f>
        <v>Attach Calculator</v>
      </c>
      <c r="C358" s="225">
        <f>_xlfn.XLOOKUP(F358,'TFS Details'!F:F,'TFS Details'!E:E)</f>
        <v>4372279</v>
      </c>
      <c r="D358" s="101" t="s">
        <v>41</v>
      </c>
      <c r="E358" s="220" t="s">
        <v>967</v>
      </c>
      <c r="F358" s="215">
        <v>4461786</v>
      </c>
      <c r="G358" s="106" t="s">
        <v>284</v>
      </c>
      <c r="H358" s="106" t="s">
        <v>791</v>
      </c>
      <c r="I358" s="106" t="s">
        <v>92</v>
      </c>
      <c r="J358" s="234" t="s">
        <v>1</v>
      </c>
      <c r="K358" s="212" t="s">
        <v>249</v>
      </c>
      <c r="L358" s="234" t="s">
        <v>249</v>
      </c>
      <c r="M358" s="280" t="s">
        <v>461</v>
      </c>
      <c r="N358" s="212" t="s">
        <v>249</v>
      </c>
      <c r="O358" s="73">
        <v>0.15</v>
      </c>
      <c r="P358" s="212" t="s">
        <v>249</v>
      </c>
      <c r="Q358" s="212" t="s">
        <v>249</v>
      </c>
      <c r="R358" s="212" t="s">
        <v>249</v>
      </c>
      <c r="S358" s="212" t="s">
        <v>249</v>
      </c>
      <c r="T358" s="212" t="s">
        <v>249</v>
      </c>
      <c r="U358" s="212" t="s">
        <v>249</v>
      </c>
      <c r="V358" s="66" t="s">
        <v>204</v>
      </c>
      <c r="W358" s="66" t="s">
        <v>204</v>
      </c>
      <c r="X358" s="66" t="s">
        <v>204</v>
      </c>
      <c r="Y358" s="66" t="s">
        <v>197</v>
      </c>
      <c r="Z358" s="140">
        <v>34</v>
      </c>
      <c r="AA358" s="140">
        <v>34</v>
      </c>
      <c r="AB358" s="140">
        <v>0</v>
      </c>
      <c r="AC358" s="140">
        <v>34</v>
      </c>
      <c r="AD358" s="229">
        <v>1</v>
      </c>
      <c r="AE358" s="229">
        <v>1</v>
      </c>
      <c r="AF358" s="113" t="s">
        <v>242</v>
      </c>
      <c r="AG358" s="236">
        <v>0</v>
      </c>
      <c r="AH358" s="163">
        <v>0</v>
      </c>
      <c r="AI358" s="163">
        <v>0</v>
      </c>
      <c r="AJ358" s="163">
        <v>34</v>
      </c>
      <c r="AK358" s="38">
        <f>SUM(AG358:AJ358)</f>
        <v>34</v>
      </c>
      <c r="AL358" s="261">
        <f>IF(AG358+AH358=0,0,SUM(AG358:AH358)/AK358)</f>
        <v>0</v>
      </c>
      <c r="AM358" s="261">
        <f>IF(AG358=0,0,AG358/(SUM(AG358:AI358)))</f>
        <v>0</v>
      </c>
      <c r="AO358" s="25" t="str">
        <f>_xlfn.XLOOKUP(F358,'TFS Details'!F:F,'TFS Details'!I:I)</f>
        <v>TitansPlus</v>
      </c>
      <c r="AP358" s="25" t="str">
        <f>_xlfn.XLOOKUP(AO358,'TFS Details'!I:I,'TFS Details'!AE:AE)</f>
        <v>nityanand.giri</v>
      </c>
    </row>
    <row r="359" spans="1:42" ht="14.45">
      <c r="A359" s="24" t="str">
        <f>_xlfn.XLOOKUP(F359,'TFS Details'!F:F,'TFS Details'!D:D)</f>
        <v>Attach Calculator</v>
      </c>
      <c r="B359" s="24" t="str">
        <f>_xlfn.XLOOKUP(F359,'TFS Details'!F:F,'TFS Details'!A:A)</f>
        <v>Attach Calculator</v>
      </c>
      <c r="C359" s="224">
        <f>_xlfn.XLOOKUP(F359,'TFS Details'!F:F,'TFS Details'!E:E)</f>
        <v>4372279</v>
      </c>
      <c r="D359" s="250" t="s">
        <v>41</v>
      </c>
      <c r="E359" s="163" t="s">
        <v>968</v>
      </c>
      <c r="F359" s="163">
        <v>4461787</v>
      </c>
      <c r="G359" s="113" t="s">
        <v>782</v>
      </c>
      <c r="H359" s="113" t="s">
        <v>757</v>
      </c>
      <c r="I359" s="106" t="s">
        <v>88</v>
      </c>
      <c r="J359" s="113" t="s">
        <v>1</v>
      </c>
      <c r="K359" s="212" t="s">
        <v>249</v>
      </c>
      <c r="L359" s="234" t="s">
        <v>249</v>
      </c>
      <c r="M359" s="212" t="s">
        <v>461</v>
      </c>
      <c r="N359" s="212" t="s">
        <v>249</v>
      </c>
      <c r="O359" s="73">
        <v>0.05</v>
      </c>
      <c r="P359" s="212" t="s">
        <v>249</v>
      </c>
      <c r="Q359" s="212" t="s">
        <v>249</v>
      </c>
      <c r="R359" s="212" t="s">
        <v>249</v>
      </c>
      <c r="S359" s="212" t="s">
        <v>249</v>
      </c>
      <c r="T359" s="212" t="s">
        <v>249</v>
      </c>
      <c r="U359" s="212" t="s">
        <v>249</v>
      </c>
      <c r="V359" s="66" t="s">
        <v>204</v>
      </c>
      <c r="W359" s="66" t="s">
        <v>204</v>
      </c>
      <c r="X359" s="66" t="s">
        <v>197</v>
      </c>
      <c r="Y359" s="66" t="s">
        <v>216</v>
      </c>
      <c r="Z359" s="212">
        <v>16</v>
      </c>
      <c r="AA359" s="212">
        <v>12</v>
      </c>
      <c r="AB359" s="212">
        <v>0</v>
      </c>
      <c r="AC359" s="212">
        <v>12</v>
      </c>
      <c r="AD359" s="235">
        <v>0.7</v>
      </c>
      <c r="AE359" s="235">
        <v>0.6</v>
      </c>
      <c r="AF359" s="113" t="s">
        <v>305</v>
      </c>
      <c r="AG359" s="236">
        <v>2</v>
      </c>
      <c r="AH359" s="163">
        <v>0</v>
      </c>
      <c r="AI359" s="163">
        <v>0</v>
      </c>
      <c r="AJ359" s="163">
        <v>10</v>
      </c>
      <c r="AK359" s="38">
        <f t="shared" ref="AK359:AK373" si="29">SUM(AG359:AJ359)</f>
        <v>12</v>
      </c>
      <c r="AL359" s="261">
        <f t="shared" ref="AL358:AL373" si="30">IF(AG359+AH359=0,0,SUM(AG359:AH359)/AK359)</f>
        <v>0.16666666666666666</v>
      </c>
      <c r="AM359" s="261">
        <f t="shared" ref="AM358:AM373" si="31">IF(AG359=0,0,AG359/(SUM(AG359:AI359)))</f>
        <v>1</v>
      </c>
      <c r="AO359" s="25" t="str">
        <f>_xlfn.XLOOKUP(F359,'TFS Details'!F:F,'TFS Details'!I:I)</f>
        <v>TechSavers</v>
      </c>
      <c r="AP359" s="25" t="str">
        <f>_xlfn.XLOOKUP(AO359,'TFS Details'!I:I,'TFS Details'!AE:AE)</f>
        <v>nityanand.giri</v>
      </c>
    </row>
    <row r="360" spans="1:42" ht="14.45">
      <c r="A360" s="24" t="str">
        <f>_xlfn.XLOOKUP(F360,'TFS Details'!F:F,'TFS Details'!D:D)</f>
        <v>Attach Calculator</v>
      </c>
      <c r="B360" s="24" t="str">
        <f>_xlfn.XLOOKUP(F360,'TFS Details'!F:F,'TFS Details'!A:A)</f>
        <v>Automation calculator - Attach Calculator</v>
      </c>
      <c r="C360" s="46">
        <f>_xlfn.XLOOKUP(F360,'TFS Details'!F:F,'TFS Details'!E:E)</f>
        <v>4387285</v>
      </c>
      <c r="D360" s="250" t="s">
        <v>41</v>
      </c>
      <c r="E360" s="163" t="s">
        <v>969</v>
      </c>
      <c r="F360" s="163">
        <v>4461954</v>
      </c>
      <c r="G360" s="113" t="s">
        <v>757</v>
      </c>
      <c r="H360" s="113" t="s">
        <v>754</v>
      </c>
      <c r="I360" s="66" t="s">
        <v>100</v>
      </c>
      <c r="J360" s="234" t="s">
        <v>1</v>
      </c>
      <c r="K360" s="212" t="s">
        <v>249</v>
      </c>
      <c r="L360" s="234" t="s">
        <v>249</v>
      </c>
      <c r="M360" s="212" t="s">
        <v>249</v>
      </c>
      <c r="N360" s="212" t="s">
        <v>249</v>
      </c>
      <c r="O360" s="73">
        <v>0.2</v>
      </c>
      <c r="P360" s="212">
        <v>4</v>
      </c>
      <c r="Q360" s="212">
        <v>2</v>
      </c>
      <c r="R360" s="234">
        <v>0</v>
      </c>
      <c r="S360" s="212">
        <v>2</v>
      </c>
      <c r="T360" s="212">
        <v>80</v>
      </c>
      <c r="U360" s="212">
        <v>85</v>
      </c>
      <c r="V360" s="66" t="s">
        <v>204</v>
      </c>
      <c r="W360" s="66" t="s">
        <v>204</v>
      </c>
      <c r="X360" s="66" t="s">
        <v>204</v>
      </c>
      <c r="Y360" s="66" t="s">
        <v>197</v>
      </c>
      <c r="Z360" s="212">
        <v>42</v>
      </c>
      <c r="AA360" s="212">
        <v>30</v>
      </c>
      <c r="AB360" s="255">
        <v>0</v>
      </c>
      <c r="AC360" s="212">
        <v>30</v>
      </c>
      <c r="AD360" s="235">
        <v>0.95</v>
      </c>
      <c r="AE360" s="235">
        <v>0.95</v>
      </c>
      <c r="AF360" s="113" t="s">
        <v>242</v>
      </c>
      <c r="AG360" s="236">
        <v>0</v>
      </c>
      <c r="AH360" s="163">
        <v>0</v>
      </c>
      <c r="AI360" s="163">
        <v>0</v>
      </c>
      <c r="AJ360" s="163">
        <v>30</v>
      </c>
      <c r="AK360" s="38">
        <f t="shared" si="29"/>
        <v>30</v>
      </c>
      <c r="AL360" s="261">
        <f t="shared" si="30"/>
        <v>0</v>
      </c>
      <c r="AM360" s="261">
        <f t="shared" si="31"/>
        <v>0</v>
      </c>
      <c r="AO360" s="25" t="str">
        <f>_xlfn.XLOOKUP(F360,'TFS Details'!F:F,'TFS Details'!I:I)</f>
        <v>CrazyCoders</v>
      </c>
      <c r="AP360" s="25" t="str">
        <f>_xlfn.XLOOKUP(AO360,'TFS Details'!I:I,'TFS Details'!AE:AE)</f>
        <v>nityanand.giri</v>
      </c>
    </row>
    <row r="361" spans="1:42" ht="14.45">
      <c r="A361" s="24" t="str">
        <f>_xlfn.XLOOKUP(F361,'TFS Details'!F:F,'TFS Details'!D:D)</f>
        <v>Differentiation</v>
      </c>
      <c r="B361" s="24" t="str">
        <f>_xlfn.XLOOKUP(F361,'TFS Details'!F:F,'TFS Details'!A:A)</f>
        <v>Attach Calculator</v>
      </c>
      <c r="C361" s="46">
        <f>_xlfn.XLOOKUP(F361,'TFS Details'!F:F,'TFS Details'!E:E)</f>
        <v>4372279</v>
      </c>
      <c r="D361" s="250" t="s">
        <v>41</v>
      </c>
      <c r="E361" s="163" t="s">
        <v>970</v>
      </c>
      <c r="F361" s="163">
        <v>4469645</v>
      </c>
      <c r="G361" s="113" t="s">
        <v>754</v>
      </c>
      <c r="H361" s="113" t="s">
        <v>284</v>
      </c>
      <c r="I361" s="113" t="s">
        <v>249</v>
      </c>
      <c r="J361" s="250" t="s">
        <v>18</v>
      </c>
      <c r="K361" s="212" t="s">
        <v>971</v>
      </c>
      <c r="L361" s="234" t="s">
        <v>85</v>
      </c>
      <c r="M361" s="212"/>
      <c r="N361" s="212" t="s">
        <v>249</v>
      </c>
      <c r="O361" s="73" t="s">
        <v>249</v>
      </c>
      <c r="P361" s="212" t="s">
        <v>249</v>
      </c>
      <c r="Q361" s="212" t="s">
        <v>249</v>
      </c>
      <c r="R361" s="212" t="s">
        <v>249</v>
      </c>
      <c r="S361" s="212" t="s">
        <v>249</v>
      </c>
      <c r="T361" s="212" t="s">
        <v>249</v>
      </c>
      <c r="U361" s="212" t="s">
        <v>249</v>
      </c>
      <c r="V361" s="66" t="s">
        <v>204</v>
      </c>
      <c r="W361" s="66" t="s">
        <v>204</v>
      </c>
      <c r="X361" s="66" t="s">
        <v>197</v>
      </c>
      <c r="Y361" s="66" t="s">
        <v>197</v>
      </c>
      <c r="Z361" s="212">
        <v>50</v>
      </c>
      <c r="AA361" s="212">
        <v>50</v>
      </c>
      <c r="AB361" s="212">
        <v>0</v>
      </c>
      <c r="AC361" s="212">
        <v>50</v>
      </c>
      <c r="AD361" s="235">
        <v>1</v>
      </c>
      <c r="AE361" s="235">
        <v>1</v>
      </c>
      <c r="AF361" s="113" t="s">
        <v>242</v>
      </c>
      <c r="AG361" s="236">
        <v>0</v>
      </c>
      <c r="AH361" s="163">
        <v>0</v>
      </c>
      <c r="AI361" s="163">
        <v>0</v>
      </c>
      <c r="AJ361" s="163">
        <v>50</v>
      </c>
      <c r="AK361" s="38">
        <f t="shared" si="29"/>
        <v>50</v>
      </c>
      <c r="AL361" s="261">
        <f t="shared" si="30"/>
        <v>0</v>
      </c>
      <c r="AM361" s="261">
        <f t="shared" si="31"/>
        <v>0</v>
      </c>
      <c r="AO361" s="25" t="str">
        <f>_xlfn.XLOOKUP(F361,'TFS Details'!F:F,'TFS Details'!I:I)</f>
        <v>TitansPlus</v>
      </c>
      <c r="AP361" s="25" t="str">
        <f>_xlfn.XLOOKUP(AO361,'TFS Details'!I:I,'TFS Details'!AE:AE)</f>
        <v>nityanand.giri</v>
      </c>
    </row>
    <row r="362" spans="1:42" ht="14.45">
      <c r="A362" s="24" t="str">
        <f>_xlfn.XLOOKUP(F362,'TFS Details'!F:F,'TFS Details'!D:D)</f>
        <v>Differentiation</v>
      </c>
      <c r="B362" s="24" t="str">
        <f>_xlfn.XLOOKUP(F362,'TFS Details'!F:F,'TFS Details'!A:A)</f>
        <v>Shift Productivity Assessment under Automation Calculator as " Automation Maturity. Mandatory for eligible AMS deals</v>
      </c>
      <c r="C362" s="46">
        <f>_xlfn.XLOOKUP(F362,'TFS Details'!F:F,'TFS Details'!E:E)</f>
        <v>4311794</v>
      </c>
      <c r="D362" s="250" t="s">
        <v>41</v>
      </c>
      <c r="E362" s="213" t="s">
        <v>972</v>
      </c>
      <c r="F362" s="163">
        <v>4470161</v>
      </c>
      <c r="G362" s="113" t="s">
        <v>754</v>
      </c>
      <c r="H362" s="113" t="s">
        <v>757</v>
      </c>
      <c r="I362" s="113" t="s">
        <v>249</v>
      </c>
      <c r="J362" s="250" t="s">
        <v>18</v>
      </c>
      <c r="K362" s="212" t="s">
        <v>971</v>
      </c>
      <c r="L362" s="234" t="s">
        <v>85</v>
      </c>
      <c r="M362" s="212" t="s">
        <v>249</v>
      </c>
      <c r="N362" s="212" t="s">
        <v>249</v>
      </c>
      <c r="O362" s="73" t="s">
        <v>249</v>
      </c>
      <c r="P362" s="212" t="s">
        <v>249</v>
      </c>
      <c r="Q362" s="212" t="s">
        <v>249</v>
      </c>
      <c r="R362" s="212" t="s">
        <v>249</v>
      </c>
      <c r="S362" s="212" t="s">
        <v>249</v>
      </c>
      <c r="T362" s="212" t="s">
        <v>249</v>
      </c>
      <c r="U362" s="212" t="s">
        <v>249</v>
      </c>
      <c r="V362" s="66" t="s">
        <v>204</v>
      </c>
      <c r="W362" s="66" t="s">
        <v>204</v>
      </c>
      <c r="X362" s="66" t="s">
        <v>197</v>
      </c>
      <c r="Y362" s="66" t="s">
        <v>197</v>
      </c>
      <c r="Z362" s="212">
        <v>50</v>
      </c>
      <c r="AA362" s="212">
        <v>50</v>
      </c>
      <c r="AB362" s="212">
        <v>0</v>
      </c>
      <c r="AC362" s="212">
        <v>50</v>
      </c>
      <c r="AD362" s="235">
        <v>1</v>
      </c>
      <c r="AE362" s="235">
        <v>1</v>
      </c>
      <c r="AF362" s="113" t="s">
        <v>242</v>
      </c>
      <c r="AG362" s="236">
        <v>0</v>
      </c>
      <c r="AH362" s="163">
        <v>0</v>
      </c>
      <c r="AI362" s="163">
        <v>0</v>
      </c>
      <c r="AJ362" s="163">
        <v>50</v>
      </c>
      <c r="AK362" s="38">
        <f t="shared" si="29"/>
        <v>50</v>
      </c>
      <c r="AL362" s="261">
        <f t="shared" si="30"/>
        <v>0</v>
      </c>
      <c r="AM362" s="261">
        <f t="shared" si="31"/>
        <v>0</v>
      </c>
      <c r="AO362" s="25" t="str">
        <f>_xlfn.XLOOKUP(F362,'TFS Details'!F:F,'TFS Details'!I:I)</f>
        <v>CrazyCoders</v>
      </c>
      <c r="AP362" s="25" t="str">
        <f>_xlfn.XLOOKUP(AO362,'TFS Details'!I:I,'TFS Details'!AE:AE)</f>
        <v>nityanand.giri</v>
      </c>
    </row>
    <row r="363" spans="1:42" ht="14.45">
      <c r="A363" s="24" t="str">
        <f>_xlfn.XLOOKUP(F363,'TFS Details'!F:F,'TFS Details'!D:D)</f>
        <v>Automation Calculator</v>
      </c>
      <c r="B363" s="24" t="str">
        <f>_xlfn.XLOOKUP(F363,'TFS Details'!F:F,'TFS Details'!A:A)</f>
        <v>Shift Productivity Assessment under Automation Calculator as " Automation Maturity. Mandatory for eligible AMS deals</v>
      </c>
      <c r="C363" s="46">
        <f>_xlfn.XLOOKUP(F363,'TFS Details'!F:F,'TFS Details'!E:E)</f>
        <v>4311794</v>
      </c>
      <c r="D363" s="250" t="s">
        <v>41</v>
      </c>
      <c r="E363" s="163" t="s">
        <v>973</v>
      </c>
      <c r="F363" s="163">
        <v>4443724</v>
      </c>
      <c r="G363" s="106" t="s">
        <v>752</v>
      </c>
      <c r="H363" s="106" t="s">
        <v>284</v>
      </c>
      <c r="I363" s="113" t="s">
        <v>127</v>
      </c>
      <c r="J363" s="251" t="s">
        <v>20</v>
      </c>
      <c r="K363" s="67" t="s">
        <v>974</v>
      </c>
      <c r="L363" s="234"/>
      <c r="M363" s="67" t="s">
        <v>311</v>
      </c>
      <c r="N363" s="67"/>
      <c r="O363" s="73">
        <v>0.1</v>
      </c>
      <c r="P363" s="67"/>
      <c r="Q363" s="67"/>
      <c r="R363" s="67"/>
      <c r="S363" s="67"/>
      <c r="T363" s="67"/>
      <c r="U363" s="67"/>
      <c r="V363" s="66" t="s">
        <v>204</v>
      </c>
      <c r="W363" s="66" t="s">
        <v>204</v>
      </c>
      <c r="X363" s="66" t="s">
        <v>204</v>
      </c>
      <c r="Y363" s="66" t="s">
        <v>197</v>
      </c>
      <c r="Z363" s="67">
        <v>45</v>
      </c>
      <c r="AA363" s="67">
        <v>39</v>
      </c>
      <c r="AB363" s="67">
        <v>0</v>
      </c>
      <c r="AC363" s="67">
        <v>39</v>
      </c>
      <c r="AD363" s="240">
        <v>0.8</v>
      </c>
      <c r="AE363" s="240">
        <v>0.92</v>
      </c>
      <c r="AF363" s="113" t="s">
        <v>242</v>
      </c>
      <c r="AG363" s="236">
        <v>0</v>
      </c>
      <c r="AH363" s="163">
        <v>0</v>
      </c>
      <c r="AI363" s="163">
        <v>0</v>
      </c>
      <c r="AJ363" s="163">
        <v>39</v>
      </c>
      <c r="AK363" s="38">
        <f>SUM(AG363:AJ363)</f>
        <v>39</v>
      </c>
      <c r="AL363" s="261">
        <f t="shared" si="30"/>
        <v>0</v>
      </c>
      <c r="AM363" s="261">
        <f t="shared" si="31"/>
        <v>0</v>
      </c>
      <c r="AO363" s="25" t="str">
        <f>_xlfn.XLOOKUP(F363,'TFS Details'!F:F,'TFS Details'!I:I)</f>
        <v>CrazyCoders</v>
      </c>
      <c r="AP363" s="25" t="str">
        <f>_xlfn.XLOOKUP(AO363,'TFS Details'!I:I,'TFS Details'!AE:AE)</f>
        <v>nityanand.giri</v>
      </c>
    </row>
    <row r="364" spans="1:42" ht="14.45">
      <c r="A364" s="24" t="str">
        <f>_xlfn.XLOOKUP(F364,'TFS Details'!F:F,'TFS Details'!D:D)</f>
        <v>Calculator</v>
      </c>
      <c r="B364" s="24" t="str">
        <f>_xlfn.XLOOKUP(F364,'TFS Details'!F:F,'TFS Details'!A:A)</f>
        <v>Attach Calculator</v>
      </c>
      <c r="C364" s="46">
        <f>_xlfn.XLOOKUP(F364,'TFS Details'!F:F,'TFS Details'!E:E)</f>
        <v>4372279</v>
      </c>
      <c r="D364" s="250" t="s">
        <v>41</v>
      </c>
      <c r="E364" s="163" t="s">
        <v>975</v>
      </c>
      <c r="F364" s="163">
        <v>4446639</v>
      </c>
      <c r="G364" s="106" t="s">
        <v>757</v>
      </c>
      <c r="H364" s="106" t="s">
        <v>752</v>
      </c>
      <c r="I364" s="113" t="s">
        <v>100</v>
      </c>
      <c r="J364" s="272" t="s">
        <v>20</v>
      </c>
      <c r="K364" s="67" t="s">
        <v>976</v>
      </c>
      <c r="L364" s="234"/>
      <c r="M364" s="67" t="s">
        <v>461</v>
      </c>
      <c r="N364" s="67"/>
      <c r="O364" s="73">
        <v>0.2</v>
      </c>
      <c r="P364" s="67">
        <v>6</v>
      </c>
      <c r="Q364" s="67">
        <v>2</v>
      </c>
      <c r="R364" s="67"/>
      <c r="S364" s="67">
        <v>2</v>
      </c>
      <c r="T364" s="67">
        <v>80</v>
      </c>
      <c r="U364" s="67">
        <v>90</v>
      </c>
      <c r="V364" s="66" t="s">
        <v>204</v>
      </c>
      <c r="W364" s="66" t="s">
        <v>204</v>
      </c>
      <c r="X364" s="66" t="s">
        <v>53</v>
      </c>
      <c r="Y364" s="66" t="s">
        <v>197</v>
      </c>
      <c r="Z364" s="67"/>
      <c r="AA364" s="67"/>
      <c r="AB364" s="67"/>
      <c r="AC364" s="67"/>
      <c r="AD364" s="240"/>
      <c r="AE364" s="240"/>
      <c r="AF364" s="113" t="s">
        <v>242</v>
      </c>
      <c r="AG364" s="236">
        <v>0</v>
      </c>
      <c r="AH364" s="236">
        <v>0</v>
      </c>
      <c r="AI364" s="236">
        <v>0</v>
      </c>
      <c r="AJ364" s="236">
        <v>0</v>
      </c>
      <c r="AK364" s="38">
        <f>SUM(AG364:AJ364)</f>
        <v>0</v>
      </c>
      <c r="AL364" s="261">
        <f>IF(AG364+AH364=0,0,SUM(AG364:AH364)/AK364)</f>
        <v>0</v>
      </c>
      <c r="AM364" s="261">
        <f>IF(AG364=0,0,AG364/(SUM(AG364:AI364)))</f>
        <v>0</v>
      </c>
      <c r="AO364" s="25"/>
      <c r="AP364" s="25"/>
    </row>
    <row r="365" spans="1:42" ht="14.45">
      <c r="A365" s="24" t="str">
        <f>_xlfn.XLOOKUP(F365,'TFS Details'!F:F,'TFS Details'!D:D)</f>
        <v>Solution Components- Navigation</v>
      </c>
      <c r="B365" s="24" t="str">
        <f>_xlfn.XLOOKUP(F365,'TFS Details'!F:F,'TFS Details'!A:A)</f>
        <v>IMS Modernization common screens</v>
      </c>
      <c r="C365" s="46">
        <f>_xlfn.XLOOKUP(F365,'TFS Details'!F:F,'TFS Details'!E:E)</f>
        <v>4413810</v>
      </c>
      <c r="D365" s="250" t="s">
        <v>41</v>
      </c>
      <c r="E365" s="163" t="s">
        <v>977</v>
      </c>
      <c r="F365" s="163">
        <v>4465888</v>
      </c>
      <c r="G365" s="106" t="s">
        <v>266</v>
      </c>
      <c r="H365" s="106" t="s">
        <v>284</v>
      </c>
      <c r="I365" s="113" t="s">
        <v>126</v>
      </c>
      <c r="J365" s="272" t="s">
        <v>1</v>
      </c>
      <c r="K365" s="67"/>
      <c r="L365" s="234"/>
      <c r="M365" s="67"/>
      <c r="N365" s="67"/>
      <c r="O365" s="73">
        <v>0.02</v>
      </c>
      <c r="P365" s="67"/>
      <c r="Q365" s="67"/>
      <c r="R365" s="67"/>
      <c r="S365" s="67"/>
      <c r="T365" s="67"/>
      <c r="U365" s="67"/>
      <c r="V365" s="66" t="s">
        <v>204</v>
      </c>
      <c r="W365" s="66" t="s">
        <v>204</v>
      </c>
      <c r="X365" s="66" t="s">
        <v>197</v>
      </c>
      <c r="Y365" s="66" t="s">
        <v>216</v>
      </c>
      <c r="Z365" s="67">
        <v>17</v>
      </c>
      <c r="AA365" s="67">
        <v>15</v>
      </c>
      <c r="AB365" s="67">
        <v>0</v>
      </c>
      <c r="AC365" s="67">
        <v>15</v>
      </c>
      <c r="AD365" s="240">
        <v>0.9</v>
      </c>
      <c r="AE365" s="240">
        <v>0.9</v>
      </c>
      <c r="AF365" s="113" t="s">
        <v>242</v>
      </c>
      <c r="AG365" s="236">
        <v>2</v>
      </c>
      <c r="AH365" s="236">
        <v>0</v>
      </c>
      <c r="AI365" s="236">
        <v>0</v>
      </c>
      <c r="AJ365" s="236">
        <v>13</v>
      </c>
      <c r="AK365" s="38">
        <f>SUM(AG365:AJ365)</f>
        <v>15</v>
      </c>
      <c r="AL365" s="261">
        <f>IF(AG365+AH365=0,0,SUM(AG365:AH365)/AK365)</f>
        <v>0.13333333333333333</v>
      </c>
      <c r="AM365" s="261">
        <f>IF(AG365=0,0,AG365/(SUM(AG365:AI365)))</f>
        <v>1</v>
      </c>
      <c r="AO365" s="25" t="str">
        <f>_xlfn.XLOOKUP(F365,'TFS Details'!F:F,'TFS Details'!I:I)</f>
        <v>TechWarriors</v>
      </c>
      <c r="AP365" s="25" t="str">
        <f>_xlfn.XLOOKUP(AO365,'TFS Details'!I:I,'TFS Details'!AE:AE)</f>
        <v>Supriya.a.dhingra</v>
      </c>
    </row>
    <row r="366" spans="1:42" ht="14.45">
      <c r="A366" s="24" t="str">
        <f>_xlfn.XLOOKUP(F366,'TFS Details'!F:F,'TFS Details'!D:D)</f>
        <v>Navigation Changes</v>
      </c>
      <c r="B366" s="24">
        <f>_xlfn.XLOOKUP(F366,'TFS Details'!F:F,'TFS Details'!A:A)</f>
        <v>0</v>
      </c>
      <c r="C366" s="46">
        <f>_xlfn.XLOOKUP(F366,'TFS Details'!F:F,'TFS Details'!E:E)</f>
        <v>0</v>
      </c>
      <c r="D366" s="250" t="s">
        <v>41</v>
      </c>
      <c r="E366" s="163" t="s">
        <v>978</v>
      </c>
      <c r="F366" s="213">
        <v>4475329</v>
      </c>
      <c r="G366" s="106" t="s">
        <v>827</v>
      </c>
      <c r="H366" s="106" t="s">
        <v>757</v>
      </c>
      <c r="I366" s="113" t="s">
        <v>111</v>
      </c>
      <c r="J366" s="272" t="s">
        <v>1</v>
      </c>
      <c r="K366" s="67"/>
      <c r="L366" s="234"/>
      <c r="M366" s="67" t="s">
        <v>461</v>
      </c>
      <c r="N366" s="67"/>
      <c r="O366" s="73">
        <v>0.05</v>
      </c>
      <c r="P366" s="67"/>
      <c r="Q366" s="67"/>
      <c r="R366" s="67"/>
      <c r="S366" s="67"/>
      <c r="T366" s="67"/>
      <c r="U366" s="67"/>
      <c r="V366" s="66" t="s">
        <v>204</v>
      </c>
      <c r="W366" s="66" t="s">
        <v>216</v>
      </c>
      <c r="X366" s="66" t="s">
        <v>197</v>
      </c>
      <c r="Y366" s="66" t="s">
        <v>197</v>
      </c>
      <c r="Z366" s="67"/>
      <c r="AA366" s="67"/>
      <c r="AB366" s="67"/>
      <c r="AC366" s="67"/>
      <c r="AD366" s="240"/>
      <c r="AE366" s="240"/>
      <c r="AF366" s="113" t="s">
        <v>242</v>
      </c>
      <c r="AG366" s="236">
        <v>0</v>
      </c>
      <c r="AH366" s="236">
        <v>0</v>
      </c>
      <c r="AI366" s="236">
        <v>0</v>
      </c>
      <c r="AJ366" s="236">
        <v>0</v>
      </c>
      <c r="AK366" s="38">
        <f>SUM(AG366:AJ366)</f>
        <v>0</v>
      </c>
      <c r="AL366" s="261">
        <f>IF(AG366+AH366=0,0,SUM(AG366:AH366)/AK366)</f>
        <v>0</v>
      </c>
      <c r="AM366" s="261">
        <f>IF(AG366=0,0,AG366/(SUM(AG366:AI366)))</f>
        <v>0</v>
      </c>
      <c r="AO366" s="25"/>
      <c r="AP366" s="25"/>
    </row>
    <row r="367" spans="1:42" ht="14.45">
      <c r="A367" s="24" t="str">
        <f>_xlfn.XLOOKUP(F367,'TFS Details'!F:F,'TFS Details'!D:D)</f>
        <v>Automation Calculator</v>
      </c>
      <c r="B367" s="24" t="str">
        <f>_xlfn.XLOOKUP(F367,'TFS Details'!F:F,'TFS Details'!A:A)</f>
        <v>Automation calculator - Attach Calculator</v>
      </c>
      <c r="C367" s="46">
        <f>_xlfn.XLOOKUP(F367,'TFS Details'!F:F,'TFS Details'!E:E)</f>
        <v>4387285</v>
      </c>
      <c r="D367" s="250" t="s">
        <v>41</v>
      </c>
      <c r="E367" s="163" t="s">
        <v>979</v>
      </c>
      <c r="F367" s="213">
        <v>4388435</v>
      </c>
      <c r="G367" s="106" t="s">
        <v>924</v>
      </c>
      <c r="H367" s="106" t="s">
        <v>791</v>
      </c>
      <c r="I367" s="113"/>
      <c r="J367" s="272" t="s">
        <v>18</v>
      </c>
      <c r="K367" s="67" t="s">
        <v>980</v>
      </c>
      <c r="L367" s="234" t="s">
        <v>981</v>
      </c>
      <c r="M367" s="67"/>
      <c r="N367" s="67"/>
      <c r="O367" s="73"/>
      <c r="P367" s="67"/>
      <c r="Q367" s="67"/>
      <c r="R367" s="67"/>
      <c r="S367" s="67"/>
      <c r="T367" s="67"/>
      <c r="U367" s="67"/>
      <c r="V367" s="66"/>
      <c r="W367" s="66"/>
      <c r="X367" s="66"/>
      <c r="Y367" s="66"/>
      <c r="Z367" s="67"/>
      <c r="AA367" s="67"/>
      <c r="AB367" s="67"/>
      <c r="AC367" s="67"/>
      <c r="AD367" s="240"/>
      <c r="AE367" s="240"/>
      <c r="AF367" s="113"/>
      <c r="AG367" s="236"/>
      <c r="AH367" s="236"/>
      <c r="AI367" s="236"/>
      <c r="AJ367" s="236"/>
      <c r="AK367" s="38"/>
      <c r="AL367" s="261"/>
      <c r="AM367" s="261"/>
      <c r="AO367" s="25"/>
      <c r="AP367" s="25"/>
    </row>
    <row r="368" spans="1:42" ht="14.45">
      <c r="A368" s="24" t="str">
        <f>_xlfn.XLOOKUP(F368,'TFS Details'!F:F,'TFS Details'!D:D)</f>
        <v>IMS Mobilization Calculator</v>
      </c>
      <c r="B368" s="24" t="str">
        <f>_xlfn.XLOOKUP(F368,'TFS Details'!F:F,'TFS Details'!A:A)</f>
        <v>IMS Mobilization Calculator enablement-Top Down/Bottom Up</v>
      </c>
      <c r="C368" s="46">
        <f>_xlfn.XLOOKUP(F368,'TFS Details'!F:F,'TFS Details'!E:E)</f>
        <v>4386528</v>
      </c>
      <c r="D368" s="250" t="s">
        <v>41</v>
      </c>
      <c r="E368" s="163" t="s">
        <v>982</v>
      </c>
      <c r="F368" s="213">
        <v>4486268</v>
      </c>
      <c r="G368" s="106" t="s">
        <v>817</v>
      </c>
      <c r="H368" s="106" t="s">
        <v>266</v>
      </c>
      <c r="I368" s="113"/>
      <c r="J368" s="272" t="s">
        <v>18</v>
      </c>
      <c r="K368" s="234" t="s">
        <v>840</v>
      </c>
      <c r="L368" s="234" t="s">
        <v>30</v>
      </c>
      <c r="M368" s="252" t="s">
        <v>841</v>
      </c>
      <c r="N368" s="67"/>
      <c r="O368" s="73"/>
      <c r="P368" s="67"/>
      <c r="Q368" s="67"/>
      <c r="R368" s="67"/>
      <c r="S368" s="67"/>
      <c r="T368" s="67"/>
      <c r="U368" s="67"/>
      <c r="V368" s="17" t="s">
        <v>204</v>
      </c>
      <c r="W368" s="17" t="s">
        <v>204</v>
      </c>
      <c r="X368" s="66" t="s">
        <v>197</v>
      </c>
      <c r="Y368" s="66" t="s">
        <v>197</v>
      </c>
      <c r="Z368" s="265">
        <v>50</v>
      </c>
      <c r="AA368" s="265">
        <v>10</v>
      </c>
      <c r="AB368" s="265">
        <v>7</v>
      </c>
      <c r="AC368" s="265">
        <v>17</v>
      </c>
      <c r="AD368" s="237">
        <v>0.8</v>
      </c>
      <c r="AE368" s="237">
        <v>0.8</v>
      </c>
      <c r="AF368" s="113" t="s">
        <v>242</v>
      </c>
      <c r="AG368" s="236">
        <v>0</v>
      </c>
      <c r="AH368" s="236">
        <v>0</v>
      </c>
      <c r="AI368" s="236">
        <v>0</v>
      </c>
      <c r="AJ368" s="236">
        <v>17</v>
      </c>
      <c r="AK368" s="38">
        <f>SUM(AG368:AJ368)</f>
        <v>17</v>
      </c>
      <c r="AL368" s="261">
        <f>IF(AG368+AH368=0,0,SUM(AG368:AH368)/AK368)</f>
        <v>0</v>
      </c>
      <c r="AM368" s="261">
        <f>IF(AG368=0,0,AG368/(SUM(AG368:AI368)))</f>
        <v>0</v>
      </c>
      <c r="AO368" s="25"/>
      <c r="AP368" s="25"/>
    </row>
    <row r="369" spans="1:42">
      <c r="A369" s="24" t="str">
        <f>_xlfn.XLOOKUP(F369,'TFS Details'!F:F,'TFS Details'!D:D)</f>
        <v>Analytics</v>
      </c>
      <c r="B369" s="24" t="str">
        <f>_xlfn.XLOOKUP(F369,'TFS Details'!F:F,'TFS Details'!A:A)</f>
        <v>WFH - ATCI and WFH ATCP to include updated logic from DNP</v>
      </c>
      <c r="C369" s="46">
        <f>_xlfn.XLOOKUP(F369,'TFS Details'!F:F,'TFS Details'!E:E)</f>
        <v>4250760</v>
      </c>
      <c r="D369" s="51" t="s">
        <v>34</v>
      </c>
      <c r="E369" s="139" t="s">
        <v>983</v>
      </c>
      <c r="F369" s="175">
        <v>4312144</v>
      </c>
      <c r="G369" s="115" t="s">
        <v>984</v>
      </c>
      <c r="H369" s="115" t="s">
        <v>985</v>
      </c>
      <c r="I369" s="52" t="s">
        <v>986</v>
      </c>
      <c r="J369" s="250" t="s">
        <v>20</v>
      </c>
      <c r="K369" s="244" t="s">
        <v>987</v>
      </c>
      <c r="L369" s="234" t="s">
        <v>23</v>
      </c>
      <c r="M369" s="20" t="s">
        <v>461</v>
      </c>
      <c r="O369" s="273">
        <v>0.5</v>
      </c>
      <c r="V369" s="17" t="s">
        <v>204</v>
      </c>
      <c r="W369" s="17" t="s">
        <v>204</v>
      </c>
      <c r="X369" s="17" t="s">
        <v>204</v>
      </c>
      <c r="Y369" s="17" t="s">
        <v>197</v>
      </c>
      <c r="Z369" s="71">
        <v>32</v>
      </c>
      <c r="AA369" s="71">
        <v>12</v>
      </c>
      <c r="AB369" s="71">
        <v>0</v>
      </c>
      <c r="AC369" s="71">
        <v>12</v>
      </c>
      <c r="AD369" s="69">
        <v>1</v>
      </c>
      <c r="AE369" s="69">
        <v>1</v>
      </c>
      <c r="AF369" s="25" t="str">
        <f>_xlfn.XLOOKUP(F369,'TFS Details'!F:F,'TFS Details'!H:H)</f>
        <v>Active</v>
      </c>
      <c r="AG369" s="42">
        <v>0</v>
      </c>
      <c r="AH369" s="42">
        <v>0</v>
      </c>
      <c r="AI369" s="42">
        <v>0</v>
      </c>
      <c r="AJ369" s="42">
        <v>0</v>
      </c>
      <c r="AK369" s="38">
        <v>12</v>
      </c>
      <c r="AL369" s="39">
        <f t="shared" si="30"/>
        <v>0</v>
      </c>
      <c r="AM369" s="39">
        <f t="shared" si="31"/>
        <v>0</v>
      </c>
      <c r="AO369" s="25" t="str">
        <f>_xlfn.XLOOKUP(F369,'TFS Details'!F:F,'TFS Details'!I:I)</f>
        <v>Cognilytics</v>
      </c>
      <c r="AP369" s="25" t="str">
        <f>_xlfn.XLOOKUP(AO369,'TFS Details'!I:I,'TFS Details'!AE:AE)</f>
        <v>anil.kadiri</v>
      </c>
    </row>
    <row r="370" spans="1:42">
      <c r="A370" s="24" t="str">
        <f>_xlfn.XLOOKUP(F370,'TFS Details'!F:F,'TFS Details'!D:D)</f>
        <v>BPMS Onboarding</v>
      </c>
      <c r="B370" s="24" t="str">
        <f>_xlfn.XLOOKUP(F370,'TFS Details'!F:F,'TFS Details'!A:A)</f>
        <v>CCI delta against target margin(27%) technical change</v>
      </c>
      <c r="C370" s="46">
        <f>_xlfn.XLOOKUP(F370,'TFS Details'!F:F,'TFS Details'!E:E)</f>
        <v>4449552</v>
      </c>
      <c r="D370" s="51" t="s">
        <v>34</v>
      </c>
      <c r="E370" s="139" t="s">
        <v>988</v>
      </c>
      <c r="F370" s="175">
        <v>4356522</v>
      </c>
      <c r="G370" s="115" t="s">
        <v>985</v>
      </c>
      <c r="H370" s="115" t="s">
        <v>984</v>
      </c>
      <c r="I370" s="52"/>
      <c r="J370" s="250" t="s">
        <v>18</v>
      </c>
      <c r="K370" s="244" t="s">
        <v>989</v>
      </c>
      <c r="L370" s="234" t="s">
        <v>23</v>
      </c>
      <c r="V370" s="17" t="s">
        <v>204</v>
      </c>
      <c r="W370" s="17" t="s">
        <v>204</v>
      </c>
      <c r="X370" s="17" t="s">
        <v>204</v>
      </c>
      <c r="Y370" s="17" t="s">
        <v>197</v>
      </c>
      <c r="Z370" s="71">
        <v>56</v>
      </c>
      <c r="AA370" s="71">
        <v>3</v>
      </c>
      <c r="AB370" s="71">
        <v>1</v>
      </c>
      <c r="AC370" s="71">
        <v>4</v>
      </c>
      <c r="AD370" s="69">
        <v>0.75</v>
      </c>
      <c r="AE370" s="69">
        <v>0.75</v>
      </c>
      <c r="AF370" s="25" t="str">
        <f>_xlfn.XLOOKUP(F370,'TFS Details'!F:F,'TFS Details'!H:H)</f>
        <v>Active</v>
      </c>
      <c r="AG370" s="42">
        <v>0</v>
      </c>
      <c r="AH370" s="42">
        <v>0</v>
      </c>
      <c r="AI370" s="42">
        <v>0</v>
      </c>
      <c r="AJ370" s="42">
        <v>4</v>
      </c>
      <c r="AK370" s="38">
        <f t="shared" si="29"/>
        <v>4</v>
      </c>
      <c r="AL370" s="39">
        <f t="shared" si="30"/>
        <v>0</v>
      </c>
      <c r="AM370" s="39">
        <f t="shared" si="31"/>
        <v>0</v>
      </c>
      <c r="AO370" s="25" t="str">
        <f>_xlfn.XLOOKUP(F370,'TFS Details'!F:F,'TFS Details'!I:I)</f>
        <v>Cognilytics</v>
      </c>
      <c r="AP370" s="25" t="str">
        <f>_xlfn.XLOOKUP(AO370,'TFS Details'!I:I,'TFS Details'!AE:AE)</f>
        <v>anil.kadiri</v>
      </c>
    </row>
    <row r="371" spans="1:42">
      <c r="A371" s="24" t="str">
        <f>_xlfn.XLOOKUP(F371,'TFS Details'!F:F,'TFS Details'!D:D)</f>
        <v>BPMS Onboarding</v>
      </c>
      <c r="B371" s="24" t="str">
        <f>_xlfn.XLOOKUP(F371,'TFS Details'!F:F,'TFS Details'!A:A)</f>
        <v>CXTA Fields in Reporting Layer - Full Coverage</v>
      </c>
      <c r="C371" s="46">
        <f>_xlfn.XLOOKUP(F371,'TFS Details'!F:F,'TFS Details'!E:E)</f>
        <v>4437421</v>
      </c>
      <c r="D371" s="17" t="s">
        <v>34</v>
      </c>
      <c r="E371" s="15" t="s">
        <v>990</v>
      </c>
      <c r="F371" s="149">
        <v>4437401</v>
      </c>
      <c r="G371" s="115" t="s">
        <v>985</v>
      </c>
      <c r="H371" s="115" t="s">
        <v>984</v>
      </c>
      <c r="I371" s="52"/>
      <c r="J371" s="250" t="s">
        <v>18</v>
      </c>
      <c r="K371" s="244" t="s">
        <v>989</v>
      </c>
      <c r="L371" s="234" t="s">
        <v>23</v>
      </c>
      <c r="M371" s="17"/>
      <c r="N371" s="78"/>
      <c r="P371" s="102"/>
      <c r="Q371" s="102"/>
      <c r="R371" s="102"/>
      <c r="S371" s="102"/>
      <c r="V371" s="17" t="s">
        <v>204</v>
      </c>
      <c r="W371" s="17" t="s">
        <v>204</v>
      </c>
      <c r="X371" s="17" t="s">
        <v>204</v>
      </c>
      <c r="Y371" s="17" t="s">
        <v>197</v>
      </c>
      <c r="Z371" s="102">
        <v>56</v>
      </c>
      <c r="AA371" s="102">
        <v>29</v>
      </c>
      <c r="AB371" s="102">
        <v>0</v>
      </c>
      <c r="AC371" s="102">
        <v>29</v>
      </c>
      <c r="AD371" s="33">
        <v>1</v>
      </c>
      <c r="AE371" s="33">
        <v>1</v>
      </c>
      <c r="AF371" s="25" t="str">
        <f>_xlfn.XLOOKUP(F371,'TFS Details'!F:F,'TFS Details'!H:H)</f>
        <v>Active</v>
      </c>
      <c r="AG371" s="42">
        <v>0</v>
      </c>
      <c r="AH371" s="42">
        <v>0</v>
      </c>
      <c r="AI371" s="42">
        <v>0</v>
      </c>
      <c r="AJ371" s="42">
        <v>29</v>
      </c>
      <c r="AK371" s="38">
        <f t="shared" si="29"/>
        <v>29</v>
      </c>
      <c r="AL371" s="39">
        <f t="shared" si="30"/>
        <v>0</v>
      </c>
      <c r="AM371" s="39">
        <f t="shared" si="31"/>
        <v>0</v>
      </c>
      <c r="AN371" s="75"/>
      <c r="AO371" s="25" t="str">
        <f>_xlfn.XLOOKUP(F371,'TFS Details'!F:F,'TFS Details'!I:I)</f>
        <v>Cognilytics</v>
      </c>
      <c r="AP371" s="25" t="str">
        <f>_xlfn.XLOOKUP(AO371,'TFS Details'!I:I,'TFS Details'!AE:AE)</f>
        <v>anil.kadiri</v>
      </c>
    </row>
    <row r="372" spans="1:42">
      <c r="A372" s="24" t="str">
        <f>_xlfn.XLOOKUP(F372,'TFS Details'!F:F,'TFS Details'!D:D)</f>
        <v>BPMS Onboarding</v>
      </c>
      <c r="B372" s="24" t="str">
        <f>_xlfn.XLOOKUP(F372,'TFS Details'!F:F,'TFS Details'!A:A)</f>
        <v>Additional Fields in Reporting Layer</v>
      </c>
      <c r="C372" s="46">
        <f>_xlfn.XLOOKUP(F372,'TFS Details'!F:F,'TFS Details'!E:E)</f>
        <v>4437424</v>
      </c>
      <c r="D372" s="17" t="s">
        <v>34</v>
      </c>
      <c r="E372" s="15" t="s">
        <v>991</v>
      </c>
      <c r="F372" s="149">
        <v>4437404</v>
      </c>
      <c r="G372" s="115" t="s">
        <v>985</v>
      </c>
      <c r="H372" s="115" t="s">
        <v>992</v>
      </c>
      <c r="I372" s="52"/>
      <c r="J372" s="250" t="s">
        <v>18</v>
      </c>
      <c r="K372" s="244" t="s">
        <v>989</v>
      </c>
      <c r="L372" s="234" t="s">
        <v>23</v>
      </c>
      <c r="M372" s="17"/>
      <c r="N372" s="78"/>
      <c r="P372" s="102"/>
      <c r="Q372" s="102"/>
      <c r="R372" s="102"/>
      <c r="S372" s="102"/>
      <c r="V372" s="17" t="s">
        <v>204</v>
      </c>
      <c r="W372" s="17" t="s">
        <v>204</v>
      </c>
      <c r="X372" s="17" t="s">
        <v>204</v>
      </c>
      <c r="Y372" s="17" t="s">
        <v>216</v>
      </c>
      <c r="Z372" s="102">
        <v>56</v>
      </c>
      <c r="AA372" s="102">
        <v>19</v>
      </c>
      <c r="AB372" s="102">
        <v>0</v>
      </c>
      <c r="AC372" s="102">
        <v>19</v>
      </c>
      <c r="AD372" s="33">
        <v>1</v>
      </c>
      <c r="AE372" s="33">
        <v>1</v>
      </c>
      <c r="AF372" s="25" t="str">
        <f>_xlfn.XLOOKUP(F372,'TFS Details'!F:F,'TFS Details'!H:H)</f>
        <v>Active</v>
      </c>
      <c r="AG372" s="42">
        <v>10</v>
      </c>
      <c r="AH372" s="42">
        <v>0</v>
      </c>
      <c r="AI372" s="42">
        <v>0</v>
      </c>
      <c r="AJ372" s="42">
        <v>9</v>
      </c>
      <c r="AK372" s="38">
        <f t="shared" si="29"/>
        <v>19</v>
      </c>
      <c r="AL372" s="39">
        <f t="shared" si="30"/>
        <v>0.52631578947368418</v>
      </c>
      <c r="AM372" s="39">
        <f t="shared" si="31"/>
        <v>1</v>
      </c>
      <c r="AN372" s="75"/>
      <c r="AO372" s="25" t="str">
        <f>_xlfn.XLOOKUP(F372,'TFS Details'!F:F,'TFS Details'!I:I)</f>
        <v>Cognilytics</v>
      </c>
      <c r="AP372" s="25" t="str">
        <f>_xlfn.XLOOKUP(AO372,'TFS Details'!I:I,'TFS Details'!AE:AE)</f>
        <v>anil.kadiri</v>
      </c>
    </row>
    <row r="373" spans="1:42">
      <c r="A373" s="24" t="str">
        <f>_xlfn.XLOOKUP(F373,'TFS Details'!F:F,'TFS Details'!D:D)</f>
        <v>IPC Calculator</v>
      </c>
      <c r="B373" s="24" t="str">
        <f>_xlfn.XLOOKUP(F373,'TFS Details'!F:F,'TFS Details'!A:A)</f>
        <v>IPC Calculator | New Exemption Reasons</v>
      </c>
      <c r="C373" s="46">
        <f>_xlfn.XLOOKUP(F373,'TFS Details'!F:F,'TFS Details'!E:E)</f>
        <v>4428652</v>
      </c>
      <c r="D373" s="51" t="s">
        <v>34</v>
      </c>
      <c r="E373" s="139" t="s">
        <v>993</v>
      </c>
      <c r="F373" s="72">
        <v>4428658</v>
      </c>
      <c r="G373" s="115" t="s">
        <v>984</v>
      </c>
      <c r="H373" s="115" t="s">
        <v>985</v>
      </c>
      <c r="I373" s="52" t="s">
        <v>994</v>
      </c>
      <c r="J373" s="250" t="s">
        <v>20</v>
      </c>
      <c r="K373" s="244" t="s">
        <v>987</v>
      </c>
      <c r="L373" s="234" t="s">
        <v>23</v>
      </c>
      <c r="M373" s="20" t="s">
        <v>461</v>
      </c>
      <c r="O373" s="273">
        <v>0.5</v>
      </c>
      <c r="V373" s="17" t="s">
        <v>204</v>
      </c>
      <c r="W373" s="17" t="s">
        <v>204</v>
      </c>
      <c r="X373" s="17" t="s">
        <v>204</v>
      </c>
      <c r="Y373" s="17" t="s">
        <v>216</v>
      </c>
      <c r="Z373" s="71">
        <v>32</v>
      </c>
      <c r="AA373" s="71">
        <v>9</v>
      </c>
      <c r="AB373" s="71">
        <v>0</v>
      </c>
      <c r="AC373" s="71">
        <v>9</v>
      </c>
      <c r="AD373" s="69">
        <v>1</v>
      </c>
      <c r="AE373" s="69">
        <v>1</v>
      </c>
      <c r="AF373" s="25" t="str">
        <f>_xlfn.XLOOKUP(F373,'TFS Details'!F:F,'TFS Details'!H:H)</f>
        <v>Active</v>
      </c>
      <c r="AG373" s="42">
        <v>6</v>
      </c>
      <c r="AH373" s="42">
        <v>0</v>
      </c>
      <c r="AI373" s="42">
        <v>0</v>
      </c>
      <c r="AJ373" s="42">
        <v>3</v>
      </c>
      <c r="AK373" s="38">
        <v>9</v>
      </c>
      <c r="AL373" s="39">
        <f t="shared" si="30"/>
        <v>0.66666666666666663</v>
      </c>
      <c r="AM373" s="39">
        <f t="shared" si="31"/>
        <v>1</v>
      </c>
      <c r="AO373" s="25" t="str">
        <f>_xlfn.XLOOKUP(F373,'TFS Details'!F:F,'TFS Details'!I:I)</f>
        <v>Cognilytics</v>
      </c>
      <c r="AP373" s="25" t="str">
        <f>_xlfn.XLOOKUP(AO373,'TFS Details'!I:I,'TFS Details'!AE:AE)</f>
        <v>anil.kadiri</v>
      </c>
    </row>
    <row r="374" spans="1:42">
      <c r="A374" s="24" t="str">
        <f>_xlfn.XLOOKUP(F374,'TFS Details'!F:F,'TFS Details'!D:D)</f>
        <v>Analytics</v>
      </c>
      <c r="B374" s="24" t="str">
        <f>_xlfn.XLOOKUP(F374,'TFS Details'!F:F,'TFS Details'!A:A)</f>
        <v>Addition of Deal Hierarchy Details in Pipeline Extract Report</v>
      </c>
      <c r="C374" s="46">
        <f>_xlfn.XLOOKUP(F374,'TFS Details'!F:F,'TFS Details'!E:E)</f>
        <v>4446710</v>
      </c>
      <c r="D374" s="51" t="s">
        <v>34</v>
      </c>
      <c r="E374" s="139" t="s">
        <v>995</v>
      </c>
      <c r="F374" s="72">
        <v>4446742</v>
      </c>
      <c r="G374" s="115" t="s">
        <v>992</v>
      </c>
      <c r="H374" s="115" t="s">
        <v>984</v>
      </c>
      <c r="I374" s="52"/>
      <c r="J374" s="250" t="s">
        <v>18</v>
      </c>
      <c r="K374" s="244" t="s">
        <v>989</v>
      </c>
      <c r="L374" s="234" t="s">
        <v>23</v>
      </c>
      <c r="V374" s="17" t="s">
        <v>204</v>
      </c>
      <c r="W374" s="17" t="s">
        <v>204</v>
      </c>
      <c r="X374" s="17" t="s">
        <v>197</v>
      </c>
      <c r="Y374" s="17" t="s">
        <v>216</v>
      </c>
      <c r="Z374" s="71">
        <v>33</v>
      </c>
      <c r="AA374" s="71">
        <v>14</v>
      </c>
      <c r="AB374" s="71">
        <v>0</v>
      </c>
      <c r="AC374" s="71">
        <v>14</v>
      </c>
      <c r="AD374" s="69">
        <v>1</v>
      </c>
      <c r="AE374" s="69">
        <v>1</v>
      </c>
      <c r="AF374" s="25" t="str">
        <f>_xlfn.XLOOKUP(F374,'TFS Details'!F:F,'TFS Details'!H:H)</f>
        <v>On Hold</v>
      </c>
      <c r="AG374" s="42">
        <v>0</v>
      </c>
      <c r="AH374" s="42">
        <v>0</v>
      </c>
      <c r="AI374" s="42">
        <v>0</v>
      </c>
      <c r="AJ374" s="42">
        <v>0</v>
      </c>
      <c r="AK374" s="38">
        <v>14</v>
      </c>
      <c r="AL374" s="39">
        <f t="shared" ref="AL374:AL404" si="32">IF(AG374+AH374=0,0,SUM(AG374:AH374)/AK374)</f>
        <v>0</v>
      </c>
      <c r="AM374" s="39">
        <f t="shared" ref="AM374:AM404" si="33">IF(AG374=0,0,AG374/(SUM(AG374:AI374)))</f>
        <v>0</v>
      </c>
      <c r="AO374" s="25" t="str">
        <f>_xlfn.XLOOKUP(F374,'TFS Details'!F:F,'TFS Details'!I:I)</f>
        <v>Cognilytics</v>
      </c>
      <c r="AP374" s="25" t="str">
        <f>_xlfn.XLOOKUP(AO374,'TFS Details'!I:I,'TFS Details'!AE:AE)</f>
        <v>anil.kadiri</v>
      </c>
    </row>
    <row r="375" spans="1:42">
      <c r="A375" s="24" t="str">
        <f>_xlfn.XLOOKUP(F375,'TFS Details'!F:F,'TFS Details'!D:D)</f>
        <v>AMS, SI, IMS</v>
      </c>
      <c r="B375" s="24" t="str">
        <f>_xlfn.XLOOKUP(F375,'TFS Details'!F:F,'TFS Details'!A:A)</f>
        <v>Enhancement in Generative AI for AMS, SI, IMS service group</v>
      </c>
      <c r="C375" s="46">
        <f>_xlfn.XLOOKUP(F375,'TFS Details'!F:F,'TFS Details'!E:E)</f>
        <v>4443485</v>
      </c>
      <c r="D375" s="51" t="s">
        <v>34</v>
      </c>
      <c r="E375" s="139" t="s">
        <v>996</v>
      </c>
      <c r="F375" s="72">
        <v>4443524</v>
      </c>
      <c r="G375" s="115" t="s">
        <v>992</v>
      </c>
      <c r="H375" s="115" t="s">
        <v>985</v>
      </c>
      <c r="I375" s="52"/>
      <c r="J375" s="250" t="s">
        <v>18</v>
      </c>
      <c r="K375" s="244" t="s">
        <v>989</v>
      </c>
      <c r="L375" s="234" t="s">
        <v>23</v>
      </c>
      <c r="V375" s="17" t="s">
        <v>204</v>
      </c>
      <c r="W375" s="17" t="s">
        <v>204</v>
      </c>
      <c r="X375" s="17" t="s">
        <v>197</v>
      </c>
      <c r="Y375" s="17" t="s">
        <v>197</v>
      </c>
      <c r="Z375" s="71">
        <v>32</v>
      </c>
      <c r="AA375" s="71">
        <v>32</v>
      </c>
      <c r="AB375" s="71">
        <v>0</v>
      </c>
      <c r="AC375" s="71">
        <v>32</v>
      </c>
      <c r="AD375" s="69">
        <v>1</v>
      </c>
      <c r="AE375" s="69">
        <v>1</v>
      </c>
      <c r="AF375" s="25" t="str">
        <f>_xlfn.XLOOKUP(F375,'TFS Details'!F:F,'TFS Details'!H:H)</f>
        <v>Active</v>
      </c>
      <c r="AG375" s="42">
        <v>0</v>
      </c>
      <c r="AH375" s="42">
        <v>0</v>
      </c>
      <c r="AI375" s="42">
        <v>0</v>
      </c>
      <c r="AJ375" s="42">
        <v>0</v>
      </c>
      <c r="AK375" s="38">
        <v>32</v>
      </c>
      <c r="AL375" s="39">
        <f t="shared" si="32"/>
        <v>0</v>
      </c>
      <c r="AM375" s="39">
        <f t="shared" si="33"/>
        <v>0</v>
      </c>
      <c r="AO375" s="25" t="str">
        <f>_xlfn.XLOOKUP(F375,'TFS Details'!F:F,'TFS Details'!I:I)</f>
        <v>Cognilytics</v>
      </c>
      <c r="AP375" s="25" t="str">
        <f>_xlfn.XLOOKUP(AO375,'TFS Details'!I:I,'TFS Details'!AE:AE)</f>
        <v>anil.kadiri</v>
      </c>
    </row>
    <row r="376" spans="1:42">
      <c r="A376" s="24" t="str">
        <f>_xlfn.XLOOKUP(F376,'TFS Details'!F:F,'TFS Details'!D:D)</f>
        <v xml:space="preserve"> QlikView Reports to Power BI</v>
      </c>
      <c r="B376" s="24" t="str">
        <f>_xlfn.XLOOKUP(F376,'TFS Details'!F:F,'TFS Details'!A:A)</f>
        <v>AMS and SI Key Solution Metrics QlikView reports</v>
      </c>
      <c r="C376" s="46">
        <f>_xlfn.XLOOKUP(F376,'TFS Details'!F:F,'TFS Details'!E:E)</f>
        <v>4485495</v>
      </c>
      <c r="D376" s="51" t="s">
        <v>34</v>
      </c>
      <c r="E376" s="139" t="s">
        <v>997</v>
      </c>
      <c r="F376" s="157">
        <v>4441800</v>
      </c>
      <c r="G376" s="115" t="s">
        <v>992</v>
      </c>
      <c r="H376" s="115" t="s">
        <v>984</v>
      </c>
      <c r="I376" s="52"/>
      <c r="J376" s="101" t="s">
        <v>18</v>
      </c>
      <c r="K376" s="244" t="s">
        <v>989</v>
      </c>
      <c r="L376" s="234" t="s">
        <v>23</v>
      </c>
      <c r="V376" s="17" t="s">
        <v>204</v>
      </c>
      <c r="W376" s="17" t="s">
        <v>204</v>
      </c>
      <c r="X376" s="17" t="s">
        <v>197</v>
      </c>
      <c r="Y376" s="17" t="s">
        <v>204</v>
      </c>
      <c r="Z376" s="71">
        <v>86</v>
      </c>
      <c r="AA376" s="71">
        <v>6</v>
      </c>
      <c r="AB376" s="71">
        <v>0</v>
      </c>
      <c r="AC376" s="71">
        <v>6</v>
      </c>
      <c r="AD376" s="69">
        <v>1</v>
      </c>
      <c r="AE376" s="69">
        <v>1</v>
      </c>
      <c r="AF376" s="25" t="str">
        <f>_xlfn.XLOOKUP(F376,'TFS Details'!F:F,'TFS Details'!H:H)</f>
        <v>In Test</v>
      </c>
      <c r="AG376" s="42">
        <v>6</v>
      </c>
      <c r="AH376" s="42">
        <v>0</v>
      </c>
      <c r="AI376" s="42">
        <v>0</v>
      </c>
      <c r="AJ376" s="42">
        <v>0</v>
      </c>
      <c r="AK376" s="38">
        <f>SUM(AG376:AJ376)</f>
        <v>6</v>
      </c>
      <c r="AL376" s="39">
        <f>IF(AG376+AH376=0,0,SUM(AG376:AH376)/AK376)</f>
        <v>1</v>
      </c>
      <c r="AM376" s="39">
        <f>IF(AG376=0,0,AG376/(SUM(AG376:AI376)))</f>
        <v>1</v>
      </c>
      <c r="AO376" s="25" t="str">
        <f>_xlfn.XLOOKUP(F376,'TFS Details'!F:F,'TFS Details'!I:I)</f>
        <v>Cognilytics</v>
      </c>
      <c r="AP376" s="25" t="str">
        <f>_xlfn.XLOOKUP(AO376,'TFS Details'!I:I,'TFS Details'!AE:AE)</f>
        <v>anil.kadiri</v>
      </c>
    </row>
    <row r="377" spans="1:42">
      <c r="A377" s="24" t="str">
        <f>_xlfn.XLOOKUP(F377,'TFS Details'!F:F,'TFS Details'!D:D)</f>
        <v>Analytics</v>
      </c>
      <c r="B377" s="24" t="str">
        <f>_xlfn.XLOOKUP(F377,'TFS Details'!F:F,'TFS Details'!A:A)</f>
        <v>March Release NextGen Enhancements</v>
      </c>
      <c r="C377" s="46">
        <f>_xlfn.XLOOKUP(F377,'TFS Details'!F:F,'TFS Details'!E:E)</f>
        <v>4365826</v>
      </c>
      <c r="D377" s="51" t="s">
        <v>34</v>
      </c>
      <c r="E377" s="158" t="s">
        <v>998</v>
      </c>
      <c r="F377" s="150">
        <v>4446194</v>
      </c>
      <c r="G377" s="245" t="s">
        <v>985</v>
      </c>
      <c r="H377" s="245" t="s">
        <v>992</v>
      </c>
      <c r="I377" s="52"/>
      <c r="J377" s="250" t="s">
        <v>18</v>
      </c>
      <c r="K377" s="244" t="s">
        <v>989</v>
      </c>
      <c r="L377" s="234" t="s">
        <v>23</v>
      </c>
      <c r="V377" s="17" t="s">
        <v>204</v>
      </c>
      <c r="W377" s="17" t="s">
        <v>204</v>
      </c>
      <c r="X377" s="17" t="s">
        <v>204</v>
      </c>
      <c r="Y377" s="17" t="s">
        <v>204</v>
      </c>
      <c r="Z377" s="71">
        <v>42</v>
      </c>
      <c r="AA377" s="71">
        <v>16</v>
      </c>
      <c r="AB377" s="71">
        <v>0</v>
      </c>
      <c r="AC377" s="71">
        <v>16</v>
      </c>
      <c r="AD377" s="69">
        <v>1</v>
      </c>
      <c r="AE377" s="69">
        <v>1</v>
      </c>
      <c r="AF377" s="25" t="str">
        <f>_xlfn.XLOOKUP(F377,'TFS Details'!F:F,'TFS Details'!H:H)</f>
        <v>On Hold</v>
      </c>
      <c r="AG377" s="42">
        <v>16</v>
      </c>
      <c r="AH377" s="42">
        <v>0</v>
      </c>
      <c r="AI377" s="42">
        <v>0</v>
      </c>
      <c r="AJ377" s="42">
        <v>0</v>
      </c>
      <c r="AK377" s="38">
        <f t="shared" ref="AK377:AK404" si="34">SUM(AG377:AJ377)</f>
        <v>16</v>
      </c>
      <c r="AL377" s="39">
        <f t="shared" si="32"/>
        <v>1</v>
      </c>
      <c r="AM377" s="39">
        <f t="shared" si="33"/>
        <v>1</v>
      </c>
      <c r="AO377" s="25" t="str">
        <f>_xlfn.XLOOKUP(F377,'TFS Details'!F:F,'TFS Details'!I:I)</f>
        <v>Cognilytics</v>
      </c>
      <c r="AP377" s="25" t="str">
        <f>_xlfn.XLOOKUP(AO377,'TFS Details'!I:I,'TFS Details'!AE:AE)</f>
        <v>anil.kadiri</v>
      </c>
    </row>
    <row r="378" spans="1:42">
      <c r="A378" s="24" t="str">
        <f>_xlfn.XLOOKUP(F378,'TFS Details'!F:F,'TFS Details'!D:D)</f>
        <v>BPMS Onboarding</v>
      </c>
      <c r="B378" s="24" t="str">
        <f>_xlfn.XLOOKUP(F378,'TFS Details'!F:F,'TFS Details'!A:A)</f>
        <v>Reporting &amp; Compliance - Generative AI: Enhance Year-on-Year Productivity Grid with Overall Summary Column and Informational Note</v>
      </c>
      <c r="C378" s="46">
        <f>_xlfn.XLOOKUP(F378,'TFS Details'!F:F,'TFS Details'!E:E)</f>
        <v>4459392</v>
      </c>
      <c r="D378" s="59" t="s">
        <v>34</v>
      </c>
      <c r="E378" s="15" t="s">
        <v>999</v>
      </c>
      <c r="F378" s="153">
        <v>4459759</v>
      </c>
      <c r="G378" s="108" t="s">
        <v>984</v>
      </c>
      <c r="H378" s="195" t="s">
        <v>985</v>
      </c>
      <c r="I378" s="52"/>
      <c r="J378" s="250" t="s">
        <v>18</v>
      </c>
      <c r="K378" s="244" t="s">
        <v>989</v>
      </c>
      <c r="L378" s="234" t="s">
        <v>23</v>
      </c>
      <c r="V378" s="17" t="s">
        <v>204</v>
      </c>
      <c r="W378" s="234" t="s">
        <v>204</v>
      </c>
      <c r="X378" s="17" t="s">
        <v>204</v>
      </c>
      <c r="Y378" s="17" t="s">
        <v>204</v>
      </c>
      <c r="Z378" s="71">
        <v>40</v>
      </c>
      <c r="AA378" s="71">
        <v>19</v>
      </c>
      <c r="AB378" s="71">
        <v>0</v>
      </c>
      <c r="AC378" s="71">
        <v>19</v>
      </c>
      <c r="AD378" s="69">
        <v>1</v>
      </c>
      <c r="AE378" s="69">
        <v>1</v>
      </c>
      <c r="AF378" s="25" t="str">
        <f>_xlfn.XLOOKUP(F378,'TFS Details'!F:F,'TFS Details'!H:H)</f>
        <v>Active</v>
      </c>
      <c r="AG378" s="42">
        <v>19</v>
      </c>
      <c r="AH378" s="42">
        <v>0</v>
      </c>
      <c r="AI378" s="42">
        <v>0</v>
      </c>
      <c r="AJ378" s="42">
        <v>0</v>
      </c>
      <c r="AK378" s="38">
        <v>19</v>
      </c>
      <c r="AL378" s="39">
        <f t="shared" ref="AL378" si="35">IF(AG378+AH378=0,0,SUM(AG378:AH378)/AK378)</f>
        <v>1</v>
      </c>
      <c r="AM378" s="39">
        <f t="shared" ref="AM378" si="36">IF(AG378=0,0,AG378/(SUM(AG378:AI378)))</f>
        <v>1</v>
      </c>
      <c r="AO378" s="25" t="str">
        <f>_xlfn.XLOOKUP(F378,'TFS Details'!F:F,'TFS Details'!I:I)</f>
        <v>Cognilytics</v>
      </c>
      <c r="AP378" s="25" t="str">
        <f>_xlfn.XLOOKUP(AO378,'TFS Details'!I:I,'TFS Details'!AE:AE)</f>
        <v>anil.kadiri</v>
      </c>
    </row>
    <row r="379" spans="1:42">
      <c r="A379" s="24" t="str">
        <f>_xlfn.XLOOKUP(F379,'TFS Details'!F:F,'TFS Details'!D:D)</f>
        <v>BPMS Onboarding</v>
      </c>
      <c r="B379" s="24" t="str">
        <f>_xlfn.XLOOKUP(F379,'TFS Details'!F:F,'TFS Details'!A:A)</f>
        <v>FTS Email and Backend Flag Synchronization Across All Trigger Sources</v>
      </c>
      <c r="C379" s="46">
        <f>_xlfn.XLOOKUP(F379,'TFS Details'!F:F,'TFS Details'!E:E)</f>
        <v>4440060</v>
      </c>
      <c r="D379" s="19" t="s">
        <v>34</v>
      </c>
      <c r="E379" s="17" t="s">
        <v>1000</v>
      </c>
      <c r="F379" s="153">
        <v>4446664</v>
      </c>
      <c r="G379" s="108" t="s">
        <v>984</v>
      </c>
      <c r="H379" s="195" t="s">
        <v>985</v>
      </c>
      <c r="I379" s="52"/>
      <c r="J379" s="250" t="s">
        <v>18</v>
      </c>
      <c r="K379" s="244" t="s">
        <v>989</v>
      </c>
      <c r="L379" s="234" t="s">
        <v>23</v>
      </c>
      <c r="V379" s="17" t="s">
        <v>204</v>
      </c>
      <c r="W379" s="234" t="s">
        <v>204</v>
      </c>
      <c r="X379" s="17" t="s">
        <v>204</v>
      </c>
      <c r="Y379" s="17" t="s">
        <v>216</v>
      </c>
      <c r="Z379" s="71">
        <v>56</v>
      </c>
      <c r="AA379" s="71">
        <v>11</v>
      </c>
      <c r="AB379" s="71">
        <v>0</v>
      </c>
      <c r="AC379" s="71">
        <v>11</v>
      </c>
      <c r="AD379" s="69">
        <v>1</v>
      </c>
      <c r="AE379" s="69">
        <v>1</v>
      </c>
      <c r="AF379" s="25" t="str">
        <f>_xlfn.XLOOKUP(F379,'TFS Details'!F:F,'TFS Details'!H:H)</f>
        <v>Active</v>
      </c>
      <c r="AG379" s="42">
        <v>6</v>
      </c>
      <c r="AH379" s="42">
        <v>0</v>
      </c>
      <c r="AI379" s="42">
        <v>0</v>
      </c>
      <c r="AJ379" s="42">
        <v>5</v>
      </c>
      <c r="AK379" s="38">
        <v>11</v>
      </c>
      <c r="AL379" s="39">
        <f>IF(AG379+AH379=0,0,SUM(AG379:AH379)/AK379)</f>
        <v>0.54545454545454541</v>
      </c>
      <c r="AM379" s="39">
        <f>IF(AG379=0,0,AG379/(SUM(AG379:AI379)))</f>
        <v>1</v>
      </c>
      <c r="AO379" s="25" t="str">
        <f>_xlfn.XLOOKUP(F379,'TFS Details'!F:F,'TFS Details'!I:I)</f>
        <v>Cognilytics</v>
      </c>
      <c r="AP379" s="25" t="str">
        <f>_xlfn.XLOOKUP(AO379,'TFS Details'!I:I,'TFS Details'!AE:AE)</f>
        <v>anil.kadiri</v>
      </c>
    </row>
    <row r="380" spans="1:42">
      <c r="A380" s="282" t="e">
        <f>_xlfn.XLOOKUP(F380,'TFS Details'!F:F,'TFS Details'!D:D)</f>
        <v>#N/A</v>
      </c>
      <c r="B380" s="282" t="e">
        <f>_xlfn.XLOOKUP(F380,'TFS Details'!F:F,'TFS Details'!A:A)</f>
        <v>#N/A</v>
      </c>
      <c r="C380" s="283" t="e">
        <f>_xlfn.XLOOKUP(F380,'TFS Details'!F:F,'TFS Details'!E:E)</f>
        <v>#N/A</v>
      </c>
      <c r="D380" s="19" t="s">
        <v>34</v>
      </c>
      <c r="E380" s="17" t="s">
        <v>1001</v>
      </c>
      <c r="F380" s="285">
        <v>4434948</v>
      </c>
      <c r="G380" s="108" t="s">
        <v>992</v>
      </c>
      <c r="H380" s="195" t="s">
        <v>985</v>
      </c>
      <c r="I380" s="257"/>
      <c r="J380" s="250" t="s">
        <v>18</v>
      </c>
      <c r="K380" s="284" t="s">
        <v>989</v>
      </c>
      <c r="L380" s="234" t="s">
        <v>23</v>
      </c>
      <c r="V380" s="17" t="s">
        <v>204</v>
      </c>
      <c r="W380" s="17" t="s">
        <v>197</v>
      </c>
      <c r="X380" s="17" t="s">
        <v>197</v>
      </c>
      <c r="Y380" s="17" t="s">
        <v>216</v>
      </c>
      <c r="Z380" s="71">
        <v>53</v>
      </c>
      <c r="AA380" s="71">
        <v>29</v>
      </c>
      <c r="AB380" s="71">
        <v>0</v>
      </c>
      <c r="AC380" s="71">
        <v>29</v>
      </c>
      <c r="AD380" s="69">
        <v>1</v>
      </c>
      <c r="AE380" s="69">
        <v>1</v>
      </c>
      <c r="AF380" s="25" t="e">
        <f>_xlfn.XLOOKUP(F380,'TFS Details'!F:F,'TFS Details'!H:H)</f>
        <v>#N/A</v>
      </c>
      <c r="AG380" s="236">
        <v>20</v>
      </c>
      <c r="AH380" s="236">
        <v>0</v>
      </c>
      <c r="AI380" s="236">
        <v>0</v>
      </c>
      <c r="AJ380" s="236">
        <v>9</v>
      </c>
      <c r="AK380" s="260">
        <v>29</v>
      </c>
      <c r="AL380" s="261">
        <f>IF(AG380+AH380=0,0,SUM(AG380:AH380)/AK380)</f>
        <v>0.68965517241379315</v>
      </c>
      <c r="AM380" s="261">
        <f>IF(AG380=0,0,AG380/(SUM(AG380:AI380)))</f>
        <v>1</v>
      </c>
      <c r="AO380" s="25" t="e">
        <f>_xlfn.XLOOKUP(F380,'TFS Details'!F:F,'TFS Details'!I:I)</f>
        <v>#N/A</v>
      </c>
      <c r="AP380" s="25" t="e">
        <f>_xlfn.XLOOKUP(AO380,'TFS Details'!I:I,'TFS Details'!AE:AE)</f>
        <v>#N/A</v>
      </c>
    </row>
    <row r="381" spans="1:42">
      <c r="A381" s="24" t="str">
        <f>_xlfn.XLOOKUP(F381,'TFS Details'!F:F,'TFS Details'!D:D)</f>
        <v>MDA</v>
      </c>
      <c r="B381" s="24" t="str">
        <f>_xlfn.XLOOKUP(F381,'TFS Details'!F:F,'TFS Details'!A:A)</f>
        <v>MDA IMS Personalization - Calculation Column addition for Static tabs Under HC FTE Deal Pivot-May Release</v>
      </c>
      <c r="C381" s="46">
        <f>_xlfn.XLOOKUP(F381,'TFS Details'!F:F,'TFS Details'!E:E)</f>
        <v>4441711</v>
      </c>
      <c r="D381" s="59" t="s">
        <v>34</v>
      </c>
      <c r="E381" s="15" t="s">
        <v>1002</v>
      </c>
      <c r="F381" s="149">
        <v>4446565</v>
      </c>
      <c r="G381" s="115" t="s">
        <v>1003</v>
      </c>
      <c r="H381" s="246" t="s">
        <v>1004</v>
      </c>
      <c r="I381" s="52"/>
      <c r="J381" s="250" t="s">
        <v>18</v>
      </c>
      <c r="K381" s="58" t="s">
        <v>1005</v>
      </c>
      <c r="L381" s="234" t="s">
        <v>23</v>
      </c>
      <c r="V381" s="17" t="s">
        <v>204</v>
      </c>
      <c r="W381" s="234" t="s">
        <v>204</v>
      </c>
      <c r="X381" s="17" t="s">
        <v>197</v>
      </c>
      <c r="Y381" s="17" t="s">
        <v>197</v>
      </c>
      <c r="Z381" s="71">
        <v>30</v>
      </c>
      <c r="AA381" s="71">
        <v>24</v>
      </c>
      <c r="AB381" s="71">
        <v>0</v>
      </c>
      <c r="AC381" s="71">
        <v>24</v>
      </c>
      <c r="AD381" s="69">
        <v>0.72</v>
      </c>
      <c r="AE381" s="69">
        <v>0.75</v>
      </c>
      <c r="AF381" s="25" t="str">
        <f>_xlfn.XLOOKUP(F381,'TFS Details'!F:F,'TFS Details'!H:H)</f>
        <v>Active</v>
      </c>
      <c r="AG381" s="42">
        <v>0</v>
      </c>
      <c r="AH381" s="42">
        <v>0</v>
      </c>
      <c r="AI381" s="42">
        <v>0</v>
      </c>
      <c r="AJ381" s="42">
        <v>24</v>
      </c>
      <c r="AK381" s="38">
        <f t="shared" si="34"/>
        <v>24</v>
      </c>
      <c r="AL381" s="39">
        <f t="shared" si="32"/>
        <v>0</v>
      </c>
      <c r="AM381" s="39">
        <f t="shared" si="33"/>
        <v>0</v>
      </c>
      <c r="AO381" s="25" t="str">
        <f>_xlfn.XLOOKUP(F381,'TFS Details'!F:F,'TFS Details'!I:I)</f>
        <v>SolutionDataLake</v>
      </c>
      <c r="AP381" s="25" t="str">
        <f>_xlfn.XLOOKUP(AO381,'TFS Details'!I:I,'TFS Details'!AE:AE)</f>
        <v>booshan.manjunathan</v>
      </c>
    </row>
    <row r="382" spans="1:42">
      <c r="A382" s="24" t="str">
        <f>_xlfn.XLOOKUP(F382,'TFS Details'!F:F,'TFS Details'!D:D)</f>
        <v>MDA</v>
      </c>
      <c r="B382" s="24" t="str">
        <f>_xlfn.XLOOKUP(F382,'TFS Details'!F:F,'TFS Details'!A:A)</f>
        <v>MDA IMS Personalization - Calculation Column addition for Static tabs Under HC FTE Deal Pivot-May Release</v>
      </c>
      <c r="C382" s="46">
        <f>_xlfn.XLOOKUP(F382,'TFS Details'!F:F,'TFS Details'!E:E)</f>
        <v>4441711</v>
      </c>
      <c r="D382" s="51" t="s">
        <v>34</v>
      </c>
      <c r="E382" s="151" t="s">
        <v>1006</v>
      </c>
      <c r="F382" s="152">
        <v>4443708</v>
      </c>
      <c r="G382" s="247" t="s">
        <v>1003</v>
      </c>
      <c r="H382" s="115" t="s">
        <v>1004</v>
      </c>
      <c r="I382" s="52"/>
      <c r="J382" s="250" t="s">
        <v>18</v>
      </c>
      <c r="K382" s="58" t="s">
        <v>1005</v>
      </c>
      <c r="L382" s="234" t="s">
        <v>23</v>
      </c>
      <c r="V382" s="17" t="s">
        <v>204</v>
      </c>
      <c r="W382" s="234" t="s">
        <v>204</v>
      </c>
      <c r="X382" s="17" t="s">
        <v>197</v>
      </c>
      <c r="Y382" s="17" t="s">
        <v>197</v>
      </c>
      <c r="Z382" s="71">
        <v>33</v>
      </c>
      <c r="AA382" s="71">
        <v>26</v>
      </c>
      <c r="AB382" s="71">
        <v>0</v>
      </c>
      <c r="AC382" s="71">
        <v>26</v>
      </c>
      <c r="AD382" s="69">
        <v>0.57999999999999996</v>
      </c>
      <c r="AE382" s="69">
        <v>0.48</v>
      </c>
      <c r="AF382" s="25" t="str">
        <f>_xlfn.XLOOKUP(F382,'TFS Details'!F:F,'TFS Details'!H:H)</f>
        <v>Active</v>
      </c>
      <c r="AG382" s="42">
        <v>0</v>
      </c>
      <c r="AH382" s="42">
        <v>0</v>
      </c>
      <c r="AI382" s="42">
        <v>0</v>
      </c>
      <c r="AJ382" s="42">
        <v>26</v>
      </c>
      <c r="AK382" s="38">
        <f t="shared" si="34"/>
        <v>26</v>
      </c>
      <c r="AL382" s="39">
        <f t="shared" si="32"/>
        <v>0</v>
      </c>
      <c r="AM382" s="39">
        <f t="shared" si="33"/>
        <v>0</v>
      </c>
      <c r="AO382" s="25" t="str">
        <f>_xlfn.XLOOKUP(F382,'TFS Details'!F:F,'TFS Details'!I:I)</f>
        <v>SolutionDataLake</v>
      </c>
      <c r="AP382" s="25" t="str">
        <f>_xlfn.XLOOKUP(AO382,'TFS Details'!I:I,'TFS Details'!AE:AE)</f>
        <v>booshan.manjunathan</v>
      </c>
    </row>
    <row r="383" spans="1:42">
      <c r="A383" s="24" t="str">
        <f>_xlfn.XLOOKUP(F383,'TFS Details'!F:F,'TFS Details'!D:D)</f>
        <v>MDA</v>
      </c>
      <c r="B383" s="24" t="str">
        <f>_xlfn.XLOOKUP(F383,'TFS Details'!F:F,'TFS Details'!A:A)</f>
        <v>MDA IMS Personalization - Calculation Column addition for Static tabs Under HC FTE Deal Pivot-May Release</v>
      </c>
      <c r="C383" s="46">
        <f>_xlfn.XLOOKUP(F383,'TFS Details'!F:F,'TFS Details'!E:E)</f>
        <v>4441711</v>
      </c>
      <c r="D383" s="51" t="s">
        <v>34</v>
      </c>
      <c r="E383" s="139" t="s">
        <v>1007</v>
      </c>
      <c r="F383" s="72">
        <v>4444273</v>
      </c>
      <c r="G383" s="115" t="s">
        <v>1008</v>
      </c>
      <c r="H383" s="115" t="s">
        <v>1003</v>
      </c>
      <c r="I383" s="52"/>
      <c r="J383" s="250" t="s">
        <v>18</v>
      </c>
      <c r="K383" s="58" t="s">
        <v>1005</v>
      </c>
      <c r="L383" s="234" t="s">
        <v>23</v>
      </c>
      <c r="V383" s="17" t="s">
        <v>204</v>
      </c>
      <c r="W383" s="234" t="s">
        <v>204</v>
      </c>
      <c r="X383" s="17" t="s">
        <v>197</v>
      </c>
      <c r="Y383" s="17" t="s">
        <v>197</v>
      </c>
      <c r="Z383" s="71">
        <v>71</v>
      </c>
      <c r="AA383" s="71">
        <v>54</v>
      </c>
      <c r="AB383" s="71">
        <v>0</v>
      </c>
      <c r="AC383" s="71">
        <v>54</v>
      </c>
      <c r="AD383" s="69">
        <v>0.8</v>
      </c>
      <c r="AE383" s="69">
        <v>0.8</v>
      </c>
      <c r="AF383" s="25" t="str">
        <f>_xlfn.XLOOKUP(F383,'TFS Details'!F:F,'TFS Details'!H:H)</f>
        <v>Active</v>
      </c>
      <c r="AG383" s="42">
        <v>0</v>
      </c>
      <c r="AH383" s="42">
        <v>0</v>
      </c>
      <c r="AI383" s="42">
        <v>0</v>
      </c>
      <c r="AJ383" s="42">
        <v>54</v>
      </c>
      <c r="AK383" s="38">
        <f t="shared" si="34"/>
        <v>54</v>
      </c>
      <c r="AL383" s="39">
        <f t="shared" si="32"/>
        <v>0</v>
      </c>
      <c r="AM383" s="39">
        <f t="shared" si="33"/>
        <v>0</v>
      </c>
      <c r="AO383" s="25" t="str">
        <f>_xlfn.XLOOKUP(F383,'TFS Details'!F:F,'TFS Details'!I:I)</f>
        <v>SolutionDataLake</v>
      </c>
      <c r="AP383" s="25" t="str">
        <f>_xlfn.XLOOKUP(AO383,'TFS Details'!I:I,'TFS Details'!AE:AE)</f>
        <v>booshan.manjunathan</v>
      </c>
    </row>
    <row r="384" spans="1:42">
      <c r="A384" s="24" t="str">
        <f>_xlfn.XLOOKUP(F384,'TFS Details'!F:F,'TFS Details'!D:D)</f>
        <v>MDA</v>
      </c>
      <c r="B384" s="24" t="str">
        <f>_xlfn.XLOOKUP(F384,'TFS Details'!F:F,'TFS Details'!A:A)</f>
        <v>MDA IMS Personalization - Calculation Column addition for Static tabs Under HC FTE Deal Pivot-May Release</v>
      </c>
      <c r="C384" s="46">
        <f>_xlfn.XLOOKUP(F384,'TFS Details'!F:F,'TFS Details'!E:E)</f>
        <v>4441711</v>
      </c>
      <c r="D384" s="51" t="s">
        <v>34</v>
      </c>
      <c r="E384" s="139" t="s">
        <v>1009</v>
      </c>
      <c r="F384" s="157">
        <v>4446872</v>
      </c>
      <c r="G384" s="115" t="s">
        <v>1008</v>
      </c>
      <c r="H384" s="115" t="s">
        <v>1003</v>
      </c>
      <c r="I384" s="52"/>
      <c r="J384" s="250" t="s">
        <v>18</v>
      </c>
      <c r="K384" s="58" t="s">
        <v>1005</v>
      </c>
      <c r="L384" s="234" t="s">
        <v>23</v>
      </c>
      <c r="V384" s="17" t="s">
        <v>204</v>
      </c>
      <c r="W384" s="234" t="s">
        <v>204</v>
      </c>
      <c r="X384" s="17" t="s">
        <v>197</v>
      </c>
      <c r="Y384" s="17" t="s">
        <v>197</v>
      </c>
      <c r="Z384" s="71">
        <v>67</v>
      </c>
      <c r="AA384" s="71">
        <v>33</v>
      </c>
      <c r="AB384" s="71">
        <v>0</v>
      </c>
      <c r="AC384" s="71">
        <v>33</v>
      </c>
      <c r="AD384" s="69">
        <v>0.8</v>
      </c>
      <c r="AE384" s="69">
        <v>0.8</v>
      </c>
      <c r="AF384" s="25" t="str">
        <f>_xlfn.XLOOKUP(F384,'TFS Details'!F:F,'TFS Details'!H:H)</f>
        <v>Active</v>
      </c>
      <c r="AG384" s="42">
        <v>0</v>
      </c>
      <c r="AH384" s="42">
        <v>0</v>
      </c>
      <c r="AI384" s="42">
        <v>0</v>
      </c>
      <c r="AJ384" s="42">
        <v>33</v>
      </c>
      <c r="AK384" s="38">
        <f t="shared" si="34"/>
        <v>33</v>
      </c>
      <c r="AL384" s="39">
        <f t="shared" si="32"/>
        <v>0</v>
      </c>
      <c r="AM384" s="39">
        <f t="shared" si="33"/>
        <v>0</v>
      </c>
      <c r="AO384" s="25" t="str">
        <f>_xlfn.XLOOKUP(F384,'TFS Details'!F:F,'TFS Details'!I:I)</f>
        <v>SolutionDataLake</v>
      </c>
      <c r="AP384" s="25" t="str">
        <f>_xlfn.XLOOKUP(AO384,'TFS Details'!I:I,'TFS Details'!AE:AE)</f>
        <v>booshan.manjunathan</v>
      </c>
    </row>
    <row r="385" spans="1:42">
      <c r="A385" s="24" t="str">
        <f>_xlfn.XLOOKUP(F385,'TFS Details'!F:F,'TFS Details'!D:D)</f>
        <v>MDA</v>
      </c>
      <c r="B385" s="24" t="str">
        <f>_xlfn.XLOOKUP(F385,'TFS Details'!F:F,'TFS Details'!A:A)</f>
        <v>MDA IMS Personalization - Calculation Column addition for Static tabs Under HC FTE Deal Pivot-May Release</v>
      </c>
      <c r="C385" s="46">
        <f>_xlfn.XLOOKUP(F385,'TFS Details'!F:F,'TFS Details'!E:E)</f>
        <v>4441711</v>
      </c>
      <c r="D385" s="51" t="s">
        <v>34</v>
      </c>
      <c r="E385" s="139" t="s">
        <v>1010</v>
      </c>
      <c r="F385" s="72">
        <v>4446881</v>
      </c>
      <c r="G385" s="115" t="s">
        <v>1008</v>
      </c>
      <c r="H385" s="115" t="s">
        <v>1003</v>
      </c>
      <c r="I385" s="52"/>
      <c r="J385" s="250" t="s">
        <v>18</v>
      </c>
      <c r="K385" s="58" t="s">
        <v>1005</v>
      </c>
      <c r="L385" s="234" t="s">
        <v>23</v>
      </c>
      <c r="V385" s="17" t="s">
        <v>204</v>
      </c>
      <c r="W385" s="234" t="s">
        <v>204</v>
      </c>
      <c r="X385" s="17" t="s">
        <v>197</v>
      </c>
      <c r="Y385" s="17" t="s">
        <v>197</v>
      </c>
      <c r="Z385" s="71">
        <v>50</v>
      </c>
      <c r="AA385" s="71">
        <v>28</v>
      </c>
      <c r="AB385" s="71">
        <v>0</v>
      </c>
      <c r="AC385" s="71">
        <v>24</v>
      </c>
      <c r="AD385" s="69">
        <v>0.8</v>
      </c>
      <c r="AE385" s="69">
        <v>0.8</v>
      </c>
      <c r="AF385" s="25" t="str">
        <f>_xlfn.XLOOKUP(F385,'TFS Details'!F:F,'TFS Details'!H:H)</f>
        <v>Active</v>
      </c>
      <c r="AG385" s="42">
        <v>0</v>
      </c>
      <c r="AH385" s="42">
        <v>0</v>
      </c>
      <c r="AI385" s="42">
        <v>0</v>
      </c>
      <c r="AJ385" s="42">
        <v>24</v>
      </c>
      <c r="AK385" s="38">
        <f t="shared" si="34"/>
        <v>24</v>
      </c>
      <c r="AL385" s="39">
        <f t="shared" si="32"/>
        <v>0</v>
      </c>
      <c r="AM385" s="39">
        <f t="shared" si="33"/>
        <v>0</v>
      </c>
      <c r="AO385" s="25" t="str">
        <f>_xlfn.XLOOKUP(F385,'TFS Details'!F:F,'TFS Details'!I:I)</f>
        <v>SolutionDataLake</v>
      </c>
      <c r="AP385" s="25" t="str">
        <f>_xlfn.XLOOKUP(AO385,'TFS Details'!I:I,'TFS Details'!AE:AE)</f>
        <v>booshan.manjunathan</v>
      </c>
    </row>
    <row r="386" spans="1:42">
      <c r="A386" s="24" t="str">
        <f>_xlfn.XLOOKUP(F386,'TFS Details'!F:F,'TFS Details'!D:D)</f>
        <v>MDA</v>
      </c>
      <c r="B386" s="24" t="str">
        <f>_xlfn.XLOOKUP(F386,'TFS Details'!F:F,'TFS Details'!A:A)</f>
        <v>IPC Calculator | New Exemption Reasons</v>
      </c>
      <c r="C386" s="46">
        <f>_xlfn.XLOOKUP(F386,'TFS Details'!F:F,'TFS Details'!E:E)</f>
        <v>4428652</v>
      </c>
      <c r="D386" s="51" t="s">
        <v>34</v>
      </c>
      <c r="E386" s="139" t="s">
        <v>1011</v>
      </c>
      <c r="F386" s="72">
        <v>4438513</v>
      </c>
      <c r="G386" s="115" t="s">
        <v>1004</v>
      </c>
      <c r="H386" s="115" t="s">
        <v>1012</v>
      </c>
      <c r="I386" s="52"/>
      <c r="J386" s="250" t="s">
        <v>18</v>
      </c>
      <c r="K386" s="58" t="s">
        <v>1005</v>
      </c>
      <c r="L386" s="234" t="s">
        <v>23</v>
      </c>
      <c r="P386" s="71">
        <v>30</v>
      </c>
      <c r="Q386" s="71">
        <v>8</v>
      </c>
      <c r="R386" s="71">
        <v>3</v>
      </c>
      <c r="S386" s="71">
        <v>11</v>
      </c>
      <c r="T386" s="69">
        <v>0.45</v>
      </c>
      <c r="U386" s="69">
        <v>0.45</v>
      </c>
      <c r="V386" s="17" t="s">
        <v>204</v>
      </c>
      <c r="W386" s="234" t="s">
        <v>204</v>
      </c>
      <c r="X386" s="17" t="s">
        <v>197</v>
      </c>
      <c r="Y386" s="17" t="s">
        <v>197</v>
      </c>
      <c r="Z386" s="71">
        <v>30</v>
      </c>
      <c r="AA386" s="71">
        <v>8</v>
      </c>
      <c r="AB386" s="71">
        <v>3</v>
      </c>
      <c r="AC386" s="71">
        <v>11</v>
      </c>
      <c r="AD386" s="69">
        <v>0.45</v>
      </c>
      <c r="AE386" s="69">
        <v>0.45</v>
      </c>
      <c r="AF386" s="25" t="str">
        <f>_xlfn.XLOOKUP(F386,'TFS Details'!F:F,'TFS Details'!H:H)</f>
        <v>PT In Test</v>
      </c>
      <c r="AG386" s="42">
        <v>2</v>
      </c>
      <c r="AH386" s="42">
        <v>0</v>
      </c>
      <c r="AI386" s="42">
        <v>0</v>
      </c>
      <c r="AJ386" s="42">
        <v>9</v>
      </c>
      <c r="AK386" s="38">
        <f>SUM(AG386:AJ386)</f>
        <v>11</v>
      </c>
      <c r="AL386" s="39">
        <f t="shared" si="32"/>
        <v>0.18181818181818182</v>
      </c>
      <c r="AM386" s="39">
        <f t="shared" si="33"/>
        <v>1</v>
      </c>
      <c r="AO386" s="25" t="str">
        <f>_xlfn.XLOOKUP(F386,'TFS Details'!F:F,'TFS Details'!I:I)</f>
        <v>SolutionDataLake</v>
      </c>
      <c r="AP386" s="25" t="str">
        <f>_xlfn.XLOOKUP(AO386,'TFS Details'!I:I,'TFS Details'!AE:AE)</f>
        <v>booshan.manjunathan</v>
      </c>
    </row>
    <row r="387" spans="1:42">
      <c r="A387" s="24" t="str">
        <f>_xlfn.XLOOKUP(F387,'TFS Details'!F:F,'TFS Details'!D:D)</f>
        <v>MDA</v>
      </c>
      <c r="B387" s="24" t="str">
        <f>_xlfn.XLOOKUP(F387,'TFS Details'!F:F,'TFS Details'!A:A)</f>
        <v>MDA IMS Personalization - PY Report (MMP Route)- May Release</v>
      </c>
      <c r="C387" s="46">
        <f>_xlfn.XLOOKUP(F387,'TFS Details'!F:F,'TFS Details'!E:E)</f>
        <v>4456095</v>
      </c>
      <c r="D387" s="51" t="s">
        <v>34</v>
      </c>
      <c r="E387" s="139" t="s">
        <v>1013</v>
      </c>
      <c r="F387" s="72">
        <v>4357821</v>
      </c>
      <c r="G387" s="115" t="s">
        <v>1003</v>
      </c>
      <c r="H387" s="115" t="s">
        <v>1012</v>
      </c>
      <c r="I387" s="52"/>
      <c r="J387" s="250" t="s">
        <v>18</v>
      </c>
      <c r="K387" s="58" t="s">
        <v>1005</v>
      </c>
      <c r="L387" s="234" t="s">
        <v>23</v>
      </c>
      <c r="P387" s="71"/>
      <c r="Q387" s="71"/>
      <c r="R387" s="71"/>
      <c r="S387" s="71"/>
      <c r="T387" s="69"/>
      <c r="U387" s="69"/>
      <c r="V387" s="17" t="s">
        <v>204</v>
      </c>
      <c r="W387" s="234" t="s">
        <v>204</v>
      </c>
      <c r="X387" s="17" t="s">
        <v>197</v>
      </c>
      <c r="Y387" s="17" t="s">
        <v>197</v>
      </c>
      <c r="Z387" s="71">
        <v>48</v>
      </c>
      <c r="AA387" s="71">
        <v>43</v>
      </c>
      <c r="AB387" s="71">
        <v>0</v>
      </c>
      <c r="AC387" s="71">
        <v>43</v>
      </c>
      <c r="AD387" s="69">
        <v>0.85</v>
      </c>
      <c r="AE387" s="69">
        <v>0.68</v>
      </c>
      <c r="AF387" s="25" t="str">
        <f>_xlfn.XLOOKUP(F387,'TFS Details'!F:F,'TFS Details'!H:H)</f>
        <v>PT In Test</v>
      </c>
      <c r="AG387" s="42">
        <v>0</v>
      </c>
      <c r="AH387" s="42">
        <v>0</v>
      </c>
      <c r="AI387" s="42">
        <v>0</v>
      </c>
      <c r="AJ387" s="42">
        <v>43</v>
      </c>
      <c r="AK387" s="38">
        <f t="shared" si="34"/>
        <v>43</v>
      </c>
      <c r="AL387" s="39">
        <f t="shared" si="32"/>
        <v>0</v>
      </c>
      <c r="AM387" s="39">
        <f t="shared" si="33"/>
        <v>0</v>
      </c>
      <c r="AO387" s="25" t="str">
        <f>_xlfn.XLOOKUP(F387,'TFS Details'!F:F,'TFS Details'!I:I)</f>
        <v>SolutionDataLake</v>
      </c>
      <c r="AP387" s="25" t="str">
        <f>_xlfn.XLOOKUP(AO387,'TFS Details'!I:I,'TFS Details'!AE:AE)</f>
        <v>booshan.manjunathan</v>
      </c>
    </row>
    <row r="388" spans="1:42">
      <c r="A388" s="24" t="str">
        <f>_xlfn.XLOOKUP(F388,'TFS Details'!F:F,'TFS Details'!D:D)</f>
        <v>MDA KDA</v>
      </c>
      <c r="B388" s="24" t="str">
        <f>_xlfn.XLOOKUP(F388,'TFS Details'!F:F,'TFS Details'!A:A)</f>
        <v>WFH ATCI/ATCP Metric Alignment with DNP Logic Across MDA KDA &amp; VC</v>
      </c>
      <c r="C388" s="46">
        <f>_xlfn.XLOOKUP(F388,'TFS Details'!F:F,'TFS Details'!E:E)</f>
        <v>4454588</v>
      </c>
      <c r="D388" s="51" t="s">
        <v>34</v>
      </c>
      <c r="E388" s="139" t="s">
        <v>1014</v>
      </c>
      <c r="F388" s="72">
        <v>4312353</v>
      </c>
      <c r="G388" s="115" t="s">
        <v>385</v>
      </c>
      <c r="H388" s="115" t="s">
        <v>1004</v>
      </c>
      <c r="I388" s="52"/>
      <c r="J388" s="250" t="s">
        <v>18</v>
      </c>
      <c r="K388" s="58" t="s">
        <v>1005</v>
      </c>
      <c r="L388" s="234" t="s">
        <v>23</v>
      </c>
      <c r="P388" s="71">
        <v>30</v>
      </c>
      <c r="Q388" s="71">
        <v>30</v>
      </c>
      <c r="R388" s="71">
        <v>3</v>
      </c>
      <c r="S388" s="71">
        <v>33</v>
      </c>
      <c r="T388" s="69">
        <v>0.9</v>
      </c>
      <c r="U388" s="69">
        <v>0.9</v>
      </c>
      <c r="V388" s="17" t="s">
        <v>204</v>
      </c>
      <c r="W388" s="234" t="s">
        <v>204</v>
      </c>
      <c r="X388" s="17" t="s">
        <v>197</v>
      </c>
      <c r="Y388" s="17" t="s">
        <v>197</v>
      </c>
      <c r="Z388" s="71">
        <v>18</v>
      </c>
      <c r="AA388" s="71">
        <v>15</v>
      </c>
      <c r="AB388" s="71">
        <v>3</v>
      </c>
      <c r="AC388" s="71">
        <v>18</v>
      </c>
      <c r="AD388" s="69">
        <v>0.83</v>
      </c>
      <c r="AE388" s="69">
        <v>0.83</v>
      </c>
      <c r="AF388" s="25" t="str">
        <f>_xlfn.XLOOKUP(F388,'TFS Details'!F:F,'TFS Details'!H:H)</f>
        <v>Active</v>
      </c>
      <c r="AG388" s="42">
        <v>0</v>
      </c>
      <c r="AH388" s="42">
        <v>0</v>
      </c>
      <c r="AI388" s="42">
        <v>0</v>
      </c>
      <c r="AJ388" s="42">
        <v>18</v>
      </c>
      <c r="AK388" s="38">
        <f>SUM(AG388:AJ388)</f>
        <v>18</v>
      </c>
      <c r="AL388" s="39">
        <f t="shared" si="32"/>
        <v>0</v>
      </c>
      <c r="AM388" s="39">
        <f t="shared" si="33"/>
        <v>0</v>
      </c>
      <c r="AO388" s="25" t="str">
        <f>_xlfn.XLOOKUP(F388,'TFS Details'!F:F,'TFS Details'!I:I)</f>
        <v>SolutionDataLake</v>
      </c>
      <c r="AP388" s="25" t="str">
        <f>_xlfn.XLOOKUP(AO388,'TFS Details'!I:I,'TFS Details'!AE:AE)</f>
        <v>booshan.manjunathan</v>
      </c>
    </row>
    <row r="389" spans="1:42">
      <c r="A389" s="24" t="str">
        <f>_xlfn.XLOOKUP(F389,'TFS Details'!F:F,'TFS Details'!D:D)</f>
        <v>MDA KDA</v>
      </c>
      <c r="B389" s="24" t="str">
        <f>_xlfn.XLOOKUP(F389,'TFS Details'!F:F,'TFS Details'!A:A)</f>
        <v>WFH ATCI/ATCP Metric Alignment with DNP Logic Across MDA KDA &amp; VC</v>
      </c>
      <c r="C389" s="46">
        <f>_xlfn.XLOOKUP(F389,'TFS Details'!F:F,'TFS Details'!E:E)</f>
        <v>4454588</v>
      </c>
      <c r="D389" s="51" t="s">
        <v>34</v>
      </c>
      <c r="E389" s="139" t="s">
        <v>1015</v>
      </c>
      <c r="F389" s="72">
        <v>4318766</v>
      </c>
      <c r="G389" s="115" t="s">
        <v>1004</v>
      </c>
      <c r="H389" s="115" t="s">
        <v>1012</v>
      </c>
      <c r="I389" s="52"/>
      <c r="J389" s="250" t="s">
        <v>18</v>
      </c>
      <c r="K389" s="58" t="s">
        <v>1005</v>
      </c>
      <c r="L389" s="234" t="s">
        <v>23</v>
      </c>
      <c r="P389" s="71">
        <v>30</v>
      </c>
      <c r="Q389" s="71">
        <v>30</v>
      </c>
      <c r="R389" s="71">
        <v>0</v>
      </c>
      <c r="S389" s="71">
        <v>30</v>
      </c>
      <c r="T389" s="69">
        <v>1</v>
      </c>
      <c r="U389" s="69">
        <v>1</v>
      </c>
      <c r="V389" s="17" t="s">
        <v>204</v>
      </c>
      <c r="W389" s="234" t="s">
        <v>204</v>
      </c>
      <c r="X389" s="17" t="s">
        <v>197</v>
      </c>
      <c r="Y389" s="17" t="s">
        <v>197</v>
      </c>
      <c r="Z389" s="71">
        <v>30</v>
      </c>
      <c r="AA389" s="71">
        <v>30</v>
      </c>
      <c r="AB389" s="71">
        <v>0</v>
      </c>
      <c r="AC389" s="71">
        <v>30</v>
      </c>
      <c r="AD389" s="69">
        <v>1</v>
      </c>
      <c r="AE389" s="69">
        <v>1</v>
      </c>
      <c r="AF389" s="25" t="str">
        <f>_xlfn.XLOOKUP(F389,'TFS Details'!F:F,'TFS Details'!H:H)</f>
        <v>Active</v>
      </c>
      <c r="AG389" s="42">
        <v>0</v>
      </c>
      <c r="AH389" s="42">
        <v>0</v>
      </c>
      <c r="AI389" s="42">
        <v>0</v>
      </c>
      <c r="AJ389" s="42">
        <v>30</v>
      </c>
      <c r="AK389" s="38">
        <f>SUM(AG389:AJ389)</f>
        <v>30</v>
      </c>
      <c r="AL389" s="39">
        <f t="shared" si="32"/>
        <v>0</v>
      </c>
      <c r="AM389" s="39">
        <f t="shared" si="33"/>
        <v>0</v>
      </c>
      <c r="AO389" s="25" t="str">
        <f>_xlfn.XLOOKUP(F389,'TFS Details'!F:F,'TFS Details'!I:I)</f>
        <v>SolutionDataLake</v>
      </c>
      <c r="AP389" s="25" t="str">
        <f>_xlfn.XLOOKUP(AO389,'TFS Details'!I:I,'TFS Details'!AE:AE)</f>
        <v>booshan.manjunathan</v>
      </c>
    </row>
    <row r="390" spans="1:42">
      <c r="A390" s="24" t="str">
        <f>_xlfn.XLOOKUP(F390,'TFS Details'!F:F,'TFS Details'!D:D)</f>
        <v xml:space="preserve">MDA </v>
      </c>
      <c r="B390" s="24" t="str">
        <f>_xlfn.XLOOKUP(F390,'TFS Details'!F:F,'TFS Details'!A:A)</f>
        <v>[MDA‑AMS, BPMS, IMS]: Display OCP consumed Cumulative Productivity in Productivity Graph</v>
      </c>
      <c r="C390" s="46">
        <f>_xlfn.XLOOKUP(F390,'TFS Details'!F:F,'TFS Details'!E:E)</f>
        <v>4373965</v>
      </c>
      <c r="D390" s="51" t="s">
        <v>34</v>
      </c>
      <c r="E390" s="139" t="s">
        <v>1016</v>
      </c>
      <c r="F390" s="72">
        <v>4286470</v>
      </c>
      <c r="G390" s="115" t="s">
        <v>1003</v>
      </c>
      <c r="H390" s="115" t="s">
        <v>1012</v>
      </c>
      <c r="I390" s="52"/>
      <c r="J390" s="250" t="s">
        <v>18</v>
      </c>
      <c r="K390" s="58" t="s">
        <v>1005</v>
      </c>
      <c r="L390" s="234" t="s">
        <v>23</v>
      </c>
      <c r="P390" s="71"/>
      <c r="Q390" s="71"/>
      <c r="R390" s="71"/>
      <c r="S390" s="71"/>
      <c r="T390" s="69"/>
      <c r="U390" s="69"/>
      <c r="V390" s="17" t="s">
        <v>204</v>
      </c>
      <c r="W390" s="234" t="s">
        <v>204</v>
      </c>
      <c r="X390" s="17" t="s">
        <v>197</v>
      </c>
      <c r="Y390" s="17" t="s">
        <v>197</v>
      </c>
      <c r="Z390" s="71">
        <v>30</v>
      </c>
      <c r="AA390" s="71">
        <v>21</v>
      </c>
      <c r="AB390" s="71">
        <v>0</v>
      </c>
      <c r="AC390" s="71">
        <v>21</v>
      </c>
      <c r="AD390" s="69">
        <v>0.8</v>
      </c>
      <c r="AE390" s="69">
        <v>0.6</v>
      </c>
      <c r="AF390" s="25" t="str">
        <f>_xlfn.XLOOKUP(F390,'TFS Details'!F:F,'TFS Details'!H:H)</f>
        <v>Active</v>
      </c>
      <c r="AG390" s="42">
        <v>0</v>
      </c>
      <c r="AH390" s="42">
        <v>0</v>
      </c>
      <c r="AI390" s="42">
        <v>0</v>
      </c>
      <c r="AJ390" s="42">
        <v>21</v>
      </c>
      <c r="AK390" s="38">
        <f t="shared" si="34"/>
        <v>21</v>
      </c>
      <c r="AL390" s="39">
        <f t="shared" si="32"/>
        <v>0</v>
      </c>
      <c r="AM390" s="39">
        <f t="shared" si="33"/>
        <v>0</v>
      </c>
      <c r="AO390" s="25" t="str">
        <f>_xlfn.XLOOKUP(F390,'TFS Details'!F:F,'TFS Details'!I:I)</f>
        <v>SolutionDataLake</v>
      </c>
      <c r="AP390" s="25" t="str">
        <f>_xlfn.XLOOKUP(AO390,'TFS Details'!I:I,'TFS Details'!AE:AE)</f>
        <v>booshan.manjunathan</v>
      </c>
    </row>
    <row r="391" spans="1:42">
      <c r="A391" s="24" t="str">
        <f>_xlfn.XLOOKUP(F391,'TFS Details'!F:F,'TFS Details'!D:D)</f>
        <v>MDA</v>
      </c>
      <c r="B391" s="24" t="str">
        <f>_xlfn.XLOOKUP(F391,'TFS Details'!F:F,'TFS Details'!A:A)</f>
        <v>MDA IMS Personalization - DNP May Release (Spill over March Release)</v>
      </c>
      <c r="C391" s="46">
        <f>_xlfn.XLOOKUP(F391,'TFS Details'!F:F,'TFS Details'!E:E)</f>
        <v>4356899</v>
      </c>
      <c r="D391" s="51" t="s">
        <v>34</v>
      </c>
      <c r="E391" s="139" t="s">
        <v>1017</v>
      </c>
      <c r="F391" s="72">
        <v>4308730</v>
      </c>
      <c r="G391" s="115" t="s">
        <v>1012</v>
      </c>
      <c r="H391" s="115" t="s">
        <v>1008</v>
      </c>
      <c r="I391" s="52"/>
      <c r="J391" s="250" t="s">
        <v>18</v>
      </c>
      <c r="K391" s="58" t="s">
        <v>1005</v>
      </c>
      <c r="L391" s="234" t="s">
        <v>23</v>
      </c>
      <c r="P391" s="71">
        <v>30</v>
      </c>
      <c r="Q391" s="71">
        <v>30</v>
      </c>
      <c r="R391" s="71">
        <v>0</v>
      </c>
      <c r="S391" s="71">
        <v>30</v>
      </c>
      <c r="T391" s="69">
        <v>1</v>
      </c>
      <c r="U391" s="69">
        <v>1</v>
      </c>
      <c r="V391" s="17" t="s">
        <v>204</v>
      </c>
      <c r="W391" s="234" t="s">
        <v>204</v>
      </c>
      <c r="X391" s="17" t="s">
        <v>197</v>
      </c>
      <c r="Y391" s="17" t="s">
        <v>197</v>
      </c>
      <c r="Z391" s="71">
        <v>42</v>
      </c>
      <c r="AA391" s="71">
        <v>14</v>
      </c>
      <c r="AB391" s="71">
        <v>13</v>
      </c>
      <c r="AC391" s="71">
        <v>27</v>
      </c>
      <c r="AD391" s="69">
        <v>0.5</v>
      </c>
      <c r="AE391" s="69">
        <v>0.5</v>
      </c>
      <c r="AF391" s="25" t="str">
        <f>_xlfn.XLOOKUP(F391,'TFS Details'!F:F,'TFS Details'!H:H)</f>
        <v>Active</v>
      </c>
      <c r="AG391" s="42">
        <v>0</v>
      </c>
      <c r="AH391" s="42">
        <v>0</v>
      </c>
      <c r="AI391" s="42">
        <v>0</v>
      </c>
      <c r="AJ391" s="42">
        <v>27</v>
      </c>
      <c r="AK391" s="38">
        <f t="shared" si="34"/>
        <v>27</v>
      </c>
      <c r="AL391" s="39">
        <f t="shared" si="32"/>
        <v>0</v>
      </c>
      <c r="AM391" s="39">
        <f t="shared" si="33"/>
        <v>0</v>
      </c>
      <c r="AO391" s="25" t="str">
        <f>_xlfn.XLOOKUP(F391,'TFS Details'!F:F,'TFS Details'!I:I)</f>
        <v>SolutionDataLake</v>
      </c>
      <c r="AP391" s="25" t="str">
        <f>_xlfn.XLOOKUP(AO391,'TFS Details'!I:I,'TFS Details'!AE:AE)</f>
        <v>booshan.manjunathan</v>
      </c>
    </row>
    <row r="392" spans="1:42">
      <c r="A392" s="24" t="str">
        <f>_xlfn.XLOOKUP(F392,'TFS Details'!F:F,'TFS Details'!D:D)</f>
        <v>MDA</v>
      </c>
      <c r="B392" s="24" t="str">
        <f>_xlfn.XLOOKUP(F392,'TFS Details'!F:F,'TFS Details'!A:A)</f>
        <v>MDA IMS Personalization – HC Report – Append 2 New Static Tabs (May Release)</v>
      </c>
      <c r="C392" s="46">
        <f>_xlfn.XLOOKUP(F392,'TFS Details'!F:F,'TFS Details'!E:E)</f>
        <v>4455343</v>
      </c>
      <c r="D392" s="51" t="s">
        <v>34</v>
      </c>
      <c r="E392" s="139" t="s">
        <v>1018</v>
      </c>
      <c r="F392" s="72">
        <v>4367337</v>
      </c>
      <c r="G392" s="115" t="s">
        <v>1008</v>
      </c>
      <c r="H392" s="115" t="s">
        <v>1004</v>
      </c>
      <c r="I392" s="52"/>
      <c r="J392" s="250" t="s">
        <v>18</v>
      </c>
      <c r="K392" s="58" t="s">
        <v>1005</v>
      </c>
      <c r="L392" s="234" t="s">
        <v>23</v>
      </c>
      <c r="P392" s="71"/>
      <c r="Q392" s="71"/>
      <c r="R392" s="71"/>
      <c r="S392" s="71"/>
      <c r="T392" s="69"/>
      <c r="U392" s="69"/>
      <c r="V392" s="17" t="s">
        <v>204</v>
      </c>
      <c r="W392" s="234" t="s">
        <v>204</v>
      </c>
      <c r="X392" s="17" t="s">
        <v>197</v>
      </c>
      <c r="Y392" s="17" t="s">
        <v>197</v>
      </c>
      <c r="Z392" s="71">
        <v>48</v>
      </c>
      <c r="AA392" s="71">
        <v>24</v>
      </c>
      <c r="AB392" s="71">
        <v>2</v>
      </c>
      <c r="AC392" s="71">
        <v>26</v>
      </c>
      <c r="AD392" s="69">
        <v>0.75</v>
      </c>
      <c r="AE392" s="69">
        <v>0.75</v>
      </c>
      <c r="AF392" s="25" t="str">
        <f>_xlfn.XLOOKUP(F392,'TFS Details'!F:F,'TFS Details'!H:H)</f>
        <v>Active</v>
      </c>
      <c r="AG392" s="42">
        <v>0</v>
      </c>
      <c r="AH392" s="42">
        <v>0</v>
      </c>
      <c r="AI392" s="42">
        <v>0</v>
      </c>
      <c r="AJ392" s="42">
        <v>26</v>
      </c>
      <c r="AK392" s="38">
        <f t="shared" si="34"/>
        <v>26</v>
      </c>
      <c r="AL392" s="39">
        <f t="shared" si="32"/>
        <v>0</v>
      </c>
      <c r="AM392" s="39">
        <f t="shared" si="33"/>
        <v>0</v>
      </c>
      <c r="AO392" s="25" t="str">
        <f>_xlfn.XLOOKUP(F392,'TFS Details'!F:F,'TFS Details'!I:I)</f>
        <v>SolutionDataLake</v>
      </c>
      <c r="AP392" s="25" t="str">
        <f>_xlfn.XLOOKUP(AO392,'TFS Details'!I:I,'TFS Details'!AE:AE)</f>
        <v>booshan.manjunathan</v>
      </c>
    </row>
    <row r="393" spans="1:42">
      <c r="A393" s="24" t="str">
        <f>_xlfn.XLOOKUP(F393,'TFS Details'!F:F,'TFS Details'!D:D)</f>
        <v>MDA</v>
      </c>
      <c r="B393" s="24" t="str">
        <f>_xlfn.XLOOKUP(F393,'TFS Details'!F:F,'TFS Details'!A:A)</f>
        <v>[MDA‑AMS, BPMS, IMS]: Display OCP consumed Cumulative Productivity in Productivity Graph</v>
      </c>
      <c r="C393" s="46">
        <f>_xlfn.XLOOKUP(F393,'TFS Details'!F:F,'TFS Details'!E:E)</f>
        <v>4373965</v>
      </c>
      <c r="D393" s="51" t="s">
        <v>34</v>
      </c>
      <c r="E393" s="139" t="s">
        <v>1019</v>
      </c>
      <c r="F393" s="72">
        <v>4368213</v>
      </c>
      <c r="G393" s="115" t="s">
        <v>1003</v>
      </c>
      <c r="H393" s="115" t="s">
        <v>1008</v>
      </c>
      <c r="I393" s="52"/>
      <c r="J393" s="250" t="s">
        <v>18</v>
      </c>
      <c r="K393" s="58" t="s">
        <v>1005</v>
      </c>
      <c r="L393" s="234" t="s">
        <v>23</v>
      </c>
      <c r="P393" s="71"/>
      <c r="Q393" s="71"/>
      <c r="R393" s="71"/>
      <c r="S393" s="71"/>
      <c r="T393" s="69"/>
      <c r="U393" s="69"/>
      <c r="V393" s="17" t="s">
        <v>204</v>
      </c>
      <c r="W393" s="234" t="s">
        <v>204</v>
      </c>
      <c r="X393" s="17" t="s">
        <v>197</v>
      </c>
      <c r="Y393" s="17" t="s">
        <v>197</v>
      </c>
      <c r="Z393" s="71">
        <v>32</v>
      </c>
      <c r="AA393" s="71">
        <v>21</v>
      </c>
      <c r="AB393" s="71">
        <v>0</v>
      </c>
      <c r="AC393" s="71">
        <v>21</v>
      </c>
      <c r="AD393" s="69">
        <v>0.72</v>
      </c>
      <c r="AE393" s="69">
        <v>0.68</v>
      </c>
      <c r="AF393" s="25" t="str">
        <f>_xlfn.XLOOKUP(F393,'TFS Details'!F:F,'TFS Details'!H:H)</f>
        <v>Active</v>
      </c>
      <c r="AG393" s="42">
        <v>0</v>
      </c>
      <c r="AH393" s="42">
        <v>0</v>
      </c>
      <c r="AI393" s="42">
        <v>0</v>
      </c>
      <c r="AJ393" s="42">
        <v>21</v>
      </c>
      <c r="AK393" s="38">
        <f t="shared" si="34"/>
        <v>21</v>
      </c>
      <c r="AL393" s="39">
        <f t="shared" si="32"/>
        <v>0</v>
      </c>
      <c r="AM393" s="39">
        <f t="shared" si="33"/>
        <v>0</v>
      </c>
      <c r="AO393" s="25" t="str">
        <f>_xlfn.XLOOKUP(F393,'TFS Details'!F:F,'TFS Details'!I:I)</f>
        <v>SolutionDataLake</v>
      </c>
      <c r="AP393" s="25" t="str">
        <f>_xlfn.XLOOKUP(AO393,'TFS Details'!I:I,'TFS Details'!AE:AE)</f>
        <v>booshan.manjunathan</v>
      </c>
    </row>
    <row r="394" spans="1:42">
      <c r="A394" s="24" t="str">
        <f>_xlfn.XLOOKUP(F394,'TFS Details'!F:F,'TFS Details'!D:D)</f>
        <v>MDA KDA</v>
      </c>
      <c r="B394" s="24" t="str">
        <f>_xlfn.XLOOKUP(F394,'TFS Details'!F:F,'TFS Details'!A:A)</f>
        <v>WFH ATCI/ATCP Metric Alignment with DNP Logic Across MDA KDA &amp; VC</v>
      </c>
      <c r="C394" s="46">
        <f>_xlfn.XLOOKUP(F394,'TFS Details'!F:F,'TFS Details'!E:E)</f>
        <v>4454588</v>
      </c>
      <c r="D394" s="51" t="s">
        <v>34</v>
      </c>
      <c r="E394" s="139" t="s">
        <v>1020</v>
      </c>
      <c r="F394" s="72">
        <v>4369392</v>
      </c>
      <c r="G394" s="115" t="s">
        <v>385</v>
      </c>
      <c r="H394" s="115" t="s">
        <v>1004</v>
      </c>
      <c r="I394" s="52"/>
      <c r="J394" s="250" t="s">
        <v>18</v>
      </c>
      <c r="K394" s="58" t="s">
        <v>1005</v>
      </c>
      <c r="L394" s="234" t="s">
        <v>23</v>
      </c>
      <c r="P394" s="71">
        <v>30</v>
      </c>
      <c r="Q394" s="71">
        <v>25</v>
      </c>
      <c r="R394" s="71">
        <v>6</v>
      </c>
      <c r="S394" s="71">
        <v>25</v>
      </c>
      <c r="T394" s="69">
        <v>0.83</v>
      </c>
      <c r="U394" s="69">
        <v>0.83</v>
      </c>
      <c r="V394" s="17" t="s">
        <v>204</v>
      </c>
      <c r="W394" s="234" t="s">
        <v>204</v>
      </c>
      <c r="X394" s="17" t="s">
        <v>197</v>
      </c>
      <c r="Y394" s="17" t="s">
        <v>197</v>
      </c>
      <c r="Z394" s="71">
        <v>30</v>
      </c>
      <c r="AA394" s="71">
        <v>22</v>
      </c>
      <c r="AB394" s="71">
        <v>3</v>
      </c>
      <c r="AC394" s="71">
        <v>25</v>
      </c>
      <c r="AD394" s="69">
        <v>0.73</v>
      </c>
      <c r="AE394" s="69">
        <v>0.73</v>
      </c>
      <c r="AF394" s="25" t="str">
        <f>_xlfn.XLOOKUP(F394,'TFS Details'!F:F,'TFS Details'!H:H)</f>
        <v>Active</v>
      </c>
      <c r="AG394" s="42">
        <v>0</v>
      </c>
      <c r="AH394" s="42">
        <v>0</v>
      </c>
      <c r="AI394" s="42">
        <v>0</v>
      </c>
      <c r="AJ394" s="42">
        <v>25</v>
      </c>
      <c r="AK394" s="38">
        <f>SUM(AG394:AJ394)</f>
        <v>25</v>
      </c>
      <c r="AL394" s="39">
        <f t="shared" si="32"/>
        <v>0</v>
      </c>
      <c r="AM394" s="39">
        <f t="shared" si="33"/>
        <v>0</v>
      </c>
      <c r="AO394" s="25" t="str">
        <f>_xlfn.XLOOKUP(F394,'TFS Details'!F:F,'TFS Details'!I:I)</f>
        <v>SolutionDataLake</v>
      </c>
      <c r="AP394" s="25" t="str">
        <f>_xlfn.XLOOKUP(AO394,'TFS Details'!I:I,'TFS Details'!AE:AE)</f>
        <v>booshan.manjunathan</v>
      </c>
    </row>
    <row r="395" spans="1:42">
      <c r="A395" s="24" t="str">
        <f>_xlfn.XLOOKUP(F395,'TFS Details'!F:F,'TFS Details'!D:D)</f>
        <v>MDA KDA</v>
      </c>
      <c r="B395" s="24" t="str">
        <f>_xlfn.XLOOKUP(F395,'TFS Details'!F:F,'TFS Details'!A:A)</f>
        <v>WFH ATCI/ATCP Metric Alignment with DNP Logic Across MDA KDA &amp; VC</v>
      </c>
      <c r="C395" s="46">
        <f>_xlfn.XLOOKUP(F395,'TFS Details'!F:F,'TFS Details'!E:E)</f>
        <v>4454588</v>
      </c>
      <c r="D395" s="51" t="s">
        <v>34</v>
      </c>
      <c r="E395" s="139" t="s">
        <v>1021</v>
      </c>
      <c r="F395" s="72">
        <v>4369422</v>
      </c>
      <c r="G395" s="115" t="s">
        <v>1004</v>
      </c>
      <c r="H395" s="115" t="s">
        <v>1008</v>
      </c>
      <c r="I395" s="52"/>
      <c r="J395" s="250" t="s">
        <v>18</v>
      </c>
      <c r="K395" s="58" t="s">
        <v>1005</v>
      </c>
      <c r="L395" s="234" t="s">
        <v>23</v>
      </c>
      <c r="P395" s="71">
        <v>30</v>
      </c>
      <c r="Q395" s="71">
        <v>30</v>
      </c>
      <c r="R395" s="71">
        <v>3</v>
      </c>
      <c r="S395" s="71">
        <v>33</v>
      </c>
      <c r="T395" s="69">
        <v>0.9</v>
      </c>
      <c r="U395" s="69">
        <v>0.9</v>
      </c>
      <c r="V395" s="17" t="s">
        <v>204</v>
      </c>
      <c r="W395" s="234" t="s">
        <v>204</v>
      </c>
      <c r="X395" s="17" t="s">
        <v>197</v>
      </c>
      <c r="Y395" s="17" t="s">
        <v>197</v>
      </c>
      <c r="Z395" s="71">
        <v>30</v>
      </c>
      <c r="AA395" s="71">
        <v>30</v>
      </c>
      <c r="AB395" s="71">
        <v>3</v>
      </c>
      <c r="AC395" s="71">
        <v>33</v>
      </c>
      <c r="AD395" s="69">
        <v>0.9</v>
      </c>
      <c r="AE395" s="69">
        <v>0.9</v>
      </c>
      <c r="AF395" s="25" t="str">
        <f>_xlfn.XLOOKUP(F395,'TFS Details'!F:F,'TFS Details'!H:H)</f>
        <v>Active</v>
      </c>
      <c r="AG395" s="42">
        <v>0</v>
      </c>
      <c r="AH395" s="42">
        <v>0</v>
      </c>
      <c r="AI395" s="42">
        <v>0</v>
      </c>
      <c r="AJ395" s="42">
        <v>33</v>
      </c>
      <c r="AK395" s="38">
        <f>SUM(AG395:AJ395)</f>
        <v>33</v>
      </c>
      <c r="AL395" s="39">
        <f t="shared" si="32"/>
        <v>0</v>
      </c>
      <c r="AM395" s="39">
        <f t="shared" si="33"/>
        <v>0</v>
      </c>
      <c r="AO395" s="25" t="str">
        <f>_xlfn.XLOOKUP(F395,'TFS Details'!F:F,'TFS Details'!I:I)</f>
        <v>SolutionDataLake</v>
      </c>
      <c r="AP395" s="25" t="str">
        <f>_xlfn.XLOOKUP(AO395,'TFS Details'!I:I,'TFS Details'!AE:AE)</f>
        <v>booshan.manjunathan</v>
      </c>
    </row>
    <row r="396" spans="1:42">
      <c r="A396" s="24" t="str">
        <f>_xlfn.XLOOKUP(F396,'TFS Details'!F:F,'TFS Details'!D:D)</f>
        <v>PMO</v>
      </c>
      <c r="B396" s="24" t="str">
        <f>_xlfn.XLOOKUP(F396,'TFS Details'!F:F,'TFS Details'!A:A)</f>
        <v>[PMO] URL update for Manage and Dashboard screens</v>
      </c>
      <c r="C396" s="46">
        <f>_xlfn.XLOOKUP(F396,'TFS Details'!F:F,'TFS Details'!E:E)</f>
        <v>4440976</v>
      </c>
      <c r="D396" s="51" t="s">
        <v>34</v>
      </c>
      <c r="E396" s="139" t="s">
        <v>1022</v>
      </c>
      <c r="F396" s="157">
        <v>4446670</v>
      </c>
      <c r="G396" s="108" t="s">
        <v>385</v>
      </c>
      <c r="H396" s="108" t="s">
        <v>1004</v>
      </c>
      <c r="I396" s="52" t="s">
        <v>985</v>
      </c>
      <c r="J396" s="250" t="s">
        <v>20</v>
      </c>
      <c r="K396" s="58" t="s">
        <v>1023</v>
      </c>
      <c r="L396" s="234" t="s">
        <v>1024</v>
      </c>
      <c r="O396" s="273">
        <v>0.1</v>
      </c>
      <c r="P396" s="241">
        <v>30</v>
      </c>
      <c r="Q396" s="241">
        <v>14</v>
      </c>
      <c r="R396" s="241">
        <v>1</v>
      </c>
      <c r="S396" s="241">
        <v>14</v>
      </c>
      <c r="T396" s="69">
        <v>0.47</v>
      </c>
      <c r="U396" s="33">
        <v>0.47</v>
      </c>
      <c r="V396" s="17" t="s">
        <v>204</v>
      </c>
      <c r="W396" s="234" t="s">
        <v>204</v>
      </c>
      <c r="X396" s="17" t="s">
        <v>197</v>
      </c>
      <c r="Y396" s="17" t="s">
        <v>197</v>
      </c>
      <c r="Z396" s="71">
        <v>30</v>
      </c>
      <c r="AA396" s="71">
        <v>14</v>
      </c>
      <c r="AB396" s="71">
        <v>1</v>
      </c>
      <c r="AC396" s="71">
        <v>14</v>
      </c>
      <c r="AD396" s="69">
        <v>0.47</v>
      </c>
      <c r="AE396" s="69">
        <v>0.47</v>
      </c>
      <c r="AF396" s="25" t="str">
        <f>_xlfn.XLOOKUP(F396,'TFS Details'!F:F,'TFS Details'!H:H)</f>
        <v>PT In Test</v>
      </c>
      <c r="AG396" s="42">
        <v>1</v>
      </c>
      <c r="AH396" s="42">
        <v>0</v>
      </c>
      <c r="AI396" s="42">
        <v>0</v>
      </c>
      <c r="AJ396" s="42">
        <v>13</v>
      </c>
      <c r="AK396" s="38">
        <f>SUM(AG396:AJ396)</f>
        <v>14</v>
      </c>
      <c r="AL396" s="39">
        <f t="shared" ref="AL396" si="37">IF(AG396+AH396=0,0,SUM(AG396:AH396)/AK396)</f>
        <v>7.1428571428571425E-2</v>
      </c>
      <c r="AM396" s="39">
        <f t="shared" ref="AM396" si="38">IF(AG396=0,0,AG396/(SUM(AG396:AI396)))</f>
        <v>1</v>
      </c>
      <c r="AO396" s="25" t="str">
        <f>_xlfn.XLOOKUP(F396,'TFS Details'!F:F,'TFS Details'!I:I)</f>
        <v>SolutionDataLake</v>
      </c>
      <c r="AP396" s="25" t="str">
        <f>_xlfn.XLOOKUP(AO396,'TFS Details'!I:I,'TFS Details'!AE:AE)</f>
        <v>booshan.manjunathan</v>
      </c>
    </row>
    <row r="397" spans="1:42">
      <c r="A397" s="24" t="str">
        <f>_xlfn.XLOOKUP(F397,'TFS Details'!F:F,'TFS Details'!D:D)</f>
        <v>MDA</v>
      </c>
      <c r="B397" s="24" t="str">
        <f>_xlfn.XLOOKUP(F397,'TFS Details'!F:F,'TFS Details'!A:A)</f>
        <v>MDA IMS Personalization - DNP May Release (Spill over March Release)</v>
      </c>
      <c r="C397" s="46">
        <f>_xlfn.XLOOKUP(F397,'TFS Details'!F:F,'TFS Details'!E:E)</f>
        <v>4356899</v>
      </c>
      <c r="D397" s="51" t="s">
        <v>34</v>
      </c>
      <c r="E397" s="139" t="s">
        <v>1025</v>
      </c>
      <c r="F397" s="72">
        <v>4391918</v>
      </c>
      <c r="G397" s="115" t="s">
        <v>1012</v>
      </c>
      <c r="H397" s="115" t="s">
        <v>1004</v>
      </c>
      <c r="I397" s="52"/>
      <c r="J397" s="250" t="s">
        <v>18</v>
      </c>
      <c r="K397" s="58" t="s">
        <v>1005</v>
      </c>
      <c r="L397" s="234" t="s">
        <v>23</v>
      </c>
      <c r="P397" s="241"/>
      <c r="Q397" s="241"/>
      <c r="R397" s="241"/>
      <c r="S397" s="241"/>
      <c r="T397" s="69"/>
      <c r="V397" s="17" t="s">
        <v>204</v>
      </c>
      <c r="W397" s="234" t="s">
        <v>204</v>
      </c>
      <c r="X397" s="17" t="s">
        <v>197</v>
      </c>
      <c r="Y397" s="17" t="s">
        <v>197</v>
      </c>
      <c r="Z397" s="71">
        <v>48</v>
      </c>
      <c r="AA397" s="71">
        <v>11</v>
      </c>
      <c r="AB397" s="71">
        <v>15</v>
      </c>
      <c r="AC397" s="71">
        <v>26</v>
      </c>
      <c r="AD397" s="69">
        <v>0.42</v>
      </c>
      <c r="AE397" s="69">
        <v>0.35</v>
      </c>
      <c r="AF397" s="25" t="str">
        <f>_xlfn.XLOOKUP(F397,'TFS Details'!F:F,'TFS Details'!H:H)</f>
        <v>Active</v>
      </c>
      <c r="AG397" s="42">
        <v>0</v>
      </c>
      <c r="AH397" s="42">
        <v>0</v>
      </c>
      <c r="AI397" s="42">
        <v>0</v>
      </c>
      <c r="AJ397" s="42">
        <v>26</v>
      </c>
      <c r="AK397" s="38">
        <f t="shared" si="34"/>
        <v>26</v>
      </c>
      <c r="AL397" s="39">
        <f t="shared" si="32"/>
        <v>0</v>
      </c>
      <c r="AM397" s="39">
        <f t="shared" si="33"/>
        <v>0</v>
      </c>
      <c r="AO397" s="25" t="str">
        <f>_xlfn.XLOOKUP(F397,'TFS Details'!F:F,'TFS Details'!I:I)</f>
        <v>SolutionDataLake</v>
      </c>
      <c r="AP397" s="25" t="str">
        <f>_xlfn.XLOOKUP(AO397,'TFS Details'!I:I,'TFS Details'!AE:AE)</f>
        <v>booshan.manjunathan</v>
      </c>
    </row>
    <row r="398" spans="1:42">
      <c r="A398" s="24" t="str">
        <f>_xlfn.XLOOKUP(F398,'TFS Details'!F:F,'TFS Details'!D:D)</f>
        <v>Small Deal SME PLD</v>
      </c>
      <c r="B398" s="24" t="str">
        <f>_xlfn.XLOOKUP(F398,'TFS Details'!F:F,'TFS Details'!A:A)</f>
        <v>PLD - Advisory SA Role</v>
      </c>
      <c r="C398" s="46">
        <f>_xlfn.XLOOKUP(F398,'TFS Details'!F:F,'TFS Details'!E:E)</f>
        <v>4386527</v>
      </c>
      <c r="D398" s="51" t="s">
        <v>34</v>
      </c>
      <c r="E398" s="139" t="s">
        <v>1026</v>
      </c>
      <c r="F398" s="72">
        <v>4393219</v>
      </c>
      <c r="G398" s="115" t="s">
        <v>385</v>
      </c>
      <c r="H398" s="115" t="s">
        <v>1003</v>
      </c>
      <c r="I398" s="52" t="s">
        <v>985</v>
      </c>
      <c r="J398" s="250" t="s">
        <v>20</v>
      </c>
      <c r="K398" s="58" t="s">
        <v>1023</v>
      </c>
      <c r="L398" s="234" t="s">
        <v>1024</v>
      </c>
      <c r="O398" s="273">
        <v>0.1</v>
      </c>
      <c r="P398" s="241"/>
      <c r="Q398" s="241"/>
      <c r="R398" s="241"/>
      <c r="S398" s="241"/>
      <c r="T398" s="69"/>
      <c r="V398" s="17" t="s">
        <v>204</v>
      </c>
      <c r="W398" s="234" t="s">
        <v>204</v>
      </c>
      <c r="X398" s="17" t="s">
        <v>197</v>
      </c>
      <c r="Y398" s="17" t="s">
        <v>197</v>
      </c>
      <c r="Z398" s="71">
        <v>24</v>
      </c>
      <c r="AA398" s="71">
        <v>15</v>
      </c>
      <c r="AB398" s="71">
        <v>0</v>
      </c>
      <c r="AC398" s="71">
        <v>15</v>
      </c>
      <c r="AD398" s="69">
        <v>0.75</v>
      </c>
      <c r="AE398" s="69">
        <v>0.6</v>
      </c>
      <c r="AF398" s="25" t="str">
        <f>_xlfn.XLOOKUP(F398,'TFS Details'!F:F,'TFS Details'!H:H)</f>
        <v>PT In Test</v>
      </c>
      <c r="AG398" s="42">
        <v>10</v>
      </c>
      <c r="AH398" s="42">
        <v>1</v>
      </c>
      <c r="AI398" s="42">
        <v>0</v>
      </c>
      <c r="AJ398" s="42">
        <v>4</v>
      </c>
      <c r="AK398" s="38">
        <f t="shared" si="34"/>
        <v>15</v>
      </c>
      <c r="AL398" s="39">
        <f t="shared" si="32"/>
        <v>0.73333333333333328</v>
      </c>
      <c r="AM398" s="39">
        <f t="shared" si="33"/>
        <v>0.90909090909090906</v>
      </c>
      <c r="AN398" s="17" t="s">
        <v>1027</v>
      </c>
      <c r="AO398" s="25" t="str">
        <f>_xlfn.XLOOKUP(F398,'TFS Details'!F:F,'TFS Details'!I:I)</f>
        <v>SolutionDataLake</v>
      </c>
      <c r="AP398" s="25" t="str">
        <f>_xlfn.XLOOKUP(AO398,'TFS Details'!I:I,'TFS Details'!AE:AE)</f>
        <v>booshan.manjunathan</v>
      </c>
    </row>
    <row r="399" spans="1:42">
      <c r="A399" s="24" t="str">
        <f>_xlfn.XLOOKUP(F399,'TFS Details'!F:F,'TFS Details'!D:D)</f>
        <v>MDA</v>
      </c>
      <c r="B399" s="24" t="str">
        <f>_xlfn.XLOOKUP(F399,'TFS Details'!F:F,'TFS Details'!A:A)</f>
        <v>MDA DNP Report - Display Actual values for WFH% ATCI and ATCP metrics in Cost Assumptions tab</v>
      </c>
      <c r="C399" s="46">
        <f>_xlfn.XLOOKUP(F399,'TFS Details'!F:F,'TFS Details'!E:E)</f>
        <v>4410599</v>
      </c>
      <c r="D399" s="51" t="s">
        <v>34</v>
      </c>
      <c r="E399" s="139" t="s">
        <v>1028</v>
      </c>
      <c r="F399" s="72">
        <v>4410430</v>
      </c>
      <c r="G399" s="115" t="s">
        <v>1003</v>
      </c>
      <c r="H399" s="115" t="s">
        <v>1004</v>
      </c>
      <c r="I399" s="52"/>
      <c r="J399" s="250" t="s">
        <v>18</v>
      </c>
      <c r="K399" s="58" t="s">
        <v>1005</v>
      </c>
      <c r="L399" s="234" t="s">
        <v>23</v>
      </c>
      <c r="P399" s="241"/>
      <c r="Q399" s="241"/>
      <c r="R399" s="241"/>
      <c r="S399" s="241"/>
      <c r="T399" s="69"/>
      <c r="V399" s="17" t="s">
        <v>204</v>
      </c>
      <c r="W399" s="234" t="s">
        <v>204</v>
      </c>
      <c r="X399" s="17" t="s">
        <v>197</v>
      </c>
      <c r="Y399" s="17" t="s">
        <v>197</v>
      </c>
      <c r="Z399" s="71">
        <v>25</v>
      </c>
      <c r="AA399" s="71">
        <v>18</v>
      </c>
      <c r="AB399" s="71">
        <v>0</v>
      </c>
      <c r="AC399" s="71">
        <v>18</v>
      </c>
      <c r="AD399" s="69">
        <v>0.67</v>
      </c>
      <c r="AE399" s="69">
        <v>0.52</v>
      </c>
      <c r="AF399" s="25" t="str">
        <f>_xlfn.XLOOKUP(F399,'TFS Details'!F:F,'TFS Details'!H:H)</f>
        <v>Active</v>
      </c>
      <c r="AG399" s="42">
        <v>0</v>
      </c>
      <c r="AH399" s="42">
        <v>0</v>
      </c>
      <c r="AI399" s="42">
        <v>0</v>
      </c>
      <c r="AJ399" s="42">
        <v>18</v>
      </c>
      <c r="AK399" s="38">
        <f t="shared" si="34"/>
        <v>18</v>
      </c>
      <c r="AL399" s="39">
        <f t="shared" si="32"/>
        <v>0</v>
      </c>
      <c r="AM399" s="39">
        <f t="shared" si="33"/>
        <v>0</v>
      </c>
      <c r="AO399" s="25" t="str">
        <f>_xlfn.XLOOKUP(F399,'TFS Details'!F:F,'TFS Details'!I:I)</f>
        <v>SolutionDataLake</v>
      </c>
      <c r="AP399" s="25" t="str">
        <f>_xlfn.XLOOKUP(AO399,'TFS Details'!I:I,'TFS Details'!AE:AE)</f>
        <v>booshan.manjunathan</v>
      </c>
    </row>
    <row r="400" spans="1:42">
      <c r="A400" s="24" t="str">
        <f>_xlfn.XLOOKUP(F400,'TFS Details'!F:F,'TFS Details'!D:D)</f>
        <v>MDA</v>
      </c>
      <c r="B400" s="24" t="str">
        <f>_xlfn.XLOOKUP(F400,'TFS Details'!F:F,'TFS Details'!A:A)</f>
        <v>MDA IMS Personalization - HC Report (MMP Route)- May Release</v>
      </c>
      <c r="C400" s="46">
        <f>_xlfn.XLOOKUP(F400,'TFS Details'!F:F,'TFS Details'!E:E)</f>
        <v>4454772</v>
      </c>
      <c r="D400" s="51" t="s">
        <v>34</v>
      </c>
      <c r="E400" s="139" t="s">
        <v>1029</v>
      </c>
      <c r="F400" s="72">
        <v>4438523</v>
      </c>
      <c r="G400" s="115" t="s">
        <v>1003</v>
      </c>
      <c r="H400" s="115" t="s">
        <v>1004</v>
      </c>
      <c r="I400" s="52"/>
      <c r="J400" s="250" t="s">
        <v>18</v>
      </c>
      <c r="K400" s="58" t="s">
        <v>1005</v>
      </c>
      <c r="L400" s="234" t="s">
        <v>23</v>
      </c>
      <c r="P400" s="241"/>
      <c r="Q400" s="241"/>
      <c r="R400" s="241"/>
      <c r="S400" s="241"/>
      <c r="T400" s="69"/>
      <c r="V400" s="17" t="s">
        <v>204</v>
      </c>
      <c r="W400" s="234" t="s">
        <v>204</v>
      </c>
      <c r="X400" s="17" t="s">
        <v>197</v>
      </c>
      <c r="Y400" s="17" t="s">
        <v>197</v>
      </c>
      <c r="Z400" s="71">
        <v>45</v>
      </c>
      <c r="AA400" s="71">
        <v>37</v>
      </c>
      <c r="AB400" s="71">
        <v>0</v>
      </c>
      <c r="AC400" s="71">
        <v>37</v>
      </c>
      <c r="AD400" s="69">
        <v>0.57999999999999996</v>
      </c>
      <c r="AE400" s="69">
        <v>0.62</v>
      </c>
      <c r="AF400" s="25" t="str">
        <f>_xlfn.XLOOKUP(F400,'TFS Details'!F:F,'TFS Details'!H:H)</f>
        <v>PT In Test</v>
      </c>
      <c r="AG400" s="42">
        <v>0</v>
      </c>
      <c r="AH400" s="42">
        <v>0</v>
      </c>
      <c r="AI400" s="42">
        <v>0</v>
      </c>
      <c r="AJ400" s="42">
        <v>37</v>
      </c>
      <c r="AK400" s="38">
        <f t="shared" si="34"/>
        <v>37</v>
      </c>
      <c r="AL400" s="39">
        <f t="shared" si="32"/>
        <v>0</v>
      </c>
      <c r="AM400" s="39">
        <f t="shared" si="33"/>
        <v>0</v>
      </c>
      <c r="AO400" s="25" t="str">
        <f>_xlfn.XLOOKUP(F400,'TFS Details'!F:F,'TFS Details'!I:I)</f>
        <v>SolutionDataLake</v>
      </c>
      <c r="AP400" s="25" t="str">
        <f>_xlfn.XLOOKUP(AO400,'TFS Details'!I:I,'TFS Details'!AE:AE)</f>
        <v>booshan.manjunathan</v>
      </c>
    </row>
    <row r="401" spans="1:42">
      <c r="A401" s="24" t="str">
        <f>_xlfn.XLOOKUP(F401,'TFS Details'!F:F,'TFS Details'!D:D)</f>
        <v>MDA</v>
      </c>
      <c r="B401" s="24" t="str">
        <f>_xlfn.XLOOKUP(F401,'TFS Details'!F:F,'TFS Details'!A:A)</f>
        <v>MDA IMS Personalization - HC Report (MMP Route)- May Release</v>
      </c>
      <c r="C401" s="46">
        <f>_xlfn.XLOOKUP(F401,'TFS Details'!F:F,'TFS Details'!E:E)</f>
        <v>4454772</v>
      </c>
      <c r="D401" s="51" t="s">
        <v>34</v>
      </c>
      <c r="E401" s="139" t="s">
        <v>1030</v>
      </c>
      <c r="F401" s="72">
        <v>4438524</v>
      </c>
      <c r="G401" s="115" t="s">
        <v>1008</v>
      </c>
      <c r="H401" s="17" t="s">
        <v>1031</v>
      </c>
      <c r="I401" s="52"/>
      <c r="J401" s="250" t="s">
        <v>18</v>
      </c>
      <c r="K401" s="58" t="s">
        <v>1005</v>
      </c>
      <c r="L401" s="234" t="s">
        <v>23</v>
      </c>
      <c r="V401" s="17" t="s">
        <v>204</v>
      </c>
      <c r="W401" s="234" t="s">
        <v>204</v>
      </c>
      <c r="X401" s="17" t="s">
        <v>197</v>
      </c>
      <c r="Y401" s="17" t="s">
        <v>197</v>
      </c>
      <c r="Z401" s="114" t="s">
        <v>1032</v>
      </c>
      <c r="AA401" s="114" t="s">
        <v>1033</v>
      </c>
      <c r="AB401" s="114">
        <v>2</v>
      </c>
      <c r="AC401" s="114" t="s">
        <v>1034</v>
      </c>
      <c r="AD401" s="33">
        <v>0.8</v>
      </c>
      <c r="AE401" s="33">
        <v>0.7</v>
      </c>
      <c r="AF401" s="25" t="str">
        <f>_xlfn.XLOOKUP(F401,'TFS Details'!F:F,'TFS Details'!H:H)</f>
        <v>Blocked in PT</v>
      </c>
      <c r="AG401" s="42">
        <v>0</v>
      </c>
      <c r="AH401" s="42">
        <v>0</v>
      </c>
      <c r="AI401" s="42">
        <v>0</v>
      </c>
      <c r="AJ401" s="42">
        <v>20</v>
      </c>
      <c r="AK401" s="38">
        <f t="shared" si="34"/>
        <v>20</v>
      </c>
      <c r="AL401" s="39">
        <f t="shared" si="32"/>
        <v>0</v>
      </c>
      <c r="AM401" s="39">
        <f t="shared" si="33"/>
        <v>0</v>
      </c>
      <c r="AO401" s="25" t="str">
        <f>_xlfn.XLOOKUP(F401,'TFS Details'!F:F,'TFS Details'!I:I)</f>
        <v>SolutionDataLake</v>
      </c>
      <c r="AP401" s="25" t="str">
        <f>_xlfn.XLOOKUP(AO401,'TFS Details'!I:I,'TFS Details'!AE:AE)</f>
        <v>booshan.manjunathan</v>
      </c>
    </row>
    <row r="402" spans="1:42">
      <c r="A402" s="24" t="str">
        <f>_xlfn.XLOOKUP(F402,'TFS Details'!F:F,'TFS Details'!D:D)</f>
        <v>MDA</v>
      </c>
      <c r="B402" s="24" t="str">
        <f>_xlfn.XLOOKUP(F402,'TFS Details'!F:F,'TFS Details'!A:A)</f>
        <v>MDA IMS Personalization - HC Report (MMP Route)- May Release</v>
      </c>
      <c r="C402" s="46">
        <f>_xlfn.XLOOKUP(F402,'TFS Details'!F:F,'TFS Details'!E:E)</f>
        <v>4454772</v>
      </c>
      <c r="D402" s="51" t="s">
        <v>34</v>
      </c>
      <c r="E402" s="139" t="s">
        <v>1035</v>
      </c>
      <c r="F402" s="72">
        <v>4438544</v>
      </c>
      <c r="G402" s="115" t="s">
        <v>1004</v>
      </c>
      <c r="H402" s="115" t="s">
        <v>1012</v>
      </c>
      <c r="I402" s="52"/>
      <c r="J402" s="250" t="s">
        <v>18</v>
      </c>
      <c r="K402" s="58" t="s">
        <v>1005</v>
      </c>
      <c r="L402" s="234" t="s">
        <v>23</v>
      </c>
      <c r="P402" s="71">
        <v>30</v>
      </c>
      <c r="Q402" s="71">
        <v>20</v>
      </c>
      <c r="R402" s="71">
        <v>0</v>
      </c>
      <c r="S402" s="71">
        <v>20</v>
      </c>
      <c r="T402" s="69">
        <v>0.67</v>
      </c>
      <c r="U402" s="69">
        <v>0.67</v>
      </c>
      <c r="V402" s="17" t="s">
        <v>204</v>
      </c>
      <c r="W402" s="234" t="s">
        <v>204</v>
      </c>
      <c r="X402" s="17" t="s">
        <v>197</v>
      </c>
      <c r="Y402" s="17" t="s">
        <v>197</v>
      </c>
      <c r="Z402" s="71">
        <v>30</v>
      </c>
      <c r="AA402" s="71">
        <v>20</v>
      </c>
      <c r="AB402" s="71">
        <v>0</v>
      </c>
      <c r="AC402" s="71">
        <v>20</v>
      </c>
      <c r="AD402" s="69">
        <v>0.67</v>
      </c>
      <c r="AE402" s="69">
        <v>0.67</v>
      </c>
      <c r="AF402" s="25" t="str">
        <f>_xlfn.XLOOKUP(F402,'TFS Details'!F:F,'TFS Details'!H:H)</f>
        <v>Blocked in PT</v>
      </c>
      <c r="AG402" s="42">
        <v>0</v>
      </c>
      <c r="AH402" s="42">
        <v>0</v>
      </c>
      <c r="AI402" s="42">
        <v>20</v>
      </c>
      <c r="AJ402" s="42">
        <v>0</v>
      </c>
      <c r="AK402" s="38">
        <f>SUM(AG402:AJ402)</f>
        <v>20</v>
      </c>
      <c r="AL402" s="39">
        <f t="shared" si="32"/>
        <v>0</v>
      </c>
      <c r="AM402" s="39">
        <f t="shared" si="33"/>
        <v>0</v>
      </c>
      <c r="AN402" s="252" t="s">
        <v>1036</v>
      </c>
      <c r="AO402" s="25" t="str">
        <f>_xlfn.XLOOKUP(F402,'TFS Details'!F:F,'TFS Details'!I:I)</f>
        <v>SolutionDataLake</v>
      </c>
      <c r="AP402" s="25" t="str">
        <f>_xlfn.XLOOKUP(AO402,'TFS Details'!I:I,'TFS Details'!AE:AE)</f>
        <v>booshan.manjunathan</v>
      </c>
    </row>
    <row r="403" spans="1:42">
      <c r="A403" s="24" t="str">
        <f>_xlfn.XLOOKUP(F403,'TFS Details'!F:F,'TFS Details'!D:D)</f>
        <v>MDA</v>
      </c>
      <c r="B403" s="24" t="str">
        <f>_xlfn.XLOOKUP(F403,'TFS Details'!F:F,'TFS Details'!A:A)</f>
        <v>MDA IMS Personalization - HC Report (MMP Route)- May Release</v>
      </c>
      <c r="C403" s="46">
        <f>_xlfn.XLOOKUP(F403,'TFS Details'!F:F,'TFS Details'!E:E)</f>
        <v>4454772</v>
      </c>
      <c r="D403" s="51" t="s">
        <v>34</v>
      </c>
      <c r="E403" s="139" t="s">
        <v>1037</v>
      </c>
      <c r="F403" s="72">
        <v>4438545</v>
      </c>
      <c r="G403" s="115" t="s">
        <v>1004</v>
      </c>
      <c r="H403" s="115" t="s">
        <v>1012</v>
      </c>
      <c r="I403" s="52"/>
      <c r="J403" s="250" t="s">
        <v>18</v>
      </c>
      <c r="K403" s="58" t="s">
        <v>1005</v>
      </c>
      <c r="L403" s="234" t="s">
        <v>23</v>
      </c>
      <c r="P403" s="71">
        <v>30</v>
      </c>
      <c r="Q403" s="71">
        <v>23</v>
      </c>
      <c r="R403" s="71">
        <v>0</v>
      </c>
      <c r="S403" s="71">
        <v>23</v>
      </c>
      <c r="T403" s="69">
        <v>0.77</v>
      </c>
      <c r="U403" s="69">
        <v>0.77</v>
      </c>
      <c r="V403" s="17" t="s">
        <v>204</v>
      </c>
      <c r="W403" s="234" t="s">
        <v>204</v>
      </c>
      <c r="X403" s="17" t="s">
        <v>197</v>
      </c>
      <c r="Y403" s="17" t="s">
        <v>197</v>
      </c>
      <c r="Z403" s="71">
        <v>30</v>
      </c>
      <c r="AA403" s="71">
        <v>23</v>
      </c>
      <c r="AB403" s="71">
        <v>0</v>
      </c>
      <c r="AC403" s="71">
        <v>23</v>
      </c>
      <c r="AD403" s="69">
        <v>0.77</v>
      </c>
      <c r="AE403" s="69">
        <v>0.77</v>
      </c>
      <c r="AF403" s="25" t="str">
        <f>_xlfn.XLOOKUP(F403,'TFS Details'!F:F,'TFS Details'!H:H)</f>
        <v>Blocked in PT</v>
      </c>
      <c r="AG403" s="42">
        <v>0</v>
      </c>
      <c r="AH403" s="42">
        <v>0</v>
      </c>
      <c r="AI403" s="42">
        <v>23</v>
      </c>
      <c r="AJ403" s="42">
        <v>0</v>
      </c>
      <c r="AK403" s="38">
        <f>SUM(AG403:AJ403)</f>
        <v>23</v>
      </c>
      <c r="AL403" s="39">
        <f t="shared" si="32"/>
        <v>0</v>
      </c>
      <c r="AM403" s="39">
        <f t="shared" si="33"/>
        <v>0</v>
      </c>
      <c r="AN403" s="252" t="s">
        <v>1036</v>
      </c>
      <c r="AO403" s="25" t="str">
        <f>_xlfn.XLOOKUP(F403,'TFS Details'!F:F,'TFS Details'!I:I)</f>
        <v>SolutionDataLake</v>
      </c>
      <c r="AP403" s="25" t="str">
        <f>_xlfn.XLOOKUP(AO403,'TFS Details'!I:I,'TFS Details'!AE:AE)</f>
        <v>booshan.manjunathan</v>
      </c>
    </row>
    <row r="404" spans="1:42">
      <c r="A404" s="24" t="str">
        <f>_xlfn.XLOOKUP(F404,'TFS Details'!F:F,'TFS Details'!D:D)</f>
        <v>MDA</v>
      </c>
      <c r="B404" s="24" t="str">
        <f>_xlfn.XLOOKUP(F404,'TFS Details'!F:F,'TFS Details'!A:A)</f>
        <v>MDA IMS Personalization - HC Report (MMP Route)- May Release</v>
      </c>
      <c r="C404" s="46">
        <f>_xlfn.XLOOKUP(F404,'TFS Details'!F:F,'TFS Details'!E:E)</f>
        <v>4454772</v>
      </c>
      <c r="D404" s="51" t="s">
        <v>34</v>
      </c>
      <c r="E404" s="139" t="s">
        <v>1038</v>
      </c>
      <c r="F404" s="72">
        <v>4438546</v>
      </c>
      <c r="G404" s="115" t="s">
        <v>1008</v>
      </c>
      <c r="H404" s="17" t="s">
        <v>1031</v>
      </c>
      <c r="I404" s="52"/>
      <c r="J404" s="250" t="s">
        <v>18</v>
      </c>
      <c r="K404" s="58" t="s">
        <v>1005</v>
      </c>
      <c r="L404" s="234" t="s">
        <v>23</v>
      </c>
      <c r="V404" s="17" t="s">
        <v>204</v>
      </c>
      <c r="W404" s="234" t="s">
        <v>204</v>
      </c>
      <c r="X404" s="17" t="s">
        <v>197</v>
      </c>
      <c r="Y404" s="17" t="s">
        <v>197</v>
      </c>
      <c r="Z404" s="71">
        <v>38</v>
      </c>
      <c r="AA404" s="71">
        <v>21</v>
      </c>
      <c r="AB404" s="71">
        <v>1</v>
      </c>
      <c r="AC404" s="71">
        <v>22</v>
      </c>
      <c r="AD404" s="69">
        <v>0.8</v>
      </c>
      <c r="AE404" s="69">
        <v>0.8</v>
      </c>
      <c r="AF404" s="25" t="str">
        <f>_xlfn.XLOOKUP(F404,'TFS Details'!F:F,'TFS Details'!H:H)</f>
        <v>Blocked in PT</v>
      </c>
      <c r="AG404" s="42">
        <v>0</v>
      </c>
      <c r="AH404" s="42">
        <v>0</v>
      </c>
      <c r="AI404" s="42">
        <v>0</v>
      </c>
      <c r="AJ404" s="42">
        <v>22</v>
      </c>
      <c r="AK404" s="38">
        <f t="shared" si="34"/>
        <v>22</v>
      </c>
      <c r="AL404" s="39">
        <f t="shared" si="32"/>
        <v>0</v>
      </c>
      <c r="AM404" s="39">
        <f t="shared" si="33"/>
        <v>0</v>
      </c>
      <c r="AO404" s="25" t="str">
        <f>_xlfn.XLOOKUP(F404,'TFS Details'!F:F,'TFS Details'!I:I)</f>
        <v>SolutionDataLake</v>
      </c>
      <c r="AP404" s="25" t="str">
        <f>_xlfn.XLOOKUP(AO404,'TFS Details'!I:I,'TFS Details'!AE:AE)</f>
        <v>booshan.manjunathan</v>
      </c>
    </row>
    <row r="405" spans="1:42">
      <c r="A405" s="24" t="str">
        <f>_xlfn.XLOOKUP(F405,'TFS Details'!F:F,'TFS Details'!D:D)</f>
        <v>MDA</v>
      </c>
      <c r="B405" s="24" t="str">
        <f>_xlfn.XLOOKUP(F405,'TFS Details'!F:F,'TFS Details'!A:A)</f>
        <v>MDA IMS Personalization - HC Report (MMP Route)- May Release</v>
      </c>
      <c r="C405" s="46">
        <f>_xlfn.XLOOKUP(F405,'TFS Details'!F:F,'TFS Details'!E:E)</f>
        <v>4454772</v>
      </c>
      <c r="D405" s="51" t="s">
        <v>34</v>
      </c>
      <c r="E405" s="139" t="s">
        <v>1039</v>
      </c>
      <c r="F405" s="72">
        <v>4438547</v>
      </c>
      <c r="G405" s="115" t="s">
        <v>385</v>
      </c>
      <c r="H405" s="115" t="s">
        <v>1008</v>
      </c>
      <c r="I405" s="52"/>
      <c r="J405" s="250" t="s">
        <v>18</v>
      </c>
      <c r="K405" s="58" t="s">
        <v>1005</v>
      </c>
      <c r="L405" s="234" t="s">
        <v>23</v>
      </c>
      <c r="V405" s="17" t="s">
        <v>204</v>
      </c>
      <c r="W405" s="234" t="s">
        <v>204</v>
      </c>
      <c r="X405" s="17" t="s">
        <v>197</v>
      </c>
      <c r="Y405" s="17" t="s">
        <v>197</v>
      </c>
      <c r="Z405" s="71">
        <v>40</v>
      </c>
      <c r="AA405" s="71">
        <v>24</v>
      </c>
      <c r="AB405" s="71">
        <v>1</v>
      </c>
      <c r="AC405" s="71">
        <v>25</v>
      </c>
      <c r="AD405" s="69">
        <v>0.8</v>
      </c>
      <c r="AE405" s="69">
        <v>0.8</v>
      </c>
      <c r="AF405" s="25" t="str">
        <f>_xlfn.XLOOKUP(F405,'TFS Details'!F:F,'TFS Details'!H:H)</f>
        <v>Blocked in PT</v>
      </c>
      <c r="AG405" s="42">
        <v>0</v>
      </c>
      <c r="AH405" s="42">
        <v>0</v>
      </c>
      <c r="AI405" s="42">
        <v>0</v>
      </c>
      <c r="AJ405" s="42">
        <v>25</v>
      </c>
      <c r="AK405" s="38">
        <f t="shared" ref="AK405:AK429" si="39">SUM(AG405:AJ405)</f>
        <v>25</v>
      </c>
      <c r="AL405" s="39">
        <f t="shared" ref="AL405:AL431" si="40">IF(AG405+AH405=0,0,SUM(AG405:AH405)/AK405)</f>
        <v>0</v>
      </c>
      <c r="AM405" s="39">
        <f t="shared" ref="AM405:AM431" si="41">IF(AG405=0,0,AG405/(SUM(AG405:AI405)))</f>
        <v>0</v>
      </c>
      <c r="AO405" s="25" t="str">
        <f>_xlfn.XLOOKUP(F405,'TFS Details'!F:F,'TFS Details'!I:I)</f>
        <v>SolutionDataLake</v>
      </c>
      <c r="AP405" s="25" t="str">
        <f>_xlfn.XLOOKUP(AO405,'TFS Details'!I:I,'TFS Details'!AE:AE)</f>
        <v>booshan.manjunathan</v>
      </c>
    </row>
    <row r="406" spans="1:42">
      <c r="A406" s="24" t="str">
        <f>_xlfn.XLOOKUP(F406,'TFS Details'!F:F,'TFS Details'!D:D)</f>
        <v>MDA</v>
      </c>
      <c r="B406" s="24" t="str">
        <f>_xlfn.XLOOKUP(F406,'TFS Details'!F:F,'TFS Details'!A:A)</f>
        <v>MDA IMS Personalization - HC Report (MMP Route)- May Release</v>
      </c>
      <c r="C406" s="46">
        <f>_xlfn.XLOOKUP(F406,'TFS Details'!F:F,'TFS Details'!E:E)</f>
        <v>4454772</v>
      </c>
      <c r="D406" s="51" t="s">
        <v>34</v>
      </c>
      <c r="E406" s="139" t="s">
        <v>1040</v>
      </c>
      <c r="F406" s="72">
        <v>4438548</v>
      </c>
      <c r="G406" s="115" t="s">
        <v>1012</v>
      </c>
      <c r="H406" s="115" t="s">
        <v>1003</v>
      </c>
      <c r="I406" s="52"/>
      <c r="J406" s="250" t="s">
        <v>18</v>
      </c>
      <c r="K406" s="58" t="s">
        <v>1005</v>
      </c>
      <c r="L406" s="234" t="s">
        <v>23</v>
      </c>
      <c r="P406" s="71">
        <v>30</v>
      </c>
      <c r="Q406" s="71">
        <v>27</v>
      </c>
      <c r="R406" s="71">
        <v>5</v>
      </c>
      <c r="S406" s="71">
        <v>27</v>
      </c>
      <c r="T406" s="69">
        <v>0.9</v>
      </c>
      <c r="U406" s="69">
        <v>0.9</v>
      </c>
      <c r="V406" s="17" t="s">
        <v>204</v>
      </c>
      <c r="W406" s="234" t="s">
        <v>204</v>
      </c>
      <c r="X406" s="17" t="s">
        <v>197</v>
      </c>
      <c r="Y406" s="17" t="s">
        <v>197</v>
      </c>
      <c r="Z406" s="71">
        <v>45</v>
      </c>
      <c r="AA406" s="71">
        <v>22</v>
      </c>
      <c r="AB406" s="71">
        <v>0</v>
      </c>
      <c r="AC406" s="71">
        <v>22</v>
      </c>
      <c r="AD406" s="69">
        <v>0.45</v>
      </c>
      <c r="AE406" s="69">
        <v>0.4</v>
      </c>
      <c r="AF406" s="25" t="str">
        <f>_xlfn.XLOOKUP(F406,'TFS Details'!F:F,'TFS Details'!H:H)</f>
        <v>Blocked in PT</v>
      </c>
      <c r="AG406" s="42">
        <v>0</v>
      </c>
      <c r="AH406" s="42">
        <v>0</v>
      </c>
      <c r="AI406" s="42">
        <v>21</v>
      </c>
      <c r="AJ406" s="42">
        <v>0</v>
      </c>
      <c r="AK406" s="38">
        <f>SUM(AG406:AJ406)</f>
        <v>21</v>
      </c>
      <c r="AL406" s="39">
        <f t="shared" si="40"/>
        <v>0</v>
      </c>
      <c r="AM406" s="39">
        <f t="shared" si="41"/>
        <v>0</v>
      </c>
      <c r="AN406" s="17" t="s">
        <v>1036</v>
      </c>
      <c r="AO406" s="25" t="str">
        <f>_xlfn.XLOOKUP(F406,'TFS Details'!F:F,'TFS Details'!I:I)</f>
        <v>SolutionDataLake</v>
      </c>
      <c r="AP406" s="25" t="str">
        <f>_xlfn.XLOOKUP(AO406,'TFS Details'!I:I,'TFS Details'!AE:AE)</f>
        <v>booshan.manjunathan</v>
      </c>
    </row>
    <row r="407" spans="1:42">
      <c r="A407" s="24" t="str">
        <f>_xlfn.XLOOKUP(F407,'TFS Details'!F:F,'TFS Details'!D:D)</f>
        <v>MDA</v>
      </c>
      <c r="B407" s="24" t="str">
        <f>_xlfn.XLOOKUP(F407,'TFS Details'!F:F,'TFS Details'!A:A)</f>
        <v>MDA IMS Personalization - HC Report (MMP Route)- May Release</v>
      </c>
      <c r="C407" s="46">
        <f>_xlfn.XLOOKUP(F407,'TFS Details'!F:F,'TFS Details'!E:E)</f>
        <v>4454772</v>
      </c>
      <c r="D407" s="51" t="s">
        <v>34</v>
      </c>
      <c r="E407" s="139" t="s">
        <v>1041</v>
      </c>
      <c r="F407" s="72">
        <v>4438561</v>
      </c>
      <c r="G407" s="115" t="s">
        <v>1012</v>
      </c>
      <c r="H407" s="115" t="s">
        <v>1003</v>
      </c>
      <c r="I407" s="52"/>
      <c r="J407" s="250" t="s">
        <v>18</v>
      </c>
      <c r="K407" s="58" t="s">
        <v>1005</v>
      </c>
      <c r="L407" s="234" t="s">
        <v>23</v>
      </c>
      <c r="P407" s="71">
        <v>30</v>
      </c>
      <c r="Q407" s="71">
        <v>25</v>
      </c>
      <c r="R407" s="71">
        <v>6</v>
      </c>
      <c r="S407" s="71">
        <v>25</v>
      </c>
      <c r="T407" s="69">
        <v>0.83</v>
      </c>
      <c r="U407" s="69">
        <v>0.83</v>
      </c>
      <c r="V407" s="17" t="s">
        <v>204</v>
      </c>
      <c r="W407" s="234" t="s">
        <v>204</v>
      </c>
      <c r="X407" s="17" t="s">
        <v>197</v>
      </c>
      <c r="Y407" s="17" t="s">
        <v>197</v>
      </c>
      <c r="Z407" s="71">
        <v>46</v>
      </c>
      <c r="AA407" s="71">
        <v>18</v>
      </c>
      <c r="AB407" s="71">
        <v>0</v>
      </c>
      <c r="AC407" s="71">
        <v>18</v>
      </c>
      <c r="AD407" s="69">
        <v>0.39</v>
      </c>
      <c r="AE407" s="69">
        <v>0.35</v>
      </c>
      <c r="AF407" s="25" t="str">
        <f>_xlfn.XLOOKUP(F407,'TFS Details'!F:F,'TFS Details'!H:H)</f>
        <v>Blocked in PT</v>
      </c>
      <c r="AG407" s="42">
        <v>0</v>
      </c>
      <c r="AH407" s="42">
        <v>0</v>
      </c>
      <c r="AI407" s="42">
        <v>18</v>
      </c>
      <c r="AJ407" s="42">
        <v>0</v>
      </c>
      <c r="AK407" s="38">
        <f t="shared" si="39"/>
        <v>18</v>
      </c>
      <c r="AL407" s="39">
        <f t="shared" si="40"/>
        <v>0</v>
      </c>
      <c r="AM407" s="39">
        <f t="shared" si="41"/>
        <v>0</v>
      </c>
      <c r="AN407" s="252" t="s">
        <v>1036</v>
      </c>
      <c r="AO407" s="25" t="str">
        <f>_xlfn.XLOOKUP(F407,'TFS Details'!F:F,'TFS Details'!I:I)</f>
        <v>SolutionDataLake</v>
      </c>
      <c r="AP407" s="25" t="str">
        <f>_xlfn.XLOOKUP(AO407,'TFS Details'!I:I,'TFS Details'!AE:AE)</f>
        <v>booshan.manjunathan</v>
      </c>
    </row>
    <row r="408" spans="1:42">
      <c r="A408" s="24" t="str">
        <f>_xlfn.XLOOKUP(F408,'TFS Details'!F:F,'TFS Details'!D:D)</f>
        <v>MDA</v>
      </c>
      <c r="B408" s="24" t="str">
        <f>_xlfn.XLOOKUP(F408,'TFS Details'!F:F,'TFS Details'!A:A)</f>
        <v>MDA IMS Personalization - PY Report (MMP Route)- May Release</v>
      </c>
      <c r="C408" s="46">
        <f>_xlfn.XLOOKUP(F408,'TFS Details'!F:F,'TFS Details'!E:E)</f>
        <v>4456095</v>
      </c>
      <c r="D408" s="51" t="s">
        <v>34</v>
      </c>
      <c r="E408" s="139" t="s">
        <v>1042</v>
      </c>
      <c r="F408" s="72">
        <v>4438582</v>
      </c>
      <c r="G408" s="115" t="s">
        <v>1012</v>
      </c>
      <c r="H408" s="115" t="s">
        <v>1003</v>
      </c>
      <c r="I408" s="52"/>
      <c r="J408" s="250" t="s">
        <v>18</v>
      </c>
      <c r="K408" s="58" t="s">
        <v>1005</v>
      </c>
      <c r="L408" s="234" t="s">
        <v>23</v>
      </c>
      <c r="P408" s="71">
        <v>30</v>
      </c>
      <c r="Q408" s="71">
        <v>24</v>
      </c>
      <c r="R408" s="71">
        <v>5</v>
      </c>
      <c r="S408" s="71">
        <v>24</v>
      </c>
      <c r="T408" s="69">
        <v>0.8</v>
      </c>
      <c r="U408" s="69">
        <v>0.8</v>
      </c>
      <c r="V408" s="17" t="s">
        <v>204</v>
      </c>
      <c r="W408" s="234" t="s">
        <v>204</v>
      </c>
      <c r="X408" s="17" t="s">
        <v>197</v>
      </c>
      <c r="Y408" s="17" t="s">
        <v>197</v>
      </c>
      <c r="Z408" s="71">
        <v>42</v>
      </c>
      <c r="AA408" s="71">
        <v>17</v>
      </c>
      <c r="AB408" s="71">
        <v>0</v>
      </c>
      <c r="AC408" s="71">
        <v>17</v>
      </c>
      <c r="AD408" s="69">
        <v>0.41</v>
      </c>
      <c r="AE408" s="69">
        <v>0.5</v>
      </c>
      <c r="AF408" s="25" t="str">
        <f>_xlfn.XLOOKUP(F408,'TFS Details'!F:F,'TFS Details'!H:H)</f>
        <v>Blocked in PT</v>
      </c>
      <c r="AG408" s="42">
        <v>0</v>
      </c>
      <c r="AH408" s="42">
        <v>0</v>
      </c>
      <c r="AI408" s="42">
        <v>17</v>
      </c>
      <c r="AJ408" s="42">
        <v>0</v>
      </c>
      <c r="AK408" s="38">
        <f t="shared" si="39"/>
        <v>17</v>
      </c>
      <c r="AL408" s="39">
        <f t="shared" si="40"/>
        <v>0</v>
      </c>
      <c r="AM408" s="39">
        <f t="shared" si="41"/>
        <v>0</v>
      </c>
      <c r="AN408" s="252" t="s">
        <v>1036</v>
      </c>
      <c r="AO408" s="25" t="str">
        <f>_xlfn.XLOOKUP(F408,'TFS Details'!F:F,'TFS Details'!I:I)</f>
        <v>SolutionDataLake</v>
      </c>
      <c r="AP408" s="25" t="str">
        <f>_xlfn.XLOOKUP(AO408,'TFS Details'!I:I,'TFS Details'!AE:AE)</f>
        <v>booshan.manjunathan</v>
      </c>
    </row>
    <row r="409" spans="1:42">
      <c r="A409" s="24" t="str">
        <f>_xlfn.XLOOKUP(F409,'TFS Details'!F:F,'TFS Details'!D:D)</f>
        <v xml:space="preserve">MDA </v>
      </c>
      <c r="B409" s="24" t="str">
        <f>_xlfn.XLOOKUP(F409,'TFS Details'!F:F,'TFS Details'!A:A)</f>
        <v>[MDA‑AMS, BPMS, IMS]: Display OCP consumed Cumulative Productivity in Productivity Graph</v>
      </c>
      <c r="C409" s="46">
        <f>_xlfn.XLOOKUP(F409,'TFS Details'!F:F,'TFS Details'!E:E)</f>
        <v>4373965</v>
      </c>
      <c r="D409" s="51" t="s">
        <v>34</v>
      </c>
      <c r="E409" s="139" t="s">
        <v>1043</v>
      </c>
      <c r="F409" s="72">
        <v>4440531</v>
      </c>
      <c r="G409" s="115" t="s">
        <v>1003</v>
      </c>
      <c r="H409" s="115" t="s">
        <v>1012</v>
      </c>
      <c r="I409" s="52"/>
      <c r="J409" s="250" t="s">
        <v>18</v>
      </c>
      <c r="K409" s="58" t="s">
        <v>1005</v>
      </c>
      <c r="L409" s="234" t="s">
        <v>23</v>
      </c>
      <c r="V409" s="17" t="s">
        <v>204</v>
      </c>
      <c r="W409" s="234" t="s">
        <v>204</v>
      </c>
      <c r="X409" s="17" t="s">
        <v>197</v>
      </c>
      <c r="Y409" s="17" t="s">
        <v>197</v>
      </c>
      <c r="Z409" s="71">
        <v>28</v>
      </c>
      <c r="AA409" s="71">
        <v>19</v>
      </c>
      <c r="AB409" s="71">
        <v>0</v>
      </c>
      <c r="AC409" s="71">
        <v>19</v>
      </c>
      <c r="AD409" s="69">
        <v>0.78</v>
      </c>
      <c r="AE409" s="69">
        <v>0.55000000000000004</v>
      </c>
      <c r="AF409" s="25" t="str">
        <f>_xlfn.XLOOKUP(F409,'TFS Details'!F:F,'TFS Details'!H:H)</f>
        <v>Active</v>
      </c>
      <c r="AG409" s="42">
        <v>0</v>
      </c>
      <c r="AH409" s="42">
        <v>0</v>
      </c>
      <c r="AI409" s="42">
        <v>0</v>
      </c>
      <c r="AJ409" s="42">
        <v>19</v>
      </c>
      <c r="AK409" s="38">
        <f t="shared" si="39"/>
        <v>19</v>
      </c>
      <c r="AL409" s="39">
        <f t="shared" si="40"/>
        <v>0</v>
      </c>
      <c r="AM409" s="39">
        <f t="shared" si="41"/>
        <v>0</v>
      </c>
      <c r="AO409" s="25" t="str">
        <f>_xlfn.XLOOKUP(F409,'TFS Details'!F:F,'TFS Details'!I:I)</f>
        <v>SolutionDataLake</v>
      </c>
      <c r="AP409" s="25" t="str">
        <f>_xlfn.XLOOKUP(AO409,'TFS Details'!I:I,'TFS Details'!AE:AE)</f>
        <v>booshan.manjunathan</v>
      </c>
    </row>
    <row r="410" spans="1:42">
      <c r="A410" s="24" t="str">
        <f>_xlfn.XLOOKUP(F410,'TFS Details'!F:F,'TFS Details'!D:D)</f>
        <v>MDA</v>
      </c>
      <c r="B410" s="24" t="str">
        <f>_xlfn.XLOOKUP(F410,'TFS Details'!F:F,'TFS Details'!A:A)</f>
        <v>[MDA-SI, IMS &amp; BPMS]: View Release-wise &amp; Group-wise Data Across Headcount &amp; Pyramid Reports for Both OCP &amp; MMP routes</v>
      </c>
      <c r="C410" s="46">
        <f>_xlfn.XLOOKUP(F410,'TFS Details'!F:F,'TFS Details'!E:E)</f>
        <v>4440653</v>
      </c>
      <c r="D410" s="51" t="s">
        <v>34</v>
      </c>
      <c r="E410" s="139" t="s">
        <v>1044</v>
      </c>
      <c r="F410" s="72">
        <v>4440539</v>
      </c>
      <c r="G410" s="115" t="s">
        <v>1008</v>
      </c>
      <c r="H410" s="115" t="s">
        <v>1003</v>
      </c>
      <c r="I410" s="52"/>
      <c r="J410" s="250" t="s">
        <v>18</v>
      </c>
      <c r="K410" s="58" t="s">
        <v>1005</v>
      </c>
      <c r="L410" s="234" t="s">
        <v>23</v>
      </c>
      <c r="V410" s="17" t="s">
        <v>204</v>
      </c>
      <c r="W410" s="234" t="s">
        <v>204</v>
      </c>
      <c r="X410" s="17" t="s">
        <v>197</v>
      </c>
      <c r="Y410" s="17" t="s">
        <v>216</v>
      </c>
      <c r="Z410" s="71">
        <v>30</v>
      </c>
      <c r="AA410" s="71">
        <v>13</v>
      </c>
      <c r="AB410" s="71">
        <v>4</v>
      </c>
      <c r="AC410" s="71">
        <v>17</v>
      </c>
      <c r="AD410" s="69">
        <v>0.65</v>
      </c>
      <c r="AE410" s="69">
        <v>0.65</v>
      </c>
      <c r="AF410" s="25" t="str">
        <f>_xlfn.XLOOKUP(F410,'TFS Details'!F:F,'TFS Details'!H:H)</f>
        <v>PT In Test</v>
      </c>
      <c r="AG410" s="42">
        <v>2</v>
      </c>
      <c r="AH410" s="42">
        <v>0</v>
      </c>
      <c r="AI410" s="42">
        <v>15</v>
      </c>
      <c r="AJ410" s="42">
        <v>0</v>
      </c>
      <c r="AK410" s="38">
        <f t="shared" si="39"/>
        <v>17</v>
      </c>
      <c r="AL410" s="39">
        <f t="shared" si="40"/>
        <v>0.11764705882352941</v>
      </c>
      <c r="AM410" s="39">
        <f t="shared" si="41"/>
        <v>0.11764705882352941</v>
      </c>
      <c r="AO410" s="25" t="str">
        <f>_xlfn.XLOOKUP(F410,'TFS Details'!F:F,'TFS Details'!I:I)</f>
        <v>SolutionDataLake</v>
      </c>
      <c r="AP410" s="25" t="str">
        <f>_xlfn.XLOOKUP(AO410,'TFS Details'!I:I,'TFS Details'!AE:AE)</f>
        <v>booshan.manjunathan</v>
      </c>
    </row>
    <row r="411" spans="1:42">
      <c r="A411" s="24" t="str">
        <f>_xlfn.XLOOKUP(F411,'TFS Details'!F:F,'TFS Details'!D:D)</f>
        <v>MDA</v>
      </c>
      <c r="B411" s="24" t="str">
        <f>_xlfn.XLOOKUP(F411,'TFS Details'!F:F,'TFS Details'!A:A)</f>
        <v>[MDA-SI, IMS &amp; BPMS]: View Release-wise &amp; Group-wise Data Across Headcount &amp; Pyramid Reports for Both OCP &amp; MMP routes</v>
      </c>
      <c r="C411" s="46">
        <f>_xlfn.XLOOKUP(F411,'TFS Details'!F:F,'TFS Details'!E:E)</f>
        <v>4440653</v>
      </c>
      <c r="D411" s="51" t="s">
        <v>34</v>
      </c>
      <c r="E411" s="139" t="s">
        <v>1045</v>
      </c>
      <c r="F411" s="72">
        <v>4440660</v>
      </c>
      <c r="G411" s="115" t="s">
        <v>1008</v>
      </c>
      <c r="H411" s="115" t="s">
        <v>1012</v>
      </c>
      <c r="I411" s="52"/>
      <c r="J411" s="250" t="s">
        <v>18</v>
      </c>
      <c r="K411" s="58" t="s">
        <v>1005</v>
      </c>
      <c r="L411" s="234" t="s">
        <v>23</v>
      </c>
      <c r="V411" s="17" t="s">
        <v>204</v>
      </c>
      <c r="W411" s="234" t="s">
        <v>204</v>
      </c>
      <c r="X411" s="17" t="s">
        <v>197</v>
      </c>
      <c r="Y411" s="17" t="s">
        <v>216</v>
      </c>
      <c r="Z411" s="71">
        <v>35</v>
      </c>
      <c r="AA411" s="71">
        <v>13</v>
      </c>
      <c r="AB411" s="71">
        <v>4</v>
      </c>
      <c r="AC411" s="71">
        <v>17</v>
      </c>
      <c r="AD411" s="69">
        <v>0.6</v>
      </c>
      <c r="AE411" s="69">
        <v>0.6</v>
      </c>
      <c r="AF411" s="25" t="str">
        <f>_xlfn.XLOOKUP(F411,'TFS Details'!F:F,'TFS Details'!H:H)</f>
        <v>Blocked in PT</v>
      </c>
      <c r="AG411" s="42">
        <v>2</v>
      </c>
      <c r="AH411" s="42">
        <v>0</v>
      </c>
      <c r="AI411" s="42">
        <v>15</v>
      </c>
      <c r="AJ411" s="42">
        <v>0</v>
      </c>
      <c r="AK411" s="38">
        <f t="shared" si="39"/>
        <v>17</v>
      </c>
      <c r="AL411" s="39">
        <f t="shared" si="40"/>
        <v>0.11764705882352941</v>
      </c>
      <c r="AM411" s="39">
        <f t="shared" si="41"/>
        <v>0.11764705882352941</v>
      </c>
      <c r="AO411" s="25" t="str">
        <f>_xlfn.XLOOKUP(F411,'TFS Details'!F:F,'TFS Details'!I:I)</f>
        <v>SolutionDataLake</v>
      </c>
      <c r="AP411" s="25" t="str">
        <f>_xlfn.XLOOKUP(AO411,'TFS Details'!I:I,'TFS Details'!AE:AE)</f>
        <v>booshan.manjunathan</v>
      </c>
    </row>
    <row r="412" spans="1:42">
      <c r="A412" s="24" t="str">
        <f>_xlfn.XLOOKUP(F412,'TFS Details'!F:F,'TFS Details'!D:D)</f>
        <v>MDA</v>
      </c>
      <c r="B412" s="24" t="str">
        <f>_xlfn.XLOOKUP(F412,'TFS Details'!F:F,'TFS Details'!A:A)</f>
        <v>[MDA-SI, IMS &amp; BPMS]: View Release-wise &amp; Group-wise Data Across Headcount &amp; Pyramid Reports for Both OCP &amp; MMP routes</v>
      </c>
      <c r="C412" s="46">
        <f>_xlfn.XLOOKUP(F412,'TFS Details'!F:F,'TFS Details'!E:E)</f>
        <v>4440653</v>
      </c>
      <c r="D412" s="51" t="s">
        <v>34</v>
      </c>
      <c r="E412" s="139" t="s">
        <v>1046</v>
      </c>
      <c r="F412" s="72">
        <v>4440663</v>
      </c>
      <c r="G412" s="115" t="s">
        <v>1008</v>
      </c>
      <c r="H412" s="115" t="s">
        <v>1012</v>
      </c>
      <c r="I412" s="52"/>
      <c r="J412" s="250" t="s">
        <v>18</v>
      </c>
      <c r="K412" s="58" t="s">
        <v>1005</v>
      </c>
      <c r="L412" s="234" t="s">
        <v>23</v>
      </c>
      <c r="V412" s="17" t="s">
        <v>204</v>
      </c>
      <c r="W412" s="234" t="s">
        <v>204</v>
      </c>
      <c r="X412" s="17" t="s">
        <v>197</v>
      </c>
      <c r="Y412" s="17" t="s">
        <v>216</v>
      </c>
      <c r="Z412" s="71">
        <v>35</v>
      </c>
      <c r="AA412" s="71">
        <v>13</v>
      </c>
      <c r="AB412" s="71">
        <v>4</v>
      </c>
      <c r="AC412" s="71">
        <v>17</v>
      </c>
      <c r="AD412" s="69">
        <v>0.6</v>
      </c>
      <c r="AE412" s="69">
        <v>0.6</v>
      </c>
      <c r="AF412" s="25" t="str">
        <f>_xlfn.XLOOKUP(F412,'TFS Details'!F:F,'TFS Details'!H:H)</f>
        <v>PT In Test</v>
      </c>
      <c r="AG412" s="42">
        <v>2</v>
      </c>
      <c r="AH412" s="42">
        <v>0</v>
      </c>
      <c r="AI412" s="42">
        <v>0</v>
      </c>
      <c r="AJ412" s="42">
        <v>15</v>
      </c>
      <c r="AK412" s="38">
        <f t="shared" si="39"/>
        <v>17</v>
      </c>
      <c r="AL412" s="39">
        <f t="shared" si="40"/>
        <v>0.11764705882352941</v>
      </c>
      <c r="AM412" s="39">
        <f t="shared" si="41"/>
        <v>1</v>
      </c>
      <c r="AO412" s="25" t="str">
        <f>_xlfn.XLOOKUP(F412,'TFS Details'!F:F,'TFS Details'!I:I)</f>
        <v>SolutionDataLake</v>
      </c>
      <c r="AP412" s="25" t="str">
        <f>_xlfn.XLOOKUP(AO412,'TFS Details'!I:I,'TFS Details'!AE:AE)</f>
        <v>booshan.manjunathan</v>
      </c>
    </row>
    <row r="413" spans="1:42">
      <c r="A413" s="24" t="str">
        <f>_xlfn.XLOOKUP(F413,'TFS Details'!F:F,'TFS Details'!D:D)</f>
        <v>MDA</v>
      </c>
      <c r="B413" s="24" t="str">
        <f>_xlfn.XLOOKUP(F413,'TFS Details'!F:F,'TFS Details'!A:A)</f>
        <v>[MDA-SI, IMS &amp; BPMS]: View Release-wise &amp; Group-wise Data Across Headcount &amp; Pyramid Reports for Both OCP &amp; MMP routes</v>
      </c>
      <c r="C413" s="46">
        <f>_xlfn.XLOOKUP(F413,'TFS Details'!F:F,'TFS Details'!E:E)</f>
        <v>4440653</v>
      </c>
      <c r="D413" s="51" t="s">
        <v>34</v>
      </c>
      <c r="E413" s="139" t="s">
        <v>1047</v>
      </c>
      <c r="F413" s="72">
        <v>4440665</v>
      </c>
      <c r="G413" s="115" t="s">
        <v>1008</v>
      </c>
      <c r="H413" s="115" t="s">
        <v>1012</v>
      </c>
      <c r="I413" s="52"/>
      <c r="J413" s="250" t="s">
        <v>18</v>
      </c>
      <c r="K413" s="58" t="s">
        <v>1005</v>
      </c>
      <c r="L413" s="234" t="s">
        <v>23</v>
      </c>
      <c r="V413" s="17" t="s">
        <v>204</v>
      </c>
      <c r="W413" s="234" t="s">
        <v>204</v>
      </c>
      <c r="X413" s="17" t="s">
        <v>197</v>
      </c>
      <c r="Y413" s="17" t="s">
        <v>216</v>
      </c>
      <c r="Z413" s="71">
        <v>35</v>
      </c>
      <c r="AA413" s="71">
        <v>13</v>
      </c>
      <c r="AB413" s="71">
        <v>4</v>
      </c>
      <c r="AC413" s="71">
        <v>17</v>
      </c>
      <c r="AD413" s="69">
        <v>0.6</v>
      </c>
      <c r="AE413" s="69">
        <v>0.6</v>
      </c>
      <c r="AF413" s="25" t="str">
        <f>_xlfn.XLOOKUP(F413,'TFS Details'!F:F,'TFS Details'!H:H)</f>
        <v>PT In Test</v>
      </c>
      <c r="AG413" s="42">
        <v>2</v>
      </c>
      <c r="AH413" s="42">
        <v>0</v>
      </c>
      <c r="AI413" s="42">
        <v>0</v>
      </c>
      <c r="AJ413" s="42">
        <v>15</v>
      </c>
      <c r="AK413" s="38">
        <f t="shared" si="39"/>
        <v>17</v>
      </c>
      <c r="AL413" s="39">
        <f t="shared" si="40"/>
        <v>0.11764705882352941</v>
      </c>
      <c r="AM413" s="39">
        <f t="shared" si="41"/>
        <v>1</v>
      </c>
      <c r="AO413" s="25" t="str">
        <f>_xlfn.XLOOKUP(F413,'TFS Details'!F:F,'TFS Details'!I:I)</f>
        <v>SolutionDataLake</v>
      </c>
      <c r="AP413" s="25" t="str">
        <f>_xlfn.XLOOKUP(AO413,'TFS Details'!I:I,'TFS Details'!AE:AE)</f>
        <v>booshan.manjunathan</v>
      </c>
    </row>
    <row r="414" spans="1:42">
      <c r="A414" s="24" t="str">
        <f>_xlfn.XLOOKUP(F414,'TFS Details'!F:F,'TFS Details'!D:D)</f>
        <v>MDA</v>
      </c>
      <c r="B414" s="24" t="str">
        <f>_xlfn.XLOOKUP(F414,'TFS Details'!F:F,'TFS Details'!A:A)</f>
        <v>[MDA-SI, IMS &amp; BPMS]: View Release-wise &amp; Group-wise Data Across Headcount &amp; Pyramid Reports for Both OCP &amp; MMP routes</v>
      </c>
      <c r="C414" s="46">
        <f>_xlfn.XLOOKUP(F414,'TFS Details'!F:F,'TFS Details'!E:E)</f>
        <v>4440653</v>
      </c>
      <c r="D414" s="51" t="s">
        <v>34</v>
      </c>
      <c r="E414" s="139" t="s">
        <v>1048</v>
      </c>
      <c r="F414" s="72">
        <v>4440771</v>
      </c>
      <c r="G414" s="115" t="s">
        <v>1004</v>
      </c>
      <c r="H414" s="115" t="s">
        <v>1003</v>
      </c>
      <c r="I414" s="52"/>
      <c r="J414" s="250" t="s">
        <v>18</v>
      </c>
      <c r="K414" s="58" t="s">
        <v>1005</v>
      </c>
      <c r="L414" s="234" t="s">
        <v>23</v>
      </c>
      <c r="P414" s="33">
        <v>0.3</v>
      </c>
      <c r="Q414" s="33">
        <v>0.3</v>
      </c>
      <c r="R414" s="33">
        <v>0</v>
      </c>
      <c r="S414" s="33">
        <v>0.3</v>
      </c>
      <c r="T414" s="33">
        <v>1</v>
      </c>
      <c r="U414" s="33">
        <v>1</v>
      </c>
      <c r="V414" s="17" t="s">
        <v>204</v>
      </c>
      <c r="W414" s="234" t="s">
        <v>204</v>
      </c>
      <c r="X414" s="17" t="s">
        <v>197</v>
      </c>
      <c r="Y414" s="17" t="s">
        <v>197</v>
      </c>
      <c r="Z414" s="71">
        <v>30</v>
      </c>
      <c r="AA414" s="71">
        <v>30</v>
      </c>
      <c r="AB414" s="71">
        <v>0</v>
      </c>
      <c r="AC414" s="71">
        <v>30</v>
      </c>
      <c r="AD414" s="69">
        <v>1</v>
      </c>
      <c r="AE414" s="69">
        <v>1</v>
      </c>
      <c r="AF414" s="25" t="str">
        <f>_xlfn.XLOOKUP(F414,'TFS Details'!F:F,'TFS Details'!H:H)</f>
        <v>PT In Test</v>
      </c>
      <c r="AG414" s="42">
        <v>2</v>
      </c>
      <c r="AH414" s="42">
        <v>0</v>
      </c>
      <c r="AI414" s="42">
        <v>0</v>
      </c>
      <c r="AJ414" s="42">
        <v>28</v>
      </c>
      <c r="AK414" s="38">
        <f>SUM(AG414:AJ414)</f>
        <v>30</v>
      </c>
      <c r="AL414" s="39">
        <f t="shared" si="40"/>
        <v>6.6666666666666666E-2</v>
      </c>
      <c r="AM414" s="39">
        <f t="shared" si="41"/>
        <v>1</v>
      </c>
      <c r="AO414" s="25" t="str">
        <f>_xlfn.XLOOKUP(F414,'TFS Details'!F:F,'TFS Details'!I:I)</f>
        <v>SolutionDataLake</v>
      </c>
      <c r="AP414" s="25" t="str">
        <f>_xlfn.XLOOKUP(AO414,'TFS Details'!I:I,'TFS Details'!AE:AE)</f>
        <v>booshan.manjunathan</v>
      </c>
    </row>
    <row r="415" spans="1:42">
      <c r="A415" s="24" t="str">
        <f>_xlfn.XLOOKUP(F415,'TFS Details'!F:F,'TFS Details'!D:D)</f>
        <v>MDA</v>
      </c>
      <c r="B415" s="24" t="str">
        <f>_xlfn.XLOOKUP(F415,'TFS Details'!F:F,'TFS Details'!A:A)</f>
        <v>[MDA-SI, IMS &amp; BPMS]: View Release-wise &amp; Group-wise Data Across Headcount &amp; Pyramid Reports for Both OCP &amp; MMP routes</v>
      </c>
      <c r="C415" s="46">
        <f>_xlfn.XLOOKUP(F415,'TFS Details'!F:F,'TFS Details'!E:E)</f>
        <v>4440653</v>
      </c>
      <c r="D415" s="51" t="s">
        <v>34</v>
      </c>
      <c r="E415" s="139" t="s">
        <v>1049</v>
      </c>
      <c r="F415" s="72">
        <v>4440784</v>
      </c>
      <c r="G415" s="115" t="s">
        <v>1004</v>
      </c>
      <c r="H415" s="115" t="s">
        <v>1003</v>
      </c>
      <c r="I415" s="52"/>
      <c r="J415" s="250" t="s">
        <v>18</v>
      </c>
      <c r="K415" s="58" t="s">
        <v>1005</v>
      </c>
      <c r="L415" s="234" t="s">
        <v>23</v>
      </c>
      <c r="P415" s="33">
        <v>0.3</v>
      </c>
      <c r="Q415" s="33">
        <v>0.24</v>
      </c>
      <c r="R415" s="33">
        <v>0.02</v>
      </c>
      <c r="S415" s="33">
        <v>0.24</v>
      </c>
      <c r="T415" s="33">
        <v>0.8</v>
      </c>
      <c r="U415" s="33">
        <v>0.8</v>
      </c>
      <c r="V415" s="17" t="s">
        <v>204</v>
      </c>
      <c r="W415" s="234" t="s">
        <v>204</v>
      </c>
      <c r="X415" s="17" t="s">
        <v>197</v>
      </c>
      <c r="Y415" s="17" t="s">
        <v>197</v>
      </c>
      <c r="Z415" s="71">
        <v>30</v>
      </c>
      <c r="AA415" s="71">
        <v>24</v>
      </c>
      <c r="AB415" s="71">
        <v>2</v>
      </c>
      <c r="AC415" s="71">
        <v>24</v>
      </c>
      <c r="AD415" s="69">
        <v>0.8</v>
      </c>
      <c r="AE415" s="69">
        <v>0.8</v>
      </c>
      <c r="AF415" s="25" t="str">
        <f>_xlfn.XLOOKUP(F415,'TFS Details'!F:F,'TFS Details'!H:H)</f>
        <v>PT In Test</v>
      </c>
      <c r="AG415" s="42">
        <v>2</v>
      </c>
      <c r="AH415" s="42">
        <v>0</v>
      </c>
      <c r="AI415" s="42">
        <v>0</v>
      </c>
      <c r="AJ415" s="42">
        <v>22</v>
      </c>
      <c r="AK415" s="38">
        <f>SUM(AG415:AJ415)</f>
        <v>24</v>
      </c>
      <c r="AL415" s="39">
        <f t="shared" si="40"/>
        <v>8.3333333333333329E-2</v>
      </c>
      <c r="AM415" s="39">
        <f t="shared" si="41"/>
        <v>1</v>
      </c>
      <c r="AO415" s="25" t="str">
        <f>_xlfn.XLOOKUP(F415,'TFS Details'!F:F,'TFS Details'!I:I)</f>
        <v>SolutionDataLake</v>
      </c>
      <c r="AP415" s="25" t="str">
        <f>_xlfn.XLOOKUP(AO415,'TFS Details'!I:I,'TFS Details'!AE:AE)</f>
        <v>booshan.manjunathan</v>
      </c>
    </row>
    <row r="416" spans="1:42">
      <c r="A416" s="24" t="str">
        <f>_xlfn.XLOOKUP(F416,'TFS Details'!F:F,'TFS Details'!D:D)</f>
        <v>MDA</v>
      </c>
      <c r="B416" s="24" t="str">
        <f>_xlfn.XLOOKUP(F416,'TFS Details'!F:F,'TFS Details'!A:A)</f>
        <v>[MDA-SI, IMS &amp; BPMS]: View Release-wise &amp; Group-wise Data Across Headcount &amp; Pyramid Reports for Both OCP &amp; MMP routes</v>
      </c>
      <c r="C416" s="46">
        <f>_xlfn.XLOOKUP(F416,'TFS Details'!F:F,'TFS Details'!E:E)</f>
        <v>4440653</v>
      </c>
      <c r="D416" s="51" t="s">
        <v>34</v>
      </c>
      <c r="E416" s="139" t="s">
        <v>1050</v>
      </c>
      <c r="F416" s="72">
        <v>4440796</v>
      </c>
      <c r="G416" s="115" t="s">
        <v>1003</v>
      </c>
      <c r="H416" s="115" t="s">
        <v>1008</v>
      </c>
      <c r="I416" s="52"/>
      <c r="J416" s="250" t="s">
        <v>18</v>
      </c>
      <c r="K416" s="58" t="s">
        <v>1005</v>
      </c>
      <c r="L416" s="234" t="s">
        <v>23</v>
      </c>
      <c r="V416" s="17" t="s">
        <v>204</v>
      </c>
      <c r="W416" s="234" t="s">
        <v>204</v>
      </c>
      <c r="X416" s="17" t="s">
        <v>197</v>
      </c>
      <c r="Y416" s="17" t="s">
        <v>197</v>
      </c>
      <c r="Z416" s="71">
        <v>23</v>
      </c>
      <c r="AA416" s="71">
        <v>19</v>
      </c>
      <c r="AB416" s="71">
        <v>0</v>
      </c>
      <c r="AC416" s="71">
        <v>19</v>
      </c>
      <c r="AD416" s="69">
        <v>0.82</v>
      </c>
      <c r="AE416" s="69">
        <v>0.74</v>
      </c>
      <c r="AF416" s="25" t="str">
        <f>_xlfn.XLOOKUP(F416,'TFS Details'!F:F,'TFS Details'!H:H)</f>
        <v>PT In Test</v>
      </c>
      <c r="AG416" s="42">
        <v>5</v>
      </c>
      <c r="AH416" s="42">
        <v>1</v>
      </c>
      <c r="AI416" s="42">
        <v>13</v>
      </c>
      <c r="AJ416" s="42">
        <v>0</v>
      </c>
      <c r="AK416" s="38">
        <f t="shared" si="39"/>
        <v>19</v>
      </c>
      <c r="AL416" s="39">
        <f t="shared" si="40"/>
        <v>0.31578947368421051</v>
      </c>
      <c r="AM416" s="39">
        <f t="shared" si="41"/>
        <v>0.26315789473684209</v>
      </c>
      <c r="AN416" s="17" t="s">
        <v>1051</v>
      </c>
      <c r="AO416" s="25" t="str">
        <f>_xlfn.XLOOKUP(F416,'TFS Details'!F:F,'TFS Details'!I:I)</f>
        <v>SolutionDataLake</v>
      </c>
      <c r="AP416" s="25" t="str">
        <f>_xlfn.XLOOKUP(AO416,'TFS Details'!I:I,'TFS Details'!AE:AE)</f>
        <v>booshan.manjunathan</v>
      </c>
    </row>
    <row r="417" spans="1:42">
      <c r="A417" s="24" t="str">
        <f>_xlfn.XLOOKUP(F417,'TFS Details'!F:F,'TFS Details'!D:D)</f>
        <v>MDA</v>
      </c>
      <c r="B417" s="24" t="str">
        <f>_xlfn.XLOOKUP(F417,'TFS Details'!F:F,'TFS Details'!A:A)</f>
        <v>[MDA-SI, IMS &amp; BPMS]: View Release-wise &amp; Group-wise Data Across Headcount &amp; Pyramid Reports for Both OCP &amp; MMP routes</v>
      </c>
      <c r="C417" s="46">
        <f>_xlfn.XLOOKUP(F417,'TFS Details'!F:F,'TFS Details'!E:E)</f>
        <v>4440653</v>
      </c>
      <c r="D417" s="51" t="s">
        <v>34</v>
      </c>
      <c r="E417" s="139" t="s">
        <v>1052</v>
      </c>
      <c r="F417" s="72">
        <v>4440809</v>
      </c>
      <c r="G417" s="115" t="s">
        <v>1003</v>
      </c>
      <c r="H417" s="115" t="s">
        <v>1008</v>
      </c>
      <c r="I417" s="52"/>
      <c r="J417" s="250" t="s">
        <v>18</v>
      </c>
      <c r="K417" s="58" t="s">
        <v>1005</v>
      </c>
      <c r="L417" s="234" t="s">
        <v>23</v>
      </c>
      <c r="V417" s="17" t="s">
        <v>204</v>
      </c>
      <c r="W417" s="234" t="s">
        <v>204</v>
      </c>
      <c r="X417" s="17" t="s">
        <v>197</v>
      </c>
      <c r="Y417" s="17" t="s">
        <v>197</v>
      </c>
      <c r="Z417" s="71">
        <v>24</v>
      </c>
      <c r="AA417" s="71">
        <v>19</v>
      </c>
      <c r="AB417" s="71">
        <v>0</v>
      </c>
      <c r="AC417" s="71">
        <v>19</v>
      </c>
      <c r="AD417" s="69">
        <v>0.79</v>
      </c>
      <c r="AE417" s="69">
        <v>0.67</v>
      </c>
      <c r="AF417" s="25" t="str">
        <f>_xlfn.XLOOKUP(F417,'TFS Details'!F:F,'TFS Details'!H:H)</f>
        <v>PT In Test</v>
      </c>
      <c r="AG417" s="42">
        <v>3</v>
      </c>
      <c r="AH417" s="42">
        <v>1</v>
      </c>
      <c r="AI417" s="42">
        <v>15</v>
      </c>
      <c r="AJ417" s="42">
        <v>0</v>
      </c>
      <c r="AK417" s="38">
        <f t="shared" si="39"/>
        <v>19</v>
      </c>
      <c r="AL417" s="39">
        <f t="shared" si="40"/>
        <v>0.21052631578947367</v>
      </c>
      <c r="AM417" s="39">
        <f t="shared" si="41"/>
        <v>0.15789473684210525</v>
      </c>
      <c r="AN417" s="17" t="s">
        <v>1053</v>
      </c>
      <c r="AO417" s="25" t="str">
        <f>_xlfn.XLOOKUP(F417,'TFS Details'!F:F,'TFS Details'!I:I)</f>
        <v>SolutionDataLake</v>
      </c>
      <c r="AP417" s="25" t="str">
        <f>_xlfn.XLOOKUP(AO417,'TFS Details'!I:I,'TFS Details'!AE:AE)</f>
        <v>booshan.manjunathan</v>
      </c>
    </row>
    <row r="418" spans="1:42">
      <c r="A418" s="24" t="str">
        <f>_xlfn.XLOOKUP(F418,'TFS Details'!F:F,'TFS Details'!D:D)</f>
        <v>MDA</v>
      </c>
      <c r="B418" s="24" t="str">
        <f>_xlfn.XLOOKUP(F418,'TFS Details'!F:F,'TFS Details'!A:A)</f>
        <v>[MDA-SI, IMS &amp; BPMS]: View Release-wise &amp; Group-wise Data Across Headcount &amp; Pyramid Reports for Both OCP &amp; MMP routes</v>
      </c>
      <c r="C418" s="46">
        <f>_xlfn.XLOOKUP(F418,'TFS Details'!F:F,'TFS Details'!E:E)</f>
        <v>4440653</v>
      </c>
      <c r="D418" s="51" t="s">
        <v>34</v>
      </c>
      <c r="E418" s="139" t="s">
        <v>1054</v>
      </c>
      <c r="F418" s="72">
        <v>4440815</v>
      </c>
      <c r="G418" s="115" t="s">
        <v>1008</v>
      </c>
      <c r="H418" s="115" t="s">
        <v>1012</v>
      </c>
      <c r="I418" s="52"/>
      <c r="J418" s="250" t="s">
        <v>18</v>
      </c>
      <c r="K418" s="58" t="s">
        <v>1005</v>
      </c>
      <c r="L418" s="234" t="s">
        <v>23</v>
      </c>
      <c r="V418" s="17" t="s">
        <v>204</v>
      </c>
      <c r="W418" s="234" t="s">
        <v>204</v>
      </c>
      <c r="X418" s="17" t="s">
        <v>197</v>
      </c>
      <c r="Y418" s="17" t="s">
        <v>216</v>
      </c>
      <c r="Z418" s="71">
        <v>35</v>
      </c>
      <c r="AA418" s="71">
        <v>13</v>
      </c>
      <c r="AB418" s="71">
        <v>4</v>
      </c>
      <c r="AC418" s="71">
        <v>17</v>
      </c>
      <c r="AD418" s="69">
        <v>0.6</v>
      </c>
      <c r="AE418" s="69">
        <v>0.6</v>
      </c>
      <c r="AF418" s="25" t="str">
        <f>_xlfn.XLOOKUP(F418,'TFS Details'!F:F,'TFS Details'!H:H)</f>
        <v>PT In Test</v>
      </c>
      <c r="AG418" s="42">
        <v>2</v>
      </c>
      <c r="AH418" s="42">
        <v>0</v>
      </c>
      <c r="AI418" s="42">
        <v>0</v>
      </c>
      <c r="AJ418" s="42">
        <v>15</v>
      </c>
      <c r="AK418" s="38">
        <f t="shared" si="39"/>
        <v>17</v>
      </c>
      <c r="AL418" s="39">
        <f t="shared" si="40"/>
        <v>0.11764705882352941</v>
      </c>
      <c r="AM418" s="39">
        <f t="shared" si="41"/>
        <v>1</v>
      </c>
      <c r="AO418" s="25" t="str">
        <f>_xlfn.XLOOKUP(F418,'TFS Details'!F:F,'TFS Details'!I:I)</f>
        <v>SolutionDataLake</v>
      </c>
      <c r="AP418" s="25" t="str">
        <f>_xlfn.XLOOKUP(AO418,'TFS Details'!I:I,'TFS Details'!AE:AE)</f>
        <v>booshan.manjunathan</v>
      </c>
    </row>
    <row r="419" spans="1:42">
      <c r="A419" s="24" t="str">
        <f>_xlfn.XLOOKUP(F419,'TFS Details'!F:F,'TFS Details'!D:D)</f>
        <v>MDA</v>
      </c>
      <c r="B419" s="24" t="str">
        <f>_xlfn.XLOOKUP(F419,'TFS Details'!F:F,'TFS Details'!A:A)</f>
        <v>[MDA-SI, IMS &amp; BPMS]: View Release-wise &amp; Group-wise Data Across Headcount &amp; Pyramid Reports for Both OCP &amp; MMP routes</v>
      </c>
      <c r="C419" s="46">
        <f>_xlfn.XLOOKUP(F419,'TFS Details'!F:F,'TFS Details'!E:E)</f>
        <v>4440653</v>
      </c>
      <c r="D419" s="51" t="s">
        <v>34</v>
      </c>
      <c r="E419" s="139" t="s">
        <v>1055</v>
      </c>
      <c r="F419" s="72">
        <v>4440819</v>
      </c>
      <c r="G419" s="115" t="s">
        <v>1008</v>
      </c>
      <c r="H419" s="115" t="s">
        <v>1012</v>
      </c>
      <c r="I419" s="52"/>
      <c r="J419" s="250" t="s">
        <v>18</v>
      </c>
      <c r="K419" s="58" t="s">
        <v>1005</v>
      </c>
      <c r="L419" s="234" t="s">
        <v>23</v>
      </c>
      <c r="V419" s="17" t="s">
        <v>204</v>
      </c>
      <c r="W419" s="234" t="s">
        <v>204</v>
      </c>
      <c r="X419" s="17" t="s">
        <v>197</v>
      </c>
      <c r="Y419" s="17" t="s">
        <v>216</v>
      </c>
      <c r="Z419" s="71">
        <v>35</v>
      </c>
      <c r="AA419" s="71">
        <v>13</v>
      </c>
      <c r="AB419" s="71">
        <v>4</v>
      </c>
      <c r="AC419" s="71">
        <v>17</v>
      </c>
      <c r="AD419" s="69">
        <v>0.6</v>
      </c>
      <c r="AE419" s="69">
        <v>0.6</v>
      </c>
      <c r="AF419" s="25" t="str">
        <f>_xlfn.XLOOKUP(F419,'TFS Details'!F:F,'TFS Details'!H:H)</f>
        <v>PT In Test</v>
      </c>
      <c r="AG419" s="42">
        <v>2</v>
      </c>
      <c r="AH419" s="42">
        <v>0</v>
      </c>
      <c r="AI419" s="42">
        <v>0</v>
      </c>
      <c r="AJ419" s="42">
        <v>15</v>
      </c>
      <c r="AK419" s="38">
        <f t="shared" si="39"/>
        <v>17</v>
      </c>
      <c r="AL419" s="39">
        <f t="shared" si="40"/>
        <v>0.11764705882352941</v>
      </c>
      <c r="AM419" s="39">
        <f t="shared" si="41"/>
        <v>1</v>
      </c>
      <c r="AO419" s="25" t="str">
        <f>_xlfn.XLOOKUP(F419,'TFS Details'!F:F,'TFS Details'!I:I)</f>
        <v>SolutionDataLake</v>
      </c>
      <c r="AP419" s="25" t="str">
        <f>_xlfn.XLOOKUP(AO419,'TFS Details'!I:I,'TFS Details'!AE:AE)</f>
        <v>booshan.manjunathan</v>
      </c>
    </row>
    <row r="420" spans="1:42">
      <c r="A420" s="24" t="str">
        <f>_xlfn.XLOOKUP(F420,'TFS Details'!F:F,'TFS Details'!D:D)</f>
        <v>MDA</v>
      </c>
      <c r="B420" s="24" t="str">
        <f>_xlfn.XLOOKUP(F420,'TFS Details'!F:F,'TFS Details'!A:A)</f>
        <v>[MDA-SI, IMS &amp; BPMS]: View Release-wise &amp; Group-wise Data Across Headcount &amp; Pyramid Reports for Both OCP &amp; MMP routes</v>
      </c>
      <c r="C420" s="46">
        <f>_xlfn.XLOOKUP(F420,'TFS Details'!F:F,'TFS Details'!E:E)</f>
        <v>4440653</v>
      </c>
      <c r="D420" s="51" t="s">
        <v>34</v>
      </c>
      <c r="E420" s="139" t="s">
        <v>1056</v>
      </c>
      <c r="F420" s="72">
        <v>4440824</v>
      </c>
      <c r="G420" s="115" t="s">
        <v>1004</v>
      </c>
      <c r="H420" s="115" t="s">
        <v>1003</v>
      </c>
      <c r="I420" s="52"/>
      <c r="J420" s="250" t="s">
        <v>18</v>
      </c>
      <c r="K420" s="58" t="s">
        <v>1005</v>
      </c>
      <c r="L420" s="234" t="s">
        <v>23</v>
      </c>
      <c r="P420" s="33">
        <v>0.3</v>
      </c>
      <c r="Q420" s="33">
        <v>0.27</v>
      </c>
      <c r="R420" s="33">
        <v>0.05</v>
      </c>
      <c r="S420" s="33">
        <v>0.27</v>
      </c>
      <c r="T420" s="33">
        <v>0.9</v>
      </c>
      <c r="U420" s="33">
        <v>0.9</v>
      </c>
      <c r="V420" s="17" t="s">
        <v>204</v>
      </c>
      <c r="W420" s="234" t="s">
        <v>204</v>
      </c>
      <c r="X420" s="17" t="s">
        <v>197</v>
      </c>
      <c r="Y420" s="17" t="s">
        <v>197</v>
      </c>
      <c r="Z420" s="71">
        <v>30</v>
      </c>
      <c r="AA420" s="71">
        <v>27</v>
      </c>
      <c r="AB420" s="71">
        <v>5</v>
      </c>
      <c r="AC420" s="71">
        <v>27</v>
      </c>
      <c r="AD420" s="69">
        <v>0.9</v>
      </c>
      <c r="AE420" s="69">
        <v>0.9</v>
      </c>
      <c r="AF420" s="25" t="str">
        <f>_xlfn.XLOOKUP(F420,'TFS Details'!F:F,'TFS Details'!H:H)</f>
        <v>PT In Test</v>
      </c>
      <c r="AG420" s="42">
        <v>2</v>
      </c>
      <c r="AH420" s="42">
        <v>0</v>
      </c>
      <c r="AI420" s="42">
        <v>0</v>
      </c>
      <c r="AJ420" s="42">
        <v>25</v>
      </c>
      <c r="AK420" s="38">
        <f>SUM(AG420:AJ420)</f>
        <v>27</v>
      </c>
      <c r="AL420" s="39">
        <f t="shared" si="40"/>
        <v>7.407407407407407E-2</v>
      </c>
      <c r="AM420" s="39">
        <f t="shared" si="41"/>
        <v>1</v>
      </c>
      <c r="AO420" s="25" t="str">
        <f>_xlfn.XLOOKUP(F420,'TFS Details'!F:F,'TFS Details'!I:I)</f>
        <v>SolutionDataLake</v>
      </c>
      <c r="AP420" s="25" t="str">
        <f>_xlfn.XLOOKUP(AO420,'TFS Details'!I:I,'TFS Details'!AE:AE)</f>
        <v>booshan.manjunathan</v>
      </c>
    </row>
    <row r="421" spans="1:42">
      <c r="A421" s="24" t="str">
        <f>_xlfn.XLOOKUP(F421,'TFS Details'!F:F,'TFS Details'!D:D)</f>
        <v>MDA</v>
      </c>
      <c r="B421" s="24" t="str">
        <f>_xlfn.XLOOKUP(F421,'TFS Details'!F:F,'TFS Details'!A:A)</f>
        <v>[MDA-SI, IMS &amp; BPMS]: View Release-wise &amp; Group-wise Data Across Headcount &amp; Pyramid Reports for Both OCP &amp; MMP routes</v>
      </c>
      <c r="C421" s="46">
        <f>_xlfn.XLOOKUP(F421,'TFS Details'!F:F,'TFS Details'!E:E)</f>
        <v>4440653</v>
      </c>
      <c r="D421" s="51" t="s">
        <v>34</v>
      </c>
      <c r="E421" s="139" t="s">
        <v>1057</v>
      </c>
      <c r="F421" s="72">
        <v>4440835</v>
      </c>
      <c r="G421" s="115" t="s">
        <v>1004</v>
      </c>
      <c r="H421" s="115" t="s">
        <v>1008</v>
      </c>
      <c r="I421" s="52"/>
      <c r="J421" s="250" t="s">
        <v>18</v>
      </c>
      <c r="K421" s="58" t="s">
        <v>1005</v>
      </c>
      <c r="L421" s="234" t="s">
        <v>23</v>
      </c>
      <c r="P421" s="33">
        <v>0.3</v>
      </c>
      <c r="Q421" s="33">
        <v>0.25</v>
      </c>
      <c r="R421" s="33">
        <v>0.06</v>
      </c>
      <c r="S421" s="33">
        <v>0.25</v>
      </c>
      <c r="T421" s="33">
        <v>0.83</v>
      </c>
      <c r="U421" s="33">
        <v>0.83</v>
      </c>
      <c r="V421" s="17" t="s">
        <v>204</v>
      </c>
      <c r="W421" s="234" t="s">
        <v>204</v>
      </c>
      <c r="X421" s="17" t="s">
        <v>197</v>
      </c>
      <c r="Y421" s="17" t="s">
        <v>197</v>
      </c>
      <c r="Z421" s="71">
        <v>30</v>
      </c>
      <c r="AA421" s="71">
        <v>25</v>
      </c>
      <c r="AB421" s="71">
        <v>6</v>
      </c>
      <c r="AC421" s="71">
        <v>25</v>
      </c>
      <c r="AD421" s="69">
        <v>0.83</v>
      </c>
      <c r="AE421" s="69">
        <v>0.83</v>
      </c>
      <c r="AF421" s="25" t="str">
        <f>_xlfn.XLOOKUP(F421,'TFS Details'!F:F,'TFS Details'!H:H)</f>
        <v>PT In Test</v>
      </c>
      <c r="AG421" s="42">
        <v>2</v>
      </c>
      <c r="AH421" s="42">
        <v>0</v>
      </c>
      <c r="AI421" s="42">
        <v>0</v>
      </c>
      <c r="AJ421" s="42">
        <v>23</v>
      </c>
      <c r="AK421" s="38">
        <f>SUM(AG421:AJ421)</f>
        <v>25</v>
      </c>
      <c r="AL421" s="39">
        <f t="shared" si="40"/>
        <v>0.08</v>
      </c>
      <c r="AM421" s="39">
        <f t="shared" si="41"/>
        <v>1</v>
      </c>
      <c r="AO421" s="25" t="str">
        <f>_xlfn.XLOOKUP(F421,'TFS Details'!F:F,'TFS Details'!I:I)</f>
        <v>SolutionDataLake</v>
      </c>
      <c r="AP421" s="25" t="str">
        <f>_xlfn.XLOOKUP(AO421,'TFS Details'!I:I,'TFS Details'!AE:AE)</f>
        <v>booshan.manjunathan</v>
      </c>
    </row>
    <row r="422" spans="1:42">
      <c r="A422" s="24" t="str">
        <f>_xlfn.XLOOKUP(F422,'TFS Details'!F:F,'TFS Details'!D:D)</f>
        <v>MDA</v>
      </c>
      <c r="B422" s="24" t="str">
        <f>_xlfn.XLOOKUP(F422,'TFS Details'!F:F,'TFS Details'!A:A)</f>
        <v>[MDA-AMS]: View Group-wise Data in Financial Summary for Both OCP &amp; MMP routes</v>
      </c>
      <c r="C422" s="46">
        <f>_xlfn.XLOOKUP(F422,'TFS Details'!F:F,'TFS Details'!E:E)</f>
        <v>4440901</v>
      </c>
      <c r="D422" s="51" t="s">
        <v>34</v>
      </c>
      <c r="E422" s="139" t="s">
        <v>1058</v>
      </c>
      <c r="F422" s="72">
        <v>4440870</v>
      </c>
      <c r="G422" s="115" t="s">
        <v>1003</v>
      </c>
      <c r="H422" s="115" t="s">
        <v>1012</v>
      </c>
      <c r="I422" s="52"/>
      <c r="J422" s="250" t="s">
        <v>18</v>
      </c>
      <c r="K422" s="58" t="s">
        <v>1005</v>
      </c>
      <c r="L422" s="234" t="s">
        <v>23</v>
      </c>
      <c r="V422" s="17" t="s">
        <v>204</v>
      </c>
      <c r="W422" s="234" t="s">
        <v>204</v>
      </c>
      <c r="X422" s="17" t="s">
        <v>197</v>
      </c>
      <c r="Y422" s="17" t="s">
        <v>197</v>
      </c>
      <c r="Z422" s="71">
        <v>30</v>
      </c>
      <c r="AA422" s="71">
        <v>24</v>
      </c>
      <c r="AB422" s="71">
        <v>0</v>
      </c>
      <c r="AC422" s="71">
        <v>24</v>
      </c>
      <c r="AD422" s="69">
        <v>0.76</v>
      </c>
      <c r="AE422" s="69">
        <v>0.69</v>
      </c>
      <c r="AF422" s="25" t="str">
        <f>_xlfn.XLOOKUP(F422,'TFS Details'!F:F,'TFS Details'!H:H)</f>
        <v>Active</v>
      </c>
      <c r="AG422" s="42">
        <v>0</v>
      </c>
      <c r="AH422" s="42">
        <v>0</v>
      </c>
      <c r="AI422" s="42">
        <v>0</v>
      </c>
      <c r="AJ422" s="42">
        <v>24</v>
      </c>
      <c r="AK422" s="38">
        <f t="shared" si="39"/>
        <v>24</v>
      </c>
      <c r="AL422" s="39">
        <f t="shared" si="40"/>
        <v>0</v>
      </c>
      <c r="AM422" s="39">
        <f t="shared" si="41"/>
        <v>0</v>
      </c>
      <c r="AO422" s="25" t="str">
        <f>_xlfn.XLOOKUP(F422,'TFS Details'!F:F,'TFS Details'!I:I)</f>
        <v>SolutionDataLake</v>
      </c>
      <c r="AP422" s="25" t="str">
        <f>_xlfn.XLOOKUP(AO422,'TFS Details'!I:I,'TFS Details'!AE:AE)</f>
        <v>booshan.manjunathan</v>
      </c>
    </row>
    <row r="423" spans="1:42">
      <c r="A423" s="24" t="str">
        <f>_xlfn.XLOOKUP(F423,'TFS Details'!F:F,'TFS Details'!D:D)</f>
        <v>MDA</v>
      </c>
      <c r="B423" s="24" t="str">
        <f>_xlfn.XLOOKUP(F423,'TFS Details'!F:F,'TFS Details'!A:A)</f>
        <v>[MDA-AMS]: View Group-wise Data in Financial Summary for Both OCP &amp; MMP routes</v>
      </c>
      <c r="C423" s="46">
        <f>_xlfn.XLOOKUP(F423,'TFS Details'!F:F,'TFS Details'!E:E)</f>
        <v>4440901</v>
      </c>
      <c r="D423" s="51" t="s">
        <v>34</v>
      </c>
      <c r="E423" s="139" t="s">
        <v>1059</v>
      </c>
      <c r="F423" s="72">
        <v>4440874</v>
      </c>
      <c r="G423" s="115" t="s">
        <v>1003</v>
      </c>
      <c r="H423" s="115" t="s">
        <v>1012</v>
      </c>
      <c r="I423" s="52"/>
      <c r="J423" s="250" t="s">
        <v>18</v>
      </c>
      <c r="K423" s="58" t="s">
        <v>1005</v>
      </c>
      <c r="L423" s="234" t="s">
        <v>23</v>
      </c>
      <c r="V423" s="17" t="s">
        <v>204</v>
      </c>
      <c r="W423" s="234" t="s">
        <v>204</v>
      </c>
      <c r="X423" s="17" t="s">
        <v>197</v>
      </c>
      <c r="Y423" s="17" t="s">
        <v>197</v>
      </c>
      <c r="Z423" s="71">
        <v>32</v>
      </c>
      <c r="AA423" s="71">
        <v>25</v>
      </c>
      <c r="AB423" s="71">
        <v>0</v>
      </c>
      <c r="AC423" s="71">
        <v>25</v>
      </c>
      <c r="AD423" s="69">
        <v>0.73</v>
      </c>
      <c r="AE423" s="69">
        <v>0.65</v>
      </c>
      <c r="AF423" s="25" t="str">
        <f>_xlfn.XLOOKUP(F423,'TFS Details'!F:F,'TFS Details'!H:H)</f>
        <v>Active</v>
      </c>
      <c r="AG423" s="42">
        <v>0</v>
      </c>
      <c r="AH423" s="42">
        <v>0</v>
      </c>
      <c r="AI423" s="42">
        <v>0</v>
      </c>
      <c r="AJ423" s="42">
        <v>25</v>
      </c>
      <c r="AK423" s="38">
        <f t="shared" si="39"/>
        <v>25</v>
      </c>
      <c r="AL423" s="39">
        <f t="shared" si="40"/>
        <v>0</v>
      </c>
      <c r="AM423" s="39">
        <f t="shared" si="41"/>
        <v>0</v>
      </c>
      <c r="AO423" s="25" t="str">
        <f>_xlfn.XLOOKUP(F423,'TFS Details'!F:F,'TFS Details'!I:I)</f>
        <v>SolutionDataLake</v>
      </c>
      <c r="AP423" s="25" t="str">
        <f>_xlfn.XLOOKUP(AO423,'TFS Details'!I:I,'TFS Details'!AE:AE)</f>
        <v>booshan.manjunathan</v>
      </c>
    </row>
    <row r="424" spans="1:42">
      <c r="A424" s="24" t="str">
        <f>_xlfn.XLOOKUP(F424,'TFS Details'!F:F,'TFS Details'!D:D)</f>
        <v>MDA</v>
      </c>
      <c r="B424" s="24" t="str">
        <f>_xlfn.XLOOKUP(F424,'TFS Details'!F:F,'TFS Details'!A:A)</f>
        <v>MDA IMS Personalization - Calculation Column addition for Static tabs Under HC FTE Deal Pivot-May Release</v>
      </c>
      <c r="C424" s="46">
        <f>_xlfn.XLOOKUP(F424,'TFS Details'!F:F,'TFS Details'!E:E)</f>
        <v>4441711</v>
      </c>
      <c r="D424" s="51" t="s">
        <v>34</v>
      </c>
      <c r="E424" s="139" t="s">
        <v>1060</v>
      </c>
      <c r="F424" s="72">
        <v>4441048</v>
      </c>
      <c r="G424" s="115" t="s">
        <v>1012</v>
      </c>
      <c r="H424" s="115" t="s">
        <v>1004</v>
      </c>
      <c r="I424" s="52"/>
      <c r="J424" s="250" t="s">
        <v>18</v>
      </c>
      <c r="K424" s="58" t="s">
        <v>1005</v>
      </c>
      <c r="L424" s="234" t="s">
        <v>23</v>
      </c>
      <c r="V424" s="17" t="s">
        <v>204</v>
      </c>
      <c r="W424" s="234" t="s">
        <v>204</v>
      </c>
      <c r="X424" s="17" t="s">
        <v>197</v>
      </c>
      <c r="Y424" s="17" t="s">
        <v>197</v>
      </c>
      <c r="Z424" s="71">
        <v>42</v>
      </c>
      <c r="AA424" s="71">
        <v>15</v>
      </c>
      <c r="AB424" s="71">
        <v>0</v>
      </c>
      <c r="AC424" s="71">
        <v>15</v>
      </c>
      <c r="AD424" s="69">
        <v>0.42</v>
      </c>
      <c r="AE424" s="69">
        <v>0.35</v>
      </c>
      <c r="AF424" s="25" t="str">
        <f>_xlfn.XLOOKUP(F424,'TFS Details'!F:F,'TFS Details'!H:H)</f>
        <v>Active</v>
      </c>
      <c r="AG424" s="42">
        <v>0</v>
      </c>
      <c r="AH424" s="42">
        <v>0</v>
      </c>
      <c r="AI424" s="42">
        <v>0</v>
      </c>
      <c r="AJ424" s="42">
        <v>15</v>
      </c>
      <c r="AK424" s="38">
        <f t="shared" si="39"/>
        <v>15</v>
      </c>
      <c r="AL424" s="39">
        <f t="shared" si="40"/>
        <v>0</v>
      </c>
      <c r="AM424" s="39">
        <f t="shared" si="41"/>
        <v>0</v>
      </c>
      <c r="AO424" s="25" t="str">
        <f>_xlfn.XLOOKUP(F424,'TFS Details'!F:F,'TFS Details'!I:I)</f>
        <v>SolutionDataLake</v>
      </c>
      <c r="AP424" s="25" t="str">
        <f>_xlfn.XLOOKUP(AO424,'TFS Details'!I:I,'TFS Details'!AE:AE)</f>
        <v>booshan.manjunathan</v>
      </c>
    </row>
    <row r="425" spans="1:42">
      <c r="A425" s="24" t="str">
        <f>_xlfn.XLOOKUP(F425,'TFS Details'!F:F,'TFS Details'!D:D)</f>
        <v>MDA</v>
      </c>
      <c r="B425" s="24" t="str">
        <f>_xlfn.XLOOKUP(F425,'TFS Details'!F:F,'TFS Details'!A:A)</f>
        <v>MDA IMS Personalization - Calculation Column addition for Static tabs Under HC FTE Deal Pivot-May Release</v>
      </c>
      <c r="C425" s="46">
        <f>_xlfn.XLOOKUP(F425,'TFS Details'!F:F,'TFS Details'!E:E)</f>
        <v>4441711</v>
      </c>
      <c r="D425" s="51" t="s">
        <v>34</v>
      </c>
      <c r="E425" s="139" t="s">
        <v>1061</v>
      </c>
      <c r="F425" s="72">
        <v>4441061</v>
      </c>
      <c r="G425" s="115" t="s">
        <v>1012</v>
      </c>
      <c r="H425" s="115" t="s">
        <v>1004</v>
      </c>
      <c r="I425" s="52"/>
      <c r="J425" s="250" t="s">
        <v>18</v>
      </c>
      <c r="K425" s="58" t="s">
        <v>1005</v>
      </c>
      <c r="L425" s="234" t="s">
        <v>23</v>
      </c>
      <c r="V425" s="17" t="s">
        <v>204</v>
      </c>
      <c r="W425" s="234" t="s">
        <v>204</v>
      </c>
      <c r="X425" s="17" t="s">
        <v>197</v>
      </c>
      <c r="Y425" s="17" t="s">
        <v>197</v>
      </c>
      <c r="Z425" s="71">
        <v>48</v>
      </c>
      <c r="AA425" s="71">
        <v>21</v>
      </c>
      <c r="AB425" s="71">
        <v>0</v>
      </c>
      <c r="AC425" s="71">
        <v>21</v>
      </c>
      <c r="AD425" s="69">
        <v>0.49</v>
      </c>
      <c r="AE425" s="69">
        <v>0.4</v>
      </c>
      <c r="AF425" s="25" t="str">
        <f>_xlfn.XLOOKUP(F425,'TFS Details'!F:F,'TFS Details'!H:H)</f>
        <v>Active</v>
      </c>
      <c r="AG425" s="42">
        <v>0</v>
      </c>
      <c r="AH425" s="42">
        <v>0</v>
      </c>
      <c r="AI425" s="42">
        <v>0</v>
      </c>
      <c r="AJ425" s="42">
        <v>21</v>
      </c>
      <c r="AK425" s="38">
        <f t="shared" si="39"/>
        <v>21</v>
      </c>
      <c r="AL425" s="39">
        <f t="shared" si="40"/>
        <v>0</v>
      </c>
      <c r="AM425" s="39">
        <f t="shared" si="41"/>
        <v>0</v>
      </c>
      <c r="AO425" s="25" t="str">
        <f>_xlfn.XLOOKUP(F425,'TFS Details'!F:F,'TFS Details'!I:I)</f>
        <v>SolutionDataLake</v>
      </c>
      <c r="AP425" s="25" t="str">
        <f>_xlfn.XLOOKUP(AO425,'TFS Details'!I:I,'TFS Details'!AE:AE)</f>
        <v>booshan.manjunathan</v>
      </c>
    </row>
    <row r="426" spans="1:42">
      <c r="A426" s="24" t="str">
        <f>_xlfn.XLOOKUP(F426,'TFS Details'!F:F,'TFS Details'!D:D)</f>
        <v>MDA</v>
      </c>
      <c r="B426" s="24" t="str">
        <f>_xlfn.XLOOKUP(F426,'TFS Details'!F:F,'TFS Details'!A:A)</f>
        <v>MDA IMS Personalization - PY Report (MMP Route)- May Release</v>
      </c>
      <c r="C426" s="46">
        <f>_xlfn.XLOOKUP(F426,'TFS Details'!F:F,'TFS Details'!E:E)</f>
        <v>4456095</v>
      </c>
      <c r="D426" s="51" t="s">
        <v>34</v>
      </c>
      <c r="E426" s="139" t="s">
        <v>1062</v>
      </c>
      <c r="F426" s="72">
        <v>4441798</v>
      </c>
      <c r="G426" s="115" t="s">
        <v>1012</v>
      </c>
      <c r="H426" s="17" t="s">
        <v>1031</v>
      </c>
      <c r="I426" s="52"/>
      <c r="J426" s="250" t="s">
        <v>18</v>
      </c>
      <c r="K426" s="58" t="s">
        <v>1005</v>
      </c>
      <c r="L426" s="234" t="s">
        <v>23</v>
      </c>
      <c r="V426" s="17" t="s">
        <v>204</v>
      </c>
      <c r="W426" s="234" t="s">
        <v>204</v>
      </c>
      <c r="X426" s="17" t="s">
        <v>197</v>
      </c>
      <c r="Y426" s="17" t="s">
        <v>197</v>
      </c>
      <c r="Z426" s="71">
        <v>42</v>
      </c>
      <c r="AA426" s="71">
        <v>25</v>
      </c>
      <c r="AB426" s="71">
        <v>0</v>
      </c>
      <c r="AC426" s="71">
        <v>25</v>
      </c>
      <c r="AD426" s="69">
        <v>0.45</v>
      </c>
      <c r="AE426" s="69">
        <v>0.4</v>
      </c>
      <c r="AF426" s="25" t="str">
        <f>_xlfn.XLOOKUP(F426,'TFS Details'!F:F,'TFS Details'!H:H)</f>
        <v>Blocked in PT</v>
      </c>
      <c r="AG426" s="42">
        <v>0</v>
      </c>
      <c r="AH426" s="42">
        <v>0</v>
      </c>
      <c r="AI426" s="42">
        <v>0</v>
      </c>
      <c r="AJ426" s="42">
        <v>25</v>
      </c>
      <c r="AK426" s="38">
        <f>SUM(AG426:AJ426)</f>
        <v>25</v>
      </c>
      <c r="AL426" s="39">
        <f t="shared" si="40"/>
        <v>0</v>
      </c>
      <c r="AM426" s="39">
        <f t="shared" si="41"/>
        <v>0</v>
      </c>
      <c r="AO426" s="25" t="str">
        <f>_xlfn.XLOOKUP(F426,'TFS Details'!F:F,'TFS Details'!I:I)</f>
        <v>SolutionDataLake</v>
      </c>
      <c r="AP426" s="25" t="str">
        <f>_xlfn.XLOOKUP(AO426,'TFS Details'!I:I,'TFS Details'!AE:AE)</f>
        <v>booshan.manjunathan</v>
      </c>
    </row>
    <row r="427" spans="1:42">
      <c r="A427" s="24" t="str">
        <f>_xlfn.XLOOKUP(F427,'TFS Details'!F:F,'TFS Details'!D:D)</f>
        <v>MDA</v>
      </c>
      <c r="B427" s="24" t="str">
        <f>_xlfn.XLOOKUP(F427,'TFS Details'!F:F,'TFS Details'!A:A)</f>
        <v>MDA IMS Personalization - PY Report (MMP Route)- May Release</v>
      </c>
      <c r="C427" s="46">
        <f>_xlfn.XLOOKUP(F427,'TFS Details'!F:F,'TFS Details'!E:E)</f>
        <v>4456095</v>
      </c>
      <c r="D427" s="51" t="s">
        <v>34</v>
      </c>
      <c r="E427" s="139" t="s">
        <v>1063</v>
      </c>
      <c r="F427" s="72">
        <v>4441806</v>
      </c>
      <c r="G427" s="115" t="s">
        <v>1012</v>
      </c>
      <c r="H427" s="17" t="s">
        <v>1031</v>
      </c>
      <c r="I427" s="52"/>
      <c r="J427" s="250" t="s">
        <v>18</v>
      </c>
      <c r="K427" s="58" t="s">
        <v>1005</v>
      </c>
      <c r="L427" s="234" t="s">
        <v>23</v>
      </c>
      <c r="V427" s="17" t="s">
        <v>204</v>
      </c>
      <c r="W427" s="234" t="s">
        <v>204</v>
      </c>
      <c r="X427" s="17" t="s">
        <v>197</v>
      </c>
      <c r="Y427" s="17" t="s">
        <v>197</v>
      </c>
      <c r="Z427" s="71">
        <v>57</v>
      </c>
      <c r="AA427" s="71">
        <v>25</v>
      </c>
      <c r="AB427" s="71">
        <v>2</v>
      </c>
      <c r="AC427" s="71">
        <v>27</v>
      </c>
      <c r="AD427" s="69">
        <v>0.4</v>
      </c>
      <c r="AE427" s="69">
        <v>0.35</v>
      </c>
      <c r="AF427" s="25" t="str">
        <f>_xlfn.XLOOKUP(F427,'TFS Details'!F:F,'TFS Details'!H:H)</f>
        <v>Blocked in PT</v>
      </c>
      <c r="AG427" s="42">
        <v>0</v>
      </c>
      <c r="AH427" s="42">
        <v>0</v>
      </c>
      <c r="AI427" s="42">
        <v>0</v>
      </c>
      <c r="AJ427" s="42">
        <v>23</v>
      </c>
      <c r="AK427" s="38">
        <f t="shared" si="39"/>
        <v>23</v>
      </c>
      <c r="AL427" s="39">
        <f t="shared" si="40"/>
        <v>0</v>
      </c>
      <c r="AM427" s="39">
        <f t="shared" si="41"/>
        <v>0</v>
      </c>
      <c r="AO427" s="25" t="str">
        <f>_xlfn.XLOOKUP(F427,'TFS Details'!F:F,'TFS Details'!I:I)</f>
        <v>SolutionDataLake</v>
      </c>
      <c r="AP427" s="25" t="str">
        <f>_xlfn.XLOOKUP(AO427,'TFS Details'!I:I,'TFS Details'!AE:AE)</f>
        <v>booshan.manjunathan</v>
      </c>
    </row>
    <row r="428" spans="1:42">
      <c r="A428" s="24" t="str">
        <f>_xlfn.XLOOKUP(F428,'TFS Details'!F:F,'TFS Details'!D:D)</f>
        <v>MDA</v>
      </c>
      <c r="B428" s="24" t="str">
        <f>_xlfn.XLOOKUP(F428,'TFS Details'!F:F,'TFS Details'!A:A)</f>
        <v>MDA IMS Personalization - PY Report (MMP Route)- May Release</v>
      </c>
      <c r="C428" s="46">
        <f>_xlfn.XLOOKUP(F428,'TFS Details'!F:F,'TFS Details'!E:E)</f>
        <v>4456095</v>
      </c>
      <c r="D428" s="51" t="s">
        <v>34</v>
      </c>
      <c r="E428" s="139" t="s">
        <v>1064</v>
      </c>
      <c r="F428" s="72">
        <v>4441813</v>
      </c>
      <c r="G428" s="115" t="s">
        <v>1012</v>
      </c>
      <c r="H428" s="17" t="s">
        <v>1031</v>
      </c>
      <c r="I428" s="52"/>
      <c r="J428" s="250" t="s">
        <v>18</v>
      </c>
      <c r="K428" s="58" t="s">
        <v>1005</v>
      </c>
      <c r="L428" s="234" t="s">
        <v>23</v>
      </c>
      <c r="V428" s="17" t="s">
        <v>204</v>
      </c>
      <c r="W428" s="234" t="s">
        <v>204</v>
      </c>
      <c r="X428" s="17" t="s">
        <v>197</v>
      </c>
      <c r="Y428" s="17" t="s">
        <v>197</v>
      </c>
      <c r="Z428" s="71">
        <v>46</v>
      </c>
      <c r="AA428" s="71">
        <v>27</v>
      </c>
      <c r="AB428" s="71">
        <v>0</v>
      </c>
      <c r="AC428" s="71">
        <v>27</v>
      </c>
      <c r="AD428" s="69">
        <v>0.45</v>
      </c>
      <c r="AE428" s="69">
        <v>0.4</v>
      </c>
      <c r="AF428" s="25" t="str">
        <f>_xlfn.XLOOKUP(F428,'TFS Details'!F:F,'TFS Details'!H:H)</f>
        <v>Blocked in PT</v>
      </c>
      <c r="AG428" s="42">
        <v>0</v>
      </c>
      <c r="AH428" s="42">
        <v>0</v>
      </c>
      <c r="AI428" s="42">
        <v>0</v>
      </c>
      <c r="AJ428" s="42">
        <v>27</v>
      </c>
      <c r="AK428" s="38">
        <f t="shared" si="39"/>
        <v>27</v>
      </c>
      <c r="AL428" s="39">
        <f t="shared" si="40"/>
        <v>0</v>
      </c>
      <c r="AM428" s="39">
        <f t="shared" si="41"/>
        <v>0</v>
      </c>
      <c r="AO428" s="25" t="str">
        <f>_xlfn.XLOOKUP(F428,'TFS Details'!F:F,'TFS Details'!I:I)</f>
        <v>SolutionDataLake</v>
      </c>
      <c r="AP428" s="25" t="str">
        <f>_xlfn.XLOOKUP(AO428,'TFS Details'!I:I,'TFS Details'!AE:AE)</f>
        <v>booshan.manjunathan</v>
      </c>
    </row>
    <row r="429" spans="1:42">
      <c r="A429" s="24" t="str">
        <f>_xlfn.XLOOKUP(F429,'TFS Details'!F:F,'TFS Details'!D:D)</f>
        <v>MDA</v>
      </c>
      <c r="B429" s="24" t="str">
        <f>_xlfn.XLOOKUP(F429,'TFS Details'!F:F,'TFS Details'!A:A)</f>
        <v>MDA IMS Personalization - PY Report (MMP Route)- May Release</v>
      </c>
      <c r="C429" s="46">
        <f>_xlfn.XLOOKUP(F429,'TFS Details'!F:F,'TFS Details'!E:E)</f>
        <v>4456095</v>
      </c>
      <c r="D429" s="51" t="s">
        <v>34</v>
      </c>
      <c r="E429" s="139" t="s">
        <v>1065</v>
      </c>
      <c r="F429" s="72">
        <v>4441820</v>
      </c>
      <c r="G429" s="115" t="s">
        <v>1012</v>
      </c>
      <c r="H429" s="17" t="s">
        <v>1031</v>
      </c>
      <c r="I429" s="52"/>
      <c r="J429" s="250" t="s">
        <v>18</v>
      </c>
      <c r="K429" s="58" t="s">
        <v>1005</v>
      </c>
      <c r="L429" s="234" t="s">
        <v>23</v>
      </c>
      <c r="V429" s="17" t="s">
        <v>204</v>
      </c>
      <c r="W429" s="234" t="s">
        <v>204</v>
      </c>
      <c r="X429" s="17" t="s">
        <v>197</v>
      </c>
      <c r="Y429" s="17" t="s">
        <v>197</v>
      </c>
      <c r="Z429" s="71">
        <v>57</v>
      </c>
      <c r="AA429" s="71">
        <v>38</v>
      </c>
      <c r="AB429" s="71">
        <v>0</v>
      </c>
      <c r="AC429" s="71">
        <v>38</v>
      </c>
      <c r="AD429" s="69">
        <v>0.6</v>
      </c>
      <c r="AE429" s="69">
        <v>0.65</v>
      </c>
      <c r="AF429" s="25" t="str">
        <f>_xlfn.XLOOKUP(F429,'TFS Details'!F:F,'TFS Details'!H:H)</f>
        <v>Blocked in PT</v>
      </c>
      <c r="AG429" s="42">
        <v>0</v>
      </c>
      <c r="AH429" s="42">
        <v>0</v>
      </c>
      <c r="AI429" s="42">
        <v>0</v>
      </c>
      <c r="AJ429" s="42">
        <v>38</v>
      </c>
      <c r="AK429" s="38">
        <f t="shared" si="39"/>
        <v>38</v>
      </c>
      <c r="AL429" s="39">
        <f t="shared" si="40"/>
        <v>0</v>
      </c>
      <c r="AM429" s="39">
        <f t="shared" si="41"/>
        <v>0</v>
      </c>
      <c r="AO429" s="25" t="str">
        <f>_xlfn.XLOOKUP(F429,'TFS Details'!F:F,'TFS Details'!I:I)</f>
        <v>SolutionDataLake</v>
      </c>
      <c r="AP429" s="25" t="str">
        <f>_xlfn.XLOOKUP(AO429,'TFS Details'!I:I,'TFS Details'!AE:AE)</f>
        <v>booshan.manjunathan</v>
      </c>
    </row>
    <row r="430" spans="1:42">
      <c r="A430" s="24" t="str">
        <f>_xlfn.XLOOKUP(F430,'TFS Details'!F:F,'TFS Details'!D:D)</f>
        <v>MDA</v>
      </c>
      <c r="B430" s="24" t="str">
        <f>_xlfn.XLOOKUP(F430,'TFS Details'!F:F,'TFS Details'!A:A)</f>
        <v>MDA IMS Personalization - PY Report (MMP Route)- May Release</v>
      </c>
      <c r="C430" s="46">
        <f>_xlfn.XLOOKUP(F430,'TFS Details'!F:F,'TFS Details'!E:E)</f>
        <v>4456095</v>
      </c>
      <c r="D430" s="51" t="s">
        <v>34</v>
      </c>
      <c r="E430" s="139" t="s">
        <v>1066</v>
      </c>
      <c r="F430" s="72">
        <v>4441824</v>
      </c>
      <c r="G430" s="115" t="s">
        <v>1004</v>
      </c>
      <c r="H430" s="115" t="s">
        <v>1008</v>
      </c>
      <c r="I430" s="52"/>
      <c r="J430" s="250" t="s">
        <v>18</v>
      </c>
      <c r="K430" s="58" t="s">
        <v>1005</v>
      </c>
      <c r="L430" s="234" t="s">
        <v>23</v>
      </c>
      <c r="P430" s="33">
        <v>0.3</v>
      </c>
      <c r="Q430" s="33">
        <v>0.22</v>
      </c>
      <c r="R430" s="33">
        <v>0.05</v>
      </c>
      <c r="S430" s="33">
        <v>0.27</v>
      </c>
      <c r="T430" s="33">
        <v>0.73</v>
      </c>
      <c r="U430" s="33">
        <v>0.73</v>
      </c>
      <c r="V430" s="17" t="s">
        <v>204</v>
      </c>
      <c r="W430" s="234" t="s">
        <v>204</v>
      </c>
      <c r="X430" s="17" t="s">
        <v>197</v>
      </c>
      <c r="Y430" s="17" t="s">
        <v>197</v>
      </c>
      <c r="Z430" s="71">
        <v>30</v>
      </c>
      <c r="AA430" s="71">
        <v>22</v>
      </c>
      <c r="AB430" s="71">
        <v>5</v>
      </c>
      <c r="AC430" s="71">
        <v>27</v>
      </c>
      <c r="AD430" s="69">
        <v>0.73</v>
      </c>
      <c r="AE430" s="69">
        <v>0.73</v>
      </c>
      <c r="AF430" s="25" t="str">
        <f>_xlfn.XLOOKUP(F430,'TFS Details'!F:F,'TFS Details'!H:H)</f>
        <v>Blocked in PT</v>
      </c>
      <c r="AG430" s="42">
        <v>0</v>
      </c>
      <c r="AH430" s="42">
        <v>0</v>
      </c>
      <c r="AI430" s="42">
        <v>27</v>
      </c>
      <c r="AJ430" s="42">
        <v>0</v>
      </c>
      <c r="AK430" s="38">
        <f>SUM(AG430:AJ430)</f>
        <v>27</v>
      </c>
      <c r="AL430" s="39">
        <f t="shared" si="40"/>
        <v>0</v>
      </c>
      <c r="AM430" s="39">
        <f t="shared" si="41"/>
        <v>0</v>
      </c>
      <c r="AN430" s="252" t="s">
        <v>1036</v>
      </c>
      <c r="AO430" s="25" t="str">
        <f>_xlfn.XLOOKUP(F430,'TFS Details'!F:F,'TFS Details'!I:I)</f>
        <v>SolutionDataLake</v>
      </c>
      <c r="AP430" s="25" t="str">
        <f>_xlfn.XLOOKUP(AO430,'TFS Details'!I:I,'TFS Details'!AE:AE)</f>
        <v>booshan.manjunathan</v>
      </c>
    </row>
    <row r="431" spans="1:42">
      <c r="A431" s="24" t="str">
        <f>_xlfn.XLOOKUP(F431,'TFS Details'!F:F,'TFS Details'!D:D)</f>
        <v>MDA</v>
      </c>
      <c r="B431" s="24" t="str">
        <f>_xlfn.XLOOKUP(F431,'TFS Details'!F:F,'TFS Details'!A:A)</f>
        <v>MDA IMS Personalization - PY Report (MMP Route)- May Release</v>
      </c>
      <c r="C431" s="46">
        <f>_xlfn.XLOOKUP(F431,'TFS Details'!F:F,'TFS Details'!E:E)</f>
        <v>4456095</v>
      </c>
      <c r="D431" s="51" t="s">
        <v>34</v>
      </c>
      <c r="E431" s="139" t="s">
        <v>1067</v>
      </c>
      <c r="F431" s="72">
        <v>4441844</v>
      </c>
      <c r="G431" s="245" t="s">
        <v>1004</v>
      </c>
      <c r="H431" s="245" t="s">
        <v>1008</v>
      </c>
      <c r="I431" s="52"/>
      <c r="J431" s="250" t="s">
        <v>18</v>
      </c>
      <c r="K431" s="58" t="s">
        <v>1005</v>
      </c>
      <c r="L431" s="234" t="s">
        <v>23</v>
      </c>
      <c r="P431" s="33">
        <v>0.3</v>
      </c>
      <c r="Q431" s="33">
        <v>0.24</v>
      </c>
      <c r="R431" s="33">
        <v>0.05</v>
      </c>
      <c r="S431" s="33">
        <v>0.24</v>
      </c>
      <c r="T431" s="33">
        <v>0.8</v>
      </c>
      <c r="U431" s="33">
        <v>0.8</v>
      </c>
      <c r="V431" s="17" t="s">
        <v>204</v>
      </c>
      <c r="W431" s="234" t="s">
        <v>204</v>
      </c>
      <c r="X431" s="17" t="s">
        <v>197</v>
      </c>
      <c r="Y431" s="17" t="s">
        <v>197</v>
      </c>
      <c r="Z431" s="71">
        <v>30</v>
      </c>
      <c r="AA431" s="71">
        <v>24</v>
      </c>
      <c r="AB431" s="71">
        <v>5</v>
      </c>
      <c r="AC431" s="71">
        <v>24</v>
      </c>
      <c r="AD431" s="69">
        <v>0.8</v>
      </c>
      <c r="AE431" s="69">
        <v>0.8</v>
      </c>
      <c r="AF431" s="25" t="str">
        <f>_xlfn.XLOOKUP(F431,'TFS Details'!F:F,'TFS Details'!H:H)</f>
        <v>Blocked in PT</v>
      </c>
      <c r="AG431" s="42">
        <v>0</v>
      </c>
      <c r="AH431" s="42">
        <v>0</v>
      </c>
      <c r="AI431" s="42">
        <v>24</v>
      </c>
      <c r="AJ431" s="42">
        <v>0</v>
      </c>
      <c r="AK431" s="38">
        <f>SUM(AG431:AJ431)</f>
        <v>24</v>
      </c>
      <c r="AL431" s="39">
        <f t="shared" si="40"/>
        <v>0</v>
      </c>
      <c r="AM431" s="39">
        <f t="shared" si="41"/>
        <v>0</v>
      </c>
      <c r="AN431" s="17" t="s">
        <v>1036</v>
      </c>
      <c r="AO431" s="25" t="str">
        <f>_xlfn.XLOOKUP(F431,'TFS Details'!F:F,'TFS Details'!I:I)</f>
        <v>SolutionDataLake</v>
      </c>
      <c r="AP431" s="25" t="str">
        <f>_xlfn.XLOOKUP(AO431,'TFS Details'!I:I,'TFS Details'!AE:AE)</f>
        <v>booshan.manjunathan</v>
      </c>
    </row>
    <row r="432" spans="1:42">
      <c r="A432" s="24" t="str">
        <f>_xlfn.XLOOKUP(F432,'TFS Details'!F:F,'TFS Details'!D:D)</f>
        <v>DFD-myISP</v>
      </c>
      <c r="B432" s="24" t="str">
        <f>_xlfn.XLOOKUP(F432,'TFS Details'!F:F,'TFS Details'!A:A)</f>
        <v>Song Compliant Update | May Scope</v>
      </c>
      <c r="C432" s="46">
        <f>_xlfn.XLOOKUP(F432,'TFS Details'!F:F,'TFS Details'!E:E)</f>
        <v>4446210</v>
      </c>
      <c r="D432" s="17" t="s">
        <v>51</v>
      </c>
      <c r="E432" s="139" t="s">
        <v>1068</v>
      </c>
      <c r="F432" s="72">
        <v>4441957</v>
      </c>
      <c r="G432" s="18" t="s">
        <v>1069</v>
      </c>
      <c r="H432" s="18" t="s">
        <v>1070</v>
      </c>
      <c r="I432" s="52" t="s">
        <v>83</v>
      </c>
      <c r="J432" s="250" t="s">
        <v>18</v>
      </c>
      <c r="K432" s="58" t="s">
        <v>1071</v>
      </c>
      <c r="L432" s="234" t="s">
        <v>45</v>
      </c>
      <c r="V432" s="17" t="s">
        <v>204</v>
      </c>
      <c r="W432" s="234" t="s">
        <v>204</v>
      </c>
      <c r="X432" s="17" t="s">
        <v>204</v>
      </c>
      <c r="Y432" s="17" t="s">
        <v>197</v>
      </c>
      <c r="Z432" s="71">
        <v>13</v>
      </c>
      <c r="AA432" s="71">
        <v>13</v>
      </c>
      <c r="AB432" s="71">
        <v>2</v>
      </c>
      <c r="AC432" s="71">
        <v>15</v>
      </c>
      <c r="AD432" s="69">
        <v>0.8</v>
      </c>
      <c r="AE432" s="69">
        <v>0.8</v>
      </c>
      <c r="AF432" s="25" t="str">
        <f>_xlfn.XLOOKUP(F432,'TFS Details'!F:F,'TFS Details'!H:H)</f>
        <v>In Development</v>
      </c>
      <c r="AG432" s="42">
        <v>0</v>
      </c>
      <c r="AH432" s="42">
        <v>0</v>
      </c>
      <c r="AI432" s="42">
        <v>0</v>
      </c>
      <c r="AJ432" s="42">
        <v>15</v>
      </c>
      <c r="AK432" s="38">
        <f t="shared" ref="AK432:AK459" si="42">SUM(AG432:AJ432)</f>
        <v>15</v>
      </c>
      <c r="AL432" s="39">
        <f t="shared" ref="AL432:AL459" si="43">IF(AG432+AH432=0,0,SUM(AG432:AH432)/AK432)</f>
        <v>0</v>
      </c>
      <c r="AM432" s="39">
        <f t="shared" ref="AM432:AM459" si="44">IF(AG432=0,0,AG432/(SUM(AG432:AI432)))</f>
        <v>0</v>
      </c>
      <c r="AO432" s="25" t="str">
        <f>_xlfn.XLOOKUP(F432,'TFS Details'!F:F,'TFS Details'!I:I)</f>
        <v>Ninjawarriors</v>
      </c>
      <c r="AP432" s="25" t="str">
        <f>_xlfn.XLOOKUP(AO432,'TFS Details'!I:I,'TFS Details'!AE:AE)</f>
        <v>pandidurai.ks</v>
      </c>
    </row>
    <row r="433" spans="1:42" ht="24">
      <c r="A433" s="24" t="str">
        <f>_xlfn.XLOOKUP(F433,'TFS Details'!F:F,'TFS Details'!D:D)</f>
        <v xml:space="preserve">DLC </v>
      </c>
      <c r="B433" s="24" t="str">
        <f>_xlfn.XLOOKUP(F433,'TFS Details'!F:F,'TFS Details'!A:A)</f>
        <v>DSP Core Solution Plan Enhancements</v>
      </c>
      <c r="C433" s="46">
        <f>_xlfn.XLOOKUP(F433,'TFS Details'!F:F,'TFS Details'!E:E)</f>
        <v>4437844</v>
      </c>
      <c r="D433" s="17" t="s">
        <v>51</v>
      </c>
      <c r="E433" s="139" t="s">
        <v>1072</v>
      </c>
      <c r="F433" s="72">
        <v>4395054</v>
      </c>
      <c r="G433" s="18" t="s">
        <v>1073</v>
      </c>
      <c r="H433" s="18" t="s">
        <v>1074</v>
      </c>
      <c r="I433" s="52" t="s">
        <v>116</v>
      </c>
      <c r="J433" s="250" t="s">
        <v>20</v>
      </c>
      <c r="K433" s="58" t="s">
        <v>1075</v>
      </c>
      <c r="L433" s="234" t="s">
        <v>981</v>
      </c>
      <c r="O433" s="273">
        <v>0.1</v>
      </c>
      <c r="V433" s="17" t="s">
        <v>204</v>
      </c>
      <c r="W433" s="234" t="s">
        <v>204</v>
      </c>
      <c r="X433" s="17" t="s">
        <v>204</v>
      </c>
      <c r="Y433" s="17" t="s">
        <v>197</v>
      </c>
      <c r="AF433" s="25" t="str">
        <f>_xlfn.XLOOKUP(F433,'TFS Details'!F:F,'TFS Details'!H:H)</f>
        <v>In Development</v>
      </c>
      <c r="AG433" s="42">
        <v>0</v>
      </c>
      <c r="AH433" s="42">
        <v>0</v>
      </c>
      <c r="AI433" s="42">
        <v>0</v>
      </c>
      <c r="AJ433" s="42">
        <v>13</v>
      </c>
      <c r="AK433" s="38">
        <f t="shared" si="42"/>
        <v>13</v>
      </c>
      <c r="AL433" s="39">
        <f t="shared" si="43"/>
        <v>0</v>
      </c>
      <c r="AM433" s="39">
        <f t="shared" si="44"/>
        <v>0</v>
      </c>
      <c r="AO433" s="25" t="str">
        <f>_xlfn.XLOOKUP(F433,'TFS Details'!F:F,'TFS Details'!I:I)</f>
        <v>Ninjawarriors</v>
      </c>
      <c r="AP433" s="25" t="str">
        <f>_xlfn.XLOOKUP(AO433,'TFS Details'!I:I,'TFS Details'!AE:AE)</f>
        <v>pandidurai.ks</v>
      </c>
    </row>
    <row r="434" spans="1:42">
      <c r="A434" s="24" t="str">
        <f>_xlfn.XLOOKUP(F434,'TFS Details'!F:F,'TFS Details'!D:D)</f>
        <v>DSP</v>
      </c>
      <c r="B434" s="24" t="str">
        <f>_xlfn.XLOOKUP(F434,'TFS Details'!F:F,'TFS Details'!A:A)</f>
        <v>DSP Core Solution Plan Enhancements</v>
      </c>
      <c r="C434" s="46">
        <f>_xlfn.XLOOKUP(F434,'TFS Details'!F:F,'TFS Details'!E:E)</f>
        <v>4437844</v>
      </c>
      <c r="D434" s="17" t="s">
        <v>51</v>
      </c>
      <c r="E434" s="139" t="s">
        <v>1076</v>
      </c>
      <c r="F434" s="72">
        <v>4415929</v>
      </c>
      <c r="G434" s="18" t="s">
        <v>1073</v>
      </c>
      <c r="H434" s="18" t="s">
        <v>1074</v>
      </c>
      <c r="I434" s="52" t="s">
        <v>116</v>
      </c>
      <c r="J434" s="250" t="s">
        <v>20</v>
      </c>
      <c r="K434" s="58" t="s">
        <v>1077</v>
      </c>
      <c r="L434" s="234" t="s">
        <v>822</v>
      </c>
      <c r="O434" s="273">
        <v>0.1</v>
      </c>
      <c r="V434" s="17" t="s">
        <v>204</v>
      </c>
      <c r="W434" s="234" t="s">
        <v>204</v>
      </c>
      <c r="X434" s="17" t="s">
        <v>204</v>
      </c>
      <c r="Y434" s="17" t="s">
        <v>197</v>
      </c>
      <c r="AF434" s="25" t="str">
        <f>_xlfn.XLOOKUP(F434,'TFS Details'!F:F,'TFS Details'!H:H)</f>
        <v>In Development</v>
      </c>
      <c r="AG434" s="42">
        <v>0</v>
      </c>
      <c r="AH434" s="42">
        <v>0</v>
      </c>
      <c r="AI434" s="42">
        <v>0</v>
      </c>
      <c r="AJ434" s="42">
        <v>16</v>
      </c>
      <c r="AK434" s="38">
        <f t="shared" si="42"/>
        <v>16</v>
      </c>
      <c r="AL434" s="39">
        <f t="shared" si="43"/>
        <v>0</v>
      </c>
      <c r="AM434" s="39">
        <f t="shared" si="44"/>
        <v>0</v>
      </c>
      <c r="AO434" s="25" t="str">
        <f>_xlfn.XLOOKUP(F434,'TFS Details'!F:F,'TFS Details'!I:I)</f>
        <v>Ninjawarriors</v>
      </c>
      <c r="AP434" s="25" t="str">
        <f>_xlfn.XLOOKUP(AO434,'TFS Details'!I:I,'TFS Details'!AE:AE)</f>
        <v>pandidurai.ks</v>
      </c>
    </row>
    <row r="435" spans="1:42">
      <c r="A435" s="24" t="str">
        <f>_xlfn.XLOOKUP(F435,'TFS Details'!F:F,'TFS Details'!D:D)</f>
        <v>DSP</v>
      </c>
      <c r="B435" s="24" t="str">
        <f>_xlfn.XLOOKUP(F435,'TFS Details'!F:F,'TFS Details'!A:A)</f>
        <v>DSP MDA May Enhancements</v>
      </c>
      <c r="C435" s="46">
        <f>_xlfn.XLOOKUP(F435,'TFS Details'!F:F,'TFS Details'!E:E)</f>
        <v>4437200</v>
      </c>
      <c r="D435" s="17" t="s">
        <v>51</v>
      </c>
      <c r="E435" s="139" t="s">
        <v>1078</v>
      </c>
      <c r="F435" s="72">
        <v>4423220</v>
      </c>
      <c r="G435" s="18" t="s">
        <v>1079</v>
      </c>
      <c r="H435" s="18" t="s">
        <v>223</v>
      </c>
      <c r="I435" s="52" t="s">
        <v>1080</v>
      </c>
      <c r="J435" s="250" t="s">
        <v>18</v>
      </c>
      <c r="K435" s="58" t="s">
        <v>1081</v>
      </c>
      <c r="L435" s="234" t="s">
        <v>72</v>
      </c>
      <c r="V435" s="17" t="s">
        <v>204</v>
      </c>
      <c r="W435" s="17" t="s">
        <v>216</v>
      </c>
      <c r="X435" s="17" t="s">
        <v>197</v>
      </c>
      <c r="Y435" s="17" t="s">
        <v>197</v>
      </c>
      <c r="Z435" s="71">
        <v>35</v>
      </c>
      <c r="AF435" s="25" t="str">
        <f>_xlfn.XLOOKUP(F435,'TFS Details'!F:F,'TFS Details'!H:H)</f>
        <v>Active</v>
      </c>
      <c r="AG435" s="42">
        <v>0</v>
      </c>
      <c r="AH435" s="42">
        <v>0</v>
      </c>
      <c r="AI435" s="42">
        <v>0</v>
      </c>
      <c r="AJ435" s="42">
        <v>20</v>
      </c>
      <c r="AK435" s="38">
        <f t="shared" si="42"/>
        <v>20</v>
      </c>
      <c r="AL435" s="39">
        <f t="shared" si="43"/>
        <v>0</v>
      </c>
      <c r="AM435" s="39">
        <f t="shared" si="44"/>
        <v>0</v>
      </c>
      <c r="AO435" s="25" t="str">
        <f>_xlfn.XLOOKUP(F435,'TFS Details'!F:F,'TFS Details'!I:I)</f>
        <v>Ninjawarriors</v>
      </c>
      <c r="AP435" s="25" t="str">
        <f>_xlfn.XLOOKUP(AO435,'TFS Details'!I:I,'TFS Details'!AE:AE)</f>
        <v>pandidurai.ks</v>
      </c>
    </row>
    <row r="436" spans="1:42">
      <c r="A436" s="24" t="str">
        <f>_xlfn.XLOOKUP(F436,'TFS Details'!F:F,'TFS Details'!D:D)</f>
        <v>DSP</v>
      </c>
      <c r="B436" s="24" t="str">
        <f>_xlfn.XLOOKUP(F436,'TFS Details'!F:F,'TFS Details'!A:A)</f>
        <v>DSP MDA May Enhancements</v>
      </c>
      <c r="C436" s="46">
        <f>_xlfn.XLOOKUP(F436,'TFS Details'!F:F,'TFS Details'!E:E)</f>
        <v>4437200</v>
      </c>
      <c r="D436" s="17" t="s">
        <v>51</v>
      </c>
      <c r="E436" s="139" t="s">
        <v>1082</v>
      </c>
      <c r="F436" s="72">
        <v>4423221</v>
      </c>
      <c r="G436" s="18" t="s">
        <v>1079</v>
      </c>
      <c r="H436" s="18" t="s">
        <v>223</v>
      </c>
      <c r="I436" s="52" t="s">
        <v>1080</v>
      </c>
      <c r="J436" s="250" t="s">
        <v>18</v>
      </c>
      <c r="K436" s="58" t="s">
        <v>1081</v>
      </c>
      <c r="L436" s="234" t="s">
        <v>72</v>
      </c>
      <c r="V436" s="17" t="s">
        <v>204</v>
      </c>
      <c r="W436" s="17" t="s">
        <v>216</v>
      </c>
      <c r="X436" s="17" t="s">
        <v>197</v>
      </c>
      <c r="Y436" s="17" t="s">
        <v>197</v>
      </c>
      <c r="Z436" s="71">
        <v>37</v>
      </c>
      <c r="AF436" s="25" t="str">
        <f>_xlfn.XLOOKUP(F436,'TFS Details'!F:F,'TFS Details'!H:H)</f>
        <v>In Development</v>
      </c>
      <c r="AG436" s="42">
        <v>0</v>
      </c>
      <c r="AH436" s="42">
        <v>0</v>
      </c>
      <c r="AI436" s="42">
        <v>0</v>
      </c>
      <c r="AJ436" s="42">
        <v>22</v>
      </c>
      <c r="AK436" s="38">
        <f t="shared" si="42"/>
        <v>22</v>
      </c>
      <c r="AL436" s="39">
        <f t="shared" si="43"/>
        <v>0</v>
      </c>
      <c r="AM436" s="39">
        <f t="shared" si="44"/>
        <v>0</v>
      </c>
      <c r="AO436" s="25" t="str">
        <f>_xlfn.XLOOKUP(F436,'TFS Details'!F:F,'TFS Details'!I:I)</f>
        <v>Ninjawarriors</v>
      </c>
      <c r="AP436" s="25" t="str">
        <f>_xlfn.XLOOKUP(AO436,'TFS Details'!I:I,'TFS Details'!AE:AE)</f>
        <v>pandidurai.ks</v>
      </c>
    </row>
    <row r="437" spans="1:42">
      <c r="A437" s="24" t="str">
        <f>_xlfn.XLOOKUP(F437,'TFS Details'!F:F,'TFS Details'!D:D)</f>
        <v>DSP</v>
      </c>
      <c r="B437" s="24" t="str">
        <f>_xlfn.XLOOKUP(F437,'TFS Details'!F:F,'TFS Details'!A:A)</f>
        <v>DSP MDA May Enhancements</v>
      </c>
      <c r="C437" s="46">
        <f>_xlfn.XLOOKUP(F437,'TFS Details'!F:F,'TFS Details'!E:E)</f>
        <v>4437200</v>
      </c>
      <c r="D437" s="17" t="s">
        <v>51</v>
      </c>
      <c r="E437" s="139" t="s">
        <v>1083</v>
      </c>
      <c r="F437" s="72">
        <v>4423222</v>
      </c>
      <c r="G437" s="18" t="s">
        <v>1079</v>
      </c>
      <c r="H437" s="18" t="s">
        <v>223</v>
      </c>
      <c r="I437" s="52" t="s">
        <v>1080</v>
      </c>
      <c r="J437" s="250" t="s">
        <v>18</v>
      </c>
      <c r="K437" s="58" t="s">
        <v>1081</v>
      </c>
      <c r="L437" s="234" t="s">
        <v>72</v>
      </c>
      <c r="V437" s="17" t="s">
        <v>204</v>
      </c>
      <c r="W437" s="17" t="s">
        <v>216</v>
      </c>
      <c r="X437" s="17" t="s">
        <v>197</v>
      </c>
      <c r="Y437" s="17" t="s">
        <v>197</v>
      </c>
      <c r="Z437" s="71">
        <v>37</v>
      </c>
      <c r="AF437" s="25" t="str">
        <f>_xlfn.XLOOKUP(F437,'TFS Details'!F:F,'TFS Details'!H:H)</f>
        <v>Active</v>
      </c>
      <c r="AG437" s="42">
        <v>0</v>
      </c>
      <c r="AH437" s="42">
        <v>0</v>
      </c>
      <c r="AI437" s="42">
        <v>0</v>
      </c>
      <c r="AJ437" s="42">
        <v>22</v>
      </c>
      <c r="AK437" s="38">
        <f t="shared" si="42"/>
        <v>22</v>
      </c>
      <c r="AL437" s="39">
        <f t="shared" si="43"/>
        <v>0</v>
      </c>
      <c r="AM437" s="39">
        <f t="shared" si="44"/>
        <v>0</v>
      </c>
      <c r="AO437" s="25" t="str">
        <f>_xlfn.XLOOKUP(F437,'TFS Details'!F:F,'TFS Details'!I:I)</f>
        <v>Ninjawarriors</v>
      </c>
      <c r="AP437" s="25" t="str">
        <f>_xlfn.XLOOKUP(AO437,'TFS Details'!I:I,'TFS Details'!AE:AE)</f>
        <v>pandidurai.ks</v>
      </c>
    </row>
    <row r="438" spans="1:42">
      <c r="A438" s="24" t="str">
        <f>_xlfn.XLOOKUP(F438,'TFS Details'!F:F,'TFS Details'!D:D)</f>
        <v>DSP</v>
      </c>
      <c r="B438" s="24" t="str">
        <f>_xlfn.XLOOKUP(F438,'TFS Details'!F:F,'TFS Details'!A:A)</f>
        <v>DSP Core Solution Plan Enhancements</v>
      </c>
      <c r="C438" s="46">
        <f>_xlfn.XLOOKUP(F438,'TFS Details'!F:F,'TFS Details'!E:E)</f>
        <v>4437844</v>
      </c>
      <c r="D438" s="17" t="s">
        <v>51</v>
      </c>
      <c r="E438" s="139" t="s">
        <v>1084</v>
      </c>
      <c r="F438" s="72">
        <v>4395048</v>
      </c>
      <c r="G438" s="18" t="s">
        <v>1079</v>
      </c>
      <c r="H438" s="18" t="s">
        <v>223</v>
      </c>
      <c r="I438" s="52" t="s">
        <v>1080</v>
      </c>
      <c r="J438" s="250" t="s">
        <v>20</v>
      </c>
      <c r="K438" s="58" t="s">
        <v>1077</v>
      </c>
      <c r="L438" s="234" t="s">
        <v>822</v>
      </c>
      <c r="M438" s="20" t="s">
        <v>461</v>
      </c>
      <c r="O438" s="273">
        <v>0.15</v>
      </c>
      <c r="V438" s="17" t="s">
        <v>204</v>
      </c>
      <c r="W438" s="17" t="s">
        <v>216</v>
      </c>
      <c r="X438" s="17" t="s">
        <v>197</v>
      </c>
      <c r="Y438" s="17" t="s">
        <v>216</v>
      </c>
      <c r="Z438" s="71">
        <v>32</v>
      </c>
      <c r="AA438" s="71">
        <v>25</v>
      </c>
      <c r="AB438" s="71">
        <v>25</v>
      </c>
      <c r="AC438" s="71">
        <v>25</v>
      </c>
      <c r="AD438" s="69">
        <v>0.8</v>
      </c>
      <c r="AE438" s="69">
        <v>0.8</v>
      </c>
      <c r="AF438" s="25" t="str">
        <f>_xlfn.XLOOKUP(F438,'TFS Details'!F:F,'TFS Details'!H:H)</f>
        <v>PT In Test</v>
      </c>
      <c r="AG438" s="42">
        <v>22</v>
      </c>
      <c r="AH438" s="42">
        <v>3</v>
      </c>
      <c r="AI438" s="42">
        <v>0</v>
      </c>
      <c r="AJ438" s="42">
        <v>0</v>
      </c>
      <c r="AK438" s="38">
        <f t="shared" si="42"/>
        <v>25</v>
      </c>
      <c r="AL438" s="39">
        <f t="shared" si="43"/>
        <v>1</v>
      </c>
      <c r="AM438" s="39">
        <f t="shared" si="44"/>
        <v>0.88</v>
      </c>
      <c r="AN438" s="17" t="s">
        <v>1085</v>
      </c>
      <c r="AO438" s="25" t="str">
        <f>_xlfn.XLOOKUP(F438,'TFS Details'!F:F,'TFS Details'!I:I)</f>
        <v>Ninjawarriors</v>
      </c>
      <c r="AP438" s="25" t="str">
        <f>_xlfn.XLOOKUP(AO438,'TFS Details'!I:I,'TFS Details'!AE:AE)</f>
        <v>pandidurai.ks</v>
      </c>
    </row>
    <row r="439" spans="1:42" ht="24">
      <c r="A439" s="24" t="str">
        <f>_xlfn.XLOOKUP(F439,'TFS Details'!F:F,'TFS Details'!D:D)</f>
        <v>DSP</v>
      </c>
      <c r="B439" s="24" t="str">
        <f>_xlfn.XLOOKUP(F439,'TFS Details'!F:F,'TFS Details'!A:A)</f>
        <v>DSP Core Solution Plan Enhancements</v>
      </c>
      <c r="C439" s="46">
        <f>_xlfn.XLOOKUP(F439,'TFS Details'!F:F,'TFS Details'!E:E)</f>
        <v>4437844</v>
      </c>
      <c r="D439" s="17" t="s">
        <v>51</v>
      </c>
      <c r="E439" s="139" t="s">
        <v>1086</v>
      </c>
      <c r="F439" s="72">
        <v>4395051</v>
      </c>
      <c r="G439" s="18" t="s">
        <v>1073</v>
      </c>
      <c r="H439" s="18" t="s">
        <v>1074</v>
      </c>
      <c r="I439" s="52" t="s">
        <v>116</v>
      </c>
      <c r="J439" s="66" t="s">
        <v>20</v>
      </c>
      <c r="K439" s="58" t="s">
        <v>1087</v>
      </c>
      <c r="L439" s="234" t="s">
        <v>1088</v>
      </c>
      <c r="O439" s="273">
        <v>0.1</v>
      </c>
      <c r="V439" s="17" t="s">
        <v>204</v>
      </c>
      <c r="W439" s="234" t="s">
        <v>204</v>
      </c>
      <c r="X439" s="17" t="s">
        <v>204</v>
      </c>
      <c r="Y439" s="17" t="s">
        <v>197</v>
      </c>
      <c r="AF439" s="25" t="str">
        <f>_xlfn.XLOOKUP(F439,'TFS Details'!F:F,'TFS Details'!H:H)</f>
        <v>Ready to Deploy</v>
      </c>
      <c r="AG439" s="42">
        <v>0</v>
      </c>
      <c r="AH439" s="42">
        <v>0</v>
      </c>
      <c r="AI439" s="42">
        <v>0</v>
      </c>
      <c r="AJ439" s="42">
        <v>13</v>
      </c>
      <c r="AK439" s="38">
        <f t="shared" si="42"/>
        <v>13</v>
      </c>
      <c r="AL439" s="39">
        <f t="shared" si="43"/>
        <v>0</v>
      </c>
      <c r="AM439" s="39">
        <f t="shared" si="44"/>
        <v>0</v>
      </c>
      <c r="AO439" s="25" t="str">
        <f>_xlfn.XLOOKUP(F439,'TFS Details'!F:F,'TFS Details'!I:I)</f>
        <v>Pirates</v>
      </c>
      <c r="AP439" s="25" t="str">
        <f>_xlfn.XLOOKUP(AO439,'TFS Details'!I:I,'TFS Details'!AE:AE)</f>
        <v>pandidurai.ks</v>
      </c>
    </row>
    <row r="440" spans="1:42">
      <c r="A440" s="24" t="str">
        <f>_xlfn.XLOOKUP(F440,'TFS Details'!F:F,'TFS Details'!D:D)</f>
        <v>DSP</v>
      </c>
      <c r="B440" s="24" t="str">
        <f>_xlfn.XLOOKUP(F440,'TFS Details'!F:F,'TFS Details'!A:A)</f>
        <v>DSP Core Solution Plan Enhancements</v>
      </c>
      <c r="C440" s="46">
        <f>_xlfn.XLOOKUP(F440,'TFS Details'!F:F,'TFS Details'!E:E)</f>
        <v>4437844</v>
      </c>
      <c r="D440" s="17" t="s">
        <v>51</v>
      </c>
      <c r="E440" s="139" t="s">
        <v>1089</v>
      </c>
      <c r="F440" s="72">
        <v>4395052</v>
      </c>
      <c r="G440" s="18" t="s">
        <v>1073</v>
      </c>
      <c r="H440" s="18" t="s">
        <v>1074</v>
      </c>
      <c r="I440" s="52" t="s">
        <v>116</v>
      </c>
      <c r="J440" s="250" t="s">
        <v>20</v>
      </c>
      <c r="K440" s="58" t="s">
        <v>1077</v>
      </c>
      <c r="L440" s="234" t="s">
        <v>822</v>
      </c>
      <c r="O440" s="273">
        <v>0.1</v>
      </c>
      <c r="V440" s="17" t="s">
        <v>204</v>
      </c>
      <c r="W440" s="234" t="s">
        <v>204</v>
      </c>
      <c r="X440" s="17" t="s">
        <v>204</v>
      </c>
      <c r="Y440" s="17" t="s">
        <v>216</v>
      </c>
      <c r="AF440" s="25" t="str">
        <f>_xlfn.XLOOKUP(F440,'TFS Details'!F:F,'TFS Details'!H:H)</f>
        <v>Ready for Test</v>
      </c>
      <c r="AG440" s="42">
        <v>12</v>
      </c>
      <c r="AH440" s="42">
        <v>0</v>
      </c>
      <c r="AI440" s="42">
        <v>0</v>
      </c>
      <c r="AJ440" s="42">
        <v>4</v>
      </c>
      <c r="AK440" s="38">
        <f>SUM(AG440:AJ440)</f>
        <v>16</v>
      </c>
      <c r="AL440" s="39">
        <f t="shared" si="43"/>
        <v>0.75</v>
      </c>
      <c r="AM440" s="39">
        <f t="shared" si="44"/>
        <v>1</v>
      </c>
      <c r="AO440" s="25" t="str">
        <f>_xlfn.XLOOKUP(F440,'TFS Details'!F:F,'TFS Details'!I:I)</f>
        <v>Ninjawarriors</v>
      </c>
      <c r="AP440" s="25" t="str">
        <f>_xlfn.XLOOKUP(AO440,'TFS Details'!I:I,'TFS Details'!AE:AE)</f>
        <v>pandidurai.ks</v>
      </c>
    </row>
    <row r="441" spans="1:42">
      <c r="A441" s="24" t="str">
        <f>_xlfn.XLOOKUP(F441,'TFS Details'!F:F,'TFS Details'!D:D)</f>
        <v>DSP</v>
      </c>
      <c r="B441" s="24" t="str">
        <f>_xlfn.XLOOKUP(F441,'TFS Details'!F:F,'TFS Details'!A:A)</f>
        <v>DSP Core Solution Plan Enhancements</v>
      </c>
      <c r="C441" s="46">
        <f>_xlfn.XLOOKUP(F441,'TFS Details'!F:F,'TFS Details'!E:E)</f>
        <v>4437844</v>
      </c>
      <c r="D441" s="17" t="s">
        <v>51</v>
      </c>
      <c r="E441" s="139" t="s">
        <v>1090</v>
      </c>
      <c r="F441" s="72">
        <v>4442821</v>
      </c>
      <c r="G441" s="18" t="s">
        <v>1079</v>
      </c>
      <c r="H441" s="18" t="s">
        <v>223</v>
      </c>
      <c r="I441" s="52" t="s">
        <v>1080</v>
      </c>
      <c r="J441" s="250" t="s">
        <v>20</v>
      </c>
      <c r="K441" s="58" t="s">
        <v>1091</v>
      </c>
      <c r="L441" s="234" t="s">
        <v>822</v>
      </c>
      <c r="M441" s="20" t="s">
        <v>461</v>
      </c>
      <c r="O441" s="273">
        <v>0.15</v>
      </c>
      <c r="V441" s="17" t="s">
        <v>204</v>
      </c>
      <c r="W441" s="17" t="s">
        <v>216</v>
      </c>
      <c r="X441" s="17" t="s">
        <v>197</v>
      </c>
      <c r="Y441" s="17" t="s">
        <v>216</v>
      </c>
      <c r="Z441" s="71">
        <v>35</v>
      </c>
      <c r="AF441" s="25" t="str">
        <f>_xlfn.XLOOKUP(F441,'TFS Details'!F:F,'TFS Details'!H:H)</f>
        <v>PT In Test</v>
      </c>
      <c r="AG441" s="42">
        <v>0</v>
      </c>
      <c r="AH441" s="42">
        <v>0</v>
      </c>
      <c r="AI441" s="42">
        <v>0</v>
      </c>
      <c r="AJ441" s="42">
        <v>22</v>
      </c>
      <c r="AK441" s="38">
        <f t="shared" si="42"/>
        <v>22</v>
      </c>
      <c r="AL441" s="39">
        <f t="shared" si="43"/>
        <v>0</v>
      </c>
      <c r="AM441" s="39">
        <f t="shared" si="44"/>
        <v>0</v>
      </c>
      <c r="AO441" s="25" t="str">
        <f>_xlfn.XLOOKUP(F441,'TFS Details'!F:F,'TFS Details'!I:I)</f>
        <v>Ninjawarriors</v>
      </c>
      <c r="AP441" s="25" t="str">
        <f>_xlfn.XLOOKUP(AO441,'TFS Details'!I:I,'TFS Details'!AE:AE)</f>
        <v>pandidurai.ks</v>
      </c>
    </row>
    <row r="442" spans="1:42">
      <c r="A442" s="24" t="str">
        <f>_xlfn.XLOOKUP(F442,'TFS Details'!F:F,'TFS Details'!D:D)</f>
        <v>DSP</v>
      </c>
      <c r="B442" s="24" t="str">
        <f>_xlfn.XLOOKUP(F442,'TFS Details'!F:F,'TFS Details'!A:A)</f>
        <v>DSP Core Solution Plan Enhancements</v>
      </c>
      <c r="C442" s="46">
        <f>_xlfn.XLOOKUP(F442,'TFS Details'!F:F,'TFS Details'!E:E)</f>
        <v>4437844</v>
      </c>
      <c r="D442" s="17" t="s">
        <v>51</v>
      </c>
      <c r="E442" s="139" t="s">
        <v>1092</v>
      </c>
      <c r="F442" s="72">
        <v>4443305</v>
      </c>
      <c r="G442" s="18" t="s">
        <v>1073</v>
      </c>
      <c r="H442" s="18" t="s">
        <v>1074</v>
      </c>
      <c r="I442" s="52" t="s">
        <v>116</v>
      </c>
      <c r="J442" s="250" t="s">
        <v>20</v>
      </c>
      <c r="K442" s="58" t="s">
        <v>1077</v>
      </c>
      <c r="L442" s="234" t="s">
        <v>822</v>
      </c>
      <c r="O442" s="273">
        <v>0.1</v>
      </c>
      <c r="V442" s="17" t="s">
        <v>204</v>
      </c>
      <c r="W442" s="234" t="s">
        <v>204</v>
      </c>
      <c r="X442" s="17" t="s">
        <v>204</v>
      </c>
      <c r="Y442" s="17" t="s">
        <v>216</v>
      </c>
      <c r="Z442" s="71" t="s">
        <v>1093</v>
      </c>
      <c r="AF442" s="25" t="str">
        <f>_xlfn.XLOOKUP(F442,'TFS Details'!F:F,'TFS Details'!H:H)</f>
        <v>Ready for Test</v>
      </c>
      <c r="AG442" s="42">
        <v>12</v>
      </c>
      <c r="AH442" s="42">
        <v>0</v>
      </c>
      <c r="AI442" s="42">
        <v>0</v>
      </c>
      <c r="AJ442" s="42">
        <v>0</v>
      </c>
      <c r="AK442" s="38">
        <f>SUM(AG442:AJ442)</f>
        <v>12</v>
      </c>
      <c r="AL442" s="39">
        <f t="shared" si="43"/>
        <v>1</v>
      </c>
      <c r="AM442" s="39">
        <f t="shared" si="44"/>
        <v>1</v>
      </c>
      <c r="AO442" s="25" t="str">
        <f>_xlfn.XLOOKUP(F442,'TFS Details'!F:F,'TFS Details'!I:I)</f>
        <v>Pirates</v>
      </c>
      <c r="AP442" s="25" t="str">
        <f>_xlfn.XLOOKUP(AO442,'TFS Details'!I:I,'TFS Details'!AE:AE)</f>
        <v>pandidurai.ks</v>
      </c>
    </row>
    <row r="443" spans="1:42">
      <c r="A443" s="24" t="str">
        <f>_xlfn.XLOOKUP(F443,'TFS Details'!F:F,'TFS Details'!D:D)</f>
        <v>DSP</v>
      </c>
      <c r="B443" s="24" t="str">
        <f>_xlfn.XLOOKUP(F443,'TFS Details'!F:F,'TFS Details'!A:A)</f>
        <v>DSP Core Solution Plan Enhancements</v>
      </c>
      <c r="C443" s="46">
        <f>_xlfn.XLOOKUP(F443,'TFS Details'!F:F,'TFS Details'!E:E)</f>
        <v>4437844</v>
      </c>
      <c r="D443" s="17" t="s">
        <v>51</v>
      </c>
      <c r="E443" s="139" t="s">
        <v>1094</v>
      </c>
      <c r="F443" s="72">
        <v>4443377</v>
      </c>
      <c r="G443" s="18" t="s">
        <v>1095</v>
      </c>
      <c r="H443" s="18" t="s">
        <v>1096</v>
      </c>
      <c r="I443" s="52" t="s">
        <v>133</v>
      </c>
      <c r="J443" s="66" t="s">
        <v>1</v>
      </c>
      <c r="L443" s="234"/>
      <c r="M443" s="20" t="s">
        <v>461</v>
      </c>
      <c r="O443" s="273">
        <v>0.2</v>
      </c>
      <c r="V443" s="17" t="s">
        <v>204</v>
      </c>
      <c r="W443" s="234" t="s">
        <v>204</v>
      </c>
      <c r="X443" s="17" t="s">
        <v>204</v>
      </c>
      <c r="Y443" s="17" t="s">
        <v>204</v>
      </c>
      <c r="Z443" s="71">
        <v>12</v>
      </c>
      <c r="AA443" s="71">
        <v>12</v>
      </c>
      <c r="AB443" s="71">
        <v>0</v>
      </c>
      <c r="AC443" s="71">
        <v>12</v>
      </c>
      <c r="AD443" s="69">
        <v>1</v>
      </c>
      <c r="AE443" s="69">
        <v>1</v>
      </c>
      <c r="AF443" s="25" t="str">
        <f>_xlfn.XLOOKUP(F443,'TFS Details'!F:F,'TFS Details'!H:H)</f>
        <v>PT In Test</v>
      </c>
      <c r="AG443" s="42">
        <v>12</v>
      </c>
      <c r="AH443" s="42">
        <v>0</v>
      </c>
      <c r="AI443" s="42">
        <v>0</v>
      </c>
      <c r="AJ443" s="42">
        <v>0</v>
      </c>
      <c r="AK443" s="38">
        <v>12</v>
      </c>
      <c r="AL443" s="39">
        <f t="shared" si="43"/>
        <v>1</v>
      </c>
      <c r="AM443" s="39">
        <f t="shared" si="44"/>
        <v>1</v>
      </c>
      <c r="AN443" s="17" t="s">
        <v>1097</v>
      </c>
      <c r="AO443" s="25" t="str">
        <f>_xlfn.XLOOKUP(F443,'TFS Details'!F:F,'TFS Details'!I:I)</f>
        <v>Pirates</v>
      </c>
      <c r="AP443" s="25" t="str">
        <f>_xlfn.XLOOKUP(AO443,'TFS Details'!I:I,'TFS Details'!AE:AE)</f>
        <v>pandidurai.ks</v>
      </c>
    </row>
    <row r="444" spans="1:42">
      <c r="A444" s="24" t="str">
        <f>_xlfn.XLOOKUP(F444,'TFS Details'!F:F,'TFS Details'!D:D)</f>
        <v>DSP</v>
      </c>
      <c r="B444" s="24" t="str">
        <f>_xlfn.XLOOKUP(F444,'TFS Details'!F:F,'TFS Details'!A:A)</f>
        <v>DSP Core Solution Plan Enhancements</v>
      </c>
      <c r="C444" s="46">
        <f>_xlfn.XLOOKUP(F444,'TFS Details'!F:F,'TFS Details'!E:E)</f>
        <v>4437844</v>
      </c>
      <c r="D444" s="17" t="s">
        <v>51</v>
      </c>
      <c r="E444" s="139" t="s">
        <v>1098</v>
      </c>
      <c r="F444" s="72">
        <v>4443792</v>
      </c>
      <c r="G444" s="18" t="s">
        <v>1099</v>
      </c>
      <c r="H444" s="18" t="s">
        <v>1100</v>
      </c>
      <c r="I444" s="52" t="s">
        <v>71</v>
      </c>
      <c r="J444" s="250" t="s">
        <v>18</v>
      </c>
      <c r="K444" s="58" t="s">
        <v>1101</v>
      </c>
      <c r="L444" s="234" t="s">
        <v>72</v>
      </c>
      <c r="M444" s="20" t="s">
        <v>311</v>
      </c>
      <c r="V444" s="17" t="s">
        <v>216</v>
      </c>
      <c r="W444" s="234" t="s">
        <v>204</v>
      </c>
      <c r="X444" s="17" t="s">
        <v>197</v>
      </c>
      <c r="Y444" s="17" t="s">
        <v>197</v>
      </c>
      <c r="AF444" s="25" t="str">
        <f>_xlfn.XLOOKUP(F444,'TFS Details'!F:F,'TFS Details'!H:H)</f>
        <v>In Development</v>
      </c>
      <c r="AG444" s="42">
        <v>0</v>
      </c>
      <c r="AH444" s="42">
        <v>0</v>
      </c>
      <c r="AI444" s="42">
        <v>0</v>
      </c>
      <c r="AJ444" s="42">
        <v>0</v>
      </c>
      <c r="AK444" s="38">
        <f t="shared" si="42"/>
        <v>0</v>
      </c>
      <c r="AL444" s="39">
        <f t="shared" si="43"/>
        <v>0</v>
      </c>
      <c r="AM444" s="39">
        <f t="shared" si="44"/>
        <v>0</v>
      </c>
      <c r="AO444" s="25" t="str">
        <f>_xlfn.XLOOKUP(F444,'TFS Details'!F:F,'TFS Details'!I:I)</f>
        <v>Pixel Pioneers</v>
      </c>
      <c r="AP444" s="25" t="str">
        <f>_xlfn.XLOOKUP(AO444,'TFS Details'!I:I,'TFS Details'!AE:AE)</f>
        <v>pandidurai.ks</v>
      </c>
    </row>
    <row r="445" spans="1:42">
      <c r="A445" s="24" t="str">
        <f>_xlfn.XLOOKUP(F445,'TFS Details'!F:F,'TFS Details'!D:D)</f>
        <v>DSP</v>
      </c>
      <c r="B445" s="24" t="str">
        <f>_xlfn.XLOOKUP(F445,'TFS Details'!F:F,'TFS Details'!A:A)</f>
        <v>DSP Core Solution Plan Enhancements</v>
      </c>
      <c r="C445" s="46">
        <f>_xlfn.XLOOKUP(F445,'TFS Details'!F:F,'TFS Details'!E:E)</f>
        <v>4437844</v>
      </c>
      <c r="D445" s="17" t="s">
        <v>51</v>
      </c>
      <c r="E445" s="139" t="s">
        <v>1102</v>
      </c>
      <c r="F445" s="72">
        <v>4438699</v>
      </c>
      <c r="G445" s="18" t="s">
        <v>231</v>
      </c>
      <c r="H445" s="106" t="s">
        <v>665</v>
      </c>
      <c r="I445" s="52" t="s">
        <v>233</v>
      </c>
      <c r="J445" s="250" t="s">
        <v>20</v>
      </c>
      <c r="K445" s="58" t="s">
        <v>1103</v>
      </c>
      <c r="L445" s="234" t="s">
        <v>822</v>
      </c>
      <c r="M445" s="20" t="s">
        <v>311</v>
      </c>
      <c r="O445" s="273">
        <v>0</v>
      </c>
      <c r="V445" s="17" t="s">
        <v>204</v>
      </c>
      <c r="W445" s="234" t="s">
        <v>204</v>
      </c>
      <c r="X445" s="17" t="s">
        <v>204</v>
      </c>
      <c r="Y445" s="17" t="s">
        <v>197</v>
      </c>
      <c r="AF445" s="25" t="str">
        <f>_xlfn.XLOOKUP(F445,'TFS Details'!F:F,'TFS Details'!H:H)</f>
        <v>Active</v>
      </c>
      <c r="AG445" s="42">
        <v>0</v>
      </c>
      <c r="AH445" s="42">
        <v>0</v>
      </c>
      <c r="AI445" s="42">
        <v>0</v>
      </c>
      <c r="AJ445" s="42">
        <v>6</v>
      </c>
      <c r="AK445" s="38">
        <f t="shared" si="42"/>
        <v>6</v>
      </c>
      <c r="AL445" s="39">
        <f t="shared" si="43"/>
        <v>0</v>
      </c>
      <c r="AM445" s="39">
        <f t="shared" si="44"/>
        <v>0</v>
      </c>
      <c r="AO445" s="25" t="str">
        <f>_xlfn.XLOOKUP(F445,'TFS Details'!F:F,'TFS Details'!I:I)</f>
        <v>Ninjawarriors</v>
      </c>
      <c r="AP445" s="25" t="str">
        <f>_xlfn.XLOOKUP(AO445,'TFS Details'!I:I,'TFS Details'!AE:AE)</f>
        <v>pandidurai.ks</v>
      </c>
    </row>
    <row r="446" spans="1:42">
      <c r="A446" s="24" t="str">
        <f>_xlfn.XLOOKUP(F446,'TFS Details'!F:F,'TFS Details'!D:D)</f>
        <v>DSP</v>
      </c>
      <c r="B446" s="24" t="str">
        <f>_xlfn.XLOOKUP(F446,'TFS Details'!F:F,'TFS Details'!A:A)</f>
        <v>DSP Core Solution Plan Enhancements</v>
      </c>
      <c r="C446" s="46">
        <f>_xlfn.XLOOKUP(F446,'TFS Details'!F:F,'TFS Details'!E:E)</f>
        <v>4437844</v>
      </c>
      <c r="D446" s="17" t="s">
        <v>51</v>
      </c>
      <c r="E446" s="139" t="s">
        <v>1104</v>
      </c>
      <c r="F446" s="72">
        <v>4438707</v>
      </c>
      <c r="G446" s="18" t="s">
        <v>1099</v>
      </c>
      <c r="H446" s="18" t="s">
        <v>1100</v>
      </c>
      <c r="I446" s="52" t="s">
        <v>71</v>
      </c>
      <c r="J446" s="250" t="s">
        <v>18</v>
      </c>
      <c r="K446" s="58" t="s">
        <v>1105</v>
      </c>
      <c r="L446" s="234" t="s">
        <v>72</v>
      </c>
      <c r="M446" s="20" t="s">
        <v>311</v>
      </c>
      <c r="V446" s="17" t="s">
        <v>216</v>
      </c>
      <c r="W446" s="234" t="s">
        <v>204</v>
      </c>
      <c r="X446" s="17" t="s">
        <v>197</v>
      </c>
      <c r="Y446" s="17" t="s">
        <v>197</v>
      </c>
      <c r="AF446" s="25" t="str">
        <f>_xlfn.XLOOKUP(F446,'TFS Details'!F:F,'TFS Details'!H:H)</f>
        <v>In Development</v>
      </c>
      <c r="AG446" s="42">
        <v>0</v>
      </c>
      <c r="AH446" s="42">
        <v>0</v>
      </c>
      <c r="AI446" s="42">
        <v>0</v>
      </c>
      <c r="AJ446" s="42">
        <v>0</v>
      </c>
      <c r="AK446" s="38">
        <f t="shared" si="42"/>
        <v>0</v>
      </c>
      <c r="AL446" s="39">
        <f t="shared" si="43"/>
        <v>0</v>
      </c>
      <c r="AM446" s="39">
        <f t="shared" si="44"/>
        <v>0</v>
      </c>
      <c r="AO446" s="25" t="str">
        <f>_xlfn.XLOOKUP(F446,'TFS Details'!F:F,'TFS Details'!I:I)</f>
        <v>Ninjawarriors</v>
      </c>
      <c r="AP446" s="25" t="str">
        <f>_xlfn.XLOOKUP(AO446,'TFS Details'!I:I,'TFS Details'!AE:AE)</f>
        <v>pandidurai.ks</v>
      </c>
    </row>
    <row r="447" spans="1:42">
      <c r="A447" s="24" t="str">
        <f>_xlfn.XLOOKUP(F447,'TFS Details'!F:F,'TFS Details'!D:D)</f>
        <v>DSP</v>
      </c>
      <c r="B447" s="24" t="str">
        <f>_xlfn.XLOOKUP(F447,'TFS Details'!F:F,'TFS Details'!A:A)</f>
        <v>DSP Core Solution Plan Enhancements</v>
      </c>
      <c r="C447" s="46">
        <f>_xlfn.XLOOKUP(F447,'TFS Details'!F:F,'TFS Details'!E:E)</f>
        <v>4437844</v>
      </c>
      <c r="D447" s="17" t="s">
        <v>51</v>
      </c>
      <c r="E447" s="139" t="s">
        <v>1106</v>
      </c>
      <c r="F447" s="72">
        <v>4438717</v>
      </c>
      <c r="G447" s="18" t="s">
        <v>1095</v>
      </c>
      <c r="H447" s="18" t="s">
        <v>1096</v>
      </c>
      <c r="I447" s="52" t="s">
        <v>133</v>
      </c>
      <c r="J447" s="250" t="s">
        <v>20</v>
      </c>
      <c r="K447" s="58" t="s">
        <v>1077</v>
      </c>
      <c r="L447" s="234" t="s">
        <v>822</v>
      </c>
      <c r="M447" s="20" t="s">
        <v>461</v>
      </c>
      <c r="O447" s="273">
        <v>0.2</v>
      </c>
      <c r="V447" s="17" t="s">
        <v>204</v>
      </c>
      <c r="W447" s="234" t="s">
        <v>204</v>
      </c>
      <c r="X447" s="17" t="s">
        <v>204</v>
      </c>
      <c r="Y447" s="17" t="s">
        <v>216</v>
      </c>
      <c r="Z447" s="71">
        <v>12</v>
      </c>
      <c r="AA447" s="71">
        <v>12</v>
      </c>
      <c r="AB447" s="71">
        <v>0</v>
      </c>
      <c r="AC447" s="71">
        <v>12</v>
      </c>
      <c r="AD447" s="69">
        <v>1</v>
      </c>
      <c r="AE447" s="69">
        <v>1</v>
      </c>
      <c r="AF447" s="25" t="str">
        <f>_xlfn.XLOOKUP(F447,'TFS Details'!F:F,'TFS Details'!H:H)</f>
        <v>PT In Test</v>
      </c>
      <c r="AG447" s="42">
        <v>0</v>
      </c>
      <c r="AH447" s="42">
        <v>0</v>
      </c>
      <c r="AI447" s="42">
        <v>0</v>
      </c>
      <c r="AJ447" s="42">
        <v>12</v>
      </c>
      <c r="AK447" s="38">
        <v>12</v>
      </c>
      <c r="AL447" s="39">
        <f t="shared" si="43"/>
        <v>0</v>
      </c>
      <c r="AM447" s="39">
        <f t="shared" si="44"/>
        <v>0</v>
      </c>
      <c r="AO447" s="25" t="str">
        <f>_xlfn.XLOOKUP(F447,'TFS Details'!F:F,'TFS Details'!I:I)</f>
        <v>Ninjawarriors</v>
      </c>
      <c r="AP447" s="25" t="str">
        <f>_xlfn.XLOOKUP(AO447,'TFS Details'!I:I,'TFS Details'!AE:AE)</f>
        <v>pandidurai.ks</v>
      </c>
    </row>
    <row r="448" spans="1:42">
      <c r="A448" s="24" t="str">
        <f>_xlfn.XLOOKUP(F448,'TFS Details'!F:F,'TFS Details'!D:D)</f>
        <v>DSP</v>
      </c>
      <c r="B448" s="24" t="str">
        <f>_xlfn.XLOOKUP(F448,'TFS Details'!F:F,'TFS Details'!A:A)</f>
        <v>DSP Core Solution Plan Enhancements</v>
      </c>
      <c r="C448" s="46">
        <f>_xlfn.XLOOKUP(F448,'TFS Details'!F:F,'TFS Details'!E:E)</f>
        <v>4437844</v>
      </c>
      <c r="D448" s="17" t="s">
        <v>51</v>
      </c>
      <c r="E448" s="139" t="s">
        <v>1107</v>
      </c>
      <c r="F448" s="72">
        <v>4438735</v>
      </c>
      <c r="G448" s="18" t="s">
        <v>1095</v>
      </c>
      <c r="H448" s="18" t="s">
        <v>1096</v>
      </c>
      <c r="I448" s="52" t="s">
        <v>133</v>
      </c>
      <c r="J448" s="66" t="s">
        <v>1</v>
      </c>
      <c r="L448" s="234"/>
      <c r="M448" s="20" t="s">
        <v>461</v>
      </c>
      <c r="O448" s="273">
        <v>0.3</v>
      </c>
      <c r="V448" s="17" t="s">
        <v>204</v>
      </c>
      <c r="W448" s="234" t="s">
        <v>204</v>
      </c>
      <c r="X448" s="17" t="s">
        <v>204</v>
      </c>
      <c r="Y448" s="17" t="s">
        <v>216</v>
      </c>
      <c r="Z448" s="71">
        <v>12</v>
      </c>
      <c r="AA448" s="71">
        <v>12</v>
      </c>
      <c r="AB448" s="71">
        <v>0</v>
      </c>
      <c r="AC448" s="71">
        <v>12</v>
      </c>
      <c r="AD448" s="69">
        <v>1</v>
      </c>
      <c r="AE448" s="69">
        <v>1</v>
      </c>
      <c r="AF448" s="25" t="str">
        <f>_xlfn.XLOOKUP(F448,'TFS Details'!F:F,'TFS Details'!H:H)</f>
        <v>PT In Test</v>
      </c>
      <c r="AG448" s="42">
        <v>0</v>
      </c>
      <c r="AH448" s="42">
        <v>0</v>
      </c>
      <c r="AI448" s="42">
        <v>0</v>
      </c>
      <c r="AJ448" s="42">
        <v>12</v>
      </c>
      <c r="AK448" s="38">
        <v>12</v>
      </c>
      <c r="AL448" s="39">
        <f t="shared" si="43"/>
        <v>0</v>
      </c>
      <c r="AM448" s="39">
        <f t="shared" si="44"/>
        <v>0</v>
      </c>
      <c r="AO448" s="25" t="str">
        <f>_xlfn.XLOOKUP(F448,'TFS Details'!F:F,'TFS Details'!I:I)</f>
        <v>Pirates</v>
      </c>
      <c r="AP448" s="25" t="str">
        <f>_xlfn.XLOOKUP(AO448,'TFS Details'!I:I,'TFS Details'!AE:AE)</f>
        <v>pandidurai.ks</v>
      </c>
    </row>
    <row r="449" spans="1:42">
      <c r="A449" s="24" t="str">
        <f>_xlfn.XLOOKUP(F449,'TFS Details'!F:F,'TFS Details'!D:D)</f>
        <v>DSP</v>
      </c>
      <c r="B449" s="24" t="str">
        <f>_xlfn.XLOOKUP(F449,'TFS Details'!F:F,'TFS Details'!A:A)</f>
        <v>DSP Core Solution Plan Enhancements</v>
      </c>
      <c r="C449" s="46">
        <f>_xlfn.XLOOKUP(F449,'TFS Details'!F:F,'TFS Details'!E:E)</f>
        <v>4437844</v>
      </c>
      <c r="D449" s="17" t="s">
        <v>51</v>
      </c>
      <c r="E449" s="139" t="s">
        <v>1108</v>
      </c>
      <c r="F449" s="153">
        <v>4438741</v>
      </c>
      <c r="G449" s="18" t="s">
        <v>1100</v>
      </c>
      <c r="H449" s="106" t="s">
        <v>1109</v>
      </c>
      <c r="I449" s="52" t="s">
        <v>134</v>
      </c>
      <c r="J449" s="250" t="s">
        <v>1</v>
      </c>
      <c r="K449" s="58" t="s">
        <v>1110</v>
      </c>
      <c r="L449" s="234" t="s">
        <v>623</v>
      </c>
      <c r="O449" s="273">
        <v>0</v>
      </c>
      <c r="V449" s="17" t="s">
        <v>216</v>
      </c>
      <c r="W449" s="17" t="s">
        <v>197</v>
      </c>
      <c r="X449" s="17" t="s">
        <v>197</v>
      </c>
      <c r="Y449" s="17" t="s">
        <v>197</v>
      </c>
      <c r="AF449" s="25" t="str">
        <f>_xlfn.XLOOKUP(F449,'TFS Details'!F:F,'TFS Details'!H:H)</f>
        <v>In Development</v>
      </c>
      <c r="AG449" s="42">
        <v>0</v>
      </c>
      <c r="AH449" s="42">
        <v>0</v>
      </c>
      <c r="AI449" s="42">
        <v>0</v>
      </c>
      <c r="AJ449" s="42">
        <v>2</v>
      </c>
      <c r="AK449" s="38">
        <f t="shared" si="42"/>
        <v>2</v>
      </c>
      <c r="AL449" s="39">
        <f t="shared" si="43"/>
        <v>0</v>
      </c>
      <c r="AM449" s="39">
        <f t="shared" si="44"/>
        <v>0</v>
      </c>
      <c r="AO449" s="25" t="str">
        <f>_xlfn.XLOOKUP(F449,'TFS Details'!F:F,'TFS Details'!I:I)</f>
        <v>Pixel Pioneers</v>
      </c>
      <c r="AP449" s="25" t="str">
        <f>_xlfn.XLOOKUP(AO449,'TFS Details'!I:I,'TFS Details'!AE:AE)</f>
        <v>pandidurai.ks</v>
      </c>
    </row>
    <row r="450" spans="1:42">
      <c r="A450" s="24" t="str">
        <f>_xlfn.XLOOKUP(F450,'TFS Details'!F:F,'TFS Details'!D:D)</f>
        <v>DSP</v>
      </c>
      <c r="B450" s="24" t="str">
        <f>_xlfn.XLOOKUP(F450,'TFS Details'!F:F,'TFS Details'!A:A)</f>
        <v>DSP Core Solution Plan Enhancements</v>
      </c>
      <c r="C450" s="46">
        <f>_xlfn.XLOOKUP(F450,'TFS Details'!F:F,'TFS Details'!E:E)</f>
        <v>4437844</v>
      </c>
      <c r="D450" s="17" t="s">
        <v>51</v>
      </c>
      <c r="E450" s="139" t="s">
        <v>1111</v>
      </c>
      <c r="F450" s="72">
        <v>4438752</v>
      </c>
      <c r="G450" s="18" t="s">
        <v>1095</v>
      </c>
      <c r="H450" s="18" t="s">
        <v>1096</v>
      </c>
      <c r="I450" s="52" t="s">
        <v>133</v>
      </c>
      <c r="J450" s="66" t="s">
        <v>1</v>
      </c>
      <c r="L450" s="234"/>
      <c r="M450" s="20" t="s">
        <v>461</v>
      </c>
      <c r="O450" s="273">
        <v>0.35</v>
      </c>
      <c r="V450" s="17" t="s">
        <v>204</v>
      </c>
      <c r="W450" s="234" t="s">
        <v>204</v>
      </c>
      <c r="X450" s="17" t="s">
        <v>204</v>
      </c>
      <c r="Y450" s="17" t="s">
        <v>216</v>
      </c>
      <c r="Z450" s="71">
        <v>12</v>
      </c>
      <c r="AA450" s="71">
        <v>12</v>
      </c>
      <c r="AB450" s="71">
        <v>0</v>
      </c>
      <c r="AC450" s="71">
        <v>12</v>
      </c>
      <c r="AD450" s="69">
        <v>1</v>
      </c>
      <c r="AE450" s="69">
        <v>1</v>
      </c>
      <c r="AF450" s="25" t="str">
        <f>_xlfn.XLOOKUP(F450,'TFS Details'!F:F,'TFS Details'!H:H)</f>
        <v>PT In Test</v>
      </c>
      <c r="AG450" s="42">
        <v>0</v>
      </c>
      <c r="AH450" s="42">
        <v>0</v>
      </c>
      <c r="AI450" s="42">
        <v>0</v>
      </c>
      <c r="AJ450" s="42">
        <v>12</v>
      </c>
      <c r="AK450" s="38">
        <v>12</v>
      </c>
      <c r="AL450" s="39">
        <f t="shared" si="43"/>
        <v>0</v>
      </c>
      <c r="AM450" s="39">
        <f t="shared" si="44"/>
        <v>0</v>
      </c>
      <c r="AO450" s="25" t="str">
        <f>_xlfn.XLOOKUP(F450,'TFS Details'!F:F,'TFS Details'!I:I)</f>
        <v>Pirates</v>
      </c>
      <c r="AP450" s="25" t="str">
        <f>_xlfn.XLOOKUP(AO450,'TFS Details'!I:I,'TFS Details'!AE:AE)</f>
        <v>pandidurai.ks</v>
      </c>
    </row>
    <row r="451" spans="1:42">
      <c r="A451" s="24" t="str">
        <f>_xlfn.XLOOKUP(F451,'TFS Details'!F:F,'TFS Details'!D:D)</f>
        <v>DSP</v>
      </c>
      <c r="B451" s="24" t="str">
        <f>_xlfn.XLOOKUP(F451,'TFS Details'!F:F,'TFS Details'!A:A)</f>
        <v>DSP Core Solution Plan Enhancements</v>
      </c>
      <c r="C451" s="46">
        <f>_xlfn.XLOOKUP(F451,'TFS Details'!F:F,'TFS Details'!E:E)</f>
        <v>4437844</v>
      </c>
      <c r="D451" s="17" t="s">
        <v>51</v>
      </c>
      <c r="E451" s="139" t="s">
        <v>1112</v>
      </c>
      <c r="F451" s="153">
        <v>4439540</v>
      </c>
      <c r="G451" s="18" t="s">
        <v>1100</v>
      </c>
      <c r="H451" s="106" t="s">
        <v>1109</v>
      </c>
      <c r="I451" s="52" t="s">
        <v>134</v>
      </c>
      <c r="J451" s="250" t="s">
        <v>20</v>
      </c>
      <c r="K451" s="58" t="s">
        <v>1113</v>
      </c>
      <c r="L451" s="234"/>
      <c r="O451" s="273">
        <v>0</v>
      </c>
      <c r="V451" s="17" t="s">
        <v>204</v>
      </c>
      <c r="W451" s="17" t="s">
        <v>197</v>
      </c>
      <c r="X451" s="17" t="s">
        <v>197</v>
      </c>
      <c r="Y451" s="17" t="s">
        <v>216</v>
      </c>
      <c r="AF451" s="25" t="str">
        <f>_xlfn.XLOOKUP(F451,'TFS Details'!F:F,'TFS Details'!H:H)</f>
        <v>PT In Test</v>
      </c>
      <c r="AG451" s="42">
        <v>2</v>
      </c>
      <c r="AH451" s="42">
        <v>0</v>
      </c>
      <c r="AI451" s="42">
        <v>0</v>
      </c>
      <c r="AJ451" s="42">
        <v>5</v>
      </c>
      <c r="AK451" s="38">
        <f>SUM(AG451:AJ451)</f>
        <v>7</v>
      </c>
      <c r="AL451" s="39">
        <f t="shared" si="43"/>
        <v>0.2857142857142857</v>
      </c>
      <c r="AM451" s="39">
        <f t="shared" si="44"/>
        <v>1</v>
      </c>
      <c r="AO451" s="25" t="str">
        <f>_xlfn.XLOOKUP(F451,'TFS Details'!F:F,'TFS Details'!I:I)</f>
        <v>Pixel Pioneers</v>
      </c>
      <c r="AP451" s="25" t="str">
        <f>_xlfn.XLOOKUP(AO451,'TFS Details'!I:I,'TFS Details'!AE:AE)</f>
        <v>pandidurai.ks</v>
      </c>
    </row>
    <row r="452" spans="1:42" ht="24">
      <c r="A452" s="24" t="str">
        <f>_xlfn.XLOOKUP(F452,'TFS Details'!F:F,'TFS Details'!D:D)</f>
        <v>DSP</v>
      </c>
      <c r="B452" s="24" t="str">
        <f>_xlfn.XLOOKUP(F452,'TFS Details'!F:F,'TFS Details'!A:A)</f>
        <v>DSP Core Solution Plan Enhancements</v>
      </c>
      <c r="C452" s="46">
        <f>_xlfn.XLOOKUP(F452,'TFS Details'!F:F,'TFS Details'!E:E)</f>
        <v>4437844</v>
      </c>
      <c r="D452" s="17" t="s">
        <v>51</v>
      </c>
      <c r="E452" s="139" t="s">
        <v>1114</v>
      </c>
      <c r="F452" s="72">
        <v>4439541</v>
      </c>
      <c r="G452" s="18" t="s">
        <v>1099</v>
      </c>
      <c r="H452" s="18" t="s">
        <v>1100</v>
      </c>
      <c r="I452" s="52" t="s">
        <v>71</v>
      </c>
      <c r="J452" s="250" t="s">
        <v>18</v>
      </c>
      <c r="K452" s="58" t="s">
        <v>1115</v>
      </c>
      <c r="L452" s="234" t="s">
        <v>30</v>
      </c>
      <c r="M452" s="20" t="s">
        <v>311</v>
      </c>
      <c r="V452" s="17" t="s">
        <v>216</v>
      </c>
      <c r="W452" s="234" t="s">
        <v>204</v>
      </c>
      <c r="X452" s="17" t="s">
        <v>197</v>
      </c>
      <c r="Y452" s="17" t="s">
        <v>197</v>
      </c>
      <c r="AF452" s="25" t="str">
        <f>_xlfn.XLOOKUP(F452,'TFS Details'!F:F,'TFS Details'!H:H)</f>
        <v>PT In Test</v>
      </c>
      <c r="AG452" s="42">
        <v>0</v>
      </c>
      <c r="AH452" s="42">
        <v>0</v>
      </c>
      <c r="AI452" s="42">
        <v>0</v>
      </c>
      <c r="AJ452" s="42">
        <v>0</v>
      </c>
      <c r="AK452" s="38">
        <f t="shared" si="42"/>
        <v>0</v>
      </c>
      <c r="AL452" s="39">
        <f t="shared" si="43"/>
        <v>0</v>
      </c>
      <c r="AM452" s="39">
        <f t="shared" si="44"/>
        <v>0</v>
      </c>
      <c r="AO452" s="25" t="str">
        <f>_xlfn.XLOOKUP(F452,'TFS Details'!F:F,'TFS Details'!I:I)</f>
        <v>Pixel Pioneers</v>
      </c>
      <c r="AP452" s="25" t="str">
        <f>_xlfn.XLOOKUP(AO452,'TFS Details'!I:I,'TFS Details'!AE:AE)</f>
        <v>pandidurai.ks</v>
      </c>
    </row>
    <row r="453" spans="1:42">
      <c r="A453" s="24" t="str">
        <f>_xlfn.XLOOKUP(F453,'TFS Details'!F:F,'TFS Details'!D:D)</f>
        <v>DSP</v>
      </c>
      <c r="B453" s="24" t="str">
        <f>_xlfn.XLOOKUP(F453,'TFS Details'!F:F,'TFS Details'!A:A)</f>
        <v>DSP Core Solution Plan Enhancements</v>
      </c>
      <c r="C453" s="46">
        <f>_xlfn.XLOOKUP(F453,'TFS Details'!F:F,'TFS Details'!E:E)</f>
        <v>4437844</v>
      </c>
      <c r="D453" s="17" t="s">
        <v>51</v>
      </c>
      <c r="E453" s="139" t="s">
        <v>1116</v>
      </c>
      <c r="F453" s="153">
        <v>4439552</v>
      </c>
      <c r="G453" s="18" t="s">
        <v>1100</v>
      </c>
      <c r="H453" s="106" t="s">
        <v>1109</v>
      </c>
      <c r="I453" s="52" t="s">
        <v>134</v>
      </c>
      <c r="J453" s="66" t="s">
        <v>1</v>
      </c>
      <c r="L453" s="234"/>
      <c r="O453" s="273">
        <v>0</v>
      </c>
      <c r="V453" s="17" t="s">
        <v>216</v>
      </c>
      <c r="W453" s="17" t="s">
        <v>197</v>
      </c>
      <c r="X453" s="17" t="s">
        <v>197</v>
      </c>
      <c r="Y453" s="17" t="s">
        <v>197</v>
      </c>
      <c r="AF453" s="25" t="str">
        <f>_xlfn.XLOOKUP(F453,'TFS Details'!F:F,'TFS Details'!H:H)</f>
        <v>In Development</v>
      </c>
      <c r="AG453" s="42">
        <v>0</v>
      </c>
      <c r="AH453" s="42">
        <v>0</v>
      </c>
      <c r="AI453" s="42">
        <v>0</v>
      </c>
      <c r="AJ453" s="42">
        <v>3</v>
      </c>
      <c r="AK453" s="38">
        <f t="shared" si="42"/>
        <v>3</v>
      </c>
      <c r="AL453" s="39">
        <f t="shared" si="43"/>
        <v>0</v>
      </c>
      <c r="AM453" s="39">
        <f t="shared" si="44"/>
        <v>0</v>
      </c>
      <c r="AO453" s="25" t="str">
        <f>_xlfn.XLOOKUP(F453,'TFS Details'!F:F,'TFS Details'!I:I)</f>
        <v>Pixel Pioneers</v>
      </c>
      <c r="AP453" s="25" t="str">
        <f>_xlfn.XLOOKUP(AO453,'TFS Details'!I:I,'TFS Details'!AE:AE)</f>
        <v>pandidurai.ks</v>
      </c>
    </row>
    <row r="454" spans="1:42">
      <c r="A454" s="24" t="str">
        <f>_xlfn.XLOOKUP(F454,'TFS Details'!F:F,'TFS Details'!D:D)</f>
        <v>DSP</v>
      </c>
      <c r="B454" s="24" t="str">
        <f>_xlfn.XLOOKUP(F454,'TFS Details'!F:F,'TFS Details'!A:A)</f>
        <v>DSP Core Solution Plan Enhancements</v>
      </c>
      <c r="C454" s="46">
        <f>_xlfn.XLOOKUP(F454,'TFS Details'!F:F,'TFS Details'!E:E)</f>
        <v>4437844</v>
      </c>
      <c r="D454" s="17" t="s">
        <v>51</v>
      </c>
      <c r="E454" s="139" t="s">
        <v>1117</v>
      </c>
      <c r="F454" s="153">
        <v>4439554</v>
      </c>
      <c r="G454" s="18" t="s">
        <v>1100</v>
      </c>
      <c r="H454" s="106" t="s">
        <v>1109</v>
      </c>
      <c r="I454" s="52" t="s">
        <v>134</v>
      </c>
      <c r="J454" s="66" t="s">
        <v>1</v>
      </c>
      <c r="L454" s="234"/>
      <c r="O454" s="273">
        <v>0</v>
      </c>
      <c r="V454" s="17" t="s">
        <v>216</v>
      </c>
      <c r="W454" s="17" t="s">
        <v>197</v>
      </c>
      <c r="X454" s="17" t="s">
        <v>197</v>
      </c>
      <c r="Y454" s="17" t="s">
        <v>197</v>
      </c>
      <c r="AF454" s="25" t="str">
        <f>_xlfn.XLOOKUP(F454,'TFS Details'!F:F,'TFS Details'!H:H)</f>
        <v>In Development</v>
      </c>
      <c r="AG454" s="42">
        <v>0</v>
      </c>
      <c r="AH454" s="42">
        <v>0</v>
      </c>
      <c r="AI454" s="42">
        <v>0</v>
      </c>
      <c r="AJ454" s="42">
        <v>4</v>
      </c>
      <c r="AK454" s="38">
        <f t="shared" si="42"/>
        <v>4</v>
      </c>
      <c r="AL454" s="39">
        <f t="shared" si="43"/>
        <v>0</v>
      </c>
      <c r="AM454" s="39">
        <f t="shared" si="44"/>
        <v>0</v>
      </c>
      <c r="AO454" s="25" t="str">
        <f>_xlfn.XLOOKUP(F454,'TFS Details'!F:F,'TFS Details'!I:I)</f>
        <v>Pixel Pioneers</v>
      </c>
      <c r="AP454" s="25" t="str">
        <f>_xlfn.XLOOKUP(AO454,'TFS Details'!I:I,'TFS Details'!AE:AE)</f>
        <v>pandidurai.ks</v>
      </c>
    </row>
    <row r="455" spans="1:42">
      <c r="A455" s="24" t="str">
        <f>_xlfn.XLOOKUP(F455,'TFS Details'!F:F,'TFS Details'!D:D)</f>
        <v>DSP</v>
      </c>
      <c r="B455" s="24" t="str">
        <f>_xlfn.XLOOKUP(F455,'TFS Details'!F:F,'TFS Details'!A:A)</f>
        <v>DSP MDA May Enhancements</v>
      </c>
      <c r="C455" s="46">
        <f>_xlfn.XLOOKUP(F455,'TFS Details'!F:F,'TFS Details'!E:E)</f>
        <v>4437200</v>
      </c>
      <c r="D455" s="17" t="s">
        <v>51</v>
      </c>
      <c r="E455" s="139" t="s">
        <v>1118</v>
      </c>
      <c r="F455" s="72">
        <v>4373651</v>
      </c>
      <c r="G455" s="18" t="s">
        <v>1069</v>
      </c>
      <c r="H455" s="18" t="s">
        <v>1070</v>
      </c>
      <c r="I455" s="52" t="s">
        <v>83</v>
      </c>
      <c r="J455" s="250" t="s">
        <v>18</v>
      </c>
      <c r="K455" s="58" t="s">
        <v>1105</v>
      </c>
      <c r="L455" s="234" t="s">
        <v>72</v>
      </c>
      <c r="V455" s="17" t="s">
        <v>204</v>
      </c>
      <c r="W455" s="234" t="s">
        <v>204</v>
      </c>
      <c r="X455" s="17" t="s">
        <v>204</v>
      </c>
      <c r="Y455" s="17" t="s">
        <v>197</v>
      </c>
      <c r="Z455" s="71">
        <v>16</v>
      </c>
      <c r="AA455" s="71">
        <v>16</v>
      </c>
      <c r="AB455" s="71">
        <v>2</v>
      </c>
      <c r="AC455" s="71">
        <v>18</v>
      </c>
      <c r="AD455" s="69">
        <v>0.8</v>
      </c>
      <c r="AE455" s="69">
        <v>0.8</v>
      </c>
      <c r="AF455" s="25" t="str">
        <f>_xlfn.XLOOKUP(F455,'TFS Details'!F:F,'TFS Details'!H:H)</f>
        <v>Active</v>
      </c>
      <c r="AG455" s="42">
        <v>0</v>
      </c>
      <c r="AH455" s="42">
        <v>0</v>
      </c>
      <c r="AI455" s="42">
        <v>0</v>
      </c>
      <c r="AJ455" s="42">
        <v>18</v>
      </c>
      <c r="AK455" s="38">
        <f t="shared" si="42"/>
        <v>18</v>
      </c>
      <c r="AL455" s="39">
        <f t="shared" si="43"/>
        <v>0</v>
      </c>
      <c r="AM455" s="39">
        <f t="shared" si="44"/>
        <v>0</v>
      </c>
      <c r="AO455" s="25" t="str">
        <f>_xlfn.XLOOKUP(F455,'TFS Details'!F:F,'TFS Details'!I:I)</f>
        <v>Ninjawarriors</v>
      </c>
      <c r="AP455" s="25" t="str">
        <f>_xlfn.XLOOKUP(AO455,'TFS Details'!I:I,'TFS Details'!AE:AE)</f>
        <v>pandidurai.ks</v>
      </c>
    </row>
    <row r="456" spans="1:42">
      <c r="A456" s="24" t="str">
        <f>_xlfn.XLOOKUP(F456,'TFS Details'!F:F,'TFS Details'!D:D)</f>
        <v>DSP</v>
      </c>
      <c r="B456" s="24" t="str">
        <f>_xlfn.XLOOKUP(F456,'TFS Details'!F:F,'TFS Details'!A:A)</f>
        <v>DSP Core Solution Plan Enhancements</v>
      </c>
      <c r="C456" s="46">
        <f>_xlfn.XLOOKUP(F456,'TFS Details'!F:F,'TFS Details'!E:E)</f>
        <v>4437844</v>
      </c>
      <c r="D456" s="17" t="s">
        <v>51</v>
      </c>
      <c r="E456" s="139" t="s">
        <v>1119</v>
      </c>
      <c r="F456" s="72">
        <v>4437822</v>
      </c>
      <c r="G456" s="18" t="s">
        <v>1095</v>
      </c>
      <c r="H456" s="18" t="s">
        <v>1096</v>
      </c>
      <c r="I456" s="52" t="s">
        <v>133</v>
      </c>
      <c r="J456" s="66" t="s">
        <v>1</v>
      </c>
      <c r="L456" s="234"/>
      <c r="M456" s="20" t="s">
        <v>461</v>
      </c>
      <c r="O456" s="273">
        <v>0.25</v>
      </c>
      <c r="V456" s="17" t="s">
        <v>204</v>
      </c>
      <c r="W456" s="234" t="s">
        <v>204</v>
      </c>
      <c r="X456" s="17" t="s">
        <v>204</v>
      </c>
      <c r="Y456" s="17" t="s">
        <v>216</v>
      </c>
      <c r="Z456" s="71">
        <v>12</v>
      </c>
      <c r="AA456" s="71">
        <v>12</v>
      </c>
      <c r="AB456" s="71">
        <v>0</v>
      </c>
      <c r="AC456" s="71">
        <v>12</v>
      </c>
      <c r="AD456" s="69">
        <v>1</v>
      </c>
      <c r="AE456" s="69">
        <v>1</v>
      </c>
      <c r="AF456" s="25" t="str">
        <f>_xlfn.XLOOKUP(F456,'TFS Details'!F:F,'TFS Details'!H:H)</f>
        <v>PT In Test</v>
      </c>
      <c r="AG456" s="42">
        <v>11</v>
      </c>
      <c r="AH456" s="42">
        <v>1</v>
      </c>
      <c r="AI456" s="42">
        <v>0</v>
      </c>
      <c r="AJ456" s="42">
        <v>0</v>
      </c>
      <c r="AK456" s="38">
        <v>12</v>
      </c>
      <c r="AL456" s="39">
        <f t="shared" si="43"/>
        <v>1</v>
      </c>
      <c r="AM456" s="39">
        <f t="shared" si="44"/>
        <v>0.91666666666666663</v>
      </c>
      <c r="AN456" s="17" t="s">
        <v>1120</v>
      </c>
      <c r="AO456" s="25" t="str">
        <f>_xlfn.XLOOKUP(F456,'TFS Details'!F:F,'TFS Details'!I:I)</f>
        <v>Pirates</v>
      </c>
      <c r="AP456" s="25" t="str">
        <f>_xlfn.XLOOKUP(AO456,'TFS Details'!I:I,'TFS Details'!AE:AE)</f>
        <v>pandidurai.ks</v>
      </c>
    </row>
    <row r="457" spans="1:42">
      <c r="A457" s="24" t="str">
        <f>_xlfn.XLOOKUP(F457,'TFS Details'!F:F,'TFS Details'!D:D)</f>
        <v>DSP</v>
      </c>
      <c r="B457" s="24" t="str">
        <f>_xlfn.XLOOKUP(F457,'TFS Details'!F:F,'TFS Details'!A:A)</f>
        <v>DSP Core Solution Plan Enhancements</v>
      </c>
      <c r="C457" s="46">
        <f>_xlfn.XLOOKUP(F457,'TFS Details'!F:F,'TFS Details'!E:E)</f>
        <v>4437844</v>
      </c>
      <c r="D457" s="17" t="s">
        <v>51</v>
      </c>
      <c r="E457" s="139" t="s">
        <v>1121</v>
      </c>
      <c r="F457" s="72">
        <v>4437865</v>
      </c>
      <c r="G457" s="18" t="s">
        <v>1069</v>
      </c>
      <c r="H457" s="18" t="s">
        <v>1070</v>
      </c>
      <c r="I457" s="52" t="s">
        <v>83</v>
      </c>
      <c r="J457" s="66" t="s">
        <v>1</v>
      </c>
      <c r="L457" s="234"/>
      <c r="M457" s="20" t="s">
        <v>465</v>
      </c>
      <c r="O457" s="273">
        <v>0.25</v>
      </c>
      <c r="V457" s="17" t="s">
        <v>204</v>
      </c>
      <c r="W457" s="234" t="s">
        <v>204</v>
      </c>
      <c r="X457" s="17" t="s">
        <v>204</v>
      </c>
      <c r="Y457" s="17" t="s">
        <v>216</v>
      </c>
      <c r="Z457" s="71">
        <v>12</v>
      </c>
      <c r="AA457" s="71">
        <v>12</v>
      </c>
      <c r="AB457" s="71">
        <v>2</v>
      </c>
      <c r="AC457" s="71">
        <v>14</v>
      </c>
      <c r="AD457" s="69">
        <v>0.9</v>
      </c>
      <c r="AE457" s="69">
        <v>0.8</v>
      </c>
      <c r="AF457" s="25" t="str">
        <f>_xlfn.XLOOKUP(F457,'TFS Details'!F:F,'TFS Details'!H:H)</f>
        <v>PT In Test</v>
      </c>
      <c r="AG457" s="42">
        <v>13</v>
      </c>
      <c r="AH457" s="42">
        <v>1</v>
      </c>
      <c r="AI457" s="42">
        <v>0</v>
      </c>
      <c r="AJ457" s="42">
        <v>0</v>
      </c>
      <c r="AK457" s="38">
        <f t="shared" si="42"/>
        <v>14</v>
      </c>
      <c r="AL457" s="39">
        <f t="shared" si="43"/>
        <v>1</v>
      </c>
      <c r="AM457" s="39">
        <f t="shared" si="44"/>
        <v>0.9285714285714286</v>
      </c>
      <c r="AN457" s="17" t="s">
        <v>1122</v>
      </c>
      <c r="AO457" s="25" t="str">
        <f>_xlfn.XLOOKUP(F457,'TFS Details'!F:F,'TFS Details'!I:I)</f>
        <v>Ninjawarriors</v>
      </c>
      <c r="AP457" s="25" t="str">
        <f>_xlfn.XLOOKUP(AO457,'TFS Details'!I:I,'TFS Details'!AE:AE)</f>
        <v>pandidurai.ks</v>
      </c>
    </row>
    <row r="458" spans="1:42">
      <c r="A458" s="24" t="str">
        <f>_xlfn.XLOOKUP(F458,'TFS Details'!F:F,'TFS Details'!D:D)</f>
        <v>DSP</v>
      </c>
      <c r="B458" s="24" t="str">
        <f>_xlfn.XLOOKUP(F458,'TFS Details'!F:F,'TFS Details'!A:A)</f>
        <v>DSP Core Solution Plan Enhancements</v>
      </c>
      <c r="C458" s="46">
        <f>_xlfn.XLOOKUP(F458,'TFS Details'!F:F,'TFS Details'!E:E)</f>
        <v>4437844</v>
      </c>
      <c r="D458" s="17" t="s">
        <v>51</v>
      </c>
      <c r="E458" s="139" t="s">
        <v>1123</v>
      </c>
      <c r="F458" s="72">
        <v>4437883</v>
      </c>
      <c r="G458" s="18" t="s">
        <v>1099</v>
      </c>
      <c r="H458" s="18" t="s">
        <v>1100</v>
      </c>
      <c r="I458" s="52" t="s">
        <v>71</v>
      </c>
      <c r="J458" s="250" t="s">
        <v>18</v>
      </c>
      <c r="K458" s="58" t="s">
        <v>1105</v>
      </c>
      <c r="L458" s="234" t="s">
        <v>72</v>
      </c>
      <c r="M458" s="20" t="s">
        <v>311</v>
      </c>
      <c r="V458" s="17" t="s">
        <v>204</v>
      </c>
      <c r="W458" s="234" t="s">
        <v>204</v>
      </c>
      <c r="X458" s="17" t="s">
        <v>197</v>
      </c>
      <c r="Y458" s="17" t="s">
        <v>216</v>
      </c>
      <c r="Z458" s="71">
        <v>36</v>
      </c>
      <c r="AA458" s="71">
        <v>10</v>
      </c>
      <c r="AB458" s="71">
        <v>3</v>
      </c>
      <c r="AC458" s="71">
        <v>13</v>
      </c>
      <c r="AD458" s="69">
        <v>0.8</v>
      </c>
      <c r="AE458" s="69">
        <v>0.8</v>
      </c>
      <c r="AF458" s="25" t="str">
        <f>_xlfn.XLOOKUP(F458,'TFS Details'!F:F,'TFS Details'!H:H)</f>
        <v>UAT In Test</v>
      </c>
      <c r="AG458" s="42">
        <v>0</v>
      </c>
      <c r="AH458" s="42">
        <v>0</v>
      </c>
      <c r="AI458" s="42">
        <v>0</v>
      </c>
      <c r="AJ458" s="42">
        <v>0</v>
      </c>
      <c r="AK458" s="38">
        <f t="shared" si="42"/>
        <v>0</v>
      </c>
      <c r="AL458" s="39">
        <f t="shared" si="43"/>
        <v>0</v>
      </c>
      <c r="AM458" s="39">
        <f t="shared" si="44"/>
        <v>0</v>
      </c>
      <c r="AO458" s="25" t="str">
        <f>_xlfn.XLOOKUP(F458,'TFS Details'!F:F,'TFS Details'!I:I)</f>
        <v>Pixel Pioneers</v>
      </c>
      <c r="AP458" s="25" t="str">
        <f>_xlfn.XLOOKUP(AO458,'TFS Details'!I:I,'TFS Details'!AE:AE)</f>
        <v>pandidurai.ks</v>
      </c>
    </row>
    <row r="459" spans="1:42">
      <c r="A459" s="24" t="str">
        <f>_xlfn.XLOOKUP(F459,'TFS Details'!F:F,'TFS Details'!D:D)</f>
        <v>DSP</v>
      </c>
      <c r="B459" s="24" t="str">
        <f>_xlfn.XLOOKUP(F459,'TFS Details'!F:F,'TFS Details'!A:A)</f>
        <v>DSP Core Solution Plan Enhancements</v>
      </c>
      <c r="C459" s="46">
        <f>_xlfn.XLOOKUP(F459,'TFS Details'!F:F,'TFS Details'!E:E)</f>
        <v>4437844</v>
      </c>
      <c r="D459" s="17" t="s">
        <v>51</v>
      </c>
      <c r="E459" s="139" t="s">
        <v>1124</v>
      </c>
      <c r="F459" s="72">
        <v>4438162</v>
      </c>
      <c r="G459" s="18" t="s">
        <v>1095</v>
      </c>
      <c r="H459" s="18" t="s">
        <v>1096</v>
      </c>
      <c r="I459" s="52" t="s">
        <v>133</v>
      </c>
      <c r="J459" s="66" t="s">
        <v>1</v>
      </c>
      <c r="L459" s="234"/>
      <c r="M459" s="20" t="s">
        <v>461</v>
      </c>
      <c r="O459" s="273">
        <v>0.3</v>
      </c>
      <c r="V459" s="17" t="s">
        <v>204</v>
      </c>
      <c r="W459" s="234" t="s">
        <v>204</v>
      </c>
      <c r="X459" s="17" t="s">
        <v>204</v>
      </c>
      <c r="Y459" s="17" t="s">
        <v>197</v>
      </c>
      <c r="Z459" s="71">
        <v>12</v>
      </c>
      <c r="AA459" s="71">
        <v>12</v>
      </c>
      <c r="AB459" s="71">
        <v>0</v>
      </c>
      <c r="AC459" s="71">
        <v>12</v>
      </c>
      <c r="AD459" s="69">
        <v>1</v>
      </c>
      <c r="AE459" s="69">
        <v>1</v>
      </c>
      <c r="AF459" s="25" t="str">
        <f>_xlfn.XLOOKUP(F459,'TFS Details'!F:F,'TFS Details'!H:H)</f>
        <v>In Development</v>
      </c>
      <c r="AG459" s="42">
        <v>0</v>
      </c>
      <c r="AH459" s="42">
        <v>0</v>
      </c>
      <c r="AI459" s="42">
        <v>0</v>
      </c>
      <c r="AJ459" s="42">
        <v>12</v>
      </c>
      <c r="AK459" s="38">
        <v>12</v>
      </c>
      <c r="AL459" s="39">
        <f t="shared" si="43"/>
        <v>0</v>
      </c>
      <c r="AM459" s="39">
        <f t="shared" si="44"/>
        <v>0</v>
      </c>
      <c r="AO459" s="25" t="str">
        <f>_xlfn.XLOOKUP(F459,'TFS Details'!F:F,'TFS Details'!I:I)</f>
        <v>Pirates</v>
      </c>
      <c r="AP459" s="25" t="str">
        <f>_xlfn.XLOOKUP(AO459,'TFS Details'!I:I,'TFS Details'!AE:AE)</f>
        <v>pandidurai.ks</v>
      </c>
    </row>
    <row r="460" spans="1:42">
      <c r="A460" s="24" t="str">
        <f>_xlfn.XLOOKUP(F460,'TFS Details'!F:F,'TFS Details'!D:D)</f>
        <v>DSP</v>
      </c>
      <c r="B460" s="24" t="str">
        <f>_xlfn.XLOOKUP(F460,'TFS Details'!F:F,'TFS Details'!A:A)</f>
        <v>DSP Core Solution Plan Enhancements</v>
      </c>
      <c r="C460" s="46">
        <f>_xlfn.XLOOKUP(F460,'TFS Details'!F:F,'TFS Details'!E:E)</f>
        <v>4437844</v>
      </c>
      <c r="D460" s="17" t="s">
        <v>51</v>
      </c>
      <c r="E460" s="139" t="s">
        <v>1125</v>
      </c>
      <c r="F460" s="72">
        <v>4448140</v>
      </c>
      <c r="G460" s="18" t="s">
        <v>1069</v>
      </c>
      <c r="H460" s="18" t="s">
        <v>1070</v>
      </c>
      <c r="I460" s="52" t="s">
        <v>83</v>
      </c>
      <c r="J460" s="250" t="s">
        <v>18</v>
      </c>
      <c r="K460" s="58" t="s">
        <v>1105</v>
      </c>
      <c r="L460" s="234" t="s">
        <v>981</v>
      </c>
      <c r="V460" s="17" t="s">
        <v>204</v>
      </c>
      <c r="W460" s="234" t="s">
        <v>204</v>
      </c>
      <c r="X460" s="17" t="s">
        <v>204</v>
      </c>
      <c r="Y460" s="17" t="s">
        <v>197</v>
      </c>
      <c r="Z460" s="71">
        <v>13</v>
      </c>
      <c r="AA460" s="71">
        <v>13</v>
      </c>
      <c r="AB460" s="71">
        <v>2</v>
      </c>
      <c r="AC460" s="71">
        <v>15</v>
      </c>
      <c r="AD460" s="69">
        <v>0.7</v>
      </c>
      <c r="AE460" s="69">
        <v>0.8</v>
      </c>
      <c r="AF460" s="25" t="str">
        <f>_xlfn.XLOOKUP(F460,'TFS Details'!F:F,'TFS Details'!H:H)</f>
        <v>UAT In Test</v>
      </c>
      <c r="AG460" s="42">
        <v>15</v>
      </c>
      <c r="AH460" s="42">
        <v>0</v>
      </c>
      <c r="AI460" s="42">
        <v>0</v>
      </c>
      <c r="AJ460" s="42">
        <v>0</v>
      </c>
      <c r="AK460" s="38">
        <f t="shared" ref="AK460:AK491" si="45">SUM(AG460:AJ460)</f>
        <v>15</v>
      </c>
      <c r="AL460" s="39">
        <f t="shared" ref="AL460:AL491" si="46">IF(AG460+AH460=0,0,SUM(AG460:AH460)/AK460)</f>
        <v>1</v>
      </c>
      <c r="AM460" s="39">
        <f t="shared" ref="AM460:AM491" si="47">IF(AG460=0,0,AG460/(SUM(AG460:AI460)))</f>
        <v>1</v>
      </c>
      <c r="AO460" s="25" t="str">
        <f>_xlfn.XLOOKUP(F460,'TFS Details'!F:F,'TFS Details'!I:I)</f>
        <v>Ninjawarriors</v>
      </c>
      <c r="AP460" s="25" t="str">
        <f>_xlfn.XLOOKUP(AO460,'TFS Details'!I:I,'TFS Details'!AE:AE)</f>
        <v>pandidurai.ks</v>
      </c>
    </row>
    <row r="461" spans="1:42">
      <c r="A461" s="24" t="str">
        <f>_xlfn.XLOOKUP(F461,'TFS Details'!F:F,'TFS Details'!D:D)</f>
        <v>GEN AI</v>
      </c>
      <c r="B461" s="24" t="str">
        <f>_xlfn.XLOOKUP(F461,'TFS Details'!F:F,'TFS Details'!A:A)</f>
        <v>Learn from past Solutions (Harvesting Solution Plan)SG wise prompt updates</v>
      </c>
      <c r="C461" s="46">
        <f>_xlfn.XLOOKUP(F461,'TFS Details'!F:F,'TFS Details'!E:E)</f>
        <v>4436327</v>
      </c>
      <c r="D461" s="17" t="s">
        <v>51</v>
      </c>
      <c r="E461" s="139" t="s">
        <v>1126</v>
      </c>
      <c r="F461" s="72">
        <v>4423225</v>
      </c>
      <c r="G461" s="18" t="s">
        <v>1127</v>
      </c>
      <c r="H461" s="106" t="s">
        <v>1128</v>
      </c>
      <c r="I461" s="52" t="s">
        <v>122</v>
      </c>
      <c r="J461" s="250" t="s">
        <v>18</v>
      </c>
      <c r="K461" s="58" t="s">
        <v>1129</v>
      </c>
      <c r="L461" s="234" t="s">
        <v>56</v>
      </c>
      <c r="V461" s="17" t="s">
        <v>197</v>
      </c>
      <c r="W461" s="234" t="s">
        <v>204</v>
      </c>
      <c r="X461" s="17" t="s">
        <v>197</v>
      </c>
      <c r="Y461" s="17" t="s">
        <v>197</v>
      </c>
      <c r="AF461" s="25" t="str">
        <f>_xlfn.XLOOKUP(F461,'TFS Details'!F:F,'TFS Details'!H:H)</f>
        <v>New</v>
      </c>
      <c r="AG461" s="42">
        <v>0</v>
      </c>
      <c r="AH461" s="42">
        <v>0</v>
      </c>
      <c r="AI461" s="42">
        <v>0</v>
      </c>
      <c r="AJ461" s="42">
        <v>0</v>
      </c>
      <c r="AK461" s="38">
        <f t="shared" si="45"/>
        <v>0</v>
      </c>
      <c r="AL461" s="39">
        <f t="shared" si="46"/>
        <v>0</v>
      </c>
      <c r="AM461" s="39">
        <f t="shared" si="47"/>
        <v>0</v>
      </c>
      <c r="AO461" s="25" t="str">
        <f>_xlfn.XLOOKUP(F461,'TFS Details'!F:F,'TFS Details'!I:I)</f>
        <v>Harvesting solutionPlan</v>
      </c>
      <c r="AP461" s="25" t="str">
        <f>_xlfn.XLOOKUP(AO461,'TFS Details'!I:I,'TFS Details'!AE:AE)</f>
        <v>pandidurai.ks</v>
      </c>
    </row>
    <row r="462" spans="1:42" ht="24">
      <c r="A462" s="24" t="str">
        <f>_xlfn.XLOOKUP(F462,'TFS Details'!F:F,'TFS Details'!D:D)</f>
        <v>myISP Enhancements</v>
      </c>
      <c r="B462" s="24" t="str">
        <f>_xlfn.XLOOKUP(F462,'TFS Details'!F:F,'TFS Details'!A:A)</f>
        <v>March Release NextGen Enhancements</v>
      </c>
      <c r="C462" s="46">
        <f>_xlfn.XLOOKUP(F462,'TFS Details'!F:F,'TFS Details'!E:E)</f>
        <v>4365826</v>
      </c>
      <c r="D462" s="17" t="s">
        <v>51</v>
      </c>
      <c r="E462" s="139" t="s">
        <v>1130</v>
      </c>
      <c r="F462" s="72">
        <v>4301401</v>
      </c>
      <c r="G462" s="18" t="s">
        <v>1079</v>
      </c>
      <c r="H462" s="18" t="s">
        <v>223</v>
      </c>
      <c r="I462" s="52" t="s">
        <v>1080</v>
      </c>
      <c r="J462" s="250" t="s">
        <v>20</v>
      </c>
      <c r="K462" s="58" t="s">
        <v>1131</v>
      </c>
      <c r="L462" s="234" t="s">
        <v>30</v>
      </c>
      <c r="M462" s="20" t="s">
        <v>311</v>
      </c>
      <c r="O462" s="273">
        <v>0.15</v>
      </c>
      <c r="V462" s="17" t="s">
        <v>204</v>
      </c>
      <c r="W462" s="17" t="s">
        <v>216</v>
      </c>
      <c r="X462" s="17" t="s">
        <v>197</v>
      </c>
      <c r="Y462" s="17" t="s">
        <v>216</v>
      </c>
      <c r="Z462" s="71">
        <v>33</v>
      </c>
      <c r="AF462" s="25" t="str">
        <f>_xlfn.XLOOKUP(F462,'TFS Details'!F:F,'TFS Details'!H:H)</f>
        <v>In Development</v>
      </c>
      <c r="AG462" s="42">
        <v>0</v>
      </c>
      <c r="AH462" s="42">
        <v>0</v>
      </c>
      <c r="AI462" s="42">
        <v>0</v>
      </c>
      <c r="AJ462" s="42">
        <v>20</v>
      </c>
      <c r="AK462" s="38">
        <f t="shared" si="45"/>
        <v>20</v>
      </c>
      <c r="AL462" s="39">
        <f t="shared" si="46"/>
        <v>0</v>
      </c>
      <c r="AM462" s="39">
        <f t="shared" si="47"/>
        <v>0</v>
      </c>
      <c r="AO462" s="25" t="str">
        <f>_xlfn.XLOOKUP(F462,'TFS Details'!F:F,'TFS Details'!I:I)</f>
        <v>Ninjawarriors</v>
      </c>
      <c r="AP462" s="25" t="str">
        <f>_xlfn.XLOOKUP(AO462,'TFS Details'!I:I,'TFS Details'!AE:AE)</f>
        <v>pandidurai.ks</v>
      </c>
    </row>
    <row r="463" spans="1:42">
      <c r="A463" s="24" t="str">
        <f>_xlfn.XLOOKUP(F463,'TFS Details'!F:F,'TFS Details'!D:D)</f>
        <v>Review Agent</v>
      </c>
      <c r="B463" s="24" t="str">
        <f>_xlfn.XLOOKUP(F463,'TFS Details'!F:F,'TFS Details'!A:A)</f>
        <v>[SSA - SRA] - Integration of Review Agent - SSA Chat enablement</v>
      </c>
      <c r="C463" s="46">
        <f>_xlfn.XLOOKUP(F463,'TFS Details'!F:F,'TFS Details'!E:E)</f>
        <v>4287584</v>
      </c>
      <c r="D463" s="17" t="s">
        <v>51</v>
      </c>
      <c r="E463" s="139" t="s">
        <v>1132</v>
      </c>
      <c r="F463" s="72">
        <v>4423914</v>
      </c>
      <c r="G463" s="18" t="s">
        <v>1133</v>
      </c>
      <c r="H463" s="18" t="s">
        <v>1134</v>
      </c>
      <c r="I463" s="52" t="s">
        <v>1135</v>
      </c>
      <c r="J463" s="250" t="s">
        <v>20</v>
      </c>
      <c r="K463" s="58" t="s">
        <v>1136</v>
      </c>
      <c r="L463" s="234" t="s">
        <v>1137</v>
      </c>
      <c r="M463" s="20" t="s">
        <v>311</v>
      </c>
      <c r="N463" s="45">
        <v>1</v>
      </c>
      <c r="O463" s="273">
        <v>0.1</v>
      </c>
      <c r="V463" s="17" t="s">
        <v>204</v>
      </c>
      <c r="W463" s="17" t="s">
        <v>216</v>
      </c>
      <c r="X463" s="17" t="s">
        <v>204</v>
      </c>
      <c r="Y463" s="17" t="s">
        <v>216</v>
      </c>
      <c r="AF463" s="25" t="str">
        <f>_xlfn.XLOOKUP(F463,'TFS Details'!F:F,'TFS Details'!H:H)</f>
        <v>Ready to Deploy</v>
      </c>
      <c r="AG463" s="42">
        <v>0</v>
      </c>
      <c r="AH463" s="42">
        <v>0</v>
      </c>
      <c r="AI463" s="42">
        <v>0</v>
      </c>
      <c r="AJ463" s="42">
        <v>19</v>
      </c>
      <c r="AK463" s="38">
        <v>20</v>
      </c>
      <c r="AL463" s="39">
        <f t="shared" si="46"/>
        <v>0</v>
      </c>
      <c r="AM463" s="39">
        <f t="shared" si="47"/>
        <v>0</v>
      </c>
      <c r="AO463" s="25" t="str">
        <f>_xlfn.XLOOKUP(F463,'TFS Details'!F:F,'TFS Details'!I:I)</f>
        <v>GEN AI - Solution Super Agent</v>
      </c>
      <c r="AP463" s="25" t="str">
        <f>_xlfn.XLOOKUP(AO463,'TFS Details'!I:I,'TFS Details'!AE:AE)</f>
        <v>pandidurai.ks</v>
      </c>
    </row>
    <row r="464" spans="1:42">
      <c r="A464" s="24" t="str">
        <f>_xlfn.XLOOKUP(F464,'TFS Details'!F:F,'TFS Details'!D:D)</f>
        <v>Review Agent</v>
      </c>
      <c r="B464" s="24" t="str">
        <f>_xlfn.XLOOKUP(F464,'TFS Details'!F:F,'TFS Details'!A:A)</f>
        <v>[SSA - SRA] - Integration of Review Agent - SSA Chat enablement</v>
      </c>
      <c r="C464" s="46">
        <f>_xlfn.XLOOKUP(F464,'TFS Details'!F:F,'TFS Details'!E:E)</f>
        <v>4287584</v>
      </c>
      <c r="D464" s="17" t="s">
        <v>51</v>
      </c>
      <c r="E464" s="139" t="s">
        <v>1138</v>
      </c>
      <c r="F464" s="72">
        <v>4426387</v>
      </c>
      <c r="G464" s="18" t="s">
        <v>1133</v>
      </c>
      <c r="H464" s="18" t="s">
        <v>1134</v>
      </c>
      <c r="I464" s="52" t="s">
        <v>1135</v>
      </c>
      <c r="J464" s="250" t="s">
        <v>20</v>
      </c>
      <c r="K464" s="58" t="s">
        <v>1136</v>
      </c>
      <c r="L464" s="234" t="s">
        <v>1137</v>
      </c>
      <c r="M464" s="20" t="s">
        <v>461</v>
      </c>
      <c r="N464" s="45">
        <v>1</v>
      </c>
      <c r="O464" s="273">
        <v>0.1</v>
      </c>
      <c r="V464" s="17" t="s">
        <v>204</v>
      </c>
      <c r="W464" s="17" t="s">
        <v>216</v>
      </c>
      <c r="X464" s="17" t="s">
        <v>204</v>
      </c>
      <c r="Y464" s="17" t="s">
        <v>197</v>
      </c>
      <c r="AF464" s="25" t="str">
        <f>_xlfn.XLOOKUP(F464,'TFS Details'!F:F,'TFS Details'!H:H)</f>
        <v>Ready to Deploy</v>
      </c>
      <c r="AG464" s="42">
        <v>0</v>
      </c>
      <c r="AH464" s="42">
        <v>0</v>
      </c>
      <c r="AI464" s="42">
        <v>0</v>
      </c>
      <c r="AJ464" s="42">
        <v>15</v>
      </c>
      <c r="AK464" s="38">
        <f t="shared" si="45"/>
        <v>15</v>
      </c>
      <c r="AL464" s="39">
        <f t="shared" si="46"/>
        <v>0</v>
      </c>
      <c r="AM464" s="39">
        <f t="shared" si="47"/>
        <v>0</v>
      </c>
      <c r="AO464" s="25" t="str">
        <f>_xlfn.XLOOKUP(F464,'TFS Details'!F:F,'TFS Details'!I:I)</f>
        <v>GEN AI - Solution Super Agent</v>
      </c>
      <c r="AP464" s="25" t="str">
        <f>_xlfn.XLOOKUP(AO464,'TFS Details'!I:I,'TFS Details'!AE:AE)</f>
        <v>pandidurai.ks</v>
      </c>
    </row>
    <row r="465" spans="1:42">
      <c r="A465" s="24" t="str">
        <f>_xlfn.XLOOKUP(F465,'TFS Details'!F:F,'TFS Details'!D:D)</f>
        <v>Review Agent</v>
      </c>
      <c r="B465" s="24" t="str">
        <f>_xlfn.XLOOKUP(F465,'TFS Details'!F:F,'TFS Details'!A:A)</f>
        <v>[SSA - SRA] - Integration of Review Agent - SSA Chat enablement</v>
      </c>
      <c r="C465" s="46">
        <f>_xlfn.XLOOKUP(F465,'TFS Details'!F:F,'TFS Details'!E:E)</f>
        <v>4287584</v>
      </c>
      <c r="D465" s="17" t="s">
        <v>51</v>
      </c>
      <c r="E465" s="139" t="s">
        <v>1139</v>
      </c>
      <c r="F465" s="72">
        <v>4270042</v>
      </c>
      <c r="G465" s="18" t="s">
        <v>222</v>
      </c>
      <c r="H465" s="18" t="s">
        <v>223</v>
      </c>
      <c r="I465" s="18" t="s">
        <v>224</v>
      </c>
      <c r="J465" s="250" t="s">
        <v>20</v>
      </c>
      <c r="K465" s="58" t="s">
        <v>1140</v>
      </c>
      <c r="L465" s="234" t="s">
        <v>1141</v>
      </c>
      <c r="O465" s="273">
        <v>0.2</v>
      </c>
      <c r="V465" s="17" t="s">
        <v>204</v>
      </c>
      <c r="W465" s="234" t="s">
        <v>204</v>
      </c>
      <c r="X465" s="234" t="s">
        <v>204</v>
      </c>
      <c r="Y465" s="17" t="s">
        <v>197</v>
      </c>
      <c r="AF465" s="25" t="str">
        <f>_xlfn.XLOOKUP(F465,'TFS Details'!F:F,'TFS Details'!H:H)</f>
        <v>Active</v>
      </c>
      <c r="AG465" s="42">
        <v>0</v>
      </c>
      <c r="AH465" s="42">
        <v>0</v>
      </c>
      <c r="AI465" s="42">
        <v>0</v>
      </c>
      <c r="AJ465" s="42">
        <v>8</v>
      </c>
      <c r="AK465" s="38">
        <f>SUM(AG465:AJ465)</f>
        <v>8</v>
      </c>
      <c r="AL465" s="39">
        <f t="shared" si="46"/>
        <v>0</v>
      </c>
      <c r="AM465" s="39">
        <f t="shared" si="47"/>
        <v>0</v>
      </c>
      <c r="AO465" s="25" t="str">
        <f>_xlfn.XLOOKUP(F465,'TFS Details'!F:F,'TFS Details'!I:I)</f>
        <v>GEN AI - Solution Super Agent</v>
      </c>
      <c r="AP465" s="25" t="str">
        <f>_xlfn.XLOOKUP(AO465,'TFS Details'!I:I,'TFS Details'!AE:AE)</f>
        <v>pandidurai.ks</v>
      </c>
    </row>
    <row r="466" spans="1:42">
      <c r="A466" s="24" t="str">
        <f>_xlfn.XLOOKUP(F466,'TFS Details'!F:F,'TFS Details'!D:D)</f>
        <v>Solution Super Agent</v>
      </c>
      <c r="B466" s="24" t="str">
        <f>_xlfn.XLOOKUP(F466,'TFS Details'!F:F,'TFS Details'!A:A)</f>
        <v>[GenAI-SSA] Agent Info Pane updates</v>
      </c>
      <c r="C466" s="46">
        <f>_xlfn.XLOOKUP(F466,'TFS Details'!F:F,'TFS Details'!E:E)</f>
        <v>4447241</v>
      </c>
      <c r="D466" s="17" t="s">
        <v>51</v>
      </c>
      <c r="E466" s="139" t="s">
        <v>1142</v>
      </c>
      <c r="F466" s="72">
        <v>4447240</v>
      </c>
      <c r="G466" s="18" t="s">
        <v>1074</v>
      </c>
      <c r="H466" s="18" t="s">
        <v>1073</v>
      </c>
      <c r="I466" s="52" t="s">
        <v>109</v>
      </c>
      <c r="J466" s="66" t="s">
        <v>1</v>
      </c>
      <c r="L466" s="234"/>
      <c r="M466" s="20" t="s">
        <v>461</v>
      </c>
      <c r="O466" s="273">
        <v>0.2</v>
      </c>
      <c r="P466" s="241">
        <v>5</v>
      </c>
      <c r="Q466" s="71">
        <v>4</v>
      </c>
      <c r="R466" s="71">
        <v>5</v>
      </c>
      <c r="S466" s="71">
        <v>5</v>
      </c>
      <c r="T466" s="69">
        <v>0.4</v>
      </c>
      <c r="U466" s="69">
        <v>0.8</v>
      </c>
      <c r="V466" s="17" t="s">
        <v>204</v>
      </c>
      <c r="W466" s="234" t="s">
        <v>216</v>
      </c>
      <c r="X466" s="234" t="s">
        <v>204</v>
      </c>
      <c r="Y466" s="17" t="s">
        <v>197</v>
      </c>
      <c r="Z466" s="71">
        <v>12</v>
      </c>
      <c r="AA466" s="71">
        <v>4</v>
      </c>
      <c r="AB466" s="71">
        <v>5</v>
      </c>
      <c r="AC466" s="71">
        <v>5</v>
      </c>
      <c r="AD466" s="69">
        <v>0.4</v>
      </c>
      <c r="AE466" s="69">
        <v>0.8</v>
      </c>
      <c r="AF466" s="25" t="str">
        <f>_xlfn.XLOOKUP(F466,'TFS Details'!F:F,'TFS Details'!H:H)</f>
        <v>Active</v>
      </c>
      <c r="AG466" s="42">
        <v>0</v>
      </c>
      <c r="AH466" s="42">
        <v>0</v>
      </c>
      <c r="AI466" s="42">
        <v>0</v>
      </c>
      <c r="AJ466" s="42">
        <v>5</v>
      </c>
      <c r="AK466" s="38">
        <f t="shared" si="45"/>
        <v>5</v>
      </c>
      <c r="AL466" s="39">
        <f t="shared" si="46"/>
        <v>0</v>
      </c>
      <c r="AM466" s="39">
        <f t="shared" si="47"/>
        <v>0</v>
      </c>
      <c r="AO466" s="25" t="str">
        <f>_xlfn.XLOOKUP(F466,'TFS Details'!F:F,'TFS Details'!I:I)</f>
        <v>GEN AI - Solution Super Agent</v>
      </c>
      <c r="AP466" s="25" t="str">
        <f>_xlfn.XLOOKUP(AO466,'TFS Details'!I:I,'TFS Details'!AE:AE)</f>
        <v>pandidurai.ks</v>
      </c>
    </row>
    <row r="467" spans="1:42" ht="16.5">
      <c r="A467" s="24" t="str">
        <f>_xlfn.XLOOKUP(F467,'TFS Details'!F:F,'TFS Details'!D:D)</f>
        <v>Solution Super Agent</v>
      </c>
      <c r="B467" s="24" t="str">
        <f>_xlfn.XLOOKUP(F467,'TFS Details'!F:F,'TFS Details'!A:A)</f>
        <v>[Gen AI - SSA] - Prompt Library changes.</v>
      </c>
      <c r="C467" s="46">
        <f>_xlfn.XLOOKUP(F467,'TFS Details'!F:F,'TFS Details'!E:E)</f>
        <v>4420090</v>
      </c>
      <c r="D467" s="17" t="s">
        <v>51</v>
      </c>
      <c r="E467" s="139" t="s">
        <v>1143</v>
      </c>
      <c r="F467" s="72">
        <v>4432696</v>
      </c>
      <c r="G467" s="18" t="s">
        <v>1109</v>
      </c>
      <c r="H467" s="18" t="s">
        <v>1100</v>
      </c>
      <c r="I467" s="52" t="s">
        <v>1144</v>
      </c>
      <c r="J467" s="250" t="s">
        <v>20</v>
      </c>
      <c r="K467" s="58" t="s">
        <v>1145</v>
      </c>
      <c r="L467" s="234" t="s">
        <v>1137</v>
      </c>
      <c r="O467" s="273">
        <v>0.2</v>
      </c>
      <c r="Q467" s="71">
        <v>3</v>
      </c>
      <c r="R467" s="71">
        <v>7</v>
      </c>
      <c r="S467" s="71">
        <v>7</v>
      </c>
      <c r="T467" s="69">
        <v>0.6</v>
      </c>
      <c r="U467" s="69">
        <v>0.7</v>
      </c>
      <c r="V467" s="17" t="s">
        <v>204</v>
      </c>
      <c r="W467" s="234" t="s">
        <v>197</v>
      </c>
      <c r="X467" s="17" t="s">
        <v>197</v>
      </c>
      <c r="Y467" s="17" t="s">
        <v>216</v>
      </c>
      <c r="Z467" s="71">
        <v>47</v>
      </c>
      <c r="AA467" s="71">
        <v>37</v>
      </c>
      <c r="AB467" s="71">
        <v>3</v>
      </c>
      <c r="AC467" s="71">
        <v>11</v>
      </c>
      <c r="AD467" s="69">
        <v>0.93</v>
      </c>
      <c r="AE467" s="69">
        <v>0.93</v>
      </c>
      <c r="AF467" s="25" t="str">
        <f>_xlfn.XLOOKUP(F467,'TFS Details'!F:F,'TFS Details'!H:H)</f>
        <v>Awaiting UAT deployment</v>
      </c>
      <c r="AG467" s="42">
        <v>10</v>
      </c>
      <c r="AH467" s="42">
        <v>1</v>
      </c>
      <c r="AI467" s="42">
        <v>0</v>
      </c>
      <c r="AJ467" s="42">
        <v>0</v>
      </c>
      <c r="AK467" s="38">
        <f t="shared" si="45"/>
        <v>11</v>
      </c>
      <c r="AL467" s="39">
        <f t="shared" si="46"/>
        <v>1</v>
      </c>
      <c r="AM467" s="39">
        <f t="shared" si="47"/>
        <v>0.90909090909090906</v>
      </c>
      <c r="AN467" s="254" t="s">
        <v>1146</v>
      </c>
      <c r="AO467" s="25" t="str">
        <f>_xlfn.XLOOKUP(F467,'TFS Details'!F:F,'TFS Details'!I:I)</f>
        <v>GEN AI - Solution Super Agent</v>
      </c>
      <c r="AP467" s="25" t="str">
        <f>_xlfn.XLOOKUP(AO467,'TFS Details'!I:I,'TFS Details'!AE:AE)</f>
        <v>pandidurai.ks</v>
      </c>
    </row>
    <row r="468" spans="1:42">
      <c r="A468" s="24" t="str">
        <f>_xlfn.XLOOKUP(F468,'TFS Details'!F:F,'TFS Details'!D:D)</f>
        <v>Solution Super Agent</v>
      </c>
      <c r="B468" s="24" t="str">
        <f>_xlfn.XLOOKUP(F468,'TFS Details'!F:F,'TFS Details'!A:A)</f>
        <v>[GenAI - SSA] - Solution Super Agent Additional features</v>
      </c>
      <c r="C468" s="46">
        <f>_xlfn.XLOOKUP(F468,'TFS Details'!F:F,'TFS Details'!E:E)</f>
        <v>4358170</v>
      </c>
      <c r="D468" s="17" t="s">
        <v>51</v>
      </c>
      <c r="E468" s="139" t="s">
        <v>1147</v>
      </c>
      <c r="F468" s="72">
        <v>4371942</v>
      </c>
      <c r="G468" s="18" t="s">
        <v>1148</v>
      </c>
      <c r="H468" s="18" t="s">
        <v>1149</v>
      </c>
      <c r="I468" s="52" t="s">
        <v>1150</v>
      </c>
      <c r="J468" s="250" t="s">
        <v>20</v>
      </c>
      <c r="K468" s="58" t="s">
        <v>1151</v>
      </c>
      <c r="L468" s="234"/>
      <c r="M468" s="20" t="s">
        <v>461</v>
      </c>
      <c r="O468" s="273">
        <v>0</v>
      </c>
      <c r="Q468" s="71">
        <v>5</v>
      </c>
      <c r="R468" s="71">
        <v>5</v>
      </c>
      <c r="S468" s="71">
        <v>5</v>
      </c>
      <c r="T468" s="69">
        <v>0.5</v>
      </c>
      <c r="U468" s="69">
        <v>0.5</v>
      </c>
      <c r="V468" s="17" t="s">
        <v>204</v>
      </c>
      <c r="W468" s="234" t="s">
        <v>204</v>
      </c>
      <c r="X468" s="17" t="s">
        <v>204</v>
      </c>
      <c r="Y468" s="17" t="s">
        <v>216</v>
      </c>
      <c r="Z468" s="71">
        <v>44</v>
      </c>
      <c r="AA468" s="71">
        <v>31</v>
      </c>
      <c r="AB468" s="71">
        <v>1</v>
      </c>
      <c r="AC468" s="71">
        <v>32</v>
      </c>
      <c r="AD468" s="69">
        <v>0.95</v>
      </c>
      <c r="AE468" s="69">
        <v>0.95</v>
      </c>
      <c r="AF468" s="25" t="str">
        <f>_xlfn.XLOOKUP(F468,'TFS Details'!F:F,'TFS Details'!H:H)</f>
        <v>Awaiting UAT deployment</v>
      </c>
      <c r="AG468" s="42">
        <v>32</v>
      </c>
      <c r="AH468" s="42">
        <v>0</v>
      </c>
      <c r="AI468" s="42">
        <v>0</v>
      </c>
      <c r="AJ468" s="42">
        <v>0</v>
      </c>
      <c r="AK468" s="38">
        <f t="shared" si="45"/>
        <v>32</v>
      </c>
      <c r="AL468" s="39">
        <f t="shared" si="46"/>
        <v>1</v>
      </c>
      <c r="AM468" s="39">
        <f t="shared" si="47"/>
        <v>1</v>
      </c>
      <c r="AN468" s="17" t="s">
        <v>1152</v>
      </c>
      <c r="AO468" s="25" t="str">
        <f>_xlfn.XLOOKUP(F468,'TFS Details'!F:F,'TFS Details'!I:I)</f>
        <v>GEN AI - Solution Super Agent</v>
      </c>
      <c r="AP468" s="25" t="str">
        <f>_xlfn.XLOOKUP(AO468,'TFS Details'!I:I,'TFS Details'!AE:AE)</f>
        <v>pandidurai.ks</v>
      </c>
    </row>
    <row r="469" spans="1:42">
      <c r="A469" s="24" t="str">
        <f>_xlfn.XLOOKUP(F469,'TFS Details'!F:F,'TFS Details'!D:D)</f>
        <v>SSA</v>
      </c>
      <c r="B469" s="24" t="str">
        <f>_xlfn.XLOOKUP(F469,'TFS Details'!F:F,'TFS Details'!A:A)</f>
        <v>[GenAI -SSA] Fortnightly PII Report Summary Email Notification to Product Owners</v>
      </c>
      <c r="C469" s="46">
        <f>_xlfn.XLOOKUP(F469,'TFS Details'!F:F,'TFS Details'!E:E)</f>
        <v>4446398</v>
      </c>
      <c r="D469" s="17" t="s">
        <v>51</v>
      </c>
      <c r="E469" s="139" t="s">
        <v>1153</v>
      </c>
      <c r="F469" s="72">
        <v>4446393</v>
      </c>
      <c r="G469" s="18" t="s">
        <v>1109</v>
      </c>
      <c r="H469" s="18" t="s">
        <v>1100</v>
      </c>
      <c r="I469" s="52" t="s">
        <v>1144</v>
      </c>
      <c r="J469" s="250" t="s">
        <v>20</v>
      </c>
      <c r="K469" s="58" t="s">
        <v>460</v>
      </c>
      <c r="L469" s="234" t="s">
        <v>460</v>
      </c>
      <c r="O469" s="273">
        <v>0.2</v>
      </c>
      <c r="Q469" s="71">
        <v>4</v>
      </c>
      <c r="R469" s="71">
        <v>5</v>
      </c>
      <c r="S469" s="71">
        <v>5</v>
      </c>
      <c r="T469" s="69">
        <v>0.4</v>
      </c>
      <c r="U469" s="69">
        <v>0.8</v>
      </c>
      <c r="V469" s="17" t="s">
        <v>216</v>
      </c>
      <c r="W469" s="234" t="s">
        <v>197</v>
      </c>
      <c r="X469" s="17" t="s">
        <v>197</v>
      </c>
      <c r="Y469" s="17" t="s">
        <v>197</v>
      </c>
      <c r="Z469" s="71">
        <v>57</v>
      </c>
      <c r="AA469" s="71">
        <v>27</v>
      </c>
      <c r="AB469" s="71">
        <v>3</v>
      </c>
      <c r="AC469" s="71">
        <v>9</v>
      </c>
      <c r="AD469" s="69">
        <v>0.7</v>
      </c>
      <c r="AE469" s="69">
        <v>0.7</v>
      </c>
      <c r="AF469" s="25" t="str">
        <f>_xlfn.XLOOKUP(F469,'TFS Details'!F:F,'TFS Details'!H:H)</f>
        <v>Ready to Deploy</v>
      </c>
      <c r="AG469" s="42">
        <v>0</v>
      </c>
      <c r="AH469" s="42">
        <v>0</v>
      </c>
      <c r="AI469" s="42">
        <v>0</v>
      </c>
      <c r="AJ469" s="42">
        <v>6</v>
      </c>
      <c r="AK469" s="38">
        <f t="shared" si="45"/>
        <v>6</v>
      </c>
      <c r="AL469" s="39">
        <f t="shared" si="46"/>
        <v>0</v>
      </c>
      <c r="AM469" s="39">
        <f t="shared" si="47"/>
        <v>0</v>
      </c>
      <c r="AO469" s="25" t="str">
        <f>_xlfn.XLOOKUP(F469,'TFS Details'!F:F,'TFS Details'!I:I)</f>
        <v>GEN AI - Solution Super Agent</v>
      </c>
      <c r="AP469" s="25" t="str">
        <f>_xlfn.XLOOKUP(AO469,'TFS Details'!I:I,'TFS Details'!AE:AE)</f>
        <v>pandidurai.ks</v>
      </c>
    </row>
    <row r="470" spans="1:42">
      <c r="A470" s="24" t="str">
        <f>_xlfn.XLOOKUP(F470,'TFS Details'!F:F,'TFS Details'!D:D)</f>
        <v>SSA</v>
      </c>
      <c r="B470" s="24" t="str">
        <f>_xlfn.XLOOKUP(F470,'TFS Details'!F:F,'TFS Details'!A:A)</f>
        <v>[GenAI -SSA] Fortnightly PII Report Summary Email Notification to Product Owners</v>
      </c>
      <c r="C470" s="46">
        <f>_xlfn.XLOOKUP(F470,'TFS Details'!F:F,'TFS Details'!E:E)</f>
        <v>4446398</v>
      </c>
      <c r="D470" s="17" t="s">
        <v>51</v>
      </c>
      <c r="E470" s="139" t="s">
        <v>1154</v>
      </c>
      <c r="F470" s="72">
        <v>4446799</v>
      </c>
      <c r="G470" s="18" t="s">
        <v>1109</v>
      </c>
      <c r="H470" s="18" t="s">
        <v>1100</v>
      </c>
      <c r="I470" s="52" t="s">
        <v>1144</v>
      </c>
      <c r="J470" s="250" t="s">
        <v>20</v>
      </c>
      <c r="K470" s="58" t="s">
        <v>460</v>
      </c>
      <c r="L470" s="234" t="s">
        <v>460</v>
      </c>
      <c r="O470" s="273">
        <v>0.2</v>
      </c>
      <c r="Q470" s="71">
        <v>5</v>
      </c>
      <c r="R470" s="71">
        <v>5</v>
      </c>
      <c r="S470" s="71">
        <v>5</v>
      </c>
      <c r="T470" s="69">
        <v>0.45</v>
      </c>
      <c r="U470" s="69">
        <v>0.65</v>
      </c>
      <c r="V470" s="17" t="s">
        <v>216</v>
      </c>
      <c r="W470" s="234" t="s">
        <v>197</v>
      </c>
      <c r="X470" s="17" t="s">
        <v>197</v>
      </c>
      <c r="Y470" s="17" t="s">
        <v>197</v>
      </c>
      <c r="Z470" s="71">
        <v>41</v>
      </c>
      <c r="AA470" s="71">
        <v>21</v>
      </c>
      <c r="AB470" s="71">
        <v>2</v>
      </c>
      <c r="AC470" s="71">
        <v>9</v>
      </c>
      <c r="AD470" s="69">
        <v>0.5</v>
      </c>
      <c r="AE470" s="69">
        <v>0.5</v>
      </c>
      <c r="AF470" s="25" t="str">
        <f>_xlfn.XLOOKUP(F470,'TFS Details'!F:F,'TFS Details'!H:H)</f>
        <v>Active</v>
      </c>
      <c r="AG470" s="42">
        <v>0</v>
      </c>
      <c r="AH470" s="42">
        <v>0</v>
      </c>
      <c r="AI470" s="42">
        <v>0</v>
      </c>
      <c r="AJ470" s="42">
        <v>9</v>
      </c>
      <c r="AK470" s="38">
        <f t="shared" si="45"/>
        <v>9</v>
      </c>
      <c r="AL470" s="39">
        <f t="shared" si="46"/>
        <v>0</v>
      </c>
      <c r="AM470" s="39">
        <f t="shared" si="47"/>
        <v>0</v>
      </c>
      <c r="AO470" s="25" t="str">
        <f>_xlfn.XLOOKUP(F470,'TFS Details'!F:F,'TFS Details'!I:I)</f>
        <v>GEN AI - Solution Super Agent</v>
      </c>
      <c r="AP470" s="25" t="str">
        <f>_xlfn.XLOOKUP(AO470,'TFS Details'!I:I,'TFS Details'!AE:AE)</f>
        <v>pandidurai.ks</v>
      </c>
    </row>
    <row r="471" spans="1:42" ht="48">
      <c r="A471" s="24" t="str">
        <f>_xlfn.XLOOKUP(F471,'TFS Details'!F:F,'TFS Details'!D:D)</f>
        <v>SSA</v>
      </c>
      <c r="B471" s="24" t="str">
        <f>_xlfn.XLOOKUP(F471,'TFS Details'!F:F,'TFS Details'!A:A)</f>
        <v>[GenAI-SSA] Capture Action and View Based Telemetry metric that get prompted Via SSA</v>
      </c>
      <c r="C471" s="46">
        <f>_xlfn.XLOOKUP(F471,'TFS Details'!F:F,'TFS Details'!E:E)</f>
        <v>4447234</v>
      </c>
      <c r="D471" s="17" t="s">
        <v>51</v>
      </c>
      <c r="E471" s="239" t="s">
        <v>1155</v>
      </c>
      <c r="F471" s="72">
        <v>4447233</v>
      </c>
      <c r="G471" s="18" t="s">
        <v>1134</v>
      </c>
      <c r="H471" s="18" t="s">
        <v>1133</v>
      </c>
      <c r="I471" s="52" t="s">
        <v>65</v>
      </c>
      <c r="J471" s="250" t="s">
        <v>1</v>
      </c>
      <c r="K471" s="58" t="s">
        <v>1156</v>
      </c>
      <c r="L471" s="234" t="s">
        <v>1137</v>
      </c>
      <c r="M471" s="20" t="s">
        <v>311</v>
      </c>
      <c r="O471" s="273">
        <v>0.9</v>
      </c>
      <c r="P471" s="171">
        <v>1</v>
      </c>
      <c r="Q471" s="71">
        <v>4</v>
      </c>
      <c r="R471" s="71">
        <v>7</v>
      </c>
      <c r="S471" s="71">
        <v>7</v>
      </c>
      <c r="T471" s="69">
        <v>0.5</v>
      </c>
      <c r="U471" s="69">
        <v>0.7</v>
      </c>
      <c r="V471" s="17" t="s">
        <v>204</v>
      </c>
      <c r="W471" s="17" t="s">
        <v>204</v>
      </c>
      <c r="X471" s="17" t="s">
        <v>204</v>
      </c>
      <c r="Y471" s="17" t="s">
        <v>216</v>
      </c>
      <c r="Z471" s="171">
        <v>22</v>
      </c>
      <c r="AA471" s="171">
        <v>0</v>
      </c>
      <c r="AB471" s="171">
        <v>9</v>
      </c>
      <c r="AC471" s="171">
        <v>9</v>
      </c>
      <c r="AD471" s="249">
        <v>0.1</v>
      </c>
      <c r="AE471" s="33">
        <v>0.05</v>
      </c>
      <c r="AF471" s="25" t="str">
        <f>_xlfn.XLOOKUP(F471,'TFS Details'!F:F,'TFS Details'!H:H)</f>
        <v>Awaiting UAT deployment</v>
      </c>
      <c r="AG471" s="42">
        <v>7</v>
      </c>
      <c r="AH471" s="42">
        <v>1</v>
      </c>
      <c r="AI471" s="42">
        <v>0</v>
      </c>
      <c r="AJ471" s="42">
        <v>1</v>
      </c>
      <c r="AK471" s="38">
        <f t="shared" si="45"/>
        <v>9</v>
      </c>
      <c r="AL471" s="39">
        <f t="shared" si="46"/>
        <v>0.88888888888888884</v>
      </c>
      <c r="AM471" s="39">
        <f t="shared" si="47"/>
        <v>0.875</v>
      </c>
      <c r="AO471" s="25" t="str">
        <f>_xlfn.XLOOKUP(F471,'TFS Details'!F:F,'TFS Details'!I:I)</f>
        <v>GEN AI - Solution Super Agent</v>
      </c>
      <c r="AP471" s="25" t="str">
        <f>_xlfn.XLOOKUP(AO471,'TFS Details'!I:I,'TFS Details'!AE:AE)</f>
        <v>pandidurai.ks</v>
      </c>
    </row>
    <row r="472" spans="1:42">
      <c r="A472" s="24" t="str">
        <f>_xlfn.XLOOKUP(F472,'TFS Details'!F:F,'TFS Details'!D:D)</f>
        <v>SSA</v>
      </c>
      <c r="B472" s="24" t="str">
        <f>_xlfn.XLOOKUP(F472,'TFS Details'!F:F,'TFS Details'!A:A)</f>
        <v>[GenAI-SSA] Add Prompt Document with Attachment &amp; Extract to Instruction/Query Fields</v>
      </c>
      <c r="C472" s="46">
        <f>_xlfn.XLOOKUP(F472,'TFS Details'!F:F,'TFS Details'!E:E)</f>
        <v>4447238</v>
      </c>
      <c r="D472" s="17" t="s">
        <v>51</v>
      </c>
      <c r="E472" s="139" t="s">
        <v>1157</v>
      </c>
      <c r="F472" s="72">
        <v>4447237</v>
      </c>
      <c r="G472" s="18" t="s">
        <v>1074</v>
      </c>
      <c r="H472" s="18" t="s">
        <v>1073</v>
      </c>
      <c r="I472" s="52" t="s">
        <v>109</v>
      </c>
      <c r="J472" s="250" t="s">
        <v>20</v>
      </c>
      <c r="K472" s="58" t="s">
        <v>1158</v>
      </c>
      <c r="L472" s="234" t="s">
        <v>1141</v>
      </c>
      <c r="M472" s="20" t="s">
        <v>311</v>
      </c>
      <c r="O472" s="273">
        <v>0.2</v>
      </c>
      <c r="P472" s="241">
        <v>14</v>
      </c>
      <c r="Q472" s="71">
        <v>3</v>
      </c>
      <c r="R472" s="71">
        <v>7</v>
      </c>
      <c r="S472" s="71">
        <v>7</v>
      </c>
      <c r="T472" s="69">
        <v>0.6</v>
      </c>
      <c r="U472" s="69">
        <v>0.7</v>
      </c>
      <c r="V472" s="17" t="s">
        <v>204</v>
      </c>
      <c r="W472" s="234" t="s">
        <v>216</v>
      </c>
      <c r="X472" s="234" t="s">
        <v>204</v>
      </c>
      <c r="Y472" s="17" t="s">
        <v>216</v>
      </c>
      <c r="Z472" s="241">
        <v>15</v>
      </c>
      <c r="AA472" s="71">
        <v>3</v>
      </c>
      <c r="AB472" s="71">
        <v>7</v>
      </c>
      <c r="AC472" s="71">
        <v>7</v>
      </c>
      <c r="AD472" s="69">
        <v>0.6</v>
      </c>
      <c r="AE472" s="69">
        <v>0.7</v>
      </c>
      <c r="AF472" s="25" t="str">
        <f>_xlfn.XLOOKUP(F472,'TFS Details'!F:F,'TFS Details'!H:H)</f>
        <v>PT In Test</v>
      </c>
      <c r="AG472" s="42">
        <v>2</v>
      </c>
      <c r="AH472" s="42">
        <v>0</v>
      </c>
      <c r="AI472" s="42">
        <v>0</v>
      </c>
      <c r="AJ472" s="42">
        <v>5</v>
      </c>
      <c r="AK472" s="38">
        <f t="shared" si="45"/>
        <v>7</v>
      </c>
      <c r="AL472" s="39">
        <f t="shared" si="46"/>
        <v>0.2857142857142857</v>
      </c>
      <c r="AM472" s="39">
        <f t="shared" si="47"/>
        <v>1</v>
      </c>
      <c r="AO472" s="25" t="str">
        <f>_xlfn.XLOOKUP(F472,'TFS Details'!F:F,'TFS Details'!I:I)</f>
        <v>GEN AI - Solution Super Agent</v>
      </c>
      <c r="AP472" s="25" t="str">
        <f>_xlfn.XLOOKUP(AO472,'TFS Details'!I:I,'TFS Details'!AE:AE)</f>
        <v>pandidurai.ks</v>
      </c>
    </row>
    <row r="473" spans="1:42">
      <c r="A473" s="24" t="str">
        <f>_xlfn.XLOOKUP(F473,'TFS Details'!F:F,'TFS Details'!D:D)</f>
        <v>SSA</v>
      </c>
      <c r="B473" s="24" t="str">
        <f>_xlfn.XLOOKUP(F473,'TFS Details'!F:F,'TFS Details'!A:A)</f>
        <v>[GenAI - SSA] - Solution Super Agent Additional features</v>
      </c>
      <c r="C473" s="46">
        <f>_xlfn.XLOOKUP(F473,'TFS Details'!F:F,'TFS Details'!E:E)</f>
        <v>4358170</v>
      </c>
      <c r="D473" s="17" t="s">
        <v>51</v>
      </c>
      <c r="E473" s="139" t="s">
        <v>1159</v>
      </c>
      <c r="F473" s="72">
        <v>4446825</v>
      </c>
      <c r="G473" s="18" t="s">
        <v>1074</v>
      </c>
      <c r="H473" s="18" t="s">
        <v>1073</v>
      </c>
      <c r="I473" s="52" t="s">
        <v>109</v>
      </c>
      <c r="J473" s="66" t="s">
        <v>1</v>
      </c>
      <c r="L473" s="234"/>
      <c r="M473" s="20" t="s">
        <v>461</v>
      </c>
      <c r="O473" s="273">
        <v>0.2</v>
      </c>
      <c r="P473" s="241">
        <v>15</v>
      </c>
      <c r="Q473" s="71">
        <v>5</v>
      </c>
      <c r="R473" s="71">
        <v>5</v>
      </c>
      <c r="S473" s="71">
        <v>5</v>
      </c>
      <c r="T473" s="69">
        <v>0.5</v>
      </c>
      <c r="U473" s="69">
        <v>0.5</v>
      </c>
      <c r="V473" s="17" t="s">
        <v>204</v>
      </c>
      <c r="W473" s="234" t="s">
        <v>216</v>
      </c>
      <c r="X473" s="234" t="s">
        <v>204</v>
      </c>
      <c r="Y473" s="17" t="s">
        <v>216</v>
      </c>
      <c r="Z473" s="71">
        <v>15</v>
      </c>
      <c r="AA473" s="71">
        <v>5</v>
      </c>
      <c r="AB473" s="71">
        <v>5</v>
      </c>
      <c r="AC473" s="71">
        <v>5</v>
      </c>
      <c r="AD473" s="69">
        <v>0.5</v>
      </c>
      <c r="AE473" s="69">
        <v>0.5</v>
      </c>
      <c r="AF473" s="25" t="str">
        <f>_xlfn.XLOOKUP(F473,'TFS Details'!F:F,'TFS Details'!H:H)</f>
        <v>PT In Test</v>
      </c>
      <c r="AG473" s="42">
        <v>2</v>
      </c>
      <c r="AH473" s="42">
        <v>0</v>
      </c>
      <c r="AI473" s="42">
        <v>0</v>
      </c>
      <c r="AJ473" s="42">
        <v>3</v>
      </c>
      <c r="AK473" s="38">
        <f t="shared" si="45"/>
        <v>5</v>
      </c>
      <c r="AL473" s="39">
        <f t="shared" si="46"/>
        <v>0.4</v>
      </c>
      <c r="AM473" s="39">
        <f t="shared" si="47"/>
        <v>1</v>
      </c>
      <c r="AO473" s="25" t="str">
        <f>_xlfn.XLOOKUP(F473,'TFS Details'!F:F,'TFS Details'!I:I)</f>
        <v>GEN AI - Solution Super Agent</v>
      </c>
      <c r="AP473" s="25" t="str">
        <f>_xlfn.XLOOKUP(AO473,'TFS Details'!I:I,'TFS Details'!AE:AE)</f>
        <v>pandidurai.ks</v>
      </c>
    </row>
    <row r="474" spans="1:42" ht="24">
      <c r="A474" s="24" t="str">
        <f>_xlfn.XLOOKUP(F474,'TFS Details'!F:F,'TFS Details'!D:D)</f>
        <v>Gen AI</v>
      </c>
      <c r="B474" s="24" t="str">
        <f>_xlfn.XLOOKUP(F474,'TFS Details'!F:F,'TFS Details'!A:A)</f>
        <v>[Gen AI - SSA] - Goal based action for RFP Sythesis</v>
      </c>
      <c r="C474" s="46">
        <f>_xlfn.XLOOKUP(F474,'TFS Details'!F:F,'TFS Details'!E:E)</f>
        <v>4434675</v>
      </c>
      <c r="D474" s="17" t="s">
        <v>51</v>
      </c>
      <c r="E474" s="139" t="s">
        <v>1160</v>
      </c>
      <c r="F474" s="72">
        <v>4450301</v>
      </c>
      <c r="G474" s="18" t="s">
        <v>1134</v>
      </c>
      <c r="H474" s="18" t="s">
        <v>1133</v>
      </c>
      <c r="I474" s="52" t="s">
        <v>65</v>
      </c>
      <c r="J474" s="250" t="s">
        <v>20</v>
      </c>
      <c r="K474" s="58" t="s">
        <v>1161</v>
      </c>
      <c r="L474" s="234" t="s">
        <v>1137</v>
      </c>
      <c r="M474" s="20" t="s">
        <v>311</v>
      </c>
      <c r="O474" s="273">
        <v>0.1</v>
      </c>
      <c r="P474" s="171">
        <v>1</v>
      </c>
      <c r="Q474" s="71">
        <v>4</v>
      </c>
      <c r="R474" s="71">
        <v>5</v>
      </c>
      <c r="S474" s="71">
        <v>5</v>
      </c>
      <c r="T474" s="69">
        <v>0.4</v>
      </c>
      <c r="U474" s="69">
        <v>0.8</v>
      </c>
      <c r="V474" s="17" t="s">
        <v>204</v>
      </c>
      <c r="W474" s="17" t="s">
        <v>204</v>
      </c>
      <c r="X474" s="17" t="s">
        <v>204</v>
      </c>
      <c r="Y474" s="17" t="s">
        <v>197</v>
      </c>
      <c r="Z474" s="171">
        <v>28</v>
      </c>
      <c r="AA474" s="71">
        <v>0</v>
      </c>
      <c r="AB474" s="71">
        <v>15</v>
      </c>
      <c r="AC474" s="71">
        <v>15</v>
      </c>
      <c r="AD474" s="249">
        <v>0.1</v>
      </c>
      <c r="AE474" s="33">
        <v>0.05</v>
      </c>
      <c r="AF474" s="25" t="str">
        <f>_xlfn.XLOOKUP(F474,'TFS Details'!F:F,'TFS Details'!H:H)</f>
        <v>Active</v>
      </c>
      <c r="AG474" s="42">
        <v>0</v>
      </c>
      <c r="AH474" s="42">
        <v>0</v>
      </c>
      <c r="AI474" s="42">
        <v>0</v>
      </c>
      <c r="AJ474" s="42">
        <v>15</v>
      </c>
      <c r="AK474" s="38">
        <f t="shared" si="45"/>
        <v>15</v>
      </c>
      <c r="AL474" s="39">
        <f t="shared" si="46"/>
        <v>0</v>
      </c>
      <c r="AM474" s="39">
        <f t="shared" si="47"/>
        <v>0</v>
      </c>
      <c r="AO474" s="25" t="str">
        <f>_xlfn.XLOOKUP(F474,'TFS Details'!F:F,'TFS Details'!I:I)</f>
        <v>GEN AI - Solution Super Agent</v>
      </c>
      <c r="AP474" s="25" t="str">
        <f>_xlfn.XLOOKUP(AO474,'TFS Details'!I:I,'TFS Details'!AE:AE)</f>
        <v>pandidurai.ks</v>
      </c>
    </row>
    <row r="475" spans="1:42" ht="36">
      <c r="A475" s="24" t="str">
        <f>_xlfn.XLOOKUP(F475,'TFS Details'!F:F,'TFS Details'!D:D)</f>
        <v>Gen AI</v>
      </c>
      <c r="B475" s="24" t="str">
        <f>_xlfn.XLOOKUP(F475,'TFS Details'!F:F,'TFS Details'!A:A)</f>
        <v>[Gen AI - SSA] - Goal based action for RFP Sythesis</v>
      </c>
      <c r="C475" s="46">
        <f>_xlfn.XLOOKUP(F475,'TFS Details'!F:F,'TFS Details'!E:E)</f>
        <v>4434675</v>
      </c>
      <c r="D475" s="17" t="s">
        <v>51</v>
      </c>
      <c r="E475" s="139" t="s">
        <v>1162</v>
      </c>
      <c r="F475" s="72">
        <v>4450302</v>
      </c>
      <c r="G475" s="18" t="s">
        <v>1134</v>
      </c>
      <c r="H475" s="18" t="s">
        <v>1133</v>
      </c>
      <c r="I475" s="52" t="s">
        <v>65</v>
      </c>
      <c r="J475" s="66" t="s">
        <v>20</v>
      </c>
      <c r="K475" s="58" t="s">
        <v>1163</v>
      </c>
      <c r="L475" s="234"/>
      <c r="M475" s="20" t="s">
        <v>311</v>
      </c>
      <c r="O475" s="33">
        <v>0.1</v>
      </c>
      <c r="P475" s="171">
        <v>1</v>
      </c>
      <c r="Q475" s="171">
        <v>0</v>
      </c>
      <c r="R475" s="171">
        <v>1</v>
      </c>
      <c r="S475" s="171">
        <v>1</v>
      </c>
      <c r="T475" s="33">
        <v>0.05</v>
      </c>
      <c r="U475" s="33">
        <v>0.02</v>
      </c>
      <c r="V475" s="17" t="s">
        <v>204</v>
      </c>
      <c r="W475" s="17" t="s">
        <v>204</v>
      </c>
      <c r="X475" s="17" t="s">
        <v>204</v>
      </c>
      <c r="Y475" s="17" t="s">
        <v>197</v>
      </c>
      <c r="Z475" s="171">
        <v>35</v>
      </c>
      <c r="AA475" s="71">
        <v>0</v>
      </c>
      <c r="AB475" s="71">
        <v>12</v>
      </c>
      <c r="AC475" s="71">
        <v>12</v>
      </c>
      <c r="AD475" s="249">
        <v>0.1</v>
      </c>
      <c r="AE475" s="33">
        <v>0.05</v>
      </c>
      <c r="AF475" s="25" t="str">
        <f>_xlfn.XLOOKUP(F475,'TFS Details'!F:F,'TFS Details'!H:H)</f>
        <v>Ready to Deploy</v>
      </c>
      <c r="AG475" s="42">
        <v>0</v>
      </c>
      <c r="AH475" s="42">
        <v>0</v>
      </c>
      <c r="AI475" s="42">
        <v>0</v>
      </c>
      <c r="AJ475" s="38">
        <v>12</v>
      </c>
      <c r="AK475" s="260">
        <f>SUM(AG475:AJ475)</f>
        <v>12</v>
      </c>
      <c r="AL475" s="39">
        <f>IF(AG475+AH475=0,0,SUM(AG475:AH475)/AK475)</f>
        <v>0</v>
      </c>
      <c r="AM475" s="39">
        <f t="shared" si="47"/>
        <v>0</v>
      </c>
      <c r="AO475" s="25" t="str">
        <f>_xlfn.XLOOKUP(F475,'TFS Details'!F:F,'TFS Details'!I:I)</f>
        <v>GEN AI - Solution Super Agent</v>
      </c>
      <c r="AP475" s="25" t="str">
        <f>_xlfn.XLOOKUP(AO475,'TFS Details'!I:I,'TFS Details'!AE:AE)</f>
        <v>pandidurai.ks</v>
      </c>
    </row>
    <row r="476" spans="1:42">
      <c r="A476" s="24" t="str">
        <f>_xlfn.XLOOKUP(F476,'TFS Details'!F:F,'TFS Details'!D:D)</f>
        <v>Gen AI</v>
      </c>
      <c r="B476" s="24" t="str">
        <f>_xlfn.XLOOKUP(F476,'TFS Details'!F:F,'TFS Details'!A:A)</f>
        <v>[Gen AI - SSA] - Goal based action for RFP Sythesis</v>
      </c>
      <c r="C476" s="46">
        <f>_xlfn.XLOOKUP(F476,'TFS Details'!F:F,'TFS Details'!E:E)</f>
        <v>4434675</v>
      </c>
      <c r="D476" s="17" t="s">
        <v>51</v>
      </c>
      <c r="E476" s="139" t="s">
        <v>1164</v>
      </c>
      <c r="F476" s="72">
        <v>4450306</v>
      </c>
      <c r="G476" s="18" t="s">
        <v>239</v>
      </c>
      <c r="H476" s="18" t="s">
        <v>238</v>
      </c>
      <c r="I476" s="18" t="s">
        <v>239</v>
      </c>
      <c r="J476" s="250" t="s">
        <v>20</v>
      </c>
      <c r="K476" s="58" t="s">
        <v>1165</v>
      </c>
      <c r="L476" s="234" t="s">
        <v>1137</v>
      </c>
      <c r="O476" s="273">
        <v>0.1</v>
      </c>
      <c r="P476" s="241">
        <v>28</v>
      </c>
      <c r="V476" s="17" t="s">
        <v>204</v>
      </c>
      <c r="W476" s="234" t="s">
        <v>204</v>
      </c>
      <c r="X476" s="17" t="s">
        <v>197</v>
      </c>
      <c r="Y476" s="17" t="s">
        <v>197</v>
      </c>
      <c r="AF476" s="25" t="str">
        <f>_xlfn.XLOOKUP(F476,'TFS Details'!F:F,'TFS Details'!H:H)</f>
        <v>Active</v>
      </c>
      <c r="AG476" s="42">
        <v>0</v>
      </c>
      <c r="AH476" s="42">
        <v>0</v>
      </c>
      <c r="AI476" s="42">
        <v>0</v>
      </c>
      <c r="AJ476" s="241">
        <v>28</v>
      </c>
      <c r="AK476" s="38">
        <f>SUM(AG476:AJ476)</f>
        <v>28</v>
      </c>
      <c r="AL476" s="39">
        <f t="shared" si="46"/>
        <v>0</v>
      </c>
      <c r="AM476" s="39">
        <f t="shared" si="47"/>
        <v>0</v>
      </c>
      <c r="AO476" s="25" t="str">
        <f>_xlfn.XLOOKUP(F476,'TFS Details'!F:F,'TFS Details'!I:I)</f>
        <v>GEN AI - Solution Super Agent</v>
      </c>
      <c r="AP476" s="25" t="str">
        <f>_xlfn.XLOOKUP(AO476,'TFS Details'!I:I,'TFS Details'!AE:AE)</f>
        <v>pandidurai.ks</v>
      </c>
    </row>
    <row r="477" spans="1:42">
      <c r="A477" s="24" t="str">
        <f>_xlfn.XLOOKUP(F477,'TFS Details'!F:F,'TFS Details'!D:D)</f>
        <v>Gen AI</v>
      </c>
      <c r="B477" s="24" t="str">
        <f>_xlfn.XLOOKUP(F477,'TFS Details'!F:F,'TFS Details'!A:A)</f>
        <v>[Gen AI - SSA] - Goal based action for RFP Sythesis</v>
      </c>
      <c r="C477" s="46">
        <f>_xlfn.XLOOKUP(F477,'TFS Details'!F:F,'TFS Details'!E:E)</f>
        <v>4434675</v>
      </c>
      <c r="D477" s="17" t="s">
        <v>51</v>
      </c>
      <c r="E477" s="139" t="s">
        <v>1166</v>
      </c>
      <c r="F477" s="72">
        <v>4450307</v>
      </c>
      <c r="G477" s="18" t="s">
        <v>239</v>
      </c>
      <c r="H477" s="18" t="s">
        <v>238</v>
      </c>
      <c r="I477" s="18" t="s">
        <v>239</v>
      </c>
      <c r="J477" s="250" t="s">
        <v>20</v>
      </c>
      <c r="K477" s="58" t="s">
        <v>1165</v>
      </c>
      <c r="L477" s="234" t="s">
        <v>1137</v>
      </c>
      <c r="O477" s="273">
        <v>0.1</v>
      </c>
      <c r="P477" s="241">
        <v>33</v>
      </c>
      <c r="V477" s="17" t="s">
        <v>204</v>
      </c>
      <c r="W477" s="234" t="s">
        <v>204</v>
      </c>
      <c r="X477" s="17" t="s">
        <v>197</v>
      </c>
      <c r="Y477" s="17" t="s">
        <v>197</v>
      </c>
      <c r="AF477" s="25" t="str">
        <f>_xlfn.XLOOKUP(F477,'TFS Details'!F:F,'TFS Details'!H:H)</f>
        <v>New</v>
      </c>
      <c r="AG477" s="42">
        <v>0</v>
      </c>
      <c r="AH477" s="42">
        <v>0</v>
      </c>
      <c r="AI477" s="42">
        <v>0</v>
      </c>
      <c r="AJ477" s="241">
        <v>33</v>
      </c>
      <c r="AK477" s="38">
        <f>SUM(AG477:AJ477)</f>
        <v>33</v>
      </c>
      <c r="AL477" s="39">
        <f t="shared" si="46"/>
        <v>0</v>
      </c>
      <c r="AM477" s="39">
        <f t="shared" si="47"/>
        <v>0</v>
      </c>
      <c r="AO477" s="25" t="str">
        <f>_xlfn.XLOOKUP(F477,'TFS Details'!F:F,'TFS Details'!I:I)</f>
        <v>GEN AI - Solution Super Agent</v>
      </c>
      <c r="AP477" s="25" t="str">
        <f>_xlfn.XLOOKUP(AO477,'TFS Details'!I:I,'TFS Details'!AE:AE)</f>
        <v>pandidurai.ks</v>
      </c>
    </row>
    <row r="478" spans="1:42">
      <c r="A478" s="24" t="str">
        <f>_xlfn.XLOOKUP(F478,'TFS Details'!F:F,'TFS Details'!D:D)</f>
        <v>Gen AI</v>
      </c>
      <c r="B478" s="24" t="str">
        <f>_xlfn.XLOOKUP(F478,'TFS Details'!F:F,'TFS Details'!A:A)</f>
        <v>[Gen AI - SSA] - Goal based action for DLC</v>
      </c>
      <c r="C478" s="46">
        <f>_xlfn.XLOOKUP(F478,'TFS Details'!F:F,'TFS Details'!E:E)</f>
        <v>4450308</v>
      </c>
      <c r="D478" s="17" t="s">
        <v>51</v>
      </c>
      <c r="E478" s="139" t="s">
        <v>1167</v>
      </c>
      <c r="F478" s="72">
        <v>4450310</v>
      </c>
      <c r="G478" s="18" t="s">
        <v>239</v>
      </c>
      <c r="H478" s="18" t="s">
        <v>238</v>
      </c>
      <c r="I478" s="18" t="s">
        <v>239</v>
      </c>
      <c r="J478" s="250" t="s">
        <v>20</v>
      </c>
      <c r="K478" s="58" t="s">
        <v>1165</v>
      </c>
      <c r="L478" s="234" t="s">
        <v>1137</v>
      </c>
      <c r="O478" s="273">
        <v>0.1</v>
      </c>
      <c r="P478" s="241">
        <v>29</v>
      </c>
      <c r="V478" s="17" t="s">
        <v>204</v>
      </c>
      <c r="W478" s="234" t="s">
        <v>204</v>
      </c>
      <c r="X478" s="17" t="s">
        <v>197</v>
      </c>
      <c r="Y478" s="17" t="s">
        <v>197</v>
      </c>
      <c r="AF478" s="25" t="str">
        <f>_xlfn.XLOOKUP(F478,'TFS Details'!F:F,'TFS Details'!H:H)</f>
        <v>Active</v>
      </c>
      <c r="AG478" s="42">
        <v>0</v>
      </c>
      <c r="AH478" s="42">
        <v>0</v>
      </c>
      <c r="AI478" s="42">
        <v>0</v>
      </c>
      <c r="AJ478" s="241">
        <v>29</v>
      </c>
      <c r="AK478" s="38">
        <f>SUM(AG478:AJ478)</f>
        <v>29</v>
      </c>
      <c r="AL478" s="39">
        <f t="shared" si="46"/>
        <v>0</v>
      </c>
      <c r="AM478" s="39">
        <f t="shared" si="47"/>
        <v>0</v>
      </c>
      <c r="AO478" s="25" t="str">
        <f>_xlfn.XLOOKUP(F478,'TFS Details'!F:F,'TFS Details'!I:I)</f>
        <v>GEN AI - Solution Super Agent</v>
      </c>
      <c r="AP478" s="25" t="str">
        <f>_xlfn.XLOOKUP(AO478,'TFS Details'!I:I,'TFS Details'!AE:AE)</f>
        <v>pandidurai.ks</v>
      </c>
    </row>
    <row r="479" spans="1:42">
      <c r="A479" s="24" t="str">
        <f>_xlfn.XLOOKUP(F479,'TFS Details'!F:F,'TFS Details'!D:D)</f>
        <v>Gen AI</v>
      </c>
      <c r="B479" s="24" t="str">
        <f>_xlfn.XLOOKUP(F479,'TFS Details'!F:F,'TFS Details'!A:A)</f>
        <v>[Gen AI - SSA] - Goal based action for DLC</v>
      </c>
      <c r="C479" s="46">
        <f>_xlfn.XLOOKUP(F479,'TFS Details'!F:F,'TFS Details'!E:E)</f>
        <v>4450308</v>
      </c>
      <c r="D479" s="17" t="s">
        <v>51</v>
      </c>
      <c r="E479" s="139" t="s">
        <v>1168</v>
      </c>
      <c r="F479" s="72">
        <v>4450311</v>
      </c>
      <c r="G479" s="18" t="s">
        <v>239</v>
      </c>
      <c r="H479" s="18" t="s">
        <v>238</v>
      </c>
      <c r="I479" s="18" t="s">
        <v>239</v>
      </c>
      <c r="J479" s="250" t="s">
        <v>20</v>
      </c>
      <c r="K479" s="58" t="s">
        <v>1165</v>
      </c>
      <c r="L479" s="234" t="s">
        <v>1137</v>
      </c>
      <c r="O479" s="273">
        <v>0.1</v>
      </c>
      <c r="P479" s="241">
        <v>30</v>
      </c>
      <c r="V479" s="17" t="s">
        <v>204</v>
      </c>
      <c r="W479" s="234" t="s">
        <v>204</v>
      </c>
      <c r="X479" s="17" t="s">
        <v>197</v>
      </c>
      <c r="Y479" s="17" t="s">
        <v>197</v>
      </c>
      <c r="AF479" s="25" t="str">
        <f>_xlfn.XLOOKUP(F479,'TFS Details'!F:F,'TFS Details'!H:H)</f>
        <v>Active</v>
      </c>
      <c r="AG479" s="42">
        <v>0</v>
      </c>
      <c r="AH479" s="42">
        <v>0</v>
      </c>
      <c r="AI479" s="42">
        <v>0</v>
      </c>
      <c r="AJ479" s="241">
        <v>30</v>
      </c>
      <c r="AK479" s="38">
        <f>SUM(AG479:AJ479)</f>
        <v>30</v>
      </c>
      <c r="AL479" s="39">
        <f t="shared" si="46"/>
        <v>0</v>
      </c>
      <c r="AM479" s="39">
        <f t="shared" si="47"/>
        <v>0</v>
      </c>
      <c r="AO479" s="25" t="str">
        <f>_xlfn.XLOOKUP(F479,'TFS Details'!F:F,'TFS Details'!I:I)</f>
        <v>GEN AI - Solution Super Agent</v>
      </c>
      <c r="AP479" s="25" t="str">
        <f>_xlfn.XLOOKUP(AO479,'TFS Details'!I:I,'TFS Details'!AE:AE)</f>
        <v>pandidurai.ks</v>
      </c>
    </row>
    <row r="480" spans="1:42">
      <c r="A480" s="24" t="str">
        <f>_xlfn.XLOOKUP(F480,'TFS Details'!F:F,'TFS Details'!D:D)</f>
        <v>Gen AI</v>
      </c>
      <c r="B480" s="24" t="str">
        <f>_xlfn.XLOOKUP(F480,'TFS Details'!F:F,'TFS Details'!A:A)</f>
        <v>[Gen AI - SSA] - Goal based action for DLC</v>
      </c>
      <c r="C480" s="46">
        <f>_xlfn.XLOOKUP(F480,'TFS Details'!F:F,'TFS Details'!E:E)</f>
        <v>4450308</v>
      </c>
      <c r="D480" s="17" t="s">
        <v>51</v>
      </c>
      <c r="E480" s="139" t="s">
        <v>1169</v>
      </c>
      <c r="F480" s="72">
        <v>4450313</v>
      </c>
      <c r="G480" s="18" t="s">
        <v>239</v>
      </c>
      <c r="H480" s="18" t="s">
        <v>238</v>
      </c>
      <c r="I480" s="18" t="s">
        <v>239</v>
      </c>
      <c r="J480" s="250" t="s">
        <v>20</v>
      </c>
      <c r="K480" s="58" t="s">
        <v>1165</v>
      </c>
      <c r="L480" s="234" t="s">
        <v>1137</v>
      </c>
      <c r="O480" s="273">
        <v>0.1</v>
      </c>
      <c r="P480" s="241">
        <v>30</v>
      </c>
      <c r="V480" s="17" t="s">
        <v>204</v>
      </c>
      <c r="W480" s="234" t="s">
        <v>204</v>
      </c>
      <c r="X480" s="17" t="s">
        <v>197</v>
      </c>
      <c r="Y480" s="17" t="s">
        <v>197</v>
      </c>
      <c r="AF480" s="25" t="str">
        <f>_xlfn.XLOOKUP(F480,'TFS Details'!F:F,'TFS Details'!H:H)</f>
        <v>Ready to Deploy</v>
      </c>
      <c r="AG480" s="42">
        <v>0</v>
      </c>
      <c r="AH480" s="42">
        <v>0</v>
      </c>
      <c r="AI480" s="42">
        <v>0</v>
      </c>
      <c r="AJ480" s="241">
        <v>30</v>
      </c>
      <c r="AK480" s="38">
        <f>SUM(AG480:AJ480)</f>
        <v>30</v>
      </c>
      <c r="AL480" s="39">
        <f t="shared" si="46"/>
        <v>0</v>
      </c>
      <c r="AM480" s="39">
        <f t="shared" si="47"/>
        <v>0</v>
      </c>
      <c r="AO480" s="25" t="str">
        <f>_xlfn.XLOOKUP(F480,'TFS Details'!F:F,'TFS Details'!I:I)</f>
        <v>GEN AI - Solution Super Agent</v>
      </c>
      <c r="AP480" s="25" t="str">
        <f>_xlfn.XLOOKUP(AO480,'TFS Details'!I:I,'TFS Details'!AE:AE)</f>
        <v>pandidurai.ks</v>
      </c>
    </row>
    <row r="481" spans="1:42">
      <c r="A481" s="24" t="str">
        <f>_xlfn.XLOOKUP(F481,'TFS Details'!F:F,'TFS Details'!D:D)</f>
        <v>Gen AI</v>
      </c>
      <c r="B481" s="24" t="str">
        <f>_xlfn.XLOOKUP(F481,'TFS Details'!F:F,'TFS Details'!A:A)</f>
        <v>[Gen AI - SSA] - Goal based action for RFP Sythesis</v>
      </c>
      <c r="C481" s="46">
        <f>_xlfn.XLOOKUP(F481,'TFS Details'!F:F,'TFS Details'!E:E)</f>
        <v>4434675</v>
      </c>
      <c r="D481" s="17" t="s">
        <v>51</v>
      </c>
      <c r="E481" s="139" t="s">
        <v>1170</v>
      </c>
      <c r="F481" s="72">
        <v>4434702</v>
      </c>
      <c r="G481" s="18" t="s">
        <v>1109</v>
      </c>
      <c r="H481" s="18" t="s">
        <v>1100</v>
      </c>
      <c r="I481" s="52" t="s">
        <v>1144</v>
      </c>
      <c r="J481" s="250" t="s">
        <v>20</v>
      </c>
      <c r="K481" s="58" t="s">
        <v>1165</v>
      </c>
      <c r="L481" s="234" t="s">
        <v>1137</v>
      </c>
      <c r="O481" s="273">
        <v>0.15</v>
      </c>
      <c r="V481" s="17" t="s">
        <v>216</v>
      </c>
      <c r="W481" s="234" t="s">
        <v>197</v>
      </c>
      <c r="X481" s="17" t="s">
        <v>197</v>
      </c>
      <c r="Y481" s="17" t="s">
        <v>197</v>
      </c>
      <c r="Z481" s="71">
        <v>43</v>
      </c>
      <c r="AF481" s="25" t="str">
        <f>_xlfn.XLOOKUP(F481,'TFS Details'!F:F,'TFS Details'!H:H)</f>
        <v>Ready to Deploy</v>
      </c>
      <c r="AG481" s="42">
        <v>0</v>
      </c>
      <c r="AH481" s="42">
        <v>0</v>
      </c>
      <c r="AI481" s="42">
        <v>0</v>
      </c>
      <c r="AJ481" s="42">
        <v>6</v>
      </c>
      <c r="AK481" s="38">
        <f t="shared" si="45"/>
        <v>6</v>
      </c>
      <c r="AL481" s="39">
        <f t="shared" si="46"/>
        <v>0</v>
      </c>
      <c r="AM481" s="39">
        <f t="shared" si="47"/>
        <v>0</v>
      </c>
      <c r="AO481" s="25" t="str">
        <f>_xlfn.XLOOKUP(F481,'TFS Details'!F:F,'TFS Details'!I:I)</f>
        <v>GEN AI - Solution Super Agent</v>
      </c>
      <c r="AP481" s="25" t="str">
        <f>_xlfn.XLOOKUP(AO481,'TFS Details'!I:I,'TFS Details'!AE:AE)</f>
        <v>pandidurai.ks</v>
      </c>
    </row>
    <row r="482" spans="1:42">
      <c r="A482" s="24" t="str">
        <f>_xlfn.XLOOKUP(F482,'TFS Details'!F:F,'TFS Details'!D:D)</f>
        <v>Gen AI</v>
      </c>
      <c r="B482" s="24" t="str">
        <f>_xlfn.XLOOKUP(F482,'TFS Details'!F:F,'TFS Details'!A:A)</f>
        <v>[Gen AI - SSA] - Goal based action for RFP Sythesis</v>
      </c>
      <c r="C482" s="46">
        <f>_xlfn.XLOOKUP(F482,'TFS Details'!F:F,'TFS Details'!E:E)</f>
        <v>4434675</v>
      </c>
      <c r="D482" s="17" t="s">
        <v>51</v>
      </c>
      <c r="E482" s="139" t="s">
        <v>1171</v>
      </c>
      <c r="F482" s="72">
        <v>4434707</v>
      </c>
      <c r="G482" s="18" t="s">
        <v>1109</v>
      </c>
      <c r="H482" s="18" t="s">
        <v>1100</v>
      </c>
      <c r="I482" s="52" t="s">
        <v>1144</v>
      </c>
      <c r="J482" s="250" t="s">
        <v>20</v>
      </c>
      <c r="K482" s="58" t="s">
        <v>1165</v>
      </c>
      <c r="L482" s="234" t="s">
        <v>1137</v>
      </c>
      <c r="O482" s="273">
        <v>0.15</v>
      </c>
      <c r="V482" s="17" t="s">
        <v>216</v>
      </c>
      <c r="W482" s="234" t="s">
        <v>197</v>
      </c>
      <c r="X482" s="17" t="s">
        <v>197</v>
      </c>
      <c r="Y482" s="17" t="s">
        <v>197</v>
      </c>
      <c r="Z482" s="71">
        <v>47</v>
      </c>
      <c r="AF482" s="25" t="str">
        <f>_xlfn.XLOOKUP(F482,'TFS Details'!F:F,'TFS Details'!H:H)</f>
        <v>Active</v>
      </c>
      <c r="AG482" s="42">
        <v>0</v>
      </c>
      <c r="AH482" s="42">
        <v>0</v>
      </c>
      <c r="AI482" s="42">
        <v>0</v>
      </c>
      <c r="AJ482" s="42">
        <v>0</v>
      </c>
      <c r="AK482" s="38">
        <f t="shared" si="45"/>
        <v>0</v>
      </c>
      <c r="AL482" s="39">
        <f t="shared" si="46"/>
        <v>0</v>
      </c>
      <c r="AM482" s="39">
        <f t="shared" si="47"/>
        <v>0</v>
      </c>
      <c r="AO482" s="25" t="str">
        <f>_xlfn.XLOOKUP(F482,'TFS Details'!F:F,'TFS Details'!I:I)</f>
        <v>GEN AI - Solution Super Agent</v>
      </c>
      <c r="AP482" s="25" t="str">
        <f>_xlfn.XLOOKUP(AO482,'TFS Details'!I:I,'TFS Details'!AE:AE)</f>
        <v>pandidurai.ks</v>
      </c>
    </row>
    <row r="483" spans="1:42">
      <c r="A483" s="24" t="str">
        <f>_xlfn.XLOOKUP(F483,'TFS Details'!F:F,'TFS Details'!D:D)</f>
        <v>DSP</v>
      </c>
      <c r="B483" s="24" t="str">
        <f>_xlfn.XLOOKUP(F483,'TFS Details'!F:F,'TFS Details'!A:A)</f>
        <v>DSP Core Solution Plan Enhancements</v>
      </c>
      <c r="C483" s="46">
        <f>_xlfn.XLOOKUP(F483,'TFS Details'!F:F,'TFS Details'!E:E)</f>
        <v>4437844</v>
      </c>
      <c r="D483" s="17" t="s">
        <v>51</v>
      </c>
      <c r="E483" s="139" t="s">
        <v>1172</v>
      </c>
      <c r="F483" s="72">
        <v>4464868</v>
      </c>
      <c r="G483" s="18" t="s">
        <v>1074</v>
      </c>
      <c r="H483" s="18"/>
      <c r="I483" s="52" t="s">
        <v>109</v>
      </c>
      <c r="J483" s="250" t="s">
        <v>20</v>
      </c>
      <c r="K483" s="58" t="s">
        <v>1173</v>
      </c>
      <c r="L483" s="234" t="s">
        <v>822</v>
      </c>
      <c r="M483" s="20" t="s">
        <v>461</v>
      </c>
      <c r="O483" s="273">
        <v>0.2</v>
      </c>
      <c r="P483" s="241">
        <v>12</v>
      </c>
      <c r="Q483" s="71">
        <v>4</v>
      </c>
      <c r="R483" s="71">
        <v>5</v>
      </c>
      <c r="S483" s="71">
        <v>5</v>
      </c>
      <c r="T483" s="69">
        <v>0.4</v>
      </c>
      <c r="U483" s="69">
        <v>0.8</v>
      </c>
      <c r="V483" s="17" t="s">
        <v>204</v>
      </c>
      <c r="W483" s="234" t="s">
        <v>216</v>
      </c>
      <c r="X483" s="234" t="s">
        <v>204</v>
      </c>
      <c r="Y483" s="17" t="s">
        <v>204</v>
      </c>
      <c r="Z483" s="71">
        <v>12</v>
      </c>
      <c r="AA483" s="71">
        <v>4</v>
      </c>
      <c r="AB483" s="71">
        <v>5</v>
      </c>
      <c r="AC483" s="71">
        <v>5</v>
      </c>
      <c r="AD483" s="69">
        <v>0.4</v>
      </c>
      <c r="AE483" s="69">
        <v>0.8</v>
      </c>
      <c r="AF483" s="25" t="s">
        <v>783</v>
      </c>
      <c r="AG483" s="42">
        <v>5</v>
      </c>
      <c r="AH483" s="42">
        <v>0</v>
      </c>
      <c r="AI483" s="42">
        <v>0</v>
      </c>
      <c r="AJ483" s="42">
        <v>0</v>
      </c>
      <c r="AK483" s="38">
        <f t="shared" ref="AK483:AK489" si="48">SUM(AG483:AJ483)</f>
        <v>5</v>
      </c>
      <c r="AL483" s="39">
        <f t="shared" ref="AL483:AL489" si="49">IF(AG483+AH483=0,0,SUM(AG483:AH483)/AK483)</f>
        <v>1</v>
      </c>
      <c r="AM483" s="39">
        <f t="shared" ref="AM483:AM489" si="50">IF(AG483=0,0,AG483/(SUM(AG483:AI483)))</f>
        <v>1</v>
      </c>
      <c r="AO483" s="25" t="str">
        <f>_xlfn.XLOOKUP(F483,'TFS Details'!F:F,'TFS Details'!I:I)</f>
        <v>Ninjawarriors</v>
      </c>
      <c r="AP483" s="25" t="str">
        <f>_xlfn.XLOOKUP(AO483,'TFS Details'!I:I,'TFS Details'!AE:AE)</f>
        <v>pandidurai.ks</v>
      </c>
    </row>
    <row r="484" spans="1:42">
      <c r="A484" s="24" t="str">
        <f>_xlfn.XLOOKUP(F484,'TFS Details'!F:F,'TFS Details'!D:D)</f>
        <v>DSP</v>
      </c>
      <c r="B484" s="24" t="str">
        <f>_xlfn.XLOOKUP(F484,'TFS Details'!F:F,'TFS Details'!A:A)</f>
        <v>DSP Core Solution Plan Enhancements</v>
      </c>
      <c r="C484" s="46">
        <f>_xlfn.XLOOKUP(F484,'TFS Details'!F:F,'TFS Details'!E:E)</f>
        <v>4437844</v>
      </c>
      <c r="D484" s="17" t="s">
        <v>51</v>
      </c>
      <c r="E484" s="139" t="s">
        <v>1174</v>
      </c>
      <c r="F484" s="72">
        <v>4464722</v>
      </c>
      <c r="G484" s="18" t="s">
        <v>1074</v>
      </c>
      <c r="H484" s="18"/>
      <c r="I484" s="52" t="s">
        <v>109</v>
      </c>
      <c r="J484" s="250" t="s">
        <v>20</v>
      </c>
      <c r="K484" s="58" t="s">
        <v>1173</v>
      </c>
      <c r="L484" s="234" t="s">
        <v>822</v>
      </c>
      <c r="M484" s="20" t="s">
        <v>461</v>
      </c>
      <c r="O484" s="273">
        <v>0</v>
      </c>
      <c r="P484" s="241">
        <v>13</v>
      </c>
      <c r="Q484" s="71">
        <v>5</v>
      </c>
      <c r="R484" s="71">
        <v>5</v>
      </c>
      <c r="S484" s="71">
        <v>5</v>
      </c>
      <c r="T484" s="69">
        <v>0.45</v>
      </c>
      <c r="U484" s="69">
        <v>0.65</v>
      </c>
      <c r="V484" s="17" t="s">
        <v>204</v>
      </c>
      <c r="W484" s="234" t="s">
        <v>216</v>
      </c>
      <c r="X484" s="234" t="s">
        <v>204</v>
      </c>
      <c r="Y484" s="17" t="s">
        <v>204</v>
      </c>
      <c r="Z484" s="71">
        <v>13</v>
      </c>
      <c r="AA484" s="71">
        <v>5</v>
      </c>
      <c r="AB484" s="71">
        <v>5</v>
      </c>
      <c r="AC484" s="71">
        <v>5</v>
      </c>
      <c r="AD484" s="69">
        <v>0.45</v>
      </c>
      <c r="AE484" s="69">
        <v>0.65</v>
      </c>
      <c r="AF484" s="25" t="s">
        <v>783</v>
      </c>
      <c r="AG484" s="42">
        <v>5</v>
      </c>
      <c r="AH484" s="42">
        <v>0</v>
      </c>
      <c r="AI484" s="42">
        <v>0</v>
      </c>
      <c r="AJ484" s="42">
        <v>0</v>
      </c>
      <c r="AK484" s="38">
        <f t="shared" si="48"/>
        <v>5</v>
      </c>
      <c r="AL484" s="39">
        <f t="shared" si="49"/>
        <v>1</v>
      </c>
      <c r="AM484" s="39">
        <f t="shared" si="50"/>
        <v>1</v>
      </c>
      <c r="AO484" s="25" t="str">
        <f>_xlfn.XLOOKUP(F484,'TFS Details'!F:F,'TFS Details'!I:I)</f>
        <v>Ninjawarriors</v>
      </c>
      <c r="AP484" s="25" t="str">
        <f>_xlfn.XLOOKUP(AO484,'TFS Details'!I:I,'TFS Details'!AE:AE)</f>
        <v>pandidurai.ks</v>
      </c>
    </row>
    <row r="485" spans="1:42">
      <c r="A485" s="24" t="str">
        <f>_xlfn.XLOOKUP(F485,'TFS Details'!F:F,'TFS Details'!D:D)</f>
        <v>DSP</v>
      </c>
      <c r="B485" s="24" t="str">
        <f>_xlfn.XLOOKUP(F485,'TFS Details'!F:F,'TFS Details'!A:A)</f>
        <v>DSP Core Solution Plan Enhancements</v>
      </c>
      <c r="C485" s="46">
        <f>_xlfn.XLOOKUP(F485,'TFS Details'!F:F,'TFS Details'!E:E)</f>
        <v>4437844</v>
      </c>
      <c r="D485" s="17" t="s">
        <v>51</v>
      </c>
      <c r="E485" s="139" t="s">
        <v>1175</v>
      </c>
      <c r="F485" s="72">
        <v>4464417</v>
      </c>
      <c r="G485" s="18" t="s">
        <v>1074</v>
      </c>
      <c r="H485" s="18"/>
      <c r="I485" s="52" t="s">
        <v>109</v>
      </c>
      <c r="J485" s="66" t="s">
        <v>1</v>
      </c>
      <c r="L485" s="234"/>
      <c r="M485" s="20" t="s">
        <v>461</v>
      </c>
      <c r="O485" s="273">
        <v>0</v>
      </c>
      <c r="P485" s="241">
        <v>12</v>
      </c>
      <c r="Q485" s="71">
        <v>4</v>
      </c>
      <c r="R485" s="71">
        <v>7</v>
      </c>
      <c r="S485" s="71">
        <v>7</v>
      </c>
      <c r="T485" s="69">
        <v>0.5</v>
      </c>
      <c r="U485" s="69">
        <v>0.7</v>
      </c>
      <c r="V485" s="17" t="s">
        <v>204</v>
      </c>
      <c r="W485" s="234" t="s">
        <v>216</v>
      </c>
      <c r="X485" s="234" t="s">
        <v>204</v>
      </c>
      <c r="Y485" s="17" t="s">
        <v>204</v>
      </c>
      <c r="Z485" s="71">
        <v>12</v>
      </c>
      <c r="AA485" s="71">
        <v>4</v>
      </c>
      <c r="AB485" s="71">
        <v>7</v>
      </c>
      <c r="AC485" s="71">
        <v>7</v>
      </c>
      <c r="AD485" s="69">
        <v>0.5</v>
      </c>
      <c r="AE485" s="69">
        <v>0.7</v>
      </c>
      <c r="AF485" s="25" t="s">
        <v>305</v>
      </c>
      <c r="AG485" s="42">
        <v>7</v>
      </c>
      <c r="AH485" s="42">
        <v>0</v>
      </c>
      <c r="AI485" s="42">
        <v>0</v>
      </c>
      <c r="AJ485" s="42">
        <v>0</v>
      </c>
      <c r="AK485" s="38">
        <f t="shared" si="48"/>
        <v>7</v>
      </c>
      <c r="AL485" s="39">
        <f t="shared" si="49"/>
        <v>1</v>
      </c>
      <c r="AM485" s="39">
        <f t="shared" si="50"/>
        <v>1</v>
      </c>
      <c r="AO485" s="25" t="str">
        <f>_xlfn.XLOOKUP(F485,'TFS Details'!F:F,'TFS Details'!I:I)</f>
        <v>Pirates</v>
      </c>
      <c r="AP485" s="25" t="str">
        <f>_xlfn.XLOOKUP(AO485,'TFS Details'!I:I,'TFS Details'!AE:AE)</f>
        <v>pandidurai.ks</v>
      </c>
    </row>
    <row r="486" spans="1:42">
      <c r="A486" s="24" t="str">
        <f>_xlfn.XLOOKUP(F486,'TFS Details'!F:F,'TFS Details'!D:D)</f>
        <v>DSP</v>
      </c>
      <c r="B486" s="24" t="str">
        <f>_xlfn.XLOOKUP(F486,'TFS Details'!F:F,'TFS Details'!A:A)</f>
        <v>DSP Core Solution Plan Enhancements</v>
      </c>
      <c r="C486" s="46">
        <f>_xlfn.XLOOKUP(F486,'TFS Details'!F:F,'TFS Details'!E:E)</f>
        <v>4437844</v>
      </c>
      <c r="D486" s="17" t="s">
        <v>51</v>
      </c>
      <c r="E486" s="139" t="s">
        <v>1176</v>
      </c>
      <c r="F486" s="72">
        <v>4464354</v>
      </c>
      <c r="G486" s="18" t="s">
        <v>1069</v>
      </c>
      <c r="H486" s="18"/>
      <c r="I486" s="52" t="s">
        <v>83</v>
      </c>
      <c r="J486" s="250" t="s">
        <v>1</v>
      </c>
      <c r="L486" s="234"/>
      <c r="M486" s="20" t="s">
        <v>311</v>
      </c>
      <c r="O486" s="273">
        <v>0.25</v>
      </c>
      <c r="V486" s="17" t="s">
        <v>204</v>
      </c>
      <c r="W486" s="17" t="s">
        <v>204</v>
      </c>
      <c r="X486" s="17" t="s">
        <v>204</v>
      </c>
      <c r="Y486" s="17" t="s">
        <v>197</v>
      </c>
      <c r="Z486" s="71">
        <v>12</v>
      </c>
      <c r="AA486" s="71">
        <v>12</v>
      </c>
      <c r="AB486" s="71">
        <v>2</v>
      </c>
      <c r="AC486" s="71">
        <v>14</v>
      </c>
      <c r="AD486" s="69">
        <v>0.9</v>
      </c>
      <c r="AE486" s="69">
        <v>0.8</v>
      </c>
      <c r="AF486" s="25" t="str">
        <f>_xlfn.XLOOKUP(F486,'TFS Details'!F:F,'TFS Details'!H:H)</f>
        <v>PT In Test</v>
      </c>
      <c r="AG486" s="42">
        <v>8</v>
      </c>
      <c r="AH486" s="42">
        <v>0</v>
      </c>
      <c r="AI486" s="42">
        <v>0</v>
      </c>
      <c r="AJ486" s="42">
        <v>6</v>
      </c>
      <c r="AK486" s="38">
        <f t="shared" si="48"/>
        <v>14</v>
      </c>
      <c r="AL486" s="39">
        <f t="shared" si="49"/>
        <v>0.5714285714285714</v>
      </c>
      <c r="AM486" s="39">
        <f t="shared" si="50"/>
        <v>1</v>
      </c>
      <c r="AO486" s="25" t="str">
        <f>_xlfn.XLOOKUP(F486,'TFS Details'!F:F,'TFS Details'!I:I)</f>
        <v>Pirates</v>
      </c>
      <c r="AP486" s="25" t="str">
        <f>_xlfn.XLOOKUP(AO486,'TFS Details'!I:I,'TFS Details'!AE:AE)</f>
        <v>pandidurai.ks</v>
      </c>
    </row>
    <row r="487" spans="1:42">
      <c r="A487" s="24" t="str">
        <f>_xlfn.XLOOKUP(F487,'TFS Details'!F:F,'TFS Details'!D:D)</f>
        <v>DSP</v>
      </c>
      <c r="B487" s="24" t="str">
        <f>_xlfn.XLOOKUP(F487,'TFS Details'!F:F,'TFS Details'!A:A)</f>
        <v>DSP Core Solution Plan Enhancements</v>
      </c>
      <c r="C487" s="46">
        <f>_xlfn.XLOOKUP(F487,'TFS Details'!F:F,'TFS Details'!E:E)</f>
        <v>4437844</v>
      </c>
      <c r="D487" s="17" t="s">
        <v>51</v>
      </c>
      <c r="E487" s="139" t="s">
        <v>1177</v>
      </c>
      <c r="F487" s="72">
        <v>4463667</v>
      </c>
      <c r="G487" s="18" t="s">
        <v>1099</v>
      </c>
      <c r="H487" s="18"/>
      <c r="I487" s="52" t="s">
        <v>71</v>
      </c>
      <c r="J487" s="250" t="s">
        <v>18</v>
      </c>
      <c r="K487" s="58" t="s">
        <v>1178</v>
      </c>
      <c r="L487" s="234" t="s">
        <v>85</v>
      </c>
      <c r="V487" s="17" t="s">
        <v>204</v>
      </c>
      <c r="W487" s="17" t="s">
        <v>197</v>
      </c>
      <c r="X487" s="17" t="s">
        <v>197</v>
      </c>
      <c r="Y487" s="17" t="s">
        <v>216</v>
      </c>
      <c r="AF487" s="25" t="str">
        <f>_xlfn.XLOOKUP(F487,'TFS Details'!F:F,'TFS Details'!H:H)</f>
        <v>PT In Test</v>
      </c>
      <c r="AG487" s="42">
        <v>0</v>
      </c>
      <c r="AH487" s="42">
        <v>0</v>
      </c>
      <c r="AI487" s="42">
        <v>0</v>
      </c>
      <c r="AJ487" s="42">
        <v>0</v>
      </c>
      <c r="AK487" s="38">
        <f t="shared" si="48"/>
        <v>0</v>
      </c>
      <c r="AL487" s="39">
        <f t="shared" si="49"/>
        <v>0</v>
      </c>
      <c r="AM487" s="39">
        <f t="shared" si="50"/>
        <v>0</v>
      </c>
      <c r="AO487" s="25" t="str">
        <f>_xlfn.XLOOKUP(F487,'TFS Details'!F:F,'TFS Details'!I:I)</f>
        <v>Pixel Pioneers</v>
      </c>
      <c r="AP487" s="25" t="str">
        <f>_xlfn.XLOOKUP(AO487,'TFS Details'!I:I,'TFS Details'!AE:AE)</f>
        <v>pandidurai.ks</v>
      </c>
    </row>
    <row r="488" spans="1:42">
      <c r="A488" s="24" t="str">
        <f>_xlfn.XLOOKUP(F488,'TFS Details'!F:F,'TFS Details'!D:D)</f>
        <v>DSP</v>
      </c>
      <c r="B488" s="24" t="str">
        <f>_xlfn.XLOOKUP(F488,'TFS Details'!F:F,'TFS Details'!A:A)</f>
        <v>DSP Core Solution Plan Enhancements</v>
      </c>
      <c r="C488" s="46">
        <f>_xlfn.XLOOKUP(F488,'TFS Details'!F:F,'TFS Details'!E:E)</f>
        <v>4437844</v>
      </c>
      <c r="D488" s="17" t="s">
        <v>51</v>
      </c>
      <c r="E488" s="139" t="s">
        <v>1179</v>
      </c>
      <c r="F488" s="72">
        <v>4463666</v>
      </c>
      <c r="G488" s="18" t="s">
        <v>1100</v>
      </c>
      <c r="H488" s="18" t="s">
        <v>1109</v>
      </c>
      <c r="I488" s="52" t="s">
        <v>134</v>
      </c>
      <c r="J488" s="250" t="s">
        <v>20</v>
      </c>
      <c r="K488" s="58" t="s">
        <v>1113</v>
      </c>
      <c r="L488" s="234"/>
      <c r="O488" s="273">
        <v>0</v>
      </c>
      <c r="V488" s="17" t="s">
        <v>204</v>
      </c>
      <c r="W488" s="17" t="s">
        <v>197</v>
      </c>
      <c r="X488" s="17" t="s">
        <v>197</v>
      </c>
      <c r="Y488" s="17" t="s">
        <v>216</v>
      </c>
      <c r="AF488" s="25" t="str">
        <f>_xlfn.XLOOKUP(F488,'TFS Details'!F:F,'TFS Details'!H:H)</f>
        <v>PT In Test</v>
      </c>
      <c r="AG488" s="42">
        <v>1</v>
      </c>
      <c r="AH488" s="42">
        <v>0</v>
      </c>
      <c r="AI488" s="42">
        <v>0</v>
      </c>
      <c r="AJ488" s="42">
        <v>3</v>
      </c>
      <c r="AK488" s="38">
        <f t="shared" si="48"/>
        <v>4</v>
      </c>
      <c r="AL488" s="39">
        <f t="shared" si="49"/>
        <v>0.25</v>
      </c>
      <c r="AM488" s="39">
        <f t="shared" si="50"/>
        <v>1</v>
      </c>
      <c r="AO488" s="25" t="str">
        <f>_xlfn.XLOOKUP(F488,'TFS Details'!F:F,'TFS Details'!I:I)</f>
        <v>Ninjawarriors</v>
      </c>
      <c r="AP488" s="25" t="str">
        <f>_xlfn.XLOOKUP(AO488,'TFS Details'!I:I,'TFS Details'!AE:AE)</f>
        <v>pandidurai.ks</v>
      </c>
    </row>
    <row r="489" spans="1:42">
      <c r="A489" s="24" t="str">
        <f>_xlfn.XLOOKUP(F489,'TFS Details'!F:F,'TFS Details'!D:D)</f>
        <v>DSP</v>
      </c>
      <c r="B489" s="24" t="str">
        <f>_xlfn.XLOOKUP(F489,'TFS Details'!F:F,'TFS Details'!A:A)</f>
        <v>DSP Core Solution Plan Enhancements</v>
      </c>
      <c r="C489" s="46">
        <f>_xlfn.XLOOKUP(F489,'TFS Details'!F:F,'TFS Details'!E:E)</f>
        <v>4437844</v>
      </c>
      <c r="D489" s="17" t="s">
        <v>51</v>
      </c>
      <c r="E489" s="139" t="s">
        <v>1180</v>
      </c>
      <c r="F489" s="72">
        <v>4463665</v>
      </c>
      <c r="G489" s="18" t="s">
        <v>1100</v>
      </c>
      <c r="H489" s="18" t="s">
        <v>1109</v>
      </c>
      <c r="I489" s="52" t="s">
        <v>134</v>
      </c>
      <c r="J489" s="66" t="s">
        <v>1</v>
      </c>
      <c r="L489" s="234"/>
      <c r="O489" s="273">
        <v>0</v>
      </c>
      <c r="V489" s="17" t="s">
        <v>204</v>
      </c>
      <c r="W489" s="17" t="s">
        <v>197</v>
      </c>
      <c r="X489" s="17" t="s">
        <v>197</v>
      </c>
      <c r="Y489" s="17" t="s">
        <v>216</v>
      </c>
      <c r="AF489" s="25" t="str">
        <f>_xlfn.XLOOKUP(F489,'TFS Details'!F:F,'TFS Details'!H:H)</f>
        <v>In Development</v>
      </c>
      <c r="AG489" s="42">
        <v>1</v>
      </c>
      <c r="AH489" s="42">
        <v>0</v>
      </c>
      <c r="AI489" s="42">
        <v>0</v>
      </c>
      <c r="AJ489" s="42">
        <v>2</v>
      </c>
      <c r="AK489" s="38">
        <f t="shared" si="48"/>
        <v>3</v>
      </c>
      <c r="AL489" s="39">
        <f t="shared" si="49"/>
        <v>0.33333333333333331</v>
      </c>
      <c r="AM489" s="39">
        <f t="shared" si="50"/>
        <v>1</v>
      </c>
      <c r="AO489" s="25" t="str">
        <f>_xlfn.XLOOKUP(F489,'TFS Details'!F:F,'TFS Details'!I:I)</f>
        <v>Pirates</v>
      </c>
      <c r="AP489" s="25" t="str">
        <f>_xlfn.XLOOKUP(AO489,'TFS Details'!I:I,'TFS Details'!AE:AE)</f>
        <v>pandidurai.ks</v>
      </c>
    </row>
    <row r="490" spans="1:42" ht="36">
      <c r="A490" s="24" t="str">
        <f>_xlfn.XLOOKUP(F490,'TFS Details'!F:F,'TFS Details'!D:D)</f>
        <v>CDAT</v>
      </c>
      <c r="B490" s="24" t="str">
        <f>_xlfn.XLOOKUP(F490,'TFS Details'!F:F,'TFS Details'!A:A)</f>
        <v>CDAT Gen AI Enhancements.</v>
      </c>
      <c r="C490" s="46">
        <f>_xlfn.XLOOKUP(F490,'TFS Details'!F:F,'TFS Details'!E:E)</f>
        <v>4443461</v>
      </c>
      <c r="D490" s="17" t="s">
        <v>38</v>
      </c>
      <c r="E490" s="139" t="s">
        <v>237</v>
      </c>
      <c r="F490" s="72">
        <v>4429175</v>
      </c>
      <c r="G490" s="18" t="s">
        <v>238</v>
      </c>
      <c r="H490" s="106" t="s">
        <v>239</v>
      </c>
      <c r="I490" s="52" t="s">
        <v>240</v>
      </c>
      <c r="J490" s="250" t="s">
        <v>18</v>
      </c>
      <c r="K490" s="58" t="s">
        <v>1181</v>
      </c>
      <c r="L490" s="234" t="s">
        <v>63</v>
      </c>
      <c r="V490" s="17" t="s">
        <v>216</v>
      </c>
      <c r="W490" s="234" t="s">
        <v>204</v>
      </c>
      <c r="X490" s="17" t="s">
        <v>197</v>
      </c>
      <c r="Y490" s="17" t="s">
        <v>216</v>
      </c>
      <c r="AF490" s="25" t="str">
        <f>_xlfn.XLOOKUP(F490,'TFS Details'!F:F,'TFS Details'!H:H)</f>
        <v>PT In Test</v>
      </c>
      <c r="AG490" s="42">
        <v>0</v>
      </c>
      <c r="AH490" s="42">
        <v>1</v>
      </c>
      <c r="AI490" s="42">
        <v>0</v>
      </c>
      <c r="AJ490" s="42">
        <v>9</v>
      </c>
      <c r="AK490" s="38">
        <f t="shared" si="45"/>
        <v>10</v>
      </c>
      <c r="AL490" s="39">
        <f t="shared" si="46"/>
        <v>0.1</v>
      </c>
      <c r="AM490" s="39">
        <f t="shared" si="47"/>
        <v>0</v>
      </c>
      <c r="AN490" s="17" t="s">
        <v>1182</v>
      </c>
      <c r="AO490" s="25" t="str">
        <f>_xlfn.XLOOKUP(F490,'TFS Details'!F:F,'TFS Details'!I:I)</f>
        <v>GENAI-CDAT</v>
      </c>
      <c r="AP490" s="25" t="str">
        <f>_xlfn.XLOOKUP(AO490,'TFS Details'!I:I,'TFS Details'!AE:AE)</f>
        <v>n.d.krishnakumar</v>
      </c>
    </row>
    <row r="491" spans="1:42" ht="24">
      <c r="A491" s="24" t="str">
        <f>_xlfn.XLOOKUP(F491,'TFS Details'!F:F,'TFS Details'!D:D)</f>
        <v>CDAT</v>
      </c>
      <c r="B491" s="24" t="str">
        <f>_xlfn.XLOOKUP(F491,'TFS Details'!F:F,'TFS Details'!A:A)</f>
        <v>CDAT Gen AI Enhancements.</v>
      </c>
      <c r="C491" s="46">
        <f>_xlfn.XLOOKUP(F491,'TFS Details'!F:F,'TFS Details'!E:E)</f>
        <v>4443461</v>
      </c>
      <c r="D491" s="17" t="s">
        <v>38</v>
      </c>
      <c r="E491" s="139" t="s">
        <v>1183</v>
      </c>
      <c r="F491" s="72">
        <v>4431480</v>
      </c>
      <c r="G491" s="18" t="s">
        <v>238</v>
      </c>
      <c r="H491" s="106" t="s">
        <v>239</v>
      </c>
      <c r="I491" s="52" t="s">
        <v>240</v>
      </c>
      <c r="J491" s="250" t="s">
        <v>18</v>
      </c>
      <c r="K491" s="58" t="s">
        <v>1184</v>
      </c>
      <c r="L491" s="234" t="s">
        <v>63</v>
      </c>
      <c r="V491" s="17" t="s">
        <v>216</v>
      </c>
      <c r="W491" s="234" t="s">
        <v>204</v>
      </c>
      <c r="X491" s="17" t="s">
        <v>197</v>
      </c>
      <c r="Y491" s="17" t="s">
        <v>216</v>
      </c>
      <c r="AF491" s="25" t="str">
        <f>_xlfn.XLOOKUP(F491,'TFS Details'!F:F,'TFS Details'!H:H)</f>
        <v>PT In Test</v>
      </c>
      <c r="AG491" s="42">
        <v>0</v>
      </c>
      <c r="AH491" s="42">
        <v>0</v>
      </c>
      <c r="AI491" s="42">
        <v>0</v>
      </c>
      <c r="AJ491" s="42">
        <v>12</v>
      </c>
      <c r="AK491" s="38">
        <f t="shared" si="45"/>
        <v>12</v>
      </c>
      <c r="AL491" s="39">
        <f t="shared" si="46"/>
        <v>0</v>
      </c>
      <c r="AM491" s="39">
        <f t="shared" si="47"/>
        <v>0</v>
      </c>
      <c r="AO491" s="25" t="str">
        <f>_xlfn.XLOOKUP(F491,'TFS Details'!F:F,'TFS Details'!I:I)</f>
        <v>GENAI-CDAT</v>
      </c>
      <c r="AP491" s="25" t="str">
        <f>_xlfn.XLOOKUP(AO491,'TFS Details'!I:I,'TFS Details'!AE:AE)</f>
        <v>n.d.krishnakumar</v>
      </c>
    </row>
    <row r="492" spans="1:42" ht="36">
      <c r="A492" s="24" t="str">
        <f>_xlfn.XLOOKUP(F492,'TFS Details'!F:F,'TFS Details'!D:D)</f>
        <v>CDAT</v>
      </c>
      <c r="B492" s="24" t="str">
        <f>_xlfn.XLOOKUP(F492,'TFS Details'!F:F,'TFS Details'!A:A)</f>
        <v>CDAT Gen AI Enhancements.</v>
      </c>
      <c r="C492" s="46">
        <f>_xlfn.XLOOKUP(F492,'TFS Details'!F:F,'TFS Details'!E:E)</f>
        <v>4443461</v>
      </c>
      <c r="D492" s="17" t="s">
        <v>38</v>
      </c>
      <c r="E492" s="139" t="s">
        <v>1185</v>
      </c>
      <c r="F492" s="72">
        <v>4432575</v>
      </c>
      <c r="G492" s="18" t="s">
        <v>238</v>
      </c>
      <c r="H492" s="106" t="s">
        <v>239</v>
      </c>
      <c r="I492" s="52" t="s">
        <v>240</v>
      </c>
      <c r="J492" s="250" t="s">
        <v>18</v>
      </c>
      <c r="K492" s="58" t="s">
        <v>1186</v>
      </c>
      <c r="L492" s="234" t="s">
        <v>63</v>
      </c>
      <c r="V492" s="17" t="s">
        <v>216</v>
      </c>
      <c r="W492" s="234" t="s">
        <v>204</v>
      </c>
      <c r="X492" s="17" t="s">
        <v>197</v>
      </c>
      <c r="Y492" s="17" t="s">
        <v>216</v>
      </c>
      <c r="AF492" s="25" t="str">
        <f>_xlfn.XLOOKUP(F492,'TFS Details'!F:F,'TFS Details'!H:H)</f>
        <v>PT In Test</v>
      </c>
      <c r="AG492" s="42">
        <v>0</v>
      </c>
      <c r="AH492" s="42">
        <v>0</v>
      </c>
      <c r="AI492" s="42">
        <v>0</v>
      </c>
      <c r="AJ492" s="42">
        <v>0</v>
      </c>
      <c r="AK492" s="38">
        <f t="shared" ref="AK492:AK509" si="51">SUM(AG492:AJ492)</f>
        <v>0</v>
      </c>
      <c r="AL492" s="39">
        <f t="shared" ref="AL492:AL509" si="52">IF(AG492+AH492=0,0,SUM(AG492:AH492)/AK492)</f>
        <v>0</v>
      </c>
      <c r="AM492" s="39">
        <f t="shared" ref="AM492:AM509" si="53">IF(AG492=0,0,AG492/(SUM(AG492:AI492)))</f>
        <v>0</v>
      </c>
      <c r="AO492" s="25" t="str">
        <f>_xlfn.XLOOKUP(F492,'TFS Details'!F:F,'TFS Details'!I:I)</f>
        <v>GENAI-CDAT</v>
      </c>
      <c r="AP492" s="25" t="str">
        <f>_xlfn.XLOOKUP(AO492,'TFS Details'!I:I,'TFS Details'!AE:AE)</f>
        <v>n.d.krishnakumar</v>
      </c>
    </row>
    <row r="493" spans="1:42" ht="48">
      <c r="A493" s="24" t="str">
        <f>_xlfn.XLOOKUP(F493,'TFS Details'!F:F,'TFS Details'!D:D)</f>
        <v>CDAT</v>
      </c>
      <c r="B493" s="24" t="str">
        <f>_xlfn.XLOOKUP(F493,'TFS Details'!F:F,'TFS Details'!A:A)</f>
        <v>CDAT Gen AI mail notification for Gen AI responses.</v>
      </c>
      <c r="C493" s="46">
        <f>_xlfn.XLOOKUP(F493,'TFS Details'!F:F,'TFS Details'!E:E)</f>
        <v>4443465</v>
      </c>
      <c r="D493" s="17" t="s">
        <v>38</v>
      </c>
      <c r="E493" s="139" t="s">
        <v>1187</v>
      </c>
      <c r="F493" s="72">
        <v>4443430</v>
      </c>
      <c r="G493" s="18" t="s">
        <v>231</v>
      </c>
      <c r="H493" s="106" t="s">
        <v>665</v>
      </c>
      <c r="I493" s="52" t="s">
        <v>233</v>
      </c>
      <c r="J493" s="250" t="s">
        <v>18</v>
      </c>
      <c r="K493" s="58" t="s">
        <v>1188</v>
      </c>
      <c r="L493" s="234" t="s">
        <v>63</v>
      </c>
      <c r="M493" s="20" t="s">
        <v>311</v>
      </c>
      <c r="O493" s="273">
        <v>0.05</v>
      </c>
      <c r="V493" s="17" t="s">
        <v>204</v>
      </c>
      <c r="W493" s="234" t="s">
        <v>204</v>
      </c>
      <c r="X493" s="17" t="s">
        <v>204</v>
      </c>
      <c r="Y493" s="17" t="s">
        <v>216</v>
      </c>
      <c r="AF493" s="25" t="str">
        <f>_xlfn.XLOOKUP(F493,'TFS Details'!F:F,'TFS Details'!H:H)</f>
        <v>PT In Test</v>
      </c>
      <c r="AG493" s="42">
        <v>3</v>
      </c>
      <c r="AH493" s="42">
        <v>0</v>
      </c>
      <c r="AI493" s="42">
        <v>0</v>
      </c>
      <c r="AJ493" s="42">
        <v>8</v>
      </c>
      <c r="AK493" s="38">
        <f t="shared" si="51"/>
        <v>11</v>
      </c>
      <c r="AL493" s="39">
        <f t="shared" si="52"/>
        <v>0.27272727272727271</v>
      </c>
      <c r="AM493" s="39">
        <f t="shared" si="53"/>
        <v>1</v>
      </c>
      <c r="AO493" s="25" t="str">
        <f>_xlfn.XLOOKUP(F493,'TFS Details'!F:F,'TFS Details'!I:I)</f>
        <v>GENAI-CDAT</v>
      </c>
      <c r="AP493" s="25" t="str">
        <f>_xlfn.XLOOKUP(AO493,'TFS Details'!I:I,'TFS Details'!AE:AE)</f>
        <v>n.d.krishnakumar</v>
      </c>
    </row>
    <row r="494" spans="1:42">
      <c r="A494" s="24" t="str">
        <f>_xlfn.XLOOKUP(F494,'TFS Details'!F:F,'TFS Details'!D:D)</f>
        <v>Deal Level Canvas</v>
      </c>
      <c r="B494" s="24" t="str">
        <f>_xlfn.XLOOKUP(F494,'TFS Details'!F:F,'TFS Details'!A:A)</f>
        <v>[SSA - DLC] - Deal Level Canvas UI enhancements.</v>
      </c>
      <c r="C494" s="46">
        <f>_xlfn.XLOOKUP(F494,'TFS Details'!F:F,'TFS Details'!E:E)</f>
        <v>4438558</v>
      </c>
      <c r="D494" s="17" t="s">
        <v>38</v>
      </c>
      <c r="E494" s="139" t="s">
        <v>1189</v>
      </c>
      <c r="F494" s="72">
        <v>4439465</v>
      </c>
      <c r="G494" s="18" t="s">
        <v>1127</v>
      </c>
      <c r="H494" s="106" t="s">
        <v>1128</v>
      </c>
      <c r="I494" s="52" t="s">
        <v>122</v>
      </c>
      <c r="J494" s="66" t="s">
        <v>1</v>
      </c>
      <c r="O494" s="273">
        <v>0.3</v>
      </c>
      <c r="V494" s="17" t="s">
        <v>204</v>
      </c>
      <c r="W494" s="234" t="s">
        <v>204</v>
      </c>
      <c r="X494" s="17" t="s">
        <v>216</v>
      </c>
      <c r="Y494" s="17" t="s">
        <v>204</v>
      </c>
      <c r="Z494" s="71">
        <v>25</v>
      </c>
      <c r="AA494" s="71">
        <v>5</v>
      </c>
      <c r="AB494" s="71">
        <v>3</v>
      </c>
      <c r="AC494" s="71">
        <v>8</v>
      </c>
      <c r="AD494" s="69">
        <v>0.35</v>
      </c>
      <c r="AE494" s="69">
        <v>0.25</v>
      </c>
      <c r="AF494" s="25" t="str">
        <f>_xlfn.XLOOKUP(F494,'TFS Details'!F:F,'TFS Details'!H:H)</f>
        <v>Awaiting UAT deployment</v>
      </c>
      <c r="AG494" s="42">
        <v>0</v>
      </c>
      <c r="AH494" s="42">
        <v>2</v>
      </c>
      <c r="AI494" s="42">
        <v>0</v>
      </c>
      <c r="AJ494" s="42">
        <v>0</v>
      </c>
      <c r="AK494" s="38">
        <f t="shared" si="51"/>
        <v>2</v>
      </c>
      <c r="AL494" s="39">
        <f t="shared" si="52"/>
        <v>1</v>
      </c>
      <c r="AM494" s="39">
        <f t="shared" si="53"/>
        <v>0</v>
      </c>
      <c r="AO494" s="25" t="str">
        <f>_xlfn.XLOOKUP(F494,'TFS Details'!F:F,'TFS Details'!I:I)</f>
        <v>Code Mavin</v>
      </c>
      <c r="AP494" s="25" t="str">
        <f>_xlfn.XLOOKUP(AO494,'TFS Details'!I:I,'TFS Details'!AE:AE)</f>
        <v>n.d.krishnakumar</v>
      </c>
    </row>
    <row r="495" spans="1:42">
      <c r="A495" s="24" t="str">
        <f>_xlfn.XLOOKUP(F495,'TFS Details'!F:F,'TFS Details'!D:D)</f>
        <v>Gen AI</v>
      </c>
      <c r="B495" s="24" t="str">
        <f>_xlfn.XLOOKUP(F495,'TFS Details'!F:F,'TFS Details'!A:A)</f>
        <v>Retrospective Learnings - Opportunity Benchmarks</v>
      </c>
      <c r="C495" s="46">
        <f>_xlfn.XLOOKUP(F495,'TFS Details'!F:F,'TFS Details'!E:E)</f>
        <v>4223629</v>
      </c>
      <c r="D495" s="17" t="s">
        <v>38</v>
      </c>
      <c r="E495" s="139" t="s">
        <v>1190</v>
      </c>
      <c r="F495" s="72">
        <v>4445162</v>
      </c>
      <c r="G495" s="18" t="s">
        <v>1148</v>
      </c>
      <c r="H495" s="18" t="s">
        <v>1149</v>
      </c>
      <c r="I495" s="52" t="s">
        <v>1150</v>
      </c>
      <c r="J495" s="250" t="s">
        <v>18</v>
      </c>
      <c r="K495" s="58" t="s">
        <v>1191</v>
      </c>
      <c r="L495" s="23" t="s">
        <v>63</v>
      </c>
      <c r="V495" s="17" t="s">
        <v>216</v>
      </c>
      <c r="W495" s="234" t="s">
        <v>204</v>
      </c>
      <c r="X495" s="17" t="s">
        <v>197</v>
      </c>
      <c r="Y495" s="17" t="s">
        <v>197</v>
      </c>
      <c r="AF495" s="25" t="str">
        <f>_xlfn.XLOOKUP(F495,'TFS Details'!F:F,'TFS Details'!H:H)</f>
        <v>Active</v>
      </c>
      <c r="AG495" s="42">
        <v>0</v>
      </c>
      <c r="AH495" s="42">
        <v>0</v>
      </c>
      <c r="AI495" s="42">
        <v>0</v>
      </c>
      <c r="AJ495" s="42">
        <v>0</v>
      </c>
      <c r="AK495" s="38">
        <f t="shared" si="51"/>
        <v>0</v>
      </c>
      <c r="AL495" s="39">
        <f t="shared" si="52"/>
        <v>0</v>
      </c>
      <c r="AM495" s="39">
        <f t="shared" si="53"/>
        <v>0</v>
      </c>
      <c r="AO495" s="25" t="str">
        <f>_xlfn.XLOOKUP(F495,'TFS Details'!F:F,'TFS Details'!I:I)</f>
        <v>QDI - Opportunity Metrics</v>
      </c>
      <c r="AP495" s="25" t="str">
        <f>_xlfn.XLOOKUP(AO495,'TFS Details'!I:I,'TFS Details'!AE:AE)</f>
        <v>n.d.krishnakumar</v>
      </c>
    </row>
    <row r="496" spans="1:42" ht="24">
      <c r="A496" s="24" t="str">
        <f>_xlfn.XLOOKUP(F496,'TFS Details'!F:F,'TFS Details'!D:D)</f>
        <v>Gen AI</v>
      </c>
      <c r="B496" s="24" t="str">
        <f>_xlfn.XLOOKUP(F496,'TFS Details'!F:F,'TFS Details'!A:A)</f>
        <v>SI Technology Expansion — Connected Solutions &amp; Others</v>
      </c>
      <c r="C496" s="46">
        <f>_xlfn.XLOOKUP(F496,'TFS Details'!F:F,'TFS Details'!E:E)</f>
        <v>4450105</v>
      </c>
      <c r="D496" s="17" t="s">
        <v>38</v>
      </c>
      <c r="E496" s="139" t="s">
        <v>1192</v>
      </c>
      <c r="F496" s="72">
        <v>4438308</v>
      </c>
      <c r="G496" s="18" t="s">
        <v>1149</v>
      </c>
      <c r="H496" s="18" t="s">
        <v>1148</v>
      </c>
      <c r="I496" s="52" t="s">
        <v>1193</v>
      </c>
      <c r="J496" s="250" t="s">
        <v>20</v>
      </c>
      <c r="K496" s="177" t="s">
        <v>1194</v>
      </c>
      <c r="L496" s="16" t="s">
        <v>1195</v>
      </c>
      <c r="M496" s="20" t="s">
        <v>311</v>
      </c>
      <c r="O496" s="273">
        <v>0.1</v>
      </c>
      <c r="V496" s="17" t="s">
        <v>204</v>
      </c>
      <c r="W496" s="234" t="s">
        <v>204</v>
      </c>
      <c r="X496" s="17" t="s">
        <v>204</v>
      </c>
      <c r="Y496" s="17" t="s">
        <v>216</v>
      </c>
      <c r="Z496" s="71">
        <v>30</v>
      </c>
      <c r="AA496" s="71">
        <v>23</v>
      </c>
      <c r="AB496" s="71">
        <v>0</v>
      </c>
      <c r="AC496" s="71">
        <v>23</v>
      </c>
      <c r="AD496" s="69">
        <v>0.8</v>
      </c>
      <c r="AE496" s="69">
        <v>0.8</v>
      </c>
      <c r="AF496" s="25" t="str">
        <f>_xlfn.XLOOKUP(F496,'TFS Details'!F:F,'TFS Details'!H:H)</f>
        <v>PT In Test</v>
      </c>
      <c r="AG496" s="42">
        <v>0</v>
      </c>
      <c r="AH496" s="42">
        <v>0</v>
      </c>
      <c r="AI496" s="42">
        <v>0</v>
      </c>
      <c r="AJ496" s="42">
        <v>23</v>
      </c>
      <c r="AK496" s="38">
        <f t="shared" si="51"/>
        <v>23</v>
      </c>
      <c r="AL496" s="39">
        <f t="shared" si="52"/>
        <v>0</v>
      </c>
      <c r="AM496" s="39">
        <f t="shared" si="53"/>
        <v>0</v>
      </c>
      <c r="AO496" s="25" t="str">
        <f>_xlfn.XLOOKUP(F496,'TFS Details'!F:F,'TFS Details'!I:I)</f>
        <v>Solution to Contract</v>
      </c>
      <c r="AP496" s="25" t="str">
        <f>_xlfn.XLOOKUP(AO496,'TFS Details'!I:I,'TFS Details'!AE:AE)</f>
        <v>n.d.krishnakumar</v>
      </c>
    </row>
    <row r="497" spans="1:42" ht="24">
      <c r="A497" s="24" t="str">
        <f>_xlfn.XLOOKUP(F497,'TFS Details'!F:F,'TFS Details'!D:D)</f>
        <v>Gen AI</v>
      </c>
      <c r="B497" s="24" t="str">
        <f>_xlfn.XLOOKUP(F497,'TFS Details'!F:F,'TFS Details'!A:A)</f>
        <v>SI Technology Expansion — Connected Solutions &amp; Others</v>
      </c>
      <c r="C497" s="46">
        <f>_xlfn.XLOOKUP(F497,'TFS Details'!F:F,'TFS Details'!E:E)</f>
        <v>4450105</v>
      </c>
      <c r="D497" s="17" t="s">
        <v>38</v>
      </c>
      <c r="E497" s="139" t="s">
        <v>1196</v>
      </c>
      <c r="F497" s="72">
        <v>4438326</v>
      </c>
      <c r="G497" s="18" t="s">
        <v>1149</v>
      </c>
      <c r="H497" s="18" t="s">
        <v>1148</v>
      </c>
      <c r="I497" s="52" t="s">
        <v>1193</v>
      </c>
      <c r="J497" s="250" t="s">
        <v>20</v>
      </c>
      <c r="K497" s="177" t="s">
        <v>1194</v>
      </c>
      <c r="L497" s="16" t="s">
        <v>1195</v>
      </c>
      <c r="M497" s="20" t="s">
        <v>311</v>
      </c>
      <c r="O497" s="273">
        <v>0.1</v>
      </c>
      <c r="V497" s="17" t="s">
        <v>204</v>
      </c>
      <c r="W497" s="234" t="s">
        <v>204</v>
      </c>
      <c r="X497" s="17" t="s">
        <v>204</v>
      </c>
      <c r="Y497" s="17" t="s">
        <v>216</v>
      </c>
      <c r="Z497" s="71">
        <v>40</v>
      </c>
      <c r="AA497" s="71">
        <v>37</v>
      </c>
      <c r="AB497" s="71">
        <v>0</v>
      </c>
      <c r="AC497" s="71">
        <v>37</v>
      </c>
      <c r="AD497" s="69">
        <v>0.8</v>
      </c>
      <c r="AE497" s="69">
        <v>0.7</v>
      </c>
      <c r="AF497" s="25" t="str">
        <f>_xlfn.XLOOKUP(F497,'TFS Details'!F:F,'TFS Details'!H:H)</f>
        <v>PT In Test</v>
      </c>
      <c r="AG497" s="42">
        <v>0</v>
      </c>
      <c r="AH497" s="42">
        <v>0</v>
      </c>
      <c r="AI497" s="42">
        <v>0</v>
      </c>
      <c r="AJ497" s="42">
        <v>37</v>
      </c>
      <c r="AK497" s="38">
        <f t="shared" si="51"/>
        <v>37</v>
      </c>
      <c r="AL497" s="39">
        <f t="shared" si="52"/>
        <v>0</v>
      </c>
      <c r="AM497" s="39">
        <f t="shared" si="53"/>
        <v>0</v>
      </c>
      <c r="AO497" s="25" t="str">
        <f>_xlfn.XLOOKUP(F497,'TFS Details'!F:F,'TFS Details'!I:I)</f>
        <v>Solution to Contract</v>
      </c>
      <c r="AP497" s="25" t="str">
        <f>_xlfn.XLOOKUP(AO497,'TFS Details'!I:I,'TFS Details'!AE:AE)</f>
        <v>n.d.krishnakumar</v>
      </c>
    </row>
    <row r="498" spans="1:42" ht="48">
      <c r="A498" s="24" t="str">
        <f>_xlfn.XLOOKUP(F498,'TFS Details'!F:F,'TFS Details'!D:D)</f>
        <v>Gen AI</v>
      </c>
      <c r="B498" s="24" t="str">
        <f>_xlfn.XLOOKUP(F498,'TFS Details'!F:F,'TFS Details'!A:A)</f>
        <v>SI Technology Expansion — Connected Solutions &amp; Others</v>
      </c>
      <c r="C498" s="46">
        <f>_xlfn.XLOOKUP(F498,'TFS Details'!F:F,'TFS Details'!E:E)</f>
        <v>4450105</v>
      </c>
      <c r="D498" s="17" t="s">
        <v>38</v>
      </c>
      <c r="E498" s="139" t="s">
        <v>1197</v>
      </c>
      <c r="F498" s="72">
        <v>4438451</v>
      </c>
      <c r="G498" s="18" t="s">
        <v>1070</v>
      </c>
      <c r="H498" s="18" t="s">
        <v>1069</v>
      </c>
      <c r="I498" s="52" t="s">
        <v>106</v>
      </c>
      <c r="J498" s="250" t="s">
        <v>18</v>
      </c>
      <c r="K498" s="177" t="s">
        <v>1198</v>
      </c>
      <c r="L498" s="23" t="s">
        <v>63</v>
      </c>
      <c r="M498" s="20" t="s">
        <v>311</v>
      </c>
      <c r="V498" s="234" t="s">
        <v>204</v>
      </c>
      <c r="W498" s="234" t="s">
        <v>216</v>
      </c>
      <c r="X498" s="17" t="s">
        <v>204</v>
      </c>
      <c r="Y498" s="17" t="s">
        <v>197</v>
      </c>
      <c r="Z498" s="71">
        <v>30</v>
      </c>
      <c r="AA498" s="71">
        <v>2</v>
      </c>
      <c r="AB498" s="71">
        <v>10</v>
      </c>
      <c r="AC498" s="71">
        <v>12</v>
      </c>
      <c r="AD498" s="69">
        <v>0.2</v>
      </c>
      <c r="AE498" s="69">
        <v>0.2</v>
      </c>
      <c r="AF498" s="25" t="str">
        <f>_xlfn.XLOOKUP(F498,'TFS Details'!F:F,'TFS Details'!H:H)</f>
        <v>Active</v>
      </c>
      <c r="AG498" s="42">
        <v>0</v>
      </c>
      <c r="AH498" s="42">
        <v>0</v>
      </c>
      <c r="AI498" s="42">
        <v>0</v>
      </c>
      <c r="AJ498" s="42">
        <v>12</v>
      </c>
      <c r="AK498" s="38">
        <f t="shared" si="51"/>
        <v>12</v>
      </c>
      <c r="AL498" s="39">
        <f t="shared" si="52"/>
        <v>0</v>
      </c>
      <c r="AM498" s="39">
        <f t="shared" si="53"/>
        <v>0</v>
      </c>
      <c r="AO498" s="25" t="str">
        <f>_xlfn.XLOOKUP(F498,'TFS Details'!F:F,'TFS Details'!I:I)</f>
        <v>Solution to Contract</v>
      </c>
      <c r="AP498" s="25" t="str">
        <f>_xlfn.XLOOKUP(AO498,'TFS Details'!I:I,'TFS Details'!AE:AE)</f>
        <v>n.d.krishnakumar</v>
      </c>
    </row>
    <row r="499" spans="1:42">
      <c r="A499" s="24" t="str">
        <f>_xlfn.XLOOKUP(F499,'TFS Details'!F:F,'TFS Details'!D:D)</f>
        <v>GEN AI</v>
      </c>
      <c r="B499" s="24" t="str">
        <f>_xlfn.XLOOKUP(F499,'TFS Details'!F:F,'TFS Details'!A:A)</f>
        <v>QDI Jan Enhancements</v>
      </c>
      <c r="C499" s="46">
        <f>_xlfn.XLOOKUP(F499,'TFS Details'!F:F,'TFS Details'!E:E)</f>
        <v>4249003</v>
      </c>
      <c r="D499" s="17" t="s">
        <v>38</v>
      </c>
      <c r="E499" s="139" t="s">
        <v>1199</v>
      </c>
      <c r="F499" s="72">
        <v>4435809</v>
      </c>
      <c r="G499" s="18" t="s">
        <v>1148</v>
      </c>
      <c r="H499" s="18" t="s">
        <v>1149</v>
      </c>
      <c r="I499" s="52" t="s">
        <v>1150</v>
      </c>
      <c r="J499" s="250" t="s">
        <v>18</v>
      </c>
      <c r="K499" s="58" t="s">
        <v>1200</v>
      </c>
      <c r="L499" s="16" t="s">
        <v>45</v>
      </c>
      <c r="V499" s="17" t="s">
        <v>216</v>
      </c>
      <c r="W499" s="234" t="s">
        <v>204</v>
      </c>
      <c r="X499" s="17" t="s">
        <v>197</v>
      </c>
      <c r="Y499" s="17" t="s">
        <v>197</v>
      </c>
      <c r="AF499" s="25" t="str">
        <f>_xlfn.XLOOKUP(F499,'TFS Details'!F:F,'TFS Details'!H:H)</f>
        <v>New</v>
      </c>
      <c r="AG499" s="42">
        <v>0</v>
      </c>
      <c r="AH499" s="42">
        <v>0</v>
      </c>
      <c r="AI499" s="42">
        <v>0</v>
      </c>
      <c r="AJ499" s="42">
        <v>0</v>
      </c>
      <c r="AK499" s="38">
        <f t="shared" si="51"/>
        <v>0</v>
      </c>
      <c r="AL499" s="39">
        <f t="shared" si="52"/>
        <v>0</v>
      </c>
      <c r="AM499" s="39">
        <f t="shared" si="53"/>
        <v>0</v>
      </c>
      <c r="AO499" s="25" t="str">
        <f>_xlfn.XLOOKUP(F499,'TFS Details'!F:F,'TFS Details'!I:I)</f>
        <v>QualityDataInsights</v>
      </c>
      <c r="AP499" s="25" t="str">
        <f>_xlfn.XLOOKUP(AO499,'TFS Details'!I:I,'TFS Details'!AE:AE)</f>
        <v>n.d.krishnakumar</v>
      </c>
    </row>
    <row r="500" spans="1:42" ht="36">
      <c r="A500" s="24" t="str">
        <f>_xlfn.XLOOKUP(F500,'TFS Details'!F:F,'TFS Details'!D:D)</f>
        <v>Gen AI</v>
      </c>
      <c r="B500" s="24" t="str">
        <f>_xlfn.XLOOKUP(F500,'TFS Details'!F:F,'TFS Details'!A:A)</f>
        <v>S2C_UI and Role Access  changes</v>
      </c>
      <c r="C500" s="46">
        <f>_xlfn.XLOOKUP(F500,'TFS Details'!F:F,'TFS Details'!E:E)</f>
        <v>4317766</v>
      </c>
      <c r="D500" s="17" t="s">
        <v>38</v>
      </c>
      <c r="E500" s="139" t="s">
        <v>1201</v>
      </c>
      <c r="F500" s="72">
        <v>4319888</v>
      </c>
      <c r="G500" s="18" t="s">
        <v>1070</v>
      </c>
      <c r="H500" s="18" t="s">
        <v>1069</v>
      </c>
      <c r="I500" s="52" t="s">
        <v>106</v>
      </c>
      <c r="J500" s="250" t="s">
        <v>20</v>
      </c>
      <c r="K500" s="177" t="s">
        <v>1202</v>
      </c>
      <c r="L500" s="16" t="s">
        <v>1137</v>
      </c>
      <c r="M500" s="20" t="s">
        <v>311</v>
      </c>
      <c r="O500" s="273">
        <v>0.15</v>
      </c>
      <c r="V500" s="234" t="s">
        <v>204</v>
      </c>
      <c r="W500" s="234" t="s">
        <v>204</v>
      </c>
      <c r="X500" s="17" t="s">
        <v>204</v>
      </c>
      <c r="Y500" s="17" t="s">
        <v>197</v>
      </c>
      <c r="Z500" s="71">
        <v>8</v>
      </c>
      <c r="AA500" s="71">
        <v>3</v>
      </c>
      <c r="AB500" s="71">
        <v>6</v>
      </c>
      <c r="AC500" s="71">
        <v>9</v>
      </c>
      <c r="AD500" s="69">
        <v>0.3</v>
      </c>
      <c r="AE500" s="69">
        <v>0.6</v>
      </c>
      <c r="AF500" s="25" t="str">
        <f>_xlfn.XLOOKUP(F500,'TFS Details'!F:F,'TFS Details'!H:H)</f>
        <v>Active</v>
      </c>
      <c r="AG500" s="42">
        <v>0</v>
      </c>
      <c r="AH500" s="42">
        <v>0</v>
      </c>
      <c r="AI500" s="42">
        <v>0</v>
      </c>
      <c r="AJ500" s="42">
        <v>9</v>
      </c>
      <c r="AK500" s="38">
        <f t="shared" si="51"/>
        <v>9</v>
      </c>
      <c r="AL500" s="39">
        <f t="shared" si="52"/>
        <v>0</v>
      </c>
      <c r="AM500" s="39">
        <f t="shared" si="53"/>
        <v>0</v>
      </c>
      <c r="AO500" s="25" t="str">
        <f>_xlfn.XLOOKUP(F500,'TFS Details'!F:F,'TFS Details'!I:I)</f>
        <v>Solution to Contract</v>
      </c>
      <c r="AP500" s="25" t="str">
        <f>_xlfn.XLOOKUP(AO500,'TFS Details'!I:I,'TFS Details'!AE:AE)</f>
        <v>n.d.krishnakumar</v>
      </c>
    </row>
    <row r="501" spans="1:42" ht="36">
      <c r="A501" s="24" t="str">
        <f>_xlfn.XLOOKUP(F501,'TFS Details'!F:F,'TFS Details'!D:D)</f>
        <v>Gen AI</v>
      </c>
      <c r="B501" s="24" t="str">
        <f>_xlfn.XLOOKUP(F501,'TFS Details'!F:F,'TFS Details'!A:A)</f>
        <v>Security Governance in S2C</v>
      </c>
      <c r="C501" s="46">
        <f>_xlfn.XLOOKUP(F501,'TFS Details'!F:F,'TFS Details'!E:E)</f>
        <v>4373584</v>
      </c>
      <c r="D501" s="17" t="s">
        <v>38</v>
      </c>
      <c r="E501" s="139" t="s">
        <v>1203</v>
      </c>
      <c r="F501" s="72">
        <v>4371674</v>
      </c>
      <c r="G501" s="18" t="s">
        <v>1070</v>
      </c>
      <c r="H501" s="18" t="s">
        <v>1069</v>
      </c>
      <c r="I501" s="52" t="s">
        <v>106</v>
      </c>
      <c r="J501" s="250" t="s">
        <v>18</v>
      </c>
      <c r="K501" s="177" t="s">
        <v>1204</v>
      </c>
      <c r="L501" s="23" t="s">
        <v>30</v>
      </c>
      <c r="M501" s="20" t="s">
        <v>311</v>
      </c>
      <c r="V501" s="234" t="s">
        <v>204</v>
      </c>
      <c r="W501" s="234" t="s">
        <v>204</v>
      </c>
      <c r="X501" s="17" t="s">
        <v>204</v>
      </c>
      <c r="Y501" s="17" t="s">
        <v>216</v>
      </c>
      <c r="Z501" s="71">
        <v>10</v>
      </c>
      <c r="AA501" s="71">
        <v>4</v>
      </c>
      <c r="AB501" s="71">
        <v>7</v>
      </c>
      <c r="AC501" s="71">
        <v>11</v>
      </c>
      <c r="AD501" s="69">
        <v>0.4</v>
      </c>
      <c r="AE501" s="69">
        <v>0.4</v>
      </c>
      <c r="AF501" s="25" t="str">
        <f>_xlfn.XLOOKUP(F501,'TFS Details'!F:F,'TFS Details'!H:H)</f>
        <v>PT In Test</v>
      </c>
      <c r="AG501" s="42">
        <v>11</v>
      </c>
      <c r="AH501" s="42">
        <v>0</v>
      </c>
      <c r="AI501" s="42">
        <v>0</v>
      </c>
      <c r="AJ501" s="42">
        <v>0</v>
      </c>
      <c r="AK501" s="38">
        <v>11</v>
      </c>
      <c r="AL501" s="39">
        <f t="shared" si="52"/>
        <v>1</v>
      </c>
      <c r="AM501" s="39">
        <f t="shared" si="53"/>
        <v>1</v>
      </c>
      <c r="AN501" s="17" t="s">
        <v>1152</v>
      </c>
      <c r="AO501" s="25" t="str">
        <f>_xlfn.XLOOKUP(F501,'TFS Details'!F:F,'TFS Details'!I:I)</f>
        <v>Solution to Contract</v>
      </c>
      <c r="AP501" s="25" t="str">
        <f>_xlfn.XLOOKUP(AO501,'TFS Details'!I:I,'TFS Details'!AE:AE)</f>
        <v>n.d.krishnakumar</v>
      </c>
    </row>
    <row r="502" spans="1:42" ht="24">
      <c r="A502" s="24" t="str">
        <f>_xlfn.XLOOKUP(F502,'TFS Details'!F:F,'TFS Details'!D:D)</f>
        <v>Gen AI</v>
      </c>
      <c r="B502" s="24" t="str">
        <f>_xlfn.XLOOKUP(F502,'TFS Details'!F:F,'TFS Details'!A:A)</f>
        <v>Security Governance in S2C</v>
      </c>
      <c r="C502" s="46">
        <f>_xlfn.XLOOKUP(F502,'TFS Details'!F:F,'TFS Details'!E:E)</f>
        <v>4373584</v>
      </c>
      <c r="D502" s="17" t="s">
        <v>38</v>
      </c>
      <c r="E502" s="139" t="s">
        <v>1205</v>
      </c>
      <c r="F502" s="72">
        <v>4371726</v>
      </c>
      <c r="G502" s="18" t="s">
        <v>1096</v>
      </c>
      <c r="H502" s="18" t="s">
        <v>1095</v>
      </c>
      <c r="I502" s="52" t="s">
        <v>1206</v>
      </c>
      <c r="J502" s="250" t="s">
        <v>18</v>
      </c>
      <c r="K502" s="177" t="s">
        <v>1194</v>
      </c>
      <c r="L502" s="23" t="s">
        <v>63</v>
      </c>
      <c r="M502" s="20" t="s">
        <v>311</v>
      </c>
      <c r="V502" s="17" t="s">
        <v>204</v>
      </c>
      <c r="W502" s="234" t="s">
        <v>204</v>
      </c>
      <c r="X502" s="17" t="s">
        <v>204</v>
      </c>
      <c r="Y502" s="17" t="s">
        <v>216</v>
      </c>
      <c r="Z502" s="71">
        <v>40</v>
      </c>
      <c r="AA502" s="71">
        <v>4</v>
      </c>
      <c r="AB502" s="71">
        <v>10</v>
      </c>
      <c r="AC502" s="71">
        <v>10</v>
      </c>
      <c r="AD502" s="69">
        <v>0.3</v>
      </c>
      <c r="AE502" s="69">
        <v>0.3</v>
      </c>
      <c r="AF502" s="25" t="str">
        <f>_xlfn.XLOOKUP(F502,'TFS Details'!F:F,'TFS Details'!H:H)</f>
        <v>PT In Test</v>
      </c>
      <c r="AG502" s="42">
        <v>5</v>
      </c>
      <c r="AH502" s="42">
        <v>1</v>
      </c>
      <c r="AI502" s="42">
        <v>0</v>
      </c>
      <c r="AJ502" s="42">
        <v>7</v>
      </c>
      <c r="AK502" s="38">
        <f t="shared" si="51"/>
        <v>13</v>
      </c>
      <c r="AL502" s="39">
        <f t="shared" si="52"/>
        <v>0.46153846153846156</v>
      </c>
      <c r="AM502" s="39">
        <f t="shared" si="53"/>
        <v>0.83333333333333337</v>
      </c>
      <c r="AN502" s="17" t="s">
        <v>1207</v>
      </c>
      <c r="AO502" s="25" t="str">
        <f>_xlfn.XLOOKUP(F502,'TFS Details'!F:F,'TFS Details'!I:I)</f>
        <v>Solution to Contract</v>
      </c>
      <c r="AP502" s="25" t="str">
        <f>_xlfn.XLOOKUP(AO502,'TFS Details'!I:I,'TFS Details'!AE:AE)</f>
        <v>n.d.krishnakumar</v>
      </c>
    </row>
    <row r="503" spans="1:42">
      <c r="A503" s="24" t="str">
        <f>_xlfn.XLOOKUP(F503,'TFS Details'!F:F,'TFS Details'!D:D)</f>
        <v>Gen AI</v>
      </c>
      <c r="B503" s="24" t="str">
        <f>_xlfn.XLOOKUP(F503,'TFS Details'!F:F,'TFS Details'!A:A)</f>
        <v>Security Governance in S2C</v>
      </c>
      <c r="C503" s="46">
        <f>_xlfn.XLOOKUP(F503,'TFS Details'!F:F,'TFS Details'!E:E)</f>
        <v>4373584</v>
      </c>
      <c r="D503" s="17" t="s">
        <v>38</v>
      </c>
      <c r="E503" s="139" t="s">
        <v>1208</v>
      </c>
      <c r="F503" s="72">
        <v>4373554</v>
      </c>
      <c r="G503" s="18" t="s">
        <v>1070</v>
      </c>
      <c r="H503" s="18" t="s">
        <v>1069</v>
      </c>
      <c r="I503" s="52" t="s">
        <v>106</v>
      </c>
      <c r="J503" s="66" t="s">
        <v>1</v>
      </c>
      <c r="K503" s="178"/>
      <c r="M503" s="20" t="s">
        <v>461</v>
      </c>
      <c r="O503" s="273">
        <v>0.15</v>
      </c>
      <c r="V503" s="234" t="s">
        <v>204</v>
      </c>
      <c r="W503" s="234" t="s">
        <v>204</v>
      </c>
      <c r="X503" s="17" t="s">
        <v>204</v>
      </c>
      <c r="Y503" s="17" t="s">
        <v>216</v>
      </c>
      <c r="Z503" s="71">
        <v>10</v>
      </c>
      <c r="AA503" s="71">
        <v>4</v>
      </c>
      <c r="AB503" s="71">
        <v>6</v>
      </c>
      <c r="AC503" s="71">
        <v>10</v>
      </c>
      <c r="AD503" s="69">
        <v>0.4</v>
      </c>
      <c r="AE503" s="69">
        <v>0.4</v>
      </c>
      <c r="AF503" s="25" t="str">
        <f>_xlfn.XLOOKUP(F503,'TFS Details'!F:F,'TFS Details'!H:H)</f>
        <v>PT In Test</v>
      </c>
      <c r="AG503" s="42">
        <v>10</v>
      </c>
      <c r="AH503" s="42">
        <v>0</v>
      </c>
      <c r="AI503" s="42">
        <v>0</v>
      </c>
      <c r="AJ503" s="42">
        <v>0</v>
      </c>
      <c r="AK503" s="38">
        <f t="shared" si="51"/>
        <v>10</v>
      </c>
      <c r="AL503" s="39">
        <f t="shared" si="52"/>
        <v>1</v>
      </c>
      <c r="AM503" s="39">
        <f t="shared" si="53"/>
        <v>1</v>
      </c>
      <c r="AN503" s="17" t="s">
        <v>1152</v>
      </c>
      <c r="AO503" s="25" t="str">
        <f>_xlfn.XLOOKUP(F503,'TFS Details'!F:F,'TFS Details'!I:I)</f>
        <v>Solution to Contract</v>
      </c>
      <c r="AP503" s="25" t="str">
        <f>_xlfn.XLOOKUP(AO503,'TFS Details'!I:I,'TFS Details'!AE:AE)</f>
        <v>n.d.krishnakumar</v>
      </c>
    </row>
    <row r="504" spans="1:42" ht="36">
      <c r="A504" s="24" t="str">
        <f>_xlfn.XLOOKUP(F504,'TFS Details'!F:F,'TFS Details'!D:D)</f>
        <v>Gen AI</v>
      </c>
      <c r="B504" s="24" t="str">
        <f>_xlfn.XLOOKUP(F504,'TFS Details'!F:F,'TFS Details'!A:A)</f>
        <v>Security Governance in S2C</v>
      </c>
      <c r="C504" s="46">
        <f>_xlfn.XLOOKUP(F504,'TFS Details'!F:F,'TFS Details'!E:E)</f>
        <v>4373584</v>
      </c>
      <c r="D504" s="17" t="s">
        <v>38</v>
      </c>
      <c r="E504" s="139" t="s">
        <v>1209</v>
      </c>
      <c r="F504" s="72">
        <v>4373579</v>
      </c>
      <c r="G504" s="18" t="s">
        <v>1070</v>
      </c>
      <c r="H504" s="18" t="s">
        <v>1069</v>
      </c>
      <c r="I504" s="52" t="s">
        <v>106</v>
      </c>
      <c r="J504" s="250" t="s">
        <v>18</v>
      </c>
      <c r="K504" s="177" t="s">
        <v>1204</v>
      </c>
      <c r="L504" s="16" t="s">
        <v>63</v>
      </c>
      <c r="M504" s="20" t="s">
        <v>311</v>
      </c>
      <c r="V504" s="234" t="s">
        <v>204</v>
      </c>
      <c r="W504" s="234" t="s">
        <v>204</v>
      </c>
      <c r="X504" s="17" t="s">
        <v>204</v>
      </c>
      <c r="Y504" s="17" t="s">
        <v>216</v>
      </c>
      <c r="Z504" s="71">
        <v>10</v>
      </c>
      <c r="AA504" s="71">
        <v>3</v>
      </c>
      <c r="AB504" s="71">
        <v>7</v>
      </c>
      <c r="AC504" s="71">
        <v>10</v>
      </c>
      <c r="AD504" s="69">
        <v>0.3</v>
      </c>
      <c r="AE504" s="69">
        <v>0.3</v>
      </c>
      <c r="AF504" s="25" t="str">
        <f>_xlfn.XLOOKUP(F504,'TFS Details'!F:F,'TFS Details'!H:H)</f>
        <v>PT In Test</v>
      </c>
      <c r="AG504" s="42">
        <v>10</v>
      </c>
      <c r="AH504" s="42">
        <v>0</v>
      </c>
      <c r="AI504" s="42">
        <v>0</v>
      </c>
      <c r="AJ504" s="42">
        <v>0</v>
      </c>
      <c r="AK504" s="38">
        <f t="shared" si="51"/>
        <v>10</v>
      </c>
      <c r="AL504" s="39">
        <f t="shared" si="52"/>
        <v>1</v>
      </c>
      <c r="AM504" s="39">
        <f t="shared" si="53"/>
        <v>1</v>
      </c>
      <c r="AN504" s="17" t="s">
        <v>1152</v>
      </c>
      <c r="AO504" s="25" t="str">
        <f>_xlfn.XLOOKUP(F504,'TFS Details'!F:F,'TFS Details'!I:I)</f>
        <v>Solution to Contract</v>
      </c>
      <c r="AP504" s="25" t="str">
        <f>_xlfn.XLOOKUP(AO504,'TFS Details'!I:I,'TFS Details'!AE:AE)</f>
        <v>n.d.krishnakumar</v>
      </c>
    </row>
    <row r="505" spans="1:42" ht="24">
      <c r="A505" s="24" t="str">
        <f>_xlfn.XLOOKUP(F505,'TFS Details'!F:F,'TFS Details'!D:D)</f>
        <v>Gen AI</v>
      </c>
      <c r="B505" s="24" t="str">
        <f>_xlfn.XLOOKUP(F505,'TFS Details'!F:F,'TFS Details'!A:A)</f>
        <v>Security Governance in S2C</v>
      </c>
      <c r="C505" s="46">
        <f>_xlfn.XLOOKUP(F505,'TFS Details'!F:F,'TFS Details'!E:E)</f>
        <v>4373584</v>
      </c>
      <c r="D505" s="17" t="s">
        <v>38</v>
      </c>
      <c r="E505" s="139" t="s">
        <v>1210</v>
      </c>
      <c r="F505" s="72">
        <v>4373583</v>
      </c>
      <c r="G505" s="18" t="s">
        <v>1070</v>
      </c>
      <c r="H505" s="18" t="s">
        <v>1069</v>
      </c>
      <c r="I505" s="52" t="s">
        <v>106</v>
      </c>
      <c r="J505" s="250" t="s">
        <v>20</v>
      </c>
      <c r="K505" s="177" t="s">
        <v>1194</v>
      </c>
      <c r="L505" s="16" t="s">
        <v>1137</v>
      </c>
      <c r="M505" s="20" t="s">
        <v>311</v>
      </c>
      <c r="O505" s="273">
        <v>0.15</v>
      </c>
      <c r="V505" s="234" t="s">
        <v>204</v>
      </c>
      <c r="W505" s="234" t="s">
        <v>204</v>
      </c>
      <c r="X505" s="17" t="s">
        <v>204</v>
      </c>
      <c r="Y505" s="17" t="s">
        <v>216</v>
      </c>
      <c r="Z505" s="71">
        <v>12</v>
      </c>
      <c r="AA505" s="71">
        <v>3</v>
      </c>
      <c r="AB505" s="71">
        <v>4</v>
      </c>
      <c r="AC505" s="71">
        <v>7</v>
      </c>
      <c r="AD505" s="69">
        <v>0.3</v>
      </c>
      <c r="AE505" s="69">
        <v>0.3</v>
      </c>
      <c r="AF505" s="25" t="str">
        <f>_xlfn.XLOOKUP(F505,'TFS Details'!F:F,'TFS Details'!H:H)</f>
        <v>PT In Test</v>
      </c>
      <c r="AG505" s="42">
        <v>7</v>
      </c>
      <c r="AH505" s="42">
        <v>0</v>
      </c>
      <c r="AI505" s="42">
        <v>0</v>
      </c>
      <c r="AJ505" s="42">
        <v>0</v>
      </c>
      <c r="AK505" s="38">
        <f t="shared" si="51"/>
        <v>7</v>
      </c>
      <c r="AL505" s="39">
        <f t="shared" si="52"/>
        <v>1</v>
      </c>
      <c r="AM505" s="39">
        <f t="shared" si="53"/>
        <v>1</v>
      </c>
      <c r="AN505" s="17" t="s">
        <v>1152</v>
      </c>
      <c r="AO505" s="25" t="str">
        <f>_xlfn.XLOOKUP(F505,'TFS Details'!F:F,'TFS Details'!I:I)</f>
        <v>Solution to Contract</v>
      </c>
      <c r="AP505" s="25" t="str">
        <f>_xlfn.XLOOKUP(AO505,'TFS Details'!I:I,'TFS Details'!AE:AE)</f>
        <v>n.d.krishnakumar</v>
      </c>
    </row>
    <row r="506" spans="1:42">
      <c r="A506" s="24" t="str">
        <f>_xlfn.XLOOKUP(F506,'TFS Details'!F:F,'TFS Details'!D:D)</f>
        <v>GEN AI</v>
      </c>
      <c r="B506" s="24" t="str">
        <f>_xlfn.XLOOKUP(F506,'TFS Details'!F:F,'TFS Details'!A:A)</f>
        <v>BPMS GEN AI DLC and SGC DSP Version Inclusion for the Prompts</v>
      </c>
      <c r="C506" s="46">
        <f>_xlfn.XLOOKUP(F506,'TFS Details'!F:F,'TFS Details'!E:E)</f>
        <v>4437199</v>
      </c>
      <c r="D506" s="17" t="s">
        <v>38</v>
      </c>
      <c r="E506" s="139" t="s">
        <v>1211</v>
      </c>
      <c r="F506" s="72">
        <v>4423216</v>
      </c>
      <c r="G506" s="18" t="s">
        <v>1127</v>
      </c>
      <c r="H506" s="106" t="s">
        <v>1128</v>
      </c>
      <c r="I506" s="52" t="s">
        <v>122</v>
      </c>
      <c r="J506" s="66" t="s">
        <v>1</v>
      </c>
      <c r="K506" s="178"/>
      <c r="O506" s="273">
        <v>0</v>
      </c>
      <c r="V506" s="17" t="s">
        <v>197</v>
      </c>
      <c r="W506" s="234" t="s">
        <v>204</v>
      </c>
      <c r="X506" s="17" t="s">
        <v>197</v>
      </c>
      <c r="Y506" s="17" t="s">
        <v>197</v>
      </c>
      <c r="Z506" s="71">
        <v>15</v>
      </c>
      <c r="AA506" s="71">
        <v>3</v>
      </c>
      <c r="AB506" s="71">
        <v>6</v>
      </c>
      <c r="AC506" s="71">
        <v>9</v>
      </c>
      <c r="AF506" s="25" t="str">
        <f>_xlfn.XLOOKUP(F506,'TFS Details'!F:F,'TFS Details'!H:H)</f>
        <v>Active</v>
      </c>
      <c r="AG506" s="42">
        <v>0</v>
      </c>
      <c r="AH506" s="42">
        <v>0</v>
      </c>
      <c r="AI506" s="42">
        <v>0</v>
      </c>
      <c r="AJ506" s="42">
        <v>0</v>
      </c>
      <c r="AK506" s="38">
        <f t="shared" si="51"/>
        <v>0</v>
      </c>
      <c r="AL506" s="39">
        <f t="shared" si="52"/>
        <v>0</v>
      </c>
      <c r="AM506" s="39">
        <f t="shared" si="53"/>
        <v>0</v>
      </c>
      <c r="AO506" s="25" t="str">
        <f>_xlfn.XLOOKUP(F506,'TFS Details'!F:F,'TFS Details'!I:I)</f>
        <v>Code Mavin</v>
      </c>
      <c r="AP506" s="25" t="str">
        <f>_xlfn.XLOOKUP(AO506,'TFS Details'!I:I,'TFS Details'!AE:AE)</f>
        <v>n.d.krishnakumar</v>
      </c>
    </row>
    <row r="507" spans="1:42">
      <c r="A507" s="24" t="str">
        <f>_xlfn.XLOOKUP(F507,'TFS Details'!F:F,'TFS Details'!D:D)</f>
        <v>GEN AI</v>
      </c>
      <c r="B507" s="24" t="str">
        <f>_xlfn.XLOOKUP(F507,'TFS Details'!F:F,'TFS Details'!A:A)</f>
        <v>BPMS GEN AI DLC and SGC DSP Version Inclusion for the Prompts</v>
      </c>
      <c r="C507" s="46">
        <f>_xlfn.XLOOKUP(F507,'TFS Details'!F:F,'TFS Details'!E:E)</f>
        <v>4437199</v>
      </c>
      <c r="D507" s="17" t="s">
        <v>38</v>
      </c>
      <c r="E507" s="139" t="s">
        <v>1212</v>
      </c>
      <c r="F507" s="72">
        <v>4423219</v>
      </c>
      <c r="G507" s="18" t="s">
        <v>1127</v>
      </c>
      <c r="H507" s="106" t="s">
        <v>1128</v>
      </c>
      <c r="I507" s="52" t="s">
        <v>122</v>
      </c>
      <c r="J507" s="66" t="s">
        <v>1</v>
      </c>
      <c r="K507" s="177"/>
      <c r="O507" s="273">
        <v>0</v>
      </c>
      <c r="V507" s="17" t="s">
        <v>197</v>
      </c>
      <c r="W507" s="234" t="s">
        <v>204</v>
      </c>
      <c r="X507" s="17" t="s">
        <v>197</v>
      </c>
      <c r="Y507" s="17" t="s">
        <v>197</v>
      </c>
      <c r="Z507" s="71">
        <v>15</v>
      </c>
      <c r="AA507" s="71">
        <v>3</v>
      </c>
      <c r="AB507" s="71">
        <v>6</v>
      </c>
      <c r="AC507" s="71">
        <v>9</v>
      </c>
      <c r="AF507" s="25" t="str">
        <f>_xlfn.XLOOKUP(F507,'TFS Details'!F:F,'TFS Details'!H:H)</f>
        <v>Active</v>
      </c>
      <c r="AG507" s="42">
        <v>0</v>
      </c>
      <c r="AH507" s="42">
        <v>0</v>
      </c>
      <c r="AI507" s="42">
        <v>0</v>
      </c>
      <c r="AJ507" s="42">
        <v>0</v>
      </c>
      <c r="AK507" s="38">
        <f t="shared" si="51"/>
        <v>0</v>
      </c>
      <c r="AL507" s="39">
        <f t="shared" si="52"/>
        <v>0</v>
      </c>
      <c r="AM507" s="39">
        <f t="shared" si="53"/>
        <v>0</v>
      </c>
      <c r="AO507" s="25" t="str">
        <f>_xlfn.XLOOKUP(F507,'TFS Details'!F:F,'TFS Details'!I:I)</f>
        <v>Code Mavin</v>
      </c>
      <c r="AP507" s="25" t="str">
        <f>_xlfn.XLOOKUP(AO507,'TFS Details'!I:I,'TFS Details'!AE:AE)</f>
        <v>n.d.krishnakumar</v>
      </c>
    </row>
    <row r="508" spans="1:42" ht="24">
      <c r="A508" s="24" t="str">
        <f>_xlfn.XLOOKUP(F508,'TFS Details'!F:F,'TFS Details'!D:D)</f>
        <v>Gen AI</v>
      </c>
      <c r="B508" s="24" t="str">
        <f>_xlfn.XLOOKUP(F508,'TFS Details'!F:F,'TFS Details'!A:A)</f>
        <v>Security Governance in S2C</v>
      </c>
      <c r="C508" s="46">
        <f>_xlfn.XLOOKUP(F508,'TFS Details'!F:F,'TFS Details'!E:E)</f>
        <v>4373584</v>
      </c>
      <c r="D508" s="17" t="s">
        <v>38</v>
      </c>
      <c r="E508" s="139" t="s">
        <v>1213</v>
      </c>
      <c r="F508" s="72">
        <v>4446712</v>
      </c>
      <c r="G508" s="18" t="s">
        <v>1096</v>
      </c>
      <c r="H508" s="18" t="s">
        <v>1095</v>
      </c>
      <c r="I508" s="52" t="s">
        <v>1206</v>
      </c>
      <c r="J508" s="250" t="s">
        <v>18</v>
      </c>
      <c r="K508" s="177" t="s">
        <v>1194</v>
      </c>
      <c r="L508" s="23" t="s">
        <v>63</v>
      </c>
      <c r="M508" s="20" t="s">
        <v>311</v>
      </c>
      <c r="V508" s="17" t="s">
        <v>204</v>
      </c>
      <c r="W508" s="234" t="s">
        <v>204</v>
      </c>
      <c r="X508" s="17" t="s">
        <v>204</v>
      </c>
      <c r="Y508" s="17" t="s">
        <v>216</v>
      </c>
      <c r="Z508" s="71">
        <v>30</v>
      </c>
      <c r="AA508" s="71">
        <v>2</v>
      </c>
      <c r="AB508" s="71">
        <v>9</v>
      </c>
      <c r="AC508" s="71">
        <v>9</v>
      </c>
      <c r="AD508" s="69">
        <v>0.2</v>
      </c>
      <c r="AE508" s="69">
        <v>0.2</v>
      </c>
      <c r="AF508" s="25" t="str">
        <f>_xlfn.XLOOKUP(F508,'TFS Details'!F:F,'TFS Details'!H:H)</f>
        <v>PT In Test</v>
      </c>
      <c r="AG508" s="42">
        <v>8</v>
      </c>
      <c r="AH508" s="42">
        <v>0</v>
      </c>
      <c r="AI508" s="42">
        <v>0</v>
      </c>
      <c r="AJ508" s="42">
        <v>1</v>
      </c>
      <c r="AK508" s="38">
        <f t="shared" si="51"/>
        <v>9</v>
      </c>
      <c r="AL508" s="39">
        <f t="shared" si="52"/>
        <v>0.88888888888888884</v>
      </c>
      <c r="AM508" s="39">
        <f t="shared" si="53"/>
        <v>1</v>
      </c>
      <c r="AN508" s="17" t="s">
        <v>1214</v>
      </c>
      <c r="AO508" s="25" t="str">
        <f>_xlfn.XLOOKUP(F508,'TFS Details'!F:F,'TFS Details'!I:I)</f>
        <v>Solution to Contract</v>
      </c>
      <c r="AP508" s="25" t="str">
        <f>_xlfn.XLOOKUP(AO508,'TFS Details'!I:I,'TFS Details'!AE:AE)</f>
        <v>n.d.krishnakumar</v>
      </c>
    </row>
    <row r="509" spans="1:42" ht="24">
      <c r="A509" s="24" t="str">
        <f>_xlfn.XLOOKUP(F509,'TFS Details'!F:F,'TFS Details'!D:D)</f>
        <v>Gen AI</v>
      </c>
      <c r="B509" s="24" t="str">
        <f>_xlfn.XLOOKUP(F509,'TFS Details'!F:F,'TFS Details'!A:A)</f>
        <v>SI Technology Expansion — Connected Solutions &amp; Others</v>
      </c>
      <c r="C509" s="46">
        <f>_xlfn.XLOOKUP(F509,'TFS Details'!F:F,'TFS Details'!E:E)</f>
        <v>4450105</v>
      </c>
      <c r="D509" s="17" t="s">
        <v>38</v>
      </c>
      <c r="E509" s="139" t="s">
        <v>1215</v>
      </c>
      <c r="F509" s="72">
        <v>4446741</v>
      </c>
      <c r="G509" s="18" t="s">
        <v>1096</v>
      </c>
      <c r="H509" s="18" t="s">
        <v>1095</v>
      </c>
      <c r="I509" s="52" t="s">
        <v>1206</v>
      </c>
      <c r="J509" s="250" t="s">
        <v>18</v>
      </c>
      <c r="K509" s="177" t="s">
        <v>1194</v>
      </c>
      <c r="L509" s="16" t="s">
        <v>63</v>
      </c>
      <c r="M509" s="20" t="s">
        <v>311</v>
      </c>
      <c r="V509" s="17" t="s">
        <v>204</v>
      </c>
      <c r="W509" s="234" t="s">
        <v>204</v>
      </c>
      <c r="X509" s="17" t="s">
        <v>204</v>
      </c>
      <c r="Y509" s="17" t="s">
        <v>197</v>
      </c>
      <c r="Z509" s="71">
        <v>40</v>
      </c>
      <c r="AA509" s="71">
        <v>4</v>
      </c>
      <c r="AB509" s="71">
        <v>12</v>
      </c>
      <c r="AC509" s="71">
        <v>12</v>
      </c>
      <c r="AD509" s="69">
        <v>0.4</v>
      </c>
      <c r="AE509" s="69">
        <v>0.4</v>
      </c>
      <c r="AF509" s="25" t="str">
        <f>_xlfn.XLOOKUP(F509,'TFS Details'!F:F,'TFS Details'!H:H)</f>
        <v>Active</v>
      </c>
      <c r="AG509" s="42">
        <v>0</v>
      </c>
      <c r="AH509" s="42">
        <v>0</v>
      </c>
      <c r="AI509" s="42">
        <v>0</v>
      </c>
      <c r="AJ509" s="42">
        <v>12</v>
      </c>
      <c r="AK509" s="38">
        <f t="shared" si="51"/>
        <v>12</v>
      </c>
      <c r="AL509" s="39">
        <f t="shared" si="52"/>
        <v>0</v>
      </c>
      <c r="AM509" s="39">
        <f t="shared" si="53"/>
        <v>0</v>
      </c>
      <c r="AO509" s="25" t="str">
        <f>_xlfn.XLOOKUP(F509,'TFS Details'!F:F,'TFS Details'!I:I)</f>
        <v>Solution to Contract</v>
      </c>
      <c r="AP509" s="25" t="str">
        <f>_xlfn.XLOOKUP(AO509,'TFS Details'!I:I,'TFS Details'!AE:AE)</f>
        <v>n.d.krishnakumar</v>
      </c>
    </row>
    <row r="510" spans="1:42" ht="24">
      <c r="A510" s="24" t="str">
        <f>_xlfn.XLOOKUP(F510,'TFS Details'!F:F,'TFS Details'!D:D)</f>
        <v>Gen AI</v>
      </c>
      <c r="B510" s="24" t="str">
        <f>_xlfn.XLOOKUP(F510,'TFS Details'!F:F,'TFS Details'!A:A)</f>
        <v>Security Governance in S2C</v>
      </c>
      <c r="C510" s="46">
        <f>_xlfn.XLOOKUP(F510,'TFS Details'!F:F,'TFS Details'!E:E)</f>
        <v>4373584</v>
      </c>
      <c r="D510" s="17" t="s">
        <v>38</v>
      </c>
      <c r="E510" s="139" t="s">
        <v>1216</v>
      </c>
      <c r="F510" s="72">
        <v>4450312</v>
      </c>
      <c r="G510" s="18" t="s">
        <v>239</v>
      </c>
      <c r="H510" s="18" t="s">
        <v>238</v>
      </c>
      <c r="I510" s="52"/>
      <c r="J510" s="250" t="s">
        <v>18</v>
      </c>
      <c r="K510" s="177" t="s">
        <v>1194</v>
      </c>
      <c r="L510" s="23" t="s">
        <v>63</v>
      </c>
      <c r="P510" s="241">
        <v>30</v>
      </c>
      <c r="V510" s="17" t="s">
        <v>216</v>
      </c>
      <c r="W510" s="234" t="s">
        <v>204</v>
      </c>
      <c r="X510" s="17" t="s">
        <v>197</v>
      </c>
      <c r="Y510" s="17" t="s">
        <v>216</v>
      </c>
      <c r="AF510" s="25" t="str">
        <f>_xlfn.XLOOKUP(F510,'TFS Details'!F:F,'TFS Details'!H:H)</f>
        <v>Ready for Test</v>
      </c>
      <c r="AG510" s="42">
        <v>0</v>
      </c>
      <c r="AH510" s="42">
        <v>0</v>
      </c>
      <c r="AI510" s="42">
        <v>0</v>
      </c>
      <c r="AJ510" s="42">
        <v>0</v>
      </c>
      <c r="AK510" s="38">
        <f t="shared" ref="AK510:AK572" si="54">SUM(AG510:AJ510)</f>
        <v>0</v>
      </c>
      <c r="AL510" s="39">
        <f t="shared" ref="AL510:AL572" si="55">IF(AG510+AH510=0,0,SUM(AG510:AH510)/AK510)</f>
        <v>0</v>
      </c>
      <c r="AM510" s="39">
        <f t="shared" ref="AM510:AM572" si="56">IF(AG510=0,0,AG510/(SUM(AG510:AI510)))</f>
        <v>0</v>
      </c>
      <c r="AO510" s="25" t="str">
        <f>_xlfn.XLOOKUP(F510,'TFS Details'!F:F,'TFS Details'!I:I)</f>
        <v>GEN AI - Solution Super Agent</v>
      </c>
      <c r="AP510" s="25" t="str">
        <f>_xlfn.XLOOKUP(AO510,'TFS Details'!I:I,'TFS Details'!AE:AE)</f>
        <v>pandidurai.ks</v>
      </c>
    </row>
    <row r="511" spans="1:42" ht="36">
      <c r="A511" s="24" t="str">
        <f>_xlfn.XLOOKUP(F511,'TFS Details'!F:F,'TFS Details'!D:D)</f>
        <v>Retrospective Insights and Learnings</v>
      </c>
      <c r="B511" s="24" t="str">
        <f>_xlfn.XLOOKUP(F511,'TFS Details'!F:F,'TFS Details'!A:A)</f>
        <v>[SSA - QDI] - Auto generation of Learnings.</v>
      </c>
      <c r="C511" s="46">
        <f>_xlfn.XLOOKUP(F511,'TFS Details'!F:F,'TFS Details'!E:E)</f>
        <v>4434514</v>
      </c>
      <c r="D511" s="17" t="s">
        <v>38</v>
      </c>
      <c r="E511" s="139" t="s">
        <v>1217</v>
      </c>
      <c r="F511" s="72">
        <v>4447232</v>
      </c>
      <c r="G511" s="18" t="s">
        <v>1148</v>
      </c>
      <c r="H511" s="18" t="s">
        <v>1149</v>
      </c>
      <c r="I511" s="52" t="s">
        <v>1150</v>
      </c>
      <c r="J511" s="250" t="s">
        <v>18</v>
      </c>
      <c r="K511" s="58" t="s">
        <v>1218</v>
      </c>
      <c r="L511" s="234" t="s">
        <v>36</v>
      </c>
      <c r="V511" s="17" t="s">
        <v>216</v>
      </c>
      <c r="W511" s="234" t="s">
        <v>204</v>
      </c>
      <c r="X511" s="17" t="s">
        <v>197</v>
      </c>
      <c r="Y511" s="17" t="s">
        <v>216</v>
      </c>
      <c r="AF511" s="25" t="str">
        <f>_xlfn.XLOOKUP(F511,'TFS Details'!F:F,'TFS Details'!H:H)</f>
        <v>Active</v>
      </c>
      <c r="AG511" s="42">
        <v>0</v>
      </c>
      <c r="AH511" s="42">
        <v>0</v>
      </c>
      <c r="AI511" s="42">
        <v>0</v>
      </c>
      <c r="AJ511" s="42">
        <v>0</v>
      </c>
      <c r="AK511" s="38">
        <f t="shared" si="54"/>
        <v>0</v>
      </c>
      <c r="AL511" s="39">
        <f t="shared" si="55"/>
        <v>0</v>
      </c>
      <c r="AM511" s="39">
        <f t="shared" si="56"/>
        <v>0</v>
      </c>
      <c r="AO511" s="25" t="str">
        <f>_xlfn.XLOOKUP(F511,'TFS Details'!F:F,'TFS Details'!I:I)</f>
        <v>QualityDataInsights</v>
      </c>
      <c r="AP511" s="25" t="str">
        <f>_xlfn.XLOOKUP(AO511,'TFS Details'!I:I,'TFS Details'!AE:AE)</f>
        <v>n.d.krishnakumar</v>
      </c>
    </row>
    <row r="512" spans="1:42" ht="36">
      <c r="A512" s="24" t="str">
        <f>_xlfn.XLOOKUP(F512,'TFS Details'!F:F,'TFS Details'!D:D)</f>
        <v>Retrospective Insights and Learnings</v>
      </c>
      <c r="B512" s="24" t="str">
        <f>_xlfn.XLOOKUP(F512,'TFS Details'!F:F,'TFS Details'!A:A)</f>
        <v>[SSA - QDI] - Auto generation of Learnings.</v>
      </c>
      <c r="C512" s="46">
        <f>_xlfn.XLOOKUP(F512,'TFS Details'!F:F,'TFS Details'!E:E)</f>
        <v>4434514</v>
      </c>
      <c r="D512" s="17" t="s">
        <v>38</v>
      </c>
      <c r="E512" s="139" t="s">
        <v>1219</v>
      </c>
      <c r="F512" s="72">
        <v>4447236</v>
      </c>
      <c r="G512" s="18" t="s">
        <v>1148</v>
      </c>
      <c r="H512" s="18" t="s">
        <v>1149</v>
      </c>
      <c r="I512" s="52" t="s">
        <v>1150</v>
      </c>
      <c r="J512" s="250" t="s">
        <v>18</v>
      </c>
      <c r="K512" s="58" t="s">
        <v>1218</v>
      </c>
      <c r="L512" s="234" t="s">
        <v>36</v>
      </c>
      <c r="V512" s="17" t="s">
        <v>216</v>
      </c>
      <c r="W512" s="234" t="s">
        <v>204</v>
      </c>
      <c r="X512" s="17" t="s">
        <v>197</v>
      </c>
      <c r="Y512" s="17" t="s">
        <v>216</v>
      </c>
      <c r="AF512" s="25" t="str">
        <f>_xlfn.XLOOKUP(F512,'TFS Details'!F:F,'TFS Details'!H:H)</f>
        <v>Active</v>
      </c>
      <c r="AG512" s="42">
        <v>0</v>
      </c>
      <c r="AH512" s="42">
        <v>0</v>
      </c>
      <c r="AI512" s="42">
        <v>0</v>
      </c>
      <c r="AJ512" s="42">
        <v>0</v>
      </c>
      <c r="AK512" s="38">
        <f t="shared" si="54"/>
        <v>0</v>
      </c>
      <c r="AL512" s="39">
        <f t="shared" si="55"/>
        <v>0</v>
      </c>
      <c r="AM512" s="39">
        <f t="shared" si="56"/>
        <v>0</v>
      </c>
      <c r="AO512" s="25" t="str">
        <f>_xlfn.XLOOKUP(F512,'TFS Details'!F:F,'TFS Details'!I:I)</f>
        <v>QualityDataInsights</v>
      </c>
      <c r="AP512" s="25" t="str">
        <f>_xlfn.XLOOKUP(AO512,'TFS Details'!I:I,'TFS Details'!AE:AE)</f>
        <v>n.d.krishnakumar</v>
      </c>
    </row>
    <row r="513" spans="1:42" ht="36">
      <c r="A513" s="24" t="str">
        <f>_xlfn.XLOOKUP(F513,'TFS Details'!F:F,'TFS Details'!D:D)</f>
        <v>Retrospective Insights and Learnings</v>
      </c>
      <c r="B513" s="24" t="str">
        <f>_xlfn.XLOOKUP(F513,'TFS Details'!F:F,'TFS Details'!A:A)</f>
        <v>[SSA - QDI] - Auto generation of Learnings.</v>
      </c>
      <c r="C513" s="46">
        <f>_xlfn.XLOOKUP(F513,'TFS Details'!F:F,'TFS Details'!E:E)</f>
        <v>4434514</v>
      </c>
      <c r="D513" s="17" t="s">
        <v>38</v>
      </c>
      <c r="E513" s="139" t="s">
        <v>1220</v>
      </c>
      <c r="F513" s="72">
        <v>4438518</v>
      </c>
      <c r="G513" s="18" t="s">
        <v>238</v>
      </c>
      <c r="H513" s="106" t="s">
        <v>239</v>
      </c>
      <c r="I513" s="52" t="s">
        <v>240</v>
      </c>
      <c r="J513" s="250" t="s">
        <v>18</v>
      </c>
      <c r="K513" s="58" t="s">
        <v>1218</v>
      </c>
      <c r="L513" s="16" t="s">
        <v>36</v>
      </c>
      <c r="V513" s="17" t="s">
        <v>216</v>
      </c>
      <c r="W513" s="234" t="s">
        <v>204</v>
      </c>
      <c r="X513" s="17" t="s">
        <v>197</v>
      </c>
      <c r="Y513" s="17" t="s">
        <v>197</v>
      </c>
      <c r="AF513" s="25" t="str">
        <f>_xlfn.XLOOKUP(F513,'TFS Details'!F:F,'TFS Details'!H:H)</f>
        <v>Active</v>
      </c>
      <c r="AG513" s="42">
        <v>0</v>
      </c>
      <c r="AH513" s="42">
        <v>0</v>
      </c>
      <c r="AI513" s="42">
        <v>0</v>
      </c>
      <c r="AJ513" s="42">
        <v>0</v>
      </c>
      <c r="AK513" s="38">
        <f t="shared" si="54"/>
        <v>0</v>
      </c>
      <c r="AL513" s="39">
        <f t="shared" si="55"/>
        <v>0</v>
      </c>
      <c r="AM513" s="39">
        <f t="shared" si="56"/>
        <v>0</v>
      </c>
      <c r="AO513" s="25" t="str">
        <f>_xlfn.XLOOKUP(F513,'TFS Details'!F:F,'TFS Details'!I:I)</f>
        <v>QualityDataInsights</v>
      </c>
      <c r="AP513" s="25" t="str">
        <f>_xlfn.XLOOKUP(AO513,'TFS Details'!I:I,'TFS Details'!AE:AE)</f>
        <v>n.d.krishnakumar</v>
      </c>
    </row>
    <row r="514" spans="1:42" ht="36">
      <c r="A514" s="24" t="str">
        <f>_xlfn.XLOOKUP(F514,'TFS Details'!F:F,'TFS Details'!D:D)</f>
        <v>Retrospective Insights and Learnings</v>
      </c>
      <c r="B514" s="24" t="str">
        <f>_xlfn.XLOOKUP(F514,'TFS Details'!F:F,'TFS Details'!A:A)</f>
        <v>[SSA - QDI] - Auto generation of Learnings.</v>
      </c>
      <c r="C514" s="46">
        <f>_xlfn.XLOOKUP(F514,'TFS Details'!F:F,'TFS Details'!E:E)</f>
        <v>4434514</v>
      </c>
      <c r="D514" s="17" t="s">
        <v>38</v>
      </c>
      <c r="E514" s="139" t="s">
        <v>1221</v>
      </c>
      <c r="F514" s="72">
        <v>4438549</v>
      </c>
      <c r="G514" s="18" t="s">
        <v>238</v>
      </c>
      <c r="H514" s="106" t="s">
        <v>239</v>
      </c>
      <c r="I514" s="52" t="s">
        <v>240</v>
      </c>
      <c r="J514" s="250" t="s">
        <v>18</v>
      </c>
      <c r="K514" s="58" t="s">
        <v>1218</v>
      </c>
      <c r="L514" s="234" t="s">
        <v>36</v>
      </c>
      <c r="V514" s="17" t="s">
        <v>216</v>
      </c>
      <c r="W514" s="234" t="s">
        <v>204</v>
      </c>
      <c r="X514" s="17" t="s">
        <v>197</v>
      </c>
      <c r="Y514" s="17" t="s">
        <v>197</v>
      </c>
      <c r="AF514" s="25" t="str">
        <f>_xlfn.XLOOKUP(F514,'TFS Details'!F:F,'TFS Details'!H:H)</f>
        <v>Active</v>
      </c>
      <c r="AG514" s="42">
        <v>0</v>
      </c>
      <c r="AH514" s="42">
        <v>0</v>
      </c>
      <c r="AI514" s="42">
        <v>0</v>
      </c>
      <c r="AJ514" s="42">
        <v>0</v>
      </c>
      <c r="AK514" s="38">
        <f t="shared" si="54"/>
        <v>0</v>
      </c>
      <c r="AL514" s="39">
        <f t="shared" si="55"/>
        <v>0</v>
      </c>
      <c r="AM514" s="39">
        <f t="shared" si="56"/>
        <v>0</v>
      </c>
      <c r="AO514" s="25" t="str">
        <f>_xlfn.XLOOKUP(F514,'TFS Details'!F:F,'TFS Details'!I:I)</f>
        <v>QualityDataInsights</v>
      </c>
      <c r="AP514" s="25" t="str">
        <f>_xlfn.XLOOKUP(AO514,'TFS Details'!I:I,'TFS Details'!AE:AE)</f>
        <v>n.d.krishnakumar</v>
      </c>
    </row>
    <row r="515" spans="1:42" ht="36">
      <c r="A515" s="24" t="str">
        <f>_xlfn.XLOOKUP(F515,'TFS Details'!F:F,'TFS Details'!D:D)</f>
        <v>Retrospective Insights and Learnings</v>
      </c>
      <c r="B515" s="24" t="str">
        <f>_xlfn.XLOOKUP(F515,'TFS Details'!F:F,'TFS Details'!A:A)</f>
        <v>[SSA - QDI] - Auto generation of Learnings.</v>
      </c>
      <c r="C515" s="46">
        <f>_xlfn.XLOOKUP(F515,'TFS Details'!F:F,'TFS Details'!E:E)</f>
        <v>4434514</v>
      </c>
      <c r="D515" s="17" t="s">
        <v>38</v>
      </c>
      <c r="E515" s="139" t="s">
        <v>1222</v>
      </c>
      <c r="F515" s="72">
        <v>4438550</v>
      </c>
      <c r="G515" s="18" t="s">
        <v>238</v>
      </c>
      <c r="H515" s="106" t="s">
        <v>239</v>
      </c>
      <c r="I515" s="52" t="s">
        <v>240</v>
      </c>
      <c r="J515" s="250" t="s">
        <v>18</v>
      </c>
      <c r="K515" s="58" t="s">
        <v>1218</v>
      </c>
      <c r="L515" s="234" t="s">
        <v>36</v>
      </c>
      <c r="V515" s="17" t="s">
        <v>216</v>
      </c>
      <c r="W515" s="234" t="s">
        <v>204</v>
      </c>
      <c r="X515" s="17" t="s">
        <v>197</v>
      </c>
      <c r="Y515" s="17" t="s">
        <v>197</v>
      </c>
      <c r="AF515" s="25" t="str">
        <f>_xlfn.XLOOKUP(F515,'TFS Details'!F:F,'TFS Details'!H:H)</f>
        <v>Active</v>
      </c>
      <c r="AG515" s="42">
        <v>0</v>
      </c>
      <c r="AH515" s="42">
        <v>0</v>
      </c>
      <c r="AI515" s="42">
        <v>0</v>
      </c>
      <c r="AJ515" s="42">
        <v>0</v>
      </c>
      <c r="AK515" s="38">
        <f t="shared" si="54"/>
        <v>0</v>
      </c>
      <c r="AL515" s="39">
        <f t="shared" si="55"/>
        <v>0</v>
      </c>
      <c r="AM515" s="39">
        <f t="shared" si="56"/>
        <v>0</v>
      </c>
      <c r="AO515" s="25" t="str">
        <f>_xlfn.XLOOKUP(F515,'TFS Details'!F:F,'TFS Details'!I:I)</f>
        <v>QualityDataInsights</v>
      </c>
      <c r="AP515" s="25" t="str">
        <f>_xlfn.XLOOKUP(AO515,'TFS Details'!I:I,'TFS Details'!AE:AE)</f>
        <v>n.d.krishnakumar</v>
      </c>
    </row>
    <row r="516" spans="1:42">
      <c r="A516" s="24" t="str">
        <f>_xlfn.XLOOKUP(F516,'TFS Details'!F:F,'TFS Details'!D:D)</f>
        <v>Review Agent</v>
      </c>
      <c r="B516" s="24" t="str">
        <f>_xlfn.XLOOKUP(F516,'TFS Details'!F:F,'TFS Details'!A:A)</f>
        <v>[SSA - SRA] - Review Agent landing page changes.</v>
      </c>
      <c r="C516" s="46">
        <f>_xlfn.XLOOKUP(F516,'TFS Details'!F:F,'TFS Details'!E:E)</f>
        <v>4418789</v>
      </c>
      <c r="D516" s="17" t="s">
        <v>38</v>
      </c>
      <c r="E516" s="139" t="s">
        <v>1223</v>
      </c>
      <c r="F516" s="72">
        <v>4446374</v>
      </c>
      <c r="G516" s="18" t="s">
        <v>232</v>
      </c>
      <c r="H516" s="18" t="s">
        <v>231</v>
      </c>
      <c r="I516" s="52" t="s">
        <v>132</v>
      </c>
      <c r="J516" s="66" t="s">
        <v>1</v>
      </c>
      <c r="O516" s="273">
        <v>0.05</v>
      </c>
      <c r="V516" s="17" t="s">
        <v>204</v>
      </c>
      <c r="W516" s="17" t="s">
        <v>197</v>
      </c>
      <c r="X516" s="17" t="s">
        <v>197</v>
      </c>
      <c r="Y516" s="17" t="s">
        <v>216</v>
      </c>
      <c r="Z516" s="71">
        <v>20</v>
      </c>
      <c r="AA516" s="71">
        <v>17</v>
      </c>
      <c r="AB516" s="71">
        <v>21</v>
      </c>
      <c r="AC516" s="71">
        <v>21</v>
      </c>
      <c r="AD516" s="69">
        <v>0.6</v>
      </c>
      <c r="AE516" s="69">
        <v>0.6</v>
      </c>
      <c r="AF516" s="25" t="str">
        <f>_xlfn.XLOOKUP(F516,'TFS Details'!F:F,'TFS Details'!H:H)</f>
        <v>PT In Test</v>
      </c>
      <c r="AG516" s="42">
        <v>0</v>
      </c>
      <c r="AH516" s="42">
        <v>0</v>
      </c>
      <c r="AI516" s="42">
        <v>0</v>
      </c>
      <c r="AJ516" s="42">
        <v>21</v>
      </c>
      <c r="AK516" s="38">
        <f t="shared" si="54"/>
        <v>21</v>
      </c>
      <c r="AL516" s="39">
        <f t="shared" si="55"/>
        <v>0</v>
      </c>
      <c r="AM516" s="39">
        <f t="shared" si="56"/>
        <v>0</v>
      </c>
      <c r="AO516" s="25" t="str">
        <f>_xlfn.XLOOKUP(F516,'TFS Details'!F:F,'TFS Details'!I:I)</f>
        <v>Gen AI - Solution Review Agent</v>
      </c>
      <c r="AP516" s="25" t="str">
        <f>_xlfn.XLOOKUP(AO516,'TFS Details'!I:I,'TFS Details'!AE:AE)</f>
        <v>n.d.krishnakumar</v>
      </c>
    </row>
    <row r="517" spans="1:42" ht="24">
      <c r="A517" s="24" t="str">
        <f>_xlfn.XLOOKUP(F517,'TFS Details'!F:F,'TFS Details'!D:D)</f>
        <v>Review Agent</v>
      </c>
      <c r="B517" s="24" t="str">
        <f>_xlfn.XLOOKUP(F517,'TFS Details'!F:F,'TFS Details'!A:A)</f>
        <v>[SSA - SRA]  Overall Error and Exception Handling</v>
      </c>
      <c r="C517" s="46">
        <f>_xlfn.XLOOKUP(F517,'TFS Details'!F:F,'TFS Details'!E:E)</f>
        <v>4459031</v>
      </c>
      <c r="D517" s="17" t="s">
        <v>38</v>
      </c>
      <c r="E517" s="139" t="s">
        <v>1224</v>
      </c>
      <c r="F517" s="72">
        <v>4442525</v>
      </c>
      <c r="G517" s="18" t="s">
        <v>223</v>
      </c>
      <c r="H517" s="18" t="s">
        <v>222</v>
      </c>
      <c r="I517" s="52" t="s">
        <v>91</v>
      </c>
      <c r="J517" s="250" t="s">
        <v>18</v>
      </c>
      <c r="K517" s="58" t="s">
        <v>1225</v>
      </c>
      <c r="L517" s="16" t="s">
        <v>45</v>
      </c>
      <c r="V517" s="17" t="s">
        <v>204</v>
      </c>
      <c r="W517" s="17" t="s">
        <v>216</v>
      </c>
      <c r="X517" s="17" t="s">
        <v>197</v>
      </c>
      <c r="Y517" s="17" t="s">
        <v>216</v>
      </c>
      <c r="AF517" s="25" t="str">
        <f>_xlfn.XLOOKUP(F517,'TFS Details'!F:F,'TFS Details'!H:H)</f>
        <v>Active</v>
      </c>
      <c r="AG517" s="42">
        <v>2</v>
      </c>
      <c r="AH517" s="42">
        <v>0</v>
      </c>
      <c r="AI517" s="42">
        <v>0</v>
      </c>
      <c r="AJ517" s="42">
        <v>6</v>
      </c>
      <c r="AK517" s="38">
        <f t="shared" si="54"/>
        <v>8</v>
      </c>
      <c r="AL517" s="39">
        <f t="shared" si="55"/>
        <v>0.25</v>
      </c>
      <c r="AM517" s="39">
        <f t="shared" si="56"/>
        <v>1</v>
      </c>
      <c r="AO517" s="25" t="str">
        <f>_xlfn.XLOOKUP(F517,'TFS Details'!F:F,'TFS Details'!I:I)</f>
        <v>Gen AI - Solution Review Agent</v>
      </c>
      <c r="AP517" s="25" t="str">
        <f>_xlfn.XLOOKUP(AO517,'TFS Details'!I:I,'TFS Details'!AE:AE)</f>
        <v>n.d.krishnakumar</v>
      </c>
    </row>
    <row r="518" spans="1:42">
      <c r="A518" s="24" t="str">
        <f>_xlfn.XLOOKUP(F518,'TFS Details'!F:F,'TFS Details'!D:D)</f>
        <v>Review Agent</v>
      </c>
      <c r="B518" s="24" t="str">
        <f>_xlfn.XLOOKUP(F518,'TFS Details'!F:F,'TFS Details'!A:A)</f>
        <v>[SSA - SRA] - Integration of Review Agent - SSA Chat enablement</v>
      </c>
      <c r="C518" s="46">
        <f>_xlfn.XLOOKUP(F518,'TFS Details'!F:F,'TFS Details'!E:E)</f>
        <v>4287584</v>
      </c>
      <c r="D518" s="17" t="s">
        <v>38</v>
      </c>
      <c r="E518" s="139" t="s">
        <v>1226</v>
      </c>
      <c r="F518" s="72">
        <v>4424457</v>
      </c>
      <c r="G518" s="18" t="s">
        <v>1133</v>
      </c>
      <c r="H518" s="106" t="s">
        <v>1134</v>
      </c>
      <c r="I518" s="52" t="s">
        <v>1135</v>
      </c>
      <c r="J518" s="250" t="s">
        <v>20</v>
      </c>
      <c r="K518" s="58" t="s">
        <v>1136</v>
      </c>
      <c r="L518" s="16" t="s">
        <v>1141</v>
      </c>
      <c r="M518" s="20" t="s">
        <v>461</v>
      </c>
      <c r="N518" s="45">
        <v>1</v>
      </c>
      <c r="O518" s="273">
        <v>0.3</v>
      </c>
      <c r="V518" s="17" t="s">
        <v>204</v>
      </c>
      <c r="W518" s="17" t="s">
        <v>216</v>
      </c>
      <c r="X518" s="17" t="s">
        <v>204</v>
      </c>
      <c r="Y518" s="17" t="s">
        <v>216</v>
      </c>
      <c r="AF518" s="25" t="str">
        <f>_xlfn.XLOOKUP(F518,'TFS Details'!F:F,'TFS Details'!H:H)</f>
        <v>PT In Test</v>
      </c>
      <c r="AG518" s="42">
        <v>15</v>
      </c>
      <c r="AH518" s="42">
        <v>1</v>
      </c>
      <c r="AI518" s="42">
        <v>0</v>
      </c>
      <c r="AJ518" s="42">
        <v>3</v>
      </c>
      <c r="AK518" s="38">
        <f t="shared" si="54"/>
        <v>19</v>
      </c>
      <c r="AL518" s="39">
        <f t="shared" si="55"/>
        <v>0.84210526315789469</v>
      </c>
      <c r="AM518" s="39">
        <f t="shared" si="56"/>
        <v>0.9375</v>
      </c>
      <c r="AN518" s="17" t="s">
        <v>1227</v>
      </c>
      <c r="AO518" s="25" t="str">
        <f>_xlfn.XLOOKUP(F518,'TFS Details'!F:F,'TFS Details'!I:I)</f>
        <v>GEN AI - Solution Super Agent</v>
      </c>
      <c r="AP518" s="25" t="str">
        <f>_xlfn.XLOOKUP(AO518,'TFS Details'!I:I,'TFS Details'!AE:AE)</f>
        <v>pandidurai.ks</v>
      </c>
    </row>
    <row r="519" spans="1:42">
      <c r="A519" s="24" t="str">
        <f>_xlfn.XLOOKUP(F519,'TFS Details'!F:F,'TFS Details'!D:D)</f>
        <v>Review Agent</v>
      </c>
      <c r="B519" s="24" t="str">
        <f>_xlfn.XLOOKUP(F519,'TFS Details'!F:F,'TFS Details'!A:A)</f>
        <v>[SSA - SRA] - Integration of Review Agent - SSA Chat enablement</v>
      </c>
      <c r="C519" s="46">
        <f>_xlfn.XLOOKUP(F519,'TFS Details'!F:F,'TFS Details'!E:E)</f>
        <v>4287584</v>
      </c>
      <c r="D519" s="17" t="s">
        <v>38</v>
      </c>
      <c r="E519" s="139" t="s">
        <v>1228</v>
      </c>
      <c r="F519" s="72">
        <v>4426304</v>
      </c>
      <c r="G519" s="18" t="s">
        <v>1133</v>
      </c>
      <c r="H519" s="106" t="s">
        <v>1134</v>
      </c>
      <c r="I519" s="52" t="s">
        <v>1135</v>
      </c>
      <c r="J519" s="250" t="s">
        <v>20</v>
      </c>
      <c r="K519" s="58" t="s">
        <v>1136</v>
      </c>
      <c r="L519" s="16" t="s">
        <v>1137</v>
      </c>
      <c r="M519" s="20" t="s">
        <v>311</v>
      </c>
      <c r="N519" s="45">
        <v>1</v>
      </c>
      <c r="O519" s="273">
        <v>0.1</v>
      </c>
      <c r="V519" s="17" t="s">
        <v>204</v>
      </c>
      <c r="W519" s="17" t="s">
        <v>216</v>
      </c>
      <c r="X519" s="17" t="s">
        <v>204</v>
      </c>
      <c r="Y519" s="17" t="s">
        <v>216</v>
      </c>
      <c r="AF519" s="25" t="str">
        <f>_xlfn.XLOOKUP(F519,'TFS Details'!F:F,'TFS Details'!H:H)</f>
        <v>Active</v>
      </c>
      <c r="AG519" s="42">
        <v>0</v>
      </c>
      <c r="AH519" s="42">
        <v>0</v>
      </c>
      <c r="AI519" s="42">
        <v>0</v>
      </c>
      <c r="AJ519" s="42">
        <v>15</v>
      </c>
      <c r="AK519" s="38">
        <f t="shared" si="54"/>
        <v>15</v>
      </c>
      <c r="AL519" s="39">
        <f t="shared" si="55"/>
        <v>0</v>
      </c>
      <c r="AM519" s="39">
        <f t="shared" si="56"/>
        <v>0</v>
      </c>
      <c r="AO519" s="25" t="str">
        <f>_xlfn.XLOOKUP(F519,'TFS Details'!F:F,'TFS Details'!I:I)</f>
        <v>GEN AI - Solution Super Agent</v>
      </c>
      <c r="AP519" s="25" t="str">
        <f>_xlfn.XLOOKUP(AO519,'TFS Details'!I:I,'TFS Details'!AE:AE)</f>
        <v>pandidurai.ks</v>
      </c>
    </row>
    <row r="520" spans="1:42">
      <c r="A520" s="24" t="str">
        <f>_xlfn.XLOOKUP(F520,'TFS Details'!F:F,'TFS Details'!D:D)</f>
        <v>Review Agent</v>
      </c>
      <c r="B520" s="24" t="str">
        <f>_xlfn.XLOOKUP(F520,'TFS Details'!F:F,'TFS Details'!A:A)</f>
        <v>[SSA - SRA] - Integration of Review Agent - SSA Chat enablement</v>
      </c>
      <c r="C520" s="46">
        <f>_xlfn.XLOOKUP(F520,'TFS Details'!F:F,'TFS Details'!E:E)</f>
        <v>4287584</v>
      </c>
      <c r="D520" s="17" t="s">
        <v>38</v>
      </c>
      <c r="E520" s="139" t="s">
        <v>1229</v>
      </c>
      <c r="F520" s="72">
        <v>4435931</v>
      </c>
      <c r="G520" s="18" t="s">
        <v>223</v>
      </c>
      <c r="H520" s="18" t="s">
        <v>222</v>
      </c>
      <c r="I520" s="52" t="s">
        <v>91</v>
      </c>
      <c r="J520" s="66" t="s">
        <v>1</v>
      </c>
      <c r="O520" s="273">
        <v>0.2</v>
      </c>
      <c r="V520" s="17" t="s">
        <v>204</v>
      </c>
      <c r="W520" s="17" t="s">
        <v>216</v>
      </c>
      <c r="X520" s="17" t="s">
        <v>197</v>
      </c>
      <c r="Y520" s="17" t="s">
        <v>216</v>
      </c>
      <c r="AF520" s="25" t="str">
        <f>_xlfn.XLOOKUP(F520,'TFS Details'!F:F,'TFS Details'!H:H)</f>
        <v>Ready for Test</v>
      </c>
      <c r="AG520" s="42">
        <v>0</v>
      </c>
      <c r="AH520" s="42">
        <v>0</v>
      </c>
      <c r="AI520" s="42">
        <v>0</v>
      </c>
      <c r="AJ520" s="42">
        <v>40</v>
      </c>
      <c r="AK520" s="38">
        <f t="shared" si="54"/>
        <v>40</v>
      </c>
      <c r="AL520" s="39">
        <f t="shared" si="55"/>
        <v>0</v>
      </c>
      <c r="AM520" s="39">
        <f t="shared" si="56"/>
        <v>0</v>
      </c>
      <c r="AO520" s="25" t="str">
        <f>_xlfn.XLOOKUP(F520,'TFS Details'!F:F,'TFS Details'!I:I)</f>
        <v>Gen AI - Solution Review Agent</v>
      </c>
      <c r="AP520" s="25" t="str">
        <f>_xlfn.XLOOKUP(AO520,'TFS Details'!I:I,'TFS Details'!AE:AE)</f>
        <v>n.d.krishnakumar</v>
      </c>
    </row>
    <row r="521" spans="1:42">
      <c r="A521" s="24" t="str">
        <f>_xlfn.XLOOKUP(F521,'TFS Details'!F:F,'TFS Details'!D:D)</f>
        <v>Review Agent</v>
      </c>
      <c r="B521" s="24" t="str">
        <f>_xlfn.XLOOKUP(F521,'TFS Details'!F:F,'TFS Details'!A:A)</f>
        <v>[Gen AI - SRA] - Notes Module</v>
      </c>
      <c r="C521" s="46">
        <f>_xlfn.XLOOKUP(F521,'TFS Details'!F:F,'TFS Details'!E:E)</f>
        <v>4420088</v>
      </c>
      <c r="D521" s="17" t="s">
        <v>38</v>
      </c>
      <c r="E521" s="139" t="s">
        <v>1230</v>
      </c>
      <c r="F521" s="72">
        <v>4436659</v>
      </c>
      <c r="G521" s="18" t="s">
        <v>223</v>
      </c>
      <c r="H521" s="18" t="s">
        <v>222</v>
      </c>
      <c r="I521" s="52" t="s">
        <v>91</v>
      </c>
      <c r="J521" s="250" t="s">
        <v>20</v>
      </c>
      <c r="K521" s="58" t="s">
        <v>1231</v>
      </c>
      <c r="L521" s="23" t="s">
        <v>30</v>
      </c>
      <c r="O521" s="273">
        <v>0.2</v>
      </c>
      <c r="V521" s="17" t="s">
        <v>204</v>
      </c>
      <c r="W521" s="17" t="s">
        <v>216</v>
      </c>
      <c r="X521" s="17" t="s">
        <v>197</v>
      </c>
      <c r="Y521" s="17" t="s">
        <v>216</v>
      </c>
      <c r="AF521" s="25" t="str">
        <f>_xlfn.XLOOKUP(F521,'TFS Details'!F:F,'TFS Details'!H:H)</f>
        <v>PT In Test</v>
      </c>
      <c r="AG521" s="42">
        <v>10</v>
      </c>
      <c r="AH521" s="42">
        <v>0</v>
      </c>
      <c r="AI521" s="42">
        <v>0</v>
      </c>
      <c r="AJ521" s="42">
        <v>31</v>
      </c>
      <c r="AK521" s="38">
        <f t="shared" si="54"/>
        <v>41</v>
      </c>
      <c r="AL521" s="39">
        <f t="shared" si="55"/>
        <v>0.24390243902439024</v>
      </c>
      <c r="AM521" s="39">
        <f t="shared" si="56"/>
        <v>1</v>
      </c>
      <c r="AO521" s="25" t="str">
        <f>_xlfn.XLOOKUP(F521,'TFS Details'!F:F,'TFS Details'!I:I)</f>
        <v>Gen AI - Solution Review Agent</v>
      </c>
      <c r="AP521" s="25" t="str">
        <f>_xlfn.XLOOKUP(AO521,'TFS Details'!I:I,'TFS Details'!AE:AE)</f>
        <v>n.d.krishnakumar</v>
      </c>
    </row>
    <row r="522" spans="1:42">
      <c r="A522" s="24" t="str">
        <f>_xlfn.XLOOKUP(F522,'TFS Details'!F:F,'TFS Details'!D:D)</f>
        <v>Review Agent</v>
      </c>
      <c r="B522" s="24" t="str">
        <f>_xlfn.XLOOKUP(F522,'TFS Details'!F:F,'TFS Details'!A:A)</f>
        <v>[SSA - SRA] - Review Agent landing page changes.</v>
      </c>
      <c r="C522" s="46">
        <f>_xlfn.XLOOKUP(F522,'TFS Details'!F:F,'TFS Details'!E:E)</f>
        <v>4418789</v>
      </c>
      <c r="D522" s="17" t="s">
        <v>38</v>
      </c>
      <c r="E522" s="139" t="s">
        <v>1232</v>
      </c>
      <c r="F522" s="72">
        <v>4436694</v>
      </c>
      <c r="G522" s="18" t="s">
        <v>223</v>
      </c>
      <c r="H522" s="18" t="s">
        <v>222</v>
      </c>
      <c r="I522" s="52" t="s">
        <v>91</v>
      </c>
      <c r="J522" s="250" t="s">
        <v>1</v>
      </c>
      <c r="K522" s="58" t="s">
        <v>1233</v>
      </c>
      <c r="L522" s="58" t="s">
        <v>1233</v>
      </c>
      <c r="O522" s="273">
        <v>0.2</v>
      </c>
      <c r="V522" s="17" t="s">
        <v>204</v>
      </c>
      <c r="W522" s="253" t="s">
        <v>216</v>
      </c>
      <c r="X522" s="17" t="s">
        <v>197</v>
      </c>
      <c r="Y522" s="17" t="s">
        <v>216</v>
      </c>
      <c r="AF522" s="25" t="str">
        <f>_xlfn.XLOOKUP(F522,'TFS Details'!F:F,'TFS Details'!H:H)</f>
        <v>PT In Test</v>
      </c>
      <c r="AG522" s="42">
        <v>17</v>
      </c>
      <c r="AH522" s="42">
        <v>2</v>
      </c>
      <c r="AI522" s="42">
        <v>0</v>
      </c>
      <c r="AJ522" s="42">
        <v>3</v>
      </c>
      <c r="AK522" s="38">
        <f t="shared" si="54"/>
        <v>22</v>
      </c>
      <c r="AL522" s="39">
        <f t="shared" si="55"/>
        <v>0.86363636363636365</v>
      </c>
      <c r="AM522" s="39">
        <f t="shared" si="56"/>
        <v>0.89473684210526316</v>
      </c>
      <c r="AN522" s="17" t="s">
        <v>1234</v>
      </c>
      <c r="AO522" s="25" t="str">
        <f>_xlfn.XLOOKUP(F522,'TFS Details'!F:F,'TFS Details'!I:I)</f>
        <v>Gen AI - Solution Review Agent</v>
      </c>
      <c r="AP522" s="25" t="str">
        <f>_xlfn.XLOOKUP(AO522,'TFS Details'!I:I,'TFS Details'!AE:AE)</f>
        <v>n.d.krishnakumar</v>
      </c>
    </row>
    <row r="523" spans="1:42">
      <c r="A523" s="24" t="str">
        <f>_xlfn.XLOOKUP(F523,'TFS Details'!F:F,'TFS Details'!D:D)</f>
        <v>Review Agent</v>
      </c>
      <c r="B523" s="24" t="str">
        <f>_xlfn.XLOOKUP(F523,'TFS Details'!F:F,'TFS Details'!A:A)</f>
        <v>[SSA - SRA] - Self Review Enablement for Additional Service Groups (SI, IMS, BPMS).</v>
      </c>
      <c r="C523" s="46">
        <f>_xlfn.XLOOKUP(F523,'TFS Details'!F:F,'TFS Details'!E:E)</f>
        <v>4420081</v>
      </c>
      <c r="D523" s="17" t="s">
        <v>38</v>
      </c>
      <c r="E523" s="139" t="s">
        <v>1235</v>
      </c>
      <c r="F523" s="72">
        <v>4429865</v>
      </c>
      <c r="G523" s="18" t="s">
        <v>223</v>
      </c>
      <c r="H523" s="18" t="s">
        <v>222</v>
      </c>
      <c r="I523" s="52" t="s">
        <v>91</v>
      </c>
      <c r="J523" s="66" t="s">
        <v>1</v>
      </c>
      <c r="O523" s="273">
        <v>0.2</v>
      </c>
      <c r="V523" s="17" t="s">
        <v>204</v>
      </c>
      <c r="W523" s="253" t="s">
        <v>216</v>
      </c>
      <c r="X523" s="17" t="s">
        <v>197</v>
      </c>
      <c r="Y523" s="17" t="s">
        <v>216</v>
      </c>
      <c r="AF523" s="25" t="str">
        <f>_xlfn.XLOOKUP(F523,'TFS Details'!F:F,'TFS Details'!H:H)</f>
        <v>PT In Test</v>
      </c>
      <c r="AG523" s="42">
        <v>7</v>
      </c>
      <c r="AH523" s="42">
        <v>0</v>
      </c>
      <c r="AI523" s="42">
        <v>0</v>
      </c>
      <c r="AJ523" s="42">
        <v>1</v>
      </c>
      <c r="AK523" s="38">
        <f t="shared" si="54"/>
        <v>8</v>
      </c>
      <c r="AL523" s="39">
        <f t="shared" si="55"/>
        <v>0.875</v>
      </c>
      <c r="AM523" s="39">
        <f t="shared" si="56"/>
        <v>1</v>
      </c>
      <c r="AN523" s="17" t="s">
        <v>1236</v>
      </c>
      <c r="AO523" s="25" t="str">
        <f>_xlfn.XLOOKUP(F523,'TFS Details'!F:F,'TFS Details'!I:I)</f>
        <v>Gen AI - Solution Review Agent</v>
      </c>
      <c r="AP523" s="25" t="str">
        <f>_xlfn.XLOOKUP(AO523,'TFS Details'!I:I,'TFS Details'!AE:AE)</f>
        <v>n.d.krishnakumar</v>
      </c>
    </row>
    <row r="524" spans="1:42">
      <c r="A524" s="24" t="str">
        <f>_xlfn.XLOOKUP(F524,'TFS Details'!F:F,'TFS Details'!D:D)</f>
        <v>Review Agent</v>
      </c>
      <c r="B524" s="24" t="str">
        <f>_xlfn.XLOOKUP(F524,'TFS Details'!F:F,'TFS Details'!A:A)</f>
        <v>[SSA - SRA] - Self Review Enablement for Additional Service Groups (SI, IMS, BPMS).</v>
      </c>
      <c r="C524" s="46">
        <f>_xlfn.XLOOKUP(F524,'TFS Details'!F:F,'TFS Details'!E:E)</f>
        <v>4420081</v>
      </c>
      <c r="D524" s="17" t="s">
        <v>38</v>
      </c>
      <c r="E524" s="139" t="s">
        <v>1237</v>
      </c>
      <c r="F524" s="72">
        <v>4429885</v>
      </c>
      <c r="G524" s="18" t="s">
        <v>222</v>
      </c>
      <c r="H524" s="18" t="s">
        <v>223</v>
      </c>
      <c r="I524" s="18" t="s">
        <v>224</v>
      </c>
      <c r="J524" s="250" t="s">
        <v>20</v>
      </c>
      <c r="K524" s="58" t="s">
        <v>1238</v>
      </c>
      <c r="L524" s="16" t="s">
        <v>1137</v>
      </c>
      <c r="O524" s="273">
        <v>0.2</v>
      </c>
      <c r="V524" s="17" t="s">
        <v>204</v>
      </c>
      <c r="W524" s="234" t="s">
        <v>204</v>
      </c>
      <c r="X524" s="234" t="s">
        <v>204</v>
      </c>
      <c r="Y524" s="17" t="s">
        <v>216</v>
      </c>
      <c r="AF524" s="25" t="str">
        <f>_xlfn.XLOOKUP(F524,'TFS Details'!F:F,'TFS Details'!H:H)</f>
        <v>PT In Test</v>
      </c>
      <c r="AG524" s="42">
        <v>3</v>
      </c>
      <c r="AH524" s="42">
        <v>1</v>
      </c>
      <c r="AI524" s="42">
        <v>0</v>
      </c>
      <c r="AJ524" s="42">
        <v>3</v>
      </c>
      <c r="AK524" s="38">
        <f>SUM(AG524:AJ524)</f>
        <v>7</v>
      </c>
      <c r="AL524" s="39">
        <f t="shared" si="55"/>
        <v>0.5714285714285714</v>
      </c>
      <c r="AM524" s="39">
        <f t="shared" si="56"/>
        <v>0.75</v>
      </c>
      <c r="AN524" s="17" t="s">
        <v>1239</v>
      </c>
      <c r="AO524" s="25" t="str">
        <f>_xlfn.XLOOKUP(F524,'TFS Details'!F:F,'TFS Details'!I:I)</f>
        <v>Gen AI - Solution Review Agent</v>
      </c>
      <c r="AP524" s="25" t="str">
        <f>_xlfn.XLOOKUP(AO524,'TFS Details'!I:I,'TFS Details'!AE:AE)</f>
        <v>n.d.krishnakumar</v>
      </c>
    </row>
    <row r="525" spans="1:42">
      <c r="A525" s="24" t="str">
        <f>_xlfn.XLOOKUP(F525,'TFS Details'!F:F,'TFS Details'!D:D)</f>
        <v>Review Agent</v>
      </c>
      <c r="B525" s="24" t="str">
        <f>_xlfn.XLOOKUP(F525,'TFS Details'!F:F,'TFS Details'!A:A)</f>
        <v>[SSA - SRA] - Displaying appropriate error messages when DSP ingestion failed.</v>
      </c>
      <c r="C525" s="46">
        <f>_xlfn.XLOOKUP(F525,'TFS Details'!F:F,'TFS Details'!E:E)</f>
        <v>4447242</v>
      </c>
      <c r="D525" s="17" t="s">
        <v>38</v>
      </c>
      <c r="E525" s="139" t="s">
        <v>230</v>
      </c>
      <c r="F525" s="72">
        <v>4447244</v>
      </c>
      <c r="G525" s="18" t="s">
        <v>231</v>
      </c>
      <c r="H525" s="18" t="s">
        <v>232</v>
      </c>
      <c r="I525" s="52" t="s">
        <v>233</v>
      </c>
      <c r="J525" s="250" t="s">
        <v>20</v>
      </c>
      <c r="K525" s="58" t="s">
        <v>234</v>
      </c>
      <c r="L525" s="16" t="s">
        <v>196</v>
      </c>
      <c r="M525" s="20" t="s">
        <v>311</v>
      </c>
      <c r="O525" s="273">
        <v>0</v>
      </c>
      <c r="V525" s="17" t="s">
        <v>204</v>
      </c>
      <c r="W525" s="234" t="s">
        <v>204</v>
      </c>
      <c r="X525" s="17" t="s">
        <v>204</v>
      </c>
      <c r="Y525" s="17" t="s">
        <v>216</v>
      </c>
      <c r="AF525" s="25" t="str">
        <f>_xlfn.XLOOKUP(F525,'TFS Details'!F:F,'TFS Details'!H:H)</f>
        <v>Active</v>
      </c>
      <c r="AG525" s="42">
        <v>0</v>
      </c>
      <c r="AH525" s="42">
        <v>0</v>
      </c>
      <c r="AI525" s="42">
        <v>0</v>
      </c>
      <c r="AJ525" s="42">
        <v>22</v>
      </c>
      <c r="AK525" s="38">
        <f t="shared" si="54"/>
        <v>22</v>
      </c>
      <c r="AL525" s="39">
        <f t="shared" si="55"/>
        <v>0</v>
      </c>
      <c r="AM525" s="39">
        <f t="shared" si="56"/>
        <v>0</v>
      </c>
      <c r="AO525" s="25" t="str">
        <f>_xlfn.XLOOKUP(F525,'TFS Details'!F:F,'TFS Details'!I:I)</f>
        <v>Gen AI - Solution Review Agent</v>
      </c>
      <c r="AP525" s="25" t="str">
        <f>_xlfn.XLOOKUP(AO525,'TFS Details'!I:I,'TFS Details'!AE:AE)</f>
        <v>n.d.krishnakumar</v>
      </c>
    </row>
    <row r="526" spans="1:42">
      <c r="A526" s="24" t="str">
        <f>_xlfn.XLOOKUP(F526,'TFS Details'!F:F,'TFS Details'!D:D)</f>
        <v>Review Agent</v>
      </c>
      <c r="B526" s="24" t="str">
        <f>_xlfn.XLOOKUP(F526,'TFS Details'!F:F,'TFS Details'!A:A)</f>
        <v>[SSA - SRA] - Integration of DSP, MSDA and Client-Imposed Constraints.</v>
      </c>
      <c r="C526" s="46">
        <f>_xlfn.XLOOKUP(F526,'TFS Details'!F:F,'TFS Details'!E:E)</f>
        <v>4420814</v>
      </c>
      <c r="D526" s="17" t="s">
        <v>38</v>
      </c>
      <c r="E526" s="139" t="s">
        <v>1240</v>
      </c>
      <c r="F526" s="72">
        <v>4446746</v>
      </c>
      <c r="G526" s="18" t="s">
        <v>232</v>
      </c>
      <c r="H526" s="18" t="s">
        <v>231</v>
      </c>
      <c r="I526" s="52" t="s">
        <v>132</v>
      </c>
      <c r="J526" s="250" t="s">
        <v>20</v>
      </c>
      <c r="K526" s="58" t="s">
        <v>1241</v>
      </c>
      <c r="L526" s="16" t="s">
        <v>30</v>
      </c>
      <c r="O526" s="273">
        <v>0.05</v>
      </c>
      <c r="V526" s="17" t="s">
        <v>204</v>
      </c>
      <c r="W526" s="17" t="s">
        <v>197</v>
      </c>
      <c r="X526" s="17" t="s">
        <v>197</v>
      </c>
      <c r="Y526" s="17" t="s">
        <v>216</v>
      </c>
      <c r="Z526" s="71">
        <v>20</v>
      </c>
      <c r="AA526" s="71">
        <v>16</v>
      </c>
      <c r="AB526" s="71">
        <v>16</v>
      </c>
      <c r="AC526" s="71">
        <v>16</v>
      </c>
      <c r="AD526" s="69">
        <v>0.7</v>
      </c>
      <c r="AE526" s="69">
        <v>0.7</v>
      </c>
      <c r="AF526" s="25" t="str">
        <f>_xlfn.XLOOKUP(F526,'TFS Details'!F:F,'TFS Details'!H:H)</f>
        <v>PT In Test</v>
      </c>
      <c r="AG526" s="42">
        <v>0</v>
      </c>
      <c r="AH526" s="42">
        <v>0</v>
      </c>
      <c r="AI526" s="42">
        <v>0</v>
      </c>
      <c r="AJ526" s="42">
        <v>16</v>
      </c>
      <c r="AK526" s="38">
        <f t="shared" si="54"/>
        <v>16</v>
      </c>
      <c r="AL526" s="39">
        <f t="shared" si="55"/>
        <v>0</v>
      </c>
      <c r="AM526" s="39">
        <f t="shared" si="56"/>
        <v>0</v>
      </c>
      <c r="AO526" s="25" t="str">
        <f>_xlfn.XLOOKUP(F526,'TFS Details'!F:F,'TFS Details'!I:I)</f>
        <v>Gen AI - Solution Review Agent</v>
      </c>
      <c r="AP526" s="25" t="str">
        <f>_xlfn.XLOOKUP(AO526,'TFS Details'!I:I,'TFS Details'!AE:AE)</f>
        <v>n.d.krishnakumar</v>
      </c>
    </row>
    <row r="527" spans="1:42">
      <c r="A527" s="24" t="str">
        <f>_xlfn.XLOOKUP(F527,'TFS Details'!F:F,'TFS Details'!D:D)</f>
        <v>Review Agent</v>
      </c>
      <c r="B527" s="24" t="str">
        <f>_xlfn.XLOOKUP(F527,'TFS Details'!F:F,'TFS Details'!A:A)</f>
        <v>[SSA - SRA] - Integration of DSP, MSDA and Client-Imposed Constraints.</v>
      </c>
      <c r="C527" s="46">
        <f>_xlfn.XLOOKUP(F527,'TFS Details'!F:F,'TFS Details'!E:E)</f>
        <v>4420814</v>
      </c>
      <c r="D527" s="17" t="s">
        <v>38</v>
      </c>
      <c r="E527" s="139" t="s">
        <v>1242</v>
      </c>
      <c r="F527" s="72">
        <v>4446753</v>
      </c>
      <c r="G527" s="18" t="s">
        <v>232</v>
      </c>
      <c r="H527" s="18" t="s">
        <v>231</v>
      </c>
      <c r="I527" s="52" t="s">
        <v>132</v>
      </c>
      <c r="J527" s="250" t="s">
        <v>20</v>
      </c>
      <c r="K527" s="58" t="s">
        <v>1243</v>
      </c>
      <c r="L527" s="16" t="s">
        <v>1244</v>
      </c>
      <c r="O527" s="273">
        <v>0.05</v>
      </c>
      <c r="V527" s="17" t="s">
        <v>204</v>
      </c>
      <c r="W527" s="17" t="s">
        <v>197</v>
      </c>
      <c r="X527" s="17" t="s">
        <v>197</v>
      </c>
      <c r="Y527" s="17" t="s">
        <v>216</v>
      </c>
      <c r="Z527" s="71">
        <v>20</v>
      </c>
      <c r="AA527" s="71">
        <v>16</v>
      </c>
      <c r="AB527" s="71">
        <v>19</v>
      </c>
      <c r="AC527" s="71">
        <v>19</v>
      </c>
      <c r="AD527" s="69">
        <v>0.6</v>
      </c>
      <c r="AE527" s="69">
        <v>0.7</v>
      </c>
      <c r="AF527" s="25" t="str">
        <f>_xlfn.XLOOKUP(F527,'TFS Details'!F:F,'TFS Details'!H:H)</f>
        <v>PT In Test</v>
      </c>
      <c r="AG527" s="42">
        <v>0</v>
      </c>
      <c r="AH527" s="42">
        <v>0</v>
      </c>
      <c r="AI527" s="42">
        <v>0</v>
      </c>
      <c r="AJ527" s="42">
        <v>19</v>
      </c>
      <c r="AK527" s="38">
        <f t="shared" si="54"/>
        <v>19</v>
      </c>
      <c r="AL527" s="39">
        <f t="shared" si="55"/>
        <v>0</v>
      </c>
      <c r="AM527" s="39">
        <f t="shared" si="56"/>
        <v>0</v>
      </c>
      <c r="AO527" s="25" t="str">
        <f>_xlfn.XLOOKUP(F527,'TFS Details'!F:F,'TFS Details'!I:I)</f>
        <v>Gen AI - Solution Review Agent</v>
      </c>
      <c r="AP527" s="25" t="str">
        <f>_xlfn.XLOOKUP(AO527,'TFS Details'!I:I,'TFS Details'!AE:AE)</f>
        <v>n.d.krishnakumar</v>
      </c>
    </row>
    <row r="528" spans="1:42">
      <c r="A528" s="24" t="str">
        <f>_xlfn.XLOOKUP(F528,'TFS Details'!F:F,'TFS Details'!D:D)</f>
        <v>Review Agent</v>
      </c>
      <c r="B528" s="24" t="str">
        <f>_xlfn.XLOOKUP(F528,'TFS Details'!F:F,'TFS Details'!A:A)</f>
        <v>[SSA - SRA] - Integration of DSP, MSDA and Client-Imposed Constraints.</v>
      </c>
      <c r="C528" s="46">
        <f>_xlfn.XLOOKUP(F528,'TFS Details'!F:F,'TFS Details'!E:E)</f>
        <v>4420814</v>
      </c>
      <c r="D528" s="17" t="s">
        <v>38</v>
      </c>
      <c r="E528" s="139" t="s">
        <v>1245</v>
      </c>
      <c r="F528" s="72">
        <v>4446735</v>
      </c>
      <c r="G528" s="18" t="s">
        <v>232</v>
      </c>
      <c r="H528" s="18" t="s">
        <v>231</v>
      </c>
      <c r="I528" s="52" t="s">
        <v>132</v>
      </c>
      <c r="J528" s="66" t="s">
        <v>1</v>
      </c>
      <c r="O528" s="273">
        <v>0.05</v>
      </c>
      <c r="V528" s="17" t="s">
        <v>204</v>
      </c>
      <c r="W528" s="17" t="s">
        <v>197</v>
      </c>
      <c r="X528" s="17" t="s">
        <v>197</v>
      </c>
      <c r="Y528" s="17" t="s">
        <v>216</v>
      </c>
      <c r="Z528" s="71">
        <v>20</v>
      </c>
      <c r="AA528" s="71">
        <v>16</v>
      </c>
      <c r="AB528" s="71">
        <v>16</v>
      </c>
      <c r="AC528" s="71">
        <v>16</v>
      </c>
      <c r="AD528" s="69">
        <v>0.8</v>
      </c>
      <c r="AE528" s="69">
        <v>0.8</v>
      </c>
      <c r="AF528" s="25" t="str">
        <f>_xlfn.XLOOKUP(F528,'TFS Details'!F:F,'TFS Details'!H:H)</f>
        <v>PT In Test</v>
      </c>
      <c r="AG528" s="42">
        <v>0</v>
      </c>
      <c r="AH528" s="42">
        <v>0</v>
      </c>
      <c r="AI528" s="42">
        <v>0</v>
      </c>
      <c r="AJ528" s="42">
        <v>16</v>
      </c>
      <c r="AK528" s="38">
        <f t="shared" si="54"/>
        <v>16</v>
      </c>
      <c r="AL528" s="39">
        <f t="shared" si="55"/>
        <v>0</v>
      </c>
      <c r="AM528" s="39">
        <f t="shared" si="56"/>
        <v>0</v>
      </c>
      <c r="AO528" s="25" t="str">
        <f>_xlfn.XLOOKUP(F528,'TFS Details'!F:F,'TFS Details'!I:I)</f>
        <v>Gen AI - Solution Review Agent</v>
      </c>
      <c r="AP528" s="25" t="str">
        <f>_xlfn.XLOOKUP(AO528,'TFS Details'!I:I,'TFS Details'!AE:AE)</f>
        <v>n.d.krishnakumar</v>
      </c>
    </row>
    <row r="529" spans="1:42">
      <c r="A529" s="24" t="str">
        <f>_xlfn.XLOOKUP(F529,'TFS Details'!F:F,'TFS Details'!D:D)</f>
        <v>Solution Review Agent</v>
      </c>
      <c r="B529" s="24" t="str">
        <f>_xlfn.XLOOKUP(F529,'TFS Details'!F:F,'TFS Details'!A:A)</f>
        <v>[Gen AI - SRA] - Addition of Weighted average, Score, RAG columns in the Review Output Document.</v>
      </c>
      <c r="C529" s="46">
        <f>_xlfn.XLOOKUP(F529,'TFS Details'!F:F,'TFS Details'!E:E)</f>
        <v>4393834</v>
      </c>
      <c r="D529" s="17" t="s">
        <v>38</v>
      </c>
      <c r="E529" s="139" t="s">
        <v>221</v>
      </c>
      <c r="F529" s="72">
        <v>4392744</v>
      </c>
      <c r="G529" s="18" t="s">
        <v>222</v>
      </c>
      <c r="H529" s="18" t="s">
        <v>223</v>
      </c>
      <c r="I529" s="18" t="s">
        <v>224</v>
      </c>
      <c r="J529" s="250" t="s">
        <v>20</v>
      </c>
      <c r="K529" s="58" t="s">
        <v>225</v>
      </c>
      <c r="L529" s="23" t="s">
        <v>196</v>
      </c>
      <c r="O529" s="273">
        <v>0.25</v>
      </c>
      <c r="V529" s="17" t="s">
        <v>204</v>
      </c>
      <c r="W529" s="234" t="s">
        <v>204</v>
      </c>
      <c r="X529" s="234" t="s">
        <v>204</v>
      </c>
      <c r="Y529" s="17" t="s">
        <v>216</v>
      </c>
      <c r="AF529" s="25" t="str">
        <f>_xlfn.XLOOKUP(F529,'TFS Details'!F:F,'TFS Details'!H:H)</f>
        <v>PT In Test</v>
      </c>
      <c r="AG529" s="42">
        <v>2</v>
      </c>
      <c r="AH529" s="42">
        <v>1</v>
      </c>
      <c r="AI529" s="42">
        <v>0</v>
      </c>
      <c r="AJ529" s="42">
        <v>2</v>
      </c>
      <c r="AK529" s="38">
        <v>5</v>
      </c>
      <c r="AL529" s="39">
        <f t="shared" si="55"/>
        <v>0.6</v>
      </c>
      <c r="AM529" s="39">
        <f t="shared" si="56"/>
        <v>0.66666666666666663</v>
      </c>
      <c r="AN529" s="17" t="s">
        <v>1246</v>
      </c>
      <c r="AO529" s="25" t="str">
        <f>_xlfn.XLOOKUP(F529,'TFS Details'!F:F,'TFS Details'!I:I)</f>
        <v>Gen AI - Solution Review Agent</v>
      </c>
      <c r="AP529" s="25" t="str">
        <f>_xlfn.XLOOKUP(AO529,'TFS Details'!I:I,'TFS Details'!AE:AE)</f>
        <v>n.d.krishnakumar</v>
      </c>
    </row>
    <row r="530" spans="1:42">
      <c r="A530" s="24" t="str">
        <f>_xlfn.XLOOKUP(F530,'TFS Details'!F:F,'TFS Details'!D:D)</f>
        <v>Review Agent</v>
      </c>
      <c r="B530" s="24" t="str">
        <f>_xlfn.XLOOKUP(F530,'TFS Details'!F:F,'TFS Details'!A:A)</f>
        <v>[SSA - SRA]  Overall Error and Exception Handling</v>
      </c>
      <c r="C530" s="46">
        <f>_xlfn.XLOOKUP(F530,'TFS Details'!F:F,'TFS Details'!E:E)</f>
        <v>4459031</v>
      </c>
      <c r="D530" s="17" t="s">
        <v>38</v>
      </c>
      <c r="E530" s="139" t="s">
        <v>1247</v>
      </c>
      <c r="F530" s="72">
        <v>4443396</v>
      </c>
      <c r="G530" s="18" t="s">
        <v>223</v>
      </c>
      <c r="H530" s="18" t="s">
        <v>222</v>
      </c>
      <c r="I530" s="52" t="s">
        <v>91</v>
      </c>
      <c r="J530" s="250" t="s">
        <v>20</v>
      </c>
      <c r="K530" s="58" t="s">
        <v>1248</v>
      </c>
      <c r="L530" s="16" t="s">
        <v>460</v>
      </c>
      <c r="O530" s="273">
        <v>0.2</v>
      </c>
      <c r="V530" s="17" t="s">
        <v>204</v>
      </c>
      <c r="W530" s="253" t="s">
        <v>216</v>
      </c>
      <c r="X530" s="17" t="s">
        <v>197</v>
      </c>
      <c r="Y530" s="17" t="s">
        <v>216</v>
      </c>
      <c r="AF530" s="25" t="str">
        <f>_xlfn.XLOOKUP(F530,'TFS Details'!F:F,'TFS Details'!H:H)</f>
        <v>PT In Test</v>
      </c>
      <c r="AG530" s="42">
        <v>4</v>
      </c>
      <c r="AH530" s="42">
        <v>0</v>
      </c>
      <c r="AI530" s="42">
        <v>0</v>
      </c>
      <c r="AJ530" s="42">
        <v>1</v>
      </c>
      <c r="AK530" s="38">
        <f t="shared" si="54"/>
        <v>5</v>
      </c>
      <c r="AL530" s="39">
        <f t="shared" si="55"/>
        <v>0.8</v>
      </c>
      <c r="AM530" s="39">
        <f t="shared" si="56"/>
        <v>1</v>
      </c>
      <c r="AN530" s="17" t="s">
        <v>1249</v>
      </c>
      <c r="AO530" s="25" t="str">
        <f>_xlfn.XLOOKUP(F530,'TFS Details'!F:F,'TFS Details'!I:I)</f>
        <v>Gen AI - Solution Review Agent</v>
      </c>
      <c r="AP530" s="25" t="str">
        <f>_xlfn.XLOOKUP(AO530,'TFS Details'!I:I,'TFS Details'!AE:AE)</f>
        <v>n.d.krishnakumar</v>
      </c>
    </row>
    <row r="531" spans="1:42" ht="24">
      <c r="A531" s="24" t="str">
        <f>_xlfn.XLOOKUP(F531,'TFS Details'!F:F,'TFS Details'!D:D)</f>
        <v>Review Agent</v>
      </c>
      <c r="B531" s="24" t="str">
        <f>_xlfn.XLOOKUP(F531,'TFS Details'!F:F,'TFS Details'!A:A)</f>
        <v>[SSA - SRA] - Self Review Enablement for Additional Service Groups (SI, IMS, BPMS).</v>
      </c>
      <c r="C531" s="46">
        <f>_xlfn.XLOOKUP(F531,'TFS Details'!F:F,'TFS Details'!E:E)</f>
        <v>4420081</v>
      </c>
      <c r="D531" s="17" t="s">
        <v>38</v>
      </c>
      <c r="E531" s="139" t="s">
        <v>1250</v>
      </c>
      <c r="F531" s="72">
        <v>4443453</v>
      </c>
      <c r="G531" s="18" t="s">
        <v>232</v>
      </c>
      <c r="H531" s="18" t="s">
        <v>231</v>
      </c>
      <c r="I531" s="52" t="s">
        <v>132</v>
      </c>
      <c r="J531" s="250" t="s">
        <v>20</v>
      </c>
      <c r="K531" s="58" t="s">
        <v>1251</v>
      </c>
      <c r="L531" s="16" t="s">
        <v>30</v>
      </c>
      <c r="O531" s="273">
        <v>0</v>
      </c>
      <c r="V531" s="17" t="s">
        <v>204</v>
      </c>
      <c r="W531" s="17" t="s">
        <v>197</v>
      </c>
      <c r="X531" s="17" t="s">
        <v>197</v>
      </c>
      <c r="Y531" s="17" t="s">
        <v>216</v>
      </c>
      <c r="Z531" s="71">
        <v>32</v>
      </c>
      <c r="AA531" s="71">
        <v>10</v>
      </c>
      <c r="AB531" s="71">
        <v>12</v>
      </c>
      <c r="AC531" s="71">
        <v>12</v>
      </c>
      <c r="AD531" s="69">
        <v>0.6</v>
      </c>
      <c r="AE531" s="69">
        <v>0.6</v>
      </c>
      <c r="AF531" s="25" t="str">
        <f>_xlfn.XLOOKUP(F531,'TFS Details'!F:F,'TFS Details'!H:H)</f>
        <v>PT In Test</v>
      </c>
      <c r="AG531" s="42">
        <v>0</v>
      </c>
      <c r="AH531" s="42">
        <v>0</v>
      </c>
      <c r="AI531" s="42">
        <v>0</v>
      </c>
      <c r="AJ531" s="42">
        <v>12</v>
      </c>
      <c r="AK531" s="38">
        <f t="shared" si="54"/>
        <v>12</v>
      </c>
      <c r="AL531" s="39">
        <f t="shared" si="55"/>
        <v>0</v>
      </c>
      <c r="AM531" s="39">
        <f t="shared" si="56"/>
        <v>0</v>
      </c>
      <c r="AO531" s="25" t="str">
        <f>_xlfn.XLOOKUP(F531,'TFS Details'!F:F,'TFS Details'!I:I)</f>
        <v>Gen AI - Solution Review Agent</v>
      </c>
      <c r="AP531" s="25" t="str">
        <f>_xlfn.XLOOKUP(AO531,'TFS Details'!I:I,'TFS Details'!AE:AE)</f>
        <v>n.d.krishnakumar</v>
      </c>
    </row>
    <row r="532" spans="1:42">
      <c r="A532" s="24" t="str">
        <f>_xlfn.XLOOKUP(F532,'TFS Details'!F:F,'TFS Details'!D:D)</f>
        <v>Review Agent</v>
      </c>
      <c r="B532" s="24" t="str">
        <f>_xlfn.XLOOKUP(F532,'TFS Details'!F:F,'TFS Details'!A:A)</f>
        <v>[Gen AI - SRA] - Notes Module</v>
      </c>
      <c r="C532" s="46">
        <f>_xlfn.XLOOKUP(F532,'TFS Details'!F:F,'TFS Details'!E:E)</f>
        <v>4420088</v>
      </c>
      <c r="D532" s="17" t="s">
        <v>38</v>
      </c>
      <c r="E532" s="139" t="s">
        <v>1252</v>
      </c>
      <c r="F532" s="72">
        <v>4443686</v>
      </c>
      <c r="G532" s="18" t="s">
        <v>232</v>
      </c>
      <c r="H532" s="18" t="s">
        <v>231</v>
      </c>
      <c r="I532" s="52" t="s">
        <v>132</v>
      </c>
      <c r="J532" s="66" t="s">
        <v>1</v>
      </c>
      <c r="O532" s="273">
        <v>0</v>
      </c>
      <c r="V532" s="17" t="s">
        <v>216</v>
      </c>
      <c r="W532" s="17" t="s">
        <v>197</v>
      </c>
      <c r="X532" s="17" t="s">
        <v>197</v>
      </c>
      <c r="Y532" s="17" t="s">
        <v>216</v>
      </c>
      <c r="AF532" s="25" t="str">
        <f>_xlfn.XLOOKUP(F532,'TFS Details'!F:F,'TFS Details'!H:H)</f>
        <v>PT In Test</v>
      </c>
      <c r="AG532" s="42">
        <v>0</v>
      </c>
      <c r="AH532" s="42">
        <v>0</v>
      </c>
      <c r="AI532" s="42">
        <v>0</v>
      </c>
      <c r="AJ532" s="42">
        <v>0</v>
      </c>
      <c r="AK532" s="38">
        <f t="shared" si="54"/>
        <v>0</v>
      </c>
      <c r="AL532" s="39">
        <f t="shared" si="55"/>
        <v>0</v>
      </c>
      <c r="AM532" s="39">
        <f t="shared" si="56"/>
        <v>0</v>
      </c>
      <c r="AO532" s="25" t="str">
        <f>_xlfn.XLOOKUP(F532,'TFS Details'!F:F,'TFS Details'!I:I)</f>
        <v>Gen AI - Solution Review Agent</v>
      </c>
      <c r="AP532" s="25" t="str">
        <f>_xlfn.XLOOKUP(AO532,'TFS Details'!I:I,'TFS Details'!AE:AE)</f>
        <v>n.d.krishnakumar</v>
      </c>
    </row>
    <row r="533" spans="1:42">
      <c r="A533" s="24" t="str">
        <f>_xlfn.XLOOKUP(F533,'TFS Details'!F:F,'TFS Details'!D:D)</f>
        <v>Review Agent</v>
      </c>
      <c r="B533" s="24" t="str">
        <f>_xlfn.XLOOKUP(F533,'TFS Details'!F:F,'TFS Details'!A:A)</f>
        <v>[SSA - SRA] - Review response page optimization.</v>
      </c>
      <c r="C533" s="46">
        <f>_xlfn.XLOOKUP(F533,'TFS Details'!F:F,'TFS Details'!E:E)</f>
        <v>4420086</v>
      </c>
      <c r="D533" s="17" t="s">
        <v>38</v>
      </c>
      <c r="E533" s="139" t="s">
        <v>1253</v>
      </c>
      <c r="F533" s="72">
        <v>4447465</v>
      </c>
      <c r="G533" s="18" t="s">
        <v>1133</v>
      </c>
      <c r="H533" s="106" t="s">
        <v>1134</v>
      </c>
      <c r="I533" s="52" t="s">
        <v>1135</v>
      </c>
      <c r="J533" s="250" t="s">
        <v>20</v>
      </c>
      <c r="K533" s="58" t="s">
        <v>1136</v>
      </c>
      <c r="L533" s="16" t="s">
        <v>1141</v>
      </c>
      <c r="M533" s="20" t="s">
        <v>461</v>
      </c>
      <c r="N533" s="45">
        <v>1</v>
      </c>
      <c r="O533" s="273">
        <v>0.2</v>
      </c>
      <c r="V533" s="17" t="s">
        <v>204</v>
      </c>
      <c r="W533" s="17" t="s">
        <v>216</v>
      </c>
      <c r="X533" s="17" t="s">
        <v>204</v>
      </c>
      <c r="Y533" s="17" t="s">
        <v>216</v>
      </c>
      <c r="AF533" s="25" t="str">
        <f>_xlfn.XLOOKUP(F533,'TFS Details'!F:F,'TFS Details'!H:H)</f>
        <v>PT In Test</v>
      </c>
      <c r="AG533" s="42">
        <v>20</v>
      </c>
      <c r="AH533" s="42">
        <v>2</v>
      </c>
      <c r="AI533" s="42">
        <v>0</v>
      </c>
      <c r="AJ533" s="42">
        <v>3</v>
      </c>
      <c r="AK533" s="38">
        <f t="shared" si="54"/>
        <v>25</v>
      </c>
      <c r="AL533" s="39">
        <f t="shared" si="55"/>
        <v>0.88</v>
      </c>
      <c r="AM533" s="39">
        <f t="shared" si="56"/>
        <v>0.90909090909090906</v>
      </c>
      <c r="AN533" s="17" t="s">
        <v>1254</v>
      </c>
      <c r="AO533" s="25" t="str">
        <f>_xlfn.XLOOKUP(F533,'TFS Details'!F:F,'TFS Details'!I:I)</f>
        <v>Gen AI - Solution Review Agent</v>
      </c>
      <c r="AP533" s="25" t="str">
        <f>_xlfn.XLOOKUP(AO533,'TFS Details'!I:I,'TFS Details'!AE:AE)</f>
        <v>n.d.krishnakumar</v>
      </c>
    </row>
    <row r="534" spans="1:42">
      <c r="A534" s="24" t="str">
        <f>_xlfn.XLOOKUP(F534,'TFS Details'!F:F,'TFS Details'!D:D)</f>
        <v>HSP</v>
      </c>
      <c r="B534" s="24" t="str">
        <f>_xlfn.XLOOKUP(F534,'TFS Details'!F:F,'TFS Details'!A:A)</f>
        <v>HSP - Adding SG-wise prompts for 13 Nudge categories in HSP</v>
      </c>
      <c r="C534" s="46">
        <f>_xlfn.XLOOKUP(F534,'TFS Details'!F:F,'TFS Details'!E:E)</f>
        <v>4456146</v>
      </c>
      <c r="D534" s="17" t="s">
        <v>51</v>
      </c>
      <c r="E534" s="19" t="s">
        <v>1255</v>
      </c>
      <c r="F534" s="72">
        <v>4456206</v>
      </c>
      <c r="G534" s="18" t="s">
        <v>1256</v>
      </c>
      <c r="H534" s="106" t="s">
        <v>1127</v>
      </c>
      <c r="I534" s="52" t="s">
        <v>1257</v>
      </c>
      <c r="J534" s="250" t="s">
        <v>18</v>
      </c>
      <c r="K534" s="58" t="s">
        <v>1258</v>
      </c>
      <c r="L534" s="16" t="s">
        <v>56</v>
      </c>
      <c r="V534" s="17" t="s">
        <v>216</v>
      </c>
      <c r="W534" s="234" t="s">
        <v>204</v>
      </c>
      <c r="X534" s="17" t="s">
        <v>216</v>
      </c>
      <c r="Y534" s="17" t="s">
        <v>197</v>
      </c>
      <c r="Z534" s="71">
        <v>38</v>
      </c>
      <c r="AA534" s="71">
        <v>5</v>
      </c>
      <c r="AB534" s="71">
        <v>11</v>
      </c>
      <c r="AC534" s="71">
        <v>16</v>
      </c>
      <c r="AF534" s="25" t="str">
        <f>_xlfn.XLOOKUP(F534,'TFS Details'!F:F,'TFS Details'!H:H)</f>
        <v>In Development</v>
      </c>
      <c r="AG534" s="42">
        <v>0</v>
      </c>
      <c r="AH534" s="42">
        <v>0</v>
      </c>
      <c r="AI534" s="42">
        <v>0</v>
      </c>
      <c r="AJ534" s="42">
        <v>0</v>
      </c>
      <c r="AK534" s="38">
        <f t="shared" ref="AK534:AK547" si="57">SUM(AG534:AJ534)</f>
        <v>0</v>
      </c>
      <c r="AL534" s="39">
        <f t="shared" ref="AL534:AL547" si="58">IF(AG534+AH534=0,0,SUM(AG534:AH534)/AK534)</f>
        <v>0</v>
      </c>
      <c r="AM534" s="39">
        <f t="shared" ref="AM534:AM547" si="59">IF(AG534=0,0,AG534/(SUM(AG534:AI534)))</f>
        <v>0</v>
      </c>
      <c r="AO534" s="25" t="str">
        <f>_xlfn.XLOOKUP(F534,'TFS Details'!F:F,'TFS Details'!I:I)</f>
        <v>Harvesting solutionPlan</v>
      </c>
      <c r="AP534" s="25" t="str">
        <f>_xlfn.XLOOKUP(AO534,'TFS Details'!I:I,'TFS Details'!AE:AE)</f>
        <v>pandidurai.ks</v>
      </c>
    </row>
    <row r="535" spans="1:42">
      <c r="A535" s="24" t="str">
        <f>_xlfn.XLOOKUP(F535,'TFS Details'!F:F,'TFS Details'!D:D)</f>
        <v>HSP</v>
      </c>
      <c r="B535" s="24" t="str">
        <f>_xlfn.XLOOKUP(F535,'TFS Details'!F:F,'TFS Details'!A:A)</f>
        <v>HSP - Adding SG-wise prompts for 13 Nudge categories in HSP</v>
      </c>
      <c r="C535" s="46">
        <f>_xlfn.XLOOKUP(F535,'TFS Details'!F:F,'TFS Details'!E:E)</f>
        <v>4456146</v>
      </c>
      <c r="D535" s="17" t="s">
        <v>51</v>
      </c>
      <c r="E535" s="19" t="s">
        <v>1259</v>
      </c>
      <c r="F535" s="72">
        <v>4456210</v>
      </c>
      <c r="G535" s="18" t="s">
        <v>1256</v>
      </c>
      <c r="H535" s="106" t="s">
        <v>1127</v>
      </c>
      <c r="I535" s="52" t="s">
        <v>1257</v>
      </c>
      <c r="J535" s="250" t="s">
        <v>18</v>
      </c>
      <c r="K535" s="58" t="s">
        <v>1258</v>
      </c>
      <c r="L535" s="16" t="s">
        <v>56</v>
      </c>
      <c r="V535" s="17" t="s">
        <v>216</v>
      </c>
      <c r="W535" s="234" t="s">
        <v>204</v>
      </c>
      <c r="X535" s="17" t="s">
        <v>197</v>
      </c>
      <c r="Y535" s="17" t="s">
        <v>197</v>
      </c>
      <c r="Z535" s="71">
        <v>38</v>
      </c>
      <c r="AA535" s="71">
        <v>6</v>
      </c>
      <c r="AB535" s="71">
        <v>10</v>
      </c>
      <c r="AC535" s="71">
        <v>16</v>
      </c>
      <c r="AF535" s="25" t="str">
        <f>_xlfn.XLOOKUP(F535,'TFS Details'!F:F,'TFS Details'!H:H)</f>
        <v>In Development</v>
      </c>
      <c r="AG535" s="42">
        <v>0</v>
      </c>
      <c r="AH535" s="42">
        <v>0</v>
      </c>
      <c r="AI535" s="42">
        <v>0</v>
      </c>
      <c r="AJ535" s="42">
        <v>0</v>
      </c>
      <c r="AK535" s="38">
        <f t="shared" si="57"/>
        <v>0</v>
      </c>
      <c r="AL535" s="39">
        <f t="shared" si="58"/>
        <v>0</v>
      </c>
      <c r="AM535" s="39">
        <f t="shared" si="59"/>
        <v>0</v>
      </c>
      <c r="AO535" s="25" t="str">
        <f>_xlfn.XLOOKUP(F535,'TFS Details'!F:F,'TFS Details'!I:I)</f>
        <v>Harvesting solutionPlan</v>
      </c>
      <c r="AP535" s="25" t="str">
        <f>_xlfn.XLOOKUP(AO535,'TFS Details'!I:I,'TFS Details'!AE:AE)</f>
        <v>pandidurai.ks</v>
      </c>
    </row>
    <row r="536" spans="1:42">
      <c r="A536" s="24" t="str">
        <f>_xlfn.XLOOKUP(F536,'TFS Details'!F:F,'TFS Details'!D:D)</f>
        <v>HSP</v>
      </c>
      <c r="B536" s="24" t="str">
        <f>_xlfn.XLOOKUP(F536,'TFS Details'!F:F,'TFS Details'!A:A)</f>
        <v>HSP - Adding SG-wise prompts for 13 Nudge categories in HSP</v>
      </c>
      <c r="C536" s="46">
        <f>_xlfn.XLOOKUP(F536,'TFS Details'!F:F,'TFS Details'!E:E)</f>
        <v>4456146</v>
      </c>
      <c r="D536" s="17" t="s">
        <v>51</v>
      </c>
      <c r="E536" s="19" t="s">
        <v>1260</v>
      </c>
      <c r="F536" s="72">
        <v>4456209</v>
      </c>
      <c r="G536" s="18" t="s">
        <v>1256</v>
      </c>
      <c r="H536" s="106" t="s">
        <v>1127</v>
      </c>
      <c r="I536" s="52" t="s">
        <v>1257</v>
      </c>
      <c r="J536" s="250" t="s">
        <v>18</v>
      </c>
      <c r="K536" s="58" t="s">
        <v>1258</v>
      </c>
      <c r="L536" s="16" t="s">
        <v>56</v>
      </c>
      <c r="V536" s="17" t="s">
        <v>216</v>
      </c>
      <c r="W536" s="234" t="s">
        <v>204</v>
      </c>
      <c r="X536" s="17" t="s">
        <v>197</v>
      </c>
      <c r="Y536" s="17" t="s">
        <v>197</v>
      </c>
      <c r="Z536" s="71">
        <v>38</v>
      </c>
      <c r="AA536" s="71">
        <v>4</v>
      </c>
      <c r="AB536" s="71">
        <v>12</v>
      </c>
      <c r="AC536" s="71">
        <v>16</v>
      </c>
      <c r="AF536" s="25" t="str">
        <f>_xlfn.XLOOKUP(F536,'TFS Details'!F:F,'TFS Details'!H:H)</f>
        <v>In Development</v>
      </c>
      <c r="AG536" s="42">
        <v>0</v>
      </c>
      <c r="AH536" s="42">
        <v>0</v>
      </c>
      <c r="AI536" s="42">
        <v>0</v>
      </c>
      <c r="AJ536" s="42">
        <v>0</v>
      </c>
      <c r="AK536" s="38">
        <f t="shared" si="57"/>
        <v>0</v>
      </c>
      <c r="AL536" s="39">
        <f t="shared" si="58"/>
        <v>0</v>
      </c>
      <c r="AM536" s="39">
        <f t="shared" si="59"/>
        <v>0</v>
      </c>
      <c r="AO536" s="25" t="str">
        <f>_xlfn.XLOOKUP(F536,'TFS Details'!F:F,'TFS Details'!I:I)</f>
        <v>Harvesting solutionPlan</v>
      </c>
      <c r="AP536" s="25" t="str">
        <f>_xlfn.XLOOKUP(AO536,'TFS Details'!I:I,'TFS Details'!AE:AE)</f>
        <v>pandidurai.ks</v>
      </c>
    </row>
    <row r="537" spans="1:42">
      <c r="A537" s="24" t="str">
        <f>_xlfn.XLOOKUP(F537,'TFS Details'!F:F,'TFS Details'!D:D)</f>
        <v>HSP</v>
      </c>
      <c r="B537" s="24" t="str">
        <f>_xlfn.XLOOKUP(F537,'TFS Details'!F:F,'TFS Details'!A:A)</f>
        <v>HSP - Adding SG-wise prompts for 13 Nudge categories in HSP</v>
      </c>
      <c r="C537" s="46">
        <f>_xlfn.XLOOKUP(F537,'TFS Details'!F:F,'TFS Details'!E:E)</f>
        <v>4456146</v>
      </c>
      <c r="D537" s="17" t="s">
        <v>51</v>
      </c>
      <c r="E537" s="19" t="s">
        <v>1261</v>
      </c>
      <c r="F537" s="72">
        <v>4456205</v>
      </c>
      <c r="G537" s="18" t="s">
        <v>1256</v>
      </c>
      <c r="H537" s="106" t="s">
        <v>1127</v>
      </c>
      <c r="I537" s="52" t="s">
        <v>1257</v>
      </c>
      <c r="J537" s="250" t="s">
        <v>18</v>
      </c>
      <c r="K537" s="58" t="s">
        <v>1258</v>
      </c>
      <c r="L537" s="16" t="s">
        <v>56</v>
      </c>
      <c r="V537" s="17" t="s">
        <v>216</v>
      </c>
      <c r="W537" s="234" t="s">
        <v>204</v>
      </c>
      <c r="X537" s="17" t="s">
        <v>197</v>
      </c>
      <c r="Y537" s="17" t="s">
        <v>197</v>
      </c>
      <c r="Z537" s="71">
        <v>38</v>
      </c>
      <c r="AA537" s="71">
        <v>6</v>
      </c>
      <c r="AB537" s="71">
        <v>10</v>
      </c>
      <c r="AC537" s="71">
        <v>16</v>
      </c>
      <c r="AF537" s="25" t="str">
        <f>_xlfn.XLOOKUP(F537,'TFS Details'!F:F,'TFS Details'!H:H)</f>
        <v>In Development</v>
      </c>
      <c r="AG537" s="42">
        <v>0</v>
      </c>
      <c r="AH537" s="42">
        <v>0</v>
      </c>
      <c r="AI537" s="42">
        <v>0</v>
      </c>
      <c r="AJ537" s="42">
        <v>0</v>
      </c>
      <c r="AK537" s="38">
        <f t="shared" si="57"/>
        <v>0</v>
      </c>
      <c r="AL537" s="39">
        <f t="shared" si="58"/>
        <v>0</v>
      </c>
      <c r="AM537" s="39">
        <f t="shared" si="59"/>
        <v>0</v>
      </c>
      <c r="AO537" s="25" t="str">
        <f>_xlfn.XLOOKUP(F537,'TFS Details'!F:F,'TFS Details'!I:I)</f>
        <v>Harvesting solutionPlan</v>
      </c>
      <c r="AP537" s="25" t="str">
        <f>_xlfn.XLOOKUP(AO537,'TFS Details'!I:I,'TFS Details'!AE:AE)</f>
        <v>pandidurai.ks</v>
      </c>
    </row>
    <row r="538" spans="1:42">
      <c r="A538" s="24" t="str">
        <f>_xlfn.XLOOKUP(F538,'TFS Details'!F:F,'TFS Details'!D:D)</f>
        <v>HSP</v>
      </c>
      <c r="B538" s="24" t="str">
        <f>_xlfn.XLOOKUP(F538,'TFS Details'!F:F,'TFS Details'!A:A)</f>
        <v>HSP - Adding SG-wise prompts for 13 Nudge categories in HSP</v>
      </c>
      <c r="C538" s="46">
        <f>_xlfn.XLOOKUP(F538,'TFS Details'!F:F,'TFS Details'!E:E)</f>
        <v>4456146</v>
      </c>
      <c r="D538" s="17" t="s">
        <v>51</v>
      </c>
      <c r="E538" s="19" t="s">
        <v>1262</v>
      </c>
      <c r="F538" s="72">
        <v>4456208</v>
      </c>
      <c r="G538" s="18" t="s">
        <v>1256</v>
      </c>
      <c r="H538" s="106" t="s">
        <v>1127</v>
      </c>
      <c r="I538" s="52" t="s">
        <v>1257</v>
      </c>
      <c r="J538" s="250" t="s">
        <v>18</v>
      </c>
      <c r="K538" s="58" t="s">
        <v>1258</v>
      </c>
      <c r="L538" s="16" t="s">
        <v>56</v>
      </c>
      <c r="V538" s="17" t="s">
        <v>216</v>
      </c>
      <c r="W538" s="234" t="s">
        <v>204</v>
      </c>
      <c r="X538" s="17" t="s">
        <v>197</v>
      </c>
      <c r="Y538" s="17" t="s">
        <v>197</v>
      </c>
      <c r="Z538" s="71">
        <v>38</v>
      </c>
      <c r="AA538" s="71">
        <v>7</v>
      </c>
      <c r="AB538" s="71">
        <v>9</v>
      </c>
      <c r="AC538" s="71">
        <v>16</v>
      </c>
      <c r="AF538" s="25" t="str">
        <f>_xlfn.XLOOKUP(F538,'TFS Details'!F:F,'TFS Details'!H:H)</f>
        <v>In Development</v>
      </c>
      <c r="AG538" s="42">
        <v>0</v>
      </c>
      <c r="AH538" s="42">
        <v>0</v>
      </c>
      <c r="AI538" s="42">
        <v>0</v>
      </c>
      <c r="AJ538" s="42">
        <v>0</v>
      </c>
      <c r="AK538" s="38">
        <f t="shared" si="57"/>
        <v>0</v>
      </c>
      <c r="AL538" s="39">
        <f t="shared" si="58"/>
        <v>0</v>
      </c>
      <c r="AM538" s="39">
        <f t="shared" si="59"/>
        <v>0</v>
      </c>
      <c r="AO538" s="25" t="str">
        <f>_xlfn.XLOOKUP(F538,'TFS Details'!F:F,'TFS Details'!I:I)</f>
        <v>Harvesting solutionPlan</v>
      </c>
      <c r="AP538" s="25" t="str">
        <f>_xlfn.XLOOKUP(AO538,'TFS Details'!I:I,'TFS Details'!AE:AE)</f>
        <v>pandidurai.ks</v>
      </c>
    </row>
    <row r="539" spans="1:42">
      <c r="A539" s="24" t="str">
        <f>_xlfn.XLOOKUP(F539,'TFS Details'!F:F,'TFS Details'!D:D)</f>
        <v>HSP</v>
      </c>
      <c r="B539" s="24" t="str">
        <f>_xlfn.XLOOKUP(F539,'TFS Details'!F:F,'TFS Details'!A:A)</f>
        <v>HSP - Adding SG-wise prompts for 13 Nudge categories in HSP</v>
      </c>
      <c r="C539" s="46">
        <f>_xlfn.XLOOKUP(F539,'TFS Details'!F:F,'TFS Details'!E:E)</f>
        <v>4456146</v>
      </c>
      <c r="D539" s="17" t="s">
        <v>51</v>
      </c>
      <c r="E539" s="19" t="s">
        <v>1263</v>
      </c>
      <c r="F539" s="72">
        <v>4456200</v>
      </c>
      <c r="G539" s="18" t="s">
        <v>1128</v>
      </c>
      <c r="H539" s="106" t="s">
        <v>1127</v>
      </c>
      <c r="I539" s="52" t="s">
        <v>1264</v>
      </c>
      <c r="J539" s="250" t="s">
        <v>18</v>
      </c>
      <c r="K539" s="58" t="s">
        <v>1258</v>
      </c>
      <c r="L539" s="16" t="s">
        <v>56</v>
      </c>
      <c r="V539" s="17" t="s">
        <v>216</v>
      </c>
      <c r="W539" s="234" t="s">
        <v>204</v>
      </c>
      <c r="X539" s="17" t="s">
        <v>197</v>
      </c>
      <c r="Y539" s="17" t="s">
        <v>197</v>
      </c>
      <c r="Z539" s="71">
        <v>30</v>
      </c>
      <c r="AA539" s="71">
        <v>5</v>
      </c>
      <c r="AB539" s="71">
        <v>5</v>
      </c>
      <c r="AC539" s="71">
        <v>10</v>
      </c>
      <c r="AF539" s="25" t="str">
        <f>_xlfn.XLOOKUP(F539,'TFS Details'!F:F,'TFS Details'!H:H)</f>
        <v>In Development</v>
      </c>
      <c r="AG539" s="42">
        <v>0</v>
      </c>
      <c r="AH539" s="42">
        <v>0</v>
      </c>
      <c r="AI539" s="42">
        <v>0</v>
      </c>
      <c r="AJ539" s="42">
        <v>0</v>
      </c>
      <c r="AK539" s="38">
        <f t="shared" si="57"/>
        <v>0</v>
      </c>
      <c r="AL539" s="39">
        <f t="shared" si="58"/>
        <v>0</v>
      </c>
      <c r="AM539" s="39">
        <f t="shared" si="59"/>
        <v>0</v>
      </c>
      <c r="AO539" s="25" t="str">
        <f>_xlfn.XLOOKUP(F539,'TFS Details'!F:F,'TFS Details'!I:I)</f>
        <v>Harvesting solutionPlan</v>
      </c>
      <c r="AP539" s="25" t="str">
        <f>_xlfn.XLOOKUP(AO539,'TFS Details'!I:I,'TFS Details'!AE:AE)</f>
        <v>pandidurai.ks</v>
      </c>
    </row>
    <row r="540" spans="1:42">
      <c r="A540" s="24" t="str">
        <f>_xlfn.XLOOKUP(F540,'TFS Details'!F:F,'TFS Details'!D:D)</f>
        <v>HSP</v>
      </c>
      <c r="B540" s="24" t="str">
        <f>_xlfn.XLOOKUP(F540,'TFS Details'!F:F,'TFS Details'!A:A)</f>
        <v>HSP - Adding SG-wise prompts for 13 Nudge categories in HSP</v>
      </c>
      <c r="C540" s="46">
        <f>_xlfn.XLOOKUP(F540,'TFS Details'!F:F,'TFS Details'!E:E)</f>
        <v>4456146</v>
      </c>
      <c r="D540" s="17" t="s">
        <v>51</v>
      </c>
      <c r="E540" s="19" t="s">
        <v>1265</v>
      </c>
      <c r="F540" s="72">
        <v>4456199</v>
      </c>
      <c r="G540" s="18" t="s">
        <v>1128</v>
      </c>
      <c r="H540" s="106" t="s">
        <v>1127</v>
      </c>
      <c r="I540" s="52" t="s">
        <v>1264</v>
      </c>
      <c r="J540" s="250" t="s">
        <v>18</v>
      </c>
      <c r="K540" s="58" t="s">
        <v>1258</v>
      </c>
      <c r="L540" s="16" t="s">
        <v>56</v>
      </c>
      <c r="V540" s="17" t="s">
        <v>216</v>
      </c>
      <c r="W540" s="234" t="s">
        <v>204</v>
      </c>
      <c r="X540" s="17" t="s">
        <v>197</v>
      </c>
      <c r="Y540" s="17" t="s">
        <v>197</v>
      </c>
      <c r="Z540" s="71">
        <v>30</v>
      </c>
      <c r="AA540" s="71">
        <v>5</v>
      </c>
      <c r="AB540" s="71">
        <v>5</v>
      </c>
      <c r="AC540" s="71">
        <v>10</v>
      </c>
      <c r="AF540" s="25" t="str">
        <f>_xlfn.XLOOKUP(F540,'TFS Details'!F:F,'TFS Details'!H:H)</f>
        <v>In Development</v>
      </c>
      <c r="AG540" s="42">
        <v>0</v>
      </c>
      <c r="AH540" s="42">
        <v>0</v>
      </c>
      <c r="AI540" s="42">
        <v>0</v>
      </c>
      <c r="AJ540" s="42">
        <v>0</v>
      </c>
      <c r="AK540" s="38">
        <f t="shared" si="57"/>
        <v>0</v>
      </c>
      <c r="AL540" s="39">
        <f t="shared" si="58"/>
        <v>0</v>
      </c>
      <c r="AM540" s="39">
        <f t="shared" si="59"/>
        <v>0</v>
      </c>
      <c r="AO540" s="25" t="str">
        <f>_xlfn.XLOOKUP(F540,'TFS Details'!F:F,'TFS Details'!I:I)</f>
        <v>Harvesting solutionPlan</v>
      </c>
      <c r="AP540" s="25" t="str">
        <f>_xlfn.XLOOKUP(AO540,'TFS Details'!I:I,'TFS Details'!AE:AE)</f>
        <v>pandidurai.ks</v>
      </c>
    </row>
    <row r="541" spans="1:42">
      <c r="A541" s="24" t="str">
        <f>_xlfn.XLOOKUP(F541,'TFS Details'!F:F,'TFS Details'!D:D)</f>
        <v>HSP</v>
      </c>
      <c r="B541" s="24" t="str">
        <f>_xlfn.XLOOKUP(F541,'TFS Details'!F:F,'TFS Details'!A:A)</f>
        <v>HSP - Adding SG-wise prompts for 13 Nudge categories in HSP</v>
      </c>
      <c r="C541" s="46">
        <f>_xlfn.XLOOKUP(F541,'TFS Details'!F:F,'TFS Details'!E:E)</f>
        <v>4456146</v>
      </c>
      <c r="D541" s="17" t="s">
        <v>51</v>
      </c>
      <c r="E541" s="19" t="s">
        <v>1266</v>
      </c>
      <c r="F541" s="72">
        <v>4456202</v>
      </c>
      <c r="G541" s="18" t="s">
        <v>1128</v>
      </c>
      <c r="H541" s="106" t="s">
        <v>1127</v>
      </c>
      <c r="I541" s="52" t="s">
        <v>1264</v>
      </c>
      <c r="J541" s="250" t="s">
        <v>18</v>
      </c>
      <c r="K541" s="58" t="s">
        <v>1258</v>
      </c>
      <c r="L541" s="16" t="s">
        <v>56</v>
      </c>
      <c r="V541" s="17" t="s">
        <v>216</v>
      </c>
      <c r="W541" s="234" t="s">
        <v>204</v>
      </c>
      <c r="X541" s="17" t="s">
        <v>197</v>
      </c>
      <c r="Y541" s="17" t="s">
        <v>197</v>
      </c>
      <c r="Z541" s="71">
        <v>30</v>
      </c>
      <c r="AA541" s="71">
        <v>5</v>
      </c>
      <c r="AB541" s="71">
        <v>5</v>
      </c>
      <c r="AC541" s="71">
        <v>10</v>
      </c>
      <c r="AF541" s="25" t="str">
        <f>_xlfn.XLOOKUP(F541,'TFS Details'!F:F,'TFS Details'!H:H)</f>
        <v>In Development</v>
      </c>
      <c r="AG541" s="42">
        <v>0</v>
      </c>
      <c r="AH541" s="42">
        <v>0</v>
      </c>
      <c r="AI541" s="42">
        <v>0</v>
      </c>
      <c r="AJ541" s="42">
        <v>0</v>
      </c>
      <c r="AK541" s="38">
        <f t="shared" si="57"/>
        <v>0</v>
      </c>
      <c r="AL541" s="39">
        <f t="shared" si="58"/>
        <v>0</v>
      </c>
      <c r="AM541" s="39">
        <f t="shared" si="59"/>
        <v>0</v>
      </c>
      <c r="AO541" s="25" t="str">
        <f>_xlfn.XLOOKUP(F541,'TFS Details'!F:F,'TFS Details'!I:I)</f>
        <v>Harvesting solutionPlan</v>
      </c>
      <c r="AP541" s="25" t="str">
        <f>_xlfn.XLOOKUP(AO541,'TFS Details'!I:I,'TFS Details'!AE:AE)</f>
        <v>pandidurai.ks</v>
      </c>
    </row>
    <row r="542" spans="1:42">
      <c r="A542" s="24" t="str">
        <f>_xlfn.XLOOKUP(F542,'TFS Details'!F:F,'TFS Details'!D:D)</f>
        <v>HSP</v>
      </c>
      <c r="B542" s="24" t="str">
        <f>_xlfn.XLOOKUP(F542,'TFS Details'!F:F,'TFS Details'!A:A)</f>
        <v>HSP - Adding SG-wise prompts for 13 Nudge categories in HSP</v>
      </c>
      <c r="C542" s="46">
        <f>_xlfn.XLOOKUP(F542,'TFS Details'!F:F,'TFS Details'!E:E)</f>
        <v>4456146</v>
      </c>
      <c r="D542" s="17" t="s">
        <v>51</v>
      </c>
      <c r="E542" s="19" t="s">
        <v>1267</v>
      </c>
      <c r="F542" s="72">
        <v>4456195</v>
      </c>
      <c r="G542" s="18" t="s">
        <v>1128</v>
      </c>
      <c r="H542" s="106" t="s">
        <v>1127</v>
      </c>
      <c r="I542" s="52" t="s">
        <v>1264</v>
      </c>
      <c r="J542" s="250" t="s">
        <v>18</v>
      </c>
      <c r="K542" s="58" t="s">
        <v>1258</v>
      </c>
      <c r="L542" s="16" t="s">
        <v>56</v>
      </c>
      <c r="V542" s="17" t="s">
        <v>216</v>
      </c>
      <c r="W542" s="234" t="s">
        <v>204</v>
      </c>
      <c r="X542" s="17" t="s">
        <v>197</v>
      </c>
      <c r="Y542" s="17" t="s">
        <v>197</v>
      </c>
      <c r="Z542" s="71">
        <v>30</v>
      </c>
      <c r="AA542" s="71">
        <v>5</v>
      </c>
      <c r="AB542" s="71">
        <v>5</v>
      </c>
      <c r="AC542" s="71">
        <v>10</v>
      </c>
      <c r="AF542" s="25" t="str">
        <f>_xlfn.XLOOKUP(F542,'TFS Details'!F:F,'TFS Details'!H:H)</f>
        <v>In Development</v>
      </c>
      <c r="AG542" s="42">
        <v>0</v>
      </c>
      <c r="AH542" s="42">
        <v>0</v>
      </c>
      <c r="AI542" s="42">
        <v>0</v>
      </c>
      <c r="AJ542" s="42">
        <v>0</v>
      </c>
      <c r="AK542" s="38">
        <f t="shared" si="57"/>
        <v>0</v>
      </c>
      <c r="AL542" s="39">
        <f t="shared" si="58"/>
        <v>0</v>
      </c>
      <c r="AM542" s="39">
        <f t="shared" si="59"/>
        <v>0</v>
      </c>
      <c r="AO542" s="25" t="str">
        <f>_xlfn.XLOOKUP(F542,'TFS Details'!F:F,'TFS Details'!I:I)</f>
        <v>Harvesting solutionPlan</v>
      </c>
      <c r="AP542" s="25" t="str">
        <f>_xlfn.XLOOKUP(AO542,'TFS Details'!I:I,'TFS Details'!AE:AE)</f>
        <v>pandidurai.ks</v>
      </c>
    </row>
    <row r="543" spans="1:42">
      <c r="A543" s="24" t="str">
        <f>_xlfn.XLOOKUP(F543,'TFS Details'!F:F,'TFS Details'!D:D)</f>
        <v>HSP</v>
      </c>
      <c r="B543" s="24" t="str">
        <f>_xlfn.XLOOKUP(F543,'TFS Details'!F:F,'TFS Details'!A:A)</f>
        <v>HSP - Adding SG-wise prompts for 13 Nudge categories in HSP</v>
      </c>
      <c r="C543" s="46">
        <f>_xlfn.XLOOKUP(F543,'TFS Details'!F:F,'TFS Details'!E:E)</f>
        <v>4456146</v>
      </c>
      <c r="D543" s="17" t="s">
        <v>51</v>
      </c>
      <c r="E543" s="19" t="s">
        <v>1268</v>
      </c>
      <c r="F543" s="72">
        <v>4456197</v>
      </c>
      <c r="G543" s="18" t="s">
        <v>1128</v>
      </c>
      <c r="H543" s="106" t="s">
        <v>1127</v>
      </c>
      <c r="I543" s="52" t="s">
        <v>1264</v>
      </c>
      <c r="J543" s="250" t="s">
        <v>18</v>
      </c>
      <c r="K543" s="58" t="s">
        <v>1258</v>
      </c>
      <c r="L543" s="16" t="s">
        <v>56</v>
      </c>
      <c r="V543" s="17" t="s">
        <v>216</v>
      </c>
      <c r="W543" s="234" t="s">
        <v>204</v>
      </c>
      <c r="X543" s="17" t="s">
        <v>197</v>
      </c>
      <c r="Y543" s="17" t="s">
        <v>197</v>
      </c>
      <c r="Z543" s="71">
        <v>30</v>
      </c>
      <c r="AA543" s="71">
        <v>5</v>
      </c>
      <c r="AB543" s="71">
        <v>5</v>
      </c>
      <c r="AC543" s="71">
        <v>10</v>
      </c>
      <c r="AF543" s="25" t="str">
        <f>_xlfn.XLOOKUP(F543,'TFS Details'!F:F,'TFS Details'!H:H)</f>
        <v>In Development</v>
      </c>
      <c r="AG543" s="42">
        <v>0</v>
      </c>
      <c r="AH543" s="42">
        <v>0</v>
      </c>
      <c r="AI543" s="42">
        <v>0</v>
      </c>
      <c r="AJ543" s="42">
        <v>0</v>
      </c>
      <c r="AK543" s="38">
        <f t="shared" si="57"/>
        <v>0</v>
      </c>
      <c r="AL543" s="39">
        <f t="shared" si="58"/>
        <v>0</v>
      </c>
      <c r="AM543" s="39">
        <f t="shared" si="59"/>
        <v>0</v>
      </c>
      <c r="AO543" s="25" t="str">
        <f>_xlfn.XLOOKUP(F543,'TFS Details'!F:F,'TFS Details'!I:I)</f>
        <v>Harvesting solutionPlan</v>
      </c>
      <c r="AP543" s="25" t="str">
        <f>_xlfn.XLOOKUP(AO543,'TFS Details'!I:I,'TFS Details'!AE:AE)</f>
        <v>pandidurai.ks</v>
      </c>
    </row>
    <row r="544" spans="1:42">
      <c r="A544" s="24" t="str">
        <f>_xlfn.XLOOKUP(F544,'TFS Details'!F:F,'TFS Details'!D:D)</f>
        <v>HSP</v>
      </c>
      <c r="B544" s="24" t="str">
        <f>_xlfn.XLOOKUP(F544,'TFS Details'!F:F,'TFS Details'!A:A)</f>
        <v>HSP - Adding SG-wise prompts for 13 Nudge categories in HSP</v>
      </c>
      <c r="C544" s="46">
        <f>_xlfn.XLOOKUP(F544,'TFS Details'!F:F,'TFS Details'!E:E)</f>
        <v>4456146</v>
      </c>
      <c r="D544" s="17" t="s">
        <v>51</v>
      </c>
      <c r="E544" s="19" t="s">
        <v>1269</v>
      </c>
      <c r="F544" s="72">
        <v>4456204</v>
      </c>
      <c r="G544" s="18" t="s">
        <v>1128</v>
      </c>
      <c r="H544" s="106" t="s">
        <v>1127</v>
      </c>
      <c r="I544" s="52" t="s">
        <v>1264</v>
      </c>
      <c r="J544" s="250" t="s">
        <v>18</v>
      </c>
      <c r="K544" s="58" t="s">
        <v>1258</v>
      </c>
      <c r="L544" s="16" t="s">
        <v>56</v>
      </c>
      <c r="V544" s="17" t="s">
        <v>216</v>
      </c>
      <c r="W544" s="234" t="s">
        <v>204</v>
      </c>
      <c r="X544" s="17" t="s">
        <v>197</v>
      </c>
      <c r="Y544" s="17" t="s">
        <v>197</v>
      </c>
      <c r="Z544" s="71">
        <v>30</v>
      </c>
      <c r="AA544" s="71">
        <v>5</v>
      </c>
      <c r="AB544" s="71">
        <v>5</v>
      </c>
      <c r="AC544" s="71">
        <v>10</v>
      </c>
      <c r="AF544" s="25" t="str">
        <f>_xlfn.XLOOKUP(F544,'TFS Details'!F:F,'TFS Details'!H:H)</f>
        <v>In Development</v>
      </c>
      <c r="AG544" s="42">
        <v>0</v>
      </c>
      <c r="AH544" s="42">
        <v>0</v>
      </c>
      <c r="AI544" s="42">
        <v>0</v>
      </c>
      <c r="AJ544" s="42">
        <v>0</v>
      </c>
      <c r="AK544" s="38">
        <f t="shared" si="57"/>
        <v>0</v>
      </c>
      <c r="AL544" s="39">
        <f t="shared" si="58"/>
        <v>0</v>
      </c>
      <c r="AM544" s="39">
        <f t="shared" si="59"/>
        <v>0</v>
      </c>
      <c r="AO544" s="25" t="str">
        <f>_xlfn.XLOOKUP(F544,'TFS Details'!F:F,'TFS Details'!I:I)</f>
        <v>Harvesting solutionPlan</v>
      </c>
      <c r="AP544" s="25" t="str">
        <f>_xlfn.XLOOKUP(AO544,'TFS Details'!I:I,'TFS Details'!AE:AE)</f>
        <v>pandidurai.ks</v>
      </c>
    </row>
    <row r="545" spans="1:42">
      <c r="A545" s="24" t="str">
        <f>_xlfn.XLOOKUP(F545,'TFS Details'!F:F,'TFS Details'!D:D)</f>
        <v>HSP</v>
      </c>
      <c r="B545" s="24" t="str">
        <f>_xlfn.XLOOKUP(F545,'TFS Details'!F:F,'TFS Details'!A:A)</f>
        <v>HSP - Adding SG-wise prompts for 13 Nudge categories in HSP</v>
      </c>
      <c r="C545" s="46">
        <f>_xlfn.XLOOKUP(F545,'TFS Details'!F:F,'TFS Details'!E:E)</f>
        <v>4456146</v>
      </c>
      <c r="D545" s="17" t="s">
        <v>51</v>
      </c>
      <c r="E545" s="19" t="s">
        <v>1270</v>
      </c>
      <c r="F545" s="72">
        <v>4456207</v>
      </c>
      <c r="G545" s="18" t="s">
        <v>1256</v>
      </c>
      <c r="H545" s="106" t="s">
        <v>1127</v>
      </c>
      <c r="I545" s="52" t="s">
        <v>1257</v>
      </c>
      <c r="J545" s="250" t="s">
        <v>18</v>
      </c>
      <c r="K545" s="58" t="s">
        <v>1258</v>
      </c>
      <c r="L545" s="16" t="s">
        <v>56</v>
      </c>
      <c r="V545" s="17" t="s">
        <v>216</v>
      </c>
      <c r="W545" s="234" t="s">
        <v>204</v>
      </c>
      <c r="X545" s="17" t="s">
        <v>197</v>
      </c>
      <c r="Y545" s="17" t="s">
        <v>197</v>
      </c>
      <c r="Z545" s="71">
        <v>38</v>
      </c>
      <c r="AA545" s="71">
        <v>6</v>
      </c>
      <c r="AB545" s="71">
        <v>10</v>
      </c>
      <c r="AC545" s="71">
        <v>16</v>
      </c>
      <c r="AF545" s="25" t="str">
        <f>_xlfn.XLOOKUP(F545,'TFS Details'!F:F,'TFS Details'!H:H)</f>
        <v>In Development</v>
      </c>
      <c r="AG545" s="42">
        <v>0</v>
      </c>
      <c r="AH545" s="42">
        <v>0</v>
      </c>
      <c r="AI545" s="42">
        <v>0</v>
      </c>
      <c r="AJ545" s="42">
        <v>0</v>
      </c>
      <c r="AK545" s="38">
        <f t="shared" si="57"/>
        <v>0</v>
      </c>
      <c r="AL545" s="39">
        <f t="shared" si="58"/>
        <v>0</v>
      </c>
      <c r="AM545" s="39">
        <f t="shared" si="59"/>
        <v>0</v>
      </c>
      <c r="AO545" s="25" t="str">
        <f>_xlfn.XLOOKUP(F545,'TFS Details'!F:F,'TFS Details'!I:I)</f>
        <v>Harvesting solutionPlan</v>
      </c>
      <c r="AP545" s="25" t="str">
        <f>_xlfn.XLOOKUP(AO545,'TFS Details'!I:I,'TFS Details'!AE:AE)</f>
        <v>pandidurai.ks</v>
      </c>
    </row>
    <row r="546" spans="1:42">
      <c r="A546" s="24" t="str">
        <f>_xlfn.XLOOKUP(F546,'TFS Details'!F:F,'TFS Details'!D:D)</f>
        <v>HSP</v>
      </c>
      <c r="B546" s="24" t="str">
        <f>_xlfn.XLOOKUP(F546,'TFS Details'!F:F,'TFS Details'!A:A)</f>
        <v>HSP - Adding SG-wise prompts for 13 Nudge categories in HSP</v>
      </c>
      <c r="C546" s="46">
        <f>_xlfn.XLOOKUP(F546,'TFS Details'!F:F,'TFS Details'!E:E)</f>
        <v>4456146</v>
      </c>
      <c r="D546" s="17" t="s">
        <v>51</v>
      </c>
      <c r="E546" s="19" t="s">
        <v>1271</v>
      </c>
      <c r="F546" s="72">
        <v>4456193</v>
      </c>
      <c r="G546" s="18" t="s">
        <v>1127</v>
      </c>
      <c r="H546" s="106" t="s">
        <v>1128</v>
      </c>
      <c r="I546" s="52" t="s">
        <v>122</v>
      </c>
      <c r="J546" s="250" t="s">
        <v>18</v>
      </c>
      <c r="K546" s="58" t="s">
        <v>1258</v>
      </c>
      <c r="L546" s="16" t="s">
        <v>56</v>
      </c>
      <c r="V546" s="17" t="s">
        <v>216</v>
      </c>
      <c r="W546" s="234" t="s">
        <v>204</v>
      </c>
      <c r="X546" s="17" t="s">
        <v>197</v>
      </c>
      <c r="Y546" s="17" t="s">
        <v>197</v>
      </c>
      <c r="AF546" s="25" t="str">
        <f>_xlfn.XLOOKUP(F546,'TFS Details'!F:F,'TFS Details'!H:H)</f>
        <v>In Development</v>
      </c>
      <c r="AG546" s="42">
        <v>0</v>
      </c>
      <c r="AH546" s="42">
        <v>0</v>
      </c>
      <c r="AI546" s="42">
        <v>0</v>
      </c>
      <c r="AJ546" s="42">
        <v>0</v>
      </c>
      <c r="AK546" s="38">
        <f t="shared" si="57"/>
        <v>0</v>
      </c>
      <c r="AL546" s="39">
        <f t="shared" si="58"/>
        <v>0</v>
      </c>
      <c r="AM546" s="39">
        <f t="shared" si="59"/>
        <v>0</v>
      </c>
      <c r="AO546" s="25" t="str">
        <f>_xlfn.XLOOKUP(F546,'TFS Details'!F:F,'TFS Details'!I:I)</f>
        <v>Harvesting solutionPlan</v>
      </c>
      <c r="AP546" s="25" t="str">
        <f>_xlfn.XLOOKUP(AO546,'TFS Details'!I:I,'TFS Details'!AE:AE)</f>
        <v>pandidurai.ks</v>
      </c>
    </row>
    <row r="547" spans="1:42">
      <c r="A547" s="24" t="str">
        <f>_xlfn.XLOOKUP(F547,'TFS Details'!F:F,'TFS Details'!D:D)</f>
        <v>PMO</v>
      </c>
      <c r="B547" s="24" t="str">
        <f>_xlfn.XLOOKUP(F547,'TFS Details'!F:F,'TFS Details'!A:A)</f>
        <v>[PMO] URL update for Manage and Dashboard screens</v>
      </c>
      <c r="C547" s="46">
        <f>_xlfn.XLOOKUP(F547,'TFS Details'!F:F,'TFS Details'!E:E)</f>
        <v>4440976</v>
      </c>
      <c r="D547" s="139" t="s">
        <v>51</v>
      </c>
      <c r="E547" s="139" t="s">
        <v>1272</v>
      </c>
      <c r="F547" s="72">
        <v>4446668</v>
      </c>
      <c r="G547" s="18" t="s">
        <v>1099</v>
      </c>
      <c r="H547" s="18" t="s">
        <v>1100</v>
      </c>
      <c r="I547" s="52" t="s">
        <v>71</v>
      </c>
      <c r="J547" s="66" t="s">
        <v>1</v>
      </c>
      <c r="M547" s="20" t="s">
        <v>461</v>
      </c>
      <c r="O547" s="273">
        <v>0.3</v>
      </c>
      <c r="V547" s="17" t="s">
        <v>216</v>
      </c>
      <c r="W547" s="234" t="s">
        <v>204</v>
      </c>
      <c r="X547" s="17" t="s">
        <v>197</v>
      </c>
      <c r="Y547" s="17" t="s">
        <v>197</v>
      </c>
      <c r="AF547" s="25" t="str">
        <f>_xlfn.XLOOKUP(F547,'TFS Details'!F:F,'TFS Details'!H:H)</f>
        <v>PT In Test</v>
      </c>
      <c r="AG547" s="42">
        <v>0</v>
      </c>
      <c r="AH547" s="42">
        <v>0</v>
      </c>
      <c r="AI547" s="42">
        <v>0</v>
      </c>
      <c r="AJ547" s="42">
        <v>0</v>
      </c>
      <c r="AK547" s="38">
        <f t="shared" si="57"/>
        <v>0</v>
      </c>
      <c r="AL547" s="39">
        <f t="shared" si="58"/>
        <v>0</v>
      </c>
      <c r="AM547" s="39">
        <f t="shared" si="59"/>
        <v>0</v>
      </c>
      <c r="AO547" s="25" t="str">
        <f>_xlfn.XLOOKUP(F547,'TFS Details'!F:F,'TFS Details'!I:I)</f>
        <v>Pixel Pioneers</v>
      </c>
      <c r="AP547" s="25" t="str">
        <f>_xlfn.XLOOKUP(AO547,'TFS Details'!I:I,'TFS Details'!AE:AE)</f>
        <v>pandidurai.ks</v>
      </c>
    </row>
    <row r="548" spans="1:42">
      <c r="A548" s="24" t="str">
        <f>_xlfn.XLOOKUP(F548,'TFS Details'!F:F,'TFS Details'!D:D)</f>
        <v>Review Agent</v>
      </c>
      <c r="B548" s="24" t="str">
        <f>_xlfn.XLOOKUP(F548,'TFS Details'!F:F,'TFS Details'!A:A)</f>
        <v>[SSA - SRA] - SA Review Preparation</v>
      </c>
      <c r="C548" s="46">
        <f>_xlfn.XLOOKUP(F548,'TFS Details'!F:F,'TFS Details'!E:E)</f>
        <v>4471096</v>
      </c>
      <c r="D548" s="139" t="s">
        <v>38</v>
      </c>
      <c r="E548" s="139" t="s">
        <v>1273</v>
      </c>
      <c r="F548" s="72">
        <v>4456194</v>
      </c>
      <c r="G548" s="18" t="s">
        <v>1133</v>
      </c>
      <c r="H548" s="106" t="s">
        <v>1134</v>
      </c>
      <c r="I548" s="52" t="s">
        <v>1135</v>
      </c>
      <c r="J548" s="250" t="s">
        <v>20</v>
      </c>
      <c r="K548" s="58" t="s">
        <v>1136</v>
      </c>
      <c r="L548" s="16" t="s">
        <v>1141</v>
      </c>
      <c r="M548" s="20" t="s">
        <v>311</v>
      </c>
      <c r="N548" s="45">
        <v>1</v>
      </c>
      <c r="O548" s="273">
        <v>0.2</v>
      </c>
      <c r="V548" s="17" t="s">
        <v>204</v>
      </c>
      <c r="W548" s="17" t="s">
        <v>216</v>
      </c>
      <c r="X548" s="17" t="s">
        <v>204</v>
      </c>
      <c r="Y548" s="277" t="s">
        <v>183</v>
      </c>
      <c r="AF548" s="25" t="str">
        <f>_xlfn.XLOOKUP(F548,'TFS Details'!F:F,'TFS Details'!H:H)</f>
        <v>PT In Test</v>
      </c>
      <c r="AG548" s="42">
        <v>7</v>
      </c>
      <c r="AH548" s="42">
        <v>0</v>
      </c>
      <c r="AI548" s="42">
        <v>1</v>
      </c>
      <c r="AJ548" s="42">
        <v>27</v>
      </c>
      <c r="AK548" s="38">
        <f t="shared" ref="AK548:AK554" si="60">SUM(AG548:AJ548)</f>
        <v>35</v>
      </c>
      <c r="AL548" s="39">
        <f t="shared" ref="AL548:AL554" si="61">IF(AG548+AH548=0,0,SUM(AG548:AH548)/AK548)</f>
        <v>0.2</v>
      </c>
      <c r="AM548" s="39">
        <f t="shared" ref="AM548:AM554" si="62">IF(AG548=0,0,AG548/(SUM(AG548:AI548)))</f>
        <v>0.875</v>
      </c>
      <c r="AN548" s="17" t="s">
        <v>1274</v>
      </c>
      <c r="AO548" s="25" t="str">
        <f>_xlfn.XLOOKUP(F548,'TFS Details'!F:F,'TFS Details'!I:I)</f>
        <v>Gen AI - Solution Review Agent</v>
      </c>
      <c r="AP548" s="25" t="str">
        <f>_xlfn.XLOOKUP(AO548,'TFS Details'!I:I,'TFS Details'!AE:AE)</f>
        <v>n.d.krishnakumar</v>
      </c>
    </row>
    <row r="549" spans="1:42">
      <c r="A549" s="24" t="str">
        <f>_xlfn.XLOOKUP(F549,'TFS Details'!F:F,'TFS Details'!D:D)</f>
        <v>Review Agent</v>
      </c>
      <c r="B549" s="24" t="str">
        <f>_xlfn.XLOOKUP(F549,'TFS Details'!F:F,'TFS Details'!A:A)</f>
        <v>[SSA - SRA] - Review response page optimization.</v>
      </c>
      <c r="C549" s="46">
        <f>_xlfn.XLOOKUP(F549,'TFS Details'!F:F,'TFS Details'!E:E)</f>
        <v>4420086</v>
      </c>
      <c r="D549" s="139" t="s">
        <v>38</v>
      </c>
      <c r="E549" s="139" t="s">
        <v>1275</v>
      </c>
      <c r="F549" s="72">
        <v>4456371</v>
      </c>
      <c r="G549" s="18" t="s">
        <v>222</v>
      </c>
      <c r="H549" s="18" t="s">
        <v>223</v>
      </c>
      <c r="I549" s="18" t="s">
        <v>224</v>
      </c>
      <c r="J549" s="250" t="s">
        <v>20</v>
      </c>
      <c r="K549" s="58" t="s">
        <v>1276</v>
      </c>
      <c r="L549" s="66" t="s">
        <v>1137</v>
      </c>
      <c r="O549" s="273">
        <v>0.25</v>
      </c>
      <c r="V549" s="17" t="s">
        <v>204</v>
      </c>
      <c r="W549" s="234" t="s">
        <v>204</v>
      </c>
      <c r="X549" s="234" t="s">
        <v>204</v>
      </c>
      <c r="Y549" s="17" t="s">
        <v>216</v>
      </c>
      <c r="AF549" s="25" t="str">
        <f>_xlfn.XLOOKUP(F549,'TFS Details'!F:F,'TFS Details'!H:H)</f>
        <v>PT In Test</v>
      </c>
      <c r="AG549" s="42">
        <v>5</v>
      </c>
      <c r="AH549" s="42">
        <v>0</v>
      </c>
      <c r="AI549" s="42">
        <v>0</v>
      </c>
      <c r="AJ549" s="42">
        <v>2</v>
      </c>
      <c r="AK549" s="38">
        <f>SUM(AG549:AJ549)</f>
        <v>7</v>
      </c>
      <c r="AL549" s="39">
        <f t="shared" si="61"/>
        <v>0.7142857142857143</v>
      </c>
      <c r="AM549" s="39">
        <f t="shared" si="62"/>
        <v>1</v>
      </c>
      <c r="AO549" s="25" t="str">
        <f>_xlfn.XLOOKUP(F549,'TFS Details'!F:F,'TFS Details'!I:I)</f>
        <v>Gen AI - Solution Review Agent</v>
      </c>
      <c r="AP549" s="25" t="str">
        <f>_xlfn.XLOOKUP(AO549,'TFS Details'!I:I,'TFS Details'!AE:AE)</f>
        <v>n.d.krishnakumar</v>
      </c>
    </row>
    <row r="550" spans="1:42" ht="24">
      <c r="A550" s="24" t="str">
        <f>_xlfn.XLOOKUP(F550,'TFS Details'!F:F,'TFS Details'!D:D)</f>
        <v>Review Agent</v>
      </c>
      <c r="B550" s="24" t="str">
        <f>_xlfn.XLOOKUP(F550,'TFS Details'!F:F,'TFS Details'!A:A)</f>
        <v>[SSA - SRA] - Review response page optimization.</v>
      </c>
      <c r="C550" s="46">
        <f>_xlfn.XLOOKUP(F550,'TFS Details'!F:F,'TFS Details'!E:E)</f>
        <v>4420086</v>
      </c>
      <c r="D550" s="139" t="s">
        <v>38</v>
      </c>
      <c r="E550" s="139" t="s">
        <v>1277</v>
      </c>
      <c r="F550" s="72">
        <v>4456373</v>
      </c>
      <c r="G550" s="18" t="s">
        <v>231</v>
      </c>
      <c r="H550" s="18" t="s">
        <v>232</v>
      </c>
      <c r="I550" s="52" t="s">
        <v>233</v>
      </c>
      <c r="J550" s="250" t="s">
        <v>20</v>
      </c>
      <c r="K550" s="58" t="s">
        <v>1278</v>
      </c>
      <c r="L550" s="66" t="s">
        <v>1137</v>
      </c>
      <c r="M550" s="20" t="s">
        <v>311</v>
      </c>
      <c r="O550" s="273">
        <v>0.05</v>
      </c>
      <c r="V550" s="17" t="s">
        <v>204</v>
      </c>
      <c r="W550" s="234" t="s">
        <v>204</v>
      </c>
      <c r="X550" s="17" t="s">
        <v>204</v>
      </c>
      <c r="Y550" s="17" t="s">
        <v>216</v>
      </c>
      <c r="AF550" s="25" t="str">
        <f>_xlfn.XLOOKUP(F550,'TFS Details'!F:F,'TFS Details'!H:H)</f>
        <v>PT In Test</v>
      </c>
      <c r="AG550" s="42">
        <v>3</v>
      </c>
      <c r="AH550" s="42">
        <v>0</v>
      </c>
      <c r="AI550" s="42">
        <v>0</v>
      </c>
      <c r="AJ550" s="17">
        <v>6</v>
      </c>
      <c r="AK550" s="38">
        <f t="shared" si="60"/>
        <v>9</v>
      </c>
      <c r="AL550" s="39">
        <f t="shared" si="61"/>
        <v>0.33333333333333331</v>
      </c>
      <c r="AM550" s="39">
        <f t="shared" si="62"/>
        <v>1</v>
      </c>
      <c r="AO550" s="25" t="str">
        <f>_xlfn.XLOOKUP(F550,'TFS Details'!F:F,'TFS Details'!I:I)</f>
        <v>Gen AI - Solution Review Agent</v>
      </c>
      <c r="AP550" s="25" t="str">
        <f>_xlfn.XLOOKUP(AO550,'TFS Details'!I:I,'TFS Details'!AE:AE)</f>
        <v>n.d.krishnakumar</v>
      </c>
    </row>
    <row r="551" spans="1:42" ht="24">
      <c r="A551" s="24" t="str">
        <f>_xlfn.XLOOKUP(F551,'TFS Details'!F:F,'TFS Details'!D:D)</f>
        <v>Review Agent</v>
      </c>
      <c r="B551" s="24" t="str">
        <f>_xlfn.XLOOKUP(F551,'TFS Details'!F:F,'TFS Details'!A:A)</f>
        <v>[SSA - SRA] - Review response page optimization.</v>
      </c>
      <c r="C551" s="46">
        <f>_xlfn.XLOOKUP(F551,'TFS Details'!F:F,'TFS Details'!E:E)</f>
        <v>4420086</v>
      </c>
      <c r="D551" s="139" t="s">
        <v>38</v>
      </c>
      <c r="E551" s="139" t="s">
        <v>1279</v>
      </c>
      <c r="F551" s="72">
        <v>4456376</v>
      </c>
      <c r="G551" s="18" t="s">
        <v>231</v>
      </c>
      <c r="H551" s="18" t="s">
        <v>232</v>
      </c>
      <c r="I551" s="52" t="s">
        <v>233</v>
      </c>
      <c r="J551" s="250" t="s">
        <v>20</v>
      </c>
      <c r="K551" s="58" t="s">
        <v>1278</v>
      </c>
      <c r="L551" s="66" t="s">
        <v>1137</v>
      </c>
      <c r="M551" s="20" t="s">
        <v>311</v>
      </c>
      <c r="O551" s="273">
        <v>0.05</v>
      </c>
      <c r="V551" s="17" t="s">
        <v>204</v>
      </c>
      <c r="W551" s="234" t="s">
        <v>204</v>
      </c>
      <c r="X551" s="17" t="s">
        <v>204</v>
      </c>
      <c r="Y551" s="17" t="s">
        <v>216</v>
      </c>
      <c r="AF551" s="25" t="str">
        <f>_xlfn.XLOOKUP(F551,'TFS Details'!F:F,'TFS Details'!H:H)</f>
        <v>PT In Test</v>
      </c>
      <c r="AG551" s="42">
        <v>5</v>
      </c>
      <c r="AH551" s="42">
        <v>0</v>
      </c>
      <c r="AI551" s="42">
        <v>0</v>
      </c>
      <c r="AJ551" s="17">
        <v>15</v>
      </c>
      <c r="AK551" s="38">
        <f t="shared" si="60"/>
        <v>20</v>
      </c>
      <c r="AL551" s="39">
        <f t="shared" si="61"/>
        <v>0.25</v>
      </c>
      <c r="AM551" s="39">
        <f t="shared" si="62"/>
        <v>1</v>
      </c>
      <c r="AO551" s="25" t="str">
        <f>_xlfn.XLOOKUP(F551,'TFS Details'!F:F,'TFS Details'!I:I)</f>
        <v>Gen AI - Solution Review Agent</v>
      </c>
      <c r="AP551" s="25" t="str">
        <f>_xlfn.XLOOKUP(AO551,'TFS Details'!I:I,'TFS Details'!AE:AE)</f>
        <v>n.d.krishnakumar</v>
      </c>
    </row>
    <row r="552" spans="1:42">
      <c r="A552" s="24" t="str">
        <f>_xlfn.XLOOKUP(F552,'TFS Details'!F:F,'TFS Details'!D:D)</f>
        <v>Deal Level Canvas</v>
      </c>
      <c r="B552" s="24" t="str">
        <f>_xlfn.XLOOKUP(F552,'TFS Details'!F:F,'TFS Details'!A:A)</f>
        <v>[SSA - DLC] - Deal Level Canvas UI enhancements.</v>
      </c>
      <c r="C552" s="46">
        <f>_xlfn.XLOOKUP(F552,'TFS Details'!F:F,'TFS Details'!E:E)</f>
        <v>4438558</v>
      </c>
      <c r="D552" s="139" t="s">
        <v>38</v>
      </c>
      <c r="E552" s="139" t="s">
        <v>1280</v>
      </c>
      <c r="F552" s="72">
        <v>4456380</v>
      </c>
      <c r="G552" s="18" t="s">
        <v>1073</v>
      </c>
      <c r="H552" s="18" t="s">
        <v>1074</v>
      </c>
      <c r="I552" s="52" t="s">
        <v>116</v>
      </c>
      <c r="J552" s="66" t="s">
        <v>1</v>
      </c>
      <c r="O552" s="273">
        <v>0.1</v>
      </c>
      <c r="V552" s="17" t="s">
        <v>204</v>
      </c>
      <c r="W552" s="234" t="s">
        <v>204</v>
      </c>
      <c r="X552" s="17" t="s">
        <v>204</v>
      </c>
      <c r="Y552" s="17" t="s">
        <v>204</v>
      </c>
      <c r="AF552" s="25" t="str">
        <f>_xlfn.XLOOKUP(F552,'TFS Details'!F:F,'TFS Details'!H:H)</f>
        <v>Awaiting UAT deployment</v>
      </c>
      <c r="AG552" s="42">
        <v>15</v>
      </c>
      <c r="AH552" s="42">
        <v>0</v>
      </c>
      <c r="AI552" s="42">
        <v>0</v>
      </c>
      <c r="AJ552" s="42">
        <v>0</v>
      </c>
      <c r="AK552" s="38">
        <f>SUM(AG552:AJ552)</f>
        <v>15</v>
      </c>
      <c r="AL552" s="39">
        <f t="shared" si="61"/>
        <v>1</v>
      </c>
      <c r="AM552" s="39">
        <f t="shared" si="62"/>
        <v>1</v>
      </c>
      <c r="AO552" s="25" t="str">
        <f>_xlfn.XLOOKUP(F552,'TFS Details'!F:F,'TFS Details'!I:I)</f>
        <v>Code Mavin</v>
      </c>
      <c r="AP552" s="25" t="str">
        <f>_xlfn.XLOOKUP(AO552,'TFS Details'!I:I,'TFS Details'!AE:AE)</f>
        <v>n.d.krishnakumar</v>
      </c>
    </row>
    <row r="553" spans="1:42" ht="24">
      <c r="A553" s="24" t="str">
        <f>_xlfn.XLOOKUP(F553,'TFS Details'!F:F,'TFS Details'!D:D)</f>
        <v>Drop 4 - Angular upgrade v19 to v21</v>
      </c>
      <c r="B553" s="24" t="str">
        <f>_xlfn.XLOOKUP(F553,'TFS Details'!F:F,'TFS Details'!A:A)</f>
        <v>Angular upgrade version 19 to version 21 - 9th May</v>
      </c>
      <c r="C553" s="46">
        <f>_xlfn.XLOOKUP(F553,'TFS Details'!F:F,'TFS Details'!E:E)</f>
        <v>4444328</v>
      </c>
      <c r="D553" s="139" t="s">
        <v>51</v>
      </c>
      <c r="E553" s="139" t="s">
        <v>1281</v>
      </c>
      <c r="F553" s="72">
        <v>4461628</v>
      </c>
      <c r="G553" s="18" t="s">
        <v>1282</v>
      </c>
      <c r="H553" s="106"/>
      <c r="I553" s="18" t="s">
        <v>1283</v>
      </c>
      <c r="J553" s="250" t="s">
        <v>18</v>
      </c>
      <c r="K553" s="58" t="s">
        <v>1284</v>
      </c>
      <c r="L553" s="58" t="s">
        <v>1285</v>
      </c>
      <c r="V553" s="17" t="s">
        <v>204</v>
      </c>
      <c r="W553" s="17" t="s">
        <v>197</v>
      </c>
      <c r="X553" s="17" t="s">
        <v>197</v>
      </c>
      <c r="Y553" s="17" t="s">
        <v>197</v>
      </c>
      <c r="AF553" s="25" t="str">
        <f>_xlfn.XLOOKUP(F553,'TFS Details'!F:F,'TFS Details'!H:H)</f>
        <v>Active</v>
      </c>
      <c r="AG553" s="42">
        <v>0</v>
      </c>
      <c r="AH553" s="42">
        <v>0</v>
      </c>
      <c r="AI553" s="42">
        <v>0</v>
      </c>
      <c r="AJ553" s="42">
        <v>0</v>
      </c>
      <c r="AK553" s="38">
        <f t="shared" si="60"/>
        <v>0</v>
      </c>
      <c r="AL553" s="39">
        <f t="shared" si="61"/>
        <v>0</v>
      </c>
      <c r="AM553" s="39">
        <f t="shared" si="62"/>
        <v>0</v>
      </c>
      <c r="AO553" s="25" t="str">
        <f>_xlfn.XLOOKUP(F553,'TFS Details'!F:F,'TFS Details'!I:I)</f>
        <v>MYISP_Revamp_UI</v>
      </c>
      <c r="AP553" s="25" t="str">
        <f>_xlfn.XLOOKUP(AO553,'TFS Details'!I:I,'TFS Details'!AE:AE)</f>
        <v>vikrant.r.mohite</v>
      </c>
    </row>
    <row r="554" spans="1:42">
      <c r="A554" s="24" t="str">
        <f>_xlfn.XLOOKUP(F554,'TFS Details'!F:F,'TFS Details'!D:D)</f>
        <v>DSP</v>
      </c>
      <c r="B554" s="24" t="str">
        <f>_xlfn.XLOOKUP(F554,'TFS Details'!F:F,'TFS Details'!A:A)</f>
        <v>DSP Core Solution Plan Enhancements</v>
      </c>
      <c r="C554" s="46">
        <f>_xlfn.XLOOKUP(F554,'TFS Details'!F:F,'TFS Details'!E:E)</f>
        <v>4437844</v>
      </c>
      <c r="D554" s="139" t="s">
        <v>51</v>
      </c>
      <c r="E554" s="139" t="s">
        <v>1286</v>
      </c>
      <c r="F554" s="72">
        <v>4461243</v>
      </c>
      <c r="G554" s="18" t="s">
        <v>1069</v>
      </c>
      <c r="H554" s="18" t="s">
        <v>1070</v>
      </c>
      <c r="I554" s="52" t="s">
        <v>83</v>
      </c>
      <c r="J554" s="250" t="s">
        <v>18</v>
      </c>
      <c r="K554" s="58" t="s">
        <v>1105</v>
      </c>
      <c r="L554" s="16" t="s">
        <v>72</v>
      </c>
      <c r="V554" s="17" t="s">
        <v>204</v>
      </c>
      <c r="W554" s="234" t="s">
        <v>204</v>
      </c>
      <c r="X554" s="17" t="s">
        <v>204</v>
      </c>
      <c r="Y554" s="17" t="s">
        <v>197</v>
      </c>
      <c r="Z554" s="71">
        <v>13</v>
      </c>
      <c r="AA554" s="71">
        <v>13</v>
      </c>
      <c r="AB554" s="71">
        <v>2</v>
      </c>
      <c r="AC554" s="71">
        <v>15</v>
      </c>
      <c r="AD554" s="69">
        <v>0.8</v>
      </c>
      <c r="AE554" s="69">
        <v>0.8</v>
      </c>
      <c r="AF554" s="25" t="str">
        <f>_xlfn.XLOOKUP(F554,'TFS Details'!F:F,'TFS Details'!H:H)</f>
        <v>Ready for Test</v>
      </c>
      <c r="AG554" s="42">
        <v>12</v>
      </c>
      <c r="AH554" s="42">
        <v>0</v>
      </c>
      <c r="AI554" s="42">
        <v>0</v>
      </c>
      <c r="AJ554" s="42">
        <v>3</v>
      </c>
      <c r="AK554" s="38">
        <f t="shared" si="60"/>
        <v>15</v>
      </c>
      <c r="AL554" s="39">
        <f t="shared" si="61"/>
        <v>0.8</v>
      </c>
      <c r="AM554" s="39">
        <f t="shared" si="62"/>
        <v>1</v>
      </c>
      <c r="AO554" s="25" t="str">
        <f>_xlfn.XLOOKUP(F554,'TFS Details'!F:F,'TFS Details'!I:I)</f>
        <v>Ninjawarriors</v>
      </c>
      <c r="AP554" s="25" t="str">
        <f>_xlfn.XLOOKUP(AO554,'TFS Details'!I:I,'TFS Details'!AE:AE)</f>
        <v>pandidurai.ks</v>
      </c>
    </row>
    <row r="555" spans="1:42">
      <c r="A555" s="24" t="str">
        <f>_xlfn.XLOOKUP(F555,'TFS Details'!F:F,'TFS Details'!D:D)</f>
        <v>Solution Super Agent</v>
      </c>
      <c r="B555" s="24" t="str">
        <f>_xlfn.XLOOKUP(F555,'TFS Details'!F:F,'TFS Details'!A:A)</f>
        <v>SSA_RFP_DLC Goal Based Agent</v>
      </c>
      <c r="C555" s="46">
        <f>_xlfn.XLOOKUP(F555,'TFS Details'!F:F,'TFS Details'!E:E)</f>
        <v>4472827</v>
      </c>
      <c r="D555" s="15" t="s">
        <v>38</v>
      </c>
      <c r="E555" s="239" t="s">
        <v>1287</v>
      </c>
      <c r="F555" s="72">
        <v>4472826</v>
      </c>
      <c r="G555" s="18" t="s">
        <v>1149</v>
      </c>
      <c r="H555" s="18" t="s">
        <v>1148</v>
      </c>
      <c r="I555" s="52" t="s">
        <v>1193</v>
      </c>
      <c r="J555" s="250" t="s">
        <v>20</v>
      </c>
      <c r="K555" s="58" t="s">
        <v>1288</v>
      </c>
      <c r="L555" s="16" t="s">
        <v>1137</v>
      </c>
      <c r="O555" s="273">
        <v>0.1</v>
      </c>
      <c r="V555" s="17" t="s">
        <v>204</v>
      </c>
      <c r="W555" s="17" t="s">
        <v>204</v>
      </c>
      <c r="X555" s="17" t="s">
        <v>204</v>
      </c>
      <c r="Y555" s="17" t="s">
        <v>197</v>
      </c>
      <c r="Z555" s="71">
        <v>40</v>
      </c>
      <c r="AA555" s="71">
        <v>15</v>
      </c>
      <c r="AB555" s="71">
        <v>0</v>
      </c>
      <c r="AC555" s="71">
        <v>15</v>
      </c>
      <c r="AD555" s="69">
        <v>0.8</v>
      </c>
      <c r="AE555" s="69">
        <v>0.9</v>
      </c>
      <c r="AF555" s="25" t="str">
        <f>_xlfn.XLOOKUP(F555,'TFS Details'!F:F,'TFS Details'!H:H)</f>
        <v>Active</v>
      </c>
      <c r="AG555" s="42">
        <v>0</v>
      </c>
      <c r="AH555" s="42">
        <v>0</v>
      </c>
      <c r="AI555" s="42">
        <v>0</v>
      </c>
      <c r="AJ555" s="42">
        <v>15</v>
      </c>
      <c r="AK555" s="38">
        <f t="shared" ref="AK555:AK567" si="63">SUM(AG555:AJ555)</f>
        <v>15</v>
      </c>
      <c r="AL555" s="39">
        <f t="shared" ref="AL555:AL567" si="64">IF(AG555+AH555=0,0,SUM(AG555:AH555)/AK555)</f>
        <v>0</v>
      </c>
      <c r="AM555" s="39">
        <f t="shared" ref="AM555:AM567" si="65">IF(AG555=0,0,AG555/(SUM(AG555:AI555)))</f>
        <v>0</v>
      </c>
      <c r="AO555" s="25" t="str">
        <f>_xlfn.XLOOKUP(F555,'TFS Details'!F:F,'TFS Details'!I:I)</f>
        <v>GEN AI - Solution Super Agent</v>
      </c>
      <c r="AP555" s="25" t="str">
        <f>_xlfn.XLOOKUP(AO555,'TFS Details'!I:I,'TFS Details'!AE:AE)</f>
        <v>pandidurai.ks</v>
      </c>
    </row>
    <row r="556" spans="1:42" ht="36">
      <c r="A556" s="24" t="str">
        <f>_xlfn.XLOOKUP(F556,'TFS Details'!F:F,'TFS Details'!D:D)</f>
        <v>Solution Super Agent</v>
      </c>
      <c r="B556" s="24" t="str">
        <f>_xlfn.XLOOKUP(F556,'TFS Details'!F:F,'TFS Details'!A:A)</f>
        <v>SSA_RFP_DLC Goal Based Agent</v>
      </c>
      <c r="C556" s="46">
        <f>_xlfn.XLOOKUP(F556,'TFS Details'!F:F,'TFS Details'!E:E)</f>
        <v>4472827</v>
      </c>
      <c r="D556" s="15" t="s">
        <v>38</v>
      </c>
      <c r="E556" s="239" t="s">
        <v>1289</v>
      </c>
      <c r="F556" s="72">
        <v>4472828</v>
      </c>
      <c r="G556" s="18" t="s">
        <v>1149</v>
      </c>
      <c r="H556" s="18" t="s">
        <v>1148</v>
      </c>
      <c r="I556" s="52" t="s">
        <v>1193</v>
      </c>
      <c r="J556" s="250" t="s">
        <v>18</v>
      </c>
      <c r="K556" s="58" t="s">
        <v>1290</v>
      </c>
      <c r="L556" s="16" t="s">
        <v>82</v>
      </c>
      <c r="M556" s="20" t="s">
        <v>311</v>
      </c>
      <c r="V556" s="17" t="s">
        <v>204</v>
      </c>
      <c r="W556" s="17" t="s">
        <v>204</v>
      </c>
      <c r="X556" s="17" t="s">
        <v>204</v>
      </c>
      <c r="Y556" s="17" t="s">
        <v>197</v>
      </c>
      <c r="Z556" s="71">
        <v>44</v>
      </c>
      <c r="AA556" s="71">
        <v>17</v>
      </c>
      <c r="AB556" s="71">
        <v>0</v>
      </c>
      <c r="AC556" s="71">
        <v>17</v>
      </c>
      <c r="AD556" s="69">
        <v>0.8</v>
      </c>
      <c r="AE556" s="69">
        <v>0.9</v>
      </c>
      <c r="AF556" s="25" t="str">
        <f>_xlfn.XLOOKUP(F556,'TFS Details'!F:F,'TFS Details'!H:H)</f>
        <v>Active</v>
      </c>
      <c r="AG556" s="42">
        <v>0</v>
      </c>
      <c r="AH556" s="42">
        <v>0</v>
      </c>
      <c r="AI556" s="42">
        <v>0</v>
      </c>
      <c r="AJ556" s="42">
        <v>17</v>
      </c>
      <c r="AK556" s="38">
        <f t="shared" si="63"/>
        <v>17</v>
      </c>
      <c r="AL556" s="39">
        <f t="shared" si="64"/>
        <v>0</v>
      </c>
      <c r="AM556" s="39">
        <f t="shared" si="65"/>
        <v>0</v>
      </c>
      <c r="AO556" s="25" t="str">
        <f>_xlfn.XLOOKUP(F556,'TFS Details'!F:F,'TFS Details'!I:I)</f>
        <v>GEN AI - Solution Super Agent</v>
      </c>
      <c r="AP556" s="25" t="str">
        <f>_xlfn.XLOOKUP(AO556,'TFS Details'!I:I,'TFS Details'!AE:AE)</f>
        <v>pandidurai.ks</v>
      </c>
    </row>
    <row r="557" spans="1:42" ht="36">
      <c r="A557" s="24" t="str">
        <f>_xlfn.XLOOKUP(F557,'TFS Details'!F:F,'TFS Details'!D:D)</f>
        <v>Solution Super Agent</v>
      </c>
      <c r="B557" s="24" t="str">
        <f>_xlfn.XLOOKUP(F557,'TFS Details'!F:F,'TFS Details'!A:A)</f>
        <v>SSA_RFP_DLC Goal Based Agent</v>
      </c>
      <c r="C557" s="46">
        <f>_xlfn.XLOOKUP(F557,'TFS Details'!F:F,'TFS Details'!E:E)</f>
        <v>4472827</v>
      </c>
      <c r="D557" s="15" t="s">
        <v>38</v>
      </c>
      <c r="E557" s="239" t="s">
        <v>1291</v>
      </c>
      <c r="F557" s="72">
        <v>4472830</v>
      </c>
      <c r="G557" s="18" t="s">
        <v>1149</v>
      </c>
      <c r="H557" s="18" t="s">
        <v>1148</v>
      </c>
      <c r="I557" s="52" t="s">
        <v>1193</v>
      </c>
      <c r="J557" s="250" t="s">
        <v>18</v>
      </c>
      <c r="K557" s="58" t="s">
        <v>1292</v>
      </c>
      <c r="L557" s="16" t="s">
        <v>82</v>
      </c>
      <c r="M557" s="20" t="s">
        <v>311</v>
      </c>
      <c r="V557" s="17" t="s">
        <v>204</v>
      </c>
      <c r="W557" s="17" t="s">
        <v>204</v>
      </c>
      <c r="X557" s="17" t="s">
        <v>204</v>
      </c>
      <c r="Y557" s="17" t="s">
        <v>197</v>
      </c>
      <c r="Z557" s="71">
        <v>38</v>
      </c>
      <c r="AA557" s="71">
        <v>15</v>
      </c>
      <c r="AB557" s="71">
        <v>0</v>
      </c>
      <c r="AC557" s="71">
        <v>15</v>
      </c>
      <c r="AD557" s="69">
        <v>0.9</v>
      </c>
      <c r="AE557" s="69">
        <v>0.9</v>
      </c>
      <c r="AF557" s="25" t="str">
        <f>_xlfn.XLOOKUP(F557,'TFS Details'!F:F,'TFS Details'!H:H)</f>
        <v>Active</v>
      </c>
      <c r="AG557" s="42">
        <v>0</v>
      </c>
      <c r="AH557" s="42">
        <v>0</v>
      </c>
      <c r="AI557" s="42">
        <v>0</v>
      </c>
      <c r="AJ557" s="42">
        <v>15</v>
      </c>
      <c r="AK557" s="38">
        <f t="shared" si="63"/>
        <v>15</v>
      </c>
      <c r="AL557" s="39">
        <f t="shared" si="64"/>
        <v>0</v>
      </c>
      <c r="AM557" s="39">
        <f t="shared" si="65"/>
        <v>0</v>
      </c>
      <c r="AO557" s="25" t="str">
        <f>_xlfn.XLOOKUP(F557,'TFS Details'!F:F,'TFS Details'!I:I)</f>
        <v>GEN AI - Solution Super Agent</v>
      </c>
      <c r="AP557" s="25" t="str">
        <f>_xlfn.XLOOKUP(AO557,'TFS Details'!I:I,'TFS Details'!AE:AE)</f>
        <v>pandidurai.ks</v>
      </c>
    </row>
    <row r="558" spans="1:42" ht="36">
      <c r="A558" s="24" t="str">
        <f>_xlfn.XLOOKUP(F558,'TFS Details'!F:F,'TFS Details'!D:D)</f>
        <v>Solution Super Agent</v>
      </c>
      <c r="B558" s="24" t="str">
        <f>_xlfn.XLOOKUP(F558,'TFS Details'!F:F,'TFS Details'!A:A)</f>
        <v>SSA_RFP_DLC Goal Based Agent</v>
      </c>
      <c r="C558" s="46">
        <f>_xlfn.XLOOKUP(F558,'TFS Details'!F:F,'TFS Details'!E:E)</f>
        <v>4472827</v>
      </c>
      <c r="D558" s="15" t="s">
        <v>38</v>
      </c>
      <c r="E558" s="239" t="s">
        <v>1293</v>
      </c>
      <c r="F558" s="72">
        <v>4473194</v>
      </c>
      <c r="G558" s="18" t="s">
        <v>1149</v>
      </c>
      <c r="H558" s="18" t="s">
        <v>1148</v>
      </c>
      <c r="I558" s="52" t="s">
        <v>1193</v>
      </c>
      <c r="J558" s="250" t="s">
        <v>18</v>
      </c>
      <c r="K558" s="58" t="s">
        <v>1294</v>
      </c>
      <c r="L558" s="16" t="s">
        <v>82</v>
      </c>
      <c r="M558" s="20" t="s">
        <v>311</v>
      </c>
      <c r="V558" s="17" t="s">
        <v>204</v>
      </c>
      <c r="W558" s="17" t="s">
        <v>204</v>
      </c>
      <c r="X558" s="17" t="s">
        <v>204</v>
      </c>
      <c r="Y558" s="17" t="s">
        <v>197</v>
      </c>
      <c r="Z558" s="71">
        <v>38</v>
      </c>
      <c r="AA558" s="71">
        <v>17</v>
      </c>
      <c r="AB558" s="71">
        <v>0</v>
      </c>
      <c r="AC558" s="71">
        <v>17</v>
      </c>
      <c r="AD558" s="69">
        <v>0.8</v>
      </c>
      <c r="AE558" s="69">
        <v>0.7</v>
      </c>
      <c r="AF558" s="25" t="str">
        <f>_xlfn.XLOOKUP(F558,'TFS Details'!F:F,'TFS Details'!H:H)</f>
        <v>New</v>
      </c>
      <c r="AG558" s="42">
        <v>0</v>
      </c>
      <c r="AH558" s="42">
        <v>0</v>
      </c>
      <c r="AI558" s="42">
        <v>0</v>
      </c>
      <c r="AJ558" s="42">
        <v>17</v>
      </c>
      <c r="AK558" s="38">
        <f t="shared" si="63"/>
        <v>17</v>
      </c>
      <c r="AL558" s="39">
        <f t="shared" si="64"/>
        <v>0</v>
      </c>
      <c r="AM558" s="39">
        <f t="shared" si="65"/>
        <v>0</v>
      </c>
      <c r="AO558" s="25" t="str">
        <f>_xlfn.XLOOKUP(F558,'TFS Details'!F:F,'TFS Details'!I:I)</f>
        <v>GEN AI - Solution Super Agent</v>
      </c>
      <c r="AP558" s="25" t="str">
        <f>_xlfn.XLOOKUP(AO558,'TFS Details'!I:I,'TFS Details'!AE:AE)</f>
        <v>pandidurai.ks</v>
      </c>
    </row>
    <row r="559" spans="1:42" ht="24">
      <c r="A559" s="24" t="str">
        <f>_xlfn.XLOOKUP(F559,'TFS Details'!F:F,'TFS Details'!D:D)</f>
        <v>Solution Super Agent</v>
      </c>
      <c r="B559" s="24" t="str">
        <f>_xlfn.XLOOKUP(F559,'TFS Details'!F:F,'TFS Details'!A:A)</f>
        <v>SSA_RFP_DLC Goal Based Agent</v>
      </c>
      <c r="C559" s="46">
        <f>_xlfn.XLOOKUP(F559,'TFS Details'!F:F,'TFS Details'!E:E)</f>
        <v>4472827</v>
      </c>
      <c r="D559" s="15" t="s">
        <v>38</v>
      </c>
      <c r="E559" s="239" t="s">
        <v>1295</v>
      </c>
      <c r="F559" s="72">
        <v>4473683</v>
      </c>
      <c r="G559" s="18" t="s">
        <v>1096</v>
      </c>
      <c r="H559" s="18" t="s">
        <v>1095</v>
      </c>
      <c r="I559" s="52" t="s">
        <v>1206</v>
      </c>
      <c r="J559" s="250" t="s">
        <v>18</v>
      </c>
      <c r="K559" s="58" t="s">
        <v>1296</v>
      </c>
      <c r="L559" s="16" t="s">
        <v>82</v>
      </c>
      <c r="V559" s="17" t="s">
        <v>204</v>
      </c>
      <c r="W559" s="17" t="s">
        <v>204</v>
      </c>
      <c r="X559" s="17" t="s">
        <v>204</v>
      </c>
      <c r="Y559" s="17" t="s">
        <v>197</v>
      </c>
      <c r="Z559" s="71">
        <v>39</v>
      </c>
      <c r="AA559" s="71">
        <v>5</v>
      </c>
      <c r="AB559" s="71">
        <v>10</v>
      </c>
      <c r="AC559" s="71">
        <v>10</v>
      </c>
      <c r="AD559" s="69">
        <v>0.6</v>
      </c>
      <c r="AE559" s="69">
        <v>0.6</v>
      </c>
      <c r="AF559" s="25" t="str">
        <f>_xlfn.XLOOKUP(F559,'TFS Details'!F:F,'TFS Details'!H:H)</f>
        <v>New</v>
      </c>
      <c r="AG559" s="42">
        <v>0</v>
      </c>
      <c r="AH559" s="42">
        <v>0</v>
      </c>
      <c r="AI559" s="42">
        <v>0</v>
      </c>
      <c r="AJ559" s="42">
        <v>10</v>
      </c>
      <c r="AK559" s="38"/>
      <c r="AL559" s="39">
        <f t="shared" si="64"/>
        <v>0</v>
      </c>
      <c r="AM559" s="39">
        <f t="shared" si="65"/>
        <v>0</v>
      </c>
      <c r="AO559" s="25" t="str">
        <f>_xlfn.XLOOKUP(F559,'TFS Details'!F:F,'TFS Details'!I:I)</f>
        <v>GEN AI - Solution Super Agent</v>
      </c>
      <c r="AP559" s="25" t="str">
        <f>_xlfn.XLOOKUP(AO559,'TFS Details'!I:I,'TFS Details'!AE:AE)</f>
        <v>pandidurai.ks</v>
      </c>
    </row>
    <row r="560" spans="1:42" ht="36">
      <c r="A560" s="24" t="str">
        <f>_xlfn.XLOOKUP(F560,'TFS Details'!F:F,'TFS Details'!D:D)</f>
        <v>Solution Super Agent</v>
      </c>
      <c r="B560" s="24" t="str">
        <f>_xlfn.XLOOKUP(F560,'TFS Details'!F:F,'TFS Details'!A:A)</f>
        <v>SSA_RFP_DLC Goal Based Agent</v>
      </c>
      <c r="C560" s="46">
        <f>_xlfn.XLOOKUP(F560,'TFS Details'!F:F,'TFS Details'!E:E)</f>
        <v>4472827</v>
      </c>
      <c r="D560" s="15" t="s">
        <v>38</v>
      </c>
      <c r="E560" s="239" t="s">
        <v>1297</v>
      </c>
      <c r="F560" s="72">
        <v>4475272</v>
      </c>
      <c r="G560" s="18" t="s">
        <v>1096</v>
      </c>
      <c r="H560" s="18" t="s">
        <v>1095</v>
      </c>
      <c r="I560" s="52" t="s">
        <v>1206</v>
      </c>
      <c r="J560" s="250" t="s">
        <v>18</v>
      </c>
      <c r="K560" s="58" t="s">
        <v>1294</v>
      </c>
      <c r="L560" s="16" t="s">
        <v>82</v>
      </c>
      <c r="V560" s="17" t="s">
        <v>204</v>
      </c>
      <c r="W560" s="17" t="s">
        <v>204</v>
      </c>
      <c r="X560" s="17" t="s">
        <v>204</v>
      </c>
      <c r="Y560" s="17" t="s">
        <v>197</v>
      </c>
      <c r="Z560" s="71">
        <v>42</v>
      </c>
      <c r="AA560" s="71">
        <v>6</v>
      </c>
      <c r="AB560" s="71">
        <v>11</v>
      </c>
      <c r="AC560" s="71">
        <v>11</v>
      </c>
      <c r="AD560" s="69">
        <v>0.6</v>
      </c>
      <c r="AE560" s="69">
        <v>0.6</v>
      </c>
      <c r="AF560" s="25" t="str">
        <f>_xlfn.XLOOKUP(F560,'TFS Details'!F:F,'TFS Details'!H:H)</f>
        <v>Active</v>
      </c>
      <c r="AG560" s="42">
        <v>0</v>
      </c>
      <c r="AH560" s="42">
        <v>0</v>
      </c>
      <c r="AI560" s="42">
        <v>0</v>
      </c>
      <c r="AJ560" s="42">
        <v>11</v>
      </c>
      <c r="AK560" s="38"/>
      <c r="AL560" s="39">
        <f t="shared" si="64"/>
        <v>0</v>
      </c>
      <c r="AM560" s="39">
        <f t="shared" si="65"/>
        <v>0</v>
      </c>
      <c r="AO560" s="25" t="str">
        <f>_xlfn.XLOOKUP(F560,'TFS Details'!F:F,'TFS Details'!I:I)</f>
        <v>GEN AI - Solution Super Agent</v>
      </c>
      <c r="AP560" s="25" t="str">
        <f>_xlfn.XLOOKUP(AO560,'TFS Details'!I:I,'TFS Details'!AE:AE)</f>
        <v>pandidurai.ks</v>
      </c>
    </row>
    <row r="561" spans="1:42">
      <c r="A561" s="24" t="str">
        <f>_xlfn.XLOOKUP(F561,'TFS Details'!F:F,'TFS Details'!D:D)</f>
        <v>Gen AI</v>
      </c>
      <c r="B561" s="24" t="str">
        <f>_xlfn.XLOOKUP(F561,'TFS Details'!F:F,'TFS Details'!A:A)</f>
        <v>Retrospective Learnings - Opportunity Benchmarks</v>
      </c>
      <c r="C561" s="46">
        <f>_xlfn.XLOOKUP(F561,'TFS Details'!F:F,'TFS Details'!E:E)</f>
        <v>4223629</v>
      </c>
      <c r="D561" s="15" t="s">
        <v>38</v>
      </c>
      <c r="E561" s="239" t="s">
        <v>1298</v>
      </c>
      <c r="F561" s="72">
        <v>4475571</v>
      </c>
      <c r="G561" s="18" t="s">
        <v>1282</v>
      </c>
      <c r="H561" s="18"/>
      <c r="I561" s="18" t="s">
        <v>1283</v>
      </c>
      <c r="J561" s="250" t="s">
        <v>20</v>
      </c>
      <c r="K561" s="58" t="s">
        <v>1299</v>
      </c>
      <c r="O561" s="273">
        <v>0.06</v>
      </c>
      <c r="V561" s="17" t="s">
        <v>204</v>
      </c>
      <c r="W561" s="17" t="s">
        <v>197</v>
      </c>
      <c r="X561" s="17" t="s">
        <v>197</v>
      </c>
      <c r="Y561" s="17" t="s">
        <v>197</v>
      </c>
      <c r="AF561" s="25" t="str">
        <f>_xlfn.XLOOKUP(F561,'TFS Details'!F:F,'TFS Details'!H:H)</f>
        <v>Active</v>
      </c>
      <c r="AG561" s="42">
        <v>0</v>
      </c>
      <c r="AH561" s="42">
        <v>0</v>
      </c>
      <c r="AI561" s="42">
        <v>0</v>
      </c>
      <c r="AJ561" s="42">
        <v>0</v>
      </c>
      <c r="AK561" s="38">
        <f t="shared" si="63"/>
        <v>0</v>
      </c>
      <c r="AL561" s="39">
        <f t="shared" si="64"/>
        <v>0</v>
      </c>
      <c r="AM561" s="39">
        <f t="shared" si="65"/>
        <v>0</v>
      </c>
      <c r="AO561" s="25" t="str">
        <f>_xlfn.XLOOKUP(F561,'TFS Details'!F:F,'TFS Details'!I:I)</f>
        <v>GEN AI - Solution Super Agent</v>
      </c>
      <c r="AP561" s="25" t="str">
        <f>_xlfn.XLOOKUP(AO561,'TFS Details'!I:I,'TFS Details'!AE:AE)</f>
        <v>pandidurai.ks</v>
      </c>
    </row>
    <row r="562" spans="1:42" ht="24">
      <c r="A562" s="24" t="str">
        <f>_xlfn.XLOOKUP(F562,'TFS Details'!F:F,'TFS Details'!D:D)</f>
        <v>Gen AI</v>
      </c>
      <c r="B562" s="24" t="str">
        <f>_xlfn.XLOOKUP(F562,'TFS Details'!F:F,'TFS Details'!A:A)</f>
        <v>Retrospective Learnings - Opportunity Benchmarks</v>
      </c>
      <c r="C562" s="46">
        <f>_xlfn.XLOOKUP(F562,'TFS Details'!F:F,'TFS Details'!E:E)</f>
        <v>4223629</v>
      </c>
      <c r="D562" s="15" t="s">
        <v>38</v>
      </c>
      <c r="E562" s="239" t="s">
        <v>1300</v>
      </c>
      <c r="F562" s="72">
        <v>4475587</v>
      </c>
      <c r="G562" s="18" t="s">
        <v>1282</v>
      </c>
      <c r="H562" s="18"/>
      <c r="I562" s="18" t="s">
        <v>1283</v>
      </c>
      <c r="J562" s="250" t="s">
        <v>18</v>
      </c>
      <c r="K562" s="58" t="s">
        <v>1301</v>
      </c>
      <c r="L562" s="16" t="s">
        <v>1244</v>
      </c>
      <c r="V562" s="17" t="s">
        <v>204</v>
      </c>
      <c r="W562" s="17" t="s">
        <v>197</v>
      </c>
      <c r="X562" s="17" t="s">
        <v>197</v>
      </c>
      <c r="Y562" s="17" t="s">
        <v>197</v>
      </c>
      <c r="AF562" s="25" t="str">
        <f>_xlfn.XLOOKUP(F562,'TFS Details'!F:F,'TFS Details'!H:H)</f>
        <v>New</v>
      </c>
      <c r="AG562" s="42">
        <v>0</v>
      </c>
      <c r="AH562" s="42">
        <v>0</v>
      </c>
      <c r="AI562" s="42">
        <v>0</v>
      </c>
      <c r="AJ562" s="42">
        <v>0</v>
      </c>
      <c r="AK562" s="38">
        <f t="shared" si="63"/>
        <v>0</v>
      </c>
      <c r="AL562" s="39">
        <f t="shared" si="64"/>
        <v>0</v>
      </c>
      <c r="AM562" s="39">
        <f t="shared" si="65"/>
        <v>0</v>
      </c>
      <c r="AO562" s="25" t="str">
        <f>_xlfn.XLOOKUP(F562,'TFS Details'!F:F,'TFS Details'!I:I)</f>
        <v>QDI - Opportunity Metrics</v>
      </c>
      <c r="AP562" s="25" t="str">
        <f>_xlfn.XLOOKUP(AO562,'TFS Details'!I:I,'TFS Details'!AE:AE)</f>
        <v>n.d.krishnakumar</v>
      </c>
    </row>
    <row r="563" spans="1:42">
      <c r="A563" s="24" t="str">
        <f>_xlfn.XLOOKUP(F563,'TFS Details'!F:F,'TFS Details'!D:D)</f>
        <v>Solution Super Agent</v>
      </c>
      <c r="B563" s="24" t="str">
        <f>_xlfn.XLOOKUP(F563,'TFS Details'!F:F,'TFS Details'!A:A)</f>
        <v>SSA_RFP_DLC Goal Based Agent</v>
      </c>
      <c r="C563" s="46">
        <f>_xlfn.XLOOKUP(F563,'TFS Details'!F:F,'TFS Details'!E:E)</f>
        <v>4472827</v>
      </c>
      <c r="D563" s="15" t="s">
        <v>38</v>
      </c>
      <c r="E563" s="239" t="s">
        <v>1302</v>
      </c>
      <c r="F563" s="72">
        <v>4475823</v>
      </c>
      <c r="G563" s="18" t="s">
        <v>1134</v>
      </c>
      <c r="H563" s="18" t="s">
        <v>1133</v>
      </c>
      <c r="I563" s="52" t="s">
        <v>65</v>
      </c>
      <c r="J563" s="250" t="s">
        <v>1</v>
      </c>
      <c r="M563" s="20" t="s">
        <v>461</v>
      </c>
      <c r="O563" s="273">
        <v>0.1</v>
      </c>
      <c r="P563" s="171">
        <v>1</v>
      </c>
      <c r="Q563" s="171">
        <v>0</v>
      </c>
      <c r="R563" s="171">
        <v>1</v>
      </c>
      <c r="S563" s="171">
        <v>1</v>
      </c>
      <c r="T563" s="33">
        <v>0.05</v>
      </c>
      <c r="U563" s="33">
        <v>0.02</v>
      </c>
      <c r="V563" s="17" t="s">
        <v>204</v>
      </c>
      <c r="W563" s="17" t="s">
        <v>204</v>
      </c>
      <c r="X563" s="17" t="s">
        <v>204</v>
      </c>
      <c r="Y563" s="17" t="s">
        <v>197</v>
      </c>
      <c r="Z563" s="71">
        <v>27</v>
      </c>
      <c r="AA563" s="71">
        <v>0</v>
      </c>
      <c r="AB563" s="71">
        <v>23</v>
      </c>
      <c r="AC563" s="71">
        <v>23</v>
      </c>
      <c r="AD563" s="249">
        <v>0.1</v>
      </c>
      <c r="AE563" s="33">
        <v>0.05</v>
      </c>
      <c r="AF563" s="25" t="str">
        <f>_xlfn.XLOOKUP(F563,'TFS Details'!F:F,'TFS Details'!H:H)</f>
        <v>Active</v>
      </c>
      <c r="AG563" s="42">
        <v>0</v>
      </c>
      <c r="AH563" s="42">
        <v>0</v>
      </c>
      <c r="AI563" s="42">
        <v>0</v>
      </c>
      <c r="AJ563" s="38">
        <v>23</v>
      </c>
      <c r="AK563" s="260">
        <f>SUM(AG563:AJ563)</f>
        <v>23</v>
      </c>
      <c r="AL563" s="39">
        <f>IF(AG563+AH563=0,0,SUM(AG563:AH563)/AK563)</f>
        <v>0</v>
      </c>
      <c r="AM563" s="39">
        <f t="shared" si="65"/>
        <v>0</v>
      </c>
      <c r="AO563" s="25" t="str">
        <f>_xlfn.XLOOKUP(F563,'TFS Details'!F:F,'TFS Details'!I:I)</f>
        <v>GEN AI - Solution Super Agent</v>
      </c>
      <c r="AP563" s="25" t="str">
        <f>_xlfn.XLOOKUP(AO563,'TFS Details'!I:I,'TFS Details'!AE:AE)</f>
        <v>pandidurai.ks</v>
      </c>
    </row>
    <row r="564" spans="1:42">
      <c r="A564" s="24" t="str">
        <f>_xlfn.XLOOKUP(F564,'TFS Details'!F:F,'TFS Details'!D:D)</f>
        <v>Solution Super Agent</v>
      </c>
      <c r="B564" s="24" t="str">
        <f>_xlfn.XLOOKUP(F564,'TFS Details'!F:F,'TFS Details'!A:A)</f>
        <v>SSA_RFP_DLC Goal Based Agent</v>
      </c>
      <c r="C564" s="46">
        <f>_xlfn.XLOOKUP(F564,'TFS Details'!F:F,'TFS Details'!E:E)</f>
        <v>4472827</v>
      </c>
      <c r="D564" s="258" t="s">
        <v>38</v>
      </c>
      <c r="E564" s="239" t="s">
        <v>1303</v>
      </c>
      <c r="F564" s="72">
        <v>4475827</v>
      </c>
      <c r="G564" s="18" t="s">
        <v>1134</v>
      </c>
      <c r="H564" s="18" t="s">
        <v>1133</v>
      </c>
      <c r="I564" s="52" t="s">
        <v>65</v>
      </c>
      <c r="J564" s="250" t="s">
        <v>1</v>
      </c>
      <c r="M564" s="20" t="s">
        <v>461</v>
      </c>
      <c r="O564" s="273">
        <v>0.1</v>
      </c>
      <c r="P564" s="171">
        <v>1</v>
      </c>
      <c r="Q564" s="171">
        <v>0</v>
      </c>
      <c r="R564" s="171">
        <v>1</v>
      </c>
      <c r="S564" s="171">
        <v>1</v>
      </c>
      <c r="T564" s="33">
        <v>0.05</v>
      </c>
      <c r="U564" s="33">
        <v>0.02</v>
      </c>
      <c r="V564" s="17" t="s">
        <v>204</v>
      </c>
      <c r="W564" s="17" t="s">
        <v>204</v>
      </c>
      <c r="X564" s="17" t="s">
        <v>204</v>
      </c>
      <c r="Y564" s="17" t="s">
        <v>197</v>
      </c>
      <c r="Z564" s="71">
        <v>48</v>
      </c>
      <c r="AA564" s="71">
        <v>0</v>
      </c>
      <c r="AB564" s="71">
        <v>22</v>
      </c>
      <c r="AC564" s="71">
        <v>22</v>
      </c>
      <c r="AD564" s="249">
        <v>0.1</v>
      </c>
      <c r="AE564" s="33">
        <v>0.05</v>
      </c>
      <c r="AF564" s="25" t="str">
        <f>_xlfn.XLOOKUP(F564,'TFS Details'!F:F,'TFS Details'!H:H)</f>
        <v>Active</v>
      </c>
      <c r="AG564" s="42">
        <v>0</v>
      </c>
      <c r="AH564" s="42">
        <v>0</v>
      </c>
      <c r="AI564" s="42">
        <v>0</v>
      </c>
      <c r="AJ564" s="42">
        <v>22</v>
      </c>
      <c r="AK564" s="38">
        <f t="shared" si="63"/>
        <v>22</v>
      </c>
      <c r="AL564" s="39">
        <f t="shared" si="64"/>
        <v>0</v>
      </c>
      <c r="AM564" s="39">
        <f t="shared" si="65"/>
        <v>0</v>
      </c>
      <c r="AO564" s="25" t="str">
        <f>_xlfn.XLOOKUP(F564,'TFS Details'!F:F,'TFS Details'!I:I)</f>
        <v>GEN AI - Solution Super Agent</v>
      </c>
      <c r="AP564" s="25" t="str">
        <f>_xlfn.XLOOKUP(AO564,'TFS Details'!I:I,'TFS Details'!AE:AE)</f>
        <v>pandidurai.ks</v>
      </c>
    </row>
    <row r="565" spans="1:42" ht="24">
      <c r="A565" s="24" t="str">
        <f>_xlfn.XLOOKUP(F565,'TFS Details'!F:F,'TFS Details'!D:D)</f>
        <v>Solution Super Agent</v>
      </c>
      <c r="B565" s="24" t="str">
        <f>_xlfn.XLOOKUP(F565,'TFS Details'!F:F,'TFS Details'!A:A)</f>
        <v>SSA_RFP_DLC Goal Based Agent</v>
      </c>
      <c r="C565" s="46">
        <f>_xlfn.XLOOKUP(F565,'TFS Details'!F:F,'TFS Details'!E:E)</f>
        <v>4472827</v>
      </c>
      <c r="D565" s="258" t="s">
        <v>38</v>
      </c>
      <c r="E565" s="239" t="s">
        <v>1304</v>
      </c>
      <c r="F565" s="72">
        <v>4475909</v>
      </c>
      <c r="G565" s="18" t="s">
        <v>1109</v>
      </c>
      <c r="H565" s="18" t="s">
        <v>1100</v>
      </c>
      <c r="I565" s="52" t="s">
        <v>1144</v>
      </c>
      <c r="J565" s="250" t="s">
        <v>18</v>
      </c>
      <c r="K565" s="58" t="s">
        <v>1305</v>
      </c>
      <c r="L565" s="16" t="s">
        <v>56</v>
      </c>
      <c r="V565" s="17" t="s">
        <v>216</v>
      </c>
      <c r="W565" s="17" t="s">
        <v>197</v>
      </c>
      <c r="X565" s="17" t="s">
        <v>197</v>
      </c>
      <c r="Y565" s="17" t="s">
        <v>197</v>
      </c>
      <c r="Z565" s="71">
        <v>38</v>
      </c>
      <c r="AF565" s="25" t="str">
        <f>_xlfn.XLOOKUP(F565,'TFS Details'!F:F,'TFS Details'!H:H)</f>
        <v>New</v>
      </c>
      <c r="AG565" s="42">
        <v>0</v>
      </c>
      <c r="AH565" s="42">
        <v>0</v>
      </c>
      <c r="AI565" s="42">
        <v>0</v>
      </c>
      <c r="AJ565" s="42">
        <v>4</v>
      </c>
      <c r="AK565" s="38">
        <f t="shared" si="63"/>
        <v>4</v>
      </c>
      <c r="AL565" s="39">
        <f t="shared" si="64"/>
        <v>0</v>
      </c>
      <c r="AM565" s="39">
        <f t="shared" si="65"/>
        <v>0</v>
      </c>
      <c r="AO565" s="25" t="str">
        <f>_xlfn.XLOOKUP(F565,'TFS Details'!F:F,'TFS Details'!I:I)</f>
        <v>GEN AI - Solution Super Agent</v>
      </c>
      <c r="AP565" s="25" t="str">
        <f>_xlfn.XLOOKUP(AO565,'TFS Details'!I:I,'TFS Details'!AE:AE)</f>
        <v>pandidurai.ks</v>
      </c>
    </row>
    <row r="566" spans="1:42">
      <c r="A566" s="24" t="str">
        <f>_xlfn.XLOOKUP(F566,'TFS Details'!F:F,'TFS Details'!D:D)</f>
        <v>GEN AI</v>
      </c>
      <c r="B566" s="24" t="str">
        <f>_xlfn.XLOOKUP(F566,'TFS Details'!F:F,'TFS Details'!A:A)</f>
        <v>Umasking the Benchmark Opportunity and Demographics details in OBM</v>
      </c>
      <c r="C566" s="46">
        <f>_xlfn.XLOOKUP(F566,'TFS Details'!F:F,'TFS Details'!E:E)</f>
        <v>4476840</v>
      </c>
      <c r="D566" s="15" t="s">
        <v>38</v>
      </c>
      <c r="E566" s="239" t="s">
        <v>1306</v>
      </c>
      <c r="F566" s="72">
        <v>4476698</v>
      </c>
      <c r="G566" s="18" t="s">
        <v>1282</v>
      </c>
      <c r="H566" s="18"/>
      <c r="I566" s="18" t="s">
        <v>1283</v>
      </c>
      <c r="J566" s="250" t="s">
        <v>20</v>
      </c>
      <c r="K566" s="58" t="s">
        <v>1307</v>
      </c>
      <c r="O566" s="273">
        <v>0.06</v>
      </c>
      <c r="V566" s="17" t="s">
        <v>204</v>
      </c>
      <c r="W566" s="17" t="s">
        <v>197</v>
      </c>
      <c r="X566" s="17" t="s">
        <v>197</v>
      </c>
      <c r="Y566" s="17" t="s">
        <v>197</v>
      </c>
      <c r="AF566" s="25" t="str">
        <f>_xlfn.XLOOKUP(F566,'TFS Details'!F:F,'TFS Details'!H:H)</f>
        <v>New</v>
      </c>
      <c r="AG566" s="42">
        <v>0</v>
      </c>
      <c r="AH566" s="42">
        <v>0</v>
      </c>
      <c r="AI566" s="42">
        <v>0</v>
      </c>
      <c r="AJ566" s="42">
        <v>0</v>
      </c>
      <c r="AK566" s="38">
        <f t="shared" si="63"/>
        <v>0</v>
      </c>
      <c r="AL566" s="39">
        <f t="shared" si="64"/>
        <v>0</v>
      </c>
      <c r="AM566" s="39">
        <f t="shared" si="65"/>
        <v>0</v>
      </c>
      <c r="AO566" s="25" t="str">
        <f>_xlfn.XLOOKUP(F566,'TFS Details'!F:F,'TFS Details'!I:I)</f>
        <v>QDI - Opportunity Metrics</v>
      </c>
      <c r="AP566" s="25" t="str">
        <f>_xlfn.XLOOKUP(AO566,'TFS Details'!I:I,'TFS Details'!AE:AE)</f>
        <v>n.d.krishnakumar</v>
      </c>
    </row>
    <row r="567" spans="1:42">
      <c r="A567" s="24" t="str">
        <f>_xlfn.XLOOKUP(F567,'TFS Details'!F:F,'TFS Details'!D:D)</f>
        <v>GEN AI</v>
      </c>
      <c r="B567" s="24" t="str">
        <f>_xlfn.XLOOKUP(F567,'TFS Details'!F:F,'TFS Details'!A:A)</f>
        <v>Umasking the Benchmark Opportunity and Demographics details in OBM</v>
      </c>
      <c r="C567" s="46">
        <f>_xlfn.XLOOKUP(F567,'TFS Details'!F:F,'TFS Details'!E:E)</f>
        <v>4476840</v>
      </c>
      <c r="D567" s="15" t="s">
        <v>38</v>
      </c>
      <c r="E567" s="239" t="s">
        <v>1308</v>
      </c>
      <c r="F567" s="72">
        <v>4477040</v>
      </c>
      <c r="G567" s="18" t="s">
        <v>1282</v>
      </c>
      <c r="H567" s="18"/>
      <c r="I567" s="18" t="s">
        <v>1283</v>
      </c>
      <c r="J567" s="250" t="s">
        <v>20</v>
      </c>
      <c r="K567" s="58" t="s">
        <v>1307</v>
      </c>
      <c r="O567" s="273">
        <v>0.06</v>
      </c>
      <c r="V567" s="17" t="s">
        <v>204</v>
      </c>
      <c r="W567" s="17" t="s">
        <v>197</v>
      </c>
      <c r="X567" s="17" t="s">
        <v>197</v>
      </c>
      <c r="Y567" s="17" t="s">
        <v>197</v>
      </c>
      <c r="AF567" s="25" t="str">
        <f>_xlfn.XLOOKUP(F567,'TFS Details'!F:F,'TFS Details'!H:H)</f>
        <v>New</v>
      </c>
      <c r="AG567" s="42">
        <v>0</v>
      </c>
      <c r="AH567" s="42">
        <v>0</v>
      </c>
      <c r="AI567" s="42">
        <v>0</v>
      </c>
      <c r="AJ567" s="42">
        <v>0</v>
      </c>
      <c r="AK567" s="38">
        <f t="shared" si="63"/>
        <v>0</v>
      </c>
      <c r="AL567" s="39">
        <f t="shared" si="64"/>
        <v>0</v>
      </c>
      <c r="AM567" s="39">
        <f t="shared" si="65"/>
        <v>0</v>
      </c>
      <c r="AO567" s="25" t="str">
        <f>_xlfn.XLOOKUP(F567,'TFS Details'!F:F,'TFS Details'!I:I)</f>
        <v>QDI - Opportunity Metrics</v>
      </c>
      <c r="AP567" s="25" t="str">
        <f>_xlfn.XLOOKUP(AO567,'TFS Details'!I:I,'TFS Details'!AE:AE)</f>
        <v>n.d.krishnakumar</v>
      </c>
    </row>
    <row r="568" spans="1:42">
      <c r="A568" s="24" t="str">
        <f>_xlfn.XLOOKUP(F568,'TFS Details'!F:F,'TFS Details'!D:D)</f>
        <v>Solution Super Agent</v>
      </c>
      <c r="B568" s="24" t="str">
        <f>_xlfn.XLOOKUP(F568,'TFS Details'!F:F,'TFS Details'!A:A)</f>
        <v>SSA_RFP_DLC Goal Based Agent</v>
      </c>
      <c r="C568" s="46">
        <f>_xlfn.XLOOKUP(F568,'TFS Details'!F:F,'TFS Details'!E:E)</f>
        <v>4472827</v>
      </c>
      <c r="D568" s="15" t="s">
        <v>38</v>
      </c>
      <c r="E568" s="239" t="s">
        <v>1309</v>
      </c>
      <c r="F568" s="72">
        <v>4480695</v>
      </c>
      <c r="G568" s="18" t="s">
        <v>222</v>
      </c>
      <c r="H568" s="18"/>
      <c r="I568" s="18" t="s">
        <v>224</v>
      </c>
      <c r="J568" s="250"/>
      <c r="O568" s="273"/>
      <c r="V568" s="17" t="s">
        <v>197</v>
      </c>
      <c r="W568" s="17" t="s">
        <v>197</v>
      </c>
      <c r="X568" s="17" t="s">
        <v>197</v>
      </c>
      <c r="Y568" s="17" t="s">
        <v>197</v>
      </c>
      <c r="AF568" s="25" t="str">
        <f>_xlfn.XLOOKUP(F568,'TFS Details'!F:F,'TFS Details'!H:H)</f>
        <v>Active</v>
      </c>
      <c r="AG568" s="42">
        <v>0</v>
      </c>
      <c r="AH568" s="42">
        <v>0</v>
      </c>
      <c r="AI568" s="42">
        <v>0</v>
      </c>
      <c r="AJ568" s="42">
        <v>0</v>
      </c>
      <c r="AK568" s="38">
        <f>SUM(AG568:AJ568)</f>
        <v>0</v>
      </c>
      <c r="AL568" s="39">
        <f>IF(AG568+AH568=0,0,SUM(AG568:AH568)/AK568)</f>
        <v>0</v>
      </c>
      <c r="AM568" s="39">
        <f>IF(AG568=0,0,AG568/(SUM(AG568:AI568)))</f>
        <v>0</v>
      </c>
      <c r="AO568" s="25" t="str">
        <f>_xlfn.XLOOKUP(F568,'TFS Details'!F:F,'TFS Details'!I:I)</f>
        <v>GEN AI - Solution Super Agent</v>
      </c>
      <c r="AP568" s="25" t="str">
        <f>_xlfn.XLOOKUP(AO568,'TFS Details'!I:I,'TFS Details'!AE:AE)</f>
        <v>pandidurai.ks</v>
      </c>
    </row>
    <row r="569" spans="1:42">
      <c r="A569" s="24" t="str">
        <f>_xlfn.XLOOKUP(F569,'TFS Details'!F:F,'TFS Details'!D:D)</f>
        <v>Impact of Productivity&amp;Impacted Screens_Employee&amp;HR _E2E_(EmpSupport &amp; WFDA)_Test Only_Part 2</v>
      </c>
      <c r="B569" s="24" t="str">
        <f>_xlfn.XLOOKUP(F569,'TFS Details'!F:F,'TFS Details'!A:A)</f>
        <v>FY26 [BPMS BAU] - Productivity Updates - Employee and HR</v>
      </c>
      <c r="C569" s="46">
        <f>_xlfn.XLOOKUP(F569,'TFS Details'!F:F,'TFS Details'!E:E)</f>
        <v>4386636</v>
      </c>
      <c r="D569" s="17" t="s">
        <v>64</v>
      </c>
      <c r="E569" s="139" t="s">
        <v>1310</v>
      </c>
      <c r="F569" s="72">
        <v>4451501</v>
      </c>
      <c r="G569" s="18" t="s">
        <v>1311</v>
      </c>
      <c r="H569" s="106" t="s">
        <v>665</v>
      </c>
      <c r="I569" s="52"/>
      <c r="J569" s="250" t="s">
        <v>18</v>
      </c>
      <c r="K569" s="16" t="s">
        <v>66</v>
      </c>
      <c r="L569" s="16" t="s">
        <v>66</v>
      </c>
      <c r="M569" s="20" t="s">
        <v>461</v>
      </c>
      <c r="V569" s="17" t="s">
        <v>197</v>
      </c>
      <c r="W569" s="234" t="s">
        <v>204</v>
      </c>
      <c r="X569" s="17" t="s">
        <v>197</v>
      </c>
      <c r="Y569" s="17" t="s">
        <v>197</v>
      </c>
      <c r="AF569" s="25" t="str">
        <f>_xlfn.XLOOKUP(F569,'TFS Details'!F:F,'TFS Details'!H:H)</f>
        <v>Ready for UAT</v>
      </c>
      <c r="AG569" s="42">
        <v>0</v>
      </c>
      <c r="AH569" s="42">
        <v>0</v>
      </c>
      <c r="AI569" s="42">
        <v>0</v>
      </c>
      <c r="AJ569" s="42">
        <v>0</v>
      </c>
      <c r="AK569" s="38">
        <f t="shared" si="54"/>
        <v>0</v>
      </c>
      <c r="AL569" s="39">
        <f t="shared" si="55"/>
        <v>0</v>
      </c>
      <c r="AM569" s="39">
        <f t="shared" si="56"/>
        <v>0</v>
      </c>
      <c r="AO569" s="25" t="str">
        <f>_xlfn.XLOOKUP(F569,'TFS Details'!F:F,'TFS Details'!I:I)</f>
        <v>Pinocchio</v>
      </c>
      <c r="AP569" s="25" t="str">
        <f>_xlfn.XLOOKUP(AO569,'TFS Details'!I:I,'TFS Details'!AE:AE)</f>
        <v>m.ohlan</v>
      </c>
    </row>
    <row r="570" spans="1:42">
      <c r="A570" s="24" t="str">
        <f>_xlfn.XLOOKUP(F570,'TFS Details'!F:F,'TFS Details'!D:D)</f>
        <v>FY26 [BPMS BAU] - Impact of Productivity&amp;Impacted Screens_Case Management__Test Only_Part 2</v>
      </c>
      <c r="B570" s="24" t="str">
        <f>_xlfn.XLOOKUP(F570,'TFS Details'!F:F,'TFS Details'!A:A)</f>
        <v>FY26 [BPMS BAU] - Productivity Updates - Employee and HR</v>
      </c>
      <c r="C570" s="46">
        <f>_xlfn.XLOOKUP(F570,'TFS Details'!F:F,'TFS Details'!E:E)</f>
        <v>4386636</v>
      </c>
      <c r="D570" s="17" t="s">
        <v>64</v>
      </c>
      <c r="E570" s="139" t="s">
        <v>1312</v>
      </c>
      <c r="F570" s="72">
        <v>4451544</v>
      </c>
      <c r="G570" s="18" t="s">
        <v>1313</v>
      </c>
      <c r="H570" s="106" t="s">
        <v>665</v>
      </c>
      <c r="I570" s="52"/>
      <c r="J570" s="250" t="s">
        <v>18</v>
      </c>
      <c r="K570" s="16" t="s">
        <v>66</v>
      </c>
      <c r="L570" s="16" t="s">
        <v>66</v>
      </c>
      <c r="M570" s="20" t="s">
        <v>461</v>
      </c>
      <c r="V570" s="17" t="s">
        <v>197</v>
      </c>
      <c r="W570" s="234" t="s">
        <v>204</v>
      </c>
      <c r="X570" s="17" t="s">
        <v>197</v>
      </c>
      <c r="Y570" s="17" t="s">
        <v>197</v>
      </c>
      <c r="AF570" s="25" t="str">
        <f>_xlfn.XLOOKUP(F570,'TFS Details'!F:F,'TFS Details'!H:H)</f>
        <v>Ready for UAT</v>
      </c>
      <c r="AG570" s="42">
        <v>0</v>
      </c>
      <c r="AH570" s="42">
        <v>0</v>
      </c>
      <c r="AI570" s="42">
        <v>0</v>
      </c>
      <c r="AJ570" s="42">
        <v>0</v>
      </c>
      <c r="AK570" s="38">
        <f t="shared" si="54"/>
        <v>0</v>
      </c>
      <c r="AL570" s="39">
        <f t="shared" si="55"/>
        <v>0</v>
      </c>
      <c r="AM570" s="39">
        <f t="shared" si="56"/>
        <v>0</v>
      </c>
      <c r="AO570" s="25" t="str">
        <f>_xlfn.XLOOKUP(F570,'TFS Details'!F:F,'TFS Details'!I:I)</f>
        <v>Pinocchio</v>
      </c>
      <c r="AP570" s="25" t="str">
        <f>_xlfn.XLOOKUP(AO570,'TFS Details'!I:I,'TFS Details'!AE:AE)</f>
        <v>m.ohlan</v>
      </c>
    </row>
    <row r="571" spans="1:42">
      <c r="A571" s="24" t="str">
        <f>_xlfn.XLOOKUP(F571,'TFS Details'!F:F,'TFS Details'!D:D)</f>
        <v>Validate Productivity Dashboard Reflects Updated Values_Talent_Services</v>
      </c>
      <c r="B571" s="24" t="str">
        <f>_xlfn.XLOOKUP(F571,'TFS Details'!F:F,'TFS Details'!A:A)</f>
        <v>FY26 [BPMS BAU] - Productivity Updates - Talent Services</v>
      </c>
      <c r="C571" s="46">
        <f>_xlfn.XLOOKUP(F571,'TFS Details'!F:F,'TFS Details'!E:E)</f>
        <v>4436246</v>
      </c>
      <c r="D571" s="17" t="s">
        <v>64</v>
      </c>
      <c r="E571" s="139" t="s">
        <v>1314</v>
      </c>
      <c r="F571" s="72">
        <v>4444378</v>
      </c>
      <c r="G571" s="18" t="s">
        <v>1311</v>
      </c>
      <c r="H571" s="106" t="s">
        <v>665</v>
      </c>
      <c r="I571" s="52"/>
      <c r="J571" s="250" t="s">
        <v>18</v>
      </c>
      <c r="K571" s="16" t="s">
        <v>66</v>
      </c>
      <c r="L571" s="16" t="s">
        <v>66</v>
      </c>
      <c r="M571" s="20" t="s">
        <v>461</v>
      </c>
      <c r="V571" s="17" t="s">
        <v>197</v>
      </c>
      <c r="W571" s="234" t="s">
        <v>204</v>
      </c>
      <c r="X571" s="17" t="s">
        <v>197</v>
      </c>
      <c r="Y571" s="17" t="s">
        <v>197</v>
      </c>
      <c r="AF571" s="25" t="str">
        <f>_xlfn.XLOOKUP(F571,'TFS Details'!F:F,'TFS Details'!H:H)</f>
        <v>Ready for UAT</v>
      </c>
      <c r="AG571" s="42">
        <v>0</v>
      </c>
      <c r="AH571" s="42">
        <v>0</v>
      </c>
      <c r="AI571" s="42">
        <v>0</v>
      </c>
      <c r="AJ571" s="42">
        <v>0</v>
      </c>
      <c r="AK571" s="38">
        <f t="shared" si="54"/>
        <v>0</v>
      </c>
      <c r="AL571" s="39">
        <f t="shared" si="55"/>
        <v>0</v>
      </c>
      <c r="AM571" s="39">
        <f t="shared" si="56"/>
        <v>0</v>
      </c>
      <c r="AO571" s="25" t="str">
        <f>_xlfn.XLOOKUP(F571,'TFS Details'!F:F,'TFS Details'!I:I)</f>
        <v>Pinocchio</v>
      </c>
      <c r="AP571" s="25" t="str">
        <f>_xlfn.XLOOKUP(AO571,'TFS Details'!I:I,'TFS Details'!AE:AE)</f>
        <v>m.ohlan</v>
      </c>
    </row>
    <row r="572" spans="1:42">
      <c r="A572" s="24" t="str">
        <f>_xlfn.XLOOKUP(F572,'TFS Details'!F:F,'TFS Details'!D:D)</f>
        <v>Validate Pyramid Details, GDC, and Reports Reflect Updated Productivity_Talent_Services</v>
      </c>
      <c r="B572" s="24" t="str">
        <f>_xlfn.XLOOKUP(F572,'TFS Details'!F:F,'TFS Details'!A:A)</f>
        <v>FY26 [BPMS BAU] - Productivity Updates - Talent Services</v>
      </c>
      <c r="C572" s="46">
        <f>_xlfn.XLOOKUP(F572,'TFS Details'!F:F,'TFS Details'!E:E)</f>
        <v>4436246</v>
      </c>
      <c r="D572" s="17" t="s">
        <v>64</v>
      </c>
      <c r="E572" s="139" t="s">
        <v>1315</v>
      </c>
      <c r="F572" s="72">
        <v>4444380</v>
      </c>
      <c r="G572" s="18" t="s">
        <v>1313</v>
      </c>
      <c r="H572" s="106" t="s">
        <v>665</v>
      </c>
      <c r="I572" s="52"/>
      <c r="J572" s="250" t="s">
        <v>18</v>
      </c>
      <c r="K572" s="16" t="s">
        <v>66</v>
      </c>
      <c r="L572" s="16" t="s">
        <v>66</v>
      </c>
      <c r="M572" s="20" t="s">
        <v>311</v>
      </c>
      <c r="V572" s="17" t="s">
        <v>197</v>
      </c>
      <c r="W572" s="234" t="s">
        <v>204</v>
      </c>
      <c r="X572" s="17" t="s">
        <v>197</v>
      </c>
      <c r="Y572" s="17" t="s">
        <v>197</v>
      </c>
      <c r="AF572" s="25" t="str">
        <f>_xlfn.XLOOKUP(F572,'TFS Details'!F:F,'TFS Details'!H:H)</f>
        <v>Ready for UAT</v>
      </c>
      <c r="AG572" s="42">
        <v>0</v>
      </c>
      <c r="AH572" s="42">
        <v>0</v>
      </c>
      <c r="AI572" s="42">
        <v>0</v>
      </c>
      <c r="AJ572" s="42">
        <v>0</v>
      </c>
      <c r="AK572" s="38">
        <f t="shared" si="54"/>
        <v>0</v>
      </c>
      <c r="AL572" s="39">
        <f t="shared" si="55"/>
        <v>0</v>
      </c>
      <c r="AM572" s="39">
        <f t="shared" si="56"/>
        <v>0</v>
      </c>
      <c r="AO572" s="25" t="str">
        <f>_xlfn.XLOOKUP(F572,'TFS Details'!F:F,'TFS Details'!I:I)</f>
        <v>Pinocchio</v>
      </c>
      <c r="AP572" s="25" t="str">
        <f>_xlfn.XLOOKUP(AO572,'TFS Details'!I:I,'TFS Details'!AE:AE)</f>
        <v>m.ohlan</v>
      </c>
    </row>
    <row r="573" spans="1:42">
      <c r="A573" s="24" t="str">
        <f>_xlfn.XLOOKUP(F573,'TFS Details'!F:F,'TFS Details'!D:D)</f>
        <v>New Service Component Onboarding_Talent_Services_Learning Experience and Pathways</v>
      </c>
      <c r="B573" s="24" t="str">
        <f>_xlfn.XLOOKUP(F573,'TFS Details'!F:F,'TFS Details'!A:A)</f>
        <v>FY26 [BPMS BAU] - Productivity Updates - Talent Services</v>
      </c>
      <c r="C573" s="46">
        <f>_xlfn.XLOOKUP(F573,'TFS Details'!F:F,'TFS Details'!E:E)</f>
        <v>4436246</v>
      </c>
      <c r="D573" s="17" t="s">
        <v>64</v>
      </c>
      <c r="E573" s="139" t="s">
        <v>1316</v>
      </c>
      <c r="F573" s="72">
        <v>4436250</v>
      </c>
      <c r="G573" s="17" t="s">
        <v>1317</v>
      </c>
      <c r="H573" s="106" t="s">
        <v>665</v>
      </c>
      <c r="I573" s="52"/>
      <c r="J573" s="250" t="s">
        <v>18</v>
      </c>
      <c r="K573" s="16" t="s">
        <v>66</v>
      </c>
      <c r="L573" s="16" t="s">
        <v>66</v>
      </c>
      <c r="M573" s="20" t="s">
        <v>461</v>
      </c>
      <c r="V573" s="17" t="s">
        <v>197</v>
      </c>
      <c r="W573" s="234" t="s">
        <v>204</v>
      </c>
      <c r="X573" s="17" t="s">
        <v>197</v>
      </c>
      <c r="Y573" s="17" t="s">
        <v>197</v>
      </c>
      <c r="AF573" s="25" t="str">
        <f>_xlfn.XLOOKUP(F573,'TFS Details'!F:F,'TFS Details'!H:H)</f>
        <v>Ready for UAT</v>
      </c>
      <c r="AG573" s="42">
        <v>0</v>
      </c>
      <c r="AH573" s="42">
        <v>0</v>
      </c>
      <c r="AI573" s="42">
        <v>0</v>
      </c>
      <c r="AJ573" s="42">
        <v>0</v>
      </c>
      <c r="AK573" s="38">
        <f t="shared" ref="AK573:AK595" si="66">SUM(AG573:AJ573)</f>
        <v>0</v>
      </c>
      <c r="AL573" s="39">
        <f t="shared" ref="AL573:AL595" si="67">IF(AG573+AH573=0,0,SUM(AG573:AH573)/AK573)</f>
        <v>0</v>
      </c>
      <c r="AM573" s="39">
        <f t="shared" ref="AM573:AM595" si="68">IF(AG573=0,0,AG573/(SUM(AG573:AI573)))</f>
        <v>0</v>
      </c>
      <c r="AO573" s="25" t="str">
        <f>_xlfn.XLOOKUP(F573,'TFS Details'!F:F,'TFS Details'!I:I)</f>
        <v>Pinocchio</v>
      </c>
      <c r="AP573" s="25" t="str">
        <f>_xlfn.XLOOKUP(AO573,'TFS Details'!I:I,'TFS Details'!AE:AE)</f>
        <v>m.ohlan</v>
      </c>
    </row>
    <row r="574" spans="1:42">
      <c r="A574" s="24" t="str">
        <f>_xlfn.XLOOKUP(F574,'TFS Details'!F:F,'TFS Details'!D:D)</f>
        <v xml:space="preserve"> Introduction of new tools_System Generated_Manual and Retention of Foundational Tools for Employee HR_Talent_Part2</v>
      </c>
      <c r="B574" s="24" t="str">
        <f>_xlfn.XLOOKUP(F574,'TFS Details'!F:F,'TFS Details'!A:A)</f>
        <v>FY26 [BPMS BAU] - Productivity Updates - Talent Services</v>
      </c>
      <c r="C574" s="46">
        <f>_xlfn.XLOOKUP(F574,'TFS Details'!F:F,'TFS Details'!E:E)</f>
        <v>4436246</v>
      </c>
      <c r="D574" s="17" t="s">
        <v>64</v>
      </c>
      <c r="E574" s="139" t="s">
        <v>1318</v>
      </c>
      <c r="F574" s="72">
        <v>4387265</v>
      </c>
      <c r="G574" s="18" t="s">
        <v>1311</v>
      </c>
      <c r="H574" s="106" t="s">
        <v>665</v>
      </c>
      <c r="I574" s="52"/>
      <c r="J574" s="250" t="s">
        <v>18</v>
      </c>
      <c r="K574" s="16" t="s">
        <v>66</v>
      </c>
      <c r="L574" s="16" t="s">
        <v>66</v>
      </c>
      <c r="M574" s="20" t="s">
        <v>461</v>
      </c>
      <c r="V574" s="17" t="s">
        <v>197</v>
      </c>
      <c r="W574" s="234" t="s">
        <v>204</v>
      </c>
      <c r="X574" s="17" t="s">
        <v>197</v>
      </c>
      <c r="Y574" s="17" t="s">
        <v>197</v>
      </c>
      <c r="AF574" s="25" t="str">
        <f>_xlfn.XLOOKUP(F574,'TFS Details'!F:F,'TFS Details'!H:H)</f>
        <v>PT In Test</v>
      </c>
      <c r="AG574" s="42">
        <v>0</v>
      </c>
      <c r="AH574" s="42">
        <v>0</v>
      </c>
      <c r="AI574" s="42">
        <v>0</v>
      </c>
      <c r="AJ574" s="42">
        <v>0</v>
      </c>
      <c r="AK574" s="38">
        <f t="shared" si="66"/>
        <v>0</v>
      </c>
      <c r="AL574" s="39">
        <f t="shared" si="67"/>
        <v>0</v>
      </c>
      <c r="AM574" s="39">
        <f t="shared" si="68"/>
        <v>0</v>
      </c>
      <c r="AO574" s="25" t="str">
        <f>_xlfn.XLOOKUP(F574,'TFS Details'!F:F,'TFS Details'!I:I)</f>
        <v>Pinocchio</v>
      </c>
      <c r="AP574" s="25" t="str">
        <f>_xlfn.XLOOKUP(AO574,'TFS Details'!I:I,'TFS Details'!AE:AE)</f>
        <v>m.ohlan</v>
      </c>
    </row>
    <row r="575" spans="1:42">
      <c r="A575" s="24" t="str">
        <f>_xlfn.XLOOKUP(F575,'TFS Details'!F:F,'TFS Details'!D:D)</f>
        <v>Introduction of new tools_System Generated_Manual and Retention of Foundational Tools for Employee HR_Talent_Part1</v>
      </c>
      <c r="B575" s="24" t="str">
        <f>_xlfn.XLOOKUP(F575,'TFS Details'!F:F,'TFS Details'!A:A)</f>
        <v>FY26 [BPMS BAU] - Productivity Updates - Talent Services</v>
      </c>
      <c r="C575" s="46">
        <f>_xlfn.XLOOKUP(F575,'TFS Details'!F:F,'TFS Details'!E:E)</f>
        <v>4436246</v>
      </c>
      <c r="D575" s="17" t="s">
        <v>64</v>
      </c>
      <c r="E575" s="139" t="s">
        <v>1319</v>
      </c>
      <c r="F575" s="72">
        <v>4444286</v>
      </c>
      <c r="G575" s="17" t="s">
        <v>1317</v>
      </c>
      <c r="H575" s="106" t="s">
        <v>665</v>
      </c>
      <c r="I575" s="52"/>
      <c r="J575" s="250" t="s">
        <v>18</v>
      </c>
      <c r="K575" s="16" t="s">
        <v>66</v>
      </c>
      <c r="L575" s="16" t="s">
        <v>66</v>
      </c>
      <c r="M575" s="20" t="s">
        <v>311</v>
      </c>
      <c r="V575" s="17" t="s">
        <v>197</v>
      </c>
      <c r="W575" s="234" t="s">
        <v>204</v>
      </c>
      <c r="X575" s="17" t="s">
        <v>197</v>
      </c>
      <c r="Y575" s="17" t="s">
        <v>197</v>
      </c>
      <c r="AF575" s="25" t="str">
        <f>_xlfn.XLOOKUP(F575,'TFS Details'!F:F,'TFS Details'!H:H)</f>
        <v>PT In Test</v>
      </c>
      <c r="AG575" s="42">
        <v>0</v>
      </c>
      <c r="AH575" s="42">
        <v>0</v>
      </c>
      <c r="AI575" s="42">
        <v>0</v>
      </c>
      <c r="AJ575" s="42">
        <v>0</v>
      </c>
      <c r="AK575" s="38">
        <f t="shared" si="66"/>
        <v>0</v>
      </c>
      <c r="AL575" s="39">
        <f t="shared" si="67"/>
        <v>0</v>
      </c>
      <c r="AM575" s="39">
        <f t="shared" si="68"/>
        <v>0</v>
      </c>
      <c r="AO575" s="25" t="str">
        <f>_xlfn.XLOOKUP(F575,'TFS Details'!F:F,'TFS Details'!I:I)</f>
        <v>Pinocchio</v>
      </c>
      <c r="AP575" s="25" t="str">
        <f>_xlfn.XLOOKUP(AO575,'TFS Details'!I:I,'TFS Details'!AE:AE)</f>
        <v>m.ohlan</v>
      </c>
    </row>
    <row r="576" spans="1:42">
      <c r="A576" s="24" t="str">
        <f>_xlfn.XLOOKUP(F576,'TFS Details'!F:F,'TFS Details'!D:D)</f>
        <v>May Release</v>
      </c>
      <c r="B576" s="24" t="str">
        <f>_xlfn.XLOOKUP(F576,'TFS Details'!F:F,'TFS Details'!A:A)</f>
        <v>IMS BAU - Multi Tower Pricing (OCP for SI)</v>
      </c>
      <c r="C576" s="46">
        <f>_xlfn.XLOOKUP(F576,'TFS Details'!F:F,'TFS Details'!E:E)</f>
        <v>4459024</v>
      </c>
      <c r="D576" s="17" t="s">
        <v>78</v>
      </c>
      <c r="E576" s="139" t="s">
        <v>1320</v>
      </c>
      <c r="F576" s="72">
        <v>4449701</v>
      </c>
      <c r="G576" s="18" t="s">
        <v>1321</v>
      </c>
      <c r="H576" s="106" t="s">
        <v>665</v>
      </c>
      <c r="I576" s="52"/>
      <c r="J576" s="250" t="s">
        <v>18</v>
      </c>
      <c r="K576" s="58" t="s">
        <v>40</v>
      </c>
      <c r="L576" s="58" t="s">
        <v>40</v>
      </c>
      <c r="V576" s="17" t="s">
        <v>197</v>
      </c>
      <c r="W576" s="234" t="s">
        <v>204</v>
      </c>
      <c r="X576" s="17" t="s">
        <v>197</v>
      </c>
      <c r="Y576" s="17" t="s">
        <v>197</v>
      </c>
      <c r="AF576" s="25" t="str">
        <f>_xlfn.XLOOKUP(F576,'TFS Details'!F:F,'TFS Details'!H:H)</f>
        <v>PT In Test</v>
      </c>
      <c r="AG576" s="42">
        <v>0</v>
      </c>
      <c r="AH576" s="42">
        <v>0</v>
      </c>
      <c r="AI576" s="42">
        <v>0</v>
      </c>
      <c r="AJ576" s="42">
        <v>0</v>
      </c>
      <c r="AK576" s="38">
        <f t="shared" si="66"/>
        <v>0</v>
      </c>
      <c r="AL576" s="39">
        <f t="shared" si="67"/>
        <v>0</v>
      </c>
      <c r="AM576" s="39">
        <f t="shared" si="68"/>
        <v>0</v>
      </c>
      <c r="AO576" s="25" t="str">
        <f>_xlfn.XLOOKUP(F576,'TFS Details'!F:F,'TFS Details'!I:I)</f>
        <v>myISP_IMS</v>
      </c>
      <c r="AP576" s="25" t="str">
        <f>_xlfn.XLOOKUP(AO576,'TFS Details'!I:I,'TFS Details'!AE:AE)</f>
        <v>supriya.a.dhingra</v>
      </c>
    </row>
    <row r="577" spans="1:42">
      <c r="A577" s="24" t="str">
        <f>_xlfn.XLOOKUP(F577,'TFS Details'!F:F,'TFS Details'!D:D)</f>
        <v>May Release</v>
      </c>
      <c r="B577" s="24" t="str">
        <f>_xlfn.XLOOKUP(F577,'TFS Details'!F:F,'TFS Details'!A:A)</f>
        <v>IMS BAU - Multi Tower Pricing (OCP for SI)</v>
      </c>
      <c r="C577" s="46">
        <f>_xlfn.XLOOKUP(F577,'TFS Details'!F:F,'TFS Details'!E:E)</f>
        <v>4459024</v>
      </c>
      <c r="D577" s="17" t="s">
        <v>78</v>
      </c>
      <c r="E577" s="139" t="s">
        <v>1322</v>
      </c>
      <c r="F577" s="72">
        <v>4449702</v>
      </c>
      <c r="G577" s="18" t="s">
        <v>1321</v>
      </c>
      <c r="H577" s="106" t="s">
        <v>665</v>
      </c>
      <c r="I577" s="52"/>
      <c r="J577" s="250" t="s">
        <v>18</v>
      </c>
      <c r="K577" s="58" t="s">
        <v>40</v>
      </c>
      <c r="L577" s="58" t="s">
        <v>40</v>
      </c>
      <c r="V577" s="17" t="s">
        <v>197</v>
      </c>
      <c r="W577" s="234" t="s">
        <v>204</v>
      </c>
      <c r="X577" s="17" t="s">
        <v>197</v>
      </c>
      <c r="Y577" s="17" t="s">
        <v>197</v>
      </c>
      <c r="AF577" s="25" t="str">
        <f>_xlfn.XLOOKUP(F577,'TFS Details'!F:F,'TFS Details'!H:H)</f>
        <v>PT In Test</v>
      </c>
      <c r="AG577" s="42">
        <v>0</v>
      </c>
      <c r="AH577" s="42">
        <v>0</v>
      </c>
      <c r="AI577" s="42">
        <v>0</v>
      </c>
      <c r="AJ577" s="42">
        <v>0</v>
      </c>
      <c r="AK577" s="38">
        <f t="shared" si="66"/>
        <v>0</v>
      </c>
      <c r="AL577" s="39">
        <f t="shared" si="67"/>
        <v>0</v>
      </c>
      <c r="AM577" s="39">
        <f t="shared" si="68"/>
        <v>0</v>
      </c>
      <c r="AO577" s="25" t="str">
        <f>_xlfn.XLOOKUP(F577,'TFS Details'!F:F,'TFS Details'!I:I)</f>
        <v>myISP_IMS</v>
      </c>
      <c r="AP577" s="25" t="str">
        <f>_xlfn.XLOOKUP(AO577,'TFS Details'!I:I,'TFS Details'!AE:AE)</f>
        <v>supriya.a.dhingra</v>
      </c>
    </row>
    <row r="578" spans="1:42">
      <c r="A578" s="24" t="str">
        <f>_xlfn.XLOOKUP(F578,'TFS Details'!F:F,'TFS Details'!D:D)</f>
        <v>May Release</v>
      </c>
      <c r="B578" s="24" t="str">
        <f>_xlfn.XLOOKUP(F578,'TFS Details'!F:F,'TFS Details'!A:A)</f>
        <v>IMS BAU - Multi Tower Pricing (OCP for SI)</v>
      </c>
      <c r="C578" s="46">
        <f>_xlfn.XLOOKUP(F578,'TFS Details'!F:F,'TFS Details'!E:E)</f>
        <v>4459024</v>
      </c>
      <c r="D578" s="17" t="s">
        <v>78</v>
      </c>
      <c r="E578" s="139" t="s">
        <v>1323</v>
      </c>
      <c r="F578" s="72">
        <v>4449703</v>
      </c>
      <c r="G578" s="18" t="s">
        <v>1321</v>
      </c>
      <c r="H578" s="106" t="s">
        <v>665</v>
      </c>
      <c r="I578" s="52"/>
      <c r="J578" s="250" t="s">
        <v>18</v>
      </c>
      <c r="K578" s="58" t="s">
        <v>40</v>
      </c>
      <c r="L578" s="58" t="s">
        <v>40</v>
      </c>
      <c r="V578" s="17" t="s">
        <v>197</v>
      </c>
      <c r="W578" s="234" t="s">
        <v>204</v>
      </c>
      <c r="X578" s="17" t="s">
        <v>197</v>
      </c>
      <c r="Y578" s="17" t="s">
        <v>197</v>
      </c>
      <c r="AF578" s="25" t="str">
        <f>_xlfn.XLOOKUP(F578,'TFS Details'!F:F,'TFS Details'!H:H)</f>
        <v>PT In Test</v>
      </c>
      <c r="AG578" s="42">
        <v>0</v>
      </c>
      <c r="AH578" s="42">
        <v>0</v>
      </c>
      <c r="AI578" s="42">
        <v>0</v>
      </c>
      <c r="AJ578" s="42">
        <v>0</v>
      </c>
      <c r="AK578" s="38">
        <f t="shared" si="66"/>
        <v>0</v>
      </c>
      <c r="AL578" s="39">
        <f t="shared" si="67"/>
        <v>0</v>
      </c>
      <c r="AM578" s="39">
        <f t="shared" si="68"/>
        <v>0</v>
      </c>
      <c r="AO578" s="25" t="str">
        <f>_xlfn.XLOOKUP(F578,'TFS Details'!F:F,'TFS Details'!I:I)</f>
        <v>myISP_IMS</v>
      </c>
      <c r="AP578" s="25" t="str">
        <f>_xlfn.XLOOKUP(AO578,'TFS Details'!I:I,'TFS Details'!AE:AE)</f>
        <v>supriya.a.dhingra</v>
      </c>
    </row>
    <row r="579" spans="1:42">
      <c r="A579" s="24" t="str">
        <f>_xlfn.XLOOKUP(F579,'TFS Details'!F:F,'TFS Details'!D:D)</f>
        <v>May Release</v>
      </c>
      <c r="B579" s="24" t="str">
        <f>_xlfn.XLOOKUP(F579,'TFS Details'!F:F,'TFS Details'!A:A)</f>
        <v>IMS BAU - Multi Tower Pricing (OCP for SI)</v>
      </c>
      <c r="C579" s="46">
        <f>_xlfn.XLOOKUP(F579,'TFS Details'!F:F,'TFS Details'!E:E)</f>
        <v>4459024</v>
      </c>
      <c r="D579" s="17" t="s">
        <v>78</v>
      </c>
      <c r="E579" s="139" t="s">
        <v>1324</v>
      </c>
      <c r="F579" s="72">
        <v>4449704</v>
      </c>
      <c r="G579" s="18" t="s">
        <v>1321</v>
      </c>
      <c r="H579" s="106" t="s">
        <v>665</v>
      </c>
      <c r="I579" s="52"/>
      <c r="J579" s="250" t="s">
        <v>18</v>
      </c>
      <c r="K579" s="58" t="s">
        <v>40</v>
      </c>
      <c r="L579" s="58" t="s">
        <v>40</v>
      </c>
      <c r="V579" s="17" t="s">
        <v>197</v>
      </c>
      <c r="W579" s="234" t="s">
        <v>204</v>
      </c>
      <c r="X579" s="17" t="s">
        <v>197</v>
      </c>
      <c r="Y579" s="17" t="s">
        <v>197</v>
      </c>
      <c r="AF579" s="25" t="str">
        <f>_xlfn.XLOOKUP(F579,'TFS Details'!F:F,'TFS Details'!H:H)</f>
        <v>PT In Test</v>
      </c>
      <c r="AG579" s="42">
        <v>0</v>
      </c>
      <c r="AH579" s="42">
        <v>0</v>
      </c>
      <c r="AI579" s="42">
        <v>0</v>
      </c>
      <c r="AJ579" s="42">
        <v>0</v>
      </c>
      <c r="AK579" s="38">
        <f t="shared" si="66"/>
        <v>0</v>
      </c>
      <c r="AL579" s="39">
        <f t="shared" si="67"/>
        <v>0</v>
      </c>
      <c r="AM579" s="39">
        <f t="shared" si="68"/>
        <v>0</v>
      </c>
      <c r="AO579" s="25" t="str">
        <f>_xlfn.XLOOKUP(F579,'TFS Details'!F:F,'TFS Details'!I:I)</f>
        <v>myISP_IMS</v>
      </c>
      <c r="AP579" s="25" t="str">
        <f>_xlfn.XLOOKUP(AO579,'TFS Details'!I:I,'TFS Details'!AE:AE)</f>
        <v>supriya.a.dhingra</v>
      </c>
    </row>
    <row r="580" spans="1:42">
      <c r="A580" s="24" t="str">
        <f>_xlfn.XLOOKUP(F580,'TFS Details'!F:F,'TFS Details'!D:D)</f>
        <v>May Release</v>
      </c>
      <c r="B580" s="24" t="str">
        <f>_xlfn.XLOOKUP(F580,'TFS Details'!F:F,'TFS Details'!A:A)</f>
        <v>IMS BAU - Multi Tower Pricing (OCP for SI)</v>
      </c>
      <c r="C580" s="46">
        <f>_xlfn.XLOOKUP(F580,'TFS Details'!F:F,'TFS Details'!E:E)</f>
        <v>4459024</v>
      </c>
      <c r="D580" s="17" t="s">
        <v>78</v>
      </c>
      <c r="E580" s="139" t="s">
        <v>1325</v>
      </c>
      <c r="F580" s="72">
        <v>4449705</v>
      </c>
      <c r="G580" s="18" t="s">
        <v>1321</v>
      </c>
      <c r="H580" s="106" t="s">
        <v>665</v>
      </c>
      <c r="I580" s="52"/>
      <c r="J580" s="250" t="s">
        <v>18</v>
      </c>
      <c r="K580" s="58" t="s">
        <v>40</v>
      </c>
      <c r="L580" s="58" t="s">
        <v>40</v>
      </c>
      <c r="V580" s="17" t="s">
        <v>197</v>
      </c>
      <c r="W580" s="234" t="s">
        <v>204</v>
      </c>
      <c r="X580" s="17" t="s">
        <v>197</v>
      </c>
      <c r="Y580" s="17" t="s">
        <v>197</v>
      </c>
      <c r="AF580" s="25" t="str">
        <f>_xlfn.XLOOKUP(F580,'TFS Details'!F:F,'TFS Details'!H:H)</f>
        <v>PT In Test</v>
      </c>
      <c r="AG580" s="42">
        <v>0</v>
      </c>
      <c r="AH580" s="42">
        <v>0</v>
      </c>
      <c r="AI580" s="42">
        <v>0</v>
      </c>
      <c r="AJ580" s="42">
        <v>0</v>
      </c>
      <c r="AK580" s="38">
        <f t="shared" si="66"/>
        <v>0</v>
      </c>
      <c r="AL580" s="39">
        <f t="shared" si="67"/>
        <v>0</v>
      </c>
      <c r="AM580" s="39">
        <f t="shared" si="68"/>
        <v>0</v>
      </c>
      <c r="AO580" s="25" t="str">
        <f>_xlfn.XLOOKUP(F580,'TFS Details'!F:F,'TFS Details'!I:I)</f>
        <v>myISP_IMS</v>
      </c>
      <c r="AP580" s="25" t="str">
        <f>_xlfn.XLOOKUP(AO580,'TFS Details'!I:I,'TFS Details'!AE:AE)</f>
        <v>supriya.a.dhingra</v>
      </c>
    </row>
    <row r="581" spans="1:42">
      <c r="A581" s="24" t="str">
        <f>_xlfn.XLOOKUP(F581,'TFS Details'!F:F,'TFS Details'!D:D)</f>
        <v>May Release</v>
      </c>
      <c r="B581" s="24" t="str">
        <f>_xlfn.XLOOKUP(F581,'TFS Details'!F:F,'TFS Details'!A:A)</f>
        <v>IMS BAU - Multi Tower Pricing (OCP for SI)</v>
      </c>
      <c r="C581" s="46">
        <f>_xlfn.XLOOKUP(F581,'TFS Details'!F:F,'TFS Details'!E:E)</f>
        <v>4459024</v>
      </c>
      <c r="D581" s="17" t="s">
        <v>78</v>
      </c>
      <c r="E581" s="139" t="s">
        <v>1326</v>
      </c>
      <c r="F581" s="72">
        <v>4449706</v>
      </c>
      <c r="G581" s="18" t="s">
        <v>1321</v>
      </c>
      <c r="H581" s="106" t="s">
        <v>665</v>
      </c>
      <c r="I581" s="52"/>
      <c r="J581" s="250" t="s">
        <v>18</v>
      </c>
      <c r="K581" s="58" t="s">
        <v>40</v>
      </c>
      <c r="L581" s="58" t="s">
        <v>40</v>
      </c>
      <c r="V581" s="17" t="s">
        <v>197</v>
      </c>
      <c r="W581" s="234" t="s">
        <v>204</v>
      </c>
      <c r="X581" s="17" t="s">
        <v>197</v>
      </c>
      <c r="Y581" s="17" t="s">
        <v>197</v>
      </c>
      <c r="AF581" s="25" t="str">
        <f>_xlfn.XLOOKUP(F581,'TFS Details'!F:F,'TFS Details'!H:H)</f>
        <v>PT In Test</v>
      </c>
      <c r="AG581" s="42">
        <v>0</v>
      </c>
      <c r="AH581" s="42">
        <v>0</v>
      </c>
      <c r="AI581" s="42">
        <v>0</v>
      </c>
      <c r="AJ581" s="42">
        <v>0</v>
      </c>
      <c r="AK581" s="38">
        <f t="shared" si="66"/>
        <v>0</v>
      </c>
      <c r="AL581" s="39">
        <f t="shared" si="67"/>
        <v>0</v>
      </c>
      <c r="AM581" s="39">
        <f t="shared" si="68"/>
        <v>0</v>
      </c>
      <c r="AO581" s="25" t="str">
        <f>_xlfn.XLOOKUP(F581,'TFS Details'!F:F,'TFS Details'!I:I)</f>
        <v>myISP_IMS</v>
      </c>
      <c r="AP581" s="25" t="str">
        <f>_xlfn.XLOOKUP(AO581,'TFS Details'!I:I,'TFS Details'!AE:AE)</f>
        <v>supriya.a.dhingra</v>
      </c>
    </row>
    <row r="582" spans="1:42">
      <c r="A582" s="24" t="str">
        <f>_xlfn.XLOOKUP(F582,'TFS Details'!F:F,'TFS Details'!D:D)</f>
        <v>May Release</v>
      </c>
      <c r="B582" s="24" t="str">
        <f>_xlfn.XLOOKUP(F582,'TFS Details'!F:F,'TFS Details'!A:A)</f>
        <v>IMS BAU - Multi Tower Pricing (OCP for SI)</v>
      </c>
      <c r="C582" s="46">
        <f>_xlfn.XLOOKUP(F582,'TFS Details'!F:F,'TFS Details'!E:E)</f>
        <v>4459024</v>
      </c>
      <c r="D582" s="17" t="s">
        <v>78</v>
      </c>
      <c r="E582" s="139" t="s">
        <v>1327</v>
      </c>
      <c r="F582" s="72">
        <v>4449707</v>
      </c>
      <c r="G582" s="18" t="s">
        <v>1321</v>
      </c>
      <c r="H582" s="106" t="s">
        <v>665</v>
      </c>
      <c r="I582" s="52"/>
      <c r="J582" s="250" t="s">
        <v>18</v>
      </c>
      <c r="K582" s="58" t="s">
        <v>40</v>
      </c>
      <c r="L582" s="58" t="s">
        <v>40</v>
      </c>
      <c r="V582" s="17" t="s">
        <v>197</v>
      </c>
      <c r="W582" s="234" t="s">
        <v>204</v>
      </c>
      <c r="X582" s="17" t="s">
        <v>197</v>
      </c>
      <c r="Y582" s="17" t="s">
        <v>197</v>
      </c>
      <c r="AF582" s="25" t="str">
        <f>_xlfn.XLOOKUP(F582,'TFS Details'!F:F,'TFS Details'!H:H)</f>
        <v>PT In Test</v>
      </c>
      <c r="AG582" s="42">
        <v>0</v>
      </c>
      <c r="AH582" s="42">
        <v>0</v>
      </c>
      <c r="AI582" s="42">
        <v>0</v>
      </c>
      <c r="AJ582" s="42">
        <v>0</v>
      </c>
      <c r="AK582" s="38">
        <f t="shared" si="66"/>
        <v>0</v>
      </c>
      <c r="AL582" s="39">
        <f t="shared" si="67"/>
        <v>0</v>
      </c>
      <c r="AM582" s="39">
        <f t="shared" si="68"/>
        <v>0</v>
      </c>
      <c r="AO582" s="25" t="str">
        <f>_xlfn.XLOOKUP(F582,'TFS Details'!F:F,'TFS Details'!I:I)</f>
        <v>myISP_IMS</v>
      </c>
      <c r="AP582" s="25" t="str">
        <f>_xlfn.XLOOKUP(AO582,'TFS Details'!I:I,'TFS Details'!AE:AE)</f>
        <v>supriya.a.dhingra</v>
      </c>
    </row>
    <row r="583" spans="1:42">
      <c r="A583" s="24" t="str">
        <f>_xlfn.XLOOKUP(F583,'TFS Details'!F:F,'TFS Details'!D:D)</f>
        <v>May Release</v>
      </c>
      <c r="B583" s="24" t="str">
        <f>_xlfn.XLOOKUP(F583,'TFS Details'!F:F,'TFS Details'!A:A)</f>
        <v>IMS BAU - Multi Tower Pricing (OCP for SI)</v>
      </c>
      <c r="C583" s="46">
        <f>_xlfn.XLOOKUP(F583,'TFS Details'!F:F,'TFS Details'!E:E)</f>
        <v>4459024</v>
      </c>
      <c r="D583" s="17" t="s">
        <v>78</v>
      </c>
      <c r="E583" s="139" t="s">
        <v>1328</v>
      </c>
      <c r="F583" s="72">
        <v>4449708</v>
      </c>
      <c r="G583" s="18" t="s">
        <v>1321</v>
      </c>
      <c r="H583" s="106" t="s">
        <v>665</v>
      </c>
      <c r="I583" s="52"/>
      <c r="J583" s="250" t="s">
        <v>18</v>
      </c>
      <c r="K583" s="58" t="s">
        <v>40</v>
      </c>
      <c r="L583" s="58" t="s">
        <v>40</v>
      </c>
      <c r="V583" s="17" t="s">
        <v>197</v>
      </c>
      <c r="W583" s="234" t="s">
        <v>204</v>
      </c>
      <c r="X583" s="17" t="s">
        <v>197</v>
      </c>
      <c r="Y583" s="17" t="s">
        <v>197</v>
      </c>
      <c r="AF583" s="25" t="str">
        <f>_xlfn.XLOOKUP(F583,'TFS Details'!F:F,'TFS Details'!H:H)</f>
        <v>PT In Test</v>
      </c>
      <c r="AG583" s="42">
        <v>0</v>
      </c>
      <c r="AH583" s="42">
        <v>0</v>
      </c>
      <c r="AI583" s="42">
        <v>0</v>
      </c>
      <c r="AJ583" s="42">
        <v>0</v>
      </c>
      <c r="AK583" s="38">
        <f t="shared" si="66"/>
        <v>0</v>
      </c>
      <c r="AL583" s="39">
        <f t="shared" si="67"/>
        <v>0</v>
      </c>
      <c r="AM583" s="39">
        <f t="shared" si="68"/>
        <v>0</v>
      </c>
      <c r="AO583" s="25" t="str">
        <f>_xlfn.XLOOKUP(F583,'TFS Details'!F:F,'TFS Details'!I:I)</f>
        <v>myISP_IMS</v>
      </c>
      <c r="AP583" s="25" t="str">
        <f>_xlfn.XLOOKUP(AO583,'TFS Details'!I:I,'TFS Details'!AE:AE)</f>
        <v>supriya.a.dhingra</v>
      </c>
    </row>
    <row r="584" spans="1:42">
      <c r="A584" s="24" t="str">
        <f>_xlfn.XLOOKUP(F584,'TFS Details'!F:F,'TFS Details'!D:D)</f>
        <v>May Release</v>
      </c>
      <c r="B584" s="24" t="str">
        <f>_xlfn.XLOOKUP(F584,'TFS Details'!F:F,'TFS Details'!A:A)</f>
        <v>MDA personalization</v>
      </c>
      <c r="C584" s="46">
        <f>_xlfn.XLOOKUP(F584,'TFS Details'!F:F,'TFS Details'!E:E)</f>
        <v>4278295</v>
      </c>
      <c r="D584" s="17" t="s">
        <v>78</v>
      </c>
      <c r="E584" s="139" t="s">
        <v>1329</v>
      </c>
      <c r="F584" s="72">
        <v>4449709</v>
      </c>
      <c r="G584" s="18" t="s">
        <v>1321</v>
      </c>
      <c r="H584" s="106" t="s">
        <v>665</v>
      </c>
      <c r="I584" s="52"/>
      <c r="J584" s="250" t="s">
        <v>18</v>
      </c>
      <c r="K584" s="58" t="s">
        <v>40</v>
      </c>
      <c r="L584" s="58" t="s">
        <v>40</v>
      </c>
      <c r="V584" s="17" t="s">
        <v>197</v>
      </c>
      <c r="W584" s="234" t="s">
        <v>204</v>
      </c>
      <c r="X584" s="17" t="s">
        <v>197</v>
      </c>
      <c r="Y584" s="17" t="s">
        <v>197</v>
      </c>
      <c r="AF584" s="25" t="str">
        <f>_xlfn.XLOOKUP(F584,'TFS Details'!F:F,'TFS Details'!H:H)</f>
        <v>PT In Test</v>
      </c>
      <c r="AG584" s="42">
        <v>0</v>
      </c>
      <c r="AH584" s="42">
        <v>0</v>
      </c>
      <c r="AI584" s="42">
        <v>0</v>
      </c>
      <c r="AJ584" s="42">
        <v>0</v>
      </c>
      <c r="AK584" s="38">
        <f t="shared" si="66"/>
        <v>0</v>
      </c>
      <c r="AL584" s="39">
        <f t="shared" si="67"/>
        <v>0</v>
      </c>
      <c r="AM584" s="39">
        <f t="shared" si="68"/>
        <v>0</v>
      </c>
      <c r="AO584" s="25" t="str">
        <f>_xlfn.XLOOKUP(F584,'TFS Details'!F:F,'TFS Details'!I:I)</f>
        <v>myISP_IMS</v>
      </c>
      <c r="AP584" s="25" t="str">
        <f>_xlfn.XLOOKUP(AO584,'TFS Details'!I:I,'TFS Details'!AE:AE)</f>
        <v>supriya.a.dhingra</v>
      </c>
    </row>
    <row r="585" spans="1:42">
      <c r="A585" s="24" t="str">
        <f>_xlfn.XLOOKUP(F585,'TFS Details'!F:F,'TFS Details'!D:D)</f>
        <v>May Release</v>
      </c>
      <c r="B585" s="24" t="str">
        <f>_xlfn.XLOOKUP(F585,'TFS Details'!F:F,'TFS Details'!A:A)</f>
        <v>IMS BAU - Change Requests</v>
      </c>
      <c r="C585" s="46">
        <f>_xlfn.XLOOKUP(F585,'TFS Details'!F:F,'TFS Details'!E:E)</f>
        <v>4386339</v>
      </c>
      <c r="D585" s="17" t="s">
        <v>78</v>
      </c>
      <c r="E585" s="139" t="s">
        <v>1330</v>
      </c>
      <c r="F585" s="72">
        <v>4450101</v>
      </c>
      <c r="G585" s="18" t="s">
        <v>1321</v>
      </c>
      <c r="H585" s="106" t="s">
        <v>665</v>
      </c>
      <c r="I585" s="52"/>
      <c r="J585" s="250" t="s">
        <v>18</v>
      </c>
      <c r="K585" s="58" t="s">
        <v>40</v>
      </c>
      <c r="L585" s="58" t="s">
        <v>40</v>
      </c>
      <c r="V585" s="17" t="s">
        <v>197</v>
      </c>
      <c r="W585" s="234" t="s">
        <v>204</v>
      </c>
      <c r="X585" s="17" t="s">
        <v>197</v>
      </c>
      <c r="Y585" s="17" t="s">
        <v>197</v>
      </c>
      <c r="AF585" s="25" t="str">
        <f>_xlfn.XLOOKUP(F585,'TFS Details'!F:F,'TFS Details'!H:H)</f>
        <v>PT In Test</v>
      </c>
      <c r="AG585" s="42">
        <v>0</v>
      </c>
      <c r="AH585" s="42">
        <v>0</v>
      </c>
      <c r="AI585" s="42">
        <v>0</v>
      </c>
      <c r="AJ585" s="42">
        <v>0</v>
      </c>
      <c r="AK585" s="38">
        <f t="shared" si="66"/>
        <v>0</v>
      </c>
      <c r="AL585" s="39">
        <f t="shared" si="67"/>
        <v>0</v>
      </c>
      <c r="AM585" s="39">
        <f t="shared" si="68"/>
        <v>0</v>
      </c>
      <c r="AO585" s="25" t="str">
        <f>_xlfn.XLOOKUP(F585,'TFS Details'!F:F,'TFS Details'!I:I)</f>
        <v>myISP_IMS</v>
      </c>
      <c r="AP585" s="25" t="str">
        <f>_xlfn.XLOOKUP(AO585,'TFS Details'!I:I,'TFS Details'!AE:AE)</f>
        <v>supriya.a.dhingra</v>
      </c>
    </row>
    <row r="586" spans="1:42">
      <c r="A586" s="24" t="str">
        <f>_xlfn.XLOOKUP(F586,'TFS Details'!F:F,'TFS Details'!D:D)</f>
        <v>May Release</v>
      </c>
      <c r="B586" s="24" t="str">
        <f>_xlfn.XLOOKUP(F586,'TFS Details'!F:F,'TFS Details'!A:A)</f>
        <v>UAT CRs</v>
      </c>
      <c r="C586" s="46">
        <f>_xlfn.XLOOKUP(F586,'TFS Details'!F:F,'TFS Details'!E:E)</f>
        <v>4275871</v>
      </c>
      <c r="D586" s="17" t="s">
        <v>78</v>
      </c>
      <c r="E586" s="139" t="s">
        <v>1331</v>
      </c>
      <c r="F586" s="72">
        <v>4450106</v>
      </c>
      <c r="G586" s="18" t="s">
        <v>1321</v>
      </c>
      <c r="H586" s="106" t="s">
        <v>665</v>
      </c>
      <c r="I586" s="52"/>
      <c r="J586" s="250" t="s">
        <v>18</v>
      </c>
      <c r="K586" s="58" t="s">
        <v>40</v>
      </c>
      <c r="L586" s="58" t="s">
        <v>40</v>
      </c>
      <c r="V586" s="17" t="s">
        <v>197</v>
      </c>
      <c r="W586" s="234" t="s">
        <v>204</v>
      </c>
      <c r="X586" s="17" t="s">
        <v>197</v>
      </c>
      <c r="Y586" s="17" t="s">
        <v>197</v>
      </c>
      <c r="AF586" s="25" t="str">
        <f>_xlfn.XLOOKUP(F586,'TFS Details'!F:F,'TFS Details'!H:H)</f>
        <v>PT In Test</v>
      </c>
      <c r="AG586" s="42">
        <v>0</v>
      </c>
      <c r="AH586" s="42">
        <v>0</v>
      </c>
      <c r="AI586" s="42">
        <v>0</v>
      </c>
      <c r="AJ586" s="42">
        <v>0</v>
      </c>
      <c r="AK586" s="38">
        <f t="shared" si="66"/>
        <v>0</v>
      </c>
      <c r="AL586" s="39">
        <f t="shared" si="67"/>
        <v>0</v>
      </c>
      <c r="AM586" s="39">
        <f t="shared" si="68"/>
        <v>0</v>
      </c>
      <c r="AO586" s="25" t="str">
        <f>_xlfn.XLOOKUP(F586,'TFS Details'!F:F,'TFS Details'!I:I)</f>
        <v>myISP_IMS</v>
      </c>
      <c r="AP586" s="25" t="str">
        <f>_xlfn.XLOOKUP(AO586,'TFS Details'!I:I,'TFS Details'!AE:AE)</f>
        <v>supriya.a.dhingra</v>
      </c>
    </row>
    <row r="587" spans="1:42">
      <c r="A587" s="24" t="str">
        <f>_xlfn.XLOOKUP(F587,'TFS Details'!F:F,'TFS Details'!D:D)</f>
        <v>May Release</v>
      </c>
      <c r="B587" s="24" t="str">
        <f>_xlfn.XLOOKUP(F587,'TFS Details'!F:F,'TFS Details'!A:A)</f>
        <v>IMS BAU - Monthy MRDB</v>
      </c>
      <c r="C587" s="46">
        <f>_xlfn.XLOOKUP(F587,'TFS Details'!F:F,'TFS Details'!E:E)</f>
        <v>4386335</v>
      </c>
      <c r="D587" s="17" t="s">
        <v>78</v>
      </c>
      <c r="E587" s="139" t="s">
        <v>1332</v>
      </c>
      <c r="F587" s="72">
        <v>4450108</v>
      </c>
      <c r="G587" s="18" t="s">
        <v>1321</v>
      </c>
      <c r="H587" s="106" t="s">
        <v>665</v>
      </c>
      <c r="I587" s="52"/>
      <c r="J587" s="250" t="s">
        <v>18</v>
      </c>
      <c r="K587" s="58" t="s">
        <v>40</v>
      </c>
      <c r="L587" s="58" t="s">
        <v>40</v>
      </c>
      <c r="V587" s="17" t="s">
        <v>197</v>
      </c>
      <c r="W587" s="234" t="s">
        <v>204</v>
      </c>
      <c r="X587" s="17" t="s">
        <v>197</v>
      </c>
      <c r="Y587" s="17" t="s">
        <v>197</v>
      </c>
      <c r="AF587" s="25" t="str">
        <f>_xlfn.XLOOKUP(F587,'TFS Details'!F:F,'TFS Details'!H:H)</f>
        <v>Active</v>
      </c>
      <c r="AG587" s="42">
        <v>0</v>
      </c>
      <c r="AH587" s="42">
        <v>0</v>
      </c>
      <c r="AI587" s="42">
        <v>0</v>
      </c>
      <c r="AJ587" s="42">
        <v>0</v>
      </c>
      <c r="AK587" s="38">
        <f t="shared" si="66"/>
        <v>0</v>
      </c>
      <c r="AL587" s="39">
        <f t="shared" si="67"/>
        <v>0</v>
      </c>
      <c r="AM587" s="39">
        <f t="shared" si="68"/>
        <v>0</v>
      </c>
      <c r="AO587" s="25" t="str">
        <f>_xlfn.XLOOKUP(F587,'TFS Details'!F:F,'TFS Details'!I:I)</f>
        <v>myISP_IMS</v>
      </c>
      <c r="AP587" s="25" t="str">
        <f>_xlfn.XLOOKUP(AO587,'TFS Details'!I:I,'TFS Details'!AE:AE)</f>
        <v>supriya.a.dhingra</v>
      </c>
    </row>
    <row r="588" spans="1:42">
      <c r="A588" s="24" t="str">
        <f>_xlfn.XLOOKUP(F588,'TFS Details'!F:F,'TFS Details'!D:D)</f>
        <v>May Release</v>
      </c>
      <c r="B588" s="24" t="str">
        <f>_xlfn.XLOOKUP(F588,'TFS Details'!F:F,'TFS Details'!A:A)</f>
        <v>IMS BAU - Regression Testing</v>
      </c>
      <c r="C588" s="46">
        <f>_xlfn.XLOOKUP(F588,'TFS Details'!F:F,'TFS Details'!E:E)</f>
        <v>4386333</v>
      </c>
      <c r="D588" s="17" t="s">
        <v>78</v>
      </c>
      <c r="E588" s="139" t="s">
        <v>1333</v>
      </c>
      <c r="F588" s="72">
        <v>4450110</v>
      </c>
      <c r="G588" s="18" t="s">
        <v>1321</v>
      </c>
      <c r="H588" s="106" t="s">
        <v>665</v>
      </c>
      <c r="I588" s="52"/>
      <c r="J588" s="250" t="s">
        <v>18</v>
      </c>
      <c r="K588" s="58" t="s">
        <v>40</v>
      </c>
      <c r="L588" s="58" t="s">
        <v>40</v>
      </c>
      <c r="V588" s="17" t="s">
        <v>197</v>
      </c>
      <c r="W588" s="234" t="s">
        <v>204</v>
      </c>
      <c r="X588" s="17" t="s">
        <v>197</v>
      </c>
      <c r="Y588" s="17" t="s">
        <v>197</v>
      </c>
      <c r="AF588" s="25" t="str">
        <f>_xlfn.XLOOKUP(F588,'TFS Details'!F:F,'TFS Details'!H:H)</f>
        <v>Active</v>
      </c>
      <c r="AG588" s="42">
        <v>0</v>
      </c>
      <c r="AH588" s="42">
        <v>0</v>
      </c>
      <c r="AI588" s="42">
        <v>0</v>
      </c>
      <c r="AJ588" s="42">
        <v>0</v>
      </c>
      <c r="AK588" s="38">
        <f t="shared" si="66"/>
        <v>0</v>
      </c>
      <c r="AL588" s="39">
        <f t="shared" si="67"/>
        <v>0</v>
      </c>
      <c r="AM588" s="39">
        <f t="shared" si="68"/>
        <v>0</v>
      </c>
      <c r="AO588" s="25" t="str">
        <f>_xlfn.XLOOKUP(F588,'TFS Details'!F:F,'TFS Details'!I:I)</f>
        <v>myISP_IMS</v>
      </c>
      <c r="AP588" s="25" t="str">
        <f>_xlfn.XLOOKUP(AO588,'TFS Details'!I:I,'TFS Details'!AE:AE)</f>
        <v>supriya.a.dhingra</v>
      </c>
    </row>
    <row r="589" spans="1:42">
      <c r="A589" s="24" t="str">
        <f>_xlfn.XLOOKUP(F589,'TFS Details'!F:F,'TFS Details'!D:D)</f>
        <v>May Release</v>
      </c>
      <c r="B589" s="24" t="str">
        <f>_xlfn.XLOOKUP(F589,'TFS Details'!F:F,'TFS Details'!A:A)</f>
        <v>IMS BAU - Technical User Stories</v>
      </c>
      <c r="C589" s="46">
        <f>_xlfn.XLOOKUP(F589,'TFS Details'!F:F,'TFS Details'!E:E)</f>
        <v>4317300</v>
      </c>
      <c r="D589" s="17" t="s">
        <v>78</v>
      </c>
      <c r="E589" s="139" t="s">
        <v>1334</v>
      </c>
      <c r="F589" s="72">
        <v>4450111</v>
      </c>
      <c r="G589" s="18" t="s">
        <v>1321</v>
      </c>
      <c r="H589" s="106" t="s">
        <v>665</v>
      </c>
      <c r="I589" s="52"/>
      <c r="J589" s="250" t="s">
        <v>18</v>
      </c>
      <c r="K589" s="58" t="s">
        <v>40</v>
      </c>
      <c r="L589" s="58" t="s">
        <v>40</v>
      </c>
      <c r="V589" s="17" t="s">
        <v>197</v>
      </c>
      <c r="W589" s="234" t="s">
        <v>204</v>
      </c>
      <c r="X589" s="17" t="s">
        <v>197</v>
      </c>
      <c r="Y589" s="17" t="s">
        <v>197</v>
      </c>
      <c r="AF589" s="25" t="str">
        <f>_xlfn.XLOOKUP(F589,'TFS Details'!F:F,'TFS Details'!H:H)</f>
        <v>Active</v>
      </c>
      <c r="AG589" s="42">
        <v>0</v>
      </c>
      <c r="AH589" s="42">
        <v>0</v>
      </c>
      <c r="AI589" s="42">
        <v>0</v>
      </c>
      <c r="AJ589" s="42">
        <v>0</v>
      </c>
      <c r="AK589" s="38">
        <f t="shared" si="66"/>
        <v>0</v>
      </c>
      <c r="AL589" s="39">
        <f t="shared" si="67"/>
        <v>0</v>
      </c>
      <c r="AM589" s="39">
        <f t="shared" si="68"/>
        <v>0</v>
      </c>
      <c r="AO589" s="25" t="str">
        <f>_xlfn.XLOOKUP(F589,'TFS Details'!F:F,'TFS Details'!I:I)</f>
        <v>myISP_IMS</v>
      </c>
      <c r="AP589" s="25" t="str">
        <f>_xlfn.XLOOKUP(AO589,'TFS Details'!I:I,'TFS Details'!AE:AE)</f>
        <v>supriya.a.dhingra</v>
      </c>
    </row>
    <row r="590" spans="1:42">
      <c r="A590" s="24" t="str">
        <f>_xlfn.XLOOKUP(F590,'TFS Details'!F:F,'TFS Details'!D:D)</f>
        <v>May Release</v>
      </c>
      <c r="B590" s="24" t="str">
        <f>_xlfn.XLOOKUP(F590,'TFS Details'!F:F,'TFS Details'!A:A)</f>
        <v>IMS BAU - Technical User Stories</v>
      </c>
      <c r="C590" s="46">
        <f>_xlfn.XLOOKUP(F590,'TFS Details'!F:F,'TFS Details'!E:E)</f>
        <v>4317300</v>
      </c>
      <c r="D590" s="17" t="s">
        <v>78</v>
      </c>
      <c r="E590" s="139" t="s">
        <v>1335</v>
      </c>
      <c r="F590" s="72">
        <v>4450112</v>
      </c>
      <c r="G590" s="18" t="s">
        <v>1321</v>
      </c>
      <c r="H590" s="106" t="s">
        <v>665</v>
      </c>
      <c r="I590" s="52"/>
      <c r="J590" s="250" t="s">
        <v>18</v>
      </c>
      <c r="K590" s="58" t="s">
        <v>40</v>
      </c>
      <c r="L590" s="58" t="s">
        <v>40</v>
      </c>
      <c r="V590" s="17" t="s">
        <v>197</v>
      </c>
      <c r="W590" s="234" t="s">
        <v>204</v>
      </c>
      <c r="X590" s="17" t="s">
        <v>197</v>
      </c>
      <c r="Y590" s="17" t="s">
        <v>197</v>
      </c>
      <c r="AF590" s="25" t="str">
        <f>_xlfn.XLOOKUP(F590,'TFS Details'!F:F,'TFS Details'!H:H)</f>
        <v>Active</v>
      </c>
      <c r="AG590" s="42">
        <v>0</v>
      </c>
      <c r="AH590" s="42">
        <v>0</v>
      </c>
      <c r="AI590" s="42">
        <v>0</v>
      </c>
      <c r="AJ590" s="42">
        <v>0</v>
      </c>
      <c r="AK590" s="38">
        <f t="shared" si="66"/>
        <v>0</v>
      </c>
      <c r="AL590" s="39">
        <f t="shared" si="67"/>
        <v>0</v>
      </c>
      <c r="AM590" s="39">
        <f t="shared" si="68"/>
        <v>0</v>
      </c>
      <c r="AO590" s="25" t="str">
        <f>_xlfn.XLOOKUP(F590,'TFS Details'!F:F,'TFS Details'!I:I)</f>
        <v>myISP_IMS</v>
      </c>
      <c r="AP590" s="25" t="str">
        <f>_xlfn.XLOOKUP(AO590,'TFS Details'!I:I,'TFS Details'!AE:AE)</f>
        <v>supriya.a.dhingra</v>
      </c>
    </row>
    <row r="591" spans="1:42">
      <c r="A591" s="24" t="str">
        <f>_xlfn.XLOOKUP(F591,'TFS Details'!F:F,'TFS Details'!D:D)</f>
        <v>May Release</v>
      </c>
      <c r="B591" s="24" t="str">
        <f>_xlfn.XLOOKUP(F591,'TFS Details'!F:F,'TFS Details'!A:A)</f>
        <v>IMS BAU - Technical User Stories</v>
      </c>
      <c r="C591" s="46">
        <f>_xlfn.XLOOKUP(F591,'TFS Details'!F:F,'TFS Details'!E:E)</f>
        <v>4317300</v>
      </c>
      <c r="D591" s="17" t="s">
        <v>78</v>
      </c>
      <c r="E591" s="139" t="s">
        <v>1336</v>
      </c>
      <c r="F591" s="72">
        <v>4450113</v>
      </c>
      <c r="G591" s="18" t="s">
        <v>1321</v>
      </c>
      <c r="H591" s="106" t="s">
        <v>665</v>
      </c>
      <c r="I591" s="52"/>
      <c r="J591" s="250" t="s">
        <v>18</v>
      </c>
      <c r="K591" s="58" t="s">
        <v>40</v>
      </c>
      <c r="L591" s="58" t="s">
        <v>40</v>
      </c>
      <c r="V591" s="17" t="s">
        <v>197</v>
      </c>
      <c r="W591" s="234" t="s">
        <v>204</v>
      </c>
      <c r="X591" s="17" t="s">
        <v>197</v>
      </c>
      <c r="Y591" s="17" t="s">
        <v>197</v>
      </c>
      <c r="AF591" s="25" t="str">
        <f>_xlfn.XLOOKUP(F591,'TFS Details'!F:F,'TFS Details'!H:H)</f>
        <v>Active</v>
      </c>
      <c r="AG591" s="42">
        <v>0</v>
      </c>
      <c r="AH591" s="42">
        <v>0</v>
      </c>
      <c r="AI591" s="42">
        <v>0</v>
      </c>
      <c r="AJ591" s="42">
        <v>0</v>
      </c>
      <c r="AK591" s="38">
        <f t="shared" si="66"/>
        <v>0</v>
      </c>
      <c r="AL591" s="39">
        <f t="shared" si="67"/>
        <v>0</v>
      </c>
      <c r="AM591" s="39">
        <f t="shared" si="68"/>
        <v>0</v>
      </c>
      <c r="AO591" s="25" t="str">
        <f>_xlfn.XLOOKUP(F591,'TFS Details'!F:F,'TFS Details'!I:I)</f>
        <v>myISP_IMS</v>
      </c>
      <c r="AP591" s="25" t="str">
        <f>_xlfn.XLOOKUP(AO591,'TFS Details'!I:I,'TFS Details'!AE:AE)</f>
        <v>supriya.a.dhingra</v>
      </c>
    </row>
    <row r="592" spans="1:42">
      <c r="A592" s="24" t="str">
        <f>_xlfn.XLOOKUP(F592,'TFS Details'!F:F,'TFS Details'!D:D)</f>
        <v>May Release</v>
      </c>
      <c r="B592" s="24" t="str">
        <f>_xlfn.XLOOKUP(F592,'TFS Details'!F:F,'TFS Details'!A:A)</f>
        <v>IMS BAU - Technical User Stories</v>
      </c>
      <c r="C592" s="46">
        <f>_xlfn.XLOOKUP(F592,'TFS Details'!F:F,'TFS Details'!E:E)</f>
        <v>4317300</v>
      </c>
      <c r="D592" s="17" t="s">
        <v>78</v>
      </c>
      <c r="E592" s="139" t="s">
        <v>1337</v>
      </c>
      <c r="F592" s="72">
        <v>4450114</v>
      </c>
      <c r="G592" s="18" t="s">
        <v>1321</v>
      </c>
      <c r="H592" s="106" t="s">
        <v>665</v>
      </c>
      <c r="I592" s="52"/>
      <c r="J592" s="250" t="s">
        <v>18</v>
      </c>
      <c r="K592" s="58" t="s">
        <v>40</v>
      </c>
      <c r="L592" s="58" t="s">
        <v>40</v>
      </c>
      <c r="V592" s="17" t="s">
        <v>197</v>
      </c>
      <c r="W592" s="234" t="s">
        <v>204</v>
      </c>
      <c r="X592" s="17" t="s">
        <v>197</v>
      </c>
      <c r="Y592" s="17" t="s">
        <v>197</v>
      </c>
      <c r="AF592" s="25" t="str">
        <f>_xlfn.XLOOKUP(F592,'TFS Details'!F:F,'TFS Details'!H:H)</f>
        <v>PT In Test</v>
      </c>
      <c r="AG592" s="42">
        <v>0</v>
      </c>
      <c r="AH592" s="42">
        <v>0</v>
      </c>
      <c r="AI592" s="42">
        <v>0</v>
      </c>
      <c r="AJ592" s="42">
        <v>0</v>
      </c>
      <c r="AK592" s="38">
        <f t="shared" si="66"/>
        <v>0</v>
      </c>
      <c r="AL592" s="39">
        <f t="shared" si="67"/>
        <v>0</v>
      </c>
      <c r="AM592" s="39">
        <f t="shared" si="68"/>
        <v>0</v>
      </c>
      <c r="AO592" s="25" t="str">
        <f>_xlfn.XLOOKUP(F592,'TFS Details'!F:F,'TFS Details'!I:I)</f>
        <v>myISP_IMS</v>
      </c>
      <c r="AP592" s="25" t="str">
        <f>_xlfn.XLOOKUP(AO592,'TFS Details'!I:I,'TFS Details'!AE:AE)</f>
        <v>supriya.a.dhingra</v>
      </c>
    </row>
    <row r="593" spans="1:42">
      <c r="A593" s="24" t="str">
        <f>_xlfn.XLOOKUP(F593,'TFS Details'!F:F,'TFS Details'!D:D)</f>
        <v>May Release</v>
      </c>
      <c r="B593" s="24" t="str">
        <f>_xlfn.XLOOKUP(F593,'TFS Details'!F:F,'TFS Details'!A:A)</f>
        <v>IMS BAU - Technical User Stories</v>
      </c>
      <c r="C593" s="46">
        <f>_xlfn.XLOOKUP(F593,'TFS Details'!F:F,'TFS Details'!E:E)</f>
        <v>4317300</v>
      </c>
      <c r="D593" s="17" t="s">
        <v>78</v>
      </c>
      <c r="E593" s="139" t="s">
        <v>1338</v>
      </c>
      <c r="F593" s="72">
        <v>4450115</v>
      </c>
      <c r="G593" s="18" t="s">
        <v>1321</v>
      </c>
      <c r="H593" s="106" t="s">
        <v>665</v>
      </c>
      <c r="I593" s="52"/>
      <c r="J593" s="250" t="s">
        <v>18</v>
      </c>
      <c r="K593" s="58" t="s">
        <v>40</v>
      </c>
      <c r="L593" s="58" t="s">
        <v>40</v>
      </c>
      <c r="V593" s="17" t="s">
        <v>197</v>
      </c>
      <c r="W593" s="234" t="s">
        <v>204</v>
      </c>
      <c r="X593" s="17" t="s">
        <v>197</v>
      </c>
      <c r="Y593" s="17" t="s">
        <v>197</v>
      </c>
      <c r="AF593" s="25" t="str">
        <f>_xlfn.XLOOKUP(F593,'TFS Details'!F:F,'TFS Details'!H:H)</f>
        <v>PT In Test</v>
      </c>
      <c r="AG593" s="42">
        <v>0</v>
      </c>
      <c r="AH593" s="42">
        <v>0</v>
      </c>
      <c r="AI593" s="42">
        <v>0</v>
      </c>
      <c r="AJ593" s="42">
        <v>0</v>
      </c>
      <c r="AK593" s="38">
        <f t="shared" si="66"/>
        <v>0</v>
      </c>
      <c r="AL593" s="39">
        <f t="shared" si="67"/>
        <v>0</v>
      </c>
      <c r="AM593" s="39">
        <f t="shared" si="68"/>
        <v>0</v>
      </c>
      <c r="AO593" s="25" t="str">
        <f>_xlfn.XLOOKUP(F593,'TFS Details'!F:F,'TFS Details'!I:I)</f>
        <v>myISP_IMS</v>
      </c>
      <c r="AP593" s="25" t="str">
        <f>_xlfn.XLOOKUP(AO593,'TFS Details'!I:I,'TFS Details'!AE:AE)</f>
        <v>supriya.a.dhingra</v>
      </c>
    </row>
    <row r="594" spans="1:42">
      <c r="A594" s="24" t="str">
        <f>_xlfn.XLOOKUP(F594,'TFS Details'!F:F,'TFS Details'!D:D)</f>
        <v>May Release</v>
      </c>
      <c r="B594" s="24" t="str">
        <f>_xlfn.XLOOKUP(F594,'TFS Details'!F:F,'TFS Details'!A:A)</f>
        <v>[PMO] URL update for Manage and Dashboard screens</v>
      </c>
      <c r="C594" s="46">
        <f>_xlfn.XLOOKUP(F594,'TFS Details'!F:F,'TFS Details'!E:E)</f>
        <v>4440976</v>
      </c>
      <c r="D594" s="17" t="s">
        <v>78</v>
      </c>
      <c r="E594" s="139" t="s">
        <v>1339</v>
      </c>
      <c r="F594" s="72">
        <v>4446623</v>
      </c>
      <c r="G594" s="18" t="s">
        <v>1321</v>
      </c>
      <c r="H594" s="106" t="s">
        <v>665</v>
      </c>
      <c r="I594" s="52"/>
      <c r="J594" s="250" t="s">
        <v>18</v>
      </c>
      <c r="K594" s="58" t="s">
        <v>40</v>
      </c>
      <c r="L594" s="58" t="s">
        <v>40</v>
      </c>
      <c r="V594" s="17" t="s">
        <v>197</v>
      </c>
      <c r="W594" s="234" t="s">
        <v>204</v>
      </c>
      <c r="X594" s="17" t="s">
        <v>197</v>
      </c>
      <c r="Y594" s="17" t="s">
        <v>197</v>
      </c>
      <c r="AF594" s="25" t="str">
        <f>_xlfn.XLOOKUP(F594,'TFS Details'!F:F,'TFS Details'!H:H)</f>
        <v>PT In Test</v>
      </c>
      <c r="AG594" s="42">
        <v>0</v>
      </c>
      <c r="AH594" s="42">
        <v>0</v>
      </c>
      <c r="AI594" s="42">
        <v>0</v>
      </c>
      <c r="AJ594" s="42">
        <v>0</v>
      </c>
      <c r="AK594" s="38">
        <f>SUM(AG594:AJ594)</f>
        <v>0</v>
      </c>
      <c r="AL594" s="39">
        <f>IF(AG594+AH594=0,0,SUM(AG594:AH594)/AK594)</f>
        <v>0</v>
      </c>
      <c r="AM594" s="39">
        <f>IF(AG594=0,0,AG594/(SUM(AG594:AI594)))</f>
        <v>0</v>
      </c>
      <c r="AO594" s="25" t="str">
        <f>_xlfn.XLOOKUP(F594,'TFS Details'!F:F,'TFS Details'!I:I)</f>
        <v>myISP_IMS</v>
      </c>
      <c r="AP594" s="25" t="str">
        <f>_xlfn.XLOOKUP(AO594,'TFS Details'!I:I,'TFS Details'!AE:AE)</f>
        <v>supriya.a.dhingra</v>
      </c>
    </row>
    <row r="595" spans="1:42">
      <c r="A595" s="24" t="str">
        <f>_xlfn.XLOOKUP(F595,'TFS Details'!F:F,'TFS Details'!D:D)</f>
        <v>DCSO</v>
      </c>
      <c r="B595" s="24" t="str">
        <f>_xlfn.XLOOKUP(F595,'TFS Details'!F:F,'TFS Details'!A:A)</f>
        <v>myISP - Digital DCSO Summary sections addition and Other changes</v>
      </c>
      <c r="C595" s="46">
        <f>_xlfn.XLOOKUP(F595,'TFS Details'!F:F,'TFS Details'!E:E)</f>
        <v>4446711</v>
      </c>
      <c r="D595" s="17" t="s">
        <v>78</v>
      </c>
      <c r="E595" s="139" t="s">
        <v>1340</v>
      </c>
      <c r="F595" s="150">
        <v>4446723</v>
      </c>
      <c r="G595" s="138" t="s">
        <v>1321</v>
      </c>
      <c r="H595" s="106" t="s">
        <v>665</v>
      </c>
      <c r="I595" s="52"/>
      <c r="J595" s="250" t="s">
        <v>18</v>
      </c>
      <c r="K595" s="58" t="s">
        <v>40</v>
      </c>
      <c r="L595" s="58" t="s">
        <v>40</v>
      </c>
      <c r="V595" s="17" t="s">
        <v>197</v>
      </c>
      <c r="W595" s="234" t="s">
        <v>204</v>
      </c>
      <c r="X595" s="17" t="s">
        <v>197</v>
      </c>
      <c r="Y595" s="17" t="s">
        <v>197</v>
      </c>
      <c r="AF595" s="25" t="str">
        <f>_xlfn.XLOOKUP(F595,'TFS Details'!F:F,'TFS Details'!H:H)</f>
        <v>PT In Test</v>
      </c>
      <c r="AG595" s="42">
        <v>0</v>
      </c>
      <c r="AH595" s="42">
        <v>0</v>
      </c>
      <c r="AI595" s="42">
        <v>0</v>
      </c>
      <c r="AJ595" s="42">
        <v>0</v>
      </c>
      <c r="AK595" s="38">
        <f t="shared" si="66"/>
        <v>0</v>
      </c>
      <c r="AL595" s="39">
        <f t="shared" si="67"/>
        <v>0</v>
      </c>
      <c r="AM595" s="39">
        <f t="shared" si="68"/>
        <v>0</v>
      </c>
      <c r="AO595" s="25" t="str">
        <f>_xlfn.XLOOKUP(F595,'TFS Details'!F:F,'TFS Details'!I:I)</f>
        <v>myISP_IMS</v>
      </c>
      <c r="AP595" s="25" t="str">
        <f>_xlfn.XLOOKUP(AO595,'TFS Details'!I:I,'TFS Details'!AE:AE)</f>
        <v>supriya.a.dhingra</v>
      </c>
    </row>
    <row r="596" spans="1:42">
      <c r="A596" s="24" t="str">
        <f>_xlfn.XLOOKUP(F596,'TFS Details'!F:F,'TFS Details'!D:D)</f>
        <v>May Release</v>
      </c>
      <c r="B596" s="24">
        <f>_xlfn.XLOOKUP(F596,'TFS Details'!F:F,'TFS Details'!A:A)</f>
        <v>0</v>
      </c>
      <c r="C596" s="46">
        <f>_xlfn.XLOOKUP(F596,'TFS Details'!F:F,'TFS Details'!E:E)</f>
        <v>0</v>
      </c>
      <c r="D596" s="17" t="s">
        <v>78</v>
      </c>
      <c r="E596" s="239" t="s">
        <v>1341</v>
      </c>
      <c r="F596" s="150">
        <v>4475473</v>
      </c>
      <c r="G596" s="138"/>
      <c r="H596" s="106"/>
      <c r="I596" s="52"/>
      <c r="J596" s="250"/>
      <c r="L596" s="58"/>
      <c r="V596" s="17" t="s">
        <v>197</v>
      </c>
      <c r="W596" s="17" t="s">
        <v>197</v>
      </c>
      <c r="X596" s="17" t="s">
        <v>197</v>
      </c>
      <c r="Y596" s="17" t="s">
        <v>197</v>
      </c>
      <c r="AF596" s="25" t="str">
        <f>_xlfn.XLOOKUP(F596,'TFS Details'!F:F,'TFS Details'!H:H)</f>
        <v>New</v>
      </c>
      <c r="AG596" s="42">
        <v>0</v>
      </c>
      <c r="AH596" s="42">
        <v>0</v>
      </c>
      <c r="AI596" s="42">
        <v>0</v>
      </c>
      <c r="AJ596" s="42">
        <v>0</v>
      </c>
      <c r="AK596" s="38">
        <f>SUM(AG596:AJ596)</f>
        <v>0</v>
      </c>
      <c r="AL596" s="39">
        <f>IF(AG596+AH596=0,0,SUM(AG596:AH596)/AK596)</f>
        <v>0</v>
      </c>
      <c r="AM596" s="39">
        <f>IF(AG596=0,0,AG596/(SUM(AG596:AI596)))</f>
        <v>0</v>
      </c>
      <c r="AN596" s="180"/>
      <c r="AO596" s="25" t="str">
        <f>_xlfn.XLOOKUP(F596,'TFS Details'!F:F,'TFS Details'!I:I)</f>
        <v>myISP_IMS</v>
      </c>
      <c r="AP596" s="25" t="str">
        <f>_xlfn.XLOOKUP(AO596,'TFS Details'!I:I,'TFS Details'!AE:AE)</f>
        <v>supriya.a.dhingra</v>
      </c>
    </row>
    <row r="597" spans="1:42">
      <c r="A597" s="24" t="str">
        <f>_xlfn.XLOOKUP(F597,'TFS Details'!F:F,'TFS Details'!D:D)</f>
        <v>PCW</v>
      </c>
      <c r="B597" s="24" t="str">
        <f>_xlfn.XLOOKUP(F597,'TFS Details'!F:F,'TFS Details'!A:A)</f>
        <v>PCW - IPC Toolkit Cost Update</v>
      </c>
      <c r="C597" s="46">
        <f>_xlfn.XLOOKUP(F597,'TFS Details'!F:F,'TFS Details'!E:E)</f>
        <v>4368214</v>
      </c>
      <c r="D597" s="50" t="s">
        <v>27</v>
      </c>
      <c r="E597" s="136" t="s">
        <v>210</v>
      </c>
      <c r="F597" s="149">
        <v>4467788</v>
      </c>
      <c r="G597" s="17" t="s">
        <v>209</v>
      </c>
      <c r="H597" s="106" t="s">
        <v>208</v>
      </c>
      <c r="I597" s="52"/>
      <c r="J597" s="250" t="s">
        <v>18</v>
      </c>
      <c r="K597" s="16" t="s">
        <v>59</v>
      </c>
      <c r="L597" s="16" t="s">
        <v>59</v>
      </c>
      <c r="V597" s="17" t="s">
        <v>204</v>
      </c>
      <c r="W597" s="17" t="s">
        <v>216</v>
      </c>
      <c r="X597" s="17" t="s">
        <v>197</v>
      </c>
      <c r="Y597" s="17" t="s">
        <v>197</v>
      </c>
      <c r="Z597" s="74">
        <v>36</v>
      </c>
      <c r="AA597" s="74">
        <v>20</v>
      </c>
      <c r="AB597" s="74">
        <v>22</v>
      </c>
      <c r="AC597" s="74">
        <v>22</v>
      </c>
      <c r="AD597" s="33">
        <v>0.9</v>
      </c>
      <c r="AE597" s="33">
        <v>1</v>
      </c>
      <c r="AF597" s="25" t="str">
        <f>_xlfn.XLOOKUP(F597,'TFS Details'!F:F,'TFS Details'!H:H)</f>
        <v>New</v>
      </c>
      <c r="AG597" s="42">
        <v>0</v>
      </c>
      <c r="AH597" s="42">
        <v>0</v>
      </c>
      <c r="AI597" s="42">
        <v>0</v>
      </c>
      <c r="AJ597" s="42">
        <v>22</v>
      </c>
      <c r="AK597" s="38">
        <f>SUM(AG597:AJ597)</f>
        <v>22</v>
      </c>
      <c r="AL597" s="39">
        <f>IF(AG597+AH597=0,0,SUM(AG597:AH597)/AK597)</f>
        <v>0</v>
      </c>
      <c r="AM597" s="39">
        <f>IF(AG597=0,0,AG597/(SUM(AG597:AI597)))</f>
        <v>0</v>
      </c>
      <c r="AN597" s="180"/>
      <c r="AO597" s="25" t="str">
        <f>_xlfn.XLOOKUP(F597,'TFS Details'!F:F,'TFS Details'!I:I)</f>
        <v>Tech Ensemble</v>
      </c>
      <c r="AP597" s="25" t="str">
        <f>_xlfn.XLOOKUP(AO597,'TFS Details'!I:I,'TFS Details'!AE:AE)</f>
        <v>mervinkumar.manickam</v>
      </c>
    </row>
    <row r="598" spans="1:42">
      <c r="A598" s="24" t="str">
        <f>_xlfn.XLOOKUP(F598,'TFS Details'!F:F,'TFS Details'!D:D)</f>
        <v>PMO</v>
      </c>
      <c r="B598" s="24" t="str">
        <f>_xlfn.XLOOKUP(F598,'TFS Details'!F:F,'TFS Details'!A:A)</f>
        <v>[PMO] URL update for Manage and Dashboard screens</v>
      </c>
      <c r="C598" s="46">
        <f>_xlfn.XLOOKUP(F598,'TFS Details'!F:F,'TFS Details'!E:E)</f>
        <v>4440976</v>
      </c>
      <c r="D598" s="17" t="s">
        <v>27</v>
      </c>
      <c r="E598" s="19" t="s">
        <v>1342</v>
      </c>
      <c r="F598" s="154">
        <v>4446619</v>
      </c>
      <c r="G598" s="17" t="s">
        <v>419</v>
      </c>
      <c r="H598" s="106" t="s">
        <v>214</v>
      </c>
      <c r="I598" s="52" t="s">
        <v>35</v>
      </c>
      <c r="J598" s="66" t="s">
        <v>1</v>
      </c>
      <c r="M598" s="20" t="s">
        <v>461</v>
      </c>
      <c r="N598" s="45">
        <v>1</v>
      </c>
      <c r="O598" s="33">
        <v>1</v>
      </c>
      <c r="P598" s="274">
        <v>8</v>
      </c>
      <c r="Q598" s="274">
        <v>4</v>
      </c>
      <c r="R598" s="274">
        <v>2</v>
      </c>
      <c r="S598" s="274">
        <v>1</v>
      </c>
      <c r="T598" s="33">
        <v>0.9</v>
      </c>
      <c r="U598" s="33">
        <v>0.9</v>
      </c>
      <c r="V598" s="17" t="s">
        <v>204</v>
      </c>
      <c r="W598" s="17" t="s">
        <v>204</v>
      </c>
      <c r="X598" s="17" t="s">
        <v>197</v>
      </c>
      <c r="Y598" s="17" t="s">
        <v>216</v>
      </c>
      <c r="Z598" s="71">
        <v>25</v>
      </c>
      <c r="AA598" s="71">
        <v>15</v>
      </c>
      <c r="AB598" s="71">
        <v>0</v>
      </c>
      <c r="AC598" s="71">
        <v>8</v>
      </c>
      <c r="AD598" s="69">
        <v>1</v>
      </c>
      <c r="AE598" s="69">
        <v>1</v>
      </c>
      <c r="AF598" s="25" t="str">
        <f>_xlfn.XLOOKUP(F598,'TFS Details'!F:F,'TFS Details'!H:H)</f>
        <v>PT In Test</v>
      </c>
      <c r="AG598" s="42">
        <v>7</v>
      </c>
      <c r="AH598" s="42">
        <v>1</v>
      </c>
      <c r="AI598" s="42">
        <v>0</v>
      </c>
      <c r="AJ598" s="42">
        <v>0</v>
      </c>
      <c r="AK598" s="38">
        <f t="shared" ref="AK598:AK605" si="69">SUM(AG598:AJ598)</f>
        <v>8</v>
      </c>
      <c r="AL598" s="39">
        <f t="shared" ref="AL598:AL609" si="70">IF(AG598+AH598=0,0,SUM(AG598:AH598)/AK598)</f>
        <v>1</v>
      </c>
      <c r="AM598" s="39">
        <f t="shared" ref="AM598:AM609" si="71">IF(AG598=0,0,AG598/(SUM(AG598:AI598)))</f>
        <v>0.875</v>
      </c>
      <c r="AO598" s="25" t="str">
        <f>_xlfn.XLOOKUP(F598,'TFS Details'!F:F,'TFS Details'!I:I)</f>
        <v>TechAvengers</v>
      </c>
      <c r="AP598" s="25" t="str">
        <f>_xlfn.XLOOKUP(AO598,'TFS Details'!I:I,'TFS Details'!AE:AE)</f>
        <v>mervinkumar.manickam</v>
      </c>
    </row>
    <row r="599" spans="1:42" ht="14.45">
      <c r="A599" s="24" t="str">
        <f>_xlfn.XLOOKUP(F599,'TFS Details'!F:F,'TFS Details'!D:D)</f>
        <v>Drop 4 - Angular upgrade v19 to v21</v>
      </c>
      <c r="B599" s="24" t="str">
        <f>_xlfn.XLOOKUP(F599,'TFS Details'!F:F,'TFS Details'!A:A)</f>
        <v>Angular upgrade version 19 to version 21 - 9th May</v>
      </c>
      <c r="C599" s="46">
        <f>_xlfn.XLOOKUP(F599,'TFS Details'!F:F,'TFS Details'!E:E)</f>
        <v>4444328</v>
      </c>
      <c r="D599" s="17" t="s">
        <v>31</v>
      </c>
      <c r="E599" s="17" t="s">
        <v>1343</v>
      </c>
      <c r="F599" s="149">
        <v>4444345</v>
      </c>
      <c r="G599" s="161" t="s">
        <v>649</v>
      </c>
      <c r="H599" s="106" t="s">
        <v>665</v>
      </c>
      <c r="I599" s="52" t="s">
        <v>58</v>
      </c>
      <c r="J599" s="250" t="s">
        <v>18</v>
      </c>
      <c r="K599" s="58" t="s">
        <v>1344</v>
      </c>
      <c r="L599" s="16" t="s">
        <v>45</v>
      </c>
      <c r="M599" s="17"/>
      <c r="V599" s="17" t="s">
        <v>204</v>
      </c>
      <c r="W599" s="17" t="s">
        <v>204</v>
      </c>
      <c r="X599" s="17" t="s">
        <v>204</v>
      </c>
      <c r="Y599" s="17" t="s">
        <v>216</v>
      </c>
      <c r="Z599" s="71">
        <v>9</v>
      </c>
      <c r="AA599" s="71">
        <v>7</v>
      </c>
      <c r="AB599" s="71">
        <v>2</v>
      </c>
      <c r="AC599" s="71">
        <v>8</v>
      </c>
      <c r="AD599" s="69">
        <v>0.5</v>
      </c>
      <c r="AE599" s="69">
        <v>0.5</v>
      </c>
      <c r="AF599" s="25" t="str">
        <f>_xlfn.XLOOKUP(F599,'TFS Details'!F:F,'TFS Details'!H:H)</f>
        <v>PT In Test</v>
      </c>
      <c r="AG599" s="42">
        <v>0</v>
      </c>
      <c r="AH599" s="42">
        <v>0</v>
      </c>
      <c r="AI599" s="42">
        <v>0</v>
      </c>
      <c r="AJ599" s="42">
        <v>7</v>
      </c>
      <c r="AK599" s="38">
        <f>SUM(AG599:AJ599)</f>
        <v>7</v>
      </c>
      <c r="AL599" s="39">
        <f t="shared" si="70"/>
        <v>0</v>
      </c>
      <c r="AM599" s="39">
        <f t="shared" si="71"/>
        <v>0</v>
      </c>
      <c r="AO599" s="25" t="str">
        <f>_xlfn.XLOOKUP(F599,'TFS Details'!F:F,'TFS Details'!I:I)</f>
        <v>MYISP_Revamp_UI</v>
      </c>
      <c r="AP599" s="25" t="str">
        <f>_xlfn.XLOOKUP(AO599,'TFS Details'!I:I,'TFS Details'!AE:AE)</f>
        <v>vikrant.r.mohite</v>
      </c>
    </row>
    <row r="600" spans="1:42" ht="14.45">
      <c r="A600" s="24" t="str">
        <f>_xlfn.XLOOKUP(F600,'TFS Details'!F:F,'TFS Details'!D:D)</f>
        <v>BPMS Onboarding</v>
      </c>
      <c r="B600" s="24" t="str">
        <f>_xlfn.XLOOKUP(F600,'TFS Details'!F:F,'TFS Details'!A:A)</f>
        <v>Reporting &amp; Compliance - Generative AI: Enhance Year-on-Year Productivity Grid with Overall Summary Column and Informational Note</v>
      </c>
      <c r="C600" s="46">
        <f>_xlfn.XLOOKUP(F600,'TFS Details'!F:F,'TFS Details'!E:E)</f>
        <v>4459392</v>
      </c>
      <c r="D600" s="17" t="s">
        <v>31</v>
      </c>
      <c r="E600" s="17" t="s">
        <v>1345</v>
      </c>
      <c r="F600" s="149">
        <v>4459390</v>
      </c>
      <c r="G600" s="140" t="s">
        <v>664</v>
      </c>
      <c r="H600" s="106" t="s">
        <v>665</v>
      </c>
      <c r="I600" s="52" t="s">
        <v>89</v>
      </c>
      <c r="J600" s="234" t="s">
        <v>1</v>
      </c>
      <c r="M600" s="20" t="s">
        <v>311</v>
      </c>
      <c r="O600" s="273">
        <v>0.3</v>
      </c>
      <c r="P600" s="274">
        <v>6</v>
      </c>
      <c r="Q600" s="274">
        <v>4</v>
      </c>
      <c r="R600" s="274">
        <v>2</v>
      </c>
      <c r="S600" s="274">
        <v>4</v>
      </c>
      <c r="T600" s="33">
        <v>0.8</v>
      </c>
      <c r="U600" s="33">
        <v>0.7</v>
      </c>
      <c r="V600" s="17" t="s">
        <v>204</v>
      </c>
      <c r="W600" s="17" t="s">
        <v>204</v>
      </c>
      <c r="X600" s="17" t="s">
        <v>204</v>
      </c>
      <c r="Y600" s="17" t="s">
        <v>216</v>
      </c>
      <c r="Z600" s="102">
        <v>12</v>
      </c>
      <c r="AA600" s="71">
        <v>6</v>
      </c>
      <c r="AB600" s="71">
        <v>9</v>
      </c>
      <c r="AC600" s="71">
        <v>15</v>
      </c>
      <c r="AD600" s="69">
        <v>0.7</v>
      </c>
      <c r="AE600" s="69">
        <v>0.6</v>
      </c>
      <c r="AF600" s="25" t="str">
        <f>_xlfn.XLOOKUP(F600,'TFS Details'!F:F,'TFS Details'!H:H)</f>
        <v>PT In Test</v>
      </c>
      <c r="AG600" s="42">
        <v>12</v>
      </c>
      <c r="AH600" s="42">
        <v>3</v>
      </c>
      <c r="AI600" s="42">
        <v>0</v>
      </c>
      <c r="AJ600" s="42">
        <v>0</v>
      </c>
      <c r="AK600" s="38">
        <f t="shared" si="69"/>
        <v>15</v>
      </c>
      <c r="AL600" s="39">
        <f t="shared" si="70"/>
        <v>1</v>
      </c>
      <c r="AM600" s="39">
        <f t="shared" si="71"/>
        <v>0.8</v>
      </c>
      <c r="AO600" s="25" t="str">
        <f>_xlfn.XLOOKUP(F600,'TFS Details'!F:F,'TFS Details'!I:I)</f>
        <v>CodeCrafters</v>
      </c>
      <c r="AP600" s="25" t="str">
        <f>_xlfn.XLOOKUP(AO600,'TFS Details'!I:I,'TFS Details'!AE:AE)</f>
        <v>sona.job</v>
      </c>
    </row>
    <row r="601" spans="1:42" ht="14.45">
      <c r="A601" s="24" t="str">
        <f>_xlfn.XLOOKUP(F601,'TFS Details'!F:F,'TFS Details'!D:D)</f>
        <v>DCSO</v>
      </c>
      <c r="B601" s="24" t="str">
        <f>_xlfn.XLOOKUP(F601,'TFS Details'!F:F,'TFS Details'!A:A)</f>
        <v>myISP - Digital DCSO Summary sections addition and Other changes</v>
      </c>
      <c r="C601" s="46">
        <f>_xlfn.XLOOKUP(F601,'TFS Details'!F:F,'TFS Details'!E:E)</f>
        <v>4446711</v>
      </c>
      <c r="D601" s="17" t="s">
        <v>31</v>
      </c>
      <c r="E601" s="17" t="s">
        <v>201</v>
      </c>
      <c r="F601" s="149">
        <v>4451600</v>
      </c>
      <c r="G601" s="161" t="s">
        <v>202</v>
      </c>
      <c r="I601" s="52" t="s">
        <v>114</v>
      </c>
      <c r="J601" s="250" t="s">
        <v>1</v>
      </c>
      <c r="K601" s="16" t="s">
        <v>203</v>
      </c>
      <c r="L601" s="23" t="s">
        <v>196</v>
      </c>
      <c r="M601" s="20" t="s">
        <v>461</v>
      </c>
      <c r="O601" s="273">
        <v>0.1</v>
      </c>
      <c r="V601" s="17" t="s">
        <v>204</v>
      </c>
      <c r="W601" s="17" t="s">
        <v>204</v>
      </c>
      <c r="X601" s="17" t="s">
        <v>204</v>
      </c>
      <c r="Y601" s="17" t="s">
        <v>197</v>
      </c>
      <c r="Z601" s="71">
        <v>30</v>
      </c>
      <c r="AA601" s="71">
        <v>21</v>
      </c>
      <c r="AB601" s="71">
        <v>0</v>
      </c>
      <c r="AC601" s="71">
        <v>21</v>
      </c>
      <c r="AD601" s="69">
        <v>1</v>
      </c>
      <c r="AE601" s="69">
        <v>0.9</v>
      </c>
      <c r="AF601" s="25" t="str">
        <f>_xlfn.XLOOKUP(F601,'TFS Details'!F:F,'TFS Details'!H:H)</f>
        <v>In Development</v>
      </c>
      <c r="AG601" s="42">
        <v>0</v>
      </c>
      <c r="AH601" s="42">
        <v>0</v>
      </c>
      <c r="AI601" s="42">
        <v>0</v>
      </c>
      <c r="AJ601" s="42">
        <v>21</v>
      </c>
      <c r="AK601" s="38">
        <f t="shared" si="69"/>
        <v>21</v>
      </c>
      <c r="AL601" s="39">
        <f t="shared" si="70"/>
        <v>0</v>
      </c>
      <c r="AM601" s="39">
        <f t="shared" si="71"/>
        <v>0</v>
      </c>
      <c r="AO601" s="25" t="str">
        <f>_xlfn.XLOOKUP(F601,'TFS Details'!F:F,'TFS Details'!I:I)</f>
        <v>TechStars</v>
      </c>
      <c r="AP601" s="25" t="str">
        <f>_xlfn.XLOOKUP(AO601,'TFS Details'!I:I,'TFS Details'!AE:AE)</f>
        <v>mohanraj.a.selvaraj</v>
      </c>
    </row>
    <row r="602" spans="1:42" ht="14.45">
      <c r="A602" s="24" t="str">
        <f>_xlfn.XLOOKUP(F602,'TFS Details'!F:F,'TFS Details'!D:D)</f>
        <v>PMO</v>
      </c>
      <c r="B602" s="24" t="str">
        <f>_xlfn.XLOOKUP(F602,'TFS Details'!F:F,'TFS Details'!A:A)</f>
        <v>[PMO] URL update for Manage and Dashboard screens</v>
      </c>
      <c r="C602" s="46">
        <f>_xlfn.XLOOKUP(F602,'TFS Details'!F:F,'TFS Details'!E:E)</f>
        <v>4440976</v>
      </c>
      <c r="D602" s="17" t="s">
        <v>31</v>
      </c>
      <c r="E602" s="17" t="s">
        <v>1346</v>
      </c>
      <c r="F602" s="149">
        <v>4447064</v>
      </c>
      <c r="G602" s="161" t="s">
        <v>202</v>
      </c>
      <c r="I602" s="52" t="s">
        <v>114</v>
      </c>
      <c r="J602" s="234" t="s">
        <v>1</v>
      </c>
      <c r="M602" s="20" t="s">
        <v>465</v>
      </c>
      <c r="O602" s="33">
        <v>0.1</v>
      </c>
      <c r="V602" s="17" t="s">
        <v>204</v>
      </c>
      <c r="W602" s="17" t="s">
        <v>204</v>
      </c>
      <c r="X602" s="17" t="s">
        <v>204</v>
      </c>
      <c r="Y602" s="17" t="s">
        <v>197</v>
      </c>
      <c r="Z602" s="71">
        <v>18</v>
      </c>
      <c r="AA602" s="71">
        <v>12</v>
      </c>
      <c r="AB602" s="71">
        <v>0</v>
      </c>
      <c r="AC602" s="71">
        <v>12</v>
      </c>
      <c r="AD602" s="69">
        <v>1</v>
      </c>
      <c r="AE602" s="69">
        <v>0.9</v>
      </c>
      <c r="AF602" s="25" t="str">
        <f>_xlfn.XLOOKUP(F602,'TFS Details'!F:F,'TFS Details'!H:H)</f>
        <v>Active</v>
      </c>
      <c r="AG602" s="42">
        <v>0</v>
      </c>
      <c r="AH602" s="42">
        <v>0</v>
      </c>
      <c r="AI602" s="42">
        <v>0</v>
      </c>
      <c r="AJ602" s="42">
        <v>12</v>
      </c>
      <c r="AK602" s="38">
        <f t="shared" si="69"/>
        <v>12</v>
      </c>
      <c r="AL602" s="39">
        <f t="shared" si="70"/>
        <v>0</v>
      </c>
      <c r="AM602" s="39">
        <f t="shared" si="71"/>
        <v>0</v>
      </c>
      <c r="AO602" s="25" t="str">
        <f>_xlfn.XLOOKUP(F602,'TFS Details'!F:F,'TFS Details'!I:I)</f>
        <v>TechStars</v>
      </c>
      <c r="AP602" s="25" t="str">
        <f>_xlfn.XLOOKUP(AO602,'TFS Details'!I:I,'TFS Details'!AE:AE)</f>
        <v>mohanraj.a.selvaraj</v>
      </c>
    </row>
    <row r="603" spans="1:42" ht="24">
      <c r="A603" s="24" t="str">
        <f>_xlfn.XLOOKUP(F603,'TFS Details'!F:F,'TFS Details'!D:D)</f>
        <v>PMO</v>
      </c>
      <c r="B603" s="24" t="str">
        <f>_xlfn.XLOOKUP(F603,'TFS Details'!F:F,'TFS Details'!A:A)</f>
        <v>[PMO] URL update for Manage and Dashboard screens</v>
      </c>
      <c r="C603" s="46">
        <f>_xlfn.XLOOKUP(F603,'TFS Details'!F:F,'TFS Details'!E:E)</f>
        <v>4440976</v>
      </c>
      <c r="D603" s="17" t="s">
        <v>75</v>
      </c>
      <c r="E603" s="17" t="s">
        <v>1347</v>
      </c>
      <c r="F603" s="181" t="s">
        <v>1348</v>
      </c>
      <c r="G603" s="18" t="s">
        <v>1349</v>
      </c>
      <c r="H603" s="17" t="s">
        <v>1350</v>
      </c>
      <c r="J603" s="250" t="s">
        <v>18</v>
      </c>
      <c r="K603" s="16" t="s">
        <v>66</v>
      </c>
      <c r="L603" s="16" t="s">
        <v>66</v>
      </c>
      <c r="V603" s="17" t="s">
        <v>204</v>
      </c>
      <c r="W603" s="17" t="s">
        <v>204</v>
      </c>
      <c r="X603" s="17" t="s">
        <v>204</v>
      </c>
      <c r="Y603" s="17" t="s">
        <v>197</v>
      </c>
      <c r="AF603" s="25" t="str">
        <f>_xlfn.XLOOKUP(F603,'TFS Details'!F:F,'TFS Details'!H:H)</f>
        <v>Ready for Test</v>
      </c>
      <c r="AG603" s="42">
        <v>0</v>
      </c>
      <c r="AH603" s="42">
        <v>0</v>
      </c>
      <c r="AI603" s="42">
        <v>0</v>
      </c>
      <c r="AJ603" s="42">
        <v>28</v>
      </c>
      <c r="AK603" s="38">
        <f t="shared" si="69"/>
        <v>28</v>
      </c>
      <c r="AL603" s="39">
        <f t="shared" si="70"/>
        <v>0</v>
      </c>
      <c r="AM603" s="39">
        <f t="shared" si="71"/>
        <v>0</v>
      </c>
      <c r="AO603" s="25" t="str">
        <f>_xlfn.XLOOKUP(F603,'TFS Details'!F:F,'TFS Details'!I:I)</f>
        <v>Simba</v>
      </c>
      <c r="AP603" s="25" t="str">
        <f>_xlfn.XLOOKUP(AO603,'TFS Details'!I:I,'TFS Details'!AE:AE)</f>
        <v>m.ohlan</v>
      </c>
    </row>
    <row r="604" spans="1:42" ht="24">
      <c r="A604" s="24" t="str">
        <f>_xlfn.XLOOKUP(F604,'TFS Details'!F:F,'TFS Details'!D:D)</f>
        <v>Changes related to custome parameter file</v>
      </c>
      <c r="B604" s="24" t="str">
        <f>_xlfn.XLOOKUP(F604,'TFS Details'!F:F,'TFS Details'!A:A)</f>
        <v>FY26 [BPMS BAU] - Changes related to custom parameter file</v>
      </c>
      <c r="C604" s="46">
        <f>_xlfn.XLOOKUP(F604,'TFS Details'!F:F,'TFS Details'!E:E)</f>
        <v>4436379</v>
      </c>
      <c r="D604" s="17" t="s">
        <v>75</v>
      </c>
      <c r="E604" s="17" t="s">
        <v>1351</v>
      </c>
      <c r="F604" s="181" t="s">
        <v>1352</v>
      </c>
      <c r="G604" s="18" t="s">
        <v>747</v>
      </c>
      <c r="H604" s="17" t="s">
        <v>746</v>
      </c>
      <c r="J604" s="250" t="s">
        <v>18</v>
      </c>
      <c r="K604" s="16" t="s">
        <v>66</v>
      </c>
      <c r="L604" s="16" t="s">
        <v>66</v>
      </c>
      <c r="V604" s="17" t="s">
        <v>204</v>
      </c>
      <c r="W604" s="17" t="s">
        <v>204</v>
      </c>
      <c r="X604" s="17" t="s">
        <v>204</v>
      </c>
      <c r="Y604" s="17" t="s">
        <v>197</v>
      </c>
      <c r="AF604" s="25" t="str">
        <f>_xlfn.XLOOKUP(F604,'TFS Details'!F:F,'TFS Details'!H:H)</f>
        <v>Ready to develop</v>
      </c>
      <c r="AG604" s="42">
        <v>0</v>
      </c>
      <c r="AH604" s="42">
        <v>0</v>
      </c>
      <c r="AI604" s="42">
        <v>0</v>
      </c>
      <c r="AJ604" s="42">
        <v>10</v>
      </c>
      <c r="AK604" s="38">
        <f t="shared" si="69"/>
        <v>10</v>
      </c>
      <c r="AL604" s="39">
        <f t="shared" si="70"/>
        <v>0</v>
      </c>
      <c r="AM604" s="39">
        <f t="shared" si="71"/>
        <v>0</v>
      </c>
      <c r="AO604" s="25" t="str">
        <f>_xlfn.XLOOKUP(F604,'TFS Details'!F:F,'TFS Details'!I:I)</f>
        <v>Pluto</v>
      </c>
      <c r="AP604" s="25" t="str">
        <f>_xlfn.XLOOKUP(AO604,'TFS Details'!I:I,'TFS Details'!AE:AE)</f>
        <v>m.ohlan</v>
      </c>
    </row>
    <row r="605" spans="1:42" ht="24">
      <c r="A605" s="24" t="str">
        <f>_xlfn.XLOOKUP(F605,'TFS Details'!F:F,'TFS Details'!D:D)</f>
        <v>PMO</v>
      </c>
      <c r="B605" s="24" t="str">
        <f>_xlfn.XLOOKUP(F605,'TFS Details'!F:F,'TFS Details'!A:A)</f>
        <v>[PMO] URL update for Manage and Dashboard screens</v>
      </c>
      <c r="C605" s="46">
        <f>_xlfn.XLOOKUP(F605,'TFS Details'!F:F,'TFS Details'!E:E)</f>
        <v>4440976</v>
      </c>
      <c r="D605" s="17" t="s">
        <v>24</v>
      </c>
      <c r="E605" s="17" t="s">
        <v>1353</v>
      </c>
      <c r="F605" s="149">
        <v>4447583</v>
      </c>
      <c r="G605" s="18" t="s">
        <v>609</v>
      </c>
      <c r="H605" s="17" t="s">
        <v>608</v>
      </c>
      <c r="J605" s="250" t="s">
        <v>18</v>
      </c>
      <c r="K605" s="58" t="s">
        <v>1354</v>
      </c>
      <c r="L605" s="16" t="s">
        <v>599</v>
      </c>
      <c r="V605" s="17" t="s">
        <v>204</v>
      </c>
      <c r="W605" s="17" t="s">
        <v>204</v>
      </c>
      <c r="X605" s="17" t="s">
        <v>197</v>
      </c>
      <c r="Y605" s="17" t="s">
        <v>197</v>
      </c>
      <c r="Z605" s="71">
        <v>31</v>
      </c>
      <c r="AA605" s="71">
        <v>10</v>
      </c>
      <c r="AB605" s="71">
        <v>8</v>
      </c>
      <c r="AC605" s="71">
        <v>18</v>
      </c>
      <c r="AD605" s="69">
        <v>0.9</v>
      </c>
      <c r="AE605" s="69">
        <v>0.9</v>
      </c>
      <c r="AF605" s="25" t="str">
        <f>_xlfn.XLOOKUP(F605,'TFS Details'!F:F,'TFS Details'!H:H)</f>
        <v>In Development</v>
      </c>
      <c r="AG605" s="42">
        <v>0</v>
      </c>
      <c r="AH605" s="42">
        <v>0</v>
      </c>
      <c r="AI605" s="42">
        <v>0</v>
      </c>
      <c r="AJ605" s="42">
        <v>18</v>
      </c>
      <c r="AK605" s="38">
        <f t="shared" si="69"/>
        <v>18</v>
      </c>
      <c r="AL605" s="39">
        <f t="shared" si="70"/>
        <v>0</v>
      </c>
      <c r="AM605" s="39">
        <f t="shared" si="71"/>
        <v>0</v>
      </c>
      <c r="AO605" s="25" t="str">
        <f>_xlfn.XLOOKUP(F605,'TFS Details'!F:F,'TFS Details'!I:I)</f>
        <v>GoRetro</v>
      </c>
      <c r="AP605" s="25" t="str">
        <f>_xlfn.XLOOKUP(AO605,'TFS Details'!I:I,'TFS Details'!AE:AE)</f>
        <v>sowjanya.kari</v>
      </c>
    </row>
    <row r="606" spans="1:42">
      <c r="A606" s="24" t="str">
        <f>_xlfn.XLOOKUP(F606,'TFS Details'!F:F,'TFS Details'!D:D)</f>
        <v>DFD</v>
      </c>
      <c r="B606" s="24" t="str">
        <f>_xlfn.XLOOKUP(F606,'TFS Details'!F:F,'TFS Details'!A:A)</f>
        <v>DFD Routing logic update</v>
      </c>
      <c r="C606" s="46">
        <f>_xlfn.XLOOKUP(F606,'TFS Details'!F:F,'TFS Details'!E:E)</f>
        <v>4448487</v>
      </c>
      <c r="D606" s="17" t="s">
        <v>24</v>
      </c>
      <c r="E606" s="17" t="s">
        <v>1355</v>
      </c>
      <c r="F606" s="149">
        <v>4456454</v>
      </c>
      <c r="G606" s="18" t="s">
        <v>1356</v>
      </c>
      <c r="H606" s="17" t="s">
        <v>608</v>
      </c>
      <c r="J606" s="250" t="s">
        <v>18</v>
      </c>
      <c r="K606" s="58" t="s">
        <v>1357</v>
      </c>
      <c r="L606" s="234" t="s">
        <v>36</v>
      </c>
      <c r="V606" s="182" t="s">
        <v>204</v>
      </c>
      <c r="W606" s="182" t="s">
        <v>204</v>
      </c>
      <c r="X606" s="17" t="s">
        <v>197</v>
      </c>
      <c r="Y606" s="17" t="s">
        <v>204</v>
      </c>
      <c r="Z606" s="71">
        <v>25</v>
      </c>
      <c r="AA606" s="71">
        <v>10</v>
      </c>
      <c r="AB606" s="71">
        <v>6</v>
      </c>
      <c r="AC606" s="71">
        <v>16</v>
      </c>
      <c r="AD606" s="69">
        <v>0.5</v>
      </c>
      <c r="AE606" s="69">
        <v>0.6</v>
      </c>
      <c r="AF606" s="25" t="str">
        <f>_xlfn.XLOOKUP(F606,'TFS Details'!F:F,'TFS Details'!H:H)</f>
        <v>PT In Test</v>
      </c>
      <c r="AG606" s="42">
        <v>16</v>
      </c>
      <c r="AH606" s="42">
        <v>0</v>
      </c>
      <c r="AI606" s="42">
        <v>0</v>
      </c>
      <c r="AJ606" s="42">
        <v>0</v>
      </c>
      <c r="AK606" s="38">
        <f>SUM(AG606:AJ606)</f>
        <v>16</v>
      </c>
      <c r="AL606" s="39">
        <f t="shared" si="70"/>
        <v>1</v>
      </c>
      <c r="AM606" s="39">
        <f t="shared" si="71"/>
        <v>1</v>
      </c>
      <c r="AO606" s="25" t="str">
        <f>_xlfn.XLOOKUP(F606,'TFS Details'!F:F,'TFS Details'!I:I)</f>
        <v>BackDoorGuardians</v>
      </c>
      <c r="AP606" s="25" t="str">
        <f>_xlfn.XLOOKUP(AO606,'TFS Details'!I:I,'TFS Details'!AE:AE)</f>
        <v>sona.job</v>
      </c>
    </row>
    <row r="607" spans="1:42">
      <c r="A607" s="24" t="str">
        <f>_xlfn.XLOOKUP(F607,'TFS Details'!F:F,'TFS Details'!D:D)</f>
        <v>DFD</v>
      </c>
      <c r="B607" s="24" t="str">
        <f>_xlfn.XLOOKUP(F607,'TFS Details'!F:F,'TFS Details'!A:A)</f>
        <v>DFD Routing logic update</v>
      </c>
      <c r="C607" s="46">
        <f>_xlfn.XLOOKUP(F607,'TFS Details'!F:F,'TFS Details'!E:E)</f>
        <v>4448487</v>
      </c>
      <c r="D607" s="17" t="s">
        <v>24</v>
      </c>
      <c r="E607" s="17" t="s">
        <v>1358</v>
      </c>
      <c r="F607" s="149">
        <v>4458807</v>
      </c>
      <c r="G607" s="18" t="s">
        <v>608</v>
      </c>
      <c r="H607" s="17" t="s">
        <v>1356</v>
      </c>
      <c r="J607" s="250" t="s">
        <v>18</v>
      </c>
      <c r="K607" s="58" t="s">
        <v>1357</v>
      </c>
      <c r="L607" s="234" t="s">
        <v>36</v>
      </c>
      <c r="V607" s="17" t="s">
        <v>204</v>
      </c>
      <c r="W607" s="17" t="s">
        <v>204</v>
      </c>
      <c r="X607" s="17" t="s">
        <v>197</v>
      </c>
      <c r="Y607" s="17" t="s">
        <v>183</v>
      </c>
      <c r="Z607" s="71">
        <v>30</v>
      </c>
      <c r="AA607" s="71">
        <v>13</v>
      </c>
      <c r="AB607" s="71">
        <v>25</v>
      </c>
      <c r="AC607" s="71">
        <v>38</v>
      </c>
      <c r="AD607" s="69">
        <v>0.6</v>
      </c>
      <c r="AE607" s="69">
        <v>0.5</v>
      </c>
      <c r="AF607" s="25" t="str">
        <f>_xlfn.XLOOKUP(F607,'TFS Details'!F:F,'TFS Details'!H:H)</f>
        <v>Blocked in PT</v>
      </c>
      <c r="AG607" s="42">
        <v>10</v>
      </c>
      <c r="AH607" s="42">
        <v>0</v>
      </c>
      <c r="AI607" s="42">
        <v>28</v>
      </c>
      <c r="AJ607" s="42">
        <v>0</v>
      </c>
      <c r="AK607" s="38">
        <f t="shared" ref="AK607:AK609" si="72">SUM(AG607:AJ607)</f>
        <v>38</v>
      </c>
      <c r="AL607" s="39">
        <f t="shared" si="70"/>
        <v>0.26315789473684209</v>
      </c>
      <c r="AM607" s="39">
        <f t="shared" si="71"/>
        <v>0.26315789473684209</v>
      </c>
      <c r="AO607" s="25" t="str">
        <f>_xlfn.XLOOKUP(F607,'TFS Details'!F:F,'TFS Details'!I:I)</f>
        <v>BackDoorGuardians</v>
      </c>
      <c r="AP607" s="25" t="str">
        <f>_xlfn.XLOOKUP(AO607,'TFS Details'!I:I,'TFS Details'!AE:AE)</f>
        <v>sona.job</v>
      </c>
    </row>
    <row r="608" spans="1:42" ht="12" customHeight="1">
      <c r="A608" s="24" t="str">
        <f>_xlfn.XLOOKUP(F608,'TFS Details'!F:F,'TFS Details'!D:D)</f>
        <v>BPMS Onboarding</v>
      </c>
      <c r="B608" s="24" t="str">
        <f>_xlfn.XLOOKUP(F608,'TFS Details'!F:F,'TFS Details'!A:A)</f>
        <v>FTS Email and Backend Flag Synchronization Across All Trigger Sources</v>
      </c>
      <c r="C608" s="46">
        <f>_xlfn.XLOOKUP(F608,'TFS Details'!F:F,'TFS Details'!E:E)</f>
        <v>4440060</v>
      </c>
      <c r="D608" s="17" t="s">
        <v>24</v>
      </c>
      <c r="E608" s="19" t="s">
        <v>1359</v>
      </c>
      <c r="F608" s="154">
        <v>4440021</v>
      </c>
      <c r="G608" s="18" t="s">
        <v>608</v>
      </c>
      <c r="H608" s="17" t="s">
        <v>609</v>
      </c>
      <c r="I608" s="21" t="s">
        <v>610</v>
      </c>
      <c r="J608" s="250" t="s">
        <v>20</v>
      </c>
      <c r="K608" s="58" t="s">
        <v>606</v>
      </c>
      <c r="L608" s="250" t="s">
        <v>460</v>
      </c>
      <c r="O608" s="273">
        <v>0.1</v>
      </c>
      <c r="V608" s="17" t="s">
        <v>204</v>
      </c>
      <c r="W608" s="192" t="s">
        <v>204</v>
      </c>
      <c r="X608" s="17" t="s">
        <v>197</v>
      </c>
      <c r="Y608" s="17" t="s">
        <v>183</v>
      </c>
      <c r="Z608" s="71">
        <v>15</v>
      </c>
      <c r="AA608" s="71">
        <v>2</v>
      </c>
      <c r="AB608" s="71">
        <v>14</v>
      </c>
      <c r="AC608" s="71">
        <v>16</v>
      </c>
      <c r="AD608" s="69">
        <v>0.6</v>
      </c>
      <c r="AE608" s="69">
        <v>0.5</v>
      </c>
      <c r="AF608" s="25" t="str">
        <f>_xlfn.XLOOKUP(F608,'TFS Details'!F:F,'TFS Details'!H:H)</f>
        <v>Blocked in PT</v>
      </c>
      <c r="AG608" s="42">
        <v>0</v>
      </c>
      <c r="AH608" s="42">
        <v>0</v>
      </c>
      <c r="AI608" s="42">
        <v>16</v>
      </c>
      <c r="AJ608" s="42">
        <v>0</v>
      </c>
      <c r="AK608" s="38">
        <f t="shared" si="72"/>
        <v>16</v>
      </c>
      <c r="AL608" s="39">
        <f t="shared" si="70"/>
        <v>0</v>
      </c>
      <c r="AM608" s="39">
        <f t="shared" si="71"/>
        <v>0</v>
      </c>
      <c r="AO608" s="25" t="str">
        <f>_xlfn.XLOOKUP(F608,'TFS Details'!F:F,'TFS Details'!I:I)</f>
        <v>Pacemakers</v>
      </c>
      <c r="AP608" s="25" t="str">
        <f>_xlfn.XLOOKUP(AO608,'TFS Details'!I:I,'TFS Details'!AE:AE)</f>
        <v>sona.job</v>
      </c>
    </row>
    <row r="609" spans="1:42" ht="12" customHeight="1">
      <c r="A609" s="24" t="str">
        <f>_xlfn.XLOOKUP(F609,'TFS Details'!F:F,'TFS Details'!D:D)</f>
        <v>DCSO</v>
      </c>
      <c r="B609" s="24" t="str">
        <f>_xlfn.XLOOKUP(F609,'TFS Details'!F:F,'TFS Details'!A:A)</f>
        <v>myISP - Digital DCSO Summary sections addition and Other changes</v>
      </c>
      <c r="C609" s="46">
        <f>_xlfn.XLOOKUP(F609,'TFS Details'!F:F,'TFS Details'!E:E)</f>
        <v>4446711</v>
      </c>
      <c r="D609" s="17" t="s">
        <v>31</v>
      </c>
      <c r="E609" s="19" t="s">
        <v>193</v>
      </c>
      <c r="F609" s="154">
        <v>4462742</v>
      </c>
      <c r="G609" s="18" t="s">
        <v>194</v>
      </c>
      <c r="I609" s="52" t="s">
        <v>97</v>
      </c>
      <c r="J609" s="250" t="s">
        <v>1</v>
      </c>
      <c r="K609" s="177" t="s">
        <v>195</v>
      </c>
      <c r="L609" s="23" t="s">
        <v>196</v>
      </c>
      <c r="M609" s="20" t="s">
        <v>461</v>
      </c>
      <c r="O609" s="33">
        <v>0.25</v>
      </c>
      <c r="V609" s="17" t="s">
        <v>204</v>
      </c>
      <c r="W609" s="17" t="s">
        <v>204</v>
      </c>
      <c r="X609" s="17" t="s">
        <v>204</v>
      </c>
      <c r="Y609" s="17" t="s">
        <v>197</v>
      </c>
      <c r="Z609" s="71">
        <v>12</v>
      </c>
      <c r="AA609" s="71">
        <v>10</v>
      </c>
      <c r="AB609" s="71">
        <v>12</v>
      </c>
      <c r="AC609" s="71">
        <v>12</v>
      </c>
      <c r="AD609" s="69">
        <v>0.8</v>
      </c>
      <c r="AE609" s="69">
        <v>0.8</v>
      </c>
      <c r="AF609" s="25" t="str">
        <f>_xlfn.XLOOKUP(F609,'TFS Details'!F:F,'TFS Details'!H:H)</f>
        <v>PT In Test</v>
      </c>
      <c r="AG609" s="42">
        <v>2</v>
      </c>
      <c r="AH609" s="42">
        <v>0</v>
      </c>
      <c r="AI609" s="42">
        <v>0</v>
      </c>
      <c r="AJ609" s="42">
        <v>10</v>
      </c>
      <c r="AK609" s="38">
        <f t="shared" si="72"/>
        <v>12</v>
      </c>
      <c r="AL609" s="39">
        <f t="shared" si="70"/>
        <v>0.16666666666666666</v>
      </c>
      <c r="AM609" s="39">
        <f t="shared" si="71"/>
        <v>1</v>
      </c>
      <c r="AO609" s="25" t="str">
        <f>_xlfn.XLOOKUP(F609,'TFS Details'!F:F,'TFS Details'!I:I)</f>
        <v>TechStars</v>
      </c>
      <c r="AP609" s="25" t="str">
        <f>_xlfn.XLOOKUP(AO609,'TFS Details'!I:I,'TFS Details'!AE:AE)</f>
        <v>mohanraj.a.selvaraj</v>
      </c>
    </row>
    <row r="610" spans="1:42" ht="12" customHeight="1">
      <c r="A610" s="24" t="str">
        <f>_xlfn.XLOOKUP(F610,'TFS Details'!F:F,'TFS Details'!D:D)</f>
        <v>PCW</v>
      </c>
      <c r="B610" s="24" t="str">
        <f>_xlfn.XLOOKUP(F610,'TFS Details'!F:F,'TFS Details'!A:A)</f>
        <v>PCW - IPC Toolkit Cost Update</v>
      </c>
      <c r="C610" s="46">
        <f>_xlfn.XLOOKUP(F610,'TFS Details'!F:F,'TFS Details'!E:E)</f>
        <v>4368214</v>
      </c>
      <c r="D610" s="17" t="s">
        <v>27</v>
      </c>
      <c r="E610" s="19" t="s">
        <v>207</v>
      </c>
      <c r="F610" s="157">
        <v>4467805</v>
      </c>
      <c r="G610" s="18" t="s">
        <v>422</v>
      </c>
      <c r="H610" s="17" t="s">
        <v>1360</v>
      </c>
      <c r="J610" s="66" t="s">
        <v>18</v>
      </c>
      <c r="K610" s="58" t="s">
        <v>59</v>
      </c>
      <c r="L610" s="16" t="s">
        <v>59</v>
      </c>
      <c r="V610" s="17" t="s">
        <v>204</v>
      </c>
      <c r="W610" s="17" t="s">
        <v>216</v>
      </c>
      <c r="X610" s="17" t="s">
        <v>197</v>
      </c>
      <c r="Y610" s="17" t="s">
        <v>197</v>
      </c>
      <c r="Z610" s="71">
        <v>17</v>
      </c>
      <c r="AA610" s="71">
        <v>5</v>
      </c>
      <c r="AB610" s="71">
        <v>4</v>
      </c>
      <c r="AC610" s="71">
        <v>5</v>
      </c>
      <c r="AD610" s="69">
        <v>0.4</v>
      </c>
      <c r="AE610" s="69">
        <v>0.5</v>
      </c>
      <c r="AF610" s="25" t="str">
        <f>_xlfn.XLOOKUP(F610,'TFS Details'!F:F,'TFS Details'!H:H)</f>
        <v>Active</v>
      </c>
      <c r="AG610" s="42">
        <v>0</v>
      </c>
      <c r="AH610" s="42">
        <v>0</v>
      </c>
      <c r="AI610" s="42">
        <v>0</v>
      </c>
      <c r="AJ610" s="42">
        <v>5</v>
      </c>
      <c r="AK610" s="38">
        <f>SUM(AG610:AJ610)</f>
        <v>5</v>
      </c>
      <c r="AL610" s="39">
        <f>IF(AG610+AH610=0,0,SUM(AG610:AH610)/AK610)</f>
        <v>0</v>
      </c>
      <c r="AM610" s="39">
        <f>IF(AG610=0,0,AG610/(SUM(AG610:AI610)))</f>
        <v>0</v>
      </c>
      <c r="AO610" s="25" t="str">
        <f>_xlfn.XLOOKUP(F610,'TFS Details'!F:F,'TFS Details'!I:I)</f>
        <v>TechAvatar</v>
      </c>
      <c r="AP610" s="25" t="str">
        <f>_xlfn.XLOOKUP(AO610,'TFS Details'!I:I,'TFS Details'!AE:AE)</f>
        <v>mervinkumar.manickam</v>
      </c>
    </row>
    <row r="611" spans="1:42" ht="12" customHeight="1">
      <c r="D611" s="17" t="s">
        <v>31</v>
      </c>
      <c r="E611" s="19" t="s">
        <v>1361</v>
      </c>
      <c r="F611" s="32">
        <v>4362582</v>
      </c>
      <c r="G611" s="18" t="s">
        <v>661</v>
      </c>
      <c r="I611" s="21" t="s">
        <v>86</v>
      </c>
      <c r="J611" s="17" t="s">
        <v>1</v>
      </c>
      <c r="M611" s="20" t="s">
        <v>465</v>
      </c>
      <c r="O611" s="273">
        <v>0.2</v>
      </c>
    </row>
    <row r="612" spans="1:42">
      <c r="D612" s="17" t="s">
        <v>31</v>
      </c>
      <c r="E612" s="216" t="s">
        <v>1362</v>
      </c>
      <c r="F612" s="32">
        <v>4362592</v>
      </c>
      <c r="G612" s="18" t="s">
        <v>330</v>
      </c>
      <c r="I612" s="21" t="s">
        <v>86</v>
      </c>
      <c r="J612" s="17" t="s">
        <v>1</v>
      </c>
      <c r="M612" s="20" t="s">
        <v>465</v>
      </c>
      <c r="O612" s="273">
        <v>0.2</v>
      </c>
    </row>
    <row r="613" spans="1:42" ht="12" customHeight="1">
      <c r="B613" s="20" t="s">
        <v>1363</v>
      </c>
      <c r="C613" s="17">
        <v>4482777</v>
      </c>
      <c r="D613" s="17" t="s">
        <v>75</v>
      </c>
      <c r="E613" s="217" t="s">
        <v>1363</v>
      </c>
      <c r="F613" s="278">
        <v>4440215</v>
      </c>
      <c r="G613" s="18" t="s">
        <v>746</v>
      </c>
      <c r="H613" s="17" t="s">
        <v>749</v>
      </c>
    </row>
    <row r="614" spans="1:42" ht="12" customHeight="1">
      <c r="B614" s="20" t="s">
        <v>1364</v>
      </c>
      <c r="C614" s="17">
        <v>4482781</v>
      </c>
      <c r="D614" s="17" t="s">
        <v>75</v>
      </c>
      <c r="E614" s="213" t="s">
        <v>1364</v>
      </c>
      <c r="F614" s="32">
        <v>4440247</v>
      </c>
      <c r="G614" s="18" t="s">
        <v>747</v>
      </c>
      <c r="H614" s="17" t="s">
        <v>746</v>
      </c>
    </row>
    <row r="615" spans="1:42" ht="12" customHeight="1">
      <c r="C615" s="17">
        <v>4422839</v>
      </c>
      <c r="D615" s="17" t="s">
        <v>27</v>
      </c>
      <c r="E615" s="218" t="s">
        <v>1365</v>
      </c>
      <c r="F615" s="286">
        <v>4449850</v>
      </c>
      <c r="G615" s="18" t="s">
        <v>208</v>
      </c>
      <c r="H615" s="17" t="s">
        <v>419</v>
      </c>
      <c r="I615" s="21" t="s">
        <v>55</v>
      </c>
      <c r="J615" s="250" t="s">
        <v>20</v>
      </c>
      <c r="K615" s="58" t="s">
        <v>1366</v>
      </c>
      <c r="M615" s="20" t="s">
        <v>461</v>
      </c>
      <c r="N615" s="45">
        <v>1</v>
      </c>
      <c r="O615" s="33">
        <v>0.2</v>
      </c>
      <c r="P615" s="33">
        <v>0.04</v>
      </c>
      <c r="Q615" s="33">
        <v>0.02</v>
      </c>
      <c r="R615" s="33">
        <v>0.01</v>
      </c>
      <c r="S615" s="33">
        <v>0.01</v>
      </c>
      <c r="T615" s="33">
        <v>0.6</v>
      </c>
      <c r="U615" s="33">
        <v>0.6</v>
      </c>
      <c r="V615" s="17" t="s">
        <v>216</v>
      </c>
      <c r="W615" s="17" t="s">
        <v>216</v>
      </c>
      <c r="X615" s="17" t="s">
        <v>197</v>
      </c>
      <c r="Y615" s="17" t="s">
        <v>197</v>
      </c>
      <c r="AG615" s="236">
        <v>0</v>
      </c>
      <c r="AH615" s="236">
        <v>0</v>
      </c>
      <c r="AI615" s="236">
        <v>0</v>
      </c>
      <c r="AJ615" s="236">
        <v>2</v>
      </c>
      <c r="AK615" s="260">
        <v>2</v>
      </c>
      <c r="AL615" s="261">
        <f>IF(AG615+AH615=0,0,SUM(AG615:AH615)/AK615)</f>
        <v>0</v>
      </c>
      <c r="AM615" s="261">
        <f>IF(AG615=0,0,AG615/(SUM(AG615:AI615)))</f>
        <v>0</v>
      </c>
      <c r="AO615" s="17" t="s">
        <v>387</v>
      </c>
      <c r="AP615" s="17" t="s">
        <v>218</v>
      </c>
    </row>
    <row r="616" spans="1:42" ht="12" customHeight="1">
      <c r="D616" s="19"/>
      <c r="E616" s="287"/>
      <c r="F616" s="288"/>
      <c r="AE616" s="237"/>
    </row>
    <row r="617" spans="1:42" ht="12" customHeight="1">
      <c r="D617" s="19"/>
      <c r="E617" s="287"/>
      <c r="F617" s="288"/>
    </row>
    <row r="618" spans="1:42" ht="12" customHeight="1">
      <c r="E618" s="59"/>
    </row>
    <row r="626" spans="28:28" ht="12" customHeight="1">
      <c r="AB626" s="71" t="s">
        <v>1367</v>
      </c>
    </row>
  </sheetData>
  <sheetProtection autoFilter="0"/>
  <autoFilter ref="A1:AQ1" xr:uid="{35050070-D89D-45C4-9B95-2EC2400183B0}"/>
  <conditionalFormatting sqref="V242">
    <cfRule type="containsText" dxfId="29" priority="11" operator="containsText" text="In Progress">
      <formula>NOT(ISERROR(SEARCH("In Progress",V242)))</formula>
    </cfRule>
    <cfRule type="containsText" dxfId="28" priority="12" operator="containsText" text="Completed">
      <formula>NOT(ISERROR(SEARCH("Completed",V242)))</formula>
    </cfRule>
  </conditionalFormatting>
  <conditionalFormatting sqref="V522:V523 X522:Y523 V530 X530:Y530 V524:Y529 V531:Y1048576 V2:Y521">
    <cfRule type="containsText" dxfId="27" priority="41" operator="containsText" text="Completed">
      <formula>NOT(ISERROR(SEARCH("Completed",V2)))</formula>
    </cfRule>
  </conditionalFormatting>
  <conditionalFormatting sqref="V522:V523 X522:Y523 V530 X530:Y530 V524:Y529 V531:Y1048576 V2:Y521">
    <cfRule type="containsText" dxfId="26" priority="40" operator="containsText" text="In Progress">
      <formula>NOT(ISERROR(SEARCH("In Progress",V2)))</formula>
    </cfRule>
  </conditionalFormatting>
  <conditionalFormatting sqref="W25 W32:W33 W40:W42 W37:X37">
    <cfRule type="containsText" dxfId="25" priority="9" operator="containsText" text="In Progress">
      <formula>NOT(ISERROR(SEARCH("In Progress",W25)))</formula>
    </cfRule>
    <cfRule type="containsText" dxfId="24" priority="10" operator="containsText" text="Completed">
      <formula>NOT(ISERROR(SEARCH("Completed",W25)))</formula>
    </cfRule>
  </conditionalFormatting>
  <conditionalFormatting sqref="W131">
    <cfRule type="containsText" dxfId="23" priority="27" operator="containsText" text="In Progress">
      <formula>NOT(ISERROR(SEARCH("In Progress",W131)))</formula>
    </cfRule>
    <cfRule type="containsText" dxfId="22" priority="28" operator="containsText" text="Completed">
      <formula>NOT(ISERROR(SEARCH("Completed",W131)))</formula>
    </cfRule>
  </conditionalFormatting>
  <conditionalFormatting sqref="W135">
    <cfRule type="containsText" dxfId="21" priority="21" operator="containsText" text="In Progress">
      <formula>NOT(ISERROR(SEARCH("In Progress",W135)))</formula>
    </cfRule>
    <cfRule type="containsText" dxfId="20" priority="22" operator="containsText" text="Completed">
      <formula>NOT(ISERROR(SEARCH("Completed",W135)))</formula>
    </cfRule>
  </conditionalFormatting>
  <conditionalFormatting sqref="W171:W173">
    <cfRule type="containsText" dxfId="19" priority="33" operator="containsText" text="In Progress">
      <formula>NOT(ISERROR(SEARCH("In Progress",W171)))</formula>
    </cfRule>
    <cfRule type="containsText" dxfId="18" priority="34" operator="containsText" text="Completed">
      <formula>NOT(ISERROR(SEARCH("Completed",W171)))</formula>
    </cfRule>
  </conditionalFormatting>
  <conditionalFormatting sqref="W607">
    <cfRule type="containsText" dxfId="17" priority="23" operator="containsText" text="In Progress">
      <formula>NOT(ISERROR(SEARCH("In Progress",W607)))</formula>
    </cfRule>
    <cfRule type="containsText" dxfId="16" priority="24" operator="containsText" text="Completed">
      <formula>NOT(ISERROR(SEARCH("Completed",W607)))</formula>
    </cfRule>
  </conditionalFormatting>
  <conditionalFormatting sqref="W146:X154 W156:X156">
    <cfRule type="containsText" dxfId="15" priority="29" operator="containsText" text="In Progress">
      <formula>NOT(ISERROR(SEARCH("In Progress",W146)))</formula>
    </cfRule>
    <cfRule type="containsText" dxfId="14" priority="30" operator="containsText" text="Completed">
      <formula>NOT(ISERROR(SEARCH("Completed",W146)))</formula>
    </cfRule>
  </conditionalFormatting>
  <conditionalFormatting sqref="X145 X184:X186">
    <cfRule type="containsText" dxfId="13" priority="13" operator="containsText" text="In Progress">
      <formula>NOT(ISERROR(SEARCH("In Progress",X145)))</formula>
    </cfRule>
    <cfRule type="containsText" dxfId="12" priority="14" operator="containsText" text="Completed">
      <formula>NOT(ISERROR(SEARCH("Completed",X145)))</formula>
    </cfRule>
  </conditionalFormatting>
  <conditionalFormatting sqref="Y458">
    <cfRule type="containsText" dxfId="11" priority="17" operator="containsText" text="In Progress">
      <formula>NOT(ISERROR(SEARCH("In Progress",Y458)))</formula>
    </cfRule>
    <cfRule type="containsText" dxfId="10" priority="18" operator="containsText" text="Completed">
      <formula>NOT(ISERROR(SEARCH("Completed",Y458)))</formula>
    </cfRule>
  </conditionalFormatting>
  <conditionalFormatting sqref="Y494">
    <cfRule type="containsText" dxfId="9" priority="19" operator="containsText" text="In Progress">
      <formula>NOT(ISERROR(SEARCH("In Progress",Y494)))</formula>
    </cfRule>
    <cfRule type="containsText" dxfId="8" priority="20" operator="containsText" text="Completed">
      <formula>NOT(ISERROR(SEARCH("Completed",Y494)))</formula>
    </cfRule>
  </conditionalFormatting>
  <conditionalFormatting sqref="X40:X41 X32:X33">
    <cfRule type="containsText" dxfId="7" priority="7" operator="containsText" text="In Progress">
      <formula>NOT(ISERROR(SEARCH("In Progress",X32)))</formula>
    </cfRule>
    <cfRule type="containsText" dxfId="6" priority="8" operator="containsText" text="Completed">
      <formula>NOT(ISERROR(SEARCH("Completed",X32)))</formula>
    </cfRule>
  </conditionalFormatting>
  <conditionalFormatting sqref="X42">
    <cfRule type="containsText" dxfId="5" priority="5" operator="containsText" text="In Progress">
      <formula>NOT(ISERROR(SEARCH("In Progress",X42)))</formula>
    </cfRule>
    <cfRule type="containsText" dxfId="4" priority="6" operator="containsText" text="Completed">
      <formula>NOT(ISERROR(SEARCH("Completed",X42)))</formula>
    </cfRule>
  </conditionalFormatting>
  <conditionalFormatting sqref="X51 X49">
    <cfRule type="containsText" dxfId="3" priority="3" operator="containsText" text="In Progress">
      <formula>NOT(ISERROR(SEARCH("In Progress",X49)))</formula>
    </cfRule>
    <cfRule type="containsText" dxfId="2" priority="4" operator="containsText" text="Completed">
      <formula>NOT(ISERROR(SEARCH("Completed",X49)))</formula>
    </cfRule>
  </conditionalFormatting>
  <conditionalFormatting sqref="X45:X48">
    <cfRule type="containsText" dxfId="1" priority="1" operator="containsText" text="In Progress">
      <formula>NOT(ISERROR(SEARCH("In Progress",X45)))</formula>
    </cfRule>
    <cfRule type="containsText" dxfId="0" priority="2" operator="containsText" text="Completed">
      <formula>NOT(ISERROR(SEARCH("Completed",X45)))</formula>
    </cfRule>
  </conditionalFormatting>
  <dataValidations count="4">
    <dataValidation type="list" allowBlank="1" showInputMessage="1" showErrorMessage="1" sqref="V242:Y242 V499 W474:W475 W553 V502 W462:W464 W516:W521 W548 W471 W453:W454 W486:W489 W368:W377 W449 W451 W531:W533 W526:W528 W441 W435:W438 Y253:Y257 X569:Y1048576 W555:Y568 W380 X369:X464 W596:W1048576 V368:V497 X467:X471 V506:V1048576 V2:Y228 X474:X482 Y369:Y554 X486:X523 X525:X528 X530:X548 X550:X554 Y340" xr:uid="{FB0E84E4-4097-4C0D-9271-13AFA609EF97}">
      <formula1>"Not Started, In Progress,Blocked,Completed"</formula1>
    </dataValidation>
    <dataValidation type="list" allowBlank="1" showInputMessage="1" showErrorMessage="1" sqref="M318 M329 M324 M2:M228 M369:M467 M469:M1048576" xr:uid="{90C0C003-D9C1-453A-839E-1661BBB91FF8}">
      <formula1>"Simple,Medium,Complex"</formula1>
    </dataValidation>
    <dataValidation type="list" allowBlank="1" showInputMessage="1" showErrorMessage="1" sqref="J611:J614 J616:J1048576" xr:uid="{FE6F2394-0F9A-4C04-AE4C-D7C23DE14CDF}">
      <formula1>"Yes,No"</formula1>
    </dataValidation>
    <dataValidation type="list" allowBlank="1" showInputMessage="1" showErrorMessage="1" sqref="J2:J610 J615" xr:uid="{0352515D-DD99-455C-B544-18E3A26E9D10}">
      <formula1>"Yes,No,Partial"</formula1>
    </dataValidation>
  </dataValidations>
  <hyperlinks>
    <hyperlink ref="F79" r:id="rId1" display="4362088" xr:uid="{8E99FC66-D9C4-49A1-966B-7160AD829ED1}"/>
    <hyperlink ref="F80" r:id="rId2" display="4423815" xr:uid="{3964CD56-A776-422B-AF65-B46EA62C6A92}"/>
    <hyperlink ref="F81" r:id="rId3" display="4431151" xr:uid="{ADDAF07C-C6B9-4009-A0E5-87AFC23FE880}"/>
    <hyperlink ref="F82" r:id="rId4" display="4435907" xr:uid="{1A3B6CEF-5E90-467F-9F51-1EA94A35A964}"/>
    <hyperlink ref="F83" r:id="rId5" display="4436093" xr:uid="{B7239C3A-9493-4BBC-8640-9ADBD84AC7C1}"/>
    <hyperlink ref="F84" r:id="rId6" display="3967653" xr:uid="{D6A08D93-B073-476E-87C3-C843D7179031}"/>
    <hyperlink ref="F85" r:id="rId7" display="4361280" xr:uid="{33FE9F63-EFC4-4C98-911A-A62C06BCE0FE}"/>
    <hyperlink ref="F86" r:id="rId8" display="4368217" xr:uid="{55AF01C2-A479-4BD3-944F-85379DC21A42}"/>
    <hyperlink ref="F87" r:id="rId9" display="4317632" xr:uid="{D2AC8119-92A8-4EC0-AA32-E56037E7FA80}"/>
    <hyperlink ref="F88" r:id="rId10" display="4187514" xr:uid="{EC07F684-539A-4337-B99E-B3D194524F60}"/>
    <hyperlink ref="F89" r:id="rId11" display="4261173" xr:uid="{7FD34A64-C6C6-479E-996F-266AB665E953}"/>
    <hyperlink ref="F90" r:id="rId12" display="4430431" xr:uid="{7E57BBBE-9861-47B0-B34E-B97681B17764}"/>
    <hyperlink ref="F91" r:id="rId13" display="4184295" xr:uid="{7F5791D6-990A-4DF1-81E3-740445BF8437}"/>
    <hyperlink ref="F92" r:id="rId14" display="4439846" xr:uid="{1439B5B1-BDF7-4746-B36C-B317E9AFB76F}"/>
    <hyperlink ref="F93" r:id="rId15" display="4351779" xr:uid="{40632F55-FD36-4BCB-B216-F27032CAE884}"/>
    <hyperlink ref="F94" r:id="rId16" display="4368139" xr:uid="{B5B8166A-BDD6-4E33-8407-70FADB90A6D2}"/>
    <hyperlink ref="F95" r:id="rId17" display="4265946" xr:uid="{513897CF-8AB6-4AA4-8442-915F531B30F1}"/>
    <hyperlink ref="F96" r:id="rId18" display="4368214" xr:uid="{BDA13451-791C-42C8-AA3D-8D1F961F3F70}"/>
    <hyperlink ref="F97" r:id="rId19" display="4267330" xr:uid="{7DD98D15-1A19-4DB8-8D1E-0C5108325A64}"/>
    <hyperlink ref="F98" r:id="rId20" display="4424935" xr:uid="{D58C0DA9-F282-4A1C-A0FC-54F9544BD805}"/>
    <hyperlink ref="F99" r:id="rId21" display="4371247" xr:uid="{6502F373-8BDD-4318-BFD3-27D545F62D22}"/>
    <hyperlink ref="F100" r:id="rId22" display="4357874" xr:uid="{772F0624-6037-4C57-8C6C-A3A416C07DA5}"/>
    <hyperlink ref="F101" r:id="rId23" display="4335613" xr:uid="{AB1A6A9A-770D-463F-ABDE-A7FE237ABC53}"/>
    <hyperlink ref="F130" r:id="rId24" display="4429554" xr:uid="{017268CE-A69E-44F4-BF1F-C9B0607C0D91}"/>
    <hyperlink ref="F131" r:id="rId25" display="4429581" xr:uid="{8A626121-2A16-4D57-9618-50094B0F1650}"/>
    <hyperlink ref="F132" r:id="rId26" display="4432786" xr:uid="{79DEF862-5407-4C4A-802C-F29F97FACE79}"/>
    <hyperlink ref="F133" r:id="rId27" display="4434050" xr:uid="{C6CF4439-9B60-49B8-B55F-BDB6A7977E1E}"/>
    <hyperlink ref="F134" r:id="rId28" display="4436381" xr:uid="{440AC5ED-6029-49C5-855E-87B3866921C6}"/>
    <hyperlink ref="F135" r:id="rId29" display="4441955" xr:uid="{6D44632F-3F4F-44B8-AAC0-052BE2CCABC9}"/>
    <hyperlink ref="F136" r:id="rId30" display="4441963" xr:uid="{A3580680-1805-451C-8349-CA081F08649B}"/>
    <hyperlink ref="F137" r:id="rId31" display="4447591" xr:uid="{C04940C6-1D25-4AB9-A23A-962A18E44D05}"/>
    <hyperlink ref="F103" r:id="rId32" display="4371477" xr:uid="{288951A0-4550-44DA-A285-C075D5BAC72B}"/>
    <hyperlink ref="F104" r:id="rId33" display="4428657" xr:uid="{1B726319-CA2C-4382-BBFB-23E98C4EECDB}"/>
    <hyperlink ref="F105" r:id="rId34" display="4440942" xr:uid="{DD48AEB3-4EB2-4970-9C26-E80A78537A2E}"/>
    <hyperlink ref="F106" r:id="rId35" display="4443542" xr:uid="{02415687-168E-486D-BF84-ED64C6C813AB}"/>
    <hyperlink ref="F107" r:id="rId36" display="4362070" xr:uid="{741343D9-3F45-488F-A0E9-465EEC8E70CB}"/>
    <hyperlink ref="F108" r:id="rId37" display="4183616" xr:uid="{59C0CCCA-F649-4662-B0F1-5D7ED36A00F9}"/>
    <hyperlink ref="F109" r:id="rId38" display="4390540" xr:uid="{1DAB7CAB-132C-4E42-9DD4-C97D9F8FAD80}"/>
    <hyperlink ref="F110" r:id="rId39" display="4390542" xr:uid="{09A156D3-453E-45ED-B0D3-3D9BDB723499}"/>
    <hyperlink ref="F111" r:id="rId40" display="4372031" xr:uid="{4D96997A-6AC7-48AC-B737-6DB4AA9F6AA2}"/>
    <hyperlink ref="F112" r:id="rId41" display="4423306" xr:uid="{569EA70E-2917-4A79-9D5C-B1D95BF1991A}"/>
    <hyperlink ref="F113" r:id="rId42" display="4428656" xr:uid="{22857B77-5D1C-48C8-B24F-C8BDC361D40E}"/>
    <hyperlink ref="F114" r:id="rId43" display="4413833" xr:uid="{E288E169-84CD-4013-AA69-7D508836ADDD}"/>
    <hyperlink ref="F115" r:id="rId44" display="4413836" xr:uid="{E9615A9F-CD07-4A1D-8ECF-4AB45D4C08E0}"/>
    <hyperlink ref="F116" r:id="rId45" display="4416198" xr:uid="{20CC836F-137A-449A-9897-17A9A89671EB}"/>
    <hyperlink ref="F118" r:id="rId46" display="4416199" xr:uid="{B7539511-8A83-4C11-A4B2-E41F71D72928}"/>
    <hyperlink ref="F119" r:id="rId47" display="4416213" xr:uid="{091525ED-3B13-4893-875D-F15CBBF05345}"/>
    <hyperlink ref="F120" r:id="rId48" display="4250789" xr:uid="{47ED0BDE-3DB4-445C-B818-33F1A60B826F}"/>
    <hyperlink ref="F121" r:id="rId49" display="4252811" xr:uid="{761EEAEE-8C65-4C09-A975-FCB1E391315F}"/>
    <hyperlink ref="F122" r:id="rId50" display="4312145" xr:uid="{EAFF6C79-6EF5-4984-BD25-A46F17ADE924}"/>
    <hyperlink ref="F123" r:id="rId51" display="4367388" xr:uid="{EAEA86E5-72FD-4629-B130-225DFA44870B}"/>
    <hyperlink ref="F124" r:id="rId52" display="4371721" xr:uid="{40F4EF50-4F78-459A-A821-6BBC67FE4BDB}"/>
    <hyperlink ref="F125" r:id="rId53" display="4439547" xr:uid="{1D4013A7-FD56-45AA-A9A0-5F03B9E37166}"/>
    <hyperlink ref="F126" r:id="rId54" display="4428664" xr:uid="{13039BF0-ADC9-4F0B-A91E-599CD3B8D160}"/>
    <hyperlink ref="F127" r:id="rId55" display="4429069" xr:uid="{4A7405E2-730E-484B-A9DD-C62D29C319BD}"/>
    <hyperlink ref="F128" r:id="rId56" display="4435817" xr:uid="{DEF9012E-4E31-4381-8C0F-6041BB5BDCA2}"/>
    <hyperlink ref="F226" r:id="rId57" display="4450157" xr:uid="{84DEDA82-F71C-40B8-8E58-7687AE139829}"/>
    <hyperlink ref="F227" r:id="rId58" display="4449760" xr:uid="{E7744406-EB8E-4425-8466-8A8467EE8CC5}"/>
    <hyperlink ref="F228" r:id="rId59" display="4449779" xr:uid="{7A06CD98-35A6-498F-BEE7-4EC11B0D154F}"/>
    <hyperlink ref="F369" r:id="rId60" display="4312144" xr:uid="{CB758956-EF3E-48D3-8518-4DA0B8981A66}"/>
    <hyperlink ref="F370" r:id="rId61" display="4356522" xr:uid="{A5B27A36-37BF-4AC5-8EC7-6C6D4564BF6B}"/>
    <hyperlink ref="F373" r:id="rId62" display="4428658" xr:uid="{CD63D83B-4427-40A4-B818-EA0F7B347DF6}"/>
    <hyperlink ref="F374" r:id="rId63" display="4446742" xr:uid="{1F40E750-6611-481B-BF22-1146D9E32179}"/>
    <hyperlink ref="F375" r:id="rId64" display="4443524" xr:uid="{E63016B9-F72F-46A3-B4C1-8155701AAF29}"/>
    <hyperlink ref="F377" r:id="rId65" display="4446194" xr:uid="{6CEFA2BF-7451-4D44-B98E-924C33691604}"/>
    <hyperlink ref="F381" r:id="rId66" display="4446565" xr:uid="{0B4741BD-4946-458B-B648-DCEC8AAD7FD3}"/>
    <hyperlink ref="F382" r:id="rId67" display="4443708" xr:uid="{C4AD8AA6-1B55-4DDD-A76C-1FC72FFDA987}"/>
    <hyperlink ref="F383" r:id="rId68" display="4444273" xr:uid="{EFFAE564-30DB-42FA-9AE7-60B8E0A86129}"/>
    <hyperlink ref="F385" r:id="rId69" display="4446881" xr:uid="{CD6A1B58-32B9-49BA-A093-DA73381FBA42}"/>
    <hyperlink ref="F386" r:id="rId70" display="4438513" xr:uid="{F5BCA7C8-6E56-4798-B9EE-5A4F874DD7C7}"/>
    <hyperlink ref="F387" r:id="rId71" display="4357821" xr:uid="{522C344B-0A34-44DF-ADC9-5C456AA5FD4B}"/>
    <hyperlink ref="F388" r:id="rId72" display="4312353" xr:uid="{E6A47CE7-FDF7-4FF6-8CFB-CEDB0C421183}"/>
    <hyperlink ref="F389" r:id="rId73" display="4318766" xr:uid="{FDB8C58E-769C-41B8-90DF-1CEA4474D1BD}"/>
    <hyperlink ref="F390" r:id="rId74" display="4286470" xr:uid="{21DCE603-DF50-4F40-A3ED-F8F040684564}"/>
    <hyperlink ref="F391" r:id="rId75" display="4308730" xr:uid="{C91C8356-9613-4AC4-872F-B47E298B0F75}"/>
    <hyperlink ref="F392" r:id="rId76" display="4367337" xr:uid="{13DDCFA5-F50B-4B20-8578-FCC42C40DABD}"/>
    <hyperlink ref="F393" r:id="rId77" display="4368213" xr:uid="{E8023629-90A8-4903-BE12-6E34FA345EE7}"/>
    <hyperlink ref="F394" r:id="rId78" display="4369392" xr:uid="{ADE63244-4F14-40BA-AAF9-F76860E45CFA}"/>
    <hyperlink ref="F395" r:id="rId79" display="4369422" xr:uid="{E936BAB7-B941-4C0B-AA9E-C178F93C8364}"/>
    <hyperlink ref="F397" r:id="rId80" display="4391918" xr:uid="{E562BC55-2D8F-4C20-BA2B-4DB2331BC42A}"/>
    <hyperlink ref="F398" r:id="rId81" display="4393219" xr:uid="{103E35D7-EB66-45A2-8FD0-27742D60925B}"/>
    <hyperlink ref="F399" r:id="rId82" display="4410430" xr:uid="{46FBDC71-B51C-4FFC-9C7E-19699ADC2B5C}"/>
    <hyperlink ref="F400" r:id="rId83" display="4438523" xr:uid="{B20CD36A-5A1E-4B04-AFC4-BAA757DAA659}"/>
    <hyperlink ref="F401" r:id="rId84" display="4438524" xr:uid="{524B7D60-0F49-4464-AE19-87EAE410D92F}"/>
    <hyperlink ref="F402" r:id="rId85" display="4438544" xr:uid="{FA116FC3-2EA4-4550-9638-DEA0227AA758}"/>
    <hyperlink ref="F403" r:id="rId86" display="4438545" xr:uid="{34387A1E-F4D0-4E59-8D76-FBBAA9F50D72}"/>
    <hyperlink ref="F404" r:id="rId87" display="4438546" xr:uid="{A9028640-4B15-41D9-9DFA-87AD703C9690}"/>
    <hyperlink ref="F405" r:id="rId88" display="4438547" xr:uid="{0F5F0A53-B434-4936-ADDB-D9E39C38D894}"/>
    <hyperlink ref="F406" r:id="rId89" display="4438548" xr:uid="{EA89B676-510E-4A41-9AEA-0A75171D199F}"/>
    <hyperlink ref="F407" r:id="rId90" display="4438561" xr:uid="{45F08978-79F8-44E7-844E-F190F7A58DD5}"/>
    <hyperlink ref="F408" r:id="rId91" display="4438582" xr:uid="{EB923001-9303-4012-92EC-4E90D9F891BE}"/>
    <hyperlink ref="F409" r:id="rId92" display="4440531" xr:uid="{3077E95D-3FFA-465A-B422-3A8395A64ADD}"/>
    <hyperlink ref="F410" r:id="rId93" display="4440539" xr:uid="{8F24C5C7-3583-4202-AF85-C7ABDCE8C991}"/>
    <hyperlink ref="F411" r:id="rId94" display="4440660" xr:uid="{0FB506C3-D1AF-44D0-BDCA-641812D7841C}"/>
    <hyperlink ref="F412" r:id="rId95" display="4440663" xr:uid="{71C9823E-E161-4842-A74E-7FC419DA2224}"/>
    <hyperlink ref="F413" r:id="rId96" display="4440665" xr:uid="{672A4884-1CC1-4A85-832F-FD5E28E48AB1}"/>
    <hyperlink ref="F414" r:id="rId97" display="4440771" xr:uid="{35074BC4-5EDC-4B8E-BC29-F34FDB6A48DB}"/>
    <hyperlink ref="F415" r:id="rId98" display="4440784" xr:uid="{79676C27-8C54-4C18-9C16-ED3F0D18C28E}"/>
    <hyperlink ref="F416" r:id="rId99" display="4440796" xr:uid="{914724B8-9B10-4C35-AB6E-FA50C073730C}"/>
    <hyperlink ref="F417" r:id="rId100" display="4440809" xr:uid="{E8E444F0-C2CC-4A82-9C32-C45F72EEE301}"/>
    <hyperlink ref="F418" r:id="rId101" display="4440815" xr:uid="{D581C221-340A-439B-8657-6E8A7CBAD6DE}"/>
    <hyperlink ref="F419" r:id="rId102" display="4440819" xr:uid="{4D870479-30D8-46AA-AF46-ACE10B7DBFB6}"/>
    <hyperlink ref="F420" r:id="rId103" display="4440824" xr:uid="{B720765C-E56C-428B-949E-AA8853705E0E}"/>
    <hyperlink ref="F421" r:id="rId104" display="4440835" xr:uid="{8EE34D50-724B-4769-9CC6-852EFB77B567}"/>
    <hyperlink ref="F422" r:id="rId105" display="4440870" xr:uid="{12E87B49-0D54-455E-B870-C047245F17EF}"/>
    <hyperlink ref="F423" r:id="rId106" display="4440874" xr:uid="{14B1D029-0A12-4F08-ABC1-4CE57A4937E2}"/>
    <hyperlink ref="F424" r:id="rId107" display="4441048" xr:uid="{BF73768A-1B77-4C64-8481-4B62BDABB181}"/>
    <hyperlink ref="F425" r:id="rId108" display="4441061" xr:uid="{2D892DAF-60AB-4D41-BCEE-F08B08AE58E4}"/>
    <hyperlink ref="F426" r:id="rId109" display="4441798" xr:uid="{CF45E792-2D29-42E9-8707-E6DFE35A5081}"/>
    <hyperlink ref="F427" r:id="rId110" display="4441806" xr:uid="{837E3A93-B094-45C4-8A7B-6B155630076F}"/>
    <hyperlink ref="F428" r:id="rId111" display="4441813" xr:uid="{0FA5D07C-5B26-4648-9455-8D7221E36179}"/>
    <hyperlink ref="F429" r:id="rId112" display="4441820" xr:uid="{8692DE5D-8560-479D-9F21-6AEACD10FAA3}"/>
    <hyperlink ref="F430" r:id="rId113" display="4441824" xr:uid="{448F0E1A-6394-4589-AC3E-FF17A139D934}"/>
    <hyperlink ref="F431" r:id="rId114" display="4441844" xr:uid="{9EF583F5-17E0-40B0-9B43-615E3FF45E94}"/>
    <hyperlink ref="F598" r:id="rId115" display="4446619" xr:uid="{399D7CE5-9621-4C70-BC17-E89E0C804F06}"/>
    <hyperlink ref="F535" r:id="rId116" display="4456210" xr:uid="{CFA159B3-A637-4C95-BFF1-822F82026294}"/>
    <hyperlink ref="F536" r:id="rId117" display="4456209" xr:uid="{E8774AF0-1450-4A06-BBB7-B02B27BD2407}"/>
    <hyperlink ref="F538" r:id="rId118" display="4456208" xr:uid="{A1498EF7-9E66-4ED6-B291-B7414783CF15}"/>
    <hyperlink ref="F539" r:id="rId119" display="https://dev.azure.com/accenturecio08/AutomationProcess_29697/_workitems/edit/4456200" xr:uid="{375C03D5-841E-4A28-9626-BD8054B1B704}"/>
    <hyperlink ref="F540" r:id="rId120" display="4456199" xr:uid="{C42BDBDE-EEA6-4A58-995F-AA3E6E8320F6}"/>
    <hyperlink ref="F541" r:id="rId121" display="4456202" xr:uid="{7F8136F1-A2AE-4165-BD38-277CB985A52C}"/>
    <hyperlink ref="F542" r:id="rId122" display="4456195" xr:uid="{7BAC8E65-A2E2-45C1-8F6A-ACECF8553377}"/>
    <hyperlink ref="F543" r:id="rId123" display="4456197" xr:uid="{634B515B-4AF7-4B26-9967-73CF99E51EB0}"/>
    <hyperlink ref="F544" r:id="rId124" display="4456204" xr:uid="{192EB6B7-A7A9-4452-A820-36B65007DD89}"/>
    <hyperlink ref="F545" r:id="rId125" display="4456207" xr:uid="{67108A63-471C-4CE1-947A-73666A5522EB}"/>
    <hyperlink ref="F546" r:id="rId126" display="4456193" xr:uid="{25AC862D-2437-422E-8E71-D52168995513}"/>
    <hyperlink ref="F534" r:id="rId127" display="https://dev.azure.com/accenturecio08/AutomationProcess_29697/_workitems/edit/4456206" xr:uid="{024841D1-A271-498E-BF1D-51EAB76ACFE9}"/>
    <hyperlink ref="F537" r:id="rId128" display="4456205" xr:uid="{19392F93-1D4D-4567-A2D9-3E7FA3083A12}"/>
    <hyperlink ref="F55" r:id="rId129" display="https://dev.azure.com/accenturecio08/AutomationProcess_29697/_workitems/edit/4272036/?view=edit" xr:uid="{E8AF1FD5-DD51-4119-9041-DA7BBD1F345D}"/>
    <hyperlink ref="F56" r:id="rId130" display="https://dev.azure.com/accenturecio08/AutomationProcess_29697/_workitems/edit/4449651/?view=edit" xr:uid="{40096EAE-F61D-4D6D-ABD8-F14816AAB4A7}"/>
    <hyperlink ref="F57" r:id="rId131" display="https://dev.azure.com/accenturecio08/AutomationProcess_29697/_workitems/edit/4450386/?view=edit" xr:uid="{37C3E209-9CF9-4EB6-9D98-1A3059426203}"/>
    <hyperlink ref="F58" r:id="rId132" display="https://dev.azure.com/accenturecio08/AutomationProcess_29697/_workitems/edit/4450388/?view=edit" xr:uid="{D9297113-98E1-4171-A07C-670F813F0498}"/>
    <hyperlink ref="F59" r:id="rId133" display="https://dev.azure.com/accenturecio08/AutomationProcess_29697/_workitems/edit/4450390/?view=edit" xr:uid="{38CAF403-5A87-4C1A-8F15-486C1F34B47E}"/>
    <hyperlink ref="F60" r:id="rId134" display="https://dev.azure.com/accenturecio08/AutomationProcess_29697/_workitems/edit/4392723/?view=edit" xr:uid="{C1F238BE-87AB-41FE-A4E0-87AA8D981753}"/>
    <hyperlink ref="F61" r:id="rId135" display="https://dev.azure.com/accenturecio08/AutomationProcess_29697/_workitems/edit/4432326/?view=edit" xr:uid="{3715A51C-9D29-47C8-933B-CEA8D28E8DC3}"/>
    <hyperlink ref="F62" r:id="rId136" display="https://dev.azure.com/accenturecio08/AutomationProcess_29697/_workitems/edit/4450401/?view=edit" xr:uid="{07714CE2-94A2-4C69-9F33-4F7AF206A423}"/>
    <hyperlink ref="F63" r:id="rId137" display="https://dev.azure.com/accenturecio08/AutomationProcess_29697/_workitems/edit/4450402/?view=edit" xr:uid="{02AF670D-DE20-4EA8-89CA-D9B6462B66C9}"/>
    <hyperlink ref="F64" r:id="rId138" display="https://dev.azure.com/accenturecio08/AutomationProcess_29697/_workitems/edit/4450405/?view=edit" xr:uid="{1514BED0-32D8-46B4-81B2-264475A412D3}"/>
    <hyperlink ref="F65" r:id="rId139" display="https://dev.azure.com/accenturecio08/AutomationProcess_29697/_workitems/edit/4450410/?view=edit" xr:uid="{AB0F409C-89E5-4138-AA45-E60C92A1B77D}"/>
    <hyperlink ref="F66" r:id="rId140" display="https://dev.azure.com/accenturecio08/AutomationProcess_29697/_workitems/edit/4450395/?view=edit" xr:uid="{2C109AC4-A042-41E2-AC0A-57C4ABBF64D1}"/>
    <hyperlink ref="F67" r:id="rId141" display="https://dev.azure.com/accenturecio08/AutomationProcess_29697/_workitems/edit/4432443/?view=edit" xr:uid="{81931AB3-4D28-4404-9181-F1A75D3F926A}"/>
    <hyperlink ref="F68" r:id="rId142" display="https://dev.azure.com/accenturecio08/AutomationProcess_29697/_workitems/edit/4436336/?view=edit" xr:uid="{0B05CAD5-A2BB-40C5-9885-802998E7A1A8}"/>
    <hyperlink ref="F69" r:id="rId143" display="https://dev.azure.com/accenturecio08/AutomationProcess_29697/_workitems/edit/4437632/?view=edit" xr:uid="{EE87B2C3-17F4-404E-91CE-5FE78A9318B5}"/>
    <hyperlink ref="F70" r:id="rId144" display="https://dev.azure.com/accenturecio08/AutomationProcess_29697/_workitems/edit/4443793/?view=edit" xr:uid="{DDBDFDA2-B087-414D-A129-1AA5D5F0895B}"/>
    <hyperlink ref="F71" r:id="rId145" display="https://dev.azure.com/accenturecio08/AutomationProcess_29697/_workitems/edit/4443800/?view=edit" xr:uid="{E4624809-6D50-41BF-8AE4-F81BFD505D85}"/>
    <hyperlink ref="F72" r:id="rId146" display="https://dev.azure.com/accenturecio08/AutomationProcess_29697/_workitems/edit/4444184/?view=edit" xr:uid="{CDF92A4C-B0BD-4B88-8DC5-CC46CE7AA42F}"/>
    <hyperlink ref="F73" r:id="rId147" display="https://dev.azure.com/accenturecio08/AutomationProcess_29697/_workitems/edit/4392686/?view=edit" xr:uid="{28D6B4E3-7BDF-4A98-923A-049FF59DF8C6}"/>
    <hyperlink ref="F74" r:id="rId148" display="https://dev.azure.com/accenturecio08/AutomationProcess_29697/_workitems/edit/4392687/?view=edit" xr:uid="{CB0CA601-DC12-4CC5-A6F7-86632176C8C9}"/>
    <hyperlink ref="F75" r:id="rId149" display="https://dev.azure.com/accenturecio08/AutomationProcess_29697/_workitems/edit/4349320/?view=edit" xr:uid="{72E1D29A-0D0C-48C9-88CB-5438467A910E}"/>
    <hyperlink ref="F76" r:id="rId150" display="https://dev.azure.com/accenturecio08/AutomationProcess_29697/_workitems/edit/4450391/?view=edit" xr:uid="{FA731FA0-5C43-4CAA-ABD1-F3FF3D9C5CEB}"/>
    <hyperlink ref="F77" r:id="rId151" display="https://dev.azure.com/accenturecio08/AutomationProcess_29697/_workitems/edit/4448602/?view=edit" xr:uid="{4C798A1B-4BDB-4857-A3D9-BA07EB194921}"/>
    <hyperlink ref="F78" r:id="rId152" display="https://dev.azure.com/accenturecio08/AutomationProcess_29697/_workitems/edit/4450399/?view=edit" xr:uid="{8DCCAEE3-CEFC-4E82-BD0F-4BA0985D0906}"/>
    <hyperlink ref="F547" r:id="rId153" display="https://dev.azure.com/accenturecio08/AutomationProcess_29697/_workitems/edit/4446668/?view=edit" xr:uid="{DEE98A0A-078E-4412-91CF-C1AC09C25828}"/>
    <hyperlink ref="F548" r:id="rId154" display="https://dev.azure.com/accenturecio08/AutomationProcess_29697/_workitems/edit/4456194/?view=edit" xr:uid="{170CF8D7-3A64-48DE-BB74-5C36F0626B01}"/>
    <hyperlink ref="F549" r:id="rId155" display="https://dev.azure.com/accenturecio08/AutomationProcess_29697/_workitems/edit/4456371/?view=edit" xr:uid="{B3F53498-1C47-4594-8C0F-1D755F37CE49}"/>
    <hyperlink ref="F550" r:id="rId156" display="https://dev.azure.com/accenturecio08/AutomationProcess_29697/_workitems/edit/4456373/?view=edit" xr:uid="{DD6798C2-878F-4805-96BF-8179412A3BB9}"/>
    <hyperlink ref="F551" r:id="rId157" display="https://dev.azure.com/accenturecio08/AutomationProcess_29697/_workitems/edit/4456376/?view=edit" xr:uid="{CE8BFA74-C695-4CE1-87C2-59F4C5216AAF}"/>
    <hyperlink ref="F552" r:id="rId158" display="https://dev.azure.com/accenturecio08/AutomationProcess_29697/_workitems/edit/4456380/?view=edit" xr:uid="{4E5C4E7E-72A2-48AE-B407-F2338F9D895D}"/>
    <hyperlink ref="F554" r:id="rId159" display="https://dev.azure.com/accenturecio08/AutomationProcess_29697/_workitems/edit/4461243/?view=edit" xr:uid="{78F3FA8D-B407-4B17-9BAE-9A3E76CC7060}"/>
    <hyperlink ref="F378" r:id="rId160" display="4459759" xr:uid="{05B776F5-A030-49CB-B61D-045E06AA502B}"/>
    <hyperlink ref="F396" r:id="rId161" display="4446670" xr:uid="{72CDF535-E0CD-4330-86EF-681659810858}"/>
    <hyperlink ref="F533" r:id="rId162" display="4447465" xr:uid="{958AB945-97B3-48C6-8F6E-D0E588F9C9B4}"/>
    <hyperlink ref="F519" r:id="rId163" display="4426304" xr:uid="{EB06A152-66F6-49D3-B316-DB2DCCF86FB4}"/>
    <hyperlink ref="F518" r:id="rId164" display="4424457" xr:uid="{A4D8866B-141A-47AA-A203-344DBAF4661C}"/>
    <hyperlink ref="F464" r:id="rId165" display="4426387" xr:uid="{9B6E74DD-A97F-43F5-9B39-9BFB147E69D4}"/>
    <hyperlink ref="F463" r:id="rId166" display="4423914" xr:uid="{DF697DF3-A453-4B66-8573-F7E644804000}"/>
    <hyperlink ref="F454" r:id="rId167" display="4439554" xr:uid="{FFEDBF27-F6A6-49C6-9604-371F8E2698C6}"/>
    <hyperlink ref="F453" r:id="rId168" display="4439552" xr:uid="{A1D6491D-01EB-4FB3-A28F-4DF45D29453B}"/>
    <hyperlink ref="F451" r:id="rId169" display="4439540" xr:uid="{E99AB8DB-25DC-4CFB-A4DC-D72B3EE90FB9}"/>
    <hyperlink ref="F449" r:id="rId170" display="4438741" xr:uid="{0C476088-BF9D-487C-B0F8-2394E735737C}"/>
    <hyperlink ref="F608" r:id="rId171" display="4440021" xr:uid="{DF3D4204-181E-47C5-AAF2-352A45E05610}"/>
    <hyperlink ref="I502" r:id="rId172" xr:uid="{B460F0E0-FCE0-4FF7-B9DD-0BD3FBE665C4}"/>
    <hyperlink ref="I508" r:id="rId173" xr:uid="{148549B0-CDFF-4280-A7A1-ED1401E5B9CD}"/>
    <hyperlink ref="I509" r:id="rId174" xr:uid="{2EE5A6AB-5FB0-413E-BE80-3277B143B725}"/>
    <hyperlink ref="F483" r:id="rId175" display="4464868" xr:uid="{467FD666-10BF-4A56-B302-01EE97F84C2A}"/>
    <hyperlink ref="F484" r:id="rId176" display="4464722" xr:uid="{F2DB5624-149A-4668-AFE5-4293BA39C499}"/>
    <hyperlink ref="F485" r:id="rId177" display="4464417" xr:uid="{CF850B4D-F559-43D7-9D7A-391603ADD3CA}"/>
    <hyperlink ref="F486" r:id="rId178" display="4464354" xr:uid="{01367860-FF27-4545-84D8-CDA03010F0D0}"/>
    <hyperlink ref="F487" r:id="rId179" display="4463667" xr:uid="{24F7D744-DFB7-4D78-B6B4-ACEACDBC9E30}"/>
    <hyperlink ref="F488" r:id="rId180" display="4463666" xr:uid="{20A3F1B8-6E7E-4C88-BF52-7F6611ED7C0D}"/>
    <hyperlink ref="F489" r:id="rId181" display="4463665" xr:uid="{BA5B1ED3-A33C-4516-9632-6A13B0CE5E6A}"/>
    <hyperlink ref="F10" r:id="rId182" display="User Story 4467824: **As a** Solution Architect, **I want** to verify that all fields sent from myCalendar to the SA Bandwidth Report continue to function correctly after the myCalendar revamp changes, **So that** the SA Bandwidth Report accurately reflects all related data" xr:uid="{A3FEAF54-885B-487B-A3C2-B7D7DC84662E}"/>
    <hyperlink ref="F597" r:id="rId183" display="User Story 4467788: As a PCW user, I want to see 3 new IPC exemption reasons in the 'Reasons for not configuring IPC' dropdown on the Pricing sheet so that the exemption rationale is captured consistently between PCW and myISP" xr:uid="{01E48024-6BC0-4823-95C9-0CEB8B380688}"/>
    <hyperlink ref="F384" r:id="rId184" display="4446872" xr:uid="{80D59625-DF58-4080-9F68-34EF14584D7A}"/>
    <hyperlink ref="F379" r:id="rId185" display="4446664" xr:uid="{DBCBA863-77B8-4DD1-B6C7-B956AE539610}"/>
    <hyperlink ref="F229" r:id="rId186" display="4445116" xr:uid="{E198C6FB-3313-40FC-A080-896ADF3D16F4}"/>
    <hyperlink ref="F230" r:id="rId187" display="4468291" xr:uid="{1D79654F-1FA0-42A3-B605-80A37B9A3A7A}"/>
    <hyperlink ref="F231" r:id="rId188" display="4468292" xr:uid="{8E6446D2-A5D2-496F-A910-C3B399E2CAEB}"/>
    <hyperlink ref="F346" r:id="rId189" display="4454065" xr:uid="{BD3F0F78-6933-4A6C-9125-E3319ECBBBEA}"/>
    <hyperlink ref="F351" r:id="rId190" display="4457573" xr:uid="{B0317819-8850-42E2-95CA-6B0318CCC06B}"/>
    <hyperlink ref="F555" r:id="rId191" display="4472826" xr:uid="{6B915944-6A89-46EB-8835-B4A71D5C2689}"/>
    <hyperlink ref="F556" r:id="rId192" display="4472828" xr:uid="{B810E930-CF94-4FCD-B8DF-BAA1D8039DCB}"/>
    <hyperlink ref="F557" r:id="rId193" display="4472830" xr:uid="{387BA048-B640-41C6-B28F-CDAC5E4CB080}"/>
    <hyperlink ref="F558" r:id="rId194" display="4473194" xr:uid="{170DA046-0AFE-4795-95EE-EC1468A0E329}"/>
    <hyperlink ref="F559" r:id="rId195" display="4473683" xr:uid="{7E9B74BB-C138-4819-9A88-8BD209BB4552}"/>
    <hyperlink ref="F560" r:id="rId196" display="4475272" xr:uid="{11721393-9240-417D-BF1D-D2CF6598AA7F}"/>
    <hyperlink ref="F561" r:id="rId197" display="4475571" xr:uid="{198EE283-ED45-4985-8F0A-B77F06B66DB5}"/>
    <hyperlink ref="F562" r:id="rId198" display="4475587" xr:uid="{02A9BB35-8D93-486E-8E25-2EF4F828BA0C}"/>
    <hyperlink ref="F563" r:id="rId199" display="4475823" xr:uid="{7F35CA0A-D189-41CE-BD4A-2F94EDC1BB43}"/>
    <hyperlink ref="F564" r:id="rId200" display="4475827" xr:uid="{FB2EFFE9-D2C5-4067-B65F-3614A7D76D21}"/>
    <hyperlink ref="F565" r:id="rId201" display="4475909" xr:uid="{FA8F11AA-08D7-4017-BDED-D083C5DF1069}"/>
    <hyperlink ref="F566" r:id="rId202" display="4476698" xr:uid="{A3EC3D71-1070-41D8-97B1-798680A6D240}"/>
    <hyperlink ref="F567" r:id="rId203" display="4477040" xr:uid="{EFDF9357-A2B9-4535-9CE8-4DDDB90DBE3A}"/>
    <hyperlink ref="I559" r:id="rId204" display="mailto:kalpana.boodidha@accenture.com" xr:uid="{6D43796A-5238-49A8-880D-6F905F97E9B2}"/>
    <hyperlink ref="I560" r:id="rId205" display="mailto:kalpana.boodidha@accenture.com" xr:uid="{D9BCDCF9-3113-4480-B1CC-FF2214144363}"/>
    <hyperlink ref="I119" r:id="rId206" display="sai.v.nagannapudi@accenture.com" xr:uid="{A98B27F0-CBFC-40FB-84F1-F2CE5E2FDC92}"/>
    <hyperlink ref="F610" r:id="rId207" display="4467805" xr:uid="{1FE275B2-A778-46B1-B1FA-4A583F198FC3}"/>
    <hyperlink ref="F376" r:id="rId208" display="4441800" xr:uid="{481A78B4-B1A6-4B98-AC3D-CA221F05FDB5}"/>
    <hyperlink ref="F568" r:id="rId209" display="4480695" xr:uid="{A6528B99-677C-4548-934B-8FAB4D40BA07}"/>
    <hyperlink ref="F380" r:id="rId210" display="4434948" xr:uid="{25916E18-FCC8-40A7-8FE8-032DDD28BCE4}"/>
    <hyperlink ref="F615" r:id="rId211" display="4449850" xr:uid="{4B4F1FAF-97F8-4E3D-BD20-52DE16ACA8D6}"/>
    <hyperlink ref="F102" r:id="rId212" display="4437691" xr:uid="{C8765F2F-9024-48D8-8F5A-80CE5F3F9346}"/>
  </hyperlinks>
  <pageMargins left="0.7" right="0.7" top="0.75" bottom="0.75" header="0.3" footer="0.3"/>
  <drawing r:id="rId2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8B4B8-899D-406A-8968-B828FB5A6EF6}">
  <dimension ref="A2:L17"/>
  <sheetViews>
    <sheetView workbookViewId="0">
      <selection activeCell="E8" sqref="E8"/>
    </sheetView>
  </sheetViews>
  <sheetFormatPr defaultColWidth="8.85546875" defaultRowHeight="15" customHeight="1"/>
  <cols>
    <col min="1" max="1" width="11.42578125" bestFit="1" customWidth="1"/>
    <col min="2" max="2" width="11.7109375" bestFit="1" customWidth="1"/>
    <col min="3" max="3" width="10.7109375" bestFit="1" customWidth="1"/>
    <col min="4" max="4" width="12.28515625" bestFit="1" customWidth="1"/>
    <col min="5" max="5" width="12.140625" bestFit="1" customWidth="1"/>
    <col min="6" max="6" width="9.85546875" bestFit="1" customWidth="1"/>
    <col min="7" max="7" width="9" bestFit="1" customWidth="1"/>
    <col min="8" max="8" width="7.42578125" style="76" customWidth="1"/>
    <col min="9" max="9" width="8.85546875" style="76" customWidth="1"/>
    <col min="10" max="10" width="33" customWidth="1"/>
    <col min="11" max="11" width="35.42578125" customWidth="1"/>
    <col min="12" max="12" width="70.42578125" style="129" customWidth="1"/>
    <col min="13" max="13" width="3.42578125" customWidth="1"/>
    <col min="14" max="14" width="4.42578125" customWidth="1"/>
    <col min="15" max="15" width="7.42578125" customWidth="1"/>
    <col min="16" max="16" width="11.42578125" customWidth="1"/>
    <col min="17" max="21" width="8.85546875" customWidth="1"/>
  </cols>
  <sheetData>
    <row r="2" spans="1:12" s="107" customFormat="1">
      <c r="A2" s="119" t="s">
        <v>4</v>
      </c>
      <c r="B2" s="120" t="s">
        <v>1368</v>
      </c>
      <c r="C2" s="120" t="s">
        <v>1369</v>
      </c>
      <c r="D2" s="120" t="s">
        <v>1370</v>
      </c>
      <c r="E2" s="120" t="s">
        <v>1371</v>
      </c>
      <c r="F2" s="120" t="s">
        <v>1372</v>
      </c>
      <c r="G2"/>
      <c r="H2" s="121" t="s">
        <v>186</v>
      </c>
      <c r="I2" s="123" t="s">
        <v>1373</v>
      </c>
      <c r="J2" s="125" t="s">
        <v>1374</v>
      </c>
      <c r="K2" s="125" t="s">
        <v>1375</v>
      </c>
      <c r="L2" s="128" t="s">
        <v>1376</v>
      </c>
    </row>
    <row r="3" spans="1:12" s="107" customFormat="1">
      <c r="A3" s="120" t="s">
        <v>27</v>
      </c>
      <c r="B3" s="120">
        <v>85</v>
      </c>
      <c r="C3" s="120">
        <v>5</v>
      </c>
      <c r="D3" s="120">
        <v>12</v>
      </c>
      <c r="E3" s="120">
        <v>337</v>
      </c>
      <c r="F3" s="120">
        <v>439</v>
      </c>
      <c r="G3"/>
      <c r="H3" s="122">
        <f t="shared" ref="H3:H17" si="0">IF(B3+C3=0,0,SUM(B3:D3)/F3)</f>
        <v>0.23234624145785876</v>
      </c>
      <c r="I3" s="124">
        <f t="shared" ref="I3" si="1">IF(B3=0,0,B3/(SUM(B3:D3)))</f>
        <v>0.83333333333333337</v>
      </c>
      <c r="J3" s="126" t="s">
        <v>1377</v>
      </c>
      <c r="K3" s="126" t="s">
        <v>1378</v>
      </c>
      <c r="L3" s="134" t="s">
        <v>1379</v>
      </c>
    </row>
    <row r="4" spans="1:12" s="107" customFormat="1" ht="23.25">
      <c r="A4" s="120" t="s">
        <v>34</v>
      </c>
      <c r="B4" s="120">
        <v>123</v>
      </c>
      <c r="C4" s="120">
        <v>3</v>
      </c>
      <c r="D4" s="120">
        <v>208</v>
      </c>
      <c r="E4" s="120">
        <v>1014</v>
      </c>
      <c r="F4" s="120">
        <v>1406</v>
      </c>
      <c r="G4"/>
      <c r="H4" s="122">
        <f t="shared" si="0"/>
        <v>0.2375533428165007</v>
      </c>
      <c r="I4" s="124">
        <f t="shared" ref="I4:I17" si="2">IF(B4=0,0,B4/(SUM(B4:D4)))</f>
        <v>0.36826347305389223</v>
      </c>
      <c r="J4" s="127" t="s">
        <v>1380</v>
      </c>
      <c r="K4" s="126" t="s">
        <v>1381</v>
      </c>
      <c r="L4" s="127" t="s">
        <v>1382</v>
      </c>
    </row>
    <row r="5" spans="1:12" s="107" customFormat="1" ht="23.25">
      <c r="A5" s="120" t="s">
        <v>38</v>
      </c>
      <c r="B5" s="120">
        <v>169</v>
      </c>
      <c r="C5" s="120">
        <v>11</v>
      </c>
      <c r="D5" s="120">
        <v>1</v>
      </c>
      <c r="E5" s="120">
        <v>528</v>
      </c>
      <c r="F5" s="120">
        <v>688</v>
      </c>
      <c r="G5"/>
      <c r="H5" s="122">
        <f t="shared" si="0"/>
        <v>0.26308139534883723</v>
      </c>
      <c r="I5" s="124">
        <f t="shared" si="2"/>
        <v>0.93370165745856348</v>
      </c>
      <c r="J5" s="127" t="s">
        <v>1383</v>
      </c>
      <c r="K5" s="127" t="s">
        <v>1384</v>
      </c>
      <c r="L5" s="127" t="s">
        <v>1385</v>
      </c>
    </row>
    <row r="6" spans="1:12" s="107" customFormat="1">
      <c r="A6" s="120" t="s">
        <v>24</v>
      </c>
      <c r="B6" s="120">
        <v>73</v>
      </c>
      <c r="C6" s="120">
        <v>3</v>
      </c>
      <c r="D6" s="120">
        <v>47</v>
      </c>
      <c r="E6" s="120">
        <v>113</v>
      </c>
      <c r="F6" s="120">
        <v>236</v>
      </c>
      <c r="G6"/>
      <c r="H6" s="122">
        <f t="shared" si="0"/>
        <v>0.52118644067796616</v>
      </c>
      <c r="I6" s="124">
        <f t="shared" si="2"/>
        <v>0.5934959349593496</v>
      </c>
      <c r="J6" s="126" t="s">
        <v>1386</v>
      </c>
      <c r="K6" s="126" t="s">
        <v>1387</v>
      </c>
      <c r="L6" s="127" t="s">
        <v>1388</v>
      </c>
    </row>
    <row r="7" spans="1:12" s="107" customFormat="1" ht="23.25">
      <c r="A7" s="120" t="s">
        <v>48</v>
      </c>
      <c r="B7" s="120">
        <v>73</v>
      </c>
      <c r="C7" s="120">
        <v>17</v>
      </c>
      <c r="D7" s="120">
        <v>0</v>
      </c>
      <c r="E7" s="120">
        <v>569</v>
      </c>
      <c r="F7" s="120">
        <v>659</v>
      </c>
      <c r="G7"/>
      <c r="H7" s="122">
        <f t="shared" si="0"/>
        <v>0.13657056145675264</v>
      </c>
      <c r="I7" s="124">
        <f t="shared" si="2"/>
        <v>0.81111111111111112</v>
      </c>
      <c r="J7" s="127" t="s">
        <v>1389</v>
      </c>
      <c r="K7" s="126" t="s">
        <v>1387</v>
      </c>
      <c r="L7" s="127" t="s">
        <v>1390</v>
      </c>
    </row>
    <row r="8" spans="1:12" s="107" customFormat="1">
      <c r="A8" s="120" t="s">
        <v>54</v>
      </c>
      <c r="B8" s="120">
        <v>38</v>
      </c>
      <c r="C8" s="120">
        <v>0</v>
      </c>
      <c r="D8" s="120">
        <v>0</v>
      </c>
      <c r="E8" s="120">
        <v>467</v>
      </c>
      <c r="F8" s="120">
        <v>505</v>
      </c>
      <c r="G8"/>
      <c r="H8" s="122">
        <f t="shared" si="0"/>
        <v>7.5247524752475245E-2</v>
      </c>
      <c r="I8" s="124">
        <f t="shared" si="2"/>
        <v>1</v>
      </c>
      <c r="J8" s="126" t="s">
        <v>1391</v>
      </c>
      <c r="K8" s="126" t="s">
        <v>1392</v>
      </c>
      <c r="L8" s="127"/>
    </row>
    <row r="9" spans="1:12" s="107" customFormat="1" ht="23.25">
      <c r="A9" s="120" t="s">
        <v>51</v>
      </c>
      <c r="B9" s="120">
        <v>178</v>
      </c>
      <c r="C9" s="120">
        <v>7</v>
      </c>
      <c r="D9" s="120">
        <v>0</v>
      </c>
      <c r="E9" s="120">
        <v>519</v>
      </c>
      <c r="F9" s="120">
        <v>717</v>
      </c>
      <c r="G9"/>
      <c r="H9" s="122">
        <f t="shared" si="0"/>
        <v>0.25801952580195259</v>
      </c>
      <c r="I9" s="124">
        <f t="shared" si="2"/>
        <v>0.96216216216216222</v>
      </c>
      <c r="J9" s="127" t="s">
        <v>1393</v>
      </c>
      <c r="K9" s="126" t="s">
        <v>1394</v>
      </c>
      <c r="L9" s="127" t="s">
        <v>1395</v>
      </c>
    </row>
    <row r="10" spans="1:12" s="107" customFormat="1">
      <c r="A10" s="120" t="s">
        <v>41</v>
      </c>
      <c r="B10" s="120">
        <v>865</v>
      </c>
      <c r="C10" s="120">
        <v>21</v>
      </c>
      <c r="D10" s="120">
        <v>106</v>
      </c>
      <c r="E10" s="120">
        <v>2271</v>
      </c>
      <c r="F10" s="120">
        <v>3263</v>
      </c>
      <c r="G10"/>
      <c r="H10" s="122">
        <f t="shared" si="0"/>
        <v>0.30401471038921241</v>
      </c>
      <c r="I10" s="124">
        <f t="shared" si="2"/>
        <v>0.87197580645161288</v>
      </c>
      <c r="J10" s="126" t="s">
        <v>1396</v>
      </c>
      <c r="K10" s="126" t="s">
        <v>1394</v>
      </c>
      <c r="L10" s="127" t="s">
        <v>1397</v>
      </c>
    </row>
    <row r="11" spans="1:12" s="107" customFormat="1">
      <c r="A11" s="120" t="s">
        <v>64</v>
      </c>
      <c r="B11" s="120">
        <v>0</v>
      </c>
      <c r="C11" s="120">
        <v>0</v>
      </c>
      <c r="D11" s="120">
        <v>0</v>
      </c>
      <c r="E11" s="120">
        <v>0</v>
      </c>
      <c r="F11" s="120">
        <v>0</v>
      </c>
      <c r="G11"/>
      <c r="H11" s="122">
        <f t="shared" si="0"/>
        <v>0</v>
      </c>
      <c r="I11" s="124">
        <f t="shared" si="2"/>
        <v>0</v>
      </c>
      <c r="J11" s="126"/>
      <c r="K11" s="126"/>
      <c r="L11" s="127"/>
    </row>
    <row r="12" spans="1:12" s="107" customFormat="1">
      <c r="A12" s="120" t="s">
        <v>15</v>
      </c>
      <c r="B12" s="120">
        <v>149</v>
      </c>
      <c r="C12" s="120">
        <v>0</v>
      </c>
      <c r="D12" s="120">
        <v>0</v>
      </c>
      <c r="E12" s="120">
        <v>526</v>
      </c>
      <c r="F12" s="120">
        <v>675</v>
      </c>
      <c r="G12"/>
      <c r="H12" s="122">
        <f>IF(B12+C12=0,0,SUM(B12:D12)/F12)</f>
        <v>0.22074074074074074</v>
      </c>
      <c r="I12" s="124">
        <f t="shared" si="2"/>
        <v>1</v>
      </c>
      <c r="J12" s="126" t="s">
        <v>1391</v>
      </c>
      <c r="K12" s="126" t="s">
        <v>1392</v>
      </c>
      <c r="L12" s="127"/>
    </row>
    <row r="13" spans="1:12" s="107" customFormat="1">
      <c r="A13" s="120" t="s">
        <v>70</v>
      </c>
      <c r="B13" s="120">
        <v>44</v>
      </c>
      <c r="C13" s="120">
        <v>0</v>
      </c>
      <c r="D13" s="120">
        <v>0</v>
      </c>
      <c r="E13" s="120">
        <v>846</v>
      </c>
      <c r="F13" s="120">
        <v>890</v>
      </c>
      <c r="G13"/>
      <c r="H13" s="122">
        <f t="shared" si="0"/>
        <v>4.9438202247191011E-2</v>
      </c>
      <c r="I13" s="124">
        <f t="shared" si="2"/>
        <v>1</v>
      </c>
      <c r="J13" s="126" t="s">
        <v>1391</v>
      </c>
      <c r="K13" s="126" t="s">
        <v>1398</v>
      </c>
      <c r="L13" s="127"/>
    </row>
    <row r="14" spans="1:12" s="107" customFormat="1" ht="35.25">
      <c r="A14" s="120" t="s">
        <v>31</v>
      </c>
      <c r="B14" s="120">
        <v>72</v>
      </c>
      <c r="C14" s="120">
        <v>11</v>
      </c>
      <c r="D14" s="120">
        <v>1</v>
      </c>
      <c r="E14" s="120">
        <v>351</v>
      </c>
      <c r="F14" s="120">
        <v>482</v>
      </c>
      <c r="G14"/>
      <c r="H14" s="122">
        <f t="shared" si="0"/>
        <v>0.17427385892116182</v>
      </c>
      <c r="I14" s="124">
        <f t="shared" si="2"/>
        <v>0.8571428571428571</v>
      </c>
      <c r="J14" s="126" t="s">
        <v>1399</v>
      </c>
      <c r="K14" s="126" t="s">
        <v>1394</v>
      </c>
      <c r="L14" s="127" t="s">
        <v>1400</v>
      </c>
    </row>
    <row r="15" spans="1:12" s="107" customFormat="1">
      <c r="A15" s="120" t="s">
        <v>75</v>
      </c>
      <c r="B15" s="120">
        <v>8</v>
      </c>
      <c r="C15" s="120">
        <v>2</v>
      </c>
      <c r="D15" s="120">
        <v>0</v>
      </c>
      <c r="E15" s="120">
        <v>48</v>
      </c>
      <c r="F15" s="120">
        <v>58</v>
      </c>
      <c r="G15"/>
      <c r="H15" s="122">
        <f t="shared" si="0"/>
        <v>0.17241379310344829</v>
      </c>
      <c r="I15" s="124">
        <f t="shared" si="2"/>
        <v>0.8</v>
      </c>
      <c r="J15" s="126"/>
      <c r="K15" s="126"/>
      <c r="L15" s="127"/>
    </row>
    <row r="16" spans="1:12" s="107" customFormat="1">
      <c r="A16" s="120" t="s">
        <v>78</v>
      </c>
      <c r="B16" s="120">
        <v>0</v>
      </c>
      <c r="C16" s="120">
        <v>0</v>
      </c>
      <c r="D16" s="120">
        <v>0</v>
      </c>
      <c r="E16" s="120">
        <v>0</v>
      </c>
      <c r="F16" s="120">
        <v>0</v>
      </c>
      <c r="G16"/>
      <c r="H16" s="122">
        <f t="shared" si="0"/>
        <v>0</v>
      </c>
      <c r="I16" s="124">
        <f t="shared" si="2"/>
        <v>0</v>
      </c>
      <c r="J16" s="126"/>
      <c r="K16" s="126"/>
      <c r="L16" s="127"/>
    </row>
    <row r="17" spans="1:12" s="107" customFormat="1">
      <c r="A17" s="120" t="s">
        <v>21</v>
      </c>
      <c r="B17" s="120">
        <v>1877</v>
      </c>
      <c r="C17" s="120">
        <v>80</v>
      </c>
      <c r="D17" s="120">
        <v>375</v>
      </c>
      <c r="E17" s="120">
        <v>7589</v>
      </c>
      <c r="F17" s="120">
        <v>10018</v>
      </c>
      <c r="G17"/>
      <c r="H17" s="122">
        <f t="shared" si="0"/>
        <v>0.23278099421042125</v>
      </c>
      <c r="I17" s="124">
        <f t="shared" si="2"/>
        <v>0.80488850771869636</v>
      </c>
      <c r="J17" s="126"/>
      <c r="K17" s="126"/>
      <c r="L17" s="12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9E920-8772-4021-9FF8-2E3CE42DF106}">
  <dimension ref="A1:F37"/>
  <sheetViews>
    <sheetView workbookViewId="0">
      <selection activeCell="B3" sqref="B3"/>
    </sheetView>
  </sheetViews>
  <sheetFormatPr defaultColWidth="8.85546875" defaultRowHeight="12"/>
  <cols>
    <col min="1" max="1" width="16.42578125" style="8" customWidth="1"/>
    <col min="2" max="2" width="51.42578125" style="8" customWidth="1"/>
    <col min="3" max="3" width="62.42578125" style="8" customWidth="1"/>
    <col min="4" max="4" width="14.42578125" style="8" hidden="1" customWidth="1"/>
    <col min="5" max="5" width="35.42578125" style="8" hidden="1" customWidth="1"/>
    <col min="6" max="16384" width="8.85546875" style="8"/>
  </cols>
  <sheetData>
    <row r="1" spans="1:6" ht="12.75" customHeight="1">
      <c r="A1" s="7" t="s">
        <v>1401</v>
      </c>
      <c r="B1" s="7" t="s">
        <v>1402</v>
      </c>
      <c r="C1" s="7" t="s">
        <v>1403</v>
      </c>
      <c r="D1" s="28"/>
    </row>
    <row r="2" spans="1:6" ht="12.75" customHeight="1">
      <c r="A2" s="9" t="s">
        <v>1404</v>
      </c>
      <c r="B2" s="48" t="s">
        <v>1405</v>
      </c>
      <c r="C2" s="47" t="s">
        <v>1406</v>
      </c>
      <c r="D2" s="22"/>
    </row>
    <row r="3" spans="1:6" ht="12.75" customHeight="1">
      <c r="A3" s="97" t="s">
        <v>1407</v>
      </c>
      <c r="B3" s="48" t="s">
        <v>1408</v>
      </c>
      <c r="C3" s="48" t="s">
        <v>1409</v>
      </c>
      <c r="D3" s="22"/>
      <c r="E3" s="8" t="s">
        <v>1410</v>
      </c>
      <c r="F3" s="8" t="s">
        <v>1411</v>
      </c>
    </row>
    <row r="4" spans="1:6">
      <c r="A4" s="9" t="s">
        <v>1412</v>
      </c>
      <c r="B4" s="97" t="s">
        <v>1413</v>
      </c>
      <c r="C4" s="97" t="s">
        <v>1414</v>
      </c>
      <c r="D4" s="11"/>
      <c r="E4" s="8" t="s">
        <v>1415</v>
      </c>
    </row>
    <row r="5" spans="1:6">
      <c r="A5" s="11"/>
      <c r="B5" s="10"/>
      <c r="C5" s="10"/>
      <c r="D5" s="11"/>
    </row>
    <row r="6" spans="1:6" ht="12.75" customHeight="1">
      <c r="A6" s="12"/>
      <c r="B6" s="12"/>
      <c r="C6" s="12"/>
      <c r="D6" s="12"/>
    </row>
    <row r="7" spans="1:6" ht="12.75" customHeight="1">
      <c r="A7" s="305" t="s">
        <v>1416</v>
      </c>
      <c r="B7" s="305"/>
      <c r="C7" s="305"/>
      <c r="D7" s="60"/>
    </row>
    <row r="8" spans="1:6" ht="12.75" customHeight="1">
      <c r="A8" s="62" t="s">
        <v>249</v>
      </c>
      <c r="B8" s="7" t="s">
        <v>1402</v>
      </c>
      <c r="C8" s="7" t="s">
        <v>1403</v>
      </c>
      <c r="D8" s="61" t="s">
        <v>1417</v>
      </c>
      <c r="E8" s="26" t="s">
        <v>188</v>
      </c>
    </row>
    <row r="9" spans="1:6" ht="12.75" customHeight="1">
      <c r="A9" s="62" t="s">
        <v>1404</v>
      </c>
      <c r="B9" s="48" t="s">
        <v>1405</v>
      </c>
      <c r="C9" s="47" t="s">
        <v>1406</v>
      </c>
      <c r="D9" s="53" t="s">
        <v>1418</v>
      </c>
      <c r="E9" s="15"/>
    </row>
    <row r="10" spans="1:6" ht="12.75" customHeight="1">
      <c r="A10" s="62" t="s">
        <v>1419</v>
      </c>
      <c r="B10" s="63" t="s">
        <v>1420</v>
      </c>
      <c r="C10" s="63" t="s">
        <v>1421</v>
      </c>
      <c r="D10" s="306" t="s">
        <v>1422</v>
      </c>
      <c r="E10" s="15"/>
    </row>
    <row r="11" spans="1:6" ht="12.95">
      <c r="A11" s="62" t="s">
        <v>1423</v>
      </c>
      <c r="B11" s="62" t="s">
        <v>249</v>
      </c>
      <c r="C11" s="63" t="s">
        <v>1424</v>
      </c>
      <c r="D11" s="306"/>
      <c r="E11" s="15"/>
    </row>
    <row r="12" spans="1:6" ht="12.95">
      <c r="A12" s="62" t="s">
        <v>1425</v>
      </c>
      <c r="B12" s="62" t="s">
        <v>249</v>
      </c>
      <c r="C12" s="62" t="s">
        <v>1426</v>
      </c>
      <c r="D12" s="54" t="s">
        <v>15</v>
      </c>
      <c r="E12" s="31"/>
      <c r="F12" s="13"/>
    </row>
    <row r="13" spans="1:6" ht="12.95">
      <c r="A13" s="62" t="s">
        <v>1427</v>
      </c>
      <c r="B13" s="62" t="s">
        <v>249</v>
      </c>
      <c r="C13" s="62" t="s">
        <v>1428</v>
      </c>
      <c r="D13" s="53" t="s">
        <v>31</v>
      </c>
      <c r="E13" s="15"/>
      <c r="F13" s="13"/>
    </row>
    <row r="14" spans="1:6" ht="16.5" customHeight="1">
      <c r="A14" s="62" t="s">
        <v>1429</v>
      </c>
      <c r="B14" s="62" t="s">
        <v>249</v>
      </c>
      <c r="C14" s="62" t="s">
        <v>249</v>
      </c>
      <c r="D14" s="53" t="s">
        <v>34</v>
      </c>
      <c r="E14" s="14"/>
      <c r="F14" s="13"/>
    </row>
    <row r="15" spans="1:6" ht="16.5" customHeight="1">
      <c r="A15" s="62" t="s">
        <v>1430</v>
      </c>
      <c r="B15" s="62" t="s">
        <v>1431</v>
      </c>
      <c r="C15" s="62" t="s">
        <v>1432</v>
      </c>
      <c r="D15" s="55" t="s">
        <v>34</v>
      </c>
      <c r="E15" s="15"/>
    </row>
    <row r="16" spans="1:6" ht="12.75" customHeight="1">
      <c r="A16" s="62" t="s">
        <v>1433</v>
      </c>
      <c r="B16" s="62" t="s">
        <v>1434</v>
      </c>
      <c r="C16" s="62" t="s">
        <v>1435</v>
      </c>
      <c r="D16" s="55" t="s">
        <v>54</v>
      </c>
      <c r="E16" s="14"/>
    </row>
    <row r="17" spans="1:5" ht="12.75" customHeight="1">
      <c r="A17" s="56" t="s">
        <v>1436</v>
      </c>
      <c r="B17" s="56"/>
      <c r="C17" s="56"/>
      <c r="D17" s="30" t="s">
        <v>48</v>
      </c>
      <c r="E17" s="15"/>
    </row>
    <row r="18" spans="1:5" ht="12.75" customHeight="1">
      <c r="A18" s="29" t="s">
        <v>1437</v>
      </c>
      <c r="B18" s="29"/>
      <c r="C18" s="29"/>
      <c r="D18" s="30" t="s">
        <v>41</v>
      </c>
      <c r="E18" s="15"/>
    </row>
    <row r="19" spans="1:5" ht="12.75" customHeight="1">
      <c r="A19" s="29" t="s">
        <v>1438</v>
      </c>
      <c r="B19" s="29"/>
      <c r="C19" s="29"/>
      <c r="D19" s="30" t="s">
        <v>38</v>
      </c>
      <c r="E19" s="15"/>
    </row>
    <row r="20" spans="1:5" ht="12.75" customHeight="1">
      <c r="A20" s="29" t="s">
        <v>1439</v>
      </c>
      <c r="B20" s="29"/>
      <c r="C20" s="29"/>
      <c r="D20" s="30" t="s">
        <v>48</v>
      </c>
      <c r="E20" s="15"/>
    </row>
    <row r="21" spans="1:5" ht="12.95">
      <c r="A21" s="29" t="s">
        <v>1440</v>
      </c>
      <c r="B21" s="29"/>
      <c r="C21" s="29"/>
      <c r="D21" s="30" t="s">
        <v>41</v>
      </c>
      <c r="E21" s="15"/>
    </row>
    <row r="22" spans="1:5" ht="12.95">
      <c r="A22" s="29" t="s">
        <v>1441</v>
      </c>
      <c r="B22" s="29"/>
      <c r="C22" s="29"/>
      <c r="D22" s="30" t="s">
        <v>41</v>
      </c>
      <c r="E22" s="15"/>
    </row>
    <row r="23" spans="1:5" ht="12.95">
      <c r="A23" s="29" t="s">
        <v>1442</v>
      </c>
      <c r="B23" s="29"/>
      <c r="C23" s="29"/>
      <c r="D23" s="30" t="s">
        <v>41</v>
      </c>
      <c r="E23" s="15"/>
    </row>
    <row r="24" spans="1:5" ht="14.45">
      <c r="A24" s="29" t="s">
        <v>235</v>
      </c>
      <c r="B24" s="27"/>
      <c r="C24" s="27"/>
      <c r="D24" s="30" t="s">
        <v>67</v>
      </c>
      <c r="E24" s="15"/>
    </row>
    <row r="35" ht="23.25" customHeight="1"/>
    <row r="36" ht="21.75" customHeight="1"/>
    <row r="37" ht="9.75" customHeight="1"/>
  </sheetData>
  <autoFilter ref="A8:F8" xr:uid="{5F29E920-8772-4021-9FF8-2E3CE42DF106}"/>
  <mergeCells count="2">
    <mergeCell ref="A7:C7"/>
    <mergeCell ref="D10:D11"/>
  </mergeCells>
  <hyperlinks>
    <hyperlink ref="B10" r:id="rId1" xr:uid="{3EA469CA-B975-4292-9A85-97AD3D466EA6}"/>
    <hyperlink ref="C10" r:id="rId2" xr:uid="{2248D144-B6B9-4740-A48B-F4B45CA58896}"/>
    <hyperlink ref="C11" r:id="rId3" xr:uid="{CBEBA684-FD41-4084-AA2D-1C02EB7964BA}"/>
    <hyperlink ref="B3" r:id="rId4" xr:uid="{C7DBE7A1-0558-41F7-85E1-9CE2C9CC1E8C}"/>
    <hyperlink ref="C3" r:id="rId5" xr:uid="{E680980C-CF4C-452A-82C4-0B37736DFE47}"/>
    <hyperlink ref="C2" r:id="rId6" xr:uid="{FF3E09F8-4ABD-4F6A-A91C-BA67D4253CFF}"/>
    <hyperlink ref="B9" r:id="rId7" xr:uid="{3D491360-EA84-4832-BF8B-1DF1804209EA}"/>
    <hyperlink ref="C9" r:id="rId8" xr:uid="{F64D0B01-FE07-4FF8-8003-F631894FA127}"/>
    <hyperlink ref="B2" r:id="rId9" xr:uid="{4390E23D-A32E-40E3-8C38-220F2C1D385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C79B-F496-4ECF-AD17-705D3D2757CB}">
  <dimension ref="A1:AE827"/>
  <sheetViews>
    <sheetView workbookViewId="0">
      <pane ySplit="1" topLeftCell="A590" activePane="bottomLeft" state="frozen"/>
      <selection pane="bottomLeft" activeCell="F677" sqref="F677"/>
    </sheetView>
  </sheetViews>
  <sheetFormatPr defaultColWidth="8.85546875" defaultRowHeight="14.45"/>
  <cols>
    <col min="1" max="1" width="35.140625" customWidth="1"/>
    <col min="2" max="2" width="21.140625" bestFit="1" customWidth="1"/>
    <col min="3" max="3" width="12.42578125" bestFit="1" customWidth="1"/>
    <col min="4" max="4" width="8.42578125" bestFit="1" customWidth="1"/>
    <col min="5" max="5" width="8.7109375" bestFit="1" customWidth="1"/>
    <col min="6" max="6" width="25.42578125" customWidth="1"/>
    <col min="7" max="7" width="13.42578125" bestFit="1" customWidth="1"/>
    <col min="8" max="8" width="13.85546875" customWidth="1"/>
    <col min="9" max="9" width="30.42578125" customWidth="1"/>
    <col min="10" max="10" width="17.140625" customWidth="1"/>
    <col min="11" max="11" width="18.42578125" bestFit="1" customWidth="1"/>
    <col min="12" max="12" width="21.140625" customWidth="1"/>
    <col min="13" max="13" width="17" bestFit="1" customWidth="1"/>
    <col min="14" max="14" width="16.42578125" bestFit="1" customWidth="1"/>
    <col min="15" max="15" width="27.42578125" bestFit="1" customWidth="1"/>
    <col min="16" max="16" width="28.42578125" bestFit="1" customWidth="1"/>
    <col min="17" max="17" width="16.42578125" bestFit="1" customWidth="1"/>
    <col min="18" max="18" width="7.42578125" bestFit="1" customWidth="1"/>
    <col min="19" max="19" width="14.140625" customWidth="1"/>
    <col min="20" max="20" width="19.140625" bestFit="1" customWidth="1"/>
    <col min="21" max="21" width="23.42578125" bestFit="1" customWidth="1"/>
    <col min="22" max="22" width="70.42578125" bestFit="1" customWidth="1"/>
    <col min="23" max="23" width="16.42578125" bestFit="1" customWidth="1"/>
    <col min="24" max="24" width="66.140625" bestFit="1" customWidth="1"/>
    <col min="25" max="25" width="81.140625" bestFit="1" customWidth="1"/>
    <col min="26" max="26" width="83.140625" bestFit="1" customWidth="1"/>
    <col min="27" max="27" width="10.42578125" customWidth="1"/>
    <col min="28" max="28" width="10.42578125" bestFit="1" customWidth="1"/>
    <col min="29" max="29" width="55.140625" customWidth="1"/>
    <col min="30" max="30" width="13.42578125" customWidth="1"/>
  </cols>
  <sheetData>
    <row r="1" spans="1:31">
      <c r="A1" s="70" t="s">
        <v>154</v>
      </c>
      <c r="B1" s="70" t="s">
        <v>1443</v>
      </c>
      <c r="C1" s="70" t="s">
        <v>1444</v>
      </c>
      <c r="D1" s="70" t="s">
        <v>1445</v>
      </c>
      <c r="E1" s="70" t="s">
        <v>1446</v>
      </c>
      <c r="F1" s="70" t="s">
        <v>157</v>
      </c>
      <c r="G1" s="70" t="s">
        <v>156</v>
      </c>
      <c r="H1" s="70" t="s">
        <v>1447</v>
      </c>
      <c r="I1" s="70" t="s">
        <v>189</v>
      </c>
      <c r="J1" s="70" t="s">
        <v>1448</v>
      </c>
      <c r="K1" s="70" t="s">
        <v>1449</v>
      </c>
      <c r="L1" s="70" t="s">
        <v>1450</v>
      </c>
      <c r="M1" s="70" t="s">
        <v>1451</v>
      </c>
      <c r="N1" s="70" t="s">
        <v>1452</v>
      </c>
      <c r="O1" s="70" t="s">
        <v>1453</v>
      </c>
      <c r="P1" s="70" t="s">
        <v>1454</v>
      </c>
      <c r="Q1" s="70" t="s">
        <v>1455</v>
      </c>
      <c r="R1" s="70" t="s">
        <v>1456</v>
      </c>
      <c r="S1" s="70" t="s">
        <v>1457</v>
      </c>
      <c r="T1" s="70" t="s">
        <v>1458</v>
      </c>
      <c r="U1" s="70" t="s">
        <v>1459</v>
      </c>
      <c r="V1" s="70" t="s">
        <v>1460</v>
      </c>
      <c r="W1" s="70" t="s">
        <v>1461</v>
      </c>
      <c r="X1" s="70" t="s">
        <v>1462</v>
      </c>
      <c r="Y1" s="70" t="s">
        <v>1463</v>
      </c>
      <c r="Z1" s="70" t="s">
        <v>1464</v>
      </c>
      <c r="AA1" s="70" t="s">
        <v>1465</v>
      </c>
      <c r="AB1" s="70" t="s">
        <v>1466</v>
      </c>
      <c r="AC1" s="70" t="s">
        <v>1467</v>
      </c>
      <c r="AD1" s="70" t="s">
        <v>1468</v>
      </c>
      <c r="AE1" s="70" t="s">
        <v>1469</v>
      </c>
    </row>
    <row r="2" spans="1:31">
      <c r="A2" s="256" t="s">
        <v>1470</v>
      </c>
      <c r="B2" s="256" t="s">
        <v>1471</v>
      </c>
      <c r="C2" s="256" t="s">
        <v>1472</v>
      </c>
      <c r="D2" s="256" t="s">
        <v>1473</v>
      </c>
      <c r="E2" s="256">
        <v>4443474</v>
      </c>
      <c r="F2" s="256">
        <v>4435598</v>
      </c>
      <c r="G2" s="256" t="s">
        <v>1474</v>
      </c>
      <c r="H2" s="256" t="s">
        <v>1475</v>
      </c>
      <c r="I2" s="256" t="s">
        <v>1476</v>
      </c>
      <c r="J2" s="256" t="s">
        <v>1477</v>
      </c>
      <c r="K2" s="259">
        <v>46134.229166666664</v>
      </c>
      <c r="L2" s="259">
        <v>46119.934027777781</v>
      </c>
      <c r="M2" s="256"/>
      <c r="N2" s="256"/>
      <c r="O2" s="256" t="s">
        <v>1478</v>
      </c>
      <c r="P2" s="259">
        <v>46151.229166666664</v>
      </c>
      <c r="Q2" s="256">
        <v>1</v>
      </c>
      <c r="R2" s="256"/>
      <c r="S2" s="256">
        <v>2</v>
      </c>
      <c r="T2" s="256"/>
      <c r="U2" s="256" t="s">
        <v>1</v>
      </c>
      <c r="V2" s="256" t="s">
        <v>1</v>
      </c>
      <c r="W2" s="256" t="s">
        <v>1479</v>
      </c>
      <c r="X2" s="259">
        <v>46099.746527777781</v>
      </c>
      <c r="Y2" s="256" t="s">
        <v>1480</v>
      </c>
      <c r="Z2" s="256" t="s">
        <v>1481</v>
      </c>
      <c r="AA2" s="256" t="s">
        <v>1482</v>
      </c>
      <c r="AB2" s="256"/>
      <c r="AC2" s="256"/>
      <c r="AD2" s="256" t="s">
        <v>1483</v>
      </c>
      <c r="AE2" s="256" t="s">
        <v>1484</v>
      </c>
    </row>
    <row r="3" spans="1:31">
      <c r="A3" s="256" t="s">
        <v>1485</v>
      </c>
      <c r="B3" s="256" t="s">
        <v>1486</v>
      </c>
      <c r="C3" s="256" t="s">
        <v>1472</v>
      </c>
      <c r="D3" s="256" t="s">
        <v>1487</v>
      </c>
      <c r="E3" s="256">
        <v>4444328</v>
      </c>
      <c r="F3" s="256">
        <v>4444330</v>
      </c>
      <c r="G3" s="256" t="s">
        <v>925</v>
      </c>
      <c r="H3" s="256" t="s">
        <v>305</v>
      </c>
      <c r="I3" s="256" t="s">
        <v>1476</v>
      </c>
      <c r="J3" s="256" t="s">
        <v>1488</v>
      </c>
      <c r="K3" s="259">
        <v>46119.854861111111</v>
      </c>
      <c r="L3" s="259">
        <v>46120.0625</v>
      </c>
      <c r="M3" s="256"/>
      <c r="N3" s="256"/>
      <c r="O3" s="256" t="s">
        <v>1489</v>
      </c>
      <c r="P3" s="259">
        <v>46151.229166666664</v>
      </c>
      <c r="Q3" s="256">
        <v>3</v>
      </c>
      <c r="R3" s="256"/>
      <c r="S3" s="256">
        <v>2</v>
      </c>
      <c r="T3" s="256"/>
      <c r="U3" s="256" t="s">
        <v>1</v>
      </c>
      <c r="V3" s="256" t="s">
        <v>1</v>
      </c>
      <c r="W3" s="256" t="s">
        <v>1490</v>
      </c>
      <c r="X3" s="259">
        <v>46107.568749999999</v>
      </c>
      <c r="Y3" s="256" t="s">
        <v>1491</v>
      </c>
      <c r="Z3" s="256" t="s">
        <v>1481</v>
      </c>
      <c r="AA3" s="256" t="s">
        <v>1492</v>
      </c>
      <c r="AB3" s="256"/>
      <c r="AC3" s="256"/>
      <c r="AD3" s="256" t="s">
        <v>1493</v>
      </c>
      <c r="AE3" s="256" t="s">
        <v>1484</v>
      </c>
    </row>
    <row r="4" spans="1:31">
      <c r="A4" s="256" t="s">
        <v>1485</v>
      </c>
      <c r="B4" s="256" t="s">
        <v>1486</v>
      </c>
      <c r="C4" s="256" t="s">
        <v>1472</v>
      </c>
      <c r="D4" s="256" t="s">
        <v>1487</v>
      </c>
      <c r="E4" s="256">
        <v>4444328</v>
      </c>
      <c r="F4" s="256">
        <v>4444334</v>
      </c>
      <c r="G4" s="256" t="s">
        <v>927</v>
      </c>
      <c r="H4" s="256" t="s">
        <v>305</v>
      </c>
      <c r="I4" s="256" t="s">
        <v>1476</v>
      </c>
      <c r="J4" s="256" t="s">
        <v>1488</v>
      </c>
      <c r="K4" s="259">
        <v>46119.980555555558</v>
      </c>
      <c r="L4" s="259">
        <v>46120.0625</v>
      </c>
      <c r="M4" s="256"/>
      <c r="N4" s="256"/>
      <c r="O4" s="256" t="s">
        <v>1494</v>
      </c>
      <c r="P4" s="259">
        <v>46151.229166666664</v>
      </c>
      <c r="Q4" s="256">
        <v>3</v>
      </c>
      <c r="R4" s="256"/>
      <c r="S4" s="256">
        <v>2</v>
      </c>
      <c r="T4" s="256"/>
      <c r="U4" s="256" t="s">
        <v>1</v>
      </c>
      <c r="V4" s="256" t="s">
        <v>1</v>
      </c>
      <c r="W4" s="256" t="s">
        <v>1490</v>
      </c>
      <c r="X4" s="259">
        <v>46107.570833333331</v>
      </c>
      <c r="Y4" s="256" t="s">
        <v>1495</v>
      </c>
      <c r="Z4" s="256" t="s">
        <v>1481</v>
      </c>
      <c r="AA4" s="256" t="s">
        <v>1492</v>
      </c>
      <c r="AB4" s="256"/>
      <c r="AC4" s="256"/>
      <c r="AD4" s="256" t="s">
        <v>1496</v>
      </c>
      <c r="AE4" s="256" t="s">
        <v>1484</v>
      </c>
    </row>
    <row r="5" spans="1:31">
      <c r="A5" s="256" t="s">
        <v>1485</v>
      </c>
      <c r="B5" s="256" t="s">
        <v>1486</v>
      </c>
      <c r="C5" s="256" t="s">
        <v>1472</v>
      </c>
      <c r="D5" s="256" t="s">
        <v>1487</v>
      </c>
      <c r="E5" s="256">
        <v>4444328</v>
      </c>
      <c r="F5" s="256">
        <v>4444335</v>
      </c>
      <c r="G5" s="256" t="s">
        <v>929</v>
      </c>
      <c r="H5" s="256" t="s">
        <v>1475</v>
      </c>
      <c r="I5" s="256" t="s">
        <v>1476</v>
      </c>
      <c r="J5" s="256" t="s">
        <v>1488</v>
      </c>
      <c r="K5" s="259">
        <v>46121.623611111114</v>
      </c>
      <c r="L5" s="259">
        <v>46121.0625</v>
      </c>
      <c r="M5" s="256"/>
      <c r="N5" s="256"/>
      <c r="O5" s="256" t="s">
        <v>1497</v>
      </c>
      <c r="P5" s="259">
        <v>46151.229166666664</v>
      </c>
      <c r="Q5" s="256">
        <v>3</v>
      </c>
      <c r="R5" s="256"/>
      <c r="S5" s="256">
        <v>2</v>
      </c>
      <c r="T5" s="256"/>
      <c r="U5" s="256" t="s">
        <v>1</v>
      </c>
      <c r="V5" s="256" t="s">
        <v>1498</v>
      </c>
      <c r="W5" s="256" t="s">
        <v>1490</v>
      </c>
      <c r="X5" s="259">
        <v>46107.572916666664</v>
      </c>
      <c r="Y5" s="256" t="s">
        <v>1499</v>
      </c>
      <c r="Z5" s="256" t="s">
        <v>1481</v>
      </c>
      <c r="AA5" s="256" t="s">
        <v>1492</v>
      </c>
      <c r="AB5" s="256"/>
      <c r="AC5" s="256"/>
      <c r="AD5" s="256" t="s">
        <v>1500</v>
      </c>
      <c r="AE5" s="256" t="s">
        <v>1484</v>
      </c>
    </row>
    <row r="6" spans="1:31">
      <c r="A6" s="256" t="s">
        <v>1485</v>
      </c>
      <c r="B6" s="256" t="s">
        <v>1486</v>
      </c>
      <c r="C6" s="256" t="s">
        <v>1472</v>
      </c>
      <c r="D6" s="256" t="s">
        <v>1487</v>
      </c>
      <c r="E6" s="256">
        <v>4444328</v>
      </c>
      <c r="F6" s="256">
        <v>4444345</v>
      </c>
      <c r="G6" s="256" t="s">
        <v>1343</v>
      </c>
      <c r="H6" s="256" t="s">
        <v>305</v>
      </c>
      <c r="I6" s="256" t="s">
        <v>1476</v>
      </c>
      <c r="J6" s="256" t="s">
        <v>1501</v>
      </c>
      <c r="K6" s="259">
        <v>46121.62222222222</v>
      </c>
      <c r="L6" s="259">
        <v>46126.704861111109</v>
      </c>
      <c r="M6" s="256"/>
      <c r="N6" s="256"/>
      <c r="O6" s="256" t="s">
        <v>1502</v>
      </c>
      <c r="P6" s="259">
        <v>46151.229166666664</v>
      </c>
      <c r="Q6" s="256">
        <v>3</v>
      </c>
      <c r="R6" s="256"/>
      <c r="S6" s="256">
        <v>2</v>
      </c>
      <c r="T6" s="256"/>
      <c r="U6" s="256" t="s">
        <v>18</v>
      </c>
      <c r="V6" s="256" t="s">
        <v>18</v>
      </c>
      <c r="W6" s="256" t="s">
        <v>1490</v>
      </c>
      <c r="X6" s="259">
        <v>46107.574305555558</v>
      </c>
      <c r="Y6" s="256" t="s">
        <v>1503</v>
      </c>
      <c r="Z6" s="256" t="s">
        <v>1481</v>
      </c>
      <c r="AA6" s="256" t="s">
        <v>1492</v>
      </c>
      <c r="AB6" s="256"/>
      <c r="AC6" s="256"/>
      <c r="AD6" s="256" t="s">
        <v>1504</v>
      </c>
      <c r="AE6" s="256" t="s">
        <v>1484</v>
      </c>
    </row>
    <row r="7" spans="1:31">
      <c r="A7" s="256" t="s">
        <v>1505</v>
      </c>
      <c r="B7" s="256" t="s">
        <v>1471</v>
      </c>
      <c r="C7" s="256" t="s">
        <v>1472</v>
      </c>
      <c r="D7" s="256" t="s">
        <v>1506</v>
      </c>
      <c r="E7" s="256">
        <v>4440976</v>
      </c>
      <c r="F7" s="256">
        <v>4446503</v>
      </c>
      <c r="G7" s="256" t="s">
        <v>688</v>
      </c>
      <c r="H7" s="256" t="s">
        <v>305</v>
      </c>
      <c r="I7" s="256" t="s">
        <v>1476</v>
      </c>
      <c r="J7" s="256" t="s">
        <v>1501</v>
      </c>
      <c r="K7" s="259">
        <v>46134.229166666664</v>
      </c>
      <c r="L7" s="259">
        <v>46125.968055555553</v>
      </c>
      <c r="M7" s="259">
        <v>46134.229166666664</v>
      </c>
      <c r="N7" s="256"/>
      <c r="O7" s="256" t="s">
        <v>1507</v>
      </c>
      <c r="P7" s="259">
        <v>46151.229166666664</v>
      </c>
      <c r="Q7" s="256">
        <v>1</v>
      </c>
      <c r="R7" s="256"/>
      <c r="S7" s="256">
        <v>2</v>
      </c>
      <c r="T7" s="256"/>
      <c r="U7" s="256" t="s">
        <v>1</v>
      </c>
      <c r="V7" s="256" t="s">
        <v>1</v>
      </c>
      <c r="W7" s="256" t="s">
        <v>1508</v>
      </c>
      <c r="X7" s="259">
        <v>46108.67083333333</v>
      </c>
      <c r="Y7" s="256" t="s">
        <v>1509</v>
      </c>
      <c r="Z7" s="256" t="s">
        <v>1481</v>
      </c>
      <c r="AA7" s="256" t="s">
        <v>1492</v>
      </c>
      <c r="AB7" s="256"/>
      <c r="AC7" s="256"/>
      <c r="AD7" s="256" t="s">
        <v>1510</v>
      </c>
      <c r="AE7" s="256" t="s">
        <v>1484</v>
      </c>
    </row>
    <row r="8" spans="1:31">
      <c r="A8" s="256" t="s">
        <v>281</v>
      </c>
      <c r="B8" s="256" t="s">
        <v>1511</v>
      </c>
      <c r="C8" s="256" t="s">
        <v>280</v>
      </c>
      <c r="D8" s="256" t="s">
        <v>281</v>
      </c>
      <c r="E8" s="256">
        <v>4372279</v>
      </c>
      <c r="F8" s="256">
        <v>4454065</v>
      </c>
      <c r="G8" s="256" t="s">
        <v>1512</v>
      </c>
      <c r="H8" s="256" t="s">
        <v>1513</v>
      </c>
      <c r="I8" s="256" t="s">
        <v>1476</v>
      </c>
      <c r="J8" s="256" t="s">
        <v>1488</v>
      </c>
      <c r="K8" s="259">
        <v>46134.229166666664</v>
      </c>
      <c r="L8" s="259">
        <v>46119.938194444447</v>
      </c>
      <c r="M8" s="259">
        <v>46135.229166666664</v>
      </c>
      <c r="N8" s="259">
        <v>46121.933333333334</v>
      </c>
      <c r="O8" s="256" t="s">
        <v>1514</v>
      </c>
      <c r="P8" s="259">
        <v>46151.229166666664</v>
      </c>
      <c r="Q8" s="256">
        <v>1</v>
      </c>
      <c r="R8" s="256"/>
      <c r="S8" s="256">
        <v>2</v>
      </c>
      <c r="T8" s="256"/>
      <c r="U8" s="256" t="s">
        <v>1</v>
      </c>
      <c r="V8" s="256" t="s">
        <v>1</v>
      </c>
      <c r="W8" s="256" t="s">
        <v>1515</v>
      </c>
      <c r="X8" s="259">
        <v>46112.719444444447</v>
      </c>
      <c r="Y8" s="256" t="s">
        <v>1516</v>
      </c>
      <c r="Z8" s="256" t="s">
        <v>1481</v>
      </c>
      <c r="AA8" s="256" t="s">
        <v>1517</v>
      </c>
      <c r="AB8" s="256"/>
      <c r="AC8" s="256"/>
      <c r="AD8" s="256" t="s">
        <v>1518</v>
      </c>
      <c r="AE8" s="256" t="s">
        <v>1484</v>
      </c>
    </row>
    <row r="9" spans="1:31">
      <c r="A9" s="256" t="s">
        <v>1485</v>
      </c>
      <c r="B9" s="256" t="s">
        <v>1486</v>
      </c>
      <c r="C9" s="256" t="s">
        <v>1472</v>
      </c>
      <c r="D9" s="256" t="s">
        <v>1487</v>
      </c>
      <c r="E9" s="256">
        <v>4444328</v>
      </c>
      <c r="F9" s="256">
        <v>4461628</v>
      </c>
      <c r="G9" s="256" t="s">
        <v>1281</v>
      </c>
      <c r="H9" s="256" t="s">
        <v>242</v>
      </c>
      <c r="I9" s="256" t="s">
        <v>1476</v>
      </c>
      <c r="J9" s="256" t="s">
        <v>1519</v>
      </c>
      <c r="K9" s="259">
        <v>46139.229166666664</v>
      </c>
      <c r="L9" s="256"/>
      <c r="M9" s="259">
        <v>46134.229166666664</v>
      </c>
      <c r="N9" s="256"/>
      <c r="O9" s="256" t="s">
        <v>1520</v>
      </c>
      <c r="P9" s="259">
        <v>46151.229166666664</v>
      </c>
      <c r="Q9" s="256">
        <v>3</v>
      </c>
      <c r="R9" s="256"/>
      <c r="S9" s="256">
        <v>2</v>
      </c>
      <c r="T9" s="256"/>
      <c r="U9" s="256" t="s">
        <v>18</v>
      </c>
      <c r="V9" s="256" t="s">
        <v>18</v>
      </c>
      <c r="W9" s="256" t="s">
        <v>1490</v>
      </c>
      <c r="X9" s="259">
        <v>46115.568749999999</v>
      </c>
      <c r="Y9" s="256" t="s">
        <v>1521</v>
      </c>
      <c r="Z9" s="256" t="s">
        <v>1481</v>
      </c>
      <c r="AA9" s="256" t="s">
        <v>1492</v>
      </c>
      <c r="AB9" s="256"/>
      <c r="AC9" s="256"/>
      <c r="AD9" s="256" t="s">
        <v>1522</v>
      </c>
      <c r="AE9" s="256" t="s">
        <v>1484</v>
      </c>
    </row>
    <row r="10" spans="1:31">
      <c r="A10" s="256" t="s">
        <v>1523</v>
      </c>
      <c r="B10" s="256" t="s">
        <v>1471</v>
      </c>
      <c r="C10" s="256" t="s">
        <v>1472</v>
      </c>
      <c r="D10" s="256" t="s">
        <v>1473</v>
      </c>
      <c r="E10" s="256">
        <v>4443471</v>
      </c>
      <c r="F10" s="256">
        <v>4471400</v>
      </c>
      <c r="G10" s="256" t="s">
        <v>1524</v>
      </c>
      <c r="H10" s="256" t="s">
        <v>305</v>
      </c>
      <c r="I10" s="256" t="s">
        <v>1476</v>
      </c>
      <c r="J10" s="256" t="s">
        <v>1477</v>
      </c>
      <c r="K10" s="259">
        <v>46129.229166666664</v>
      </c>
      <c r="L10" s="259">
        <v>46127.679166666669</v>
      </c>
      <c r="M10" s="259">
        <v>46134.229166666664</v>
      </c>
      <c r="N10" s="256"/>
      <c r="O10" s="256" t="s">
        <v>1525</v>
      </c>
      <c r="P10" s="259">
        <v>46151.229166666664</v>
      </c>
      <c r="Q10" s="256">
        <v>0.75</v>
      </c>
      <c r="R10" s="256"/>
      <c r="S10" s="256">
        <v>1</v>
      </c>
      <c r="T10" s="256"/>
      <c r="U10" s="256" t="s">
        <v>1</v>
      </c>
      <c r="V10" s="256" t="s">
        <v>1</v>
      </c>
      <c r="W10" s="256" t="s">
        <v>1479</v>
      </c>
      <c r="X10" s="259">
        <v>46122.429861111108</v>
      </c>
      <c r="Y10" s="256" t="s">
        <v>1526</v>
      </c>
      <c r="Z10" s="256" t="s">
        <v>1481</v>
      </c>
      <c r="AA10" s="256" t="s">
        <v>1482</v>
      </c>
      <c r="AB10" s="256"/>
      <c r="AC10" s="256"/>
      <c r="AD10" s="256" t="s">
        <v>1483</v>
      </c>
      <c r="AE10" s="256" t="s">
        <v>1484</v>
      </c>
    </row>
    <row r="11" spans="1:31">
      <c r="A11" s="256">
        <v>0</v>
      </c>
      <c r="B11" s="256" t="s">
        <v>1471</v>
      </c>
      <c r="C11" s="256" t="s">
        <v>1527</v>
      </c>
      <c r="D11" s="256" t="s">
        <v>1528</v>
      </c>
      <c r="E11" s="256"/>
      <c r="F11" s="256">
        <v>4475473</v>
      </c>
      <c r="G11" s="256" t="s">
        <v>1529</v>
      </c>
      <c r="H11" s="256" t="s">
        <v>198</v>
      </c>
      <c r="I11" s="256" t="s">
        <v>1530</v>
      </c>
      <c r="J11" s="256"/>
      <c r="K11" s="259">
        <v>46134.229166666664</v>
      </c>
      <c r="L11" s="256"/>
      <c r="M11" s="259">
        <v>46140.229166666664</v>
      </c>
      <c r="N11" s="256"/>
      <c r="O11" s="256" t="s">
        <v>1531</v>
      </c>
      <c r="P11" s="259">
        <v>46151.229166666664</v>
      </c>
      <c r="Q11" s="256">
        <v>1</v>
      </c>
      <c r="R11" s="256"/>
      <c r="S11" s="256">
        <v>2</v>
      </c>
      <c r="T11" s="256"/>
      <c r="U11" s="256"/>
      <c r="V11" s="256"/>
      <c r="W11" s="256" t="s">
        <v>1532</v>
      </c>
      <c r="X11" s="259">
        <v>46125.798611111109</v>
      </c>
      <c r="Y11" s="256" t="s">
        <v>40</v>
      </c>
      <c r="Z11" s="256" t="s">
        <v>1533</v>
      </c>
      <c r="AA11" s="256" t="s">
        <v>1534</v>
      </c>
      <c r="AB11" s="256"/>
      <c r="AC11" s="256"/>
      <c r="AD11" s="256" t="s">
        <v>1535</v>
      </c>
      <c r="AE11" s="256" t="s">
        <v>1536</v>
      </c>
    </row>
    <row r="12" spans="1:31">
      <c r="A12" s="256" t="s">
        <v>1537</v>
      </c>
      <c r="B12" s="256" t="s">
        <v>1471</v>
      </c>
      <c r="C12" s="256" t="s">
        <v>1527</v>
      </c>
      <c r="D12" s="256" t="s">
        <v>1538</v>
      </c>
      <c r="E12" s="256">
        <v>4413810</v>
      </c>
      <c r="F12" s="256">
        <v>4465888</v>
      </c>
      <c r="G12" s="256" t="s">
        <v>977</v>
      </c>
      <c r="H12" s="256" t="s">
        <v>242</v>
      </c>
      <c r="I12" s="256" t="s">
        <v>261</v>
      </c>
      <c r="J12" s="256" t="s">
        <v>1488</v>
      </c>
      <c r="K12" s="259">
        <v>46137.104166666664</v>
      </c>
      <c r="L12" s="256"/>
      <c r="M12" s="259">
        <v>46141.0625</v>
      </c>
      <c r="N12" s="256"/>
      <c r="O12" s="256" t="s">
        <v>1539</v>
      </c>
      <c r="P12" s="259">
        <v>46151.229166666664</v>
      </c>
      <c r="Q12" s="256">
        <v>1</v>
      </c>
      <c r="R12" s="256"/>
      <c r="S12" s="256">
        <v>2</v>
      </c>
      <c r="T12" s="256"/>
      <c r="U12" s="256"/>
      <c r="V12" s="256"/>
      <c r="W12" s="256" t="s">
        <v>1540</v>
      </c>
      <c r="X12" s="259">
        <v>46119.50277777778</v>
      </c>
      <c r="Y12" s="256" t="s">
        <v>1541</v>
      </c>
      <c r="Z12" s="256" t="s">
        <v>1542</v>
      </c>
      <c r="AA12" s="256" t="s">
        <v>1543</v>
      </c>
      <c r="AB12" s="256"/>
      <c r="AC12" s="256"/>
      <c r="AD12" s="256" t="s">
        <v>1538</v>
      </c>
      <c r="AE12" s="256" t="s">
        <v>1544</v>
      </c>
    </row>
    <row r="13" spans="1:31">
      <c r="A13" s="256" t="s">
        <v>1545</v>
      </c>
      <c r="B13" s="256" t="s">
        <v>1471</v>
      </c>
      <c r="C13" s="256" t="s">
        <v>1527</v>
      </c>
      <c r="D13" s="256" t="s">
        <v>1528</v>
      </c>
      <c r="E13" s="256">
        <v>4459024</v>
      </c>
      <c r="F13" s="256">
        <v>4449701</v>
      </c>
      <c r="G13" s="256" t="s">
        <v>1320</v>
      </c>
      <c r="H13" s="256" t="s">
        <v>305</v>
      </c>
      <c r="I13" s="256" t="s">
        <v>1530</v>
      </c>
      <c r="J13" s="256" t="s">
        <v>1532</v>
      </c>
      <c r="K13" s="259">
        <v>46134.229166666664</v>
      </c>
      <c r="L13" s="259">
        <v>46128.229166666664</v>
      </c>
      <c r="M13" s="259">
        <v>46140.229166666664</v>
      </c>
      <c r="N13" s="256"/>
      <c r="O13" s="256" t="s">
        <v>1531</v>
      </c>
      <c r="P13" s="259">
        <v>46151.229166666664</v>
      </c>
      <c r="Q13" s="256">
        <v>8</v>
      </c>
      <c r="R13" s="256"/>
      <c r="S13" s="256">
        <v>2</v>
      </c>
      <c r="T13" s="256"/>
      <c r="U13" s="256" t="s">
        <v>1</v>
      </c>
      <c r="V13" s="256" t="s">
        <v>1</v>
      </c>
      <c r="W13" s="256" t="s">
        <v>1532</v>
      </c>
      <c r="X13" s="259">
        <v>46111.754861111112</v>
      </c>
      <c r="Y13" s="256" t="s">
        <v>1546</v>
      </c>
      <c r="Z13" s="256" t="s">
        <v>1533</v>
      </c>
      <c r="AA13" s="256" t="s">
        <v>1534</v>
      </c>
      <c r="AB13" s="256"/>
      <c r="AC13" s="256"/>
      <c r="AD13" s="256" t="s">
        <v>1535</v>
      </c>
      <c r="AE13" s="256" t="s">
        <v>1536</v>
      </c>
    </row>
    <row r="14" spans="1:31">
      <c r="A14" s="256" t="s">
        <v>1545</v>
      </c>
      <c r="B14" s="256" t="s">
        <v>1471</v>
      </c>
      <c r="C14" s="256" t="s">
        <v>1527</v>
      </c>
      <c r="D14" s="256" t="s">
        <v>1528</v>
      </c>
      <c r="E14" s="256">
        <v>4459024</v>
      </c>
      <c r="F14" s="256">
        <v>4449702</v>
      </c>
      <c r="G14" s="256" t="s">
        <v>1322</v>
      </c>
      <c r="H14" s="256" t="s">
        <v>305</v>
      </c>
      <c r="I14" s="256" t="s">
        <v>1530</v>
      </c>
      <c r="J14" s="256" t="s">
        <v>1532</v>
      </c>
      <c r="K14" s="259">
        <v>46134.229166666664</v>
      </c>
      <c r="L14" s="259">
        <v>46128.229166666664</v>
      </c>
      <c r="M14" s="259">
        <v>46140.229166666664</v>
      </c>
      <c r="N14" s="256"/>
      <c r="O14" s="256" t="s">
        <v>1531</v>
      </c>
      <c r="P14" s="259">
        <v>46151.229166666664</v>
      </c>
      <c r="Q14" s="256">
        <v>8</v>
      </c>
      <c r="R14" s="256"/>
      <c r="S14" s="256">
        <v>2</v>
      </c>
      <c r="T14" s="256"/>
      <c r="U14" s="256" t="s">
        <v>1</v>
      </c>
      <c r="V14" s="256" t="s">
        <v>1</v>
      </c>
      <c r="W14" s="256" t="s">
        <v>1532</v>
      </c>
      <c r="X14" s="259">
        <v>46111.754861111112</v>
      </c>
      <c r="Y14" s="256" t="s">
        <v>1546</v>
      </c>
      <c r="Z14" s="256" t="s">
        <v>1533</v>
      </c>
      <c r="AA14" s="256" t="s">
        <v>1534</v>
      </c>
      <c r="AB14" s="256"/>
      <c r="AC14" s="256"/>
      <c r="AD14" s="256" t="s">
        <v>1535</v>
      </c>
      <c r="AE14" s="256" t="s">
        <v>1536</v>
      </c>
    </row>
    <row r="15" spans="1:31">
      <c r="A15" s="256" t="s">
        <v>1545</v>
      </c>
      <c r="B15" s="256" t="s">
        <v>1471</v>
      </c>
      <c r="C15" s="256" t="s">
        <v>1527</v>
      </c>
      <c r="D15" s="256" t="s">
        <v>1528</v>
      </c>
      <c r="E15" s="256">
        <v>4459024</v>
      </c>
      <c r="F15" s="256">
        <v>4449703</v>
      </c>
      <c r="G15" s="256" t="s">
        <v>1323</v>
      </c>
      <c r="H15" s="256" t="s">
        <v>305</v>
      </c>
      <c r="I15" s="256" t="s">
        <v>1530</v>
      </c>
      <c r="J15" s="256" t="s">
        <v>1532</v>
      </c>
      <c r="K15" s="259">
        <v>46134.229166666664</v>
      </c>
      <c r="L15" s="259">
        <v>46128.229166666664</v>
      </c>
      <c r="M15" s="259">
        <v>46140.229166666664</v>
      </c>
      <c r="N15" s="256"/>
      <c r="O15" s="256" t="s">
        <v>1531</v>
      </c>
      <c r="P15" s="259">
        <v>46151.229166666664</v>
      </c>
      <c r="Q15" s="256">
        <v>8</v>
      </c>
      <c r="R15" s="256"/>
      <c r="S15" s="256">
        <v>2</v>
      </c>
      <c r="T15" s="256"/>
      <c r="U15" s="256" t="s">
        <v>1</v>
      </c>
      <c r="V15" s="256" t="s">
        <v>1</v>
      </c>
      <c r="W15" s="256" t="s">
        <v>1532</v>
      </c>
      <c r="X15" s="259">
        <v>46111.754861111112</v>
      </c>
      <c r="Y15" s="256" t="s">
        <v>1546</v>
      </c>
      <c r="Z15" s="256" t="s">
        <v>1533</v>
      </c>
      <c r="AA15" s="256" t="s">
        <v>1534</v>
      </c>
      <c r="AB15" s="256"/>
      <c r="AC15" s="256"/>
      <c r="AD15" s="256" t="s">
        <v>1535</v>
      </c>
      <c r="AE15" s="256" t="s">
        <v>1536</v>
      </c>
    </row>
    <row r="16" spans="1:31">
      <c r="A16" s="256" t="s">
        <v>1545</v>
      </c>
      <c r="B16" s="256" t="s">
        <v>1471</v>
      </c>
      <c r="C16" s="256" t="s">
        <v>1527</v>
      </c>
      <c r="D16" s="256" t="s">
        <v>1528</v>
      </c>
      <c r="E16" s="256">
        <v>4459024</v>
      </c>
      <c r="F16" s="256">
        <v>4449704</v>
      </c>
      <c r="G16" s="256" t="s">
        <v>1324</v>
      </c>
      <c r="H16" s="256" t="s">
        <v>305</v>
      </c>
      <c r="I16" s="256" t="s">
        <v>1530</v>
      </c>
      <c r="J16" s="256" t="s">
        <v>1532</v>
      </c>
      <c r="K16" s="259">
        <v>46134.229166666664</v>
      </c>
      <c r="L16" s="259">
        <v>46128.229166666664</v>
      </c>
      <c r="M16" s="259">
        <v>46140.229166666664</v>
      </c>
      <c r="N16" s="256"/>
      <c r="O16" s="256" t="s">
        <v>1531</v>
      </c>
      <c r="P16" s="259">
        <v>46151.229166666664</v>
      </c>
      <c r="Q16" s="256">
        <v>8</v>
      </c>
      <c r="R16" s="256"/>
      <c r="S16" s="256">
        <v>2</v>
      </c>
      <c r="T16" s="256"/>
      <c r="U16" s="256" t="s">
        <v>1</v>
      </c>
      <c r="V16" s="256" t="s">
        <v>1</v>
      </c>
      <c r="W16" s="256" t="s">
        <v>1532</v>
      </c>
      <c r="X16" s="259">
        <v>46111.754861111112</v>
      </c>
      <c r="Y16" s="256" t="s">
        <v>1546</v>
      </c>
      <c r="Z16" s="256" t="s">
        <v>1533</v>
      </c>
      <c r="AA16" s="256" t="s">
        <v>1534</v>
      </c>
      <c r="AB16" s="256"/>
      <c r="AC16" s="256"/>
      <c r="AD16" s="256" t="s">
        <v>1535</v>
      </c>
      <c r="AE16" s="256" t="s">
        <v>1536</v>
      </c>
    </row>
    <row r="17" spans="1:31">
      <c r="A17" s="256" t="s">
        <v>1545</v>
      </c>
      <c r="B17" s="256" t="s">
        <v>1471</v>
      </c>
      <c r="C17" s="256" t="s">
        <v>1527</v>
      </c>
      <c r="D17" s="256" t="s">
        <v>1528</v>
      </c>
      <c r="E17" s="256">
        <v>4459024</v>
      </c>
      <c r="F17" s="256">
        <v>4449705</v>
      </c>
      <c r="G17" s="256" t="s">
        <v>1325</v>
      </c>
      <c r="H17" s="256" t="s">
        <v>305</v>
      </c>
      <c r="I17" s="256" t="s">
        <v>1530</v>
      </c>
      <c r="J17" s="256" t="s">
        <v>1532</v>
      </c>
      <c r="K17" s="259">
        <v>46134.229166666664</v>
      </c>
      <c r="L17" s="259">
        <v>46128.229166666664</v>
      </c>
      <c r="M17" s="259">
        <v>46140.229166666664</v>
      </c>
      <c r="N17" s="256"/>
      <c r="O17" s="256" t="s">
        <v>1531</v>
      </c>
      <c r="P17" s="259">
        <v>46151.229166666664</v>
      </c>
      <c r="Q17" s="256">
        <v>8</v>
      </c>
      <c r="R17" s="256"/>
      <c r="S17" s="256">
        <v>2</v>
      </c>
      <c r="T17" s="256"/>
      <c r="U17" s="256" t="s">
        <v>1</v>
      </c>
      <c r="V17" s="256" t="s">
        <v>1</v>
      </c>
      <c r="W17" s="256" t="s">
        <v>1532</v>
      </c>
      <c r="X17" s="259">
        <v>46111.754861111112</v>
      </c>
      <c r="Y17" s="256" t="s">
        <v>1546</v>
      </c>
      <c r="Z17" s="256" t="s">
        <v>1533</v>
      </c>
      <c r="AA17" s="256" t="s">
        <v>1534</v>
      </c>
      <c r="AB17" s="256"/>
      <c r="AC17" s="256"/>
      <c r="AD17" s="256" t="s">
        <v>1535</v>
      </c>
      <c r="AE17" s="256" t="s">
        <v>1536</v>
      </c>
    </row>
    <row r="18" spans="1:31">
      <c r="A18" s="256" t="s">
        <v>1545</v>
      </c>
      <c r="B18" s="256" t="s">
        <v>1471</v>
      </c>
      <c r="C18" s="256" t="s">
        <v>1527</v>
      </c>
      <c r="D18" s="256" t="s">
        <v>1528</v>
      </c>
      <c r="E18" s="256">
        <v>4459024</v>
      </c>
      <c r="F18" s="256">
        <v>4449706</v>
      </c>
      <c r="G18" s="256" t="s">
        <v>1326</v>
      </c>
      <c r="H18" s="256" t="s">
        <v>305</v>
      </c>
      <c r="I18" s="256" t="s">
        <v>1530</v>
      </c>
      <c r="J18" s="256" t="s">
        <v>1532</v>
      </c>
      <c r="K18" s="259">
        <v>46134.229166666664</v>
      </c>
      <c r="L18" s="259">
        <v>46128.229166666664</v>
      </c>
      <c r="M18" s="259">
        <v>46140.229166666664</v>
      </c>
      <c r="N18" s="256"/>
      <c r="O18" s="256" t="s">
        <v>1531</v>
      </c>
      <c r="P18" s="259">
        <v>46151.229166666664</v>
      </c>
      <c r="Q18" s="256">
        <v>8</v>
      </c>
      <c r="R18" s="256"/>
      <c r="S18" s="256">
        <v>2</v>
      </c>
      <c r="T18" s="256"/>
      <c r="U18" s="256" t="s">
        <v>1</v>
      </c>
      <c r="V18" s="256" t="s">
        <v>1</v>
      </c>
      <c r="W18" s="256" t="s">
        <v>1532</v>
      </c>
      <c r="X18" s="259">
        <v>46111.754861111112</v>
      </c>
      <c r="Y18" s="256" t="s">
        <v>1546</v>
      </c>
      <c r="Z18" s="256" t="s">
        <v>1533</v>
      </c>
      <c r="AA18" s="256" t="s">
        <v>1534</v>
      </c>
      <c r="AB18" s="256"/>
      <c r="AC18" s="256"/>
      <c r="AD18" s="256" t="s">
        <v>1535</v>
      </c>
      <c r="AE18" s="256" t="s">
        <v>1536</v>
      </c>
    </row>
    <row r="19" spans="1:31">
      <c r="A19" s="256" t="s">
        <v>1545</v>
      </c>
      <c r="B19" s="256" t="s">
        <v>1471</v>
      </c>
      <c r="C19" s="256" t="s">
        <v>1527</v>
      </c>
      <c r="D19" s="256" t="s">
        <v>1528</v>
      </c>
      <c r="E19" s="256">
        <v>4459024</v>
      </c>
      <c r="F19" s="256">
        <v>4449707</v>
      </c>
      <c r="G19" s="256" t="s">
        <v>1327</v>
      </c>
      <c r="H19" s="256" t="s">
        <v>305</v>
      </c>
      <c r="I19" s="256" t="s">
        <v>1530</v>
      </c>
      <c r="J19" s="256" t="s">
        <v>1532</v>
      </c>
      <c r="K19" s="259">
        <v>46134.229166666664</v>
      </c>
      <c r="L19" s="259">
        <v>46128.229166666664</v>
      </c>
      <c r="M19" s="259">
        <v>46140.229166666664</v>
      </c>
      <c r="N19" s="256"/>
      <c r="O19" s="256" t="s">
        <v>1531</v>
      </c>
      <c r="P19" s="259">
        <v>46151.229166666664</v>
      </c>
      <c r="Q19" s="256">
        <v>8</v>
      </c>
      <c r="R19" s="256"/>
      <c r="S19" s="256">
        <v>2</v>
      </c>
      <c r="T19" s="256"/>
      <c r="U19" s="256" t="s">
        <v>1</v>
      </c>
      <c r="V19" s="256" t="s">
        <v>1</v>
      </c>
      <c r="W19" s="256" t="s">
        <v>1532</v>
      </c>
      <c r="X19" s="259">
        <v>46111.754861111112</v>
      </c>
      <c r="Y19" s="256" t="s">
        <v>1546</v>
      </c>
      <c r="Z19" s="256" t="s">
        <v>1533</v>
      </c>
      <c r="AA19" s="256" t="s">
        <v>1534</v>
      </c>
      <c r="AB19" s="256"/>
      <c r="AC19" s="256"/>
      <c r="AD19" s="256" t="s">
        <v>1535</v>
      </c>
      <c r="AE19" s="256" t="s">
        <v>1536</v>
      </c>
    </row>
    <row r="20" spans="1:31">
      <c r="A20" s="256" t="s">
        <v>1545</v>
      </c>
      <c r="B20" s="256" t="s">
        <v>1471</v>
      </c>
      <c r="C20" s="256" t="s">
        <v>1527</v>
      </c>
      <c r="D20" s="256" t="s">
        <v>1528</v>
      </c>
      <c r="E20" s="256">
        <v>4459024</v>
      </c>
      <c r="F20" s="256">
        <v>4449708</v>
      </c>
      <c r="G20" s="256" t="s">
        <v>1328</v>
      </c>
      <c r="H20" s="256" t="s">
        <v>305</v>
      </c>
      <c r="I20" s="256" t="s">
        <v>1530</v>
      </c>
      <c r="J20" s="256" t="s">
        <v>1532</v>
      </c>
      <c r="K20" s="259">
        <v>46134.229166666664</v>
      </c>
      <c r="L20" s="259">
        <v>46128.229166666664</v>
      </c>
      <c r="M20" s="259">
        <v>46140.229166666664</v>
      </c>
      <c r="N20" s="256"/>
      <c r="O20" s="256" t="s">
        <v>1531</v>
      </c>
      <c r="P20" s="259">
        <v>46151.229166666664</v>
      </c>
      <c r="Q20" s="256">
        <v>8</v>
      </c>
      <c r="R20" s="256"/>
      <c r="S20" s="256">
        <v>2</v>
      </c>
      <c r="T20" s="256"/>
      <c r="U20" s="256" t="s">
        <v>1</v>
      </c>
      <c r="V20" s="256" t="s">
        <v>1</v>
      </c>
      <c r="W20" s="256" t="s">
        <v>1532</v>
      </c>
      <c r="X20" s="259">
        <v>46111.754861111112</v>
      </c>
      <c r="Y20" s="256" t="s">
        <v>1546</v>
      </c>
      <c r="Z20" s="256" t="s">
        <v>1533</v>
      </c>
      <c r="AA20" s="256" t="s">
        <v>1534</v>
      </c>
      <c r="AB20" s="256"/>
      <c r="AC20" s="256"/>
      <c r="AD20" s="256" t="s">
        <v>1535</v>
      </c>
      <c r="AE20" s="256" t="s">
        <v>1536</v>
      </c>
    </row>
    <row r="21" spans="1:31">
      <c r="A21" s="256" t="s">
        <v>1547</v>
      </c>
      <c r="B21" s="256" t="s">
        <v>1471</v>
      </c>
      <c r="C21" s="256" t="s">
        <v>1527</v>
      </c>
      <c r="D21" s="256" t="s">
        <v>1528</v>
      </c>
      <c r="E21" s="256">
        <v>4278295</v>
      </c>
      <c r="F21" s="256">
        <v>4449709</v>
      </c>
      <c r="G21" s="256" t="s">
        <v>1548</v>
      </c>
      <c r="H21" s="256" t="s">
        <v>305</v>
      </c>
      <c r="I21" s="256" t="s">
        <v>1530</v>
      </c>
      <c r="J21" s="256" t="s">
        <v>1532</v>
      </c>
      <c r="K21" s="259">
        <v>46134.229166666664</v>
      </c>
      <c r="L21" s="259">
        <v>46125.229166666664</v>
      </c>
      <c r="M21" s="259">
        <v>46140.229166666664</v>
      </c>
      <c r="N21" s="256"/>
      <c r="O21" s="256" t="s">
        <v>1531</v>
      </c>
      <c r="P21" s="259">
        <v>46151.229166666664</v>
      </c>
      <c r="Q21" s="256">
        <v>5</v>
      </c>
      <c r="R21" s="256"/>
      <c r="S21" s="256">
        <v>2</v>
      </c>
      <c r="T21" s="256"/>
      <c r="U21" s="256" t="s">
        <v>1</v>
      </c>
      <c r="V21" s="256" t="s">
        <v>1</v>
      </c>
      <c r="W21" s="256" t="s">
        <v>1532</v>
      </c>
      <c r="X21" s="259">
        <v>46111.754861111112</v>
      </c>
      <c r="Y21" s="256" t="s">
        <v>1546</v>
      </c>
      <c r="Z21" s="256" t="s">
        <v>1533</v>
      </c>
      <c r="AA21" s="256" t="s">
        <v>1534</v>
      </c>
      <c r="AB21" s="256"/>
      <c r="AC21" s="256"/>
      <c r="AD21" s="256" t="s">
        <v>1535</v>
      </c>
      <c r="AE21" s="256" t="s">
        <v>1536</v>
      </c>
    </row>
    <row r="22" spans="1:31">
      <c r="A22" s="256" t="s">
        <v>1549</v>
      </c>
      <c r="B22" s="256" t="s">
        <v>1471</v>
      </c>
      <c r="C22" s="256" t="s">
        <v>1527</v>
      </c>
      <c r="D22" s="256" t="s">
        <v>1528</v>
      </c>
      <c r="E22" s="256">
        <v>4386339</v>
      </c>
      <c r="F22" s="256">
        <v>4450101</v>
      </c>
      <c r="G22" s="256" t="s">
        <v>1550</v>
      </c>
      <c r="H22" s="256" t="s">
        <v>305</v>
      </c>
      <c r="I22" s="256" t="s">
        <v>1530</v>
      </c>
      <c r="J22" s="256" t="s">
        <v>1532</v>
      </c>
      <c r="K22" s="259">
        <v>46134.229166666664</v>
      </c>
      <c r="L22" s="259">
        <v>46125.229166666664</v>
      </c>
      <c r="M22" s="259">
        <v>46140.229166666664</v>
      </c>
      <c r="N22" s="256"/>
      <c r="O22" s="256" t="s">
        <v>1531</v>
      </c>
      <c r="P22" s="259">
        <v>46151.229166666664</v>
      </c>
      <c r="Q22" s="256">
        <v>8</v>
      </c>
      <c r="R22" s="256"/>
      <c r="S22" s="256">
        <v>2</v>
      </c>
      <c r="T22" s="256"/>
      <c r="U22" s="256" t="s">
        <v>1</v>
      </c>
      <c r="V22" s="256" t="s">
        <v>1</v>
      </c>
      <c r="W22" s="256" t="s">
        <v>1532</v>
      </c>
      <c r="X22" s="259">
        <v>46111.837500000001</v>
      </c>
      <c r="Y22" s="256" t="s">
        <v>1546</v>
      </c>
      <c r="Z22" s="256" t="s">
        <v>1533</v>
      </c>
      <c r="AA22" s="256" t="s">
        <v>1534</v>
      </c>
      <c r="AB22" s="256"/>
      <c r="AC22" s="256"/>
      <c r="AD22" s="256" t="s">
        <v>1535</v>
      </c>
      <c r="AE22" s="256" t="s">
        <v>1536</v>
      </c>
    </row>
    <row r="23" spans="1:31">
      <c r="A23" s="256" t="s">
        <v>1331</v>
      </c>
      <c r="B23" s="256" t="s">
        <v>1471</v>
      </c>
      <c r="C23" s="256" t="s">
        <v>1527</v>
      </c>
      <c r="D23" s="256" t="s">
        <v>1528</v>
      </c>
      <c r="E23" s="256">
        <v>4275871</v>
      </c>
      <c r="F23" s="256">
        <v>4450106</v>
      </c>
      <c r="G23" s="256" t="s">
        <v>1331</v>
      </c>
      <c r="H23" s="256" t="s">
        <v>305</v>
      </c>
      <c r="I23" s="256" t="s">
        <v>1530</v>
      </c>
      <c r="J23" s="256" t="s">
        <v>1532</v>
      </c>
      <c r="K23" s="259">
        <v>46134.229166666664</v>
      </c>
      <c r="L23" s="259">
        <v>46125.229166666664</v>
      </c>
      <c r="M23" s="259">
        <v>46140.229166666664</v>
      </c>
      <c r="N23" s="256"/>
      <c r="O23" s="256" t="s">
        <v>1531</v>
      </c>
      <c r="P23" s="259">
        <v>46151.229166666664</v>
      </c>
      <c r="Q23" s="256">
        <v>5</v>
      </c>
      <c r="R23" s="256"/>
      <c r="S23" s="256">
        <v>2</v>
      </c>
      <c r="T23" s="256"/>
      <c r="U23" s="256" t="s">
        <v>1</v>
      </c>
      <c r="V23" s="256" t="s">
        <v>1</v>
      </c>
      <c r="W23" s="256" t="s">
        <v>1532</v>
      </c>
      <c r="X23" s="259">
        <v>46111.840277777781</v>
      </c>
      <c r="Y23" s="256" t="s">
        <v>1546</v>
      </c>
      <c r="Z23" s="256" t="s">
        <v>1533</v>
      </c>
      <c r="AA23" s="256" t="s">
        <v>1534</v>
      </c>
      <c r="AB23" s="256"/>
      <c r="AC23" s="256"/>
      <c r="AD23" s="256" t="s">
        <v>1535</v>
      </c>
      <c r="AE23" s="256" t="s">
        <v>1536</v>
      </c>
    </row>
    <row r="24" spans="1:31">
      <c r="A24" s="256" t="s">
        <v>1551</v>
      </c>
      <c r="B24" s="256" t="s">
        <v>1471</v>
      </c>
      <c r="C24" s="256" t="s">
        <v>1527</v>
      </c>
      <c r="D24" s="256" t="s">
        <v>1528</v>
      </c>
      <c r="E24" s="256">
        <v>4386335</v>
      </c>
      <c r="F24" s="256">
        <v>4450108</v>
      </c>
      <c r="G24" s="256" t="s">
        <v>1332</v>
      </c>
      <c r="H24" s="256" t="s">
        <v>242</v>
      </c>
      <c r="I24" s="256" t="s">
        <v>1530</v>
      </c>
      <c r="J24" s="256" t="s">
        <v>1532</v>
      </c>
      <c r="K24" s="259">
        <v>46134.229166666664</v>
      </c>
      <c r="L24" s="256"/>
      <c r="M24" s="259">
        <v>46140.229166666664</v>
      </c>
      <c r="N24" s="256"/>
      <c r="O24" s="256" t="s">
        <v>1531</v>
      </c>
      <c r="P24" s="259">
        <v>46151.229166666664</v>
      </c>
      <c r="Q24" s="256">
        <v>1</v>
      </c>
      <c r="R24" s="256"/>
      <c r="S24" s="256">
        <v>2</v>
      </c>
      <c r="T24" s="256"/>
      <c r="U24" s="256" t="s">
        <v>1</v>
      </c>
      <c r="V24" s="256" t="s">
        <v>1</v>
      </c>
      <c r="W24" s="256" t="s">
        <v>1532</v>
      </c>
      <c r="X24" s="259">
        <v>46111.842361111114</v>
      </c>
      <c r="Y24" s="256" t="s">
        <v>1546</v>
      </c>
      <c r="Z24" s="256" t="s">
        <v>1533</v>
      </c>
      <c r="AA24" s="256" t="s">
        <v>1534</v>
      </c>
      <c r="AB24" s="256"/>
      <c r="AC24" s="256"/>
      <c r="AD24" s="256" t="s">
        <v>1535</v>
      </c>
      <c r="AE24" s="256" t="s">
        <v>1536</v>
      </c>
    </row>
    <row r="25" spans="1:31">
      <c r="A25" s="256" t="s">
        <v>1552</v>
      </c>
      <c r="B25" s="256" t="s">
        <v>1471</v>
      </c>
      <c r="C25" s="256" t="s">
        <v>1527</v>
      </c>
      <c r="D25" s="256" t="s">
        <v>1528</v>
      </c>
      <c r="E25" s="256">
        <v>4386333</v>
      </c>
      <c r="F25" s="256">
        <v>4450110</v>
      </c>
      <c r="G25" s="256" t="s">
        <v>1333</v>
      </c>
      <c r="H25" s="256" t="s">
        <v>242</v>
      </c>
      <c r="I25" s="256" t="s">
        <v>1530</v>
      </c>
      <c r="J25" s="256" t="s">
        <v>1532</v>
      </c>
      <c r="K25" s="259">
        <v>46134.229166666664</v>
      </c>
      <c r="L25" s="256"/>
      <c r="M25" s="259">
        <v>46140.229166666664</v>
      </c>
      <c r="N25" s="256"/>
      <c r="O25" s="256" t="s">
        <v>1531</v>
      </c>
      <c r="P25" s="259">
        <v>46151.229166666664</v>
      </c>
      <c r="Q25" s="256">
        <v>5</v>
      </c>
      <c r="R25" s="256"/>
      <c r="S25" s="256">
        <v>2</v>
      </c>
      <c r="T25" s="256"/>
      <c r="U25" s="256" t="s">
        <v>1</v>
      </c>
      <c r="V25" s="256" t="s">
        <v>1</v>
      </c>
      <c r="W25" s="256" t="s">
        <v>1532</v>
      </c>
      <c r="X25" s="259">
        <v>46111.843055555553</v>
      </c>
      <c r="Y25" s="256" t="s">
        <v>1546</v>
      </c>
      <c r="Z25" s="256" t="s">
        <v>1533</v>
      </c>
      <c r="AA25" s="256" t="s">
        <v>1534</v>
      </c>
      <c r="AB25" s="256"/>
      <c r="AC25" s="256"/>
      <c r="AD25" s="256" t="s">
        <v>1535</v>
      </c>
      <c r="AE25" s="256" t="s">
        <v>1536</v>
      </c>
    </row>
    <row r="26" spans="1:31">
      <c r="A26" s="256" t="s">
        <v>1553</v>
      </c>
      <c r="B26" s="256" t="s">
        <v>1471</v>
      </c>
      <c r="C26" s="256" t="s">
        <v>1527</v>
      </c>
      <c r="D26" s="256" t="s">
        <v>1528</v>
      </c>
      <c r="E26" s="256">
        <v>4317300</v>
      </c>
      <c r="F26" s="256">
        <v>4450111</v>
      </c>
      <c r="G26" s="256" t="s">
        <v>1334</v>
      </c>
      <c r="H26" s="256" t="s">
        <v>242</v>
      </c>
      <c r="I26" s="256" t="s">
        <v>1530</v>
      </c>
      <c r="J26" s="256" t="s">
        <v>1532</v>
      </c>
      <c r="K26" s="259">
        <v>46134.229166666664</v>
      </c>
      <c r="L26" s="256"/>
      <c r="M26" s="259">
        <v>46140.229166666664</v>
      </c>
      <c r="N26" s="256"/>
      <c r="O26" s="256" t="s">
        <v>1531</v>
      </c>
      <c r="P26" s="259">
        <v>46151.229166666664</v>
      </c>
      <c r="Q26" s="256">
        <v>8</v>
      </c>
      <c r="R26" s="256"/>
      <c r="S26" s="256">
        <v>2</v>
      </c>
      <c r="T26" s="256"/>
      <c r="U26" s="256" t="s">
        <v>1</v>
      </c>
      <c r="V26" s="256" t="s">
        <v>1</v>
      </c>
      <c r="W26" s="256" t="s">
        <v>1532</v>
      </c>
      <c r="X26" s="259">
        <v>46111.84375</v>
      </c>
      <c r="Y26" s="256" t="s">
        <v>1546</v>
      </c>
      <c r="Z26" s="256" t="s">
        <v>1533</v>
      </c>
      <c r="AA26" s="256" t="s">
        <v>1534</v>
      </c>
      <c r="AB26" s="256"/>
      <c r="AC26" s="256"/>
      <c r="AD26" s="256" t="s">
        <v>1535</v>
      </c>
      <c r="AE26" s="256" t="s">
        <v>1536</v>
      </c>
    </row>
    <row r="27" spans="1:31">
      <c r="A27" s="256" t="s">
        <v>1553</v>
      </c>
      <c r="B27" s="256" t="s">
        <v>1471</v>
      </c>
      <c r="C27" s="256" t="s">
        <v>1527</v>
      </c>
      <c r="D27" s="256" t="s">
        <v>1528</v>
      </c>
      <c r="E27" s="256">
        <v>4317300</v>
      </c>
      <c r="F27" s="256">
        <v>4450112</v>
      </c>
      <c r="G27" s="256" t="s">
        <v>1335</v>
      </c>
      <c r="H27" s="256" t="s">
        <v>242</v>
      </c>
      <c r="I27" s="256" t="s">
        <v>1530</v>
      </c>
      <c r="J27" s="256" t="s">
        <v>1532</v>
      </c>
      <c r="K27" s="259">
        <v>46134.229166666664</v>
      </c>
      <c r="L27" s="256"/>
      <c r="M27" s="259">
        <v>46140.229166666664</v>
      </c>
      <c r="N27" s="256"/>
      <c r="O27" s="256" t="s">
        <v>1531</v>
      </c>
      <c r="P27" s="259">
        <v>46151.229166666664</v>
      </c>
      <c r="Q27" s="256">
        <v>8</v>
      </c>
      <c r="R27" s="256"/>
      <c r="S27" s="256">
        <v>2</v>
      </c>
      <c r="T27" s="256"/>
      <c r="U27" s="256" t="s">
        <v>1</v>
      </c>
      <c r="V27" s="256" t="s">
        <v>1</v>
      </c>
      <c r="W27" s="256" t="s">
        <v>1532</v>
      </c>
      <c r="X27" s="259">
        <v>46111.84375</v>
      </c>
      <c r="Y27" s="256" t="s">
        <v>1546</v>
      </c>
      <c r="Z27" s="256" t="s">
        <v>1533</v>
      </c>
      <c r="AA27" s="256" t="s">
        <v>1534</v>
      </c>
      <c r="AB27" s="256"/>
      <c r="AC27" s="256"/>
      <c r="AD27" s="256" t="s">
        <v>1535</v>
      </c>
      <c r="AE27" s="256" t="s">
        <v>1536</v>
      </c>
    </row>
    <row r="28" spans="1:31">
      <c r="A28" s="256" t="s">
        <v>1553</v>
      </c>
      <c r="B28" s="256" t="s">
        <v>1471</v>
      </c>
      <c r="C28" s="256" t="s">
        <v>1527</v>
      </c>
      <c r="D28" s="256" t="s">
        <v>1528</v>
      </c>
      <c r="E28" s="256">
        <v>4317300</v>
      </c>
      <c r="F28" s="256">
        <v>4450113</v>
      </c>
      <c r="G28" s="256" t="s">
        <v>1336</v>
      </c>
      <c r="H28" s="256" t="s">
        <v>242</v>
      </c>
      <c r="I28" s="256" t="s">
        <v>1530</v>
      </c>
      <c r="J28" s="256" t="s">
        <v>1532</v>
      </c>
      <c r="K28" s="259">
        <v>46134.229166666664</v>
      </c>
      <c r="L28" s="256"/>
      <c r="M28" s="259">
        <v>46140.229166666664</v>
      </c>
      <c r="N28" s="256"/>
      <c r="O28" s="256" t="s">
        <v>1531</v>
      </c>
      <c r="P28" s="259">
        <v>46151.229166666664</v>
      </c>
      <c r="Q28" s="256">
        <v>5</v>
      </c>
      <c r="R28" s="256"/>
      <c r="S28" s="256">
        <v>2</v>
      </c>
      <c r="T28" s="256"/>
      <c r="U28" s="256" t="s">
        <v>1</v>
      </c>
      <c r="V28" s="256" t="s">
        <v>1</v>
      </c>
      <c r="W28" s="256" t="s">
        <v>1532</v>
      </c>
      <c r="X28" s="259">
        <v>46111.844444444447</v>
      </c>
      <c r="Y28" s="256" t="s">
        <v>1546</v>
      </c>
      <c r="Z28" s="256" t="s">
        <v>1533</v>
      </c>
      <c r="AA28" s="256" t="s">
        <v>1534</v>
      </c>
      <c r="AB28" s="256"/>
      <c r="AC28" s="256"/>
      <c r="AD28" s="256" t="s">
        <v>1535</v>
      </c>
      <c r="AE28" s="256" t="s">
        <v>1536</v>
      </c>
    </row>
    <row r="29" spans="1:31">
      <c r="A29" s="256" t="s">
        <v>1553</v>
      </c>
      <c r="B29" s="256" t="s">
        <v>1471</v>
      </c>
      <c r="C29" s="256" t="s">
        <v>1527</v>
      </c>
      <c r="D29" s="256" t="s">
        <v>1528</v>
      </c>
      <c r="E29" s="256">
        <v>4317300</v>
      </c>
      <c r="F29" s="256">
        <v>4450114</v>
      </c>
      <c r="G29" s="256" t="s">
        <v>1337</v>
      </c>
      <c r="H29" s="256" t="s">
        <v>305</v>
      </c>
      <c r="I29" s="256" t="s">
        <v>1530</v>
      </c>
      <c r="J29" s="256" t="s">
        <v>1532</v>
      </c>
      <c r="K29" s="259">
        <v>46134.229166666664</v>
      </c>
      <c r="L29" s="259">
        <v>46125.229166666664</v>
      </c>
      <c r="M29" s="259">
        <v>46140.229166666664</v>
      </c>
      <c r="N29" s="256"/>
      <c r="O29" s="256" t="s">
        <v>1531</v>
      </c>
      <c r="P29" s="259">
        <v>46151.229166666664</v>
      </c>
      <c r="Q29" s="256">
        <v>5</v>
      </c>
      <c r="R29" s="256"/>
      <c r="S29" s="256">
        <v>2</v>
      </c>
      <c r="T29" s="256"/>
      <c r="U29" s="256" t="s">
        <v>1</v>
      </c>
      <c r="V29" s="256" t="s">
        <v>1</v>
      </c>
      <c r="W29" s="256" t="s">
        <v>1532</v>
      </c>
      <c r="X29" s="259">
        <v>46111.845833333333</v>
      </c>
      <c r="Y29" s="256" t="s">
        <v>1546</v>
      </c>
      <c r="Z29" s="256" t="s">
        <v>1533</v>
      </c>
      <c r="AA29" s="256" t="s">
        <v>1534</v>
      </c>
      <c r="AB29" s="256"/>
      <c r="AC29" s="256"/>
      <c r="AD29" s="256" t="s">
        <v>1535</v>
      </c>
      <c r="AE29" s="256" t="s">
        <v>1536</v>
      </c>
    </row>
    <row r="30" spans="1:31">
      <c r="A30" s="256" t="s">
        <v>1553</v>
      </c>
      <c r="B30" s="256" t="s">
        <v>1471</v>
      </c>
      <c r="C30" s="256" t="s">
        <v>1527</v>
      </c>
      <c r="D30" s="256" t="s">
        <v>1528</v>
      </c>
      <c r="E30" s="256">
        <v>4317300</v>
      </c>
      <c r="F30" s="256">
        <v>4450115</v>
      </c>
      <c r="G30" s="256" t="s">
        <v>1338</v>
      </c>
      <c r="H30" s="256" t="s">
        <v>305</v>
      </c>
      <c r="I30" s="256" t="s">
        <v>1530</v>
      </c>
      <c r="J30" s="256" t="s">
        <v>1532</v>
      </c>
      <c r="K30" s="259">
        <v>46134.229166666664</v>
      </c>
      <c r="L30" s="259">
        <v>46125.229166666664</v>
      </c>
      <c r="M30" s="259">
        <v>46140.229166666664</v>
      </c>
      <c r="N30" s="256"/>
      <c r="O30" s="256" t="s">
        <v>1531</v>
      </c>
      <c r="P30" s="259">
        <v>46151.229166666664</v>
      </c>
      <c r="Q30" s="256">
        <v>3</v>
      </c>
      <c r="R30" s="256"/>
      <c r="S30" s="256">
        <v>2</v>
      </c>
      <c r="T30" s="256"/>
      <c r="U30" s="256" t="s">
        <v>1</v>
      </c>
      <c r="V30" s="256" t="s">
        <v>1</v>
      </c>
      <c r="W30" s="256" t="s">
        <v>1532</v>
      </c>
      <c r="X30" s="259">
        <v>46111.845833333333</v>
      </c>
      <c r="Y30" s="256" t="s">
        <v>1546</v>
      </c>
      <c r="Z30" s="256" t="s">
        <v>1533</v>
      </c>
      <c r="AA30" s="256" t="s">
        <v>1534</v>
      </c>
      <c r="AB30" s="256"/>
      <c r="AC30" s="256"/>
      <c r="AD30" s="256" t="s">
        <v>1535</v>
      </c>
      <c r="AE30" s="256" t="s">
        <v>1536</v>
      </c>
    </row>
    <row r="31" spans="1:31">
      <c r="A31" s="256" t="s">
        <v>1505</v>
      </c>
      <c r="B31" s="256" t="s">
        <v>1471</v>
      </c>
      <c r="C31" s="256" t="s">
        <v>1527</v>
      </c>
      <c r="D31" s="256" t="s">
        <v>1528</v>
      </c>
      <c r="E31" s="256">
        <v>4440976</v>
      </c>
      <c r="F31" s="256">
        <v>4446623</v>
      </c>
      <c r="G31" s="256" t="s">
        <v>1339</v>
      </c>
      <c r="H31" s="256" t="s">
        <v>305</v>
      </c>
      <c r="I31" s="256" t="s">
        <v>1530</v>
      </c>
      <c r="J31" s="256" t="s">
        <v>1532</v>
      </c>
      <c r="K31" s="259">
        <v>46134.229166666664</v>
      </c>
      <c r="L31" s="259">
        <v>46125.229166666664</v>
      </c>
      <c r="M31" s="259">
        <v>46140.229166666664</v>
      </c>
      <c r="N31" s="256"/>
      <c r="O31" s="256" t="s">
        <v>1531</v>
      </c>
      <c r="P31" s="259">
        <v>46151.229166666664</v>
      </c>
      <c r="Q31" s="256">
        <v>1</v>
      </c>
      <c r="R31" s="256"/>
      <c r="S31" s="256">
        <v>2</v>
      </c>
      <c r="T31" s="256"/>
      <c r="U31" s="256" t="s">
        <v>1</v>
      </c>
      <c r="V31" s="256" t="s">
        <v>1</v>
      </c>
      <c r="W31" s="256" t="s">
        <v>1508</v>
      </c>
      <c r="X31" s="259">
        <v>46108.727777777778</v>
      </c>
      <c r="Y31" s="256" t="s">
        <v>1546</v>
      </c>
      <c r="Z31" s="256" t="s">
        <v>1533</v>
      </c>
      <c r="AA31" s="256" t="s">
        <v>1534</v>
      </c>
      <c r="AB31" s="256"/>
      <c r="AC31" s="256"/>
      <c r="AD31" s="256" t="s">
        <v>1535</v>
      </c>
      <c r="AE31" s="256" t="s">
        <v>1536</v>
      </c>
    </row>
    <row r="32" spans="1:31">
      <c r="A32" s="256" t="s">
        <v>192</v>
      </c>
      <c r="B32" s="256" t="s">
        <v>1486</v>
      </c>
      <c r="C32" s="256" t="s">
        <v>1472</v>
      </c>
      <c r="D32" s="256" t="s">
        <v>191</v>
      </c>
      <c r="E32" s="256">
        <v>4446711</v>
      </c>
      <c r="F32" s="256">
        <v>4446723</v>
      </c>
      <c r="G32" s="256" t="s">
        <v>1340</v>
      </c>
      <c r="H32" s="256" t="s">
        <v>305</v>
      </c>
      <c r="I32" s="256" t="s">
        <v>1530</v>
      </c>
      <c r="J32" s="256" t="s">
        <v>1532</v>
      </c>
      <c r="K32" s="259">
        <v>46134.229166666664</v>
      </c>
      <c r="L32" s="259">
        <v>46125.229166666664</v>
      </c>
      <c r="M32" s="259">
        <v>46140.229166666664</v>
      </c>
      <c r="N32" s="256"/>
      <c r="O32" s="256" t="s">
        <v>1554</v>
      </c>
      <c r="P32" s="259">
        <v>46151.229166666664</v>
      </c>
      <c r="Q32" s="256">
        <v>1</v>
      </c>
      <c r="R32" s="256"/>
      <c r="S32" s="256">
        <v>2</v>
      </c>
      <c r="T32" s="256"/>
      <c r="U32" s="256" t="s">
        <v>1</v>
      </c>
      <c r="V32" s="256" t="s">
        <v>1</v>
      </c>
      <c r="W32" s="256" t="s">
        <v>1555</v>
      </c>
      <c r="X32" s="259">
        <v>46108.801388888889</v>
      </c>
      <c r="Y32" s="256" t="s">
        <v>1556</v>
      </c>
      <c r="Z32" s="256" t="s">
        <v>1533</v>
      </c>
      <c r="AA32" s="256" t="s">
        <v>1534</v>
      </c>
      <c r="AB32" s="256"/>
      <c r="AC32" s="256"/>
      <c r="AD32" s="256" t="s">
        <v>191</v>
      </c>
      <c r="AE32" s="256" t="s">
        <v>1536</v>
      </c>
    </row>
    <row r="33" spans="1:31">
      <c r="A33" s="256" t="s">
        <v>1505</v>
      </c>
      <c r="B33" s="256" t="s">
        <v>1471</v>
      </c>
      <c r="C33" s="256" t="s">
        <v>1472</v>
      </c>
      <c r="D33" s="256" t="s">
        <v>1506</v>
      </c>
      <c r="E33" s="256">
        <v>4440976</v>
      </c>
      <c r="F33" s="256">
        <v>4447583</v>
      </c>
      <c r="G33" s="256" t="s">
        <v>1353</v>
      </c>
      <c r="H33" s="256" t="s">
        <v>288</v>
      </c>
      <c r="I33" s="256" t="s">
        <v>1557</v>
      </c>
      <c r="J33" s="256" t="s">
        <v>1558</v>
      </c>
      <c r="K33" s="259">
        <v>46135.104166666664</v>
      </c>
      <c r="L33" s="256"/>
      <c r="M33" s="259">
        <v>46139.979166666664</v>
      </c>
      <c r="N33" s="256"/>
      <c r="O33" s="256" t="s">
        <v>1559</v>
      </c>
      <c r="P33" s="259">
        <v>46151.229166666664</v>
      </c>
      <c r="Q33" s="256">
        <v>4</v>
      </c>
      <c r="R33" s="256"/>
      <c r="S33" s="256">
        <v>2</v>
      </c>
      <c r="T33" s="256"/>
      <c r="U33" s="256"/>
      <c r="V33" s="256"/>
      <c r="W33" s="256" t="s">
        <v>1508</v>
      </c>
      <c r="X33" s="259">
        <v>46111.447916666664</v>
      </c>
      <c r="Y33" s="256" t="s">
        <v>1560</v>
      </c>
      <c r="Z33" s="256" t="s">
        <v>1561</v>
      </c>
      <c r="AA33" s="256" t="s">
        <v>1492</v>
      </c>
      <c r="AB33" s="256"/>
      <c r="AC33" s="256"/>
      <c r="AD33" s="256" t="s">
        <v>1510</v>
      </c>
      <c r="AE33" s="256" t="s">
        <v>262</v>
      </c>
    </row>
    <row r="34" spans="1:31">
      <c r="A34" s="256" t="s">
        <v>324</v>
      </c>
      <c r="B34" s="256" t="s">
        <v>1486</v>
      </c>
      <c r="C34" s="256" t="s">
        <v>1472</v>
      </c>
      <c r="D34" s="256" t="s">
        <v>191</v>
      </c>
      <c r="E34" s="256">
        <v>4446526</v>
      </c>
      <c r="F34" s="256">
        <v>4446470</v>
      </c>
      <c r="G34" s="256" t="s">
        <v>1562</v>
      </c>
      <c r="H34" s="256" t="s">
        <v>198</v>
      </c>
      <c r="I34" s="256" t="s">
        <v>261</v>
      </c>
      <c r="J34" s="256" t="s">
        <v>1477</v>
      </c>
      <c r="K34" s="259">
        <v>46135.145833333336</v>
      </c>
      <c r="L34" s="256"/>
      <c r="M34" s="259">
        <v>46135.229166666664</v>
      </c>
      <c r="N34" s="256"/>
      <c r="O34" s="256" t="s">
        <v>1563</v>
      </c>
      <c r="P34" s="259">
        <v>46151.229166666664</v>
      </c>
      <c r="Q34" s="256">
        <v>2</v>
      </c>
      <c r="R34" s="256"/>
      <c r="S34" s="256">
        <v>2</v>
      </c>
      <c r="T34" s="256"/>
      <c r="U34" s="256"/>
      <c r="V34" s="256"/>
      <c r="W34" s="256" t="s">
        <v>1555</v>
      </c>
      <c r="X34" s="259">
        <v>46108.657638888886</v>
      </c>
      <c r="Y34" s="256" t="s">
        <v>1564</v>
      </c>
      <c r="Z34" s="256" t="s">
        <v>1542</v>
      </c>
      <c r="AA34" s="256" t="s">
        <v>1565</v>
      </c>
      <c r="AB34" s="256"/>
      <c r="AC34" s="256"/>
      <c r="AD34" s="256" t="s">
        <v>191</v>
      </c>
      <c r="AE34" s="256" t="s">
        <v>262</v>
      </c>
    </row>
    <row r="35" spans="1:31">
      <c r="A35" s="256" t="s">
        <v>324</v>
      </c>
      <c r="B35" s="256" t="s">
        <v>1471</v>
      </c>
      <c r="C35" s="256" t="s">
        <v>1472</v>
      </c>
      <c r="D35" s="256" t="s">
        <v>191</v>
      </c>
      <c r="E35" s="256">
        <v>4446526</v>
      </c>
      <c r="F35" s="256">
        <v>4446548</v>
      </c>
      <c r="G35" s="256" t="s">
        <v>1566</v>
      </c>
      <c r="H35" s="256" t="s">
        <v>242</v>
      </c>
      <c r="I35" s="256" t="s">
        <v>261</v>
      </c>
      <c r="J35" s="256" t="s">
        <v>1501</v>
      </c>
      <c r="K35" s="259">
        <v>46135.145833333336</v>
      </c>
      <c r="L35" s="256"/>
      <c r="M35" s="259">
        <v>46134.229166666664</v>
      </c>
      <c r="N35" s="256"/>
      <c r="O35" s="256" t="s">
        <v>1563</v>
      </c>
      <c r="P35" s="259">
        <v>46151.229166666664</v>
      </c>
      <c r="Q35" s="256">
        <v>2</v>
      </c>
      <c r="R35" s="256"/>
      <c r="S35" s="256">
        <v>2</v>
      </c>
      <c r="T35" s="256"/>
      <c r="U35" s="256"/>
      <c r="V35" s="256"/>
      <c r="W35" s="256" t="s">
        <v>1567</v>
      </c>
      <c r="X35" s="259">
        <v>46108.696527777778</v>
      </c>
      <c r="Y35" s="256" t="s">
        <v>1564</v>
      </c>
      <c r="Z35" s="256" t="s">
        <v>1542</v>
      </c>
      <c r="AA35" s="256" t="s">
        <v>1517</v>
      </c>
      <c r="AB35" s="256"/>
      <c r="AC35" s="256"/>
      <c r="AD35" s="256" t="s">
        <v>191</v>
      </c>
      <c r="AE35" s="256" t="s">
        <v>262</v>
      </c>
    </row>
    <row r="36" spans="1:31">
      <c r="A36" s="256" t="s">
        <v>324</v>
      </c>
      <c r="B36" s="256" t="s">
        <v>1471</v>
      </c>
      <c r="C36" s="256" t="s">
        <v>1472</v>
      </c>
      <c r="D36" s="256" t="s">
        <v>191</v>
      </c>
      <c r="E36" s="256">
        <v>4446526</v>
      </c>
      <c r="F36" s="256">
        <v>4446571</v>
      </c>
      <c r="G36" s="256" t="s">
        <v>1568</v>
      </c>
      <c r="H36" s="256" t="s">
        <v>242</v>
      </c>
      <c r="I36" s="256" t="s">
        <v>261</v>
      </c>
      <c r="J36" s="256" t="s">
        <v>1501</v>
      </c>
      <c r="K36" s="259">
        <v>46135.145833333336</v>
      </c>
      <c r="L36" s="256"/>
      <c r="M36" s="259">
        <v>46134.229166666664</v>
      </c>
      <c r="N36" s="256"/>
      <c r="O36" s="256" t="s">
        <v>1563</v>
      </c>
      <c r="P36" s="259">
        <v>46151.229166666664</v>
      </c>
      <c r="Q36" s="256">
        <v>2</v>
      </c>
      <c r="R36" s="256"/>
      <c r="S36" s="256">
        <v>2</v>
      </c>
      <c r="T36" s="256"/>
      <c r="U36" s="256"/>
      <c r="V36" s="256"/>
      <c r="W36" s="256" t="s">
        <v>1567</v>
      </c>
      <c r="X36" s="259">
        <v>46108.703472222223</v>
      </c>
      <c r="Y36" s="256" t="s">
        <v>1564</v>
      </c>
      <c r="Z36" s="256" t="s">
        <v>1542</v>
      </c>
      <c r="AA36" s="256" t="s">
        <v>1517</v>
      </c>
      <c r="AB36" s="256"/>
      <c r="AC36" s="256"/>
      <c r="AD36" s="256" t="s">
        <v>191</v>
      </c>
      <c r="AE36" s="256" t="s">
        <v>262</v>
      </c>
    </row>
    <row r="37" spans="1:31">
      <c r="A37" s="256" t="s">
        <v>1505</v>
      </c>
      <c r="B37" s="256" t="s">
        <v>1471</v>
      </c>
      <c r="C37" s="256" t="s">
        <v>1472</v>
      </c>
      <c r="D37" s="256" t="s">
        <v>1506</v>
      </c>
      <c r="E37" s="256">
        <v>4440976</v>
      </c>
      <c r="F37" s="256">
        <v>4446593</v>
      </c>
      <c r="G37" s="256" t="s">
        <v>527</v>
      </c>
      <c r="H37" s="256" t="s">
        <v>198</v>
      </c>
      <c r="I37" s="256" t="s">
        <v>261</v>
      </c>
      <c r="J37" s="256" t="s">
        <v>1477</v>
      </c>
      <c r="K37" s="259">
        <v>46135.145833333336</v>
      </c>
      <c r="L37" s="256"/>
      <c r="M37" s="256"/>
      <c r="N37" s="256"/>
      <c r="O37" s="256" t="s">
        <v>1569</v>
      </c>
      <c r="P37" s="259">
        <v>46151.229166666664</v>
      </c>
      <c r="Q37" s="256">
        <v>2</v>
      </c>
      <c r="R37" s="256"/>
      <c r="S37" s="256">
        <v>2</v>
      </c>
      <c r="T37" s="256"/>
      <c r="U37" s="256"/>
      <c r="V37" s="256"/>
      <c r="W37" s="256" t="s">
        <v>1508</v>
      </c>
      <c r="X37" s="259">
        <v>46108.711805555555</v>
      </c>
      <c r="Y37" s="256" t="s">
        <v>1560</v>
      </c>
      <c r="Z37" s="256" t="s">
        <v>1542</v>
      </c>
      <c r="AA37" s="256" t="s">
        <v>1492</v>
      </c>
      <c r="AB37" s="256"/>
      <c r="AC37" s="256"/>
      <c r="AD37" s="256" t="s">
        <v>1510</v>
      </c>
      <c r="AE37" s="256" t="s">
        <v>262</v>
      </c>
    </row>
    <row r="38" spans="1:31">
      <c r="A38" s="256" t="s">
        <v>324</v>
      </c>
      <c r="B38" s="256" t="s">
        <v>1471</v>
      </c>
      <c r="C38" s="256" t="s">
        <v>1472</v>
      </c>
      <c r="D38" s="256" t="s">
        <v>191</v>
      </c>
      <c r="E38" s="256">
        <v>4446526</v>
      </c>
      <c r="F38" s="256">
        <v>4445274</v>
      </c>
      <c r="G38" s="256" t="s">
        <v>685</v>
      </c>
      <c r="H38" s="256" t="s">
        <v>288</v>
      </c>
      <c r="I38" s="256" t="s">
        <v>1570</v>
      </c>
      <c r="J38" s="256" t="s">
        <v>1501</v>
      </c>
      <c r="K38" s="259">
        <v>46134.104166666664</v>
      </c>
      <c r="L38" s="256"/>
      <c r="M38" s="259">
        <v>46128.229166666664</v>
      </c>
      <c r="N38" s="256"/>
      <c r="O38" s="256" t="s">
        <v>1571</v>
      </c>
      <c r="P38" s="259">
        <v>46151.229166666664</v>
      </c>
      <c r="Q38" s="256">
        <v>2</v>
      </c>
      <c r="R38" s="256"/>
      <c r="S38" s="256">
        <v>2</v>
      </c>
      <c r="T38" s="256"/>
      <c r="U38" s="256"/>
      <c r="V38" s="256"/>
      <c r="W38" s="256" t="s">
        <v>1555</v>
      </c>
      <c r="X38" s="259">
        <v>46107.831250000003</v>
      </c>
      <c r="Y38" s="256" t="s">
        <v>1564</v>
      </c>
      <c r="Z38" s="256" t="s">
        <v>1572</v>
      </c>
      <c r="AA38" s="256" t="s">
        <v>1565</v>
      </c>
      <c r="AB38" s="256"/>
      <c r="AC38" s="256"/>
      <c r="AD38" s="256" t="s">
        <v>191</v>
      </c>
      <c r="AE38" s="256" t="s">
        <v>262</v>
      </c>
    </row>
    <row r="39" spans="1:31">
      <c r="A39" s="256" t="s">
        <v>1573</v>
      </c>
      <c r="B39" s="256" t="s">
        <v>1471</v>
      </c>
      <c r="C39" s="256" t="s">
        <v>1574</v>
      </c>
      <c r="D39" s="256" t="s">
        <v>1575</v>
      </c>
      <c r="E39" s="256">
        <v>4440060</v>
      </c>
      <c r="F39" s="256">
        <v>4440022</v>
      </c>
      <c r="G39" s="256" t="s">
        <v>683</v>
      </c>
      <c r="H39" s="256" t="s">
        <v>305</v>
      </c>
      <c r="I39" s="256" t="s">
        <v>1570</v>
      </c>
      <c r="J39" s="256" t="s">
        <v>1501</v>
      </c>
      <c r="K39" s="259">
        <v>46133.104166666664</v>
      </c>
      <c r="L39" s="259">
        <v>46122.229166666664</v>
      </c>
      <c r="M39" s="259">
        <v>46134.229166666664</v>
      </c>
      <c r="N39" s="256"/>
      <c r="O39" s="256" t="s">
        <v>1576</v>
      </c>
      <c r="P39" s="259">
        <v>46151.229166666664</v>
      </c>
      <c r="Q39" s="256">
        <v>4</v>
      </c>
      <c r="R39" s="256"/>
      <c r="S39" s="256">
        <v>1</v>
      </c>
      <c r="T39" s="256"/>
      <c r="U39" s="256" t="s">
        <v>1</v>
      </c>
      <c r="V39" s="256" t="s">
        <v>1</v>
      </c>
      <c r="W39" s="256" t="s">
        <v>1577</v>
      </c>
      <c r="X39" s="259">
        <v>46105.554861111108</v>
      </c>
      <c r="Y39" s="256" t="s">
        <v>1578</v>
      </c>
      <c r="Z39" s="256" t="s">
        <v>1572</v>
      </c>
      <c r="AA39" s="256" t="s">
        <v>1517</v>
      </c>
      <c r="AB39" s="256"/>
      <c r="AC39" s="256"/>
      <c r="AD39" s="256" t="s">
        <v>1579</v>
      </c>
      <c r="AE39" s="256" t="s">
        <v>262</v>
      </c>
    </row>
    <row r="40" spans="1:31">
      <c r="A40" s="256" t="s">
        <v>1573</v>
      </c>
      <c r="B40" s="256" t="s">
        <v>1471</v>
      </c>
      <c r="C40" s="256" t="s">
        <v>1574</v>
      </c>
      <c r="D40" s="256" t="s">
        <v>1575</v>
      </c>
      <c r="E40" s="256">
        <v>4440060</v>
      </c>
      <c r="F40" s="256">
        <v>4440019</v>
      </c>
      <c r="G40" s="256" t="s">
        <v>681</v>
      </c>
      <c r="H40" s="256" t="s">
        <v>242</v>
      </c>
      <c r="I40" s="256" t="s">
        <v>261</v>
      </c>
      <c r="J40" s="256" t="s">
        <v>1501</v>
      </c>
      <c r="K40" s="259">
        <v>46134.145833333336</v>
      </c>
      <c r="L40" s="256"/>
      <c r="M40" s="259">
        <v>46134.229166666664</v>
      </c>
      <c r="N40" s="256"/>
      <c r="O40" s="256" t="s">
        <v>1563</v>
      </c>
      <c r="P40" s="259">
        <v>46151.229166666664</v>
      </c>
      <c r="Q40" s="256">
        <v>2</v>
      </c>
      <c r="R40" s="256"/>
      <c r="S40" s="256">
        <v>1</v>
      </c>
      <c r="T40" s="256"/>
      <c r="U40" s="256"/>
      <c r="V40" s="256"/>
      <c r="W40" s="256" t="s">
        <v>1577</v>
      </c>
      <c r="X40" s="259">
        <v>46105.554861111108</v>
      </c>
      <c r="Y40" s="256" t="s">
        <v>1578</v>
      </c>
      <c r="Z40" s="256" t="s">
        <v>1542</v>
      </c>
      <c r="AA40" s="256" t="s">
        <v>1517</v>
      </c>
      <c r="AB40" s="256"/>
      <c r="AC40" s="256"/>
      <c r="AD40" s="256" t="s">
        <v>1579</v>
      </c>
      <c r="AE40" s="256" t="s">
        <v>262</v>
      </c>
    </row>
    <row r="41" spans="1:31">
      <c r="A41" s="256" t="s">
        <v>1573</v>
      </c>
      <c r="B41" s="256" t="s">
        <v>1471</v>
      </c>
      <c r="C41" s="256" t="s">
        <v>1574</v>
      </c>
      <c r="D41" s="256" t="s">
        <v>1575</v>
      </c>
      <c r="E41" s="256">
        <v>4440060</v>
      </c>
      <c r="F41" s="256">
        <v>4440020</v>
      </c>
      <c r="G41" s="256" t="s">
        <v>682</v>
      </c>
      <c r="H41" s="256" t="s">
        <v>288</v>
      </c>
      <c r="I41" s="256" t="s">
        <v>1557</v>
      </c>
      <c r="J41" s="256" t="s">
        <v>1501</v>
      </c>
      <c r="K41" s="259">
        <v>46133.104166666664</v>
      </c>
      <c r="L41" s="256"/>
      <c r="M41" s="259">
        <v>46134.229166666664</v>
      </c>
      <c r="N41" s="256"/>
      <c r="O41" s="256" t="s">
        <v>1580</v>
      </c>
      <c r="P41" s="259">
        <v>46151.229166666664</v>
      </c>
      <c r="Q41" s="256">
        <v>4</v>
      </c>
      <c r="R41" s="256"/>
      <c r="S41" s="256">
        <v>1</v>
      </c>
      <c r="T41" s="256"/>
      <c r="U41" s="256"/>
      <c r="V41" s="256"/>
      <c r="W41" s="256" t="s">
        <v>1577</v>
      </c>
      <c r="X41" s="259">
        <v>46105.554861111108</v>
      </c>
      <c r="Y41" s="256" t="s">
        <v>1578</v>
      </c>
      <c r="Z41" s="256" t="s">
        <v>1561</v>
      </c>
      <c r="AA41" s="256" t="s">
        <v>1517</v>
      </c>
      <c r="AB41" s="256"/>
      <c r="AC41" s="256"/>
      <c r="AD41" s="256" t="s">
        <v>1579</v>
      </c>
      <c r="AE41" s="256" t="s">
        <v>262</v>
      </c>
    </row>
    <row r="42" spans="1:31">
      <c r="A42" s="256" t="s">
        <v>1505</v>
      </c>
      <c r="B42" s="256" t="s">
        <v>1471</v>
      </c>
      <c r="C42" s="256" t="s">
        <v>1472</v>
      </c>
      <c r="D42" s="256" t="s">
        <v>1506</v>
      </c>
      <c r="E42" s="256">
        <v>4440976</v>
      </c>
      <c r="F42" s="256">
        <v>4440990</v>
      </c>
      <c r="G42" s="256" t="s">
        <v>471</v>
      </c>
      <c r="H42" s="256" t="s">
        <v>288</v>
      </c>
      <c r="I42" s="256" t="s">
        <v>1557</v>
      </c>
      <c r="J42" s="256" t="s">
        <v>1477</v>
      </c>
      <c r="K42" s="259">
        <v>46135.104166666664</v>
      </c>
      <c r="L42" s="256"/>
      <c r="M42" s="259">
        <v>46139.229166666664</v>
      </c>
      <c r="N42" s="256"/>
      <c r="O42" s="256" t="s">
        <v>1559</v>
      </c>
      <c r="P42" s="259">
        <v>46151.229166666664</v>
      </c>
      <c r="Q42" s="256">
        <v>3</v>
      </c>
      <c r="R42" s="256"/>
      <c r="S42" s="256">
        <v>2</v>
      </c>
      <c r="T42" s="256"/>
      <c r="U42" s="256"/>
      <c r="V42" s="256"/>
      <c r="W42" s="256" t="s">
        <v>1508</v>
      </c>
      <c r="X42" s="259">
        <v>46105.743750000001</v>
      </c>
      <c r="Y42" s="256" t="s">
        <v>1560</v>
      </c>
      <c r="Z42" s="256" t="s">
        <v>1561</v>
      </c>
      <c r="AA42" s="256" t="s">
        <v>1492</v>
      </c>
      <c r="AB42" s="256"/>
      <c r="AC42" s="256"/>
      <c r="AD42" s="256" t="s">
        <v>1510</v>
      </c>
      <c r="AE42" s="256" t="s">
        <v>262</v>
      </c>
    </row>
    <row r="43" spans="1:31">
      <c r="A43" s="256" t="s">
        <v>1505</v>
      </c>
      <c r="B43" s="256" t="s">
        <v>1471</v>
      </c>
      <c r="C43" s="256" t="s">
        <v>1472</v>
      </c>
      <c r="D43" s="256" t="s">
        <v>1506</v>
      </c>
      <c r="E43" s="256">
        <v>4440976</v>
      </c>
      <c r="F43" s="256">
        <v>4441001</v>
      </c>
      <c r="G43" s="256" t="s">
        <v>472</v>
      </c>
      <c r="H43" s="256" t="s">
        <v>288</v>
      </c>
      <c r="I43" s="256" t="s">
        <v>1557</v>
      </c>
      <c r="J43" s="256" t="s">
        <v>1477</v>
      </c>
      <c r="K43" s="259">
        <v>46135.104166666664</v>
      </c>
      <c r="L43" s="256"/>
      <c r="M43" s="259">
        <v>46139.229166666664</v>
      </c>
      <c r="N43" s="256"/>
      <c r="O43" s="256" t="s">
        <v>1559</v>
      </c>
      <c r="P43" s="259">
        <v>46151.229166666664</v>
      </c>
      <c r="Q43" s="256">
        <v>4</v>
      </c>
      <c r="R43" s="256"/>
      <c r="S43" s="256">
        <v>2</v>
      </c>
      <c r="T43" s="256"/>
      <c r="U43" s="256"/>
      <c r="V43" s="256"/>
      <c r="W43" s="256" t="s">
        <v>1508</v>
      </c>
      <c r="X43" s="259">
        <v>46105.748611111114</v>
      </c>
      <c r="Y43" s="256" t="s">
        <v>1560</v>
      </c>
      <c r="Z43" s="256" t="s">
        <v>1561</v>
      </c>
      <c r="AA43" s="256" t="s">
        <v>1492</v>
      </c>
      <c r="AB43" s="256"/>
      <c r="AC43" s="256"/>
      <c r="AD43" s="256" t="s">
        <v>1581</v>
      </c>
      <c r="AE43" s="256" t="s">
        <v>262</v>
      </c>
    </row>
    <row r="44" spans="1:31">
      <c r="A44" s="256" t="s">
        <v>1505</v>
      </c>
      <c r="B44" s="256" t="s">
        <v>1471</v>
      </c>
      <c r="C44" s="256" t="s">
        <v>1472</v>
      </c>
      <c r="D44" s="256" t="s">
        <v>1506</v>
      </c>
      <c r="E44" s="256">
        <v>4440976</v>
      </c>
      <c r="F44" s="256">
        <v>4441883</v>
      </c>
      <c r="G44" s="256" t="s">
        <v>480</v>
      </c>
      <c r="H44" s="256" t="s">
        <v>288</v>
      </c>
      <c r="I44" s="256" t="s">
        <v>1557</v>
      </c>
      <c r="J44" s="256" t="s">
        <v>1477</v>
      </c>
      <c r="K44" s="259">
        <v>46135.104166666664</v>
      </c>
      <c r="L44" s="256"/>
      <c r="M44" s="259">
        <v>46139.229166666664</v>
      </c>
      <c r="N44" s="256"/>
      <c r="O44" s="256" t="s">
        <v>1559</v>
      </c>
      <c r="P44" s="259">
        <v>46151.229166666664</v>
      </c>
      <c r="Q44" s="256">
        <v>4</v>
      </c>
      <c r="R44" s="256"/>
      <c r="S44" s="256">
        <v>2</v>
      </c>
      <c r="T44" s="256"/>
      <c r="U44" s="256"/>
      <c r="V44" s="256"/>
      <c r="W44" s="256" t="s">
        <v>1508</v>
      </c>
      <c r="X44" s="259">
        <v>46105.853472222225</v>
      </c>
      <c r="Y44" s="256" t="s">
        <v>1560</v>
      </c>
      <c r="Z44" s="256" t="s">
        <v>1561</v>
      </c>
      <c r="AA44" s="256" t="s">
        <v>1492</v>
      </c>
      <c r="AB44" s="256"/>
      <c r="AC44" s="256"/>
      <c r="AD44" s="256" t="s">
        <v>1582</v>
      </c>
      <c r="AE44" s="256" t="s">
        <v>262</v>
      </c>
    </row>
    <row r="45" spans="1:31">
      <c r="A45" s="256" t="s">
        <v>1583</v>
      </c>
      <c r="B45" s="256" t="s">
        <v>1471</v>
      </c>
      <c r="C45" s="256" t="s">
        <v>1472</v>
      </c>
      <c r="D45" s="256" t="s">
        <v>1584</v>
      </c>
      <c r="E45" s="256">
        <v>4441867</v>
      </c>
      <c r="F45" s="256">
        <v>4441886</v>
      </c>
      <c r="G45" s="256" t="s">
        <v>481</v>
      </c>
      <c r="H45" s="256" t="s">
        <v>305</v>
      </c>
      <c r="I45" s="256" t="s">
        <v>1557</v>
      </c>
      <c r="J45" s="256" t="s">
        <v>1477</v>
      </c>
      <c r="K45" s="259">
        <v>46126.104166666664</v>
      </c>
      <c r="L45" s="259">
        <v>46125.893750000003</v>
      </c>
      <c r="M45" s="259">
        <v>46128.229166666664</v>
      </c>
      <c r="N45" s="256"/>
      <c r="O45" s="256" t="s">
        <v>1585</v>
      </c>
      <c r="P45" s="259">
        <v>46151.229166666664</v>
      </c>
      <c r="Q45" s="256">
        <v>4</v>
      </c>
      <c r="R45" s="256"/>
      <c r="S45" s="256">
        <v>1</v>
      </c>
      <c r="T45" s="256"/>
      <c r="U45" s="256" t="s">
        <v>1</v>
      </c>
      <c r="V45" s="256" t="s">
        <v>1</v>
      </c>
      <c r="W45" s="256" t="s">
        <v>1555</v>
      </c>
      <c r="X45" s="259">
        <v>46105.856249999997</v>
      </c>
      <c r="Y45" s="256" t="s">
        <v>1560</v>
      </c>
      <c r="Z45" s="256" t="s">
        <v>1561</v>
      </c>
      <c r="AA45" s="256" t="s">
        <v>1565</v>
      </c>
      <c r="AB45" s="256"/>
      <c r="AC45" s="256"/>
      <c r="AD45" s="256" t="s">
        <v>1584</v>
      </c>
      <c r="AE45" s="256" t="s">
        <v>262</v>
      </c>
    </row>
    <row r="46" spans="1:31">
      <c r="A46" s="256" t="s">
        <v>1583</v>
      </c>
      <c r="B46" s="256" t="s">
        <v>1471</v>
      </c>
      <c r="C46" s="256" t="s">
        <v>1472</v>
      </c>
      <c r="D46" s="256" t="s">
        <v>1584</v>
      </c>
      <c r="E46" s="256">
        <v>4441867</v>
      </c>
      <c r="F46" s="256">
        <v>4441890</v>
      </c>
      <c r="G46" s="256" t="s">
        <v>1586</v>
      </c>
      <c r="H46" s="256" t="s">
        <v>1475</v>
      </c>
      <c r="I46" s="256" t="s">
        <v>1557</v>
      </c>
      <c r="J46" s="256" t="s">
        <v>1477</v>
      </c>
      <c r="K46" s="259">
        <v>46123.104166666664</v>
      </c>
      <c r="L46" s="259">
        <v>46122.69027777778</v>
      </c>
      <c r="M46" s="259">
        <v>46127.229166666664</v>
      </c>
      <c r="N46" s="256"/>
      <c r="O46" s="256" t="s">
        <v>1525</v>
      </c>
      <c r="P46" s="259">
        <v>46151.229166666664</v>
      </c>
      <c r="Q46" s="256">
        <v>4</v>
      </c>
      <c r="R46" s="256"/>
      <c r="S46" s="256">
        <v>1</v>
      </c>
      <c r="T46" s="256"/>
      <c r="U46" s="256" t="s">
        <v>1</v>
      </c>
      <c r="V46" s="256" t="s">
        <v>1</v>
      </c>
      <c r="W46" s="256" t="s">
        <v>1555</v>
      </c>
      <c r="X46" s="259">
        <v>46105.859722222223</v>
      </c>
      <c r="Y46" s="256" t="s">
        <v>1560</v>
      </c>
      <c r="Z46" s="256" t="s">
        <v>1561</v>
      </c>
      <c r="AA46" s="256" t="s">
        <v>1565</v>
      </c>
      <c r="AB46" s="256"/>
      <c r="AC46" s="256"/>
      <c r="AD46" s="256" t="s">
        <v>1584</v>
      </c>
      <c r="AE46" s="256" t="s">
        <v>262</v>
      </c>
    </row>
    <row r="47" spans="1:31">
      <c r="A47" s="256" t="s">
        <v>1583</v>
      </c>
      <c r="B47" s="256" t="s">
        <v>1471</v>
      </c>
      <c r="C47" s="256" t="s">
        <v>1472</v>
      </c>
      <c r="D47" s="256" t="s">
        <v>1584</v>
      </c>
      <c r="E47" s="256">
        <v>4441867</v>
      </c>
      <c r="F47" s="256">
        <v>4441892</v>
      </c>
      <c r="G47" s="256" t="s">
        <v>1587</v>
      </c>
      <c r="H47" s="256" t="s">
        <v>1475</v>
      </c>
      <c r="I47" s="256" t="s">
        <v>1557</v>
      </c>
      <c r="J47" s="256" t="s">
        <v>1477</v>
      </c>
      <c r="K47" s="259">
        <v>46123.104166666664</v>
      </c>
      <c r="L47" s="259">
        <v>46122.691666666666</v>
      </c>
      <c r="M47" s="259">
        <v>46127.229166666664</v>
      </c>
      <c r="N47" s="256"/>
      <c r="O47" s="256" t="s">
        <v>1525</v>
      </c>
      <c r="P47" s="259">
        <v>46151.229166666664</v>
      </c>
      <c r="Q47" s="256">
        <v>4</v>
      </c>
      <c r="R47" s="256"/>
      <c r="S47" s="256">
        <v>1</v>
      </c>
      <c r="T47" s="256"/>
      <c r="U47" s="256" t="s">
        <v>1</v>
      </c>
      <c r="V47" s="256" t="s">
        <v>1</v>
      </c>
      <c r="W47" s="256" t="s">
        <v>1555</v>
      </c>
      <c r="X47" s="259">
        <v>46105.862500000003</v>
      </c>
      <c r="Y47" s="256" t="s">
        <v>1560</v>
      </c>
      <c r="Z47" s="256" t="s">
        <v>1561</v>
      </c>
      <c r="AA47" s="256" t="s">
        <v>1565</v>
      </c>
      <c r="AB47" s="256"/>
      <c r="AC47" s="256"/>
      <c r="AD47" s="256" t="s">
        <v>1584</v>
      </c>
      <c r="AE47" s="256" t="s">
        <v>262</v>
      </c>
    </row>
    <row r="48" spans="1:31">
      <c r="A48" s="256" t="s">
        <v>1588</v>
      </c>
      <c r="B48" s="256" t="s">
        <v>1471</v>
      </c>
      <c r="C48" s="256" t="s">
        <v>1574</v>
      </c>
      <c r="D48" s="256" t="s">
        <v>1575</v>
      </c>
      <c r="E48" s="256">
        <v>4441965</v>
      </c>
      <c r="F48" s="256">
        <v>4441959</v>
      </c>
      <c r="G48" s="256" t="s">
        <v>474</v>
      </c>
      <c r="H48" s="256" t="s">
        <v>305</v>
      </c>
      <c r="I48" s="256" t="s">
        <v>1570</v>
      </c>
      <c r="J48" s="256" t="s">
        <v>1477</v>
      </c>
      <c r="K48" s="259">
        <v>46133.104166666664</v>
      </c>
      <c r="L48" s="259">
        <v>46126.730555555558</v>
      </c>
      <c r="M48" s="259">
        <v>46135.229166666664</v>
      </c>
      <c r="N48" s="256"/>
      <c r="O48" s="256" t="s">
        <v>1589</v>
      </c>
      <c r="P48" s="259">
        <v>46151.229166666664</v>
      </c>
      <c r="Q48" s="256">
        <v>2</v>
      </c>
      <c r="R48" s="256"/>
      <c r="S48" s="256">
        <v>1</v>
      </c>
      <c r="T48" s="256"/>
      <c r="U48" s="256" t="s">
        <v>1</v>
      </c>
      <c r="V48" s="256" t="s">
        <v>1</v>
      </c>
      <c r="W48" s="256" t="s">
        <v>1577</v>
      </c>
      <c r="X48" s="259">
        <v>46106.004861111112</v>
      </c>
      <c r="Y48" s="256" t="s">
        <v>1590</v>
      </c>
      <c r="Z48" s="256" t="s">
        <v>1572</v>
      </c>
      <c r="AA48" s="256" t="s">
        <v>1517</v>
      </c>
      <c r="AB48" s="256"/>
      <c r="AC48" s="256"/>
      <c r="AD48" s="256" t="s">
        <v>1591</v>
      </c>
      <c r="AE48" s="256" t="s">
        <v>262</v>
      </c>
    </row>
    <row r="49" spans="1:31">
      <c r="A49" s="256" t="s">
        <v>1592</v>
      </c>
      <c r="B49" s="256" t="s">
        <v>1471</v>
      </c>
      <c r="C49" s="256" t="s">
        <v>1574</v>
      </c>
      <c r="D49" s="256" t="s">
        <v>1593</v>
      </c>
      <c r="E49" s="256">
        <v>4441971</v>
      </c>
      <c r="F49" s="256">
        <v>4441970</v>
      </c>
      <c r="G49" s="256" t="s">
        <v>476</v>
      </c>
      <c r="H49" s="256" t="s">
        <v>242</v>
      </c>
      <c r="I49" s="256" t="s">
        <v>261</v>
      </c>
      <c r="J49" s="256" t="s">
        <v>1477</v>
      </c>
      <c r="K49" s="259">
        <v>46135.145833333336</v>
      </c>
      <c r="L49" s="256"/>
      <c r="M49" s="259">
        <v>46139.229166666664</v>
      </c>
      <c r="N49" s="256"/>
      <c r="O49" s="256" t="s">
        <v>1563</v>
      </c>
      <c r="P49" s="259">
        <v>46151.229166666664</v>
      </c>
      <c r="Q49" s="256">
        <v>3</v>
      </c>
      <c r="R49" s="256"/>
      <c r="S49" s="256">
        <v>1</v>
      </c>
      <c r="T49" s="256"/>
      <c r="U49" s="256"/>
      <c r="V49" s="256"/>
      <c r="W49" s="256" t="s">
        <v>1577</v>
      </c>
      <c r="X49" s="259">
        <v>46106.03125</v>
      </c>
      <c r="Y49" s="256" t="s">
        <v>1594</v>
      </c>
      <c r="Z49" s="256" t="s">
        <v>1542</v>
      </c>
      <c r="AA49" s="256" t="s">
        <v>1517</v>
      </c>
      <c r="AB49" s="256"/>
      <c r="AC49" s="256"/>
      <c r="AD49" s="256" t="s">
        <v>1595</v>
      </c>
      <c r="AE49" s="256" t="s">
        <v>262</v>
      </c>
    </row>
    <row r="50" spans="1:31">
      <c r="A50" s="256" t="s">
        <v>1596</v>
      </c>
      <c r="B50" s="256" t="s">
        <v>1471</v>
      </c>
      <c r="C50" s="256" t="s">
        <v>1472</v>
      </c>
      <c r="D50" s="256" t="s">
        <v>1593</v>
      </c>
      <c r="E50" s="256">
        <v>4441973</v>
      </c>
      <c r="F50" s="256">
        <v>4441972</v>
      </c>
      <c r="G50" s="256" t="s">
        <v>477</v>
      </c>
      <c r="H50" s="256" t="s">
        <v>1475</v>
      </c>
      <c r="I50" s="256" t="s">
        <v>1557</v>
      </c>
      <c r="J50" s="256" t="s">
        <v>1477</v>
      </c>
      <c r="K50" s="259">
        <v>46122.104166666664</v>
      </c>
      <c r="L50" s="259">
        <v>46120.229166666664</v>
      </c>
      <c r="M50" s="259">
        <v>46126.229166666664</v>
      </c>
      <c r="N50" s="256"/>
      <c r="O50" s="256" t="s">
        <v>1597</v>
      </c>
      <c r="P50" s="259">
        <v>46151.229166666664</v>
      </c>
      <c r="Q50" s="256">
        <v>3</v>
      </c>
      <c r="R50" s="256"/>
      <c r="S50" s="256">
        <v>1</v>
      </c>
      <c r="T50" s="256"/>
      <c r="U50" s="256" t="s">
        <v>1</v>
      </c>
      <c r="V50" s="256" t="s">
        <v>1</v>
      </c>
      <c r="W50" s="256" t="s">
        <v>1577</v>
      </c>
      <c r="X50" s="259">
        <v>46106.044444444444</v>
      </c>
      <c r="Y50" s="256" t="s">
        <v>1598</v>
      </c>
      <c r="Z50" s="256" t="s">
        <v>1561</v>
      </c>
      <c r="AA50" s="256" t="s">
        <v>1517</v>
      </c>
      <c r="AB50" s="256"/>
      <c r="AC50" s="256"/>
      <c r="AD50" s="256" t="s">
        <v>1599</v>
      </c>
      <c r="AE50" s="256" t="s">
        <v>262</v>
      </c>
    </row>
    <row r="51" spans="1:31">
      <c r="A51" s="256" t="s">
        <v>1600</v>
      </c>
      <c r="B51" s="256" t="s">
        <v>1471</v>
      </c>
      <c r="C51" s="256" t="s">
        <v>1472</v>
      </c>
      <c r="D51" s="256" t="s">
        <v>1601</v>
      </c>
      <c r="E51" s="256">
        <v>4441977</v>
      </c>
      <c r="F51" s="256">
        <v>4441975</v>
      </c>
      <c r="G51" s="256" t="s">
        <v>479</v>
      </c>
      <c r="H51" s="256" t="s">
        <v>1475</v>
      </c>
      <c r="I51" s="256" t="s">
        <v>1557</v>
      </c>
      <c r="J51" s="256" t="s">
        <v>1477</v>
      </c>
      <c r="K51" s="259">
        <v>46121.104166666664</v>
      </c>
      <c r="L51" s="259">
        <v>46119.229166666664</v>
      </c>
      <c r="M51" s="259">
        <v>46125.229166666664</v>
      </c>
      <c r="N51" s="256"/>
      <c r="O51" s="256" t="s">
        <v>1597</v>
      </c>
      <c r="P51" s="259">
        <v>46151.229166666664</v>
      </c>
      <c r="Q51" s="256">
        <v>3</v>
      </c>
      <c r="R51" s="256"/>
      <c r="S51" s="256">
        <v>1</v>
      </c>
      <c r="T51" s="256"/>
      <c r="U51" s="256" t="s">
        <v>1</v>
      </c>
      <c r="V51" s="256" t="s">
        <v>1</v>
      </c>
      <c r="W51" s="256" t="s">
        <v>1577</v>
      </c>
      <c r="X51" s="259">
        <v>46106.05972222222</v>
      </c>
      <c r="Y51" s="256" t="s">
        <v>1602</v>
      </c>
      <c r="Z51" s="256" t="s">
        <v>1561</v>
      </c>
      <c r="AA51" s="256" t="s">
        <v>1517</v>
      </c>
      <c r="AB51" s="256"/>
      <c r="AC51" s="256"/>
      <c r="AD51" s="256" t="s">
        <v>1603</v>
      </c>
      <c r="AE51" s="256" t="s">
        <v>262</v>
      </c>
    </row>
    <row r="52" spans="1:31">
      <c r="A52" s="256" t="s">
        <v>1505</v>
      </c>
      <c r="B52" s="256" t="s">
        <v>1471</v>
      </c>
      <c r="C52" s="256" t="s">
        <v>1472</v>
      </c>
      <c r="D52" s="256" t="s">
        <v>1506</v>
      </c>
      <c r="E52" s="256">
        <v>4440976</v>
      </c>
      <c r="F52" s="256">
        <v>4443502</v>
      </c>
      <c r="G52" s="256" t="s">
        <v>466</v>
      </c>
      <c r="H52" s="256" t="s">
        <v>242</v>
      </c>
      <c r="I52" s="256" t="s">
        <v>261</v>
      </c>
      <c r="J52" s="256" t="s">
        <v>1477</v>
      </c>
      <c r="K52" s="259">
        <v>46135.145833333336</v>
      </c>
      <c r="L52" s="256"/>
      <c r="M52" s="259">
        <v>46139.229166666664</v>
      </c>
      <c r="N52" s="256"/>
      <c r="O52" s="256" t="s">
        <v>1569</v>
      </c>
      <c r="P52" s="259">
        <v>46151.229166666664</v>
      </c>
      <c r="Q52" s="256">
        <v>2</v>
      </c>
      <c r="R52" s="256"/>
      <c r="S52" s="256">
        <v>2</v>
      </c>
      <c r="T52" s="256"/>
      <c r="U52" s="256"/>
      <c r="V52" s="256"/>
      <c r="W52" s="256" t="s">
        <v>1508</v>
      </c>
      <c r="X52" s="259">
        <v>46106.692361111112</v>
      </c>
      <c r="Y52" s="256" t="s">
        <v>1560</v>
      </c>
      <c r="Z52" s="256" t="s">
        <v>1542</v>
      </c>
      <c r="AA52" s="256" t="s">
        <v>1492</v>
      </c>
      <c r="AB52" s="256"/>
      <c r="AC52" s="256"/>
      <c r="AD52" s="256" t="s">
        <v>1510</v>
      </c>
      <c r="AE52" s="256" t="s">
        <v>262</v>
      </c>
    </row>
    <row r="53" spans="1:31">
      <c r="A53" s="256" t="s">
        <v>1505</v>
      </c>
      <c r="B53" s="256" t="s">
        <v>1471</v>
      </c>
      <c r="C53" s="256" t="s">
        <v>1472</v>
      </c>
      <c r="D53" s="256" t="s">
        <v>1506</v>
      </c>
      <c r="E53" s="256">
        <v>4440976</v>
      </c>
      <c r="F53" s="256">
        <v>4443510</v>
      </c>
      <c r="G53" s="256" t="s">
        <v>469</v>
      </c>
      <c r="H53" s="256" t="s">
        <v>305</v>
      </c>
      <c r="I53" s="256" t="s">
        <v>1570</v>
      </c>
      <c r="J53" s="256" t="s">
        <v>1477</v>
      </c>
      <c r="K53" s="259">
        <v>46135.104166666664</v>
      </c>
      <c r="L53" s="259">
        <v>46125.489583333336</v>
      </c>
      <c r="M53" s="259">
        <v>46134.229166666664</v>
      </c>
      <c r="N53" s="256"/>
      <c r="O53" s="256" t="s">
        <v>1589</v>
      </c>
      <c r="P53" s="259">
        <v>46151.229166666664</v>
      </c>
      <c r="Q53" s="256">
        <v>2</v>
      </c>
      <c r="R53" s="256"/>
      <c r="S53" s="256">
        <v>2</v>
      </c>
      <c r="T53" s="256"/>
      <c r="U53" s="256" t="s">
        <v>1</v>
      </c>
      <c r="V53" s="256" t="s">
        <v>1498</v>
      </c>
      <c r="W53" s="256" t="s">
        <v>1508</v>
      </c>
      <c r="X53" s="259">
        <v>46106.696527777778</v>
      </c>
      <c r="Y53" s="256" t="s">
        <v>1560</v>
      </c>
      <c r="Z53" s="256" t="s">
        <v>1572</v>
      </c>
      <c r="AA53" s="256" t="s">
        <v>1492</v>
      </c>
      <c r="AB53" s="256"/>
      <c r="AC53" s="256"/>
      <c r="AD53" s="256" t="s">
        <v>1510</v>
      </c>
      <c r="AE53" s="256" t="s">
        <v>262</v>
      </c>
    </row>
    <row r="54" spans="1:31">
      <c r="A54" s="256" t="s">
        <v>1505</v>
      </c>
      <c r="B54" s="256" t="s">
        <v>1471</v>
      </c>
      <c r="C54" s="256" t="s">
        <v>1472</v>
      </c>
      <c r="D54" s="256" t="s">
        <v>1506</v>
      </c>
      <c r="E54" s="256">
        <v>4440976</v>
      </c>
      <c r="F54" s="256">
        <v>4443516</v>
      </c>
      <c r="G54" s="256" t="s">
        <v>470</v>
      </c>
      <c r="H54" s="256" t="s">
        <v>198</v>
      </c>
      <c r="I54" s="256" t="s">
        <v>261</v>
      </c>
      <c r="J54" s="256" t="s">
        <v>1477</v>
      </c>
      <c r="K54" s="259">
        <v>46135.145833333336</v>
      </c>
      <c r="L54" s="256"/>
      <c r="M54" s="259">
        <v>46139.229166666664</v>
      </c>
      <c r="N54" s="256"/>
      <c r="O54" s="256" t="s">
        <v>1569</v>
      </c>
      <c r="P54" s="259">
        <v>46151.229166666664</v>
      </c>
      <c r="Q54" s="256">
        <v>2</v>
      </c>
      <c r="R54" s="256"/>
      <c r="S54" s="256">
        <v>2</v>
      </c>
      <c r="T54" s="256"/>
      <c r="U54" s="256"/>
      <c r="V54" s="256"/>
      <c r="W54" s="256" t="s">
        <v>1508</v>
      </c>
      <c r="X54" s="259">
        <v>46106.698611111111</v>
      </c>
      <c r="Y54" s="256" t="s">
        <v>1560</v>
      </c>
      <c r="Z54" s="256" t="s">
        <v>1542</v>
      </c>
      <c r="AA54" s="256" t="s">
        <v>1492</v>
      </c>
      <c r="AB54" s="256"/>
      <c r="AC54" s="256"/>
      <c r="AD54" s="256" t="s">
        <v>1510</v>
      </c>
      <c r="AE54" s="256" t="s">
        <v>262</v>
      </c>
    </row>
    <row r="55" spans="1:31">
      <c r="A55" s="256" t="s">
        <v>1604</v>
      </c>
      <c r="B55" s="256" t="s">
        <v>1486</v>
      </c>
      <c r="C55" s="256" t="s">
        <v>235</v>
      </c>
      <c r="D55" s="256" t="s">
        <v>235</v>
      </c>
      <c r="E55" s="256">
        <v>4349307</v>
      </c>
      <c r="F55" s="256">
        <v>4443793</v>
      </c>
      <c r="G55" s="256" t="s">
        <v>1605</v>
      </c>
      <c r="H55" s="256" t="s">
        <v>288</v>
      </c>
      <c r="I55" s="256" t="s">
        <v>1570</v>
      </c>
      <c r="J55" s="256" t="s">
        <v>1606</v>
      </c>
      <c r="K55" s="259">
        <v>46135.104166666664</v>
      </c>
      <c r="L55" s="256"/>
      <c r="M55" s="259">
        <v>46141.0625</v>
      </c>
      <c r="N55" s="256"/>
      <c r="O55" s="256" t="s">
        <v>1607</v>
      </c>
      <c r="P55" s="259">
        <v>46151.229166666664</v>
      </c>
      <c r="Q55" s="256">
        <v>6</v>
      </c>
      <c r="R55" s="256"/>
      <c r="S55" s="256">
        <v>2</v>
      </c>
      <c r="T55" s="256"/>
      <c r="U55" s="256"/>
      <c r="V55" s="256"/>
      <c r="W55" s="256" t="s">
        <v>1608</v>
      </c>
      <c r="X55" s="259">
        <v>46107.367361111108</v>
      </c>
      <c r="Y55" s="256" t="s">
        <v>1609</v>
      </c>
      <c r="Z55" s="256" t="s">
        <v>1572</v>
      </c>
      <c r="AA55" s="256" t="s">
        <v>1610</v>
      </c>
      <c r="AB55" s="256"/>
      <c r="AC55" s="256"/>
      <c r="AD55" s="256" t="s">
        <v>1611</v>
      </c>
      <c r="AE55" s="256" t="s">
        <v>262</v>
      </c>
    </row>
    <row r="56" spans="1:31">
      <c r="A56" s="256" t="s">
        <v>1604</v>
      </c>
      <c r="B56" s="256" t="s">
        <v>1486</v>
      </c>
      <c r="C56" s="256" t="s">
        <v>235</v>
      </c>
      <c r="D56" s="256" t="s">
        <v>235</v>
      </c>
      <c r="E56" s="256">
        <v>4349307</v>
      </c>
      <c r="F56" s="256">
        <v>4443800</v>
      </c>
      <c r="G56" s="256" t="s">
        <v>1612</v>
      </c>
      <c r="H56" s="256" t="s">
        <v>288</v>
      </c>
      <c r="I56" s="256" t="s">
        <v>1570</v>
      </c>
      <c r="J56" s="256" t="s">
        <v>1606</v>
      </c>
      <c r="K56" s="259">
        <v>46135.104166666664</v>
      </c>
      <c r="L56" s="256"/>
      <c r="M56" s="259">
        <v>46141.0625</v>
      </c>
      <c r="N56" s="256"/>
      <c r="O56" s="256" t="s">
        <v>1607</v>
      </c>
      <c r="P56" s="259">
        <v>46151.229166666664</v>
      </c>
      <c r="Q56" s="256">
        <v>6</v>
      </c>
      <c r="R56" s="256"/>
      <c r="S56" s="256">
        <v>2</v>
      </c>
      <c r="T56" s="256"/>
      <c r="U56" s="256"/>
      <c r="V56" s="256"/>
      <c r="W56" s="256" t="s">
        <v>1608</v>
      </c>
      <c r="X56" s="259">
        <v>46107.394444444442</v>
      </c>
      <c r="Y56" s="256" t="s">
        <v>1609</v>
      </c>
      <c r="Z56" s="256" t="s">
        <v>1572</v>
      </c>
      <c r="AA56" s="256" t="s">
        <v>1610</v>
      </c>
      <c r="AB56" s="256"/>
      <c r="AC56" s="256"/>
      <c r="AD56" s="256" t="s">
        <v>1611</v>
      </c>
      <c r="AE56" s="256" t="s">
        <v>262</v>
      </c>
    </row>
    <row r="57" spans="1:31">
      <c r="A57" s="256" t="s">
        <v>1613</v>
      </c>
      <c r="B57" s="256" t="s">
        <v>1471</v>
      </c>
      <c r="C57" s="256" t="s">
        <v>1472</v>
      </c>
      <c r="D57" s="256" t="s">
        <v>1593</v>
      </c>
      <c r="E57" s="256">
        <v>4443757</v>
      </c>
      <c r="F57" s="256">
        <v>4443754</v>
      </c>
      <c r="G57" s="256" t="s">
        <v>462</v>
      </c>
      <c r="H57" s="256" t="s">
        <v>242</v>
      </c>
      <c r="I57" s="256" t="s">
        <v>261</v>
      </c>
      <c r="J57" s="256" t="s">
        <v>1477</v>
      </c>
      <c r="K57" s="259">
        <v>46135.145833333336</v>
      </c>
      <c r="L57" s="256"/>
      <c r="M57" s="259">
        <v>46139.229166666664</v>
      </c>
      <c r="N57" s="256"/>
      <c r="O57" s="256" t="s">
        <v>1614</v>
      </c>
      <c r="P57" s="259">
        <v>46151.229166666664</v>
      </c>
      <c r="Q57" s="256">
        <v>4</v>
      </c>
      <c r="R57" s="256"/>
      <c r="S57" s="256">
        <v>2</v>
      </c>
      <c r="T57" s="256"/>
      <c r="U57" s="256"/>
      <c r="V57" s="256"/>
      <c r="W57" s="256" t="s">
        <v>1577</v>
      </c>
      <c r="X57" s="259">
        <v>46107.021527777775</v>
      </c>
      <c r="Y57" s="256" t="s">
        <v>1615</v>
      </c>
      <c r="Z57" s="256" t="s">
        <v>1542</v>
      </c>
      <c r="AA57" s="256" t="s">
        <v>1517</v>
      </c>
      <c r="AB57" s="256"/>
      <c r="AC57" s="256"/>
      <c r="AD57" s="256" t="s">
        <v>1616</v>
      </c>
      <c r="AE57" s="256" t="s">
        <v>262</v>
      </c>
    </row>
    <row r="58" spans="1:31">
      <c r="A58" s="256" t="s">
        <v>1617</v>
      </c>
      <c r="B58" s="256" t="s">
        <v>1471</v>
      </c>
      <c r="C58" s="256" t="s">
        <v>1472</v>
      </c>
      <c r="D58" s="256" t="s">
        <v>1618</v>
      </c>
      <c r="E58" s="256">
        <v>4443779</v>
      </c>
      <c r="F58" s="256">
        <v>4443764</v>
      </c>
      <c r="G58" s="256" t="s">
        <v>463</v>
      </c>
      <c r="H58" s="256" t="s">
        <v>305</v>
      </c>
      <c r="I58" s="256" t="s">
        <v>1557</v>
      </c>
      <c r="J58" s="256" t="s">
        <v>1477</v>
      </c>
      <c r="K58" s="259">
        <v>46127.104166666664</v>
      </c>
      <c r="L58" s="259">
        <v>46126.676388888889</v>
      </c>
      <c r="M58" s="259">
        <v>46129.229166666664</v>
      </c>
      <c r="N58" s="256"/>
      <c r="O58" s="256" t="s">
        <v>1478</v>
      </c>
      <c r="P58" s="259">
        <v>46151.229166666664</v>
      </c>
      <c r="Q58" s="256">
        <v>4</v>
      </c>
      <c r="R58" s="256"/>
      <c r="S58" s="256">
        <v>1</v>
      </c>
      <c r="T58" s="256"/>
      <c r="U58" s="256" t="s">
        <v>1</v>
      </c>
      <c r="V58" s="256" t="s">
        <v>1</v>
      </c>
      <c r="W58" s="256" t="s">
        <v>1577</v>
      </c>
      <c r="X58" s="259">
        <v>46107.063888888886</v>
      </c>
      <c r="Y58" s="256" t="s">
        <v>1619</v>
      </c>
      <c r="Z58" s="256" t="s">
        <v>1561</v>
      </c>
      <c r="AA58" s="256" t="s">
        <v>1517</v>
      </c>
      <c r="AB58" s="256"/>
      <c r="AC58" s="256"/>
      <c r="AD58" s="256" t="s">
        <v>1620</v>
      </c>
      <c r="AE58" s="256" t="s">
        <v>262</v>
      </c>
    </row>
    <row r="59" spans="1:31">
      <c r="A59" s="256" t="s">
        <v>1604</v>
      </c>
      <c r="B59" s="256" t="s">
        <v>1486</v>
      </c>
      <c r="C59" s="256" t="s">
        <v>235</v>
      </c>
      <c r="D59" s="256" t="s">
        <v>235</v>
      </c>
      <c r="E59" s="256">
        <v>4349307</v>
      </c>
      <c r="F59" s="256">
        <v>4444184</v>
      </c>
      <c r="G59" s="256" t="s">
        <v>1621</v>
      </c>
      <c r="H59" s="256" t="s">
        <v>288</v>
      </c>
      <c r="I59" s="256" t="s">
        <v>1570</v>
      </c>
      <c r="J59" s="256" t="s">
        <v>1606</v>
      </c>
      <c r="K59" s="259">
        <v>46135.104166666664</v>
      </c>
      <c r="L59" s="256"/>
      <c r="M59" s="259">
        <v>46141.0625</v>
      </c>
      <c r="N59" s="256"/>
      <c r="O59" s="256" t="s">
        <v>1622</v>
      </c>
      <c r="P59" s="259">
        <v>46151.229166666664</v>
      </c>
      <c r="Q59" s="256">
        <v>6</v>
      </c>
      <c r="R59" s="256"/>
      <c r="S59" s="256">
        <v>2</v>
      </c>
      <c r="T59" s="256"/>
      <c r="U59" s="256"/>
      <c r="V59" s="256"/>
      <c r="W59" s="256" t="s">
        <v>1608</v>
      </c>
      <c r="X59" s="259">
        <v>46107.495138888888</v>
      </c>
      <c r="Y59" s="256" t="s">
        <v>1609</v>
      </c>
      <c r="Z59" s="256" t="s">
        <v>1572</v>
      </c>
      <c r="AA59" s="256" t="s">
        <v>1610</v>
      </c>
      <c r="AB59" s="256"/>
      <c r="AC59" s="256"/>
      <c r="AD59" s="256" t="s">
        <v>1611</v>
      </c>
      <c r="AE59" s="256" t="s">
        <v>262</v>
      </c>
    </row>
    <row r="60" spans="1:31">
      <c r="A60" s="256" t="s">
        <v>1623</v>
      </c>
      <c r="B60" s="256" t="s">
        <v>1471</v>
      </c>
      <c r="C60" s="256" t="s">
        <v>1472</v>
      </c>
      <c r="D60" s="256" t="s">
        <v>1624</v>
      </c>
      <c r="E60" s="256">
        <v>4447848</v>
      </c>
      <c r="F60" s="256">
        <v>4450103</v>
      </c>
      <c r="G60" s="256" t="s">
        <v>1625</v>
      </c>
      <c r="H60" s="256" t="s">
        <v>242</v>
      </c>
      <c r="I60" s="256" t="s">
        <v>1626</v>
      </c>
      <c r="J60" s="256" t="s">
        <v>1477</v>
      </c>
      <c r="K60" s="259">
        <v>46137.104166666664</v>
      </c>
      <c r="L60" s="256"/>
      <c r="M60" s="259">
        <v>46136.229166666664</v>
      </c>
      <c r="N60" s="256"/>
      <c r="O60" s="256" t="s">
        <v>1627</v>
      </c>
      <c r="P60" s="259">
        <v>46151.229166666664</v>
      </c>
      <c r="Q60" s="256">
        <v>4</v>
      </c>
      <c r="R60" s="256"/>
      <c r="S60" s="256">
        <v>2</v>
      </c>
      <c r="T60" s="256"/>
      <c r="U60" s="256"/>
      <c r="V60" s="256"/>
      <c r="W60" s="256" t="s">
        <v>1555</v>
      </c>
      <c r="X60" s="259">
        <v>46111.839583333334</v>
      </c>
      <c r="Y60" s="256" t="s">
        <v>1628</v>
      </c>
      <c r="Z60" s="256" t="s">
        <v>1629</v>
      </c>
      <c r="AA60" s="256" t="s">
        <v>1565</v>
      </c>
      <c r="AB60" s="256"/>
      <c r="AC60" s="256"/>
      <c r="AD60" s="256" t="s">
        <v>1624</v>
      </c>
      <c r="AE60" s="256" t="s">
        <v>262</v>
      </c>
    </row>
    <row r="61" spans="1:31">
      <c r="A61" s="256" t="s">
        <v>1623</v>
      </c>
      <c r="B61" s="256" t="s">
        <v>1471</v>
      </c>
      <c r="C61" s="256" t="s">
        <v>1472</v>
      </c>
      <c r="D61" s="256" t="s">
        <v>1624</v>
      </c>
      <c r="E61" s="256">
        <v>4447848</v>
      </c>
      <c r="F61" s="256">
        <v>4450104</v>
      </c>
      <c r="G61" s="256" t="s">
        <v>514</v>
      </c>
      <c r="H61" s="256" t="s">
        <v>242</v>
      </c>
      <c r="I61" s="256" t="s">
        <v>1626</v>
      </c>
      <c r="J61" s="256" t="s">
        <v>1477</v>
      </c>
      <c r="K61" s="259">
        <v>46137.104166666664</v>
      </c>
      <c r="L61" s="256"/>
      <c r="M61" s="259">
        <v>46136.229166666664</v>
      </c>
      <c r="N61" s="256"/>
      <c r="O61" s="256" t="s">
        <v>1630</v>
      </c>
      <c r="P61" s="259">
        <v>46151.229166666664</v>
      </c>
      <c r="Q61" s="256">
        <v>6</v>
      </c>
      <c r="R61" s="256"/>
      <c r="S61" s="256">
        <v>2</v>
      </c>
      <c r="T61" s="256"/>
      <c r="U61" s="256"/>
      <c r="V61" s="256"/>
      <c r="W61" s="256" t="s">
        <v>1555</v>
      </c>
      <c r="X61" s="259">
        <v>46111.839583333334</v>
      </c>
      <c r="Y61" s="256" t="s">
        <v>1628</v>
      </c>
      <c r="Z61" s="256" t="s">
        <v>1629</v>
      </c>
      <c r="AA61" s="256" t="s">
        <v>1565</v>
      </c>
      <c r="AB61" s="256"/>
      <c r="AC61" s="256"/>
      <c r="AD61" s="256" t="s">
        <v>1624</v>
      </c>
      <c r="AE61" s="256" t="s">
        <v>262</v>
      </c>
    </row>
    <row r="62" spans="1:31">
      <c r="A62" s="256" t="s">
        <v>1583</v>
      </c>
      <c r="B62" s="256" t="s">
        <v>1471</v>
      </c>
      <c r="C62" s="256" t="s">
        <v>1472</v>
      </c>
      <c r="D62" s="256" t="s">
        <v>1584</v>
      </c>
      <c r="E62" s="256">
        <v>4441867</v>
      </c>
      <c r="F62" s="256">
        <v>4449855</v>
      </c>
      <c r="G62" s="256" t="s">
        <v>1631</v>
      </c>
      <c r="H62" s="256" t="s">
        <v>305</v>
      </c>
      <c r="I62" s="256" t="s">
        <v>1557</v>
      </c>
      <c r="J62" s="256" t="s">
        <v>1477</v>
      </c>
      <c r="K62" s="259">
        <v>46127.104166666664</v>
      </c>
      <c r="L62" s="259">
        <v>46126.697222222225</v>
      </c>
      <c r="M62" s="259">
        <v>46129.229166666664</v>
      </c>
      <c r="N62" s="256"/>
      <c r="O62" s="256" t="s">
        <v>1589</v>
      </c>
      <c r="P62" s="259">
        <v>46151.229166666664</v>
      </c>
      <c r="Q62" s="256">
        <v>3</v>
      </c>
      <c r="R62" s="256"/>
      <c r="S62" s="256">
        <v>1</v>
      </c>
      <c r="T62" s="256"/>
      <c r="U62" s="256" t="s">
        <v>1</v>
      </c>
      <c r="V62" s="256" t="s">
        <v>1</v>
      </c>
      <c r="W62" s="256" t="s">
        <v>1555</v>
      </c>
      <c r="X62" s="259">
        <v>46111.79791666667</v>
      </c>
      <c r="Y62" s="256" t="s">
        <v>1560</v>
      </c>
      <c r="Z62" s="256" t="s">
        <v>1561</v>
      </c>
      <c r="AA62" s="256" t="s">
        <v>1565</v>
      </c>
      <c r="AB62" s="256"/>
      <c r="AC62" s="256"/>
      <c r="AD62" s="256" t="s">
        <v>1584</v>
      </c>
      <c r="AE62" s="256" t="s">
        <v>262</v>
      </c>
    </row>
    <row r="63" spans="1:31">
      <c r="A63" s="256" t="s">
        <v>1583</v>
      </c>
      <c r="B63" s="256" t="s">
        <v>1471</v>
      </c>
      <c r="C63" s="256" t="s">
        <v>1472</v>
      </c>
      <c r="D63" s="256" t="s">
        <v>1584</v>
      </c>
      <c r="E63" s="256">
        <v>4441867</v>
      </c>
      <c r="F63" s="256">
        <v>4449887</v>
      </c>
      <c r="G63" s="256" t="s">
        <v>507</v>
      </c>
      <c r="H63" s="256" t="s">
        <v>288</v>
      </c>
      <c r="I63" s="256" t="s">
        <v>1557</v>
      </c>
      <c r="J63" s="256" t="s">
        <v>1477</v>
      </c>
      <c r="K63" s="259">
        <v>46134.104166666664</v>
      </c>
      <c r="L63" s="256"/>
      <c r="M63" s="259">
        <v>46136.229166666664</v>
      </c>
      <c r="N63" s="256"/>
      <c r="O63" s="256" t="s">
        <v>1632</v>
      </c>
      <c r="P63" s="259">
        <v>46151.229166666664</v>
      </c>
      <c r="Q63" s="256">
        <v>6</v>
      </c>
      <c r="R63" s="256"/>
      <c r="S63" s="256">
        <v>1</v>
      </c>
      <c r="T63" s="256"/>
      <c r="U63" s="256"/>
      <c r="V63" s="256"/>
      <c r="W63" s="256" t="s">
        <v>1555</v>
      </c>
      <c r="X63" s="259">
        <v>46111.805555555555</v>
      </c>
      <c r="Y63" s="256" t="s">
        <v>1560</v>
      </c>
      <c r="Z63" s="256" t="s">
        <v>1561</v>
      </c>
      <c r="AA63" s="256" t="s">
        <v>1565</v>
      </c>
      <c r="AB63" s="256"/>
      <c r="AC63" s="256"/>
      <c r="AD63" s="256" t="s">
        <v>1584</v>
      </c>
      <c r="AE63" s="256" t="s">
        <v>262</v>
      </c>
    </row>
    <row r="64" spans="1:31">
      <c r="A64" s="256" t="s">
        <v>1623</v>
      </c>
      <c r="B64" s="256" t="s">
        <v>1471</v>
      </c>
      <c r="C64" s="256" t="s">
        <v>1472</v>
      </c>
      <c r="D64" s="256" t="s">
        <v>1624</v>
      </c>
      <c r="E64" s="256">
        <v>4447848</v>
      </c>
      <c r="F64" s="256">
        <v>4448150</v>
      </c>
      <c r="G64" s="256" t="s">
        <v>519</v>
      </c>
      <c r="H64" s="256" t="s">
        <v>242</v>
      </c>
      <c r="I64" s="256" t="s">
        <v>1626</v>
      </c>
      <c r="J64" s="256" t="s">
        <v>1477</v>
      </c>
      <c r="K64" s="259">
        <v>46137.104166666664</v>
      </c>
      <c r="L64" s="256"/>
      <c r="M64" s="259">
        <v>46136.229166666664</v>
      </c>
      <c r="N64" s="256"/>
      <c r="O64" s="256" t="s">
        <v>1633</v>
      </c>
      <c r="P64" s="259">
        <v>46151.229166666664</v>
      </c>
      <c r="Q64" s="256">
        <v>4</v>
      </c>
      <c r="R64" s="256"/>
      <c r="S64" s="256">
        <v>2</v>
      </c>
      <c r="T64" s="256"/>
      <c r="U64" s="256"/>
      <c r="V64" s="256"/>
      <c r="W64" s="256" t="s">
        <v>1555</v>
      </c>
      <c r="X64" s="259">
        <v>46111.615277777775</v>
      </c>
      <c r="Y64" s="256" t="s">
        <v>1634</v>
      </c>
      <c r="Z64" s="256" t="s">
        <v>1629</v>
      </c>
      <c r="AA64" s="256" t="s">
        <v>1565</v>
      </c>
      <c r="AB64" s="256"/>
      <c r="AC64" s="256"/>
      <c r="AD64" s="256" t="s">
        <v>1624</v>
      </c>
      <c r="AE64" s="256" t="s">
        <v>262</v>
      </c>
    </row>
    <row r="65" spans="1:31">
      <c r="A65" s="256" t="s">
        <v>1623</v>
      </c>
      <c r="B65" s="256" t="s">
        <v>1471</v>
      </c>
      <c r="C65" s="256" t="s">
        <v>1472</v>
      </c>
      <c r="D65" s="256" t="s">
        <v>1624</v>
      </c>
      <c r="E65" s="256">
        <v>4447848</v>
      </c>
      <c r="F65" s="256">
        <v>4448151</v>
      </c>
      <c r="G65" s="256" t="s">
        <v>520</v>
      </c>
      <c r="H65" s="256" t="s">
        <v>242</v>
      </c>
      <c r="I65" s="256" t="s">
        <v>1626</v>
      </c>
      <c r="J65" s="256" t="s">
        <v>1477</v>
      </c>
      <c r="K65" s="259">
        <v>46137.104166666664</v>
      </c>
      <c r="L65" s="256"/>
      <c r="M65" s="259">
        <v>46136.229166666664</v>
      </c>
      <c r="N65" s="256"/>
      <c r="O65" s="256" t="s">
        <v>1633</v>
      </c>
      <c r="P65" s="259">
        <v>46151.229166666664</v>
      </c>
      <c r="Q65" s="256">
        <v>4</v>
      </c>
      <c r="R65" s="256"/>
      <c r="S65" s="256">
        <v>2</v>
      </c>
      <c r="T65" s="256"/>
      <c r="U65" s="256"/>
      <c r="V65" s="256"/>
      <c r="W65" s="256" t="s">
        <v>1555</v>
      </c>
      <c r="X65" s="259">
        <v>46111.615277777775</v>
      </c>
      <c r="Y65" s="256" t="s">
        <v>1634</v>
      </c>
      <c r="Z65" s="256" t="s">
        <v>1629</v>
      </c>
      <c r="AA65" s="256" t="s">
        <v>1492</v>
      </c>
      <c r="AB65" s="256"/>
      <c r="AC65" s="256"/>
      <c r="AD65" s="256" t="s">
        <v>1624</v>
      </c>
      <c r="AE65" s="256" t="s">
        <v>262</v>
      </c>
    </row>
    <row r="66" spans="1:31">
      <c r="A66" s="256" t="s">
        <v>1623</v>
      </c>
      <c r="B66" s="256" t="s">
        <v>1471</v>
      </c>
      <c r="C66" s="256" t="s">
        <v>1472</v>
      </c>
      <c r="D66" s="256" t="s">
        <v>1624</v>
      </c>
      <c r="E66" s="256">
        <v>4447848</v>
      </c>
      <c r="F66" s="256">
        <v>4448855</v>
      </c>
      <c r="G66" s="256" t="s">
        <v>517</v>
      </c>
      <c r="H66" s="256" t="s">
        <v>242</v>
      </c>
      <c r="I66" s="256" t="s">
        <v>1626</v>
      </c>
      <c r="J66" s="256" t="s">
        <v>1477</v>
      </c>
      <c r="K66" s="259">
        <v>46137.104166666664</v>
      </c>
      <c r="L66" s="256"/>
      <c r="M66" s="259">
        <v>46136.229166666664</v>
      </c>
      <c r="N66" s="256"/>
      <c r="O66" s="256" t="s">
        <v>1630</v>
      </c>
      <c r="P66" s="259">
        <v>46151.229166666664</v>
      </c>
      <c r="Q66" s="256">
        <v>4</v>
      </c>
      <c r="R66" s="256"/>
      <c r="S66" s="256">
        <v>2</v>
      </c>
      <c r="T66" s="256"/>
      <c r="U66" s="256"/>
      <c r="V66" s="256"/>
      <c r="W66" s="256" t="s">
        <v>1555</v>
      </c>
      <c r="X66" s="259">
        <v>46111.694444444445</v>
      </c>
      <c r="Y66" s="256" t="s">
        <v>1628</v>
      </c>
      <c r="Z66" s="256" t="s">
        <v>1629</v>
      </c>
      <c r="AA66" s="256" t="s">
        <v>1492</v>
      </c>
      <c r="AB66" s="256"/>
      <c r="AC66" s="256"/>
      <c r="AD66" s="256" t="s">
        <v>1624</v>
      </c>
      <c r="AE66" s="256" t="s">
        <v>262</v>
      </c>
    </row>
    <row r="67" spans="1:31">
      <c r="A67" s="256" t="s">
        <v>1623</v>
      </c>
      <c r="B67" s="256" t="s">
        <v>1471</v>
      </c>
      <c r="C67" s="256" t="s">
        <v>1472</v>
      </c>
      <c r="D67" s="256" t="s">
        <v>1624</v>
      </c>
      <c r="E67" s="256">
        <v>4447848</v>
      </c>
      <c r="F67" s="256">
        <v>4448856</v>
      </c>
      <c r="G67" s="256" t="s">
        <v>518</v>
      </c>
      <c r="H67" s="256" t="s">
        <v>242</v>
      </c>
      <c r="I67" s="256" t="s">
        <v>1626</v>
      </c>
      <c r="J67" s="256" t="s">
        <v>1477</v>
      </c>
      <c r="K67" s="259">
        <v>46137.104166666664</v>
      </c>
      <c r="L67" s="256"/>
      <c r="M67" s="259">
        <v>46136.229166666664</v>
      </c>
      <c r="N67" s="256"/>
      <c r="O67" s="256" t="s">
        <v>1630</v>
      </c>
      <c r="P67" s="259">
        <v>46151.229166666664</v>
      </c>
      <c r="Q67" s="256">
        <v>4</v>
      </c>
      <c r="R67" s="256"/>
      <c r="S67" s="256">
        <v>2</v>
      </c>
      <c r="T67" s="256"/>
      <c r="U67" s="256"/>
      <c r="V67" s="256"/>
      <c r="W67" s="256" t="s">
        <v>1555</v>
      </c>
      <c r="X67" s="259">
        <v>46111.694444444445</v>
      </c>
      <c r="Y67" s="256" t="s">
        <v>1628</v>
      </c>
      <c r="Z67" s="256" t="s">
        <v>1629</v>
      </c>
      <c r="AA67" s="256" t="s">
        <v>1492</v>
      </c>
      <c r="AB67" s="256"/>
      <c r="AC67" s="256"/>
      <c r="AD67" s="256" t="s">
        <v>1624</v>
      </c>
      <c r="AE67" s="256" t="s">
        <v>262</v>
      </c>
    </row>
    <row r="68" spans="1:31">
      <c r="A68" s="256" t="s">
        <v>324</v>
      </c>
      <c r="B68" s="256" t="s">
        <v>1486</v>
      </c>
      <c r="C68" s="256" t="s">
        <v>1472</v>
      </c>
      <c r="D68" s="256" t="s">
        <v>191</v>
      </c>
      <c r="E68" s="256">
        <v>4446526</v>
      </c>
      <c r="F68" s="256">
        <v>4456104</v>
      </c>
      <c r="G68" s="256" t="s">
        <v>521</v>
      </c>
      <c r="H68" s="256" t="s">
        <v>242</v>
      </c>
      <c r="I68" s="256" t="s">
        <v>261</v>
      </c>
      <c r="J68" s="256" t="s">
        <v>1477</v>
      </c>
      <c r="K68" s="259">
        <v>46135.145833333336</v>
      </c>
      <c r="L68" s="256"/>
      <c r="M68" s="259">
        <v>46136.229166666664</v>
      </c>
      <c r="N68" s="256"/>
      <c r="O68" s="256" t="s">
        <v>1563</v>
      </c>
      <c r="P68" s="259">
        <v>46151.229166666664</v>
      </c>
      <c r="Q68" s="256">
        <v>2</v>
      </c>
      <c r="R68" s="256"/>
      <c r="S68" s="256">
        <v>2</v>
      </c>
      <c r="T68" s="256"/>
      <c r="U68" s="256"/>
      <c r="V68" s="256"/>
      <c r="W68" s="256" t="s">
        <v>1555</v>
      </c>
      <c r="X68" s="259">
        <v>46112.819444444445</v>
      </c>
      <c r="Y68" s="256" t="s">
        <v>1635</v>
      </c>
      <c r="Z68" s="256" t="s">
        <v>1542</v>
      </c>
      <c r="AA68" s="256" t="s">
        <v>1565</v>
      </c>
      <c r="AB68" s="256"/>
      <c r="AC68" s="256"/>
      <c r="AD68" s="256" t="s">
        <v>191</v>
      </c>
      <c r="AE68" s="256" t="s">
        <v>262</v>
      </c>
    </row>
    <row r="69" spans="1:31">
      <c r="A69" s="256" t="s">
        <v>1623</v>
      </c>
      <c r="B69" s="256" t="s">
        <v>1471</v>
      </c>
      <c r="C69" s="256" t="s">
        <v>1472</v>
      </c>
      <c r="D69" s="256" t="s">
        <v>1624</v>
      </c>
      <c r="E69" s="256">
        <v>4447848</v>
      </c>
      <c r="F69" s="256">
        <v>4449975</v>
      </c>
      <c r="G69" s="256" t="s">
        <v>515</v>
      </c>
      <c r="H69" s="256" t="s">
        <v>242</v>
      </c>
      <c r="I69" s="256" t="s">
        <v>1626</v>
      </c>
      <c r="J69" s="256" t="s">
        <v>1477</v>
      </c>
      <c r="K69" s="259">
        <v>46137.104166666664</v>
      </c>
      <c r="L69" s="256"/>
      <c r="M69" s="259">
        <v>46136.229166666664</v>
      </c>
      <c r="N69" s="256"/>
      <c r="O69" s="256" t="s">
        <v>1630</v>
      </c>
      <c r="P69" s="259">
        <v>46151.229166666664</v>
      </c>
      <c r="Q69" s="256">
        <v>4</v>
      </c>
      <c r="R69" s="256"/>
      <c r="S69" s="256">
        <v>2</v>
      </c>
      <c r="T69" s="256"/>
      <c r="U69" s="256"/>
      <c r="V69" s="256"/>
      <c r="W69" s="256" t="s">
        <v>1555</v>
      </c>
      <c r="X69" s="259">
        <v>46111.824999999997</v>
      </c>
      <c r="Y69" s="256" t="s">
        <v>1628</v>
      </c>
      <c r="Z69" s="256" t="s">
        <v>1629</v>
      </c>
      <c r="AA69" s="256" t="s">
        <v>1492</v>
      </c>
      <c r="AB69" s="256"/>
      <c r="AC69" s="256"/>
      <c r="AD69" s="256" t="s">
        <v>1624</v>
      </c>
      <c r="AE69" s="256" t="s">
        <v>262</v>
      </c>
    </row>
    <row r="70" spans="1:31">
      <c r="A70" s="256" t="s">
        <v>1623</v>
      </c>
      <c r="B70" s="256" t="s">
        <v>1471</v>
      </c>
      <c r="C70" s="256" t="s">
        <v>1472</v>
      </c>
      <c r="D70" s="256" t="s">
        <v>1624</v>
      </c>
      <c r="E70" s="256">
        <v>4447848</v>
      </c>
      <c r="F70" s="256">
        <v>4451718</v>
      </c>
      <c r="G70" s="256" t="s">
        <v>526</v>
      </c>
      <c r="H70" s="256" t="s">
        <v>242</v>
      </c>
      <c r="I70" s="256" t="s">
        <v>1626</v>
      </c>
      <c r="J70" s="256" t="s">
        <v>1477</v>
      </c>
      <c r="K70" s="259">
        <v>46137.104166666664</v>
      </c>
      <c r="L70" s="256"/>
      <c r="M70" s="259">
        <v>46136.229166666664</v>
      </c>
      <c r="N70" s="256"/>
      <c r="O70" s="256" t="s">
        <v>1627</v>
      </c>
      <c r="P70" s="259">
        <v>46151.229166666664</v>
      </c>
      <c r="Q70" s="256">
        <v>4</v>
      </c>
      <c r="R70" s="256"/>
      <c r="S70" s="256">
        <v>2</v>
      </c>
      <c r="T70" s="256"/>
      <c r="U70" s="256"/>
      <c r="V70" s="256"/>
      <c r="W70" s="256" t="s">
        <v>1555</v>
      </c>
      <c r="X70" s="259">
        <v>46112.602777777778</v>
      </c>
      <c r="Y70" s="256" t="s">
        <v>1636</v>
      </c>
      <c r="Z70" s="256" t="s">
        <v>1629</v>
      </c>
      <c r="AA70" s="256" t="s">
        <v>1492</v>
      </c>
      <c r="AB70" s="256"/>
      <c r="AC70" s="256"/>
      <c r="AD70" s="256" t="s">
        <v>1624</v>
      </c>
      <c r="AE70" s="256" t="s">
        <v>262</v>
      </c>
    </row>
    <row r="71" spans="1:31">
      <c r="A71" s="256" t="s">
        <v>403</v>
      </c>
      <c r="B71" s="256" t="s">
        <v>1486</v>
      </c>
      <c r="C71" s="256" t="s">
        <v>235</v>
      </c>
      <c r="D71" s="256" t="s">
        <v>235</v>
      </c>
      <c r="E71" s="256">
        <v>4459051</v>
      </c>
      <c r="F71" s="256">
        <v>4450399</v>
      </c>
      <c r="G71" s="256" t="s">
        <v>558</v>
      </c>
      <c r="H71" s="256" t="s">
        <v>288</v>
      </c>
      <c r="I71" s="256" t="s">
        <v>1570</v>
      </c>
      <c r="J71" s="256" t="s">
        <v>1606</v>
      </c>
      <c r="K71" s="259">
        <v>46135.104166666664</v>
      </c>
      <c r="L71" s="256"/>
      <c r="M71" s="259">
        <v>46140.229166666664</v>
      </c>
      <c r="N71" s="256"/>
      <c r="O71" s="256" t="s">
        <v>1637</v>
      </c>
      <c r="P71" s="259">
        <v>46151.229166666664</v>
      </c>
      <c r="Q71" s="256">
        <v>4</v>
      </c>
      <c r="R71" s="256"/>
      <c r="S71" s="256">
        <v>2</v>
      </c>
      <c r="T71" s="256"/>
      <c r="U71" s="256"/>
      <c r="V71" s="256"/>
      <c r="W71" s="256" t="s">
        <v>1608</v>
      </c>
      <c r="X71" s="259">
        <v>46112.314583333333</v>
      </c>
      <c r="Y71" s="256" t="s">
        <v>1638</v>
      </c>
      <c r="Z71" s="256" t="s">
        <v>1572</v>
      </c>
      <c r="AA71" s="256" t="s">
        <v>1639</v>
      </c>
      <c r="AB71" s="256"/>
      <c r="AC71" s="256"/>
      <c r="AD71" s="256" t="s">
        <v>1581</v>
      </c>
      <c r="AE71" s="256" t="s">
        <v>262</v>
      </c>
    </row>
    <row r="72" spans="1:31">
      <c r="A72" s="256" t="s">
        <v>1583</v>
      </c>
      <c r="B72" s="256" t="s">
        <v>1471</v>
      </c>
      <c r="C72" s="256" t="s">
        <v>1472</v>
      </c>
      <c r="D72" s="256" t="s">
        <v>1584</v>
      </c>
      <c r="E72" s="256">
        <v>4441867</v>
      </c>
      <c r="F72" s="256">
        <v>4450923</v>
      </c>
      <c r="G72" s="256" t="s">
        <v>1640</v>
      </c>
      <c r="H72" s="256" t="s">
        <v>288</v>
      </c>
      <c r="I72" s="256" t="s">
        <v>1557</v>
      </c>
      <c r="J72" s="256" t="s">
        <v>1477</v>
      </c>
      <c r="K72" s="259">
        <v>46134.104166666664</v>
      </c>
      <c r="L72" s="256"/>
      <c r="M72" s="259">
        <v>46136.229166666664</v>
      </c>
      <c r="N72" s="256"/>
      <c r="O72" s="256" t="s">
        <v>1641</v>
      </c>
      <c r="P72" s="259">
        <v>46151.229166666664</v>
      </c>
      <c r="Q72" s="256">
        <v>6</v>
      </c>
      <c r="R72" s="256"/>
      <c r="S72" s="256">
        <v>1</v>
      </c>
      <c r="T72" s="256"/>
      <c r="U72" s="256"/>
      <c r="V72" s="256"/>
      <c r="W72" s="256" t="s">
        <v>1555</v>
      </c>
      <c r="X72" s="259">
        <v>46112.476388888892</v>
      </c>
      <c r="Y72" s="256" t="s">
        <v>1642</v>
      </c>
      <c r="Z72" s="256" t="s">
        <v>1561</v>
      </c>
      <c r="AA72" s="256" t="s">
        <v>1565</v>
      </c>
      <c r="AB72" s="256"/>
      <c r="AC72" s="256"/>
      <c r="AD72" s="256" t="s">
        <v>1584</v>
      </c>
      <c r="AE72" s="256" t="s">
        <v>262</v>
      </c>
    </row>
    <row r="73" spans="1:31">
      <c r="A73" s="256" t="s">
        <v>1583</v>
      </c>
      <c r="B73" s="256" t="s">
        <v>1471</v>
      </c>
      <c r="C73" s="256" t="s">
        <v>1472</v>
      </c>
      <c r="D73" s="256" t="s">
        <v>1584</v>
      </c>
      <c r="E73" s="256">
        <v>4441867</v>
      </c>
      <c r="F73" s="256">
        <v>4450935</v>
      </c>
      <c r="G73" s="256" t="s">
        <v>1643</v>
      </c>
      <c r="H73" s="256" t="s">
        <v>288</v>
      </c>
      <c r="I73" s="256" t="s">
        <v>1557</v>
      </c>
      <c r="J73" s="256" t="s">
        <v>1477</v>
      </c>
      <c r="K73" s="259">
        <v>46134.104166666664</v>
      </c>
      <c r="L73" s="256"/>
      <c r="M73" s="259">
        <v>46136.229166666664</v>
      </c>
      <c r="N73" s="256"/>
      <c r="O73" s="256" t="s">
        <v>1644</v>
      </c>
      <c r="P73" s="259">
        <v>46151.229166666664</v>
      </c>
      <c r="Q73" s="256">
        <v>6</v>
      </c>
      <c r="R73" s="256"/>
      <c r="S73" s="256">
        <v>1</v>
      </c>
      <c r="T73" s="256"/>
      <c r="U73" s="256"/>
      <c r="V73" s="256"/>
      <c r="W73" s="256" t="s">
        <v>1555</v>
      </c>
      <c r="X73" s="259">
        <v>46112.482638888891</v>
      </c>
      <c r="Y73" s="256" t="s">
        <v>1642</v>
      </c>
      <c r="Z73" s="256" t="s">
        <v>1561</v>
      </c>
      <c r="AA73" s="256" t="s">
        <v>1565</v>
      </c>
      <c r="AB73" s="256"/>
      <c r="AC73" s="256"/>
      <c r="AD73" s="256" t="s">
        <v>1584</v>
      </c>
      <c r="AE73" s="256" t="s">
        <v>262</v>
      </c>
    </row>
    <row r="74" spans="1:31">
      <c r="A74" s="256" t="s">
        <v>1583</v>
      </c>
      <c r="B74" s="256" t="s">
        <v>1471</v>
      </c>
      <c r="C74" s="256" t="s">
        <v>1472</v>
      </c>
      <c r="D74" s="256" t="s">
        <v>1584</v>
      </c>
      <c r="E74" s="256">
        <v>4441867</v>
      </c>
      <c r="F74" s="256">
        <v>4450948</v>
      </c>
      <c r="G74" s="256" t="s">
        <v>1645</v>
      </c>
      <c r="H74" s="256" t="s">
        <v>305</v>
      </c>
      <c r="I74" s="256" t="s">
        <v>1557</v>
      </c>
      <c r="J74" s="256" t="s">
        <v>1477</v>
      </c>
      <c r="K74" s="259">
        <v>46127.104166666664</v>
      </c>
      <c r="L74" s="259">
        <v>46126.729166666664</v>
      </c>
      <c r="M74" s="259">
        <v>46129.229166666664</v>
      </c>
      <c r="N74" s="256"/>
      <c r="O74" s="256" t="s">
        <v>1585</v>
      </c>
      <c r="P74" s="259">
        <v>46151.229166666664</v>
      </c>
      <c r="Q74" s="256">
        <v>3</v>
      </c>
      <c r="R74" s="256"/>
      <c r="S74" s="256">
        <v>1</v>
      </c>
      <c r="T74" s="256"/>
      <c r="U74" s="256" t="s">
        <v>1</v>
      </c>
      <c r="V74" s="256" t="s">
        <v>1</v>
      </c>
      <c r="W74" s="256" t="s">
        <v>1555</v>
      </c>
      <c r="X74" s="259">
        <v>46112.487500000003</v>
      </c>
      <c r="Y74" s="256" t="s">
        <v>1642</v>
      </c>
      <c r="Z74" s="256" t="s">
        <v>1561</v>
      </c>
      <c r="AA74" s="256" t="s">
        <v>1565</v>
      </c>
      <c r="AB74" s="256"/>
      <c r="AC74" s="256"/>
      <c r="AD74" s="256" t="s">
        <v>1584</v>
      </c>
      <c r="AE74" s="256" t="s">
        <v>262</v>
      </c>
    </row>
    <row r="75" spans="1:31">
      <c r="A75" s="256" t="s">
        <v>1583</v>
      </c>
      <c r="B75" s="256" t="s">
        <v>1471</v>
      </c>
      <c r="C75" s="256" t="s">
        <v>1472</v>
      </c>
      <c r="D75" s="256" t="s">
        <v>1584</v>
      </c>
      <c r="E75" s="256">
        <v>4441867</v>
      </c>
      <c r="F75" s="256">
        <v>4450949</v>
      </c>
      <c r="G75" s="256" t="s">
        <v>1646</v>
      </c>
      <c r="H75" s="256" t="s">
        <v>305</v>
      </c>
      <c r="I75" s="256" t="s">
        <v>1557</v>
      </c>
      <c r="J75" s="256" t="s">
        <v>1477</v>
      </c>
      <c r="K75" s="259">
        <v>46127.104166666664</v>
      </c>
      <c r="L75" s="259">
        <v>46126.680555555555</v>
      </c>
      <c r="M75" s="259">
        <v>46129.229166666664</v>
      </c>
      <c r="N75" s="256"/>
      <c r="O75" s="256" t="s">
        <v>1597</v>
      </c>
      <c r="P75" s="259">
        <v>46151.229166666664</v>
      </c>
      <c r="Q75" s="256">
        <v>3</v>
      </c>
      <c r="R75" s="256"/>
      <c r="S75" s="256">
        <v>1</v>
      </c>
      <c r="T75" s="256"/>
      <c r="U75" s="256" t="s">
        <v>1</v>
      </c>
      <c r="V75" s="256" t="s">
        <v>1</v>
      </c>
      <c r="W75" s="256" t="s">
        <v>1555</v>
      </c>
      <c r="X75" s="259">
        <v>46112.488194444442</v>
      </c>
      <c r="Y75" s="256" t="s">
        <v>1642</v>
      </c>
      <c r="Z75" s="256" t="s">
        <v>1561</v>
      </c>
      <c r="AA75" s="256" t="s">
        <v>1565</v>
      </c>
      <c r="AB75" s="256"/>
      <c r="AC75" s="256"/>
      <c r="AD75" s="256" t="s">
        <v>1584</v>
      </c>
      <c r="AE75" s="256" t="s">
        <v>262</v>
      </c>
    </row>
    <row r="76" spans="1:31">
      <c r="A76" s="256" t="s">
        <v>1623</v>
      </c>
      <c r="B76" s="256" t="s">
        <v>1471</v>
      </c>
      <c r="C76" s="256" t="s">
        <v>1472</v>
      </c>
      <c r="D76" s="256" t="s">
        <v>1624</v>
      </c>
      <c r="E76" s="256">
        <v>4447848</v>
      </c>
      <c r="F76" s="256">
        <v>4450161</v>
      </c>
      <c r="G76" s="256" t="s">
        <v>522</v>
      </c>
      <c r="H76" s="256" t="s">
        <v>242</v>
      </c>
      <c r="I76" s="256" t="s">
        <v>1626</v>
      </c>
      <c r="J76" s="256" t="s">
        <v>1477</v>
      </c>
      <c r="K76" s="259">
        <v>46137.104166666664</v>
      </c>
      <c r="L76" s="256"/>
      <c r="M76" s="259">
        <v>46136.229166666664</v>
      </c>
      <c r="N76" s="256"/>
      <c r="O76" s="256" t="s">
        <v>1627</v>
      </c>
      <c r="P76" s="259">
        <v>46151.229166666664</v>
      </c>
      <c r="Q76" s="256">
        <v>4</v>
      </c>
      <c r="R76" s="256"/>
      <c r="S76" s="256">
        <v>2</v>
      </c>
      <c r="T76" s="256"/>
      <c r="U76" s="256"/>
      <c r="V76" s="256"/>
      <c r="W76" s="256" t="s">
        <v>1555</v>
      </c>
      <c r="X76" s="259">
        <v>46111.886805555558</v>
      </c>
      <c r="Y76" s="256" t="s">
        <v>1628</v>
      </c>
      <c r="Z76" s="256" t="s">
        <v>1629</v>
      </c>
      <c r="AA76" s="256" t="s">
        <v>1492</v>
      </c>
      <c r="AB76" s="256"/>
      <c r="AC76" s="256"/>
      <c r="AD76" s="256" t="s">
        <v>1624</v>
      </c>
      <c r="AE76" s="256" t="s">
        <v>262</v>
      </c>
    </row>
    <row r="77" spans="1:31">
      <c r="A77" s="256" t="s">
        <v>1623</v>
      </c>
      <c r="B77" s="256" t="s">
        <v>1471</v>
      </c>
      <c r="C77" s="256" t="s">
        <v>1472</v>
      </c>
      <c r="D77" s="256" t="s">
        <v>1624</v>
      </c>
      <c r="E77" s="256">
        <v>4447848</v>
      </c>
      <c r="F77" s="256">
        <v>4450197</v>
      </c>
      <c r="G77" s="256" t="s">
        <v>523</v>
      </c>
      <c r="H77" s="256" t="s">
        <v>242</v>
      </c>
      <c r="I77" s="256" t="s">
        <v>1626</v>
      </c>
      <c r="J77" s="256" t="s">
        <v>1477</v>
      </c>
      <c r="K77" s="259">
        <v>46137.104166666664</v>
      </c>
      <c r="L77" s="256"/>
      <c r="M77" s="259">
        <v>46136.229166666664</v>
      </c>
      <c r="N77" s="256"/>
      <c r="O77" s="256" t="s">
        <v>1633</v>
      </c>
      <c r="P77" s="259">
        <v>46151.229166666664</v>
      </c>
      <c r="Q77" s="256">
        <v>6</v>
      </c>
      <c r="R77" s="256"/>
      <c r="S77" s="256">
        <v>2</v>
      </c>
      <c r="T77" s="256"/>
      <c r="U77" s="256"/>
      <c r="V77" s="256"/>
      <c r="W77" s="256" t="s">
        <v>1555</v>
      </c>
      <c r="X77" s="259">
        <v>46111.900694444441</v>
      </c>
      <c r="Y77" s="256" t="s">
        <v>1628</v>
      </c>
      <c r="Z77" s="256" t="s">
        <v>1629</v>
      </c>
      <c r="AA77" s="256" t="s">
        <v>1565</v>
      </c>
      <c r="AB77" s="256"/>
      <c r="AC77" s="256"/>
      <c r="AD77" s="256" t="s">
        <v>1624</v>
      </c>
      <c r="AE77" s="256" t="s">
        <v>262</v>
      </c>
    </row>
    <row r="78" spans="1:31">
      <c r="A78" s="256" t="s">
        <v>1523</v>
      </c>
      <c r="B78" s="256" t="s">
        <v>1471</v>
      </c>
      <c r="C78" s="256" t="s">
        <v>1472</v>
      </c>
      <c r="D78" s="256" t="s">
        <v>1473</v>
      </c>
      <c r="E78" s="256">
        <v>4443471</v>
      </c>
      <c r="F78" s="256">
        <v>4450213</v>
      </c>
      <c r="G78" s="256" t="s">
        <v>531</v>
      </c>
      <c r="H78" s="256" t="s">
        <v>305</v>
      </c>
      <c r="I78" s="256" t="s">
        <v>1626</v>
      </c>
      <c r="J78" s="256" t="s">
        <v>1477</v>
      </c>
      <c r="K78" s="259">
        <v>46129.229166666664</v>
      </c>
      <c r="L78" s="259">
        <v>46128.707638888889</v>
      </c>
      <c r="M78" s="259">
        <v>46134.229166666664</v>
      </c>
      <c r="N78" s="256"/>
      <c r="O78" s="256" t="s">
        <v>1585</v>
      </c>
      <c r="P78" s="259">
        <v>46151.229166666664</v>
      </c>
      <c r="Q78" s="256">
        <v>1.75</v>
      </c>
      <c r="R78" s="256"/>
      <c r="S78" s="256">
        <v>1</v>
      </c>
      <c r="T78" s="256"/>
      <c r="U78" s="256" t="s">
        <v>1</v>
      </c>
      <c r="V78" s="256" t="s">
        <v>1</v>
      </c>
      <c r="W78" s="256" t="s">
        <v>1479</v>
      </c>
      <c r="X78" s="259">
        <v>46111.906944444447</v>
      </c>
      <c r="Y78" s="256" t="s">
        <v>1647</v>
      </c>
      <c r="Z78" s="256" t="s">
        <v>1629</v>
      </c>
      <c r="AA78" s="256" t="s">
        <v>1482</v>
      </c>
      <c r="AB78" s="256"/>
      <c r="AC78" s="256"/>
      <c r="AD78" s="256" t="s">
        <v>1483</v>
      </c>
      <c r="AE78" s="256" t="s">
        <v>262</v>
      </c>
    </row>
    <row r="79" spans="1:31">
      <c r="A79" s="256" t="s">
        <v>1623</v>
      </c>
      <c r="B79" s="256" t="s">
        <v>1471</v>
      </c>
      <c r="C79" s="256" t="s">
        <v>1472</v>
      </c>
      <c r="D79" s="256" t="s">
        <v>1624</v>
      </c>
      <c r="E79" s="256">
        <v>4447848</v>
      </c>
      <c r="F79" s="256">
        <v>4450214</v>
      </c>
      <c r="G79" s="256" t="s">
        <v>525</v>
      </c>
      <c r="H79" s="256" t="s">
        <v>242</v>
      </c>
      <c r="I79" s="256" t="s">
        <v>1626</v>
      </c>
      <c r="J79" s="256" t="s">
        <v>1477</v>
      </c>
      <c r="K79" s="259">
        <v>46137.104166666664</v>
      </c>
      <c r="L79" s="256"/>
      <c r="M79" s="259">
        <v>46136.229166666664</v>
      </c>
      <c r="N79" s="256"/>
      <c r="O79" s="256" t="s">
        <v>1627</v>
      </c>
      <c r="P79" s="259">
        <v>46151.229166666664</v>
      </c>
      <c r="Q79" s="256">
        <v>4</v>
      </c>
      <c r="R79" s="256"/>
      <c r="S79" s="256">
        <v>2</v>
      </c>
      <c r="T79" s="256"/>
      <c r="U79" s="256"/>
      <c r="V79" s="256"/>
      <c r="W79" s="256" t="s">
        <v>1555</v>
      </c>
      <c r="X79" s="259">
        <v>46111.907638888886</v>
      </c>
      <c r="Y79" s="256" t="s">
        <v>1628</v>
      </c>
      <c r="Z79" s="256" t="s">
        <v>1629</v>
      </c>
      <c r="AA79" s="256" t="s">
        <v>1492</v>
      </c>
      <c r="AB79" s="256"/>
      <c r="AC79" s="256"/>
      <c r="AD79" s="256" t="s">
        <v>1624</v>
      </c>
      <c r="AE79" s="256" t="s">
        <v>262</v>
      </c>
    </row>
    <row r="80" spans="1:31">
      <c r="A80" s="256" t="s">
        <v>1623</v>
      </c>
      <c r="B80" s="256" t="s">
        <v>1471</v>
      </c>
      <c r="C80" s="256" t="s">
        <v>1472</v>
      </c>
      <c r="D80" s="256" t="s">
        <v>1624</v>
      </c>
      <c r="E80" s="256">
        <v>4447848</v>
      </c>
      <c r="F80" s="256">
        <v>4467824</v>
      </c>
      <c r="G80" s="256" t="s">
        <v>473</v>
      </c>
      <c r="H80" s="256" t="s">
        <v>242</v>
      </c>
      <c r="I80" s="256" t="s">
        <v>1570</v>
      </c>
      <c r="J80" s="256" t="s">
        <v>1477</v>
      </c>
      <c r="K80" s="259">
        <v>46133.229166666664</v>
      </c>
      <c r="L80" s="256"/>
      <c r="M80" s="259">
        <v>46136.229166666664</v>
      </c>
      <c r="N80" s="256"/>
      <c r="O80" s="256" t="s">
        <v>1648</v>
      </c>
      <c r="P80" s="259">
        <v>46151.229166666664</v>
      </c>
      <c r="Q80" s="256">
        <v>4</v>
      </c>
      <c r="R80" s="256"/>
      <c r="S80" s="256">
        <v>2</v>
      </c>
      <c r="T80" s="256"/>
      <c r="U80" s="256"/>
      <c r="V80" s="256"/>
      <c r="W80" s="256" t="s">
        <v>1555</v>
      </c>
      <c r="X80" s="259">
        <v>46119.84652777778</v>
      </c>
      <c r="Y80" s="256" t="s">
        <v>1649</v>
      </c>
      <c r="Z80" s="256" t="s">
        <v>1572</v>
      </c>
      <c r="AA80" s="256" t="s">
        <v>1492</v>
      </c>
      <c r="AB80" s="256"/>
      <c r="AC80" s="256"/>
      <c r="AD80" s="256" t="s">
        <v>1624</v>
      </c>
      <c r="AE80" s="256" t="s">
        <v>262</v>
      </c>
    </row>
    <row r="81" spans="1:31">
      <c r="A81" s="256">
        <v>0</v>
      </c>
      <c r="B81" s="256"/>
      <c r="C81" s="256"/>
      <c r="D81" s="256" t="s">
        <v>1650</v>
      </c>
      <c r="E81" s="256"/>
      <c r="F81" s="256">
        <v>4475329</v>
      </c>
      <c r="G81" s="256" t="s">
        <v>978</v>
      </c>
      <c r="H81" s="256" t="s">
        <v>198</v>
      </c>
      <c r="I81" s="256" t="s">
        <v>261</v>
      </c>
      <c r="J81" s="256" t="s">
        <v>1488</v>
      </c>
      <c r="K81" s="259">
        <v>46136.104166666664</v>
      </c>
      <c r="L81" s="256"/>
      <c r="M81" s="259">
        <v>46140.0625</v>
      </c>
      <c r="N81" s="256"/>
      <c r="O81" s="256" t="s">
        <v>1651</v>
      </c>
      <c r="P81" s="259">
        <v>46151.229166666664</v>
      </c>
      <c r="Q81" s="256">
        <v>1</v>
      </c>
      <c r="R81" s="256"/>
      <c r="S81" s="256">
        <v>2</v>
      </c>
      <c r="T81" s="256"/>
      <c r="U81" s="256"/>
      <c r="V81" s="256"/>
      <c r="W81" s="256" t="s">
        <v>1652</v>
      </c>
      <c r="X81" s="259">
        <v>46125.751388888886</v>
      </c>
      <c r="Y81" s="256" t="s">
        <v>1653</v>
      </c>
      <c r="Z81" s="256" t="s">
        <v>1542</v>
      </c>
      <c r="AA81" s="256" t="s">
        <v>1654</v>
      </c>
      <c r="AB81" s="256"/>
      <c r="AC81" s="256"/>
      <c r="AD81" s="256" t="s">
        <v>1655</v>
      </c>
      <c r="AE81" s="256" t="s">
        <v>262</v>
      </c>
    </row>
    <row r="82" spans="1:31">
      <c r="A82" s="256" t="s">
        <v>1604</v>
      </c>
      <c r="B82" s="256" t="s">
        <v>1486</v>
      </c>
      <c r="C82" s="256" t="s">
        <v>235</v>
      </c>
      <c r="D82" s="256" t="s">
        <v>235</v>
      </c>
      <c r="E82" s="256">
        <v>4349307</v>
      </c>
      <c r="F82" s="256">
        <v>4432443</v>
      </c>
      <c r="G82" s="256" t="s">
        <v>1656</v>
      </c>
      <c r="H82" s="256" t="s">
        <v>288</v>
      </c>
      <c r="I82" s="256" t="s">
        <v>1570</v>
      </c>
      <c r="J82" s="256" t="s">
        <v>1606</v>
      </c>
      <c r="K82" s="259">
        <v>46135.104166666664</v>
      </c>
      <c r="L82" s="256"/>
      <c r="M82" s="259">
        <v>46141.0625</v>
      </c>
      <c r="N82" s="256"/>
      <c r="O82" s="256" t="s">
        <v>1622</v>
      </c>
      <c r="P82" s="259">
        <v>46151.229166666664</v>
      </c>
      <c r="Q82" s="256">
        <v>6</v>
      </c>
      <c r="R82" s="256"/>
      <c r="S82" s="256">
        <v>2</v>
      </c>
      <c r="T82" s="256"/>
      <c r="U82" s="256"/>
      <c r="V82" s="256"/>
      <c r="W82" s="256" t="s">
        <v>1608</v>
      </c>
      <c r="X82" s="259">
        <v>46098.773611111108</v>
      </c>
      <c r="Y82" s="256" t="s">
        <v>1609</v>
      </c>
      <c r="Z82" s="256" t="s">
        <v>1572</v>
      </c>
      <c r="AA82" s="256" t="s">
        <v>1610</v>
      </c>
      <c r="AB82" s="256"/>
      <c r="AC82" s="256"/>
      <c r="AD82" s="256" t="s">
        <v>1611</v>
      </c>
      <c r="AE82" s="256" t="s">
        <v>262</v>
      </c>
    </row>
    <row r="83" spans="1:31">
      <c r="A83" s="256" t="s">
        <v>1657</v>
      </c>
      <c r="B83" s="256" t="s">
        <v>1471</v>
      </c>
      <c r="C83" s="256" t="s">
        <v>1472</v>
      </c>
      <c r="D83" s="256" t="s">
        <v>1584</v>
      </c>
      <c r="E83" s="256">
        <v>4425959</v>
      </c>
      <c r="F83" s="256">
        <v>4425965</v>
      </c>
      <c r="G83" s="256" t="s">
        <v>489</v>
      </c>
      <c r="H83" s="256" t="s">
        <v>1475</v>
      </c>
      <c r="I83" s="256" t="s">
        <v>1557</v>
      </c>
      <c r="J83" s="256" t="s">
        <v>1477</v>
      </c>
      <c r="K83" s="259">
        <v>46120.104166666664</v>
      </c>
      <c r="L83" s="259">
        <v>46118.229166666664</v>
      </c>
      <c r="M83" s="259">
        <v>46122.229166666664</v>
      </c>
      <c r="N83" s="256"/>
      <c r="O83" s="256" t="s">
        <v>1585</v>
      </c>
      <c r="P83" s="259">
        <v>46151.229166666664</v>
      </c>
      <c r="Q83" s="256">
        <v>4</v>
      </c>
      <c r="R83" s="256"/>
      <c r="S83" s="256">
        <v>1</v>
      </c>
      <c r="T83" s="256"/>
      <c r="U83" s="256" t="s">
        <v>1</v>
      </c>
      <c r="V83" s="256" t="s">
        <v>1</v>
      </c>
      <c r="W83" s="256" t="s">
        <v>1555</v>
      </c>
      <c r="X83" s="259">
        <v>46094.795138888891</v>
      </c>
      <c r="Y83" s="256" t="s">
        <v>1658</v>
      </c>
      <c r="Z83" s="256" t="s">
        <v>1561</v>
      </c>
      <c r="AA83" s="256" t="s">
        <v>1565</v>
      </c>
      <c r="AB83" s="256"/>
      <c r="AC83" s="256"/>
      <c r="AD83" s="256" t="s">
        <v>1584</v>
      </c>
      <c r="AE83" s="256" t="s">
        <v>262</v>
      </c>
    </row>
    <row r="84" spans="1:31">
      <c r="A84" s="256" t="s">
        <v>1657</v>
      </c>
      <c r="B84" s="256" t="s">
        <v>1471</v>
      </c>
      <c r="C84" s="256" t="s">
        <v>1472</v>
      </c>
      <c r="D84" s="256" t="s">
        <v>1584</v>
      </c>
      <c r="E84" s="256">
        <v>4425959</v>
      </c>
      <c r="F84" s="256">
        <v>4425971</v>
      </c>
      <c r="G84" s="256" t="s">
        <v>490</v>
      </c>
      <c r="H84" s="256" t="s">
        <v>1475</v>
      </c>
      <c r="I84" s="256" t="s">
        <v>1557</v>
      </c>
      <c r="J84" s="256" t="s">
        <v>1477</v>
      </c>
      <c r="K84" s="259">
        <v>46120.104166666664</v>
      </c>
      <c r="L84" s="259">
        <v>46118.229166666664</v>
      </c>
      <c r="M84" s="259">
        <v>46122.229166666664</v>
      </c>
      <c r="N84" s="256"/>
      <c r="O84" s="256" t="s">
        <v>1585</v>
      </c>
      <c r="P84" s="259">
        <v>46151.229166666664</v>
      </c>
      <c r="Q84" s="256">
        <v>4</v>
      </c>
      <c r="R84" s="256"/>
      <c r="S84" s="256">
        <v>1</v>
      </c>
      <c r="T84" s="256"/>
      <c r="U84" s="256" t="s">
        <v>1</v>
      </c>
      <c r="V84" s="256" t="s">
        <v>1</v>
      </c>
      <c r="W84" s="256" t="s">
        <v>1555</v>
      </c>
      <c r="X84" s="259">
        <v>46094.79791666667</v>
      </c>
      <c r="Y84" s="256" t="s">
        <v>1659</v>
      </c>
      <c r="Z84" s="256" t="s">
        <v>1561</v>
      </c>
      <c r="AA84" s="256" t="s">
        <v>1565</v>
      </c>
      <c r="AB84" s="256"/>
      <c r="AC84" s="256"/>
      <c r="AD84" s="256" t="s">
        <v>1584</v>
      </c>
      <c r="AE84" s="256" t="s">
        <v>262</v>
      </c>
    </row>
    <row r="85" spans="1:31">
      <c r="A85" s="256" t="s">
        <v>1660</v>
      </c>
      <c r="B85" s="256" t="s">
        <v>1471</v>
      </c>
      <c r="C85" s="256" t="s">
        <v>1661</v>
      </c>
      <c r="D85" s="256" t="s">
        <v>1404</v>
      </c>
      <c r="E85" s="256">
        <v>4445141</v>
      </c>
      <c r="F85" s="256">
        <v>4424629</v>
      </c>
      <c r="G85" s="256" t="s">
        <v>487</v>
      </c>
      <c r="H85" s="256" t="s">
        <v>242</v>
      </c>
      <c r="I85" s="256" t="s">
        <v>261</v>
      </c>
      <c r="J85" s="256" t="s">
        <v>1477</v>
      </c>
      <c r="K85" s="259">
        <v>46133.145833333336</v>
      </c>
      <c r="L85" s="256"/>
      <c r="M85" s="259">
        <v>46135.229166666664</v>
      </c>
      <c r="N85" s="256"/>
      <c r="O85" s="256" t="s">
        <v>1569</v>
      </c>
      <c r="P85" s="259">
        <v>46151.229166666664</v>
      </c>
      <c r="Q85" s="256">
        <v>2</v>
      </c>
      <c r="R85" s="256"/>
      <c r="S85" s="256">
        <v>1</v>
      </c>
      <c r="T85" s="256"/>
      <c r="U85" s="256"/>
      <c r="V85" s="256"/>
      <c r="W85" s="256" t="s">
        <v>1662</v>
      </c>
      <c r="X85" s="259">
        <v>46094.4375</v>
      </c>
      <c r="Y85" s="256" t="s">
        <v>1560</v>
      </c>
      <c r="Z85" s="256" t="s">
        <v>1542</v>
      </c>
      <c r="AA85" s="256" t="s">
        <v>1663</v>
      </c>
      <c r="AB85" s="256"/>
      <c r="AC85" s="256"/>
      <c r="AD85" s="256" t="s">
        <v>1664</v>
      </c>
      <c r="AE85" s="256" t="s">
        <v>262</v>
      </c>
    </row>
    <row r="86" spans="1:31">
      <c r="A86" s="256" t="s">
        <v>192</v>
      </c>
      <c r="B86" s="256" t="s">
        <v>1486</v>
      </c>
      <c r="C86" s="256" t="s">
        <v>1472</v>
      </c>
      <c r="D86" s="256" t="s">
        <v>191</v>
      </c>
      <c r="E86" s="256">
        <v>4446711</v>
      </c>
      <c r="F86" s="256">
        <v>4423252</v>
      </c>
      <c r="G86" s="256" t="s">
        <v>1665</v>
      </c>
      <c r="H86" s="256" t="s">
        <v>242</v>
      </c>
      <c r="I86" s="256" t="s">
        <v>261</v>
      </c>
      <c r="J86" s="256" t="s">
        <v>1501</v>
      </c>
      <c r="K86" s="259">
        <v>46134.145833333336</v>
      </c>
      <c r="L86" s="256"/>
      <c r="M86" s="259">
        <v>46134.229166666664</v>
      </c>
      <c r="N86" s="256"/>
      <c r="O86" s="256" t="s">
        <v>1569</v>
      </c>
      <c r="P86" s="259">
        <v>46151.229166666664</v>
      </c>
      <c r="Q86" s="256">
        <v>2</v>
      </c>
      <c r="R86" s="256"/>
      <c r="S86" s="256">
        <v>2</v>
      </c>
      <c r="T86" s="256"/>
      <c r="U86" s="256"/>
      <c r="V86" s="256"/>
      <c r="W86" s="256" t="s">
        <v>1555</v>
      </c>
      <c r="X86" s="259">
        <v>46093.619444444441</v>
      </c>
      <c r="Y86" s="256" t="s">
        <v>1564</v>
      </c>
      <c r="Z86" s="256" t="s">
        <v>1542</v>
      </c>
      <c r="AA86" s="256" t="s">
        <v>1565</v>
      </c>
      <c r="AB86" s="256"/>
      <c r="AC86" s="256"/>
      <c r="AD86" s="256" t="s">
        <v>191</v>
      </c>
      <c r="AE86" s="256" t="s">
        <v>262</v>
      </c>
    </row>
    <row r="87" spans="1:31">
      <c r="A87" s="256" t="s">
        <v>1604</v>
      </c>
      <c r="B87" s="256" t="s">
        <v>1486</v>
      </c>
      <c r="C87" s="256" t="s">
        <v>235</v>
      </c>
      <c r="D87" s="256" t="s">
        <v>235</v>
      </c>
      <c r="E87" s="256">
        <v>4349307</v>
      </c>
      <c r="F87" s="256">
        <v>4436336</v>
      </c>
      <c r="G87" s="256" t="s">
        <v>1666</v>
      </c>
      <c r="H87" s="256" t="s">
        <v>288</v>
      </c>
      <c r="I87" s="256" t="s">
        <v>1570</v>
      </c>
      <c r="J87" s="256" t="s">
        <v>1606</v>
      </c>
      <c r="K87" s="259">
        <v>46135.104166666664</v>
      </c>
      <c r="L87" s="256"/>
      <c r="M87" s="259">
        <v>46141.0625</v>
      </c>
      <c r="N87" s="256"/>
      <c r="O87" s="256" t="s">
        <v>1607</v>
      </c>
      <c r="P87" s="259">
        <v>46151.229166666664</v>
      </c>
      <c r="Q87" s="256">
        <v>6</v>
      </c>
      <c r="R87" s="256"/>
      <c r="S87" s="256">
        <v>2</v>
      </c>
      <c r="T87" s="256"/>
      <c r="U87" s="256"/>
      <c r="V87" s="256"/>
      <c r="W87" s="256" t="s">
        <v>1608</v>
      </c>
      <c r="X87" s="259">
        <v>46100.46875</v>
      </c>
      <c r="Y87" s="256" t="s">
        <v>1609</v>
      </c>
      <c r="Z87" s="256" t="s">
        <v>1572</v>
      </c>
      <c r="AA87" s="256" t="s">
        <v>1610</v>
      </c>
      <c r="AB87" s="256"/>
      <c r="AC87" s="256"/>
      <c r="AD87" s="256" t="s">
        <v>1611</v>
      </c>
      <c r="AE87" s="256" t="s">
        <v>262</v>
      </c>
    </row>
    <row r="88" spans="1:31">
      <c r="A88" s="256" t="s">
        <v>324</v>
      </c>
      <c r="B88" s="256" t="s">
        <v>1471</v>
      </c>
      <c r="C88" s="256" t="s">
        <v>1472</v>
      </c>
      <c r="D88" s="256" t="s">
        <v>191</v>
      </c>
      <c r="E88" s="256">
        <v>4446526</v>
      </c>
      <c r="F88" s="256">
        <v>4437247</v>
      </c>
      <c r="G88" s="256" t="s">
        <v>663</v>
      </c>
      <c r="H88" s="256" t="s">
        <v>288</v>
      </c>
      <c r="I88" s="256" t="s">
        <v>1570</v>
      </c>
      <c r="J88" s="256" t="s">
        <v>1501</v>
      </c>
      <c r="K88" s="259">
        <v>46134.104166666664</v>
      </c>
      <c r="L88" s="256"/>
      <c r="M88" s="259">
        <v>46128.229166666664</v>
      </c>
      <c r="N88" s="256"/>
      <c r="O88" s="256" t="s">
        <v>1571</v>
      </c>
      <c r="P88" s="259">
        <v>46151.229166666664</v>
      </c>
      <c r="Q88" s="256">
        <v>4</v>
      </c>
      <c r="R88" s="256"/>
      <c r="S88" s="256">
        <v>1</v>
      </c>
      <c r="T88" s="256"/>
      <c r="U88" s="256"/>
      <c r="V88" s="256"/>
      <c r="W88" s="256" t="s">
        <v>1555</v>
      </c>
      <c r="X88" s="259">
        <v>46101.452777777777</v>
      </c>
      <c r="Y88" s="256" t="s">
        <v>1564</v>
      </c>
      <c r="Z88" s="256" t="s">
        <v>1572</v>
      </c>
      <c r="AA88" s="256" t="s">
        <v>1565</v>
      </c>
      <c r="AB88" s="256"/>
      <c r="AC88" s="256"/>
      <c r="AD88" s="256" t="s">
        <v>191</v>
      </c>
      <c r="AE88" s="256" t="s">
        <v>262</v>
      </c>
    </row>
    <row r="89" spans="1:31">
      <c r="A89" s="256" t="s">
        <v>324</v>
      </c>
      <c r="B89" s="256" t="s">
        <v>1471</v>
      </c>
      <c r="C89" s="256" t="s">
        <v>1472</v>
      </c>
      <c r="D89" s="256" t="s">
        <v>191</v>
      </c>
      <c r="E89" s="256">
        <v>4446526</v>
      </c>
      <c r="F89" s="256">
        <v>4437254</v>
      </c>
      <c r="G89" s="256" t="s">
        <v>666</v>
      </c>
      <c r="H89" s="256" t="s">
        <v>288</v>
      </c>
      <c r="I89" s="256" t="s">
        <v>1570</v>
      </c>
      <c r="J89" s="256" t="s">
        <v>1501</v>
      </c>
      <c r="K89" s="259">
        <v>46134.104166666664</v>
      </c>
      <c r="L89" s="256"/>
      <c r="M89" s="259">
        <v>46128.229166666664</v>
      </c>
      <c r="N89" s="256"/>
      <c r="O89" s="256" t="s">
        <v>1571</v>
      </c>
      <c r="P89" s="259">
        <v>46151.229166666664</v>
      </c>
      <c r="Q89" s="256">
        <v>4</v>
      </c>
      <c r="R89" s="256"/>
      <c r="S89" s="256">
        <v>1</v>
      </c>
      <c r="T89" s="256"/>
      <c r="U89" s="256"/>
      <c r="V89" s="256"/>
      <c r="W89" s="256" t="s">
        <v>1555</v>
      </c>
      <c r="X89" s="259">
        <v>46101.457638888889</v>
      </c>
      <c r="Y89" s="256" t="s">
        <v>1564</v>
      </c>
      <c r="Z89" s="256" t="s">
        <v>1572</v>
      </c>
      <c r="AA89" s="256" t="s">
        <v>1565</v>
      </c>
      <c r="AB89" s="256"/>
      <c r="AC89" s="256"/>
      <c r="AD89" s="256" t="s">
        <v>191</v>
      </c>
      <c r="AE89" s="256" t="s">
        <v>262</v>
      </c>
    </row>
    <row r="90" spans="1:31">
      <c r="A90" s="256" t="s">
        <v>1667</v>
      </c>
      <c r="B90" s="256" t="s">
        <v>1471</v>
      </c>
      <c r="C90" s="256" t="s">
        <v>1574</v>
      </c>
      <c r="D90" s="256" t="s">
        <v>1575</v>
      </c>
      <c r="E90" s="256">
        <v>4437418</v>
      </c>
      <c r="F90" s="256">
        <v>4437397</v>
      </c>
      <c r="G90" s="256" t="s">
        <v>667</v>
      </c>
      <c r="H90" s="256" t="s">
        <v>305</v>
      </c>
      <c r="I90" s="256" t="s">
        <v>1626</v>
      </c>
      <c r="J90" s="256" t="s">
        <v>1501</v>
      </c>
      <c r="K90" s="259">
        <v>46133.104166666664</v>
      </c>
      <c r="L90" s="259">
        <v>46128.706250000003</v>
      </c>
      <c r="M90" s="259">
        <v>46134.229166666664</v>
      </c>
      <c r="N90" s="256"/>
      <c r="O90" s="256" t="s">
        <v>1668</v>
      </c>
      <c r="P90" s="259">
        <v>46151.229166666664</v>
      </c>
      <c r="Q90" s="256">
        <v>4</v>
      </c>
      <c r="R90" s="256"/>
      <c r="S90" s="256">
        <v>1</v>
      </c>
      <c r="T90" s="256"/>
      <c r="U90" s="256" t="s">
        <v>1</v>
      </c>
      <c r="V90" s="256" t="s">
        <v>1</v>
      </c>
      <c r="W90" s="256" t="s">
        <v>1577</v>
      </c>
      <c r="X90" s="259">
        <v>46101.484722222223</v>
      </c>
      <c r="Y90" s="256" t="s">
        <v>1590</v>
      </c>
      <c r="Z90" s="256" t="s">
        <v>1629</v>
      </c>
      <c r="AA90" s="256" t="s">
        <v>1517</v>
      </c>
      <c r="AB90" s="256"/>
      <c r="AC90" s="256"/>
      <c r="AD90" s="256" t="s">
        <v>1669</v>
      </c>
      <c r="AE90" s="256" t="s">
        <v>262</v>
      </c>
    </row>
    <row r="91" spans="1:31">
      <c r="A91" s="256" t="s">
        <v>1670</v>
      </c>
      <c r="B91" s="256" t="s">
        <v>1471</v>
      </c>
      <c r="C91" s="256" t="s">
        <v>1574</v>
      </c>
      <c r="D91" s="256" t="s">
        <v>1575</v>
      </c>
      <c r="E91" s="256">
        <v>4437420</v>
      </c>
      <c r="F91" s="256">
        <v>4437399</v>
      </c>
      <c r="G91" s="256" t="s">
        <v>669</v>
      </c>
      <c r="H91" s="256" t="s">
        <v>305</v>
      </c>
      <c r="I91" s="256" t="s">
        <v>1570</v>
      </c>
      <c r="J91" s="256" t="s">
        <v>1501</v>
      </c>
      <c r="K91" s="259">
        <v>46130.104166666664</v>
      </c>
      <c r="L91" s="259">
        <v>46122.87777777778</v>
      </c>
      <c r="M91" s="259">
        <v>46134.229166666664</v>
      </c>
      <c r="N91" s="256"/>
      <c r="O91" s="256" t="s">
        <v>1671</v>
      </c>
      <c r="P91" s="259">
        <v>46151.229166666664</v>
      </c>
      <c r="Q91" s="256">
        <v>4</v>
      </c>
      <c r="R91" s="256"/>
      <c r="S91" s="256">
        <v>1</v>
      </c>
      <c r="T91" s="256"/>
      <c r="U91" s="256" t="s">
        <v>1</v>
      </c>
      <c r="V91" s="256" t="s">
        <v>1</v>
      </c>
      <c r="W91" s="256" t="s">
        <v>1577</v>
      </c>
      <c r="X91" s="259">
        <v>46101.484722222223</v>
      </c>
      <c r="Y91" s="256" t="s">
        <v>1590</v>
      </c>
      <c r="Z91" s="256" t="s">
        <v>1572</v>
      </c>
      <c r="AA91" s="256" t="s">
        <v>1517</v>
      </c>
      <c r="AB91" s="256"/>
      <c r="AC91" s="256"/>
      <c r="AD91" s="256" t="s">
        <v>1672</v>
      </c>
      <c r="AE91" s="256" t="s">
        <v>262</v>
      </c>
    </row>
    <row r="92" spans="1:31">
      <c r="A92" s="256" t="s">
        <v>1604</v>
      </c>
      <c r="B92" s="256" t="s">
        <v>1486</v>
      </c>
      <c r="C92" s="256" t="s">
        <v>235</v>
      </c>
      <c r="D92" s="256" t="s">
        <v>235</v>
      </c>
      <c r="E92" s="256">
        <v>4349307</v>
      </c>
      <c r="F92" s="256">
        <v>4437632</v>
      </c>
      <c r="G92" s="256" t="s">
        <v>1673</v>
      </c>
      <c r="H92" s="256" t="s">
        <v>288</v>
      </c>
      <c r="I92" s="256" t="s">
        <v>1570</v>
      </c>
      <c r="J92" s="256" t="s">
        <v>1606</v>
      </c>
      <c r="K92" s="259">
        <v>46135.104166666664</v>
      </c>
      <c r="L92" s="256"/>
      <c r="M92" s="259">
        <v>46141.0625</v>
      </c>
      <c r="N92" s="256"/>
      <c r="O92" s="256" t="s">
        <v>1622</v>
      </c>
      <c r="P92" s="259">
        <v>46151.229166666664</v>
      </c>
      <c r="Q92" s="256">
        <v>6</v>
      </c>
      <c r="R92" s="256"/>
      <c r="S92" s="256">
        <v>2</v>
      </c>
      <c r="T92" s="256"/>
      <c r="U92" s="256"/>
      <c r="V92" s="256"/>
      <c r="W92" s="256" t="s">
        <v>1608</v>
      </c>
      <c r="X92" s="259">
        <v>46101.535416666666</v>
      </c>
      <c r="Y92" s="256" t="s">
        <v>1609</v>
      </c>
      <c r="Z92" s="256" t="s">
        <v>1572</v>
      </c>
      <c r="AA92" s="256" t="s">
        <v>1610</v>
      </c>
      <c r="AB92" s="256"/>
      <c r="AC92" s="256"/>
      <c r="AD92" s="256" t="s">
        <v>1611</v>
      </c>
      <c r="AE92" s="256" t="s">
        <v>262</v>
      </c>
    </row>
    <row r="93" spans="1:31">
      <c r="A93" s="256" t="s">
        <v>1667</v>
      </c>
      <c r="B93" s="256" t="s">
        <v>1471</v>
      </c>
      <c r="C93" s="256" t="s">
        <v>1574</v>
      </c>
      <c r="D93" s="256" t="s">
        <v>1575</v>
      </c>
      <c r="E93" s="256">
        <v>4437418</v>
      </c>
      <c r="F93" s="256">
        <v>4437873</v>
      </c>
      <c r="G93" s="256" t="s">
        <v>671</v>
      </c>
      <c r="H93" s="256" t="s">
        <v>305</v>
      </c>
      <c r="I93" s="256" t="s">
        <v>1626</v>
      </c>
      <c r="J93" s="256" t="s">
        <v>1501</v>
      </c>
      <c r="K93" s="259">
        <v>46133.104166666664</v>
      </c>
      <c r="L93" s="259">
        <v>46128.706944444442</v>
      </c>
      <c r="M93" s="259">
        <v>46134.229166666664</v>
      </c>
      <c r="N93" s="256"/>
      <c r="O93" s="256" t="s">
        <v>1668</v>
      </c>
      <c r="P93" s="259">
        <v>46151.229166666664</v>
      </c>
      <c r="Q93" s="256">
        <v>4</v>
      </c>
      <c r="R93" s="256"/>
      <c r="S93" s="256">
        <v>2</v>
      </c>
      <c r="T93" s="256"/>
      <c r="U93" s="256" t="s">
        <v>1</v>
      </c>
      <c r="V93" s="256" t="s">
        <v>1</v>
      </c>
      <c r="W93" s="256" t="s">
        <v>1577</v>
      </c>
      <c r="X93" s="259">
        <v>46101.65347222222</v>
      </c>
      <c r="Y93" s="256" t="s">
        <v>1590</v>
      </c>
      <c r="Z93" s="256" t="s">
        <v>1629</v>
      </c>
      <c r="AA93" s="256" t="s">
        <v>1517</v>
      </c>
      <c r="AB93" s="256"/>
      <c r="AC93" s="256"/>
      <c r="AD93" s="256" t="s">
        <v>1674</v>
      </c>
      <c r="AE93" s="256" t="s">
        <v>262</v>
      </c>
    </row>
    <row r="94" spans="1:31">
      <c r="A94" s="256" t="s">
        <v>1667</v>
      </c>
      <c r="B94" s="256" t="s">
        <v>1471</v>
      </c>
      <c r="C94" s="256" t="s">
        <v>1574</v>
      </c>
      <c r="D94" s="256" t="s">
        <v>1575</v>
      </c>
      <c r="E94" s="256">
        <v>4437418</v>
      </c>
      <c r="F94" s="256">
        <v>4437874</v>
      </c>
      <c r="G94" s="256" t="s">
        <v>672</v>
      </c>
      <c r="H94" s="256" t="s">
        <v>305</v>
      </c>
      <c r="I94" s="256" t="s">
        <v>1626</v>
      </c>
      <c r="J94" s="256" t="s">
        <v>1501</v>
      </c>
      <c r="K94" s="259">
        <v>46133.104166666664</v>
      </c>
      <c r="L94" s="259">
        <v>46128.708333333336</v>
      </c>
      <c r="M94" s="259">
        <v>46134.229166666664</v>
      </c>
      <c r="N94" s="256"/>
      <c r="O94" s="256" t="s">
        <v>1668</v>
      </c>
      <c r="P94" s="259">
        <v>46151.229166666664</v>
      </c>
      <c r="Q94" s="256">
        <v>4</v>
      </c>
      <c r="R94" s="256"/>
      <c r="S94" s="256">
        <v>2</v>
      </c>
      <c r="T94" s="256"/>
      <c r="U94" s="256" t="s">
        <v>1</v>
      </c>
      <c r="V94" s="256" t="s">
        <v>1</v>
      </c>
      <c r="W94" s="256" t="s">
        <v>1577</v>
      </c>
      <c r="X94" s="259">
        <v>46101.654166666667</v>
      </c>
      <c r="Y94" s="256" t="s">
        <v>1590</v>
      </c>
      <c r="Z94" s="256" t="s">
        <v>1629</v>
      </c>
      <c r="AA94" s="256" t="s">
        <v>1517</v>
      </c>
      <c r="AB94" s="256"/>
      <c r="AC94" s="256"/>
      <c r="AD94" s="256" t="s">
        <v>1675</v>
      </c>
      <c r="AE94" s="256" t="s">
        <v>262</v>
      </c>
    </row>
    <row r="95" spans="1:31">
      <c r="A95" s="256" t="s">
        <v>281</v>
      </c>
      <c r="B95" s="256" t="s">
        <v>1511</v>
      </c>
      <c r="C95" s="256" t="s">
        <v>280</v>
      </c>
      <c r="D95" s="256" t="s">
        <v>1676</v>
      </c>
      <c r="E95" s="256">
        <v>4372279</v>
      </c>
      <c r="F95" s="256">
        <v>4438504</v>
      </c>
      <c r="G95" s="256" t="s">
        <v>904</v>
      </c>
      <c r="H95" s="256" t="s">
        <v>242</v>
      </c>
      <c r="I95" s="256" t="s">
        <v>261</v>
      </c>
      <c r="J95" s="256" t="s">
        <v>1488</v>
      </c>
      <c r="K95" s="259">
        <v>46135.145833333336</v>
      </c>
      <c r="L95" s="256"/>
      <c r="M95" s="259">
        <v>46136.229166666664</v>
      </c>
      <c r="N95" s="256"/>
      <c r="O95" s="256" t="s">
        <v>1569</v>
      </c>
      <c r="P95" s="259">
        <v>46151.229166666664</v>
      </c>
      <c r="Q95" s="256">
        <v>4</v>
      </c>
      <c r="R95" s="256"/>
      <c r="S95" s="256">
        <v>2</v>
      </c>
      <c r="T95" s="256"/>
      <c r="U95" s="256"/>
      <c r="V95" s="256"/>
      <c r="W95" s="256" t="s">
        <v>1515</v>
      </c>
      <c r="X95" s="259">
        <v>46102.44027777778</v>
      </c>
      <c r="Y95" s="256"/>
      <c r="Z95" s="256" t="s">
        <v>1542</v>
      </c>
      <c r="AA95" s="256" t="s">
        <v>1517</v>
      </c>
      <c r="AB95" s="256"/>
      <c r="AC95" s="256"/>
      <c r="AD95" s="256" t="s">
        <v>1677</v>
      </c>
      <c r="AE95" s="256" t="s">
        <v>262</v>
      </c>
    </row>
    <row r="96" spans="1:31">
      <c r="A96" s="256" t="s">
        <v>1678</v>
      </c>
      <c r="B96" s="256" t="s">
        <v>1471</v>
      </c>
      <c r="C96" s="256" t="s">
        <v>1574</v>
      </c>
      <c r="D96" s="256" t="s">
        <v>1575</v>
      </c>
      <c r="E96" s="256">
        <v>4439528</v>
      </c>
      <c r="F96" s="256">
        <v>4439525</v>
      </c>
      <c r="G96" s="256" t="s">
        <v>675</v>
      </c>
      <c r="H96" s="256" t="s">
        <v>305</v>
      </c>
      <c r="I96" s="256" t="s">
        <v>1570</v>
      </c>
      <c r="J96" s="256" t="s">
        <v>1501</v>
      </c>
      <c r="K96" s="259">
        <v>46130.104166666664</v>
      </c>
      <c r="L96" s="259">
        <v>46125.229166666664</v>
      </c>
      <c r="M96" s="259">
        <v>46134.229166666664</v>
      </c>
      <c r="N96" s="256"/>
      <c r="O96" s="256" t="s">
        <v>1671</v>
      </c>
      <c r="P96" s="259">
        <v>46151.229166666664</v>
      </c>
      <c r="Q96" s="256">
        <v>2</v>
      </c>
      <c r="R96" s="256"/>
      <c r="S96" s="256">
        <v>2</v>
      </c>
      <c r="T96" s="256"/>
      <c r="U96" s="256" t="s">
        <v>1</v>
      </c>
      <c r="V96" s="256" t="s">
        <v>1</v>
      </c>
      <c r="W96" s="256" t="s">
        <v>1577</v>
      </c>
      <c r="X96" s="259">
        <v>46105.063888888886</v>
      </c>
      <c r="Y96" s="256" t="s">
        <v>1679</v>
      </c>
      <c r="Z96" s="256" t="s">
        <v>1572</v>
      </c>
      <c r="AA96" s="256" t="s">
        <v>1517</v>
      </c>
      <c r="AB96" s="256"/>
      <c r="AC96" s="256"/>
      <c r="AD96" s="256" t="s">
        <v>1680</v>
      </c>
      <c r="AE96" s="256" t="s">
        <v>262</v>
      </c>
    </row>
    <row r="97" spans="1:31">
      <c r="A97" s="256" t="s">
        <v>1681</v>
      </c>
      <c r="B97" s="256" t="s">
        <v>1471</v>
      </c>
      <c r="C97" s="256" t="s">
        <v>1472</v>
      </c>
      <c r="D97" s="256" t="s">
        <v>1682</v>
      </c>
      <c r="E97" s="256">
        <v>4174547</v>
      </c>
      <c r="F97" s="256">
        <v>4174624</v>
      </c>
      <c r="G97" s="256" t="s">
        <v>492</v>
      </c>
      <c r="H97" s="256" t="s">
        <v>242</v>
      </c>
      <c r="I97" s="256" t="s">
        <v>261</v>
      </c>
      <c r="J97" s="256" t="s">
        <v>1477</v>
      </c>
      <c r="K97" s="259">
        <v>46135.145833333336</v>
      </c>
      <c r="L97" s="256"/>
      <c r="M97" s="259">
        <v>46139.229166666664</v>
      </c>
      <c r="N97" s="256"/>
      <c r="O97" s="256" t="s">
        <v>1683</v>
      </c>
      <c r="P97" s="259">
        <v>46151.229166666664</v>
      </c>
      <c r="Q97" s="256">
        <v>4</v>
      </c>
      <c r="R97" s="256"/>
      <c r="S97" s="256">
        <v>2</v>
      </c>
      <c r="T97" s="256"/>
      <c r="U97" s="256"/>
      <c r="V97" s="256"/>
      <c r="W97" s="256" t="s">
        <v>1684</v>
      </c>
      <c r="X97" s="259">
        <v>45947.612500000003</v>
      </c>
      <c r="Y97" s="256" t="s">
        <v>1685</v>
      </c>
      <c r="Z97" s="256" t="s">
        <v>1542</v>
      </c>
      <c r="AA97" s="256" t="s">
        <v>1517</v>
      </c>
      <c r="AB97" s="256"/>
      <c r="AC97" s="256"/>
      <c r="AD97" s="256" t="s">
        <v>1682</v>
      </c>
      <c r="AE97" s="256" t="s">
        <v>262</v>
      </c>
    </row>
    <row r="98" spans="1:31">
      <c r="A98" s="256" t="s">
        <v>1686</v>
      </c>
      <c r="B98" s="256" t="s">
        <v>1471</v>
      </c>
      <c r="C98" s="256" t="s">
        <v>1472</v>
      </c>
      <c r="D98" s="256" t="s">
        <v>1687</v>
      </c>
      <c r="E98" s="256">
        <v>4365826</v>
      </c>
      <c r="F98" s="256">
        <v>4271493</v>
      </c>
      <c r="G98" s="256" t="s">
        <v>493</v>
      </c>
      <c r="H98" s="256" t="s">
        <v>242</v>
      </c>
      <c r="I98" s="256" t="s">
        <v>261</v>
      </c>
      <c r="J98" s="256" t="s">
        <v>1477</v>
      </c>
      <c r="K98" s="259">
        <v>46135.145833333336</v>
      </c>
      <c r="L98" s="256"/>
      <c r="M98" s="259">
        <v>46139.229166666664</v>
      </c>
      <c r="N98" s="256"/>
      <c r="O98" s="256" t="s">
        <v>1614</v>
      </c>
      <c r="P98" s="259">
        <v>46151.229166666664</v>
      </c>
      <c r="Q98" s="256">
        <v>4</v>
      </c>
      <c r="R98" s="256"/>
      <c r="S98" s="256">
        <v>2</v>
      </c>
      <c r="T98" s="256"/>
      <c r="U98" s="256" t="s">
        <v>18</v>
      </c>
      <c r="V98" s="256" t="s">
        <v>18</v>
      </c>
      <c r="W98" s="256" t="s">
        <v>1684</v>
      </c>
      <c r="X98" s="259">
        <v>45996.831944444442</v>
      </c>
      <c r="Y98" s="256" t="s">
        <v>1685</v>
      </c>
      <c r="Z98" s="256" t="s">
        <v>1542</v>
      </c>
      <c r="AA98" s="256" t="s">
        <v>1688</v>
      </c>
      <c r="AB98" s="256"/>
      <c r="AC98" s="256"/>
      <c r="AD98" s="256" t="s">
        <v>1682</v>
      </c>
      <c r="AE98" s="256" t="s">
        <v>262</v>
      </c>
    </row>
    <row r="99" spans="1:31">
      <c r="A99" s="256" t="s">
        <v>1689</v>
      </c>
      <c r="B99" s="256" t="s">
        <v>1486</v>
      </c>
      <c r="C99" s="256" t="s">
        <v>235</v>
      </c>
      <c r="D99" s="256" t="s">
        <v>1690</v>
      </c>
      <c r="E99" s="256">
        <v>4017211</v>
      </c>
      <c r="F99" s="256">
        <v>4272036</v>
      </c>
      <c r="G99" s="256" t="s">
        <v>533</v>
      </c>
      <c r="H99" s="256" t="s">
        <v>288</v>
      </c>
      <c r="I99" s="256" t="s">
        <v>1570</v>
      </c>
      <c r="J99" s="256" t="s">
        <v>1606</v>
      </c>
      <c r="K99" s="259">
        <v>46133.104166666664</v>
      </c>
      <c r="L99" s="256"/>
      <c r="M99" s="259">
        <v>46141.0625</v>
      </c>
      <c r="N99" s="256"/>
      <c r="O99" s="256" t="s">
        <v>1622</v>
      </c>
      <c r="P99" s="259">
        <v>46151.229166666664</v>
      </c>
      <c r="Q99" s="256">
        <v>6</v>
      </c>
      <c r="R99" s="256"/>
      <c r="S99" s="256">
        <v>2</v>
      </c>
      <c r="T99" s="256"/>
      <c r="U99" s="256"/>
      <c r="V99" s="256"/>
      <c r="W99" s="256" t="s">
        <v>1691</v>
      </c>
      <c r="X99" s="259">
        <v>45999.495833333334</v>
      </c>
      <c r="Y99" s="256" t="s">
        <v>1692</v>
      </c>
      <c r="Z99" s="256" t="s">
        <v>1572</v>
      </c>
      <c r="AA99" s="256" t="s">
        <v>1693</v>
      </c>
      <c r="AB99" s="256"/>
      <c r="AC99" s="256"/>
      <c r="AD99" s="256" t="s">
        <v>1506</v>
      </c>
      <c r="AE99" s="256" t="s">
        <v>262</v>
      </c>
    </row>
    <row r="100" spans="1:31">
      <c r="A100" s="256" t="s">
        <v>1694</v>
      </c>
      <c r="B100" s="256" t="s">
        <v>1511</v>
      </c>
      <c r="C100" s="256" t="s">
        <v>280</v>
      </c>
      <c r="D100" s="256" t="s">
        <v>1695</v>
      </c>
      <c r="E100" s="256">
        <v>4341384</v>
      </c>
      <c r="F100" s="256">
        <v>4343880</v>
      </c>
      <c r="G100" s="256" t="s">
        <v>1696</v>
      </c>
      <c r="H100" s="256" t="s">
        <v>359</v>
      </c>
      <c r="I100" s="256" t="s">
        <v>261</v>
      </c>
      <c r="J100" s="256" t="s">
        <v>1488</v>
      </c>
      <c r="K100" s="259">
        <v>46129.020833333336</v>
      </c>
      <c r="L100" s="259">
        <v>46129.618750000001</v>
      </c>
      <c r="M100" s="256"/>
      <c r="N100" s="256"/>
      <c r="O100" s="256" t="s">
        <v>1697</v>
      </c>
      <c r="P100" s="259">
        <v>46151.229166666664</v>
      </c>
      <c r="Q100" s="256">
        <v>4</v>
      </c>
      <c r="R100" s="256"/>
      <c r="S100" s="256">
        <v>2</v>
      </c>
      <c r="T100" s="256"/>
      <c r="U100" s="256" t="s">
        <v>1</v>
      </c>
      <c r="V100" s="256" t="s">
        <v>1</v>
      </c>
      <c r="W100" s="256" t="s">
        <v>1515</v>
      </c>
      <c r="X100" s="259">
        <v>46051.663194444445</v>
      </c>
      <c r="Y100" s="256" t="s">
        <v>1560</v>
      </c>
      <c r="Z100" s="256" t="s">
        <v>1542</v>
      </c>
      <c r="AA100" s="256" t="s">
        <v>1517</v>
      </c>
      <c r="AB100" s="256"/>
      <c r="AC100" s="256"/>
      <c r="AD100" s="256" t="s">
        <v>1698</v>
      </c>
      <c r="AE100" s="256" t="s">
        <v>262</v>
      </c>
    </row>
    <row r="101" spans="1:31">
      <c r="A101" s="256" t="s">
        <v>1699</v>
      </c>
      <c r="B101" s="256" t="s">
        <v>1486</v>
      </c>
      <c r="C101" s="256" t="s">
        <v>235</v>
      </c>
      <c r="D101" s="256" t="s">
        <v>1700</v>
      </c>
      <c r="E101" s="256">
        <v>4392317</v>
      </c>
      <c r="F101" s="256">
        <v>4349320</v>
      </c>
      <c r="G101" s="256" t="s">
        <v>556</v>
      </c>
      <c r="H101" s="256" t="s">
        <v>242</v>
      </c>
      <c r="I101" s="256" t="s">
        <v>261</v>
      </c>
      <c r="J101" s="256" t="s">
        <v>1606</v>
      </c>
      <c r="K101" s="259">
        <v>46135.145833333336</v>
      </c>
      <c r="L101" s="256"/>
      <c r="M101" s="259">
        <v>46140.229166666664</v>
      </c>
      <c r="N101" s="256"/>
      <c r="O101" s="256" t="s">
        <v>1563</v>
      </c>
      <c r="P101" s="259">
        <v>46151.229166666664</v>
      </c>
      <c r="Q101" s="256">
        <v>2</v>
      </c>
      <c r="R101" s="256"/>
      <c r="S101" s="256">
        <v>2</v>
      </c>
      <c r="T101" s="256"/>
      <c r="U101" s="256"/>
      <c r="V101" s="256"/>
      <c r="W101" s="256" t="s">
        <v>1691</v>
      </c>
      <c r="X101" s="259">
        <v>46055.493055555555</v>
      </c>
      <c r="Y101" s="256" t="s">
        <v>1701</v>
      </c>
      <c r="Z101" s="256" t="s">
        <v>1542</v>
      </c>
      <c r="AA101" s="256" t="s">
        <v>1492</v>
      </c>
      <c r="AB101" s="256"/>
      <c r="AC101" s="256"/>
      <c r="AD101" s="256" t="s">
        <v>1702</v>
      </c>
      <c r="AE101" s="256" t="s">
        <v>262</v>
      </c>
    </row>
    <row r="102" spans="1:31">
      <c r="A102" s="256" t="s">
        <v>1703</v>
      </c>
      <c r="B102" s="256" t="s">
        <v>1511</v>
      </c>
      <c r="C102" s="256" t="s">
        <v>280</v>
      </c>
      <c r="D102" s="256" t="s">
        <v>1704</v>
      </c>
      <c r="E102" s="256">
        <v>4366167</v>
      </c>
      <c r="F102" s="256">
        <v>4355700</v>
      </c>
      <c r="G102" s="256" t="s">
        <v>842</v>
      </c>
      <c r="H102" s="256" t="s">
        <v>242</v>
      </c>
      <c r="I102" s="256" t="s">
        <v>261</v>
      </c>
      <c r="J102" s="256" t="s">
        <v>1488</v>
      </c>
      <c r="K102" s="259">
        <v>46134.104166666664</v>
      </c>
      <c r="L102" s="256"/>
      <c r="M102" s="259">
        <v>46137.0625</v>
      </c>
      <c r="N102" s="256"/>
      <c r="O102" s="256" t="s">
        <v>1683</v>
      </c>
      <c r="P102" s="259">
        <v>46151.229166666664</v>
      </c>
      <c r="Q102" s="256">
        <v>2</v>
      </c>
      <c r="R102" s="256"/>
      <c r="S102" s="256">
        <v>1</v>
      </c>
      <c r="T102" s="256"/>
      <c r="U102" s="256"/>
      <c r="V102" s="256"/>
      <c r="W102" s="256" t="s">
        <v>1705</v>
      </c>
      <c r="X102" s="259">
        <v>46058.424305555556</v>
      </c>
      <c r="Y102" s="256" t="s">
        <v>1560</v>
      </c>
      <c r="Z102" s="256" t="s">
        <v>1542</v>
      </c>
      <c r="AA102" s="256" t="s">
        <v>1517</v>
      </c>
      <c r="AB102" s="256"/>
      <c r="AC102" s="256"/>
      <c r="AD102" s="256" t="s">
        <v>1706</v>
      </c>
      <c r="AE102" s="256" t="s">
        <v>262</v>
      </c>
    </row>
    <row r="103" spans="1:31">
      <c r="A103" s="256" t="s">
        <v>1686</v>
      </c>
      <c r="B103" s="256" t="s">
        <v>1471</v>
      </c>
      <c r="C103" s="256" t="s">
        <v>1472</v>
      </c>
      <c r="D103" s="256" t="s">
        <v>1687</v>
      </c>
      <c r="E103" s="256">
        <v>4365826</v>
      </c>
      <c r="F103" s="256">
        <v>4358782</v>
      </c>
      <c r="G103" s="256" t="s">
        <v>1707</v>
      </c>
      <c r="H103" s="256" t="s">
        <v>242</v>
      </c>
      <c r="I103" s="256" t="s">
        <v>261</v>
      </c>
      <c r="J103" s="256" t="s">
        <v>1477</v>
      </c>
      <c r="K103" s="259">
        <v>46135.145833333336</v>
      </c>
      <c r="L103" s="256"/>
      <c r="M103" s="259">
        <v>46139.229166666664</v>
      </c>
      <c r="N103" s="256"/>
      <c r="O103" s="256" t="s">
        <v>1708</v>
      </c>
      <c r="P103" s="259">
        <v>46151.229166666664</v>
      </c>
      <c r="Q103" s="256">
        <v>4</v>
      </c>
      <c r="R103" s="256"/>
      <c r="S103" s="256">
        <v>2</v>
      </c>
      <c r="T103" s="256"/>
      <c r="U103" s="256" t="s">
        <v>18</v>
      </c>
      <c r="V103" s="256" t="s">
        <v>18</v>
      </c>
      <c r="W103" s="256" t="s">
        <v>1684</v>
      </c>
      <c r="X103" s="259">
        <v>46062.905555555553</v>
      </c>
      <c r="Y103" s="256"/>
      <c r="Z103" s="256" t="s">
        <v>1542</v>
      </c>
      <c r="AA103" s="256" t="s">
        <v>1688</v>
      </c>
      <c r="AB103" s="256"/>
      <c r="AC103" s="256"/>
      <c r="AD103" s="256" t="s">
        <v>1682</v>
      </c>
      <c r="AE103" s="256" t="s">
        <v>262</v>
      </c>
    </row>
    <row r="104" spans="1:31">
      <c r="A104" s="256" t="s">
        <v>1686</v>
      </c>
      <c r="B104" s="256" t="s">
        <v>1471</v>
      </c>
      <c r="C104" s="256" t="s">
        <v>1472</v>
      </c>
      <c r="D104" s="256" t="s">
        <v>1709</v>
      </c>
      <c r="E104" s="256">
        <v>4365826</v>
      </c>
      <c r="F104" s="256">
        <v>4361416</v>
      </c>
      <c r="G104" s="256" t="s">
        <v>1710</v>
      </c>
      <c r="H104" s="256" t="s">
        <v>242</v>
      </c>
      <c r="I104" s="256" t="s">
        <v>261</v>
      </c>
      <c r="J104" s="256" t="s">
        <v>1501</v>
      </c>
      <c r="K104" s="259">
        <v>46135.145833333336</v>
      </c>
      <c r="L104" s="256"/>
      <c r="M104" s="259">
        <v>46134.229166666664</v>
      </c>
      <c r="N104" s="256"/>
      <c r="O104" s="256" t="s">
        <v>1708</v>
      </c>
      <c r="P104" s="259">
        <v>46151.229166666664</v>
      </c>
      <c r="Q104" s="256">
        <v>6</v>
      </c>
      <c r="R104" s="256"/>
      <c r="S104" s="256">
        <v>2</v>
      </c>
      <c r="T104" s="256"/>
      <c r="U104" s="256" t="s">
        <v>18</v>
      </c>
      <c r="V104" s="256" t="s">
        <v>18</v>
      </c>
      <c r="W104" s="256" t="s">
        <v>1684</v>
      </c>
      <c r="X104" s="259">
        <v>46063.73333333333</v>
      </c>
      <c r="Y104" s="256"/>
      <c r="Z104" s="256" t="s">
        <v>1542</v>
      </c>
      <c r="AA104" s="256" t="s">
        <v>1711</v>
      </c>
      <c r="AB104" s="256"/>
      <c r="AC104" s="256"/>
      <c r="AD104" s="256" t="s">
        <v>1712</v>
      </c>
      <c r="AE104" s="256" t="s">
        <v>262</v>
      </c>
    </row>
    <row r="105" spans="1:31">
      <c r="A105" s="256" t="s">
        <v>256</v>
      </c>
      <c r="B105" s="256" t="s">
        <v>1511</v>
      </c>
      <c r="C105" s="256" t="s">
        <v>280</v>
      </c>
      <c r="D105" s="256" t="s">
        <v>255</v>
      </c>
      <c r="E105" s="256">
        <v>4313249</v>
      </c>
      <c r="F105" s="256">
        <v>4372864</v>
      </c>
      <c r="G105" s="256" t="s">
        <v>257</v>
      </c>
      <c r="H105" s="256" t="s">
        <v>198</v>
      </c>
      <c r="I105" s="256" t="s">
        <v>261</v>
      </c>
      <c r="J105" s="256" t="s">
        <v>1488</v>
      </c>
      <c r="K105" s="259">
        <v>46134.145833333336</v>
      </c>
      <c r="L105" s="256"/>
      <c r="M105" s="259">
        <v>46137.0625</v>
      </c>
      <c r="N105" s="256"/>
      <c r="O105" s="256" t="s">
        <v>1569</v>
      </c>
      <c r="P105" s="259">
        <v>46151.229166666664</v>
      </c>
      <c r="Q105" s="256">
        <v>4</v>
      </c>
      <c r="R105" s="256"/>
      <c r="S105" s="256">
        <v>2</v>
      </c>
      <c r="T105" s="256"/>
      <c r="U105" s="256"/>
      <c r="V105" s="256"/>
      <c r="W105" s="256" t="s">
        <v>1515</v>
      </c>
      <c r="X105" s="259">
        <v>46071.599305555559</v>
      </c>
      <c r="Y105" s="256" t="s">
        <v>1560</v>
      </c>
      <c r="Z105" s="256" t="s">
        <v>1542</v>
      </c>
      <c r="AA105" s="256" t="s">
        <v>1517</v>
      </c>
      <c r="AB105" s="256"/>
      <c r="AC105" s="256"/>
      <c r="AD105" s="256" t="s">
        <v>1713</v>
      </c>
      <c r="AE105" s="256" t="s">
        <v>262</v>
      </c>
    </row>
    <row r="106" spans="1:31">
      <c r="A106" s="256" t="s">
        <v>1714</v>
      </c>
      <c r="B106" s="256" t="s">
        <v>1511</v>
      </c>
      <c r="C106" s="256" t="s">
        <v>280</v>
      </c>
      <c r="D106" s="256" t="s">
        <v>1715</v>
      </c>
      <c r="E106" s="256">
        <v>4386528</v>
      </c>
      <c r="F106" s="256">
        <v>4389725</v>
      </c>
      <c r="G106" s="256" t="s">
        <v>949</v>
      </c>
      <c r="H106" s="256" t="s">
        <v>242</v>
      </c>
      <c r="I106" s="256" t="s">
        <v>261</v>
      </c>
      <c r="J106" s="256" t="s">
        <v>1488</v>
      </c>
      <c r="K106" s="259">
        <v>46130.145833333336</v>
      </c>
      <c r="L106" s="256"/>
      <c r="M106" s="259">
        <v>46132.979166666664</v>
      </c>
      <c r="N106" s="256"/>
      <c r="O106" s="256" t="s">
        <v>1683</v>
      </c>
      <c r="P106" s="259">
        <v>46151.229166666664</v>
      </c>
      <c r="Q106" s="256">
        <v>4</v>
      </c>
      <c r="R106" s="256"/>
      <c r="S106" s="256">
        <v>2</v>
      </c>
      <c r="T106" s="256"/>
      <c r="U106" s="256"/>
      <c r="V106" s="256"/>
      <c r="W106" s="256" t="s">
        <v>1652</v>
      </c>
      <c r="X106" s="259">
        <v>46076.963194444441</v>
      </c>
      <c r="Y106" s="256" t="s">
        <v>1716</v>
      </c>
      <c r="Z106" s="256" t="s">
        <v>1542</v>
      </c>
      <c r="AA106" s="256" t="s">
        <v>1654</v>
      </c>
      <c r="AB106" s="256"/>
      <c r="AC106" s="256"/>
      <c r="AD106" s="256" t="s">
        <v>1717</v>
      </c>
      <c r="AE106" s="256" t="s">
        <v>262</v>
      </c>
    </row>
    <row r="107" spans="1:31">
      <c r="A107" s="256" t="s">
        <v>1714</v>
      </c>
      <c r="B107" s="256" t="s">
        <v>1511</v>
      </c>
      <c r="C107" s="256" t="s">
        <v>280</v>
      </c>
      <c r="D107" s="256" t="s">
        <v>1715</v>
      </c>
      <c r="E107" s="256">
        <v>4386528</v>
      </c>
      <c r="F107" s="256">
        <v>4389790</v>
      </c>
      <c r="G107" s="256" t="s">
        <v>948</v>
      </c>
      <c r="H107" s="256" t="s">
        <v>242</v>
      </c>
      <c r="I107" s="256" t="s">
        <v>261</v>
      </c>
      <c r="J107" s="256" t="s">
        <v>1488</v>
      </c>
      <c r="K107" s="259">
        <v>46130.145833333336</v>
      </c>
      <c r="L107" s="256"/>
      <c r="M107" s="259">
        <v>46132.979166666664</v>
      </c>
      <c r="N107" s="256"/>
      <c r="O107" s="256" t="s">
        <v>1683</v>
      </c>
      <c r="P107" s="259">
        <v>46151.229166666664</v>
      </c>
      <c r="Q107" s="256">
        <v>4</v>
      </c>
      <c r="R107" s="256"/>
      <c r="S107" s="256">
        <v>2</v>
      </c>
      <c r="T107" s="256"/>
      <c r="U107" s="256"/>
      <c r="V107" s="256"/>
      <c r="W107" s="256" t="s">
        <v>1652</v>
      </c>
      <c r="X107" s="259">
        <v>46077.413194444445</v>
      </c>
      <c r="Y107" s="256" t="s">
        <v>1718</v>
      </c>
      <c r="Z107" s="256" t="s">
        <v>1542</v>
      </c>
      <c r="AA107" s="256" t="s">
        <v>1654</v>
      </c>
      <c r="AB107" s="256"/>
      <c r="AC107" s="256"/>
      <c r="AD107" s="256" t="s">
        <v>1719</v>
      </c>
      <c r="AE107" s="256" t="s">
        <v>262</v>
      </c>
    </row>
    <row r="108" spans="1:31">
      <c r="A108" s="256" t="s">
        <v>1720</v>
      </c>
      <c r="B108" s="256" t="s">
        <v>1471</v>
      </c>
      <c r="C108" s="256" t="s">
        <v>1574</v>
      </c>
      <c r="D108" s="256" t="s">
        <v>1575</v>
      </c>
      <c r="E108" s="256">
        <v>4437425</v>
      </c>
      <c r="F108" s="256">
        <v>4391602</v>
      </c>
      <c r="G108" s="256" t="s">
        <v>631</v>
      </c>
      <c r="H108" s="256" t="s">
        <v>242</v>
      </c>
      <c r="I108" s="256" t="s">
        <v>261</v>
      </c>
      <c r="J108" s="256" t="s">
        <v>1501</v>
      </c>
      <c r="K108" s="259">
        <v>46133.145833333336</v>
      </c>
      <c r="L108" s="256"/>
      <c r="M108" s="259">
        <v>46134.229166666664</v>
      </c>
      <c r="N108" s="256"/>
      <c r="O108" s="256" t="s">
        <v>1569</v>
      </c>
      <c r="P108" s="259">
        <v>46151.229166666664</v>
      </c>
      <c r="Q108" s="256">
        <v>4</v>
      </c>
      <c r="R108" s="256"/>
      <c r="S108" s="256">
        <v>1</v>
      </c>
      <c r="T108" s="256"/>
      <c r="U108" s="256"/>
      <c r="V108" s="256"/>
      <c r="W108" s="256" t="s">
        <v>1577</v>
      </c>
      <c r="X108" s="259">
        <v>46078.573611111111</v>
      </c>
      <c r="Y108" s="256" t="s">
        <v>1423</v>
      </c>
      <c r="Z108" s="256" t="s">
        <v>1542</v>
      </c>
      <c r="AA108" s="256" t="s">
        <v>1517</v>
      </c>
      <c r="AB108" s="256"/>
      <c r="AC108" s="256"/>
      <c r="AD108" s="256" t="s">
        <v>1721</v>
      </c>
      <c r="AE108" s="256" t="s">
        <v>262</v>
      </c>
    </row>
    <row r="109" spans="1:31">
      <c r="A109" s="256" t="s">
        <v>1604</v>
      </c>
      <c r="B109" s="256" t="s">
        <v>1486</v>
      </c>
      <c r="C109" s="256" t="s">
        <v>235</v>
      </c>
      <c r="D109" s="256" t="s">
        <v>1722</v>
      </c>
      <c r="E109" s="256">
        <v>4349307</v>
      </c>
      <c r="F109" s="256">
        <v>4392686</v>
      </c>
      <c r="G109" s="256" t="s">
        <v>1723</v>
      </c>
      <c r="H109" s="256" t="s">
        <v>288</v>
      </c>
      <c r="I109" s="256" t="s">
        <v>1570</v>
      </c>
      <c r="J109" s="256" t="s">
        <v>1606</v>
      </c>
      <c r="K109" s="259">
        <v>46135.104166666664</v>
      </c>
      <c r="L109" s="256"/>
      <c r="M109" s="259">
        <v>46141.0625</v>
      </c>
      <c r="N109" s="256"/>
      <c r="O109" s="256" t="s">
        <v>1648</v>
      </c>
      <c r="P109" s="259">
        <v>46151.229166666664</v>
      </c>
      <c r="Q109" s="256">
        <v>6</v>
      </c>
      <c r="R109" s="256"/>
      <c r="S109" s="256">
        <v>2</v>
      </c>
      <c r="T109" s="256"/>
      <c r="U109" s="256"/>
      <c r="V109" s="256"/>
      <c r="W109" s="256" t="s">
        <v>1691</v>
      </c>
      <c r="X109" s="259">
        <v>46078.964583333334</v>
      </c>
      <c r="Y109" s="256" t="s">
        <v>1724</v>
      </c>
      <c r="Z109" s="256" t="s">
        <v>1572</v>
      </c>
      <c r="AA109" s="256" t="s">
        <v>1492</v>
      </c>
      <c r="AB109" s="256"/>
      <c r="AC109" s="256"/>
      <c r="AD109" s="256" t="s">
        <v>1725</v>
      </c>
      <c r="AE109" s="256" t="s">
        <v>262</v>
      </c>
    </row>
    <row r="110" spans="1:31">
      <c r="A110" s="256" t="s">
        <v>1604</v>
      </c>
      <c r="B110" s="256" t="s">
        <v>1486</v>
      </c>
      <c r="C110" s="256" t="s">
        <v>235</v>
      </c>
      <c r="D110" s="256" t="s">
        <v>1722</v>
      </c>
      <c r="E110" s="256">
        <v>4349307</v>
      </c>
      <c r="F110" s="256">
        <v>4392687</v>
      </c>
      <c r="G110" s="256" t="s">
        <v>1726</v>
      </c>
      <c r="H110" s="256" t="s">
        <v>288</v>
      </c>
      <c r="I110" s="256" t="s">
        <v>1570</v>
      </c>
      <c r="J110" s="256" t="s">
        <v>1606</v>
      </c>
      <c r="K110" s="259">
        <v>46135.104166666664</v>
      </c>
      <c r="L110" s="256"/>
      <c r="M110" s="259">
        <v>46141.0625</v>
      </c>
      <c r="N110" s="256"/>
      <c r="O110" s="256" t="s">
        <v>1622</v>
      </c>
      <c r="P110" s="259">
        <v>46151.229166666664</v>
      </c>
      <c r="Q110" s="256">
        <v>6</v>
      </c>
      <c r="R110" s="256"/>
      <c r="S110" s="256">
        <v>2</v>
      </c>
      <c r="T110" s="256"/>
      <c r="U110" s="256"/>
      <c r="V110" s="256"/>
      <c r="W110" s="256" t="s">
        <v>1691</v>
      </c>
      <c r="X110" s="259">
        <v>46078.964583333334</v>
      </c>
      <c r="Y110" s="256" t="s">
        <v>1724</v>
      </c>
      <c r="Z110" s="256" t="s">
        <v>1572</v>
      </c>
      <c r="AA110" s="256" t="s">
        <v>1492</v>
      </c>
      <c r="AB110" s="256"/>
      <c r="AC110" s="256"/>
      <c r="AD110" s="256" t="s">
        <v>1725</v>
      </c>
      <c r="AE110" s="256" t="s">
        <v>262</v>
      </c>
    </row>
    <row r="111" spans="1:31">
      <c r="A111" s="256" t="s">
        <v>351</v>
      </c>
      <c r="B111" s="256" t="s">
        <v>1486</v>
      </c>
      <c r="C111" s="256" t="s">
        <v>1727</v>
      </c>
      <c r="D111" s="256" t="s">
        <v>350</v>
      </c>
      <c r="E111" s="256">
        <v>4250760</v>
      </c>
      <c r="F111" s="256">
        <v>4371477</v>
      </c>
      <c r="G111" s="256" t="s">
        <v>583</v>
      </c>
      <c r="H111" s="256" t="s">
        <v>393</v>
      </c>
      <c r="I111" s="256" t="s">
        <v>401</v>
      </c>
      <c r="J111" s="256" t="s">
        <v>1728</v>
      </c>
      <c r="K111" s="259">
        <v>46133.229166666664</v>
      </c>
      <c r="L111" s="256"/>
      <c r="M111" s="259">
        <v>46135.229166666664</v>
      </c>
      <c r="N111" s="256"/>
      <c r="O111" s="256" t="s">
        <v>1729</v>
      </c>
      <c r="P111" s="259">
        <v>46151.229166666664</v>
      </c>
      <c r="Q111" s="256">
        <v>3</v>
      </c>
      <c r="R111" s="256"/>
      <c r="S111" s="256">
        <v>2</v>
      </c>
      <c r="T111" s="256"/>
      <c r="U111" s="256"/>
      <c r="V111" s="256"/>
      <c r="W111" s="256" t="s">
        <v>1555</v>
      </c>
      <c r="X111" s="259">
        <v>46070.536805555559</v>
      </c>
      <c r="Y111" s="256"/>
      <c r="Z111" s="256" t="s">
        <v>1730</v>
      </c>
      <c r="AA111" s="256" t="s">
        <v>1565</v>
      </c>
      <c r="AB111" s="256"/>
      <c r="AC111" s="256"/>
      <c r="AD111" s="256" t="s">
        <v>350</v>
      </c>
      <c r="AE111" s="256" t="s">
        <v>402</v>
      </c>
    </row>
    <row r="112" spans="1:31">
      <c r="A112" s="256" t="s">
        <v>1720</v>
      </c>
      <c r="B112" s="256" t="s">
        <v>1471</v>
      </c>
      <c r="C112" s="256" t="s">
        <v>1574</v>
      </c>
      <c r="D112" s="256" t="s">
        <v>1575</v>
      </c>
      <c r="E112" s="256">
        <v>4437425</v>
      </c>
      <c r="F112" s="256">
        <v>4439494</v>
      </c>
      <c r="G112" s="256" t="s">
        <v>674</v>
      </c>
      <c r="H112" s="256" t="s">
        <v>1513</v>
      </c>
      <c r="I112" s="256" t="s">
        <v>401</v>
      </c>
      <c r="J112" s="256" t="s">
        <v>1501</v>
      </c>
      <c r="K112" s="259">
        <v>46115.229166666664</v>
      </c>
      <c r="L112" s="259">
        <v>46118.78125</v>
      </c>
      <c r="M112" s="259">
        <v>46121.229166666664</v>
      </c>
      <c r="N112" s="259">
        <v>46122.663888888892</v>
      </c>
      <c r="O112" s="256" t="s">
        <v>1731</v>
      </c>
      <c r="P112" s="259">
        <v>46151.229166666664</v>
      </c>
      <c r="Q112" s="256">
        <v>1</v>
      </c>
      <c r="R112" s="256"/>
      <c r="S112" s="256">
        <v>2</v>
      </c>
      <c r="T112" s="256"/>
      <c r="U112" s="256" t="s">
        <v>1</v>
      </c>
      <c r="V112" s="256" t="s">
        <v>1</v>
      </c>
      <c r="W112" s="256" t="s">
        <v>1577</v>
      </c>
      <c r="X112" s="259">
        <v>46104.996527777781</v>
      </c>
      <c r="Y112" s="256" t="s">
        <v>1590</v>
      </c>
      <c r="Z112" s="256" t="s">
        <v>1730</v>
      </c>
      <c r="AA112" s="256" t="s">
        <v>1517</v>
      </c>
      <c r="AB112" s="256"/>
      <c r="AC112" s="256"/>
      <c r="AD112" s="256" t="s">
        <v>1732</v>
      </c>
      <c r="AE112" s="256" t="s">
        <v>402</v>
      </c>
    </row>
    <row r="113" spans="1:31">
      <c r="A113" s="256" t="s">
        <v>1573</v>
      </c>
      <c r="B113" s="256" t="s">
        <v>1471</v>
      </c>
      <c r="C113" s="256" t="s">
        <v>1574</v>
      </c>
      <c r="D113" s="256" t="s">
        <v>1575</v>
      </c>
      <c r="E113" s="256">
        <v>4440060</v>
      </c>
      <c r="F113" s="256">
        <v>4440017</v>
      </c>
      <c r="G113" s="256" t="s">
        <v>677</v>
      </c>
      <c r="H113" s="256" t="s">
        <v>1513</v>
      </c>
      <c r="I113" s="256" t="s">
        <v>401</v>
      </c>
      <c r="J113" s="256" t="s">
        <v>1501</v>
      </c>
      <c r="K113" s="259">
        <v>46121.979166666664</v>
      </c>
      <c r="L113" s="259">
        <v>46122.876388888886</v>
      </c>
      <c r="M113" s="259">
        <v>46122.229166666664</v>
      </c>
      <c r="N113" s="259">
        <v>46126.661805555559</v>
      </c>
      <c r="O113" s="256" t="s">
        <v>1731</v>
      </c>
      <c r="P113" s="259">
        <v>46151.229166666664</v>
      </c>
      <c r="Q113" s="256">
        <v>3</v>
      </c>
      <c r="R113" s="256"/>
      <c r="S113" s="256">
        <v>1</v>
      </c>
      <c r="T113" s="256"/>
      <c r="U113" s="256" t="s">
        <v>1</v>
      </c>
      <c r="V113" s="256" t="s">
        <v>1</v>
      </c>
      <c r="W113" s="256" t="s">
        <v>1577</v>
      </c>
      <c r="X113" s="259">
        <v>46105.554861111108</v>
      </c>
      <c r="Y113" s="256" t="s">
        <v>1733</v>
      </c>
      <c r="Z113" s="256" t="s">
        <v>1730</v>
      </c>
      <c r="AA113" s="256" t="s">
        <v>1517</v>
      </c>
      <c r="AB113" s="256"/>
      <c r="AC113" s="256"/>
      <c r="AD113" s="256" t="s">
        <v>1579</v>
      </c>
      <c r="AE113" s="256" t="s">
        <v>402</v>
      </c>
    </row>
    <row r="114" spans="1:31">
      <c r="A114" s="256" t="s">
        <v>1734</v>
      </c>
      <c r="B114" s="256" t="s">
        <v>1471</v>
      </c>
      <c r="C114" s="256" t="s">
        <v>1472</v>
      </c>
      <c r="D114" s="256" t="s">
        <v>1735</v>
      </c>
      <c r="E114" s="256">
        <v>4437646</v>
      </c>
      <c r="F114" s="256">
        <v>4437636</v>
      </c>
      <c r="G114" s="256" t="s">
        <v>1736</v>
      </c>
      <c r="H114" s="256" t="s">
        <v>242</v>
      </c>
      <c r="I114" s="256" t="s">
        <v>1737</v>
      </c>
      <c r="J114" s="256" t="s">
        <v>1477</v>
      </c>
      <c r="K114" s="259">
        <v>46132.979166666664</v>
      </c>
      <c r="L114" s="256"/>
      <c r="M114" s="259">
        <v>46132.229166666664</v>
      </c>
      <c r="N114" s="256"/>
      <c r="O114" s="256" t="s">
        <v>1738</v>
      </c>
      <c r="P114" s="259">
        <v>46151.229166666664</v>
      </c>
      <c r="Q114" s="256">
        <v>3</v>
      </c>
      <c r="R114" s="256"/>
      <c r="S114" s="256">
        <v>2</v>
      </c>
      <c r="T114" s="256"/>
      <c r="U114" s="256"/>
      <c r="V114" s="256"/>
      <c r="W114" s="256" t="s">
        <v>1567</v>
      </c>
      <c r="X114" s="259">
        <v>46101.539583333331</v>
      </c>
      <c r="Y114" s="256"/>
      <c r="Z114" s="256" t="s">
        <v>1739</v>
      </c>
      <c r="AA114" s="256" t="s">
        <v>1740</v>
      </c>
      <c r="AB114" s="256"/>
      <c r="AC114" s="256"/>
      <c r="AD114" s="256" t="s">
        <v>1741</v>
      </c>
      <c r="AE114" s="256" t="s">
        <v>402</v>
      </c>
    </row>
    <row r="115" spans="1:31">
      <c r="A115" s="256" t="s">
        <v>1742</v>
      </c>
      <c r="B115" s="256" t="s">
        <v>1471</v>
      </c>
      <c r="C115" s="256" t="s">
        <v>1574</v>
      </c>
      <c r="D115" s="256" t="s">
        <v>1575</v>
      </c>
      <c r="E115" s="256">
        <v>4437428</v>
      </c>
      <c r="F115" s="256">
        <v>4437408</v>
      </c>
      <c r="G115" s="256" t="s">
        <v>670</v>
      </c>
      <c r="H115" s="256" t="s">
        <v>1513</v>
      </c>
      <c r="I115" s="256" t="s">
        <v>401</v>
      </c>
      <c r="J115" s="256" t="s">
        <v>1501</v>
      </c>
      <c r="K115" s="259">
        <v>46118.229166666664</v>
      </c>
      <c r="L115" s="259">
        <v>46119.710416666669</v>
      </c>
      <c r="M115" s="259">
        <v>46122.229166666664</v>
      </c>
      <c r="N115" s="259">
        <v>46122.541666666664</v>
      </c>
      <c r="O115" s="256" t="s">
        <v>1731</v>
      </c>
      <c r="P115" s="259">
        <v>46151.229166666664</v>
      </c>
      <c r="Q115" s="256">
        <v>3</v>
      </c>
      <c r="R115" s="256"/>
      <c r="S115" s="256">
        <v>2</v>
      </c>
      <c r="T115" s="256"/>
      <c r="U115" s="256" t="s">
        <v>1</v>
      </c>
      <c r="V115" s="256" t="s">
        <v>1</v>
      </c>
      <c r="W115" s="256" t="s">
        <v>1577</v>
      </c>
      <c r="X115" s="259">
        <v>46101.48541666667</v>
      </c>
      <c r="Y115" s="256" t="s">
        <v>1590</v>
      </c>
      <c r="Z115" s="256" t="s">
        <v>1730</v>
      </c>
      <c r="AA115" s="256" t="s">
        <v>1517</v>
      </c>
      <c r="AB115" s="256"/>
      <c r="AC115" s="256"/>
      <c r="AD115" s="256" t="s">
        <v>1743</v>
      </c>
      <c r="AE115" s="256" t="s">
        <v>402</v>
      </c>
    </row>
    <row r="116" spans="1:31">
      <c r="A116" s="256" t="s">
        <v>1734</v>
      </c>
      <c r="B116" s="256" t="s">
        <v>1471</v>
      </c>
      <c r="C116" s="256" t="s">
        <v>1472</v>
      </c>
      <c r="D116" s="256" t="s">
        <v>1735</v>
      </c>
      <c r="E116" s="256">
        <v>4437646</v>
      </c>
      <c r="F116" s="256">
        <v>4437663</v>
      </c>
      <c r="G116" s="256" t="s">
        <v>1744</v>
      </c>
      <c r="H116" s="256" t="s">
        <v>1513</v>
      </c>
      <c r="I116" s="256" t="s">
        <v>1737</v>
      </c>
      <c r="J116" s="256" t="s">
        <v>1477</v>
      </c>
      <c r="K116" s="259">
        <v>46119.229166666664</v>
      </c>
      <c r="L116" s="259">
        <v>46118.229166666664</v>
      </c>
      <c r="M116" s="259">
        <v>46122.229166666664</v>
      </c>
      <c r="N116" s="259">
        <v>46126.765972222223</v>
      </c>
      <c r="O116" s="256" t="s">
        <v>1745</v>
      </c>
      <c r="P116" s="259">
        <v>46151.229166666664</v>
      </c>
      <c r="Q116" s="256">
        <v>3</v>
      </c>
      <c r="R116" s="256"/>
      <c r="S116" s="256">
        <v>2</v>
      </c>
      <c r="T116" s="256"/>
      <c r="U116" s="256" t="s">
        <v>1</v>
      </c>
      <c r="V116" s="256" t="s">
        <v>1</v>
      </c>
      <c r="W116" s="256" t="s">
        <v>1567</v>
      </c>
      <c r="X116" s="259">
        <v>46101.563194444447</v>
      </c>
      <c r="Y116" s="256"/>
      <c r="Z116" s="256" t="s">
        <v>1739</v>
      </c>
      <c r="AA116" s="256" t="s">
        <v>1740</v>
      </c>
      <c r="AB116" s="256"/>
      <c r="AC116" s="256"/>
      <c r="AD116" s="256" t="s">
        <v>1741</v>
      </c>
      <c r="AE116" s="256" t="s">
        <v>402</v>
      </c>
    </row>
    <row r="117" spans="1:31">
      <c r="A117" s="256" t="s">
        <v>1746</v>
      </c>
      <c r="B117" s="256" t="s">
        <v>1471</v>
      </c>
      <c r="C117" s="256" t="s">
        <v>1747</v>
      </c>
      <c r="D117" s="256" t="s">
        <v>1747</v>
      </c>
      <c r="E117" s="256">
        <v>4429551</v>
      </c>
      <c r="F117" s="256">
        <v>4436381</v>
      </c>
      <c r="G117" s="256" t="s">
        <v>617</v>
      </c>
      <c r="H117" s="256" t="s">
        <v>242</v>
      </c>
      <c r="I117" s="256" t="s">
        <v>1748</v>
      </c>
      <c r="J117" s="256" t="s">
        <v>1558</v>
      </c>
      <c r="K117" s="259">
        <v>46133.229166666664</v>
      </c>
      <c r="L117" s="256"/>
      <c r="M117" s="259">
        <v>46139.229166666664</v>
      </c>
      <c r="N117" s="256"/>
      <c r="O117" s="256" t="s">
        <v>1749</v>
      </c>
      <c r="P117" s="259">
        <v>46151.229166666664</v>
      </c>
      <c r="Q117" s="256">
        <v>5</v>
      </c>
      <c r="R117" s="256"/>
      <c r="S117" s="256">
        <v>2</v>
      </c>
      <c r="T117" s="256"/>
      <c r="U117" s="256"/>
      <c r="V117" s="256"/>
      <c r="W117" s="256" t="s">
        <v>1508</v>
      </c>
      <c r="X117" s="259">
        <v>46100.504166666666</v>
      </c>
      <c r="Y117" s="256" t="s">
        <v>1750</v>
      </c>
      <c r="Z117" s="256" t="s">
        <v>1751</v>
      </c>
      <c r="AA117" s="256" t="s">
        <v>1492</v>
      </c>
      <c r="AB117" s="256"/>
      <c r="AC117" s="256"/>
      <c r="AD117" s="256" t="s">
        <v>1752</v>
      </c>
      <c r="AE117" s="256" t="s">
        <v>402</v>
      </c>
    </row>
    <row r="118" spans="1:31">
      <c r="A118" s="256" t="s">
        <v>357</v>
      </c>
      <c r="B118" s="256" t="s">
        <v>1511</v>
      </c>
      <c r="C118" s="256" t="s">
        <v>280</v>
      </c>
      <c r="D118" s="256" t="s">
        <v>255</v>
      </c>
      <c r="E118" s="256">
        <v>4428652</v>
      </c>
      <c r="F118" s="256">
        <v>4428657</v>
      </c>
      <c r="G118" s="256" t="s">
        <v>585</v>
      </c>
      <c r="H118" s="256" t="s">
        <v>305</v>
      </c>
      <c r="I118" s="256" t="s">
        <v>401</v>
      </c>
      <c r="J118" s="256" t="s">
        <v>1728</v>
      </c>
      <c r="K118" s="259">
        <v>46129.229166666664</v>
      </c>
      <c r="L118" s="259">
        <v>46126.654861111114</v>
      </c>
      <c r="M118" s="259">
        <v>46136.229166666664</v>
      </c>
      <c r="N118" s="256"/>
      <c r="O118" s="256" t="s">
        <v>1753</v>
      </c>
      <c r="P118" s="259">
        <v>46151.229166666664</v>
      </c>
      <c r="Q118" s="256">
        <v>1</v>
      </c>
      <c r="R118" s="256"/>
      <c r="S118" s="256">
        <v>2</v>
      </c>
      <c r="T118" s="256"/>
      <c r="U118" s="256" t="s">
        <v>1</v>
      </c>
      <c r="V118" s="256" t="s">
        <v>1</v>
      </c>
      <c r="W118" s="256" t="s">
        <v>1515</v>
      </c>
      <c r="X118" s="259">
        <v>46097.638194444444</v>
      </c>
      <c r="Y118" s="256" t="s">
        <v>1560</v>
      </c>
      <c r="Z118" s="256" t="s">
        <v>1730</v>
      </c>
      <c r="AA118" s="256" t="s">
        <v>1517</v>
      </c>
      <c r="AB118" s="256"/>
      <c r="AC118" s="256"/>
      <c r="AD118" s="256" t="s">
        <v>1754</v>
      </c>
      <c r="AE118" s="256" t="s">
        <v>402</v>
      </c>
    </row>
    <row r="119" spans="1:31">
      <c r="A119" s="256" t="s">
        <v>1746</v>
      </c>
      <c r="B119" s="256" t="s">
        <v>1471</v>
      </c>
      <c r="C119" s="256" t="s">
        <v>1747</v>
      </c>
      <c r="D119" s="256" t="s">
        <v>1747</v>
      </c>
      <c r="E119" s="256">
        <v>4429551</v>
      </c>
      <c r="F119" s="256">
        <v>4429554</v>
      </c>
      <c r="G119" s="256" t="s">
        <v>602</v>
      </c>
      <c r="H119" s="256" t="s">
        <v>242</v>
      </c>
      <c r="I119" s="256" t="s">
        <v>1748</v>
      </c>
      <c r="J119" s="256" t="s">
        <v>1558</v>
      </c>
      <c r="K119" s="259">
        <v>46132.229166666664</v>
      </c>
      <c r="L119" s="256"/>
      <c r="M119" s="259">
        <v>46134.229166666664</v>
      </c>
      <c r="N119" s="256"/>
      <c r="O119" s="256" t="s">
        <v>1755</v>
      </c>
      <c r="P119" s="259">
        <v>46151.229166666664</v>
      </c>
      <c r="Q119" s="256">
        <v>3</v>
      </c>
      <c r="R119" s="256"/>
      <c r="S119" s="256">
        <v>2</v>
      </c>
      <c r="T119" s="256"/>
      <c r="U119" s="256"/>
      <c r="V119" s="256"/>
      <c r="W119" s="256" t="s">
        <v>1508</v>
      </c>
      <c r="X119" s="259">
        <v>46097.806250000001</v>
      </c>
      <c r="Y119" s="256" t="s">
        <v>1750</v>
      </c>
      <c r="Z119" s="256" t="s">
        <v>1751</v>
      </c>
      <c r="AA119" s="256" t="s">
        <v>1492</v>
      </c>
      <c r="AB119" s="256"/>
      <c r="AC119" s="256"/>
      <c r="AD119" s="256" t="s">
        <v>1756</v>
      </c>
      <c r="AE119" s="256" t="s">
        <v>402</v>
      </c>
    </row>
    <row r="120" spans="1:31">
      <c r="A120" s="256" t="s">
        <v>1746</v>
      </c>
      <c r="B120" s="256" t="s">
        <v>1471</v>
      </c>
      <c r="C120" s="256" t="s">
        <v>1747</v>
      </c>
      <c r="D120" s="256" t="s">
        <v>1747</v>
      </c>
      <c r="E120" s="256">
        <v>4429551</v>
      </c>
      <c r="F120" s="256">
        <v>4429581</v>
      </c>
      <c r="G120" s="256" t="s">
        <v>607</v>
      </c>
      <c r="H120" s="256" t="s">
        <v>242</v>
      </c>
      <c r="I120" s="256" t="s">
        <v>1748</v>
      </c>
      <c r="J120" s="256" t="s">
        <v>1558</v>
      </c>
      <c r="K120" s="259">
        <v>46133.229166666664</v>
      </c>
      <c r="L120" s="256"/>
      <c r="M120" s="259">
        <v>46140.229166666664</v>
      </c>
      <c r="N120" s="256"/>
      <c r="O120" s="256" t="s">
        <v>1757</v>
      </c>
      <c r="P120" s="259">
        <v>46151.229166666664</v>
      </c>
      <c r="Q120" s="256">
        <v>5</v>
      </c>
      <c r="R120" s="256"/>
      <c r="S120" s="256">
        <v>2</v>
      </c>
      <c r="T120" s="256"/>
      <c r="U120" s="256"/>
      <c r="V120" s="256"/>
      <c r="W120" s="256" t="s">
        <v>1508</v>
      </c>
      <c r="X120" s="259">
        <v>46097.815972222219</v>
      </c>
      <c r="Y120" s="256" t="s">
        <v>1750</v>
      </c>
      <c r="Z120" s="256" t="s">
        <v>1751</v>
      </c>
      <c r="AA120" s="256" t="s">
        <v>1492</v>
      </c>
      <c r="AB120" s="256"/>
      <c r="AC120" s="256"/>
      <c r="AD120" s="256" t="s">
        <v>1752</v>
      </c>
      <c r="AE120" s="256" t="s">
        <v>402</v>
      </c>
    </row>
    <row r="121" spans="1:31">
      <c r="A121" s="256" t="s">
        <v>1746</v>
      </c>
      <c r="B121" s="256" t="s">
        <v>1471</v>
      </c>
      <c r="C121" s="256" t="s">
        <v>1747</v>
      </c>
      <c r="D121" s="256" t="s">
        <v>1747</v>
      </c>
      <c r="E121" s="256">
        <v>4429551</v>
      </c>
      <c r="F121" s="256">
        <v>4434050</v>
      </c>
      <c r="G121" s="256" t="s">
        <v>616</v>
      </c>
      <c r="H121" s="256" t="s">
        <v>242</v>
      </c>
      <c r="I121" s="256" t="s">
        <v>1748</v>
      </c>
      <c r="J121" s="256" t="s">
        <v>1558</v>
      </c>
      <c r="K121" s="259">
        <v>46132.229166666664</v>
      </c>
      <c r="L121" s="256"/>
      <c r="M121" s="259">
        <v>46134.229166666664</v>
      </c>
      <c r="N121" s="256"/>
      <c r="O121" s="256" t="s">
        <v>1758</v>
      </c>
      <c r="P121" s="259">
        <v>46151.229166666664</v>
      </c>
      <c r="Q121" s="256">
        <v>3</v>
      </c>
      <c r="R121" s="256"/>
      <c r="S121" s="256">
        <v>2</v>
      </c>
      <c r="T121" s="256"/>
      <c r="U121" s="256"/>
      <c r="V121" s="256"/>
      <c r="W121" s="256" t="s">
        <v>1508</v>
      </c>
      <c r="X121" s="259">
        <v>46099.404166666667</v>
      </c>
      <c r="Y121" s="256" t="s">
        <v>1750</v>
      </c>
      <c r="Z121" s="256" t="s">
        <v>1751</v>
      </c>
      <c r="AA121" s="256" t="s">
        <v>1492</v>
      </c>
      <c r="AB121" s="256"/>
      <c r="AC121" s="256"/>
      <c r="AD121" s="256" t="s">
        <v>1752</v>
      </c>
      <c r="AE121" s="256" t="s">
        <v>402</v>
      </c>
    </row>
    <row r="122" spans="1:31">
      <c r="A122" s="256" t="s">
        <v>1759</v>
      </c>
      <c r="B122" s="256" t="s">
        <v>1471</v>
      </c>
      <c r="C122" s="256" t="s">
        <v>1747</v>
      </c>
      <c r="D122" s="256" t="s">
        <v>1747</v>
      </c>
      <c r="E122" s="256">
        <v>4448487</v>
      </c>
      <c r="F122" s="256">
        <v>4458807</v>
      </c>
      <c r="G122" s="256" t="s">
        <v>1358</v>
      </c>
      <c r="H122" s="256" t="s">
        <v>1760</v>
      </c>
      <c r="I122" s="256" t="s">
        <v>1748</v>
      </c>
      <c r="J122" s="256" t="s">
        <v>1558</v>
      </c>
      <c r="K122" s="259">
        <v>46129.979166666664</v>
      </c>
      <c r="L122" s="259">
        <v>46128.688888888886</v>
      </c>
      <c r="M122" s="259">
        <v>46140.229166666664</v>
      </c>
      <c r="N122" s="256"/>
      <c r="O122" s="256" t="s">
        <v>1761</v>
      </c>
      <c r="P122" s="259">
        <v>46151.229166666664</v>
      </c>
      <c r="Q122" s="256">
        <v>3</v>
      </c>
      <c r="R122" s="256"/>
      <c r="S122" s="256">
        <v>2</v>
      </c>
      <c r="T122" s="256"/>
      <c r="U122" s="256" t="s">
        <v>1</v>
      </c>
      <c r="V122" s="256" t="s">
        <v>1</v>
      </c>
      <c r="W122" s="256" t="s">
        <v>1508</v>
      </c>
      <c r="X122" s="259">
        <v>46113.782638888886</v>
      </c>
      <c r="Y122" s="256" t="s">
        <v>1762</v>
      </c>
      <c r="Z122" s="256" t="s">
        <v>1751</v>
      </c>
      <c r="AA122" s="256" t="s">
        <v>1492</v>
      </c>
      <c r="AB122" s="256"/>
      <c r="AC122" s="256"/>
      <c r="AD122" s="256" t="s">
        <v>1763</v>
      </c>
      <c r="AE122" s="256" t="s">
        <v>402</v>
      </c>
    </row>
    <row r="123" spans="1:31">
      <c r="A123" s="256" t="s">
        <v>1764</v>
      </c>
      <c r="B123" s="256" t="s">
        <v>1471</v>
      </c>
      <c r="C123" s="256" t="s">
        <v>1574</v>
      </c>
      <c r="D123" s="256" t="s">
        <v>1575</v>
      </c>
      <c r="E123" s="256">
        <v>4459392</v>
      </c>
      <c r="F123" s="256">
        <v>4459390</v>
      </c>
      <c r="G123" s="256" t="s">
        <v>1345</v>
      </c>
      <c r="H123" s="256" t="s">
        <v>305</v>
      </c>
      <c r="I123" s="256" t="s">
        <v>401</v>
      </c>
      <c r="J123" s="256" t="s">
        <v>1501</v>
      </c>
      <c r="K123" s="259">
        <v>46129.229166666664</v>
      </c>
      <c r="L123" s="259">
        <v>46122.870138888888</v>
      </c>
      <c r="M123" s="259">
        <v>46134.229166666664</v>
      </c>
      <c r="N123" s="256"/>
      <c r="O123" s="256" t="s">
        <v>1507</v>
      </c>
      <c r="P123" s="259">
        <v>46151.229166666664</v>
      </c>
      <c r="Q123" s="256">
        <v>3</v>
      </c>
      <c r="R123" s="256"/>
      <c r="S123" s="256">
        <v>2</v>
      </c>
      <c r="T123" s="256"/>
      <c r="U123" s="256" t="s">
        <v>1</v>
      </c>
      <c r="V123" s="256" t="s">
        <v>1</v>
      </c>
      <c r="W123" s="256" t="s">
        <v>1577</v>
      </c>
      <c r="X123" s="259">
        <v>46114.439583333333</v>
      </c>
      <c r="Y123" s="256" t="s">
        <v>1765</v>
      </c>
      <c r="Z123" s="256" t="s">
        <v>1730</v>
      </c>
      <c r="AA123" s="256" t="s">
        <v>1517</v>
      </c>
      <c r="AB123" s="256"/>
      <c r="AC123" s="256"/>
      <c r="AD123" s="256" t="s">
        <v>1766</v>
      </c>
      <c r="AE123" s="256" t="s">
        <v>402</v>
      </c>
    </row>
    <row r="124" spans="1:31">
      <c r="A124" s="256" t="s">
        <v>1759</v>
      </c>
      <c r="B124" s="256" t="s">
        <v>1471</v>
      </c>
      <c r="C124" s="256" t="s">
        <v>1747</v>
      </c>
      <c r="D124" s="256" t="s">
        <v>1747</v>
      </c>
      <c r="E124" s="256">
        <v>4448487</v>
      </c>
      <c r="F124" s="256">
        <v>4456454</v>
      </c>
      <c r="G124" s="256" t="s">
        <v>1355</v>
      </c>
      <c r="H124" s="256" t="s">
        <v>305</v>
      </c>
      <c r="I124" s="256" t="s">
        <v>1748</v>
      </c>
      <c r="J124" s="256" t="s">
        <v>1558</v>
      </c>
      <c r="K124" s="259">
        <v>46128.979166666664</v>
      </c>
      <c r="L124" s="259">
        <v>46128.654166666667</v>
      </c>
      <c r="M124" s="259">
        <v>46136.229166666664</v>
      </c>
      <c r="N124" s="256"/>
      <c r="O124" s="256" t="s">
        <v>1767</v>
      </c>
      <c r="P124" s="259">
        <v>46151.229166666664</v>
      </c>
      <c r="Q124" s="256">
        <v>3</v>
      </c>
      <c r="R124" s="256"/>
      <c r="S124" s="256">
        <v>2</v>
      </c>
      <c r="T124" s="256"/>
      <c r="U124" s="256" t="s">
        <v>1</v>
      </c>
      <c r="V124" s="256" t="s">
        <v>1</v>
      </c>
      <c r="W124" s="256" t="s">
        <v>1508</v>
      </c>
      <c r="X124" s="259">
        <v>46113.359027777777</v>
      </c>
      <c r="Y124" s="256" t="s">
        <v>1762</v>
      </c>
      <c r="Z124" s="256" t="s">
        <v>1751</v>
      </c>
      <c r="AA124" s="256" t="s">
        <v>1492</v>
      </c>
      <c r="AB124" s="256"/>
      <c r="AC124" s="256"/>
      <c r="AD124" s="256" t="s">
        <v>1763</v>
      </c>
      <c r="AE124" s="256" t="s">
        <v>402</v>
      </c>
    </row>
    <row r="125" spans="1:31">
      <c r="A125" s="256" t="s">
        <v>398</v>
      </c>
      <c r="B125" s="256" t="s">
        <v>1486</v>
      </c>
      <c r="C125" s="256" t="s">
        <v>1661</v>
      </c>
      <c r="D125" s="256" t="s">
        <v>397</v>
      </c>
      <c r="E125" s="256">
        <v>4441807</v>
      </c>
      <c r="F125" s="256">
        <v>4443542</v>
      </c>
      <c r="G125" s="256" t="s">
        <v>399</v>
      </c>
      <c r="H125" s="256" t="s">
        <v>305</v>
      </c>
      <c r="I125" s="256" t="s">
        <v>401</v>
      </c>
      <c r="J125" s="256" t="s">
        <v>1728</v>
      </c>
      <c r="K125" s="259">
        <v>46126.229166666664</v>
      </c>
      <c r="L125" s="259">
        <v>46122.953472222223</v>
      </c>
      <c r="M125" s="259">
        <v>46135.229166666664</v>
      </c>
      <c r="N125" s="256"/>
      <c r="O125" s="256" t="s">
        <v>1768</v>
      </c>
      <c r="P125" s="259">
        <v>46151.229166666664</v>
      </c>
      <c r="Q125" s="256">
        <v>3</v>
      </c>
      <c r="R125" s="256"/>
      <c r="S125" s="256">
        <v>2</v>
      </c>
      <c r="T125" s="256"/>
      <c r="U125" s="256" t="s">
        <v>1</v>
      </c>
      <c r="V125" s="256" t="s">
        <v>1</v>
      </c>
      <c r="W125" s="256" t="s">
        <v>1769</v>
      </c>
      <c r="X125" s="259">
        <v>46106.725694444445</v>
      </c>
      <c r="Y125" s="256" t="s">
        <v>1770</v>
      </c>
      <c r="Z125" s="256" t="s">
        <v>1730</v>
      </c>
      <c r="AA125" s="256" t="s">
        <v>1534</v>
      </c>
      <c r="AB125" s="256"/>
      <c r="AC125" s="256"/>
      <c r="AD125" s="256" t="s">
        <v>1754</v>
      </c>
      <c r="AE125" s="256" t="s">
        <v>402</v>
      </c>
    </row>
    <row r="126" spans="1:31">
      <c r="A126" s="256" t="s">
        <v>1771</v>
      </c>
      <c r="B126" s="256" t="s">
        <v>1486</v>
      </c>
      <c r="C126" s="256" t="s">
        <v>1772</v>
      </c>
      <c r="D126" s="256" t="s">
        <v>1419</v>
      </c>
      <c r="E126" s="256">
        <v>4443485</v>
      </c>
      <c r="F126" s="256">
        <v>4443505</v>
      </c>
      <c r="G126" s="256" t="s">
        <v>1773</v>
      </c>
      <c r="H126" s="256" t="s">
        <v>1513</v>
      </c>
      <c r="I126" s="256" t="s">
        <v>401</v>
      </c>
      <c r="J126" s="256" t="s">
        <v>1477</v>
      </c>
      <c r="K126" s="259">
        <v>46122.229166666664</v>
      </c>
      <c r="L126" s="259">
        <v>46121.7</v>
      </c>
      <c r="M126" s="259">
        <v>46127.229166666664</v>
      </c>
      <c r="N126" s="259">
        <v>46127.018750000003</v>
      </c>
      <c r="O126" s="256" t="s">
        <v>1745</v>
      </c>
      <c r="P126" s="259">
        <v>46151.229166666664</v>
      </c>
      <c r="Q126" s="256">
        <v>3</v>
      </c>
      <c r="R126" s="256"/>
      <c r="S126" s="256">
        <v>2</v>
      </c>
      <c r="T126" s="256"/>
      <c r="U126" s="256" t="s">
        <v>1</v>
      </c>
      <c r="V126" s="256" t="s">
        <v>1</v>
      </c>
      <c r="W126" s="256" t="s">
        <v>1769</v>
      </c>
      <c r="X126" s="259">
        <v>46106.695138888892</v>
      </c>
      <c r="Y126" s="256" t="s">
        <v>1774</v>
      </c>
      <c r="Z126" s="256" t="s">
        <v>1730</v>
      </c>
      <c r="AA126" s="256" t="s">
        <v>1534</v>
      </c>
      <c r="AB126" s="256"/>
      <c r="AC126" s="256"/>
      <c r="AD126" s="256" t="s">
        <v>1775</v>
      </c>
      <c r="AE126" s="256" t="s">
        <v>402</v>
      </c>
    </row>
    <row r="127" spans="1:31">
      <c r="A127" s="256" t="s">
        <v>1771</v>
      </c>
      <c r="B127" s="256" t="s">
        <v>1486</v>
      </c>
      <c r="C127" s="256" t="s">
        <v>1772</v>
      </c>
      <c r="D127" s="256" t="s">
        <v>1776</v>
      </c>
      <c r="E127" s="256">
        <v>4443485</v>
      </c>
      <c r="F127" s="256">
        <v>4443486</v>
      </c>
      <c r="G127" s="256" t="s">
        <v>1777</v>
      </c>
      <c r="H127" s="256" t="s">
        <v>1513</v>
      </c>
      <c r="I127" s="256" t="s">
        <v>401</v>
      </c>
      <c r="J127" s="256" t="s">
        <v>1477</v>
      </c>
      <c r="K127" s="259">
        <v>46122.229166666664</v>
      </c>
      <c r="L127" s="259">
        <v>46121.697916666664</v>
      </c>
      <c r="M127" s="259">
        <v>46127.229166666664</v>
      </c>
      <c r="N127" s="259">
        <v>46127.873611111114</v>
      </c>
      <c r="O127" s="256" t="s">
        <v>1745</v>
      </c>
      <c r="P127" s="259">
        <v>46151.229166666664</v>
      </c>
      <c r="Q127" s="256">
        <v>3</v>
      </c>
      <c r="R127" s="256"/>
      <c r="S127" s="256">
        <v>2</v>
      </c>
      <c r="T127" s="256"/>
      <c r="U127" s="256" t="s">
        <v>1</v>
      </c>
      <c r="V127" s="256" t="s">
        <v>1</v>
      </c>
      <c r="W127" s="256" t="s">
        <v>1769</v>
      </c>
      <c r="X127" s="259">
        <v>46106.682638888888</v>
      </c>
      <c r="Y127" s="256" t="s">
        <v>1778</v>
      </c>
      <c r="Z127" s="256" t="s">
        <v>1730</v>
      </c>
      <c r="AA127" s="256" t="s">
        <v>1534</v>
      </c>
      <c r="AB127" s="256"/>
      <c r="AC127" s="256"/>
      <c r="AD127" s="256" t="s">
        <v>1779</v>
      </c>
      <c r="AE127" s="256" t="s">
        <v>402</v>
      </c>
    </row>
    <row r="128" spans="1:31">
      <c r="A128" s="256" t="s">
        <v>1771</v>
      </c>
      <c r="B128" s="256" t="s">
        <v>1486</v>
      </c>
      <c r="C128" s="256" t="s">
        <v>1772</v>
      </c>
      <c r="D128" s="256" t="s">
        <v>285</v>
      </c>
      <c r="E128" s="256">
        <v>4443485</v>
      </c>
      <c r="F128" s="256">
        <v>4443500</v>
      </c>
      <c r="G128" s="256" t="s">
        <v>1780</v>
      </c>
      <c r="H128" s="256" t="s">
        <v>1513</v>
      </c>
      <c r="I128" s="256" t="s">
        <v>401</v>
      </c>
      <c r="J128" s="256" t="s">
        <v>1477</v>
      </c>
      <c r="K128" s="259">
        <v>46122.229166666664</v>
      </c>
      <c r="L128" s="259">
        <v>46121.699305555558</v>
      </c>
      <c r="M128" s="259">
        <v>46127.229166666664</v>
      </c>
      <c r="N128" s="259">
        <v>46127.695833333331</v>
      </c>
      <c r="O128" s="256" t="s">
        <v>1745</v>
      </c>
      <c r="P128" s="259">
        <v>46151.229166666664</v>
      </c>
      <c r="Q128" s="256">
        <v>3</v>
      </c>
      <c r="R128" s="256"/>
      <c r="S128" s="256">
        <v>2</v>
      </c>
      <c r="T128" s="256"/>
      <c r="U128" s="256" t="s">
        <v>1</v>
      </c>
      <c r="V128" s="256" t="s">
        <v>1</v>
      </c>
      <c r="W128" s="256" t="s">
        <v>1769</v>
      </c>
      <c r="X128" s="259">
        <v>46106.692361111112</v>
      </c>
      <c r="Y128" s="256" t="s">
        <v>1781</v>
      </c>
      <c r="Z128" s="256" t="s">
        <v>1730</v>
      </c>
      <c r="AA128" s="256" t="s">
        <v>1534</v>
      </c>
      <c r="AB128" s="256"/>
      <c r="AC128" s="256"/>
      <c r="AD128" s="256" t="s">
        <v>1782</v>
      </c>
      <c r="AE128" s="256" t="s">
        <v>402</v>
      </c>
    </row>
    <row r="129" spans="1:31">
      <c r="A129" s="256" t="s">
        <v>1783</v>
      </c>
      <c r="B129" s="256" t="s">
        <v>1471</v>
      </c>
      <c r="C129" s="256" t="s">
        <v>1472</v>
      </c>
      <c r="D129" s="256" t="s">
        <v>1784</v>
      </c>
      <c r="E129" s="256">
        <v>4446210</v>
      </c>
      <c r="F129" s="256">
        <v>4441963</v>
      </c>
      <c r="G129" s="256" t="s">
        <v>621</v>
      </c>
      <c r="H129" s="256" t="s">
        <v>1513</v>
      </c>
      <c r="I129" s="256" t="s">
        <v>1785</v>
      </c>
      <c r="J129" s="256" t="s">
        <v>1558</v>
      </c>
      <c r="K129" s="259">
        <v>46122.229166666664</v>
      </c>
      <c r="L129" s="259">
        <v>46122.910416666666</v>
      </c>
      <c r="M129" s="259">
        <v>46129.229166666664</v>
      </c>
      <c r="N129" s="259">
        <v>46127.875694444447</v>
      </c>
      <c r="O129" s="256" t="s">
        <v>1745</v>
      </c>
      <c r="P129" s="259">
        <v>46151.229166666664</v>
      </c>
      <c r="Q129" s="256">
        <v>8</v>
      </c>
      <c r="R129" s="256"/>
      <c r="S129" s="256">
        <v>2</v>
      </c>
      <c r="T129" s="256"/>
      <c r="U129" s="256" t="s">
        <v>1</v>
      </c>
      <c r="V129" s="256" t="s">
        <v>1</v>
      </c>
      <c r="W129" s="256" t="s">
        <v>1786</v>
      </c>
      <c r="X129" s="259">
        <v>46106.018750000003</v>
      </c>
      <c r="Y129" s="256"/>
      <c r="Z129" s="256" t="s">
        <v>1787</v>
      </c>
      <c r="AA129" s="256" t="s">
        <v>1788</v>
      </c>
      <c r="AB129" s="256"/>
      <c r="AC129" s="256"/>
      <c r="AD129" s="256" t="s">
        <v>1789</v>
      </c>
      <c r="AE129" s="256" t="s">
        <v>402</v>
      </c>
    </row>
    <row r="130" spans="1:31">
      <c r="A130" s="256" t="s">
        <v>398</v>
      </c>
      <c r="B130" s="256" t="s">
        <v>1486</v>
      </c>
      <c r="C130" s="256" t="s">
        <v>1661</v>
      </c>
      <c r="D130" s="256" t="s">
        <v>413</v>
      </c>
      <c r="E130" s="256">
        <v>4441807</v>
      </c>
      <c r="F130" s="256">
        <v>4440942</v>
      </c>
      <c r="G130" s="256" t="s">
        <v>414</v>
      </c>
      <c r="H130" s="256" t="s">
        <v>305</v>
      </c>
      <c r="I130" s="256" t="s">
        <v>401</v>
      </c>
      <c r="J130" s="256" t="s">
        <v>1728</v>
      </c>
      <c r="K130" s="259">
        <v>46122.229166666664</v>
      </c>
      <c r="L130" s="259">
        <v>46122.951388888891</v>
      </c>
      <c r="M130" s="259">
        <v>46133.229166666664</v>
      </c>
      <c r="N130" s="256"/>
      <c r="O130" s="256" t="s">
        <v>1768</v>
      </c>
      <c r="P130" s="259">
        <v>46151.229166666664</v>
      </c>
      <c r="Q130" s="256">
        <v>3</v>
      </c>
      <c r="R130" s="256"/>
      <c r="S130" s="256">
        <v>2</v>
      </c>
      <c r="T130" s="256"/>
      <c r="U130" s="256" t="s">
        <v>1</v>
      </c>
      <c r="V130" s="256" t="s">
        <v>1</v>
      </c>
      <c r="W130" s="256" t="s">
        <v>1769</v>
      </c>
      <c r="X130" s="259">
        <v>46105.722916666666</v>
      </c>
      <c r="Y130" s="256" t="s">
        <v>1790</v>
      </c>
      <c r="Z130" s="256" t="s">
        <v>1730</v>
      </c>
      <c r="AA130" s="256" t="s">
        <v>1534</v>
      </c>
      <c r="AB130" s="256"/>
      <c r="AC130" s="256"/>
      <c r="AD130" s="256" t="s">
        <v>1754</v>
      </c>
      <c r="AE130" s="256" t="s">
        <v>402</v>
      </c>
    </row>
    <row r="131" spans="1:31">
      <c r="A131" s="256" t="s">
        <v>1783</v>
      </c>
      <c r="B131" s="256" t="s">
        <v>1471</v>
      </c>
      <c r="C131" s="256" t="s">
        <v>280</v>
      </c>
      <c r="D131" s="256" t="s">
        <v>1791</v>
      </c>
      <c r="E131" s="256">
        <v>4446210</v>
      </c>
      <c r="F131" s="256">
        <v>4441955</v>
      </c>
      <c r="G131" s="256" t="s">
        <v>619</v>
      </c>
      <c r="H131" s="256" t="s">
        <v>242</v>
      </c>
      <c r="I131" s="256" t="s">
        <v>1785</v>
      </c>
      <c r="J131" s="256" t="s">
        <v>1558</v>
      </c>
      <c r="K131" s="259">
        <v>46134.229166666664</v>
      </c>
      <c r="L131" s="256"/>
      <c r="M131" s="259">
        <v>46140.229166666664</v>
      </c>
      <c r="N131" s="256"/>
      <c r="O131" s="256" t="s">
        <v>1792</v>
      </c>
      <c r="P131" s="259">
        <v>46151.229166666664</v>
      </c>
      <c r="Q131" s="256">
        <v>8</v>
      </c>
      <c r="R131" s="256"/>
      <c r="S131" s="256">
        <v>2</v>
      </c>
      <c r="T131" s="256"/>
      <c r="U131" s="256" t="s">
        <v>1</v>
      </c>
      <c r="V131" s="256" t="s">
        <v>1</v>
      </c>
      <c r="W131" s="256" t="s">
        <v>1786</v>
      </c>
      <c r="X131" s="259">
        <v>46105.990277777775</v>
      </c>
      <c r="Y131" s="256"/>
      <c r="Z131" s="256" t="s">
        <v>1787</v>
      </c>
      <c r="AA131" s="256" t="s">
        <v>1517</v>
      </c>
      <c r="AB131" s="256"/>
      <c r="AC131" s="256"/>
      <c r="AD131" s="256" t="s">
        <v>1793</v>
      </c>
      <c r="AE131" s="256" t="s">
        <v>402</v>
      </c>
    </row>
    <row r="132" spans="1:31">
      <c r="A132" s="256" t="s">
        <v>1573</v>
      </c>
      <c r="B132" s="256" t="s">
        <v>1471</v>
      </c>
      <c r="C132" s="256" t="s">
        <v>1574</v>
      </c>
      <c r="D132" s="256" t="s">
        <v>1575</v>
      </c>
      <c r="E132" s="256">
        <v>4440060</v>
      </c>
      <c r="F132" s="256">
        <v>4440021</v>
      </c>
      <c r="G132" s="256" t="s">
        <v>1359</v>
      </c>
      <c r="H132" s="256" t="s">
        <v>1760</v>
      </c>
      <c r="I132" s="256" t="s">
        <v>1794</v>
      </c>
      <c r="J132" s="256" t="s">
        <v>1558</v>
      </c>
      <c r="K132" s="259">
        <v>46129.229166666664</v>
      </c>
      <c r="L132" s="259">
        <v>46127.020138888889</v>
      </c>
      <c r="M132" s="259">
        <v>46133.229166666664</v>
      </c>
      <c r="N132" s="256"/>
      <c r="O132" s="256" t="s">
        <v>1761</v>
      </c>
      <c r="P132" s="259">
        <v>46151.229166666664</v>
      </c>
      <c r="Q132" s="256">
        <v>5</v>
      </c>
      <c r="R132" s="256"/>
      <c r="S132" s="256">
        <v>1</v>
      </c>
      <c r="T132" s="256"/>
      <c r="U132" s="256" t="s">
        <v>1</v>
      </c>
      <c r="V132" s="256" t="s">
        <v>1</v>
      </c>
      <c r="W132" s="256" t="s">
        <v>1577</v>
      </c>
      <c r="X132" s="259">
        <v>46105.554861111108</v>
      </c>
      <c r="Y132" s="256" t="s">
        <v>1578</v>
      </c>
      <c r="Z132" s="256" t="s">
        <v>1795</v>
      </c>
      <c r="AA132" s="256" t="s">
        <v>1517</v>
      </c>
      <c r="AB132" s="256"/>
      <c r="AC132" s="256"/>
      <c r="AD132" s="256" t="s">
        <v>1579</v>
      </c>
      <c r="AE132" s="256" t="s">
        <v>402</v>
      </c>
    </row>
    <row r="133" spans="1:31">
      <c r="A133" s="256" t="s">
        <v>1505</v>
      </c>
      <c r="B133" s="256" t="s">
        <v>1471</v>
      </c>
      <c r="C133" s="256" t="s">
        <v>1472</v>
      </c>
      <c r="D133" s="256" t="s">
        <v>1506</v>
      </c>
      <c r="E133" s="256">
        <v>4440976</v>
      </c>
      <c r="F133" s="256">
        <v>4447591</v>
      </c>
      <c r="G133" s="256" t="s">
        <v>625</v>
      </c>
      <c r="H133" s="256" t="s">
        <v>305</v>
      </c>
      <c r="I133" s="256" t="s">
        <v>1748</v>
      </c>
      <c r="J133" s="256" t="s">
        <v>1558</v>
      </c>
      <c r="K133" s="259">
        <v>46133.229166666664</v>
      </c>
      <c r="L133" s="259">
        <v>46125.661111111112</v>
      </c>
      <c r="M133" s="259">
        <v>46139.229166666664</v>
      </c>
      <c r="N133" s="256"/>
      <c r="O133" s="256" t="s">
        <v>1796</v>
      </c>
      <c r="P133" s="259">
        <v>46151.229166666664</v>
      </c>
      <c r="Q133" s="256">
        <v>5</v>
      </c>
      <c r="R133" s="256"/>
      <c r="S133" s="256">
        <v>2</v>
      </c>
      <c r="T133" s="256"/>
      <c r="U133" s="256" t="s">
        <v>1</v>
      </c>
      <c r="V133" s="256" t="s">
        <v>1</v>
      </c>
      <c r="W133" s="256" t="s">
        <v>1508</v>
      </c>
      <c r="X133" s="259">
        <v>46111.456250000003</v>
      </c>
      <c r="Y133" s="256" t="s">
        <v>1750</v>
      </c>
      <c r="Z133" s="256" t="s">
        <v>1751</v>
      </c>
      <c r="AA133" s="256" t="s">
        <v>1492</v>
      </c>
      <c r="AB133" s="256"/>
      <c r="AC133" s="256"/>
      <c r="AD133" s="256" t="s">
        <v>1510</v>
      </c>
      <c r="AE133" s="256" t="s">
        <v>402</v>
      </c>
    </row>
    <row r="134" spans="1:31">
      <c r="A134" s="256" t="s">
        <v>1505</v>
      </c>
      <c r="B134" s="256" t="s">
        <v>1471</v>
      </c>
      <c r="C134" s="256" t="s">
        <v>1472</v>
      </c>
      <c r="D134" s="256" t="s">
        <v>1506</v>
      </c>
      <c r="E134" s="256">
        <v>4440976</v>
      </c>
      <c r="F134" s="256">
        <v>4446675</v>
      </c>
      <c r="G134" s="256" t="s">
        <v>528</v>
      </c>
      <c r="H134" s="256" t="s">
        <v>305</v>
      </c>
      <c r="I134" s="256" t="s">
        <v>401</v>
      </c>
      <c r="J134" s="256" t="s">
        <v>1477</v>
      </c>
      <c r="K134" s="259">
        <v>46128.229166666664</v>
      </c>
      <c r="L134" s="259">
        <v>46129.679166666669</v>
      </c>
      <c r="M134" s="259">
        <v>46134.229166666664</v>
      </c>
      <c r="N134" s="256"/>
      <c r="O134" s="256" t="s">
        <v>1525</v>
      </c>
      <c r="P134" s="259">
        <v>46151.229166666664</v>
      </c>
      <c r="Q134" s="256">
        <v>1</v>
      </c>
      <c r="R134" s="256"/>
      <c r="S134" s="256">
        <v>2</v>
      </c>
      <c r="T134" s="256"/>
      <c r="U134" s="256" t="s">
        <v>1</v>
      </c>
      <c r="V134" s="256" t="s">
        <v>1498</v>
      </c>
      <c r="W134" s="256" t="s">
        <v>1508</v>
      </c>
      <c r="X134" s="259">
        <v>46108.753472222219</v>
      </c>
      <c r="Y134" s="256" t="s">
        <v>1560</v>
      </c>
      <c r="Z134" s="256" t="s">
        <v>1730</v>
      </c>
      <c r="AA134" s="256" t="s">
        <v>1492</v>
      </c>
      <c r="AB134" s="256"/>
      <c r="AC134" s="256"/>
      <c r="AD134" s="256" t="s">
        <v>1510</v>
      </c>
      <c r="AE134" s="256" t="s">
        <v>402</v>
      </c>
    </row>
    <row r="135" spans="1:31">
      <c r="A135" s="256" t="s">
        <v>1797</v>
      </c>
      <c r="B135" s="256" t="s">
        <v>1486</v>
      </c>
      <c r="C135" s="256" t="s">
        <v>1772</v>
      </c>
      <c r="D135" s="256" t="s">
        <v>1798</v>
      </c>
      <c r="E135" s="256">
        <v>4439786</v>
      </c>
      <c r="F135" s="256">
        <v>4447669</v>
      </c>
      <c r="G135" s="256" t="s">
        <v>1799</v>
      </c>
      <c r="H135" s="256" t="s">
        <v>305</v>
      </c>
      <c r="I135" s="256" t="s">
        <v>1800</v>
      </c>
      <c r="J135" s="256" t="s">
        <v>1801</v>
      </c>
      <c r="K135" s="259">
        <v>46134.229166666664</v>
      </c>
      <c r="L135" s="259">
        <v>46127.689583333333</v>
      </c>
      <c r="M135" s="259">
        <v>46135.979166666664</v>
      </c>
      <c r="N135" s="256"/>
      <c r="O135" s="256" t="s">
        <v>1802</v>
      </c>
      <c r="P135" s="259">
        <v>46151.229166666664</v>
      </c>
      <c r="Q135" s="256">
        <v>3</v>
      </c>
      <c r="R135" s="256"/>
      <c r="S135" s="256">
        <v>2</v>
      </c>
      <c r="T135" s="256"/>
      <c r="U135" s="256" t="s">
        <v>1</v>
      </c>
      <c r="V135" s="256" t="s">
        <v>1</v>
      </c>
      <c r="W135" s="256" t="s">
        <v>1803</v>
      </c>
      <c r="X135" s="259">
        <v>46111.477083333331</v>
      </c>
      <c r="Y135" s="256" t="s">
        <v>1804</v>
      </c>
      <c r="Z135" s="256" t="s">
        <v>1805</v>
      </c>
      <c r="AA135" s="256" t="s">
        <v>1492</v>
      </c>
      <c r="AB135" s="256"/>
      <c r="AC135" s="256"/>
      <c r="AD135" s="256" t="s">
        <v>1806</v>
      </c>
      <c r="AE135" s="256" t="s">
        <v>1807</v>
      </c>
    </row>
    <row r="136" spans="1:31">
      <c r="A136" s="256" t="s">
        <v>1797</v>
      </c>
      <c r="B136" s="256" t="s">
        <v>1486</v>
      </c>
      <c r="C136" s="256" t="s">
        <v>1772</v>
      </c>
      <c r="D136" s="256" t="s">
        <v>1808</v>
      </c>
      <c r="E136" s="256">
        <v>4439786</v>
      </c>
      <c r="F136" s="256">
        <v>4447863</v>
      </c>
      <c r="G136" s="256" t="s">
        <v>1809</v>
      </c>
      <c r="H136" s="256" t="s">
        <v>198</v>
      </c>
      <c r="I136" s="256" t="s">
        <v>1800</v>
      </c>
      <c r="J136" s="256" t="s">
        <v>1801</v>
      </c>
      <c r="K136" s="259">
        <v>46134.229166666664</v>
      </c>
      <c r="L136" s="256"/>
      <c r="M136" s="259">
        <v>46135.979166666664</v>
      </c>
      <c r="N136" s="256"/>
      <c r="O136" s="256" t="s">
        <v>1810</v>
      </c>
      <c r="P136" s="259">
        <v>46151.229166666664</v>
      </c>
      <c r="Q136" s="256">
        <v>3</v>
      </c>
      <c r="R136" s="256"/>
      <c r="S136" s="256">
        <v>2</v>
      </c>
      <c r="T136" s="256"/>
      <c r="U136" s="256"/>
      <c r="V136" s="256"/>
      <c r="W136" s="256" t="s">
        <v>1803</v>
      </c>
      <c r="X136" s="259">
        <v>46111.552777777775</v>
      </c>
      <c r="Y136" s="256" t="s">
        <v>1804</v>
      </c>
      <c r="Z136" s="256" t="s">
        <v>1805</v>
      </c>
      <c r="AA136" s="256" t="s">
        <v>1492</v>
      </c>
      <c r="AB136" s="256"/>
      <c r="AC136" s="256"/>
      <c r="AD136" s="256" t="s">
        <v>1806</v>
      </c>
      <c r="AE136" s="256" t="s">
        <v>1807</v>
      </c>
    </row>
    <row r="137" spans="1:31">
      <c r="A137" s="256" t="s">
        <v>1797</v>
      </c>
      <c r="B137" s="256" t="s">
        <v>1486</v>
      </c>
      <c r="C137" s="256" t="s">
        <v>1772</v>
      </c>
      <c r="D137" s="256" t="s">
        <v>1798</v>
      </c>
      <c r="E137" s="256">
        <v>4439786</v>
      </c>
      <c r="F137" s="256">
        <v>4442651</v>
      </c>
      <c r="G137" s="256" t="s">
        <v>1811</v>
      </c>
      <c r="H137" s="256" t="s">
        <v>198</v>
      </c>
      <c r="I137" s="256" t="s">
        <v>1800</v>
      </c>
      <c r="J137" s="256" t="s">
        <v>1801</v>
      </c>
      <c r="K137" s="259">
        <v>46132.229166666664</v>
      </c>
      <c r="L137" s="256"/>
      <c r="M137" s="259">
        <v>46132.979166666664</v>
      </c>
      <c r="N137" s="256"/>
      <c r="O137" s="256" t="s">
        <v>1810</v>
      </c>
      <c r="P137" s="259">
        <v>46151.229166666664</v>
      </c>
      <c r="Q137" s="256">
        <v>1</v>
      </c>
      <c r="R137" s="256"/>
      <c r="S137" s="256">
        <v>2</v>
      </c>
      <c r="T137" s="256"/>
      <c r="U137" s="256"/>
      <c r="V137" s="256"/>
      <c r="W137" s="256" t="s">
        <v>1803</v>
      </c>
      <c r="X137" s="259">
        <v>46106.503472222219</v>
      </c>
      <c r="Y137" s="256" t="s">
        <v>1804</v>
      </c>
      <c r="Z137" s="256" t="s">
        <v>1805</v>
      </c>
      <c r="AA137" s="256" t="s">
        <v>1492</v>
      </c>
      <c r="AB137" s="256"/>
      <c r="AC137" s="256"/>
      <c r="AD137" s="256" t="s">
        <v>1812</v>
      </c>
      <c r="AE137" s="256" t="s">
        <v>1807</v>
      </c>
    </row>
    <row r="138" spans="1:31">
      <c r="A138" s="256" t="s">
        <v>1797</v>
      </c>
      <c r="B138" s="256" t="s">
        <v>1486</v>
      </c>
      <c r="C138" s="256" t="s">
        <v>1772</v>
      </c>
      <c r="D138" s="256" t="s">
        <v>1798</v>
      </c>
      <c r="E138" s="256">
        <v>4439786</v>
      </c>
      <c r="F138" s="256">
        <v>4443558</v>
      </c>
      <c r="G138" s="256" t="s">
        <v>723</v>
      </c>
      <c r="H138" s="256" t="s">
        <v>198</v>
      </c>
      <c r="I138" s="256" t="s">
        <v>1800</v>
      </c>
      <c r="J138" s="256" t="s">
        <v>1801</v>
      </c>
      <c r="K138" s="259">
        <v>46128.229166666664</v>
      </c>
      <c r="L138" s="256"/>
      <c r="M138" s="259">
        <v>46132.229166666664</v>
      </c>
      <c r="N138" s="256"/>
      <c r="O138" s="256" t="s">
        <v>1810</v>
      </c>
      <c r="P138" s="259">
        <v>46151.229166666664</v>
      </c>
      <c r="Q138" s="256">
        <v>2</v>
      </c>
      <c r="R138" s="256"/>
      <c r="S138" s="256">
        <v>2</v>
      </c>
      <c r="T138" s="256"/>
      <c r="U138" s="256"/>
      <c r="V138" s="256"/>
      <c r="W138" s="256" t="s">
        <v>1803</v>
      </c>
      <c r="X138" s="259">
        <v>46106.729861111111</v>
      </c>
      <c r="Y138" s="256" t="s">
        <v>1804</v>
      </c>
      <c r="Z138" s="256" t="s">
        <v>1805</v>
      </c>
      <c r="AA138" s="256" t="s">
        <v>1492</v>
      </c>
      <c r="AB138" s="256"/>
      <c r="AC138" s="256"/>
      <c r="AD138" s="256" t="s">
        <v>1806</v>
      </c>
      <c r="AE138" s="256" t="s">
        <v>1807</v>
      </c>
    </row>
    <row r="139" spans="1:31">
      <c r="A139" s="256" t="s">
        <v>1797</v>
      </c>
      <c r="B139" s="256" t="s">
        <v>1486</v>
      </c>
      <c r="C139" s="256" t="s">
        <v>1772</v>
      </c>
      <c r="D139" s="256" t="s">
        <v>1808</v>
      </c>
      <c r="E139" s="256">
        <v>4439786</v>
      </c>
      <c r="F139" s="256">
        <v>4443807</v>
      </c>
      <c r="G139" s="256" t="s">
        <v>725</v>
      </c>
      <c r="H139" s="256" t="s">
        <v>198</v>
      </c>
      <c r="I139" s="256" t="s">
        <v>1800</v>
      </c>
      <c r="J139" s="256" t="s">
        <v>1801</v>
      </c>
      <c r="K139" s="259">
        <v>46134.229166666664</v>
      </c>
      <c r="L139" s="256"/>
      <c r="M139" s="259">
        <v>46135.979166666664</v>
      </c>
      <c r="N139" s="256"/>
      <c r="O139" s="256" t="s">
        <v>1810</v>
      </c>
      <c r="P139" s="259">
        <v>46151.229166666664</v>
      </c>
      <c r="Q139" s="256">
        <v>6.25</v>
      </c>
      <c r="R139" s="256"/>
      <c r="S139" s="256">
        <v>2</v>
      </c>
      <c r="T139" s="256"/>
      <c r="U139" s="256"/>
      <c r="V139" s="256"/>
      <c r="W139" s="256" t="s">
        <v>1813</v>
      </c>
      <c r="X139" s="259">
        <v>46107.40902777778</v>
      </c>
      <c r="Y139" s="256" t="s">
        <v>1804</v>
      </c>
      <c r="Z139" s="256" t="s">
        <v>1805</v>
      </c>
      <c r="AA139" s="256" t="s">
        <v>1492</v>
      </c>
      <c r="AB139" s="256"/>
      <c r="AC139" s="256"/>
      <c r="AD139" s="256" t="s">
        <v>1806</v>
      </c>
      <c r="AE139" s="256" t="s">
        <v>1807</v>
      </c>
    </row>
    <row r="140" spans="1:31">
      <c r="A140" s="256" t="s">
        <v>1797</v>
      </c>
      <c r="B140" s="256" t="s">
        <v>1486</v>
      </c>
      <c r="C140" s="256" t="s">
        <v>1772</v>
      </c>
      <c r="D140" s="256" t="s">
        <v>1808</v>
      </c>
      <c r="E140" s="256">
        <v>4439786</v>
      </c>
      <c r="F140" s="256">
        <v>4444120</v>
      </c>
      <c r="G140" s="256" t="s">
        <v>1814</v>
      </c>
      <c r="H140" s="256" t="s">
        <v>242</v>
      </c>
      <c r="I140" s="256" t="s">
        <v>1800</v>
      </c>
      <c r="J140" s="256" t="s">
        <v>1801</v>
      </c>
      <c r="K140" s="259">
        <v>46127.229166666664</v>
      </c>
      <c r="L140" s="256"/>
      <c r="M140" s="259">
        <v>46132.979166666664</v>
      </c>
      <c r="N140" s="256"/>
      <c r="O140" s="256" t="s">
        <v>1810</v>
      </c>
      <c r="P140" s="259">
        <v>46151.229166666664</v>
      </c>
      <c r="Q140" s="256">
        <v>2</v>
      </c>
      <c r="R140" s="256"/>
      <c r="S140" s="256">
        <v>2</v>
      </c>
      <c r="T140" s="256"/>
      <c r="U140" s="256"/>
      <c r="V140" s="256"/>
      <c r="W140" s="256" t="s">
        <v>1803</v>
      </c>
      <c r="X140" s="259">
        <v>46107.488888888889</v>
      </c>
      <c r="Y140" s="256" t="s">
        <v>1804</v>
      </c>
      <c r="Z140" s="256" t="s">
        <v>1805</v>
      </c>
      <c r="AA140" s="256" t="s">
        <v>1492</v>
      </c>
      <c r="AB140" s="256"/>
      <c r="AC140" s="256"/>
      <c r="AD140" s="256" t="s">
        <v>1806</v>
      </c>
      <c r="AE140" s="256" t="s">
        <v>1807</v>
      </c>
    </row>
    <row r="141" spans="1:31">
      <c r="A141" s="256" t="s">
        <v>1797</v>
      </c>
      <c r="B141" s="256" t="s">
        <v>1486</v>
      </c>
      <c r="C141" s="256" t="s">
        <v>1772</v>
      </c>
      <c r="D141" s="256" t="s">
        <v>1798</v>
      </c>
      <c r="E141" s="256">
        <v>4439786</v>
      </c>
      <c r="F141" s="256">
        <v>4449945</v>
      </c>
      <c r="G141" s="256" t="s">
        <v>744</v>
      </c>
      <c r="H141" s="256" t="s">
        <v>198</v>
      </c>
      <c r="I141" s="256" t="s">
        <v>1800</v>
      </c>
      <c r="J141" s="256" t="s">
        <v>1801</v>
      </c>
      <c r="K141" s="259">
        <v>46127.229166666664</v>
      </c>
      <c r="L141" s="256"/>
      <c r="M141" s="259">
        <v>46132.979166666664</v>
      </c>
      <c r="N141" s="256"/>
      <c r="O141" s="256" t="s">
        <v>1810</v>
      </c>
      <c r="P141" s="259">
        <v>46151.229166666664</v>
      </c>
      <c r="Q141" s="256">
        <v>1</v>
      </c>
      <c r="R141" s="256"/>
      <c r="S141" s="256">
        <v>2</v>
      </c>
      <c r="T141" s="256"/>
      <c r="U141" s="256"/>
      <c r="V141" s="256"/>
      <c r="W141" s="256" t="s">
        <v>1803</v>
      </c>
      <c r="X141" s="259">
        <v>46111.806944444441</v>
      </c>
      <c r="Y141" s="256" t="s">
        <v>1804</v>
      </c>
      <c r="Z141" s="256" t="s">
        <v>1805</v>
      </c>
      <c r="AA141" s="256" t="s">
        <v>1492</v>
      </c>
      <c r="AB141" s="256"/>
      <c r="AC141" s="256"/>
      <c r="AD141" s="256" t="s">
        <v>1806</v>
      </c>
      <c r="AE141" s="256" t="s">
        <v>1807</v>
      </c>
    </row>
    <row r="142" spans="1:31">
      <c r="A142" s="256" t="s">
        <v>403</v>
      </c>
      <c r="B142" s="256" t="s">
        <v>1486</v>
      </c>
      <c r="C142" s="256" t="s">
        <v>235</v>
      </c>
      <c r="D142" s="256" t="s">
        <v>235</v>
      </c>
      <c r="E142" s="256">
        <v>4459051</v>
      </c>
      <c r="F142" s="256">
        <v>4448602</v>
      </c>
      <c r="G142" s="256" t="s">
        <v>452</v>
      </c>
      <c r="H142" s="256" t="s">
        <v>242</v>
      </c>
      <c r="I142" s="256" t="s">
        <v>407</v>
      </c>
      <c r="J142" s="256" t="s">
        <v>1606</v>
      </c>
      <c r="K142" s="259">
        <v>46134.229166666664</v>
      </c>
      <c r="L142" s="256"/>
      <c r="M142" s="259">
        <v>46140.229166666664</v>
      </c>
      <c r="N142" s="256"/>
      <c r="O142" s="256" t="s">
        <v>1815</v>
      </c>
      <c r="P142" s="259">
        <v>46151.229166666664</v>
      </c>
      <c r="Q142" s="256">
        <v>8</v>
      </c>
      <c r="R142" s="256"/>
      <c r="S142" s="256">
        <v>2</v>
      </c>
      <c r="T142" s="256"/>
      <c r="U142" s="256"/>
      <c r="V142" s="256"/>
      <c r="W142" s="256" t="s">
        <v>1608</v>
      </c>
      <c r="X142" s="259">
        <v>46111.686111111114</v>
      </c>
      <c r="Y142" s="256" t="s">
        <v>1816</v>
      </c>
      <c r="Z142" s="256" t="s">
        <v>1817</v>
      </c>
      <c r="AA142" s="256" t="s">
        <v>1639</v>
      </c>
      <c r="AB142" s="256"/>
      <c r="AC142" s="256"/>
      <c r="AD142" s="256" t="s">
        <v>1581</v>
      </c>
      <c r="AE142" s="256" t="s">
        <v>408</v>
      </c>
    </row>
    <row r="143" spans="1:31">
      <c r="A143" s="256" t="s">
        <v>403</v>
      </c>
      <c r="B143" s="256" t="s">
        <v>1486</v>
      </c>
      <c r="C143" s="256" t="s">
        <v>235</v>
      </c>
      <c r="D143" s="256" t="s">
        <v>235</v>
      </c>
      <c r="E143" s="256">
        <v>4459051</v>
      </c>
      <c r="F143" s="256">
        <v>4449651</v>
      </c>
      <c r="G143" s="256" t="s">
        <v>409</v>
      </c>
      <c r="H143" s="256" t="s">
        <v>305</v>
      </c>
      <c r="I143" s="256" t="s">
        <v>407</v>
      </c>
      <c r="J143" s="256" t="s">
        <v>1606</v>
      </c>
      <c r="K143" s="259">
        <v>46134.229166666664</v>
      </c>
      <c r="L143" s="259">
        <v>46127.979166666664</v>
      </c>
      <c r="M143" s="259">
        <v>46141.0625</v>
      </c>
      <c r="N143" s="256"/>
      <c r="O143" s="256" t="s">
        <v>1818</v>
      </c>
      <c r="P143" s="259">
        <v>46151.229166666664</v>
      </c>
      <c r="Q143" s="256">
        <v>4</v>
      </c>
      <c r="R143" s="256"/>
      <c r="S143" s="256">
        <v>2</v>
      </c>
      <c r="T143" s="256"/>
      <c r="U143" s="256" t="s">
        <v>1</v>
      </c>
      <c r="V143" s="256" t="s">
        <v>1</v>
      </c>
      <c r="W143" s="256" t="s">
        <v>1608</v>
      </c>
      <c r="X143" s="259">
        <v>46111.75</v>
      </c>
      <c r="Y143" s="256" t="s">
        <v>1816</v>
      </c>
      <c r="Z143" s="256" t="s">
        <v>1817</v>
      </c>
      <c r="AA143" s="256" t="s">
        <v>1639</v>
      </c>
      <c r="AB143" s="256"/>
      <c r="AC143" s="256"/>
      <c r="AD143" s="256" t="s">
        <v>1581</v>
      </c>
      <c r="AE143" s="256" t="s">
        <v>408</v>
      </c>
    </row>
    <row r="144" spans="1:31">
      <c r="A144" s="256" t="s">
        <v>1819</v>
      </c>
      <c r="B144" s="256" t="s">
        <v>1471</v>
      </c>
      <c r="C144" s="256" t="s">
        <v>1772</v>
      </c>
      <c r="D144" s="256" t="s">
        <v>1438</v>
      </c>
      <c r="E144" s="256">
        <v>4434675</v>
      </c>
      <c r="F144" s="256">
        <v>4450301</v>
      </c>
      <c r="G144" s="256" t="s">
        <v>1160</v>
      </c>
      <c r="H144" s="256" t="s">
        <v>242</v>
      </c>
      <c r="I144" s="256" t="s">
        <v>1820</v>
      </c>
      <c r="J144" s="256" t="s">
        <v>1519</v>
      </c>
      <c r="K144" s="259">
        <v>46132.229166666664</v>
      </c>
      <c r="L144" s="256"/>
      <c r="M144" s="259">
        <v>46135.229166666664</v>
      </c>
      <c r="N144" s="256"/>
      <c r="O144" s="256" t="s">
        <v>1821</v>
      </c>
      <c r="P144" s="259">
        <v>46151.229166666664</v>
      </c>
      <c r="Q144" s="256">
        <v>5</v>
      </c>
      <c r="R144" s="256"/>
      <c r="S144" s="256">
        <v>4</v>
      </c>
      <c r="T144" s="256"/>
      <c r="U144" s="256"/>
      <c r="V144" s="256"/>
      <c r="W144" s="256" t="s">
        <v>1822</v>
      </c>
      <c r="X144" s="259">
        <v>46111.981944444444</v>
      </c>
      <c r="Y144" s="256" t="s">
        <v>1823</v>
      </c>
      <c r="Z144" s="256" t="s">
        <v>1824</v>
      </c>
      <c r="AA144" s="256" t="s">
        <v>1492</v>
      </c>
      <c r="AB144" s="256"/>
      <c r="AC144" s="256"/>
      <c r="AD144" s="256" t="s">
        <v>1825</v>
      </c>
      <c r="AE144" s="256" t="s">
        <v>408</v>
      </c>
    </row>
    <row r="145" spans="1:31">
      <c r="A145" s="256" t="s">
        <v>1819</v>
      </c>
      <c r="B145" s="256" t="s">
        <v>1471</v>
      </c>
      <c r="C145" s="256" t="s">
        <v>1772</v>
      </c>
      <c r="D145" s="256" t="s">
        <v>1438</v>
      </c>
      <c r="E145" s="256">
        <v>4434675</v>
      </c>
      <c r="F145" s="256">
        <v>4450302</v>
      </c>
      <c r="G145" s="256" t="s">
        <v>1162</v>
      </c>
      <c r="H145" s="256" t="s">
        <v>393</v>
      </c>
      <c r="I145" s="256" t="s">
        <v>1820</v>
      </c>
      <c r="J145" s="256" t="s">
        <v>1519</v>
      </c>
      <c r="K145" s="259">
        <v>46132.229166666664</v>
      </c>
      <c r="L145" s="256"/>
      <c r="M145" s="259">
        <v>46135.229166666664</v>
      </c>
      <c r="N145" s="256"/>
      <c r="O145" s="256" t="s">
        <v>1826</v>
      </c>
      <c r="P145" s="259">
        <v>46151.229166666664</v>
      </c>
      <c r="Q145" s="256">
        <v>3</v>
      </c>
      <c r="R145" s="256"/>
      <c r="S145" s="256">
        <v>6</v>
      </c>
      <c r="T145" s="256"/>
      <c r="U145" s="256"/>
      <c r="V145" s="256"/>
      <c r="W145" s="256" t="s">
        <v>1822</v>
      </c>
      <c r="X145" s="259">
        <v>46111.984722222223</v>
      </c>
      <c r="Y145" s="256" t="s">
        <v>1823</v>
      </c>
      <c r="Z145" s="256" t="s">
        <v>1824</v>
      </c>
      <c r="AA145" s="256" t="s">
        <v>1492</v>
      </c>
      <c r="AB145" s="256"/>
      <c r="AC145" s="256"/>
      <c r="AD145" s="256" t="s">
        <v>1825</v>
      </c>
      <c r="AE145" s="256" t="s">
        <v>408</v>
      </c>
    </row>
    <row r="146" spans="1:31">
      <c r="A146" s="256" t="s">
        <v>1819</v>
      </c>
      <c r="B146" s="256" t="s">
        <v>1471</v>
      </c>
      <c r="C146" s="256" t="s">
        <v>1772</v>
      </c>
      <c r="D146" s="256" t="s">
        <v>1438</v>
      </c>
      <c r="E146" s="256">
        <v>4434675</v>
      </c>
      <c r="F146" s="256">
        <v>4450306</v>
      </c>
      <c r="G146" s="256" t="s">
        <v>1164</v>
      </c>
      <c r="H146" s="256" t="s">
        <v>242</v>
      </c>
      <c r="I146" s="256" t="s">
        <v>1820</v>
      </c>
      <c r="J146" s="256" t="s">
        <v>1519</v>
      </c>
      <c r="K146" s="259">
        <v>46132.229166666664</v>
      </c>
      <c r="L146" s="256"/>
      <c r="M146" s="259">
        <v>46139.979166666664</v>
      </c>
      <c r="N146" s="256"/>
      <c r="O146" s="256" t="s">
        <v>1827</v>
      </c>
      <c r="P146" s="259">
        <v>46151.229166666664</v>
      </c>
      <c r="Q146" s="256">
        <v>5</v>
      </c>
      <c r="R146" s="256"/>
      <c r="S146" s="256">
        <v>5</v>
      </c>
      <c r="T146" s="256"/>
      <c r="U146" s="256"/>
      <c r="V146" s="256"/>
      <c r="W146" s="256" t="s">
        <v>1822</v>
      </c>
      <c r="X146" s="259">
        <v>46111.992361111108</v>
      </c>
      <c r="Y146" s="256" t="s">
        <v>1823</v>
      </c>
      <c r="Z146" s="256" t="s">
        <v>1824</v>
      </c>
      <c r="AA146" s="256" t="s">
        <v>1492</v>
      </c>
      <c r="AB146" s="256"/>
      <c r="AC146" s="256"/>
      <c r="AD146" s="256" t="s">
        <v>1825</v>
      </c>
      <c r="AE146" s="256" t="s">
        <v>408</v>
      </c>
    </row>
    <row r="147" spans="1:31">
      <c r="A147" s="256" t="s">
        <v>1819</v>
      </c>
      <c r="B147" s="256" t="s">
        <v>1471</v>
      </c>
      <c r="C147" s="256" t="s">
        <v>1772</v>
      </c>
      <c r="D147" s="256" t="s">
        <v>1438</v>
      </c>
      <c r="E147" s="256">
        <v>4434675</v>
      </c>
      <c r="F147" s="256">
        <v>4450307</v>
      </c>
      <c r="G147" s="256" t="s">
        <v>1166</v>
      </c>
      <c r="H147" s="256" t="s">
        <v>198</v>
      </c>
      <c r="I147" s="256" t="s">
        <v>1820</v>
      </c>
      <c r="J147" s="256" t="s">
        <v>1519</v>
      </c>
      <c r="K147" s="259">
        <v>46132.229166666664</v>
      </c>
      <c r="L147" s="256"/>
      <c r="M147" s="259">
        <v>46139.979166666664</v>
      </c>
      <c r="N147" s="256"/>
      <c r="O147" s="256" t="s">
        <v>1827</v>
      </c>
      <c r="P147" s="259">
        <v>46151.229166666664</v>
      </c>
      <c r="Q147" s="256">
        <v>5</v>
      </c>
      <c r="R147" s="256"/>
      <c r="S147" s="256">
        <v>2</v>
      </c>
      <c r="T147" s="256"/>
      <c r="U147" s="256"/>
      <c r="V147" s="256"/>
      <c r="W147" s="256" t="s">
        <v>1822</v>
      </c>
      <c r="X147" s="259">
        <v>46112.002083333333</v>
      </c>
      <c r="Y147" s="256" t="s">
        <v>1828</v>
      </c>
      <c r="Z147" s="256" t="s">
        <v>1824</v>
      </c>
      <c r="AA147" s="256" t="s">
        <v>1492</v>
      </c>
      <c r="AB147" s="256"/>
      <c r="AC147" s="256"/>
      <c r="AD147" s="256" t="s">
        <v>1825</v>
      </c>
      <c r="AE147" s="256" t="s">
        <v>408</v>
      </c>
    </row>
    <row r="148" spans="1:31">
      <c r="A148" s="256" t="s">
        <v>1829</v>
      </c>
      <c r="B148" s="256" t="s">
        <v>1471</v>
      </c>
      <c r="C148" s="256" t="s">
        <v>1772</v>
      </c>
      <c r="D148" s="256" t="s">
        <v>1438</v>
      </c>
      <c r="E148" s="256">
        <v>4450308</v>
      </c>
      <c r="F148" s="256">
        <v>4450310</v>
      </c>
      <c r="G148" s="256" t="s">
        <v>1167</v>
      </c>
      <c r="H148" s="256" t="s">
        <v>242</v>
      </c>
      <c r="I148" s="256" t="s">
        <v>1820</v>
      </c>
      <c r="J148" s="256" t="s">
        <v>1519</v>
      </c>
      <c r="K148" s="259">
        <v>46132.229166666664</v>
      </c>
      <c r="L148" s="256"/>
      <c r="M148" s="259">
        <v>46139.979166666664</v>
      </c>
      <c r="N148" s="256"/>
      <c r="O148" s="256" t="s">
        <v>1830</v>
      </c>
      <c r="P148" s="259">
        <v>46151.229166666664</v>
      </c>
      <c r="Q148" s="256">
        <v>5</v>
      </c>
      <c r="R148" s="256"/>
      <c r="S148" s="256">
        <v>1</v>
      </c>
      <c r="T148" s="256"/>
      <c r="U148" s="256"/>
      <c r="V148" s="256"/>
      <c r="W148" s="256" t="s">
        <v>1822</v>
      </c>
      <c r="X148" s="259">
        <v>46112.006944444445</v>
      </c>
      <c r="Y148" s="256" t="s">
        <v>1831</v>
      </c>
      <c r="Z148" s="256" t="s">
        <v>1824</v>
      </c>
      <c r="AA148" s="256" t="s">
        <v>1492</v>
      </c>
      <c r="AB148" s="256"/>
      <c r="AC148" s="256"/>
      <c r="AD148" s="256" t="s">
        <v>1825</v>
      </c>
      <c r="AE148" s="256" t="s">
        <v>408</v>
      </c>
    </row>
    <row r="149" spans="1:31">
      <c r="A149" s="256" t="s">
        <v>1829</v>
      </c>
      <c r="B149" s="256" t="s">
        <v>1471</v>
      </c>
      <c r="C149" s="256" t="s">
        <v>1772</v>
      </c>
      <c r="D149" s="256" t="s">
        <v>1438</v>
      </c>
      <c r="E149" s="256">
        <v>4450308</v>
      </c>
      <c r="F149" s="256">
        <v>4450311</v>
      </c>
      <c r="G149" s="256" t="s">
        <v>1832</v>
      </c>
      <c r="H149" s="256" t="s">
        <v>242</v>
      </c>
      <c r="I149" s="256" t="s">
        <v>1820</v>
      </c>
      <c r="J149" s="256" t="s">
        <v>1519</v>
      </c>
      <c r="K149" s="259">
        <v>46132.229166666664</v>
      </c>
      <c r="L149" s="256"/>
      <c r="M149" s="259">
        <v>46139.979166666664</v>
      </c>
      <c r="N149" s="256"/>
      <c r="O149" s="256" t="s">
        <v>1833</v>
      </c>
      <c r="P149" s="259">
        <v>46151.229166666664</v>
      </c>
      <c r="Q149" s="256">
        <v>5</v>
      </c>
      <c r="R149" s="256"/>
      <c r="S149" s="256">
        <v>2</v>
      </c>
      <c r="T149" s="256"/>
      <c r="U149" s="256"/>
      <c r="V149" s="256"/>
      <c r="W149" s="256" t="s">
        <v>1822</v>
      </c>
      <c r="X149" s="259">
        <v>46112.008333333331</v>
      </c>
      <c r="Y149" s="256" t="s">
        <v>1823</v>
      </c>
      <c r="Z149" s="256" t="s">
        <v>1824</v>
      </c>
      <c r="AA149" s="256" t="s">
        <v>1492</v>
      </c>
      <c r="AB149" s="256"/>
      <c r="AC149" s="256"/>
      <c r="AD149" s="256" t="s">
        <v>1825</v>
      </c>
      <c r="AE149" s="256" t="s">
        <v>408</v>
      </c>
    </row>
    <row r="150" spans="1:31">
      <c r="A150" s="256" t="s">
        <v>1834</v>
      </c>
      <c r="B150" s="256" t="s">
        <v>1471</v>
      </c>
      <c r="C150" s="256" t="s">
        <v>1772</v>
      </c>
      <c r="D150" s="256" t="s">
        <v>1438</v>
      </c>
      <c r="E150" s="256">
        <v>4373584</v>
      </c>
      <c r="F150" s="256">
        <v>4450312</v>
      </c>
      <c r="G150" s="256" t="s">
        <v>1216</v>
      </c>
      <c r="H150" s="256" t="s">
        <v>359</v>
      </c>
      <c r="I150" s="256" t="s">
        <v>1820</v>
      </c>
      <c r="J150" s="256" t="s">
        <v>1519</v>
      </c>
      <c r="K150" s="259">
        <v>46134.229166666664</v>
      </c>
      <c r="L150" s="259">
        <v>46128.713194444441</v>
      </c>
      <c r="M150" s="259">
        <v>46140.979166666664</v>
      </c>
      <c r="N150" s="256"/>
      <c r="O150" s="256" t="s">
        <v>1835</v>
      </c>
      <c r="P150" s="259">
        <v>46151.229166666664</v>
      </c>
      <c r="Q150" s="256">
        <v>3</v>
      </c>
      <c r="R150" s="256"/>
      <c r="S150" s="256">
        <v>2</v>
      </c>
      <c r="T150" s="256"/>
      <c r="U150" s="256"/>
      <c r="V150" s="256"/>
      <c r="W150" s="256" t="s">
        <v>1836</v>
      </c>
      <c r="X150" s="259">
        <v>46112.009027777778</v>
      </c>
      <c r="Y150" s="256" t="s">
        <v>1837</v>
      </c>
      <c r="Z150" s="256" t="s">
        <v>1824</v>
      </c>
      <c r="AA150" s="256" t="s">
        <v>1838</v>
      </c>
      <c r="AB150" s="256"/>
      <c r="AC150" s="256"/>
      <c r="AD150" s="256" t="s">
        <v>1839</v>
      </c>
      <c r="AE150" s="256" t="s">
        <v>408</v>
      </c>
    </row>
    <row r="151" spans="1:31">
      <c r="A151" s="256" t="s">
        <v>1829</v>
      </c>
      <c r="B151" s="256" t="s">
        <v>1471</v>
      </c>
      <c r="C151" s="256" t="s">
        <v>1772</v>
      </c>
      <c r="D151" s="256" t="s">
        <v>1438</v>
      </c>
      <c r="E151" s="256">
        <v>4450308</v>
      </c>
      <c r="F151" s="256">
        <v>4450313</v>
      </c>
      <c r="G151" s="256" t="s">
        <v>1169</v>
      </c>
      <c r="H151" s="256" t="s">
        <v>393</v>
      </c>
      <c r="I151" s="256" t="s">
        <v>1820</v>
      </c>
      <c r="J151" s="256" t="s">
        <v>1519</v>
      </c>
      <c r="K151" s="259">
        <v>46132.229166666664</v>
      </c>
      <c r="L151" s="256"/>
      <c r="M151" s="259">
        <v>46139.979166666664</v>
      </c>
      <c r="N151" s="256"/>
      <c r="O151" s="256" t="s">
        <v>1840</v>
      </c>
      <c r="P151" s="259">
        <v>46151.229166666664</v>
      </c>
      <c r="Q151" s="256">
        <v>3</v>
      </c>
      <c r="R151" s="256"/>
      <c r="S151" s="256">
        <v>3</v>
      </c>
      <c r="T151" s="256"/>
      <c r="U151" s="256"/>
      <c r="V151" s="256"/>
      <c r="W151" s="256" t="s">
        <v>1822</v>
      </c>
      <c r="X151" s="259">
        <v>46112.009722222225</v>
      </c>
      <c r="Y151" s="256" t="s">
        <v>1823</v>
      </c>
      <c r="Z151" s="256" t="s">
        <v>1824</v>
      </c>
      <c r="AA151" s="256" t="s">
        <v>1492</v>
      </c>
      <c r="AB151" s="256"/>
      <c r="AC151" s="256"/>
      <c r="AD151" s="256" t="s">
        <v>1825</v>
      </c>
      <c r="AE151" s="256" t="s">
        <v>408</v>
      </c>
    </row>
    <row r="152" spans="1:31">
      <c r="A152" s="256" t="s">
        <v>403</v>
      </c>
      <c r="B152" s="256" t="s">
        <v>1486</v>
      </c>
      <c r="C152" s="256" t="s">
        <v>235</v>
      </c>
      <c r="D152" s="256" t="s">
        <v>235</v>
      </c>
      <c r="E152" s="256">
        <v>4459051</v>
      </c>
      <c r="F152" s="256">
        <v>4450386</v>
      </c>
      <c r="G152" s="256" t="s">
        <v>536</v>
      </c>
      <c r="H152" s="256" t="s">
        <v>359</v>
      </c>
      <c r="I152" s="256" t="s">
        <v>407</v>
      </c>
      <c r="J152" s="256" t="s">
        <v>1606</v>
      </c>
      <c r="K152" s="259">
        <v>46134.229166666664</v>
      </c>
      <c r="L152" s="259">
        <v>46127.979166666664</v>
      </c>
      <c r="M152" s="259">
        <v>46141.0625</v>
      </c>
      <c r="N152" s="256"/>
      <c r="O152" s="256" t="s">
        <v>1841</v>
      </c>
      <c r="P152" s="259">
        <v>46151.229166666664</v>
      </c>
      <c r="Q152" s="256">
        <v>4</v>
      </c>
      <c r="R152" s="256"/>
      <c r="S152" s="256">
        <v>2</v>
      </c>
      <c r="T152" s="256"/>
      <c r="U152" s="256" t="s">
        <v>1</v>
      </c>
      <c r="V152" s="256" t="s">
        <v>1</v>
      </c>
      <c r="W152" s="256" t="s">
        <v>1608</v>
      </c>
      <c r="X152" s="259">
        <v>46112.168055555558</v>
      </c>
      <c r="Y152" s="256" t="s">
        <v>1816</v>
      </c>
      <c r="Z152" s="256" t="s">
        <v>1817</v>
      </c>
      <c r="AA152" s="256" t="s">
        <v>1639</v>
      </c>
      <c r="AB152" s="256"/>
      <c r="AC152" s="256"/>
      <c r="AD152" s="256" t="s">
        <v>1581</v>
      </c>
      <c r="AE152" s="256" t="s">
        <v>408</v>
      </c>
    </row>
    <row r="153" spans="1:31">
      <c r="A153" s="256" t="s">
        <v>403</v>
      </c>
      <c r="B153" s="256" t="s">
        <v>1486</v>
      </c>
      <c r="C153" s="256" t="s">
        <v>235</v>
      </c>
      <c r="D153" s="256" t="s">
        <v>235</v>
      </c>
      <c r="E153" s="256">
        <v>4459051</v>
      </c>
      <c r="F153" s="256">
        <v>4450388</v>
      </c>
      <c r="G153" s="256" t="s">
        <v>415</v>
      </c>
      <c r="H153" s="256" t="s">
        <v>359</v>
      </c>
      <c r="I153" s="256" t="s">
        <v>407</v>
      </c>
      <c r="J153" s="256" t="s">
        <v>1606</v>
      </c>
      <c r="K153" s="259">
        <v>46129.229166666664</v>
      </c>
      <c r="L153" s="259">
        <v>46128.802777777775</v>
      </c>
      <c r="M153" s="259">
        <v>46141.0625</v>
      </c>
      <c r="N153" s="256"/>
      <c r="O153" s="256" t="s">
        <v>1842</v>
      </c>
      <c r="P153" s="259">
        <v>46151.229166666664</v>
      </c>
      <c r="Q153" s="256">
        <v>5</v>
      </c>
      <c r="R153" s="256"/>
      <c r="S153" s="256">
        <v>2</v>
      </c>
      <c r="T153" s="256"/>
      <c r="U153" s="256" t="s">
        <v>1</v>
      </c>
      <c r="V153" s="256" t="s">
        <v>1</v>
      </c>
      <c r="W153" s="256" t="s">
        <v>1608</v>
      </c>
      <c r="X153" s="259">
        <v>46112.245833333334</v>
      </c>
      <c r="Y153" s="256" t="s">
        <v>1638</v>
      </c>
      <c r="Z153" s="256" t="s">
        <v>1817</v>
      </c>
      <c r="AA153" s="256" t="s">
        <v>1639</v>
      </c>
      <c r="AB153" s="256"/>
      <c r="AC153" s="256"/>
      <c r="AD153" s="256" t="s">
        <v>1581</v>
      </c>
      <c r="AE153" s="256" t="s">
        <v>408</v>
      </c>
    </row>
    <row r="154" spans="1:31">
      <c r="A154" s="256" t="s">
        <v>403</v>
      </c>
      <c r="B154" s="256" t="s">
        <v>1486</v>
      </c>
      <c r="C154" s="256" t="s">
        <v>235</v>
      </c>
      <c r="D154" s="256" t="s">
        <v>235</v>
      </c>
      <c r="E154" s="256">
        <v>4459051</v>
      </c>
      <c r="F154" s="256">
        <v>4450390</v>
      </c>
      <c r="G154" s="256" t="s">
        <v>539</v>
      </c>
      <c r="H154" s="256" t="s">
        <v>359</v>
      </c>
      <c r="I154" s="256" t="s">
        <v>407</v>
      </c>
      <c r="J154" s="256" t="s">
        <v>1606</v>
      </c>
      <c r="K154" s="259">
        <v>46127.229166666664</v>
      </c>
      <c r="L154" s="259">
        <v>46127.979166666664</v>
      </c>
      <c r="M154" s="259">
        <v>46141.0625</v>
      </c>
      <c r="N154" s="256"/>
      <c r="O154" s="256" t="s">
        <v>1843</v>
      </c>
      <c r="P154" s="259">
        <v>46151.229166666664</v>
      </c>
      <c r="Q154" s="256">
        <v>4</v>
      </c>
      <c r="R154" s="256"/>
      <c r="S154" s="256">
        <v>2</v>
      </c>
      <c r="T154" s="256"/>
      <c r="U154" s="256" t="s">
        <v>1</v>
      </c>
      <c r="V154" s="256" t="s">
        <v>1</v>
      </c>
      <c r="W154" s="256" t="s">
        <v>1608</v>
      </c>
      <c r="X154" s="259">
        <v>46112.263194444444</v>
      </c>
      <c r="Y154" s="256" t="s">
        <v>1844</v>
      </c>
      <c r="Z154" s="256" t="s">
        <v>1817</v>
      </c>
      <c r="AA154" s="256" t="s">
        <v>1639</v>
      </c>
      <c r="AB154" s="256"/>
      <c r="AC154" s="256"/>
      <c r="AD154" s="256" t="s">
        <v>1581</v>
      </c>
      <c r="AE154" s="256" t="s">
        <v>408</v>
      </c>
    </row>
    <row r="155" spans="1:31">
      <c r="A155" s="256" t="s">
        <v>403</v>
      </c>
      <c r="B155" s="256" t="s">
        <v>1486</v>
      </c>
      <c r="C155" s="256" t="s">
        <v>235</v>
      </c>
      <c r="D155" s="256" t="s">
        <v>235</v>
      </c>
      <c r="E155" s="256">
        <v>4459051</v>
      </c>
      <c r="F155" s="256">
        <v>4450391</v>
      </c>
      <c r="G155" s="256" t="s">
        <v>557</v>
      </c>
      <c r="H155" s="256" t="s">
        <v>359</v>
      </c>
      <c r="I155" s="256" t="s">
        <v>407</v>
      </c>
      <c r="J155" s="256" t="s">
        <v>1606</v>
      </c>
      <c r="K155" s="259">
        <v>46127.229166666664</v>
      </c>
      <c r="L155" s="259">
        <v>46127.979166666664</v>
      </c>
      <c r="M155" s="259">
        <v>46140.229166666664</v>
      </c>
      <c r="N155" s="256"/>
      <c r="O155" s="256" t="s">
        <v>1843</v>
      </c>
      <c r="P155" s="259">
        <v>46151.229166666664</v>
      </c>
      <c r="Q155" s="256">
        <v>6</v>
      </c>
      <c r="R155" s="256"/>
      <c r="S155" s="256">
        <v>2</v>
      </c>
      <c r="T155" s="256"/>
      <c r="U155" s="256" t="s">
        <v>1</v>
      </c>
      <c r="V155" s="256" t="s">
        <v>1</v>
      </c>
      <c r="W155" s="256" t="s">
        <v>1608</v>
      </c>
      <c r="X155" s="259">
        <v>46112.277083333334</v>
      </c>
      <c r="Y155" s="256" t="s">
        <v>1638</v>
      </c>
      <c r="Z155" s="256" t="s">
        <v>1817</v>
      </c>
      <c r="AA155" s="256" t="s">
        <v>1639</v>
      </c>
      <c r="AB155" s="256"/>
      <c r="AC155" s="256"/>
      <c r="AD155" s="256" t="s">
        <v>1581</v>
      </c>
      <c r="AE155" s="256" t="s">
        <v>408</v>
      </c>
    </row>
    <row r="156" spans="1:31">
      <c r="A156" s="256" t="s">
        <v>403</v>
      </c>
      <c r="B156" s="256" t="s">
        <v>1486</v>
      </c>
      <c r="C156" s="256" t="s">
        <v>235</v>
      </c>
      <c r="D156" s="256" t="s">
        <v>235</v>
      </c>
      <c r="E156" s="256">
        <v>4459051</v>
      </c>
      <c r="F156" s="256">
        <v>4450395</v>
      </c>
      <c r="G156" s="256" t="s">
        <v>546</v>
      </c>
      <c r="H156" s="256" t="s">
        <v>359</v>
      </c>
      <c r="I156" s="256" t="s">
        <v>407</v>
      </c>
      <c r="J156" s="256" t="s">
        <v>1606</v>
      </c>
      <c r="K156" s="259">
        <v>46134.229166666664</v>
      </c>
      <c r="L156" s="259">
        <v>46128.897916666669</v>
      </c>
      <c r="M156" s="259">
        <v>46141.0625</v>
      </c>
      <c r="N156" s="256"/>
      <c r="O156" s="256" t="s">
        <v>1818</v>
      </c>
      <c r="P156" s="259">
        <v>46151.229166666664</v>
      </c>
      <c r="Q156" s="256">
        <v>5</v>
      </c>
      <c r="R156" s="256"/>
      <c r="S156" s="256">
        <v>2</v>
      </c>
      <c r="T156" s="256"/>
      <c r="U156" s="256" t="s">
        <v>1</v>
      </c>
      <c r="V156" s="256" t="s">
        <v>1</v>
      </c>
      <c r="W156" s="256" t="s">
        <v>1608</v>
      </c>
      <c r="X156" s="259">
        <v>46112.29791666667</v>
      </c>
      <c r="Y156" s="256" t="s">
        <v>1638</v>
      </c>
      <c r="Z156" s="256" t="s">
        <v>1817</v>
      </c>
      <c r="AA156" s="256" t="s">
        <v>1639</v>
      </c>
      <c r="AB156" s="256"/>
      <c r="AC156" s="256"/>
      <c r="AD156" s="256" t="s">
        <v>1581</v>
      </c>
      <c r="AE156" s="256" t="s">
        <v>408</v>
      </c>
    </row>
    <row r="157" spans="1:31">
      <c r="A157" s="256" t="s">
        <v>403</v>
      </c>
      <c r="B157" s="256" t="s">
        <v>1486</v>
      </c>
      <c r="C157" s="256" t="s">
        <v>235</v>
      </c>
      <c r="D157" s="256" t="s">
        <v>235</v>
      </c>
      <c r="E157" s="256">
        <v>4459051</v>
      </c>
      <c r="F157" s="256">
        <v>4450401</v>
      </c>
      <c r="G157" s="256" t="s">
        <v>1845</v>
      </c>
      <c r="H157" s="256" t="s">
        <v>359</v>
      </c>
      <c r="I157" s="256" t="s">
        <v>407</v>
      </c>
      <c r="J157" s="256" t="s">
        <v>1606</v>
      </c>
      <c r="K157" s="259">
        <v>46127.229166666664</v>
      </c>
      <c r="L157" s="259">
        <v>46127.979166666664</v>
      </c>
      <c r="M157" s="259">
        <v>46141.0625</v>
      </c>
      <c r="N157" s="256"/>
      <c r="O157" s="256" t="s">
        <v>1818</v>
      </c>
      <c r="P157" s="259">
        <v>46151.229166666664</v>
      </c>
      <c r="Q157" s="256">
        <v>4</v>
      </c>
      <c r="R157" s="256"/>
      <c r="S157" s="256">
        <v>2</v>
      </c>
      <c r="T157" s="256"/>
      <c r="U157" s="256" t="s">
        <v>1</v>
      </c>
      <c r="V157" s="256" t="s">
        <v>1</v>
      </c>
      <c r="W157" s="256" t="s">
        <v>1608</v>
      </c>
      <c r="X157" s="259">
        <v>46112.327777777777</v>
      </c>
      <c r="Y157" s="256" t="s">
        <v>1638</v>
      </c>
      <c r="Z157" s="256" t="s">
        <v>1817</v>
      </c>
      <c r="AA157" s="256" t="s">
        <v>1639</v>
      </c>
      <c r="AB157" s="256"/>
      <c r="AC157" s="256"/>
      <c r="AD157" s="256" t="s">
        <v>1581</v>
      </c>
      <c r="AE157" s="256" t="s">
        <v>408</v>
      </c>
    </row>
    <row r="158" spans="1:31">
      <c r="A158" s="256" t="s">
        <v>403</v>
      </c>
      <c r="B158" s="256" t="s">
        <v>1486</v>
      </c>
      <c r="C158" s="256" t="s">
        <v>235</v>
      </c>
      <c r="D158" s="256" t="s">
        <v>235</v>
      </c>
      <c r="E158" s="256">
        <v>4459051</v>
      </c>
      <c r="F158" s="256">
        <v>4450402</v>
      </c>
      <c r="G158" s="256" t="s">
        <v>543</v>
      </c>
      <c r="H158" s="256" t="s">
        <v>359</v>
      </c>
      <c r="I158" s="256" t="s">
        <v>407</v>
      </c>
      <c r="J158" s="256" t="s">
        <v>1606</v>
      </c>
      <c r="K158" s="259">
        <v>46127.229166666664</v>
      </c>
      <c r="L158" s="259">
        <v>46127.979166666664</v>
      </c>
      <c r="M158" s="259">
        <v>46141.0625</v>
      </c>
      <c r="N158" s="256"/>
      <c r="O158" s="256" t="s">
        <v>1842</v>
      </c>
      <c r="P158" s="259">
        <v>46151.229166666664</v>
      </c>
      <c r="Q158" s="256">
        <v>5</v>
      </c>
      <c r="R158" s="256"/>
      <c r="S158" s="256">
        <v>2</v>
      </c>
      <c r="T158" s="256"/>
      <c r="U158" s="256" t="s">
        <v>1</v>
      </c>
      <c r="V158" s="256" t="s">
        <v>1</v>
      </c>
      <c r="W158" s="256" t="s">
        <v>1608</v>
      </c>
      <c r="X158" s="259">
        <v>46112.335416666669</v>
      </c>
      <c r="Y158" s="256" t="s">
        <v>1638</v>
      </c>
      <c r="Z158" s="256" t="s">
        <v>1817</v>
      </c>
      <c r="AA158" s="256" t="s">
        <v>1639</v>
      </c>
      <c r="AB158" s="256"/>
      <c r="AC158" s="256"/>
      <c r="AD158" s="256" t="s">
        <v>1581</v>
      </c>
      <c r="AE158" s="256" t="s">
        <v>408</v>
      </c>
    </row>
    <row r="159" spans="1:31">
      <c r="A159" s="256" t="s">
        <v>403</v>
      </c>
      <c r="B159" s="256" t="s">
        <v>1486</v>
      </c>
      <c r="C159" s="256" t="s">
        <v>235</v>
      </c>
      <c r="D159" s="256" t="s">
        <v>235</v>
      </c>
      <c r="E159" s="256">
        <v>4459051</v>
      </c>
      <c r="F159" s="256">
        <v>4450405</v>
      </c>
      <c r="G159" s="256" t="s">
        <v>544</v>
      </c>
      <c r="H159" s="256" t="s">
        <v>359</v>
      </c>
      <c r="I159" s="256" t="s">
        <v>407</v>
      </c>
      <c r="J159" s="256" t="s">
        <v>1606</v>
      </c>
      <c r="K159" s="259">
        <v>46127.229166666664</v>
      </c>
      <c r="L159" s="259">
        <v>46127.979166666664</v>
      </c>
      <c r="M159" s="259">
        <v>46141.0625</v>
      </c>
      <c r="N159" s="256"/>
      <c r="O159" s="256" t="s">
        <v>1843</v>
      </c>
      <c r="P159" s="259">
        <v>46151.229166666664</v>
      </c>
      <c r="Q159" s="256">
        <v>4</v>
      </c>
      <c r="R159" s="256"/>
      <c r="S159" s="256">
        <v>2</v>
      </c>
      <c r="T159" s="256"/>
      <c r="U159" s="256" t="s">
        <v>1</v>
      </c>
      <c r="V159" s="256" t="s">
        <v>1</v>
      </c>
      <c r="W159" s="256" t="s">
        <v>1608</v>
      </c>
      <c r="X159" s="259">
        <v>46112.347222222219</v>
      </c>
      <c r="Y159" s="256" t="s">
        <v>1844</v>
      </c>
      <c r="Z159" s="256" t="s">
        <v>1817</v>
      </c>
      <c r="AA159" s="256" t="s">
        <v>1639</v>
      </c>
      <c r="AB159" s="256"/>
      <c r="AC159" s="256"/>
      <c r="AD159" s="256" t="s">
        <v>1581</v>
      </c>
      <c r="AE159" s="256" t="s">
        <v>408</v>
      </c>
    </row>
    <row r="160" spans="1:31">
      <c r="A160" s="256" t="s">
        <v>403</v>
      </c>
      <c r="B160" s="256" t="s">
        <v>1486</v>
      </c>
      <c r="C160" s="256" t="s">
        <v>235</v>
      </c>
      <c r="D160" s="256" t="s">
        <v>235</v>
      </c>
      <c r="E160" s="256">
        <v>4459051</v>
      </c>
      <c r="F160" s="256">
        <v>4450410</v>
      </c>
      <c r="G160" s="256" t="s">
        <v>1846</v>
      </c>
      <c r="H160" s="256" t="s">
        <v>359</v>
      </c>
      <c r="I160" s="256" t="s">
        <v>407</v>
      </c>
      <c r="J160" s="256" t="s">
        <v>1606</v>
      </c>
      <c r="K160" s="259">
        <v>46127.229166666664</v>
      </c>
      <c r="L160" s="259">
        <v>46127.979166666664</v>
      </c>
      <c r="M160" s="259">
        <v>46141.0625</v>
      </c>
      <c r="N160" s="256"/>
      <c r="O160" s="256" t="s">
        <v>1842</v>
      </c>
      <c r="P160" s="259">
        <v>46151.229166666664</v>
      </c>
      <c r="Q160" s="256">
        <v>4</v>
      </c>
      <c r="R160" s="256"/>
      <c r="S160" s="256">
        <v>2</v>
      </c>
      <c r="T160" s="256"/>
      <c r="U160" s="256" t="s">
        <v>1</v>
      </c>
      <c r="V160" s="256" t="s">
        <v>1</v>
      </c>
      <c r="W160" s="256" t="s">
        <v>1608</v>
      </c>
      <c r="X160" s="259">
        <v>46112.362500000003</v>
      </c>
      <c r="Y160" s="256" t="s">
        <v>1844</v>
      </c>
      <c r="Z160" s="256" t="s">
        <v>1817</v>
      </c>
      <c r="AA160" s="256" t="s">
        <v>1639</v>
      </c>
      <c r="AB160" s="256"/>
      <c r="AC160" s="256"/>
      <c r="AD160" s="256" t="s">
        <v>1581</v>
      </c>
      <c r="AE160" s="256" t="s">
        <v>408</v>
      </c>
    </row>
    <row r="161" spans="1:31">
      <c r="A161" s="256" t="s">
        <v>1847</v>
      </c>
      <c r="B161" s="256" t="s">
        <v>1471</v>
      </c>
      <c r="C161" s="256" t="s">
        <v>1772</v>
      </c>
      <c r="D161" s="256" t="s">
        <v>1848</v>
      </c>
      <c r="E161" s="256">
        <v>4456146</v>
      </c>
      <c r="F161" s="256">
        <v>4456193</v>
      </c>
      <c r="G161" s="256" t="s">
        <v>1271</v>
      </c>
      <c r="H161" s="256" t="s">
        <v>288</v>
      </c>
      <c r="I161" s="256" t="s">
        <v>1849</v>
      </c>
      <c r="J161" s="256" t="s">
        <v>1519</v>
      </c>
      <c r="K161" s="259">
        <v>46133.229166666664</v>
      </c>
      <c r="L161" s="256"/>
      <c r="M161" s="259">
        <v>46128.979166666664</v>
      </c>
      <c r="N161" s="256"/>
      <c r="O161" s="256" t="s">
        <v>1850</v>
      </c>
      <c r="P161" s="259">
        <v>46151.229166666664</v>
      </c>
      <c r="Q161" s="256">
        <v>5</v>
      </c>
      <c r="R161" s="256"/>
      <c r="S161" s="256">
        <v>2</v>
      </c>
      <c r="T161" s="256"/>
      <c r="U161" s="256"/>
      <c r="V161" s="256"/>
      <c r="W161" s="256" t="s">
        <v>1851</v>
      </c>
      <c r="X161" s="259">
        <v>46112.890277777777</v>
      </c>
      <c r="Y161" s="256" t="s">
        <v>1852</v>
      </c>
      <c r="Z161" s="256" t="s">
        <v>1853</v>
      </c>
      <c r="AA161" s="256" t="s">
        <v>1663</v>
      </c>
      <c r="AB161" s="256"/>
      <c r="AC161" s="256"/>
      <c r="AD161" s="256" t="s">
        <v>1854</v>
      </c>
      <c r="AE161" s="256" t="s">
        <v>408</v>
      </c>
    </row>
    <row r="162" spans="1:31">
      <c r="A162" s="256" t="s">
        <v>1855</v>
      </c>
      <c r="B162" s="256" t="s">
        <v>1471</v>
      </c>
      <c r="C162" s="256" t="s">
        <v>52</v>
      </c>
      <c r="D162" s="256" t="s">
        <v>52</v>
      </c>
      <c r="E162" s="256">
        <v>4437844</v>
      </c>
      <c r="F162" s="256">
        <v>4463665</v>
      </c>
      <c r="G162" s="256" t="s">
        <v>1180</v>
      </c>
      <c r="H162" s="256" t="s">
        <v>288</v>
      </c>
      <c r="I162" s="256" t="s">
        <v>1856</v>
      </c>
      <c r="J162" s="256" t="s">
        <v>1519</v>
      </c>
      <c r="K162" s="259">
        <v>46134.229166666664</v>
      </c>
      <c r="L162" s="256"/>
      <c r="M162" s="259">
        <v>46139.229166666664</v>
      </c>
      <c r="N162" s="256"/>
      <c r="O162" s="256" t="s">
        <v>1857</v>
      </c>
      <c r="P162" s="259">
        <v>46151.229166666664</v>
      </c>
      <c r="Q162" s="256">
        <v>2.8</v>
      </c>
      <c r="R162" s="256"/>
      <c r="S162" s="256">
        <v>2</v>
      </c>
      <c r="T162" s="256"/>
      <c r="U162" s="256"/>
      <c r="V162" s="256"/>
      <c r="W162" s="256" t="s">
        <v>1858</v>
      </c>
      <c r="X162" s="259">
        <v>46118.940972222219</v>
      </c>
      <c r="Y162" s="256" t="s">
        <v>1859</v>
      </c>
      <c r="Z162" s="256" t="s">
        <v>1860</v>
      </c>
      <c r="AA162" s="256" t="s">
        <v>1492</v>
      </c>
      <c r="AB162" s="256"/>
      <c r="AC162" s="256"/>
      <c r="AD162" s="256" t="s">
        <v>1861</v>
      </c>
      <c r="AE162" s="256" t="s">
        <v>408</v>
      </c>
    </row>
    <row r="163" spans="1:31">
      <c r="A163" s="256" t="s">
        <v>1855</v>
      </c>
      <c r="B163" s="256" t="s">
        <v>1471</v>
      </c>
      <c r="C163" s="256" t="s">
        <v>52</v>
      </c>
      <c r="D163" s="256" t="s">
        <v>52</v>
      </c>
      <c r="E163" s="256">
        <v>4437844</v>
      </c>
      <c r="F163" s="256">
        <v>4463666</v>
      </c>
      <c r="G163" s="256" t="s">
        <v>1179</v>
      </c>
      <c r="H163" s="256" t="s">
        <v>305</v>
      </c>
      <c r="I163" s="256" t="s">
        <v>1862</v>
      </c>
      <c r="J163" s="256" t="s">
        <v>1519</v>
      </c>
      <c r="K163" s="259">
        <v>46122.229166666664</v>
      </c>
      <c r="L163" s="259">
        <v>46125.686805555553</v>
      </c>
      <c r="M163" s="259">
        <v>46134.229166666664</v>
      </c>
      <c r="N163" s="256"/>
      <c r="O163" s="256" t="s">
        <v>1863</v>
      </c>
      <c r="P163" s="259">
        <v>46151.229166666664</v>
      </c>
      <c r="Q163" s="256">
        <v>3</v>
      </c>
      <c r="R163" s="256"/>
      <c r="S163" s="256">
        <v>2</v>
      </c>
      <c r="T163" s="256"/>
      <c r="U163" s="256" t="s">
        <v>1</v>
      </c>
      <c r="V163" s="256" t="s">
        <v>1</v>
      </c>
      <c r="W163" s="256" t="s">
        <v>1858</v>
      </c>
      <c r="X163" s="259">
        <v>46118.947916666664</v>
      </c>
      <c r="Y163" s="256" t="s">
        <v>1859</v>
      </c>
      <c r="Z163" s="256" t="s">
        <v>1864</v>
      </c>
      <c r="AA163" s="256" t="s">
        <v>1492</v>
      </c>
      <c r="AB163" s="256"/>
      <c r="AC163" s="256"/>
      <c r="AD163" s="256" t="s">
        <v>1865</v>
      </c>
      <c r="AE163" s="256" t="s">
        <v>408</v>
      </c>
    </row>
    <row r="164" spans="1:31">
      <c r="A164" s="256" t="s">
        <v>1855</v>
      </c>
      <c r="B164" s="256" t="s">
        <v>1471</v>
      </c>
      <c r="C164" s="256" t="s">
        <v>52</v>
      </c>
      <c r="D164" s="256" t="s">
        <v>52</v>
      </c>
      <c r="E164" s="256">
        <v>4437844</v>
      </c>
      <c r="F164" s="256">
        <v>4463667</v>
      </c>
      <c r="G164" s="256" t="s">
        <v>1177</v>
      </c>
      <c r="H164" s="256" t="s">
        <v>305</v>
      </c>
      <c r="I164" s="256" t="s">
        <v>1866</v>
      </c>
      <c r="J164" s="256" t="s">
        <v>1519</v>
      </c>
      <c r="K164" s="259">
        <v>46125.229166666664</v>
      </c>
      <c r="L164" s="259">
        <v>46125.727777777778</v>
      </c>
      <c r="M164" s="259">
        <v>46139.229166666664</v>
      </c>
      <c r="N164" s="256"/>
      <c r="O164" s="256" t="s">
        <v>1867</v>
      </c>
      <c r="P164" s="259">
        <v>46151.229166666664</v>
      </c>
      <c r="Q164" s="256">
        <v>4</v>
      </c>
      <c r="R164" s="256"/>
      <c r="S164" s="256">
        <v>2</v>
      </c>
      <c r="T164" s="256"/>
      <c r="U164" s="256" t="s">
        <v>1</v>
      </c>
      <c r="V164" s="256" t="s">
        <v>1</v>
      </c>
      <c r="W164" s="256" t="s">
        <v>1858</v>
      </c>
      <c r="X164" s="259">
        <v>46118.958333333336</v>
      </c>
      <c r="Y164" s="256" t="s">
        <v>1859</v>
      </c>
      <c r="Z164" s="256" t="s">
        <v>1868</v>
      </c>
      <c r="AA164" s="256" t="s">
        <v>1492</v>
      </c>
      <c r="AB164" s="256"/>
      <c r="AC164" s="256"/>
      <c r="AD164" s="256" t="s">
        <v>1869</v>
      </c>
      <c r="AE164" s="256" t="s">
        <v>408</v>
      </c>
    </row>
    <row r="165" spans="1:31">
      <c r="A165" s="256" t="s">
        <v>1855</v>
      </c>
      <c r="B165" s="256" t="s">
        <v>1471</v>
      </c>
      <c r="C165" s="256" t="s">
        <v>52</v>
      </c>
      <c r="D165" s="256" t="s">
        <v>52</v>
      </c>
      <c r="E165" s="256">
        <v>4437844</v>
      </c>
      <c r="F165" s="256">
        <v>4464354</v>
      </c>
      <c r="G165" s="256" t="s">
        <v>1870</v>
      </c>
      <c r="H165" s="256" t="s">
        <v>305</v>
      </c>
      <c r="I165" s="256" t="s">
        <v>1856</v>
      </c>
      <c r="J165" s="256" t="s">
        <v>1519</v>
      </c>
      <c r="K165" s="259">
        <v>46128.864583333336</v>
      </c>
      <c r="L165" s="259">
        <v>46128.943749999999</v>
      </c>
      <c r="M165" s="259">
        <v>46139.229166666664</v>
      </c>
      <c r="N165" s="256"/>
      <c r="O165" s="256" t="s">
        <v>1871</v>
      </c>
      <c r="P165" s="259">
        <v>46151.229166666664</v>
      </c>
      <c r="Q165" s="256">
        <v>5</v>
      </c>
      <c r="R165" s="256"/>
      <c r="S165" s="256">
        <v>2</v>
      </c>
      <c r="T165" s="256"/>
      <c r="U165" s="256" t="s">
        <v>1</v>
      </c>
      <c r="V165" s="256" t="s">
        <v>1</v>
      </c>
      <c r="W165" s="256" t="s">
        <v>1858</v>
      </c>
      <c r="X165" s="259">
        <v>46119.4375</v>
      </c>
      <c r="Y165" s="256" t="s">
        <v>1859</v>
      </c>
      <c r="Z165" s="256" t="s">
        <v>1860</v>
      </c>
      <c r="AA165" s="256" t="s">
        <v>1492</v>
      </c>
      <c r="AB165" s="256"/>
      <c r="AC165" s="256"/>
      <c r="AD165" s="256" t="s">
        <v>1872</v>
      </c>
      <c r="AE165" s="256" t="s">
        <v>408</v>
      </c>
    </row>
    <row r="166" spans="1:31">
      <c r="A166" s="256" t="s">
        <v>1855</v>
      </c>
      <c r="B166" s="256" t="s">
        <v>1471</v>
      </c>
      <c r="C166" s="256" t="s">
        <v>52</v>
      </c>
      <c r="D166" s="256" t="s">
        <v>52</v>
      </c>
      <c r="E166" s="256">
        <v>4437844</v>
      </c>
      <c r="F166" s="256">
        <v>4464417</v>
      </c>
      <c r="G166" s="256" t="s">
        <v>1175</v>
      </c>
      <c r="H166" s="256" t="s">
        <v>359</v>
      </c>
      <c r="I166" s="256" t="s">
        <v>1856</v>
      </c>
      <c r="J166" s="256" t="s">
        <v>1519</v>
      </c>
      <c r="K166" s="259">
        <v>46128.865277777775</v>
      </c>
      <c r="L166" s="259">
        <v>46128.229166666664</v>
      </c>
      <c r="M166" s="259">
        <v>46139.229166666664</v>
      </c>
      <c r="N166" s="256"/>
      <c r="O166" s="256" t="s">
        <v>1519</v>
      </c>
      <c r="P166" s="259">
        <v>46151.229166666664</v>
      </c>
      <c r="Q166" s="256">
        <v>5</v>
      </c>
      <c r="R166" s="256"/>
      <c r="S166" s="256">
        <v>2</v>
      </c>
      <c r="T166" s="256"/>
      <c r="U166" s="256" t="s">
        <v>1</v>
      </c>
      <c r="V166" s="256" t="s">
        <v>1</v>
      </c>
      <c r="W166" s="256" t="s">
        <v>1858</v>
      </c>
      <c r="X166" s="259">
        <v>46119.450694444444</v>
      </c>
      <c r="Y166" s="256" t="s">
        <v>1859</v>
      </c>
      <c r="Z166" s="256" t="s">
        <v>1860</v>
      </c>
      <c r="AA166" s="256" t="s">
        <v>1492</v>
      </c>
      <c r="AB166" s="256"/>
      <c r="AC166" s="256"/>
      <c r="AD166" s="256" t="s">
        <v>1873</v>
      </c>
      <c r="AE166" s="256" t="s">
        <v>408</v>
      </c>
    </row>
    <row r="167" spans="1:31">
      <c r="A167" s="256" t="s">
        <v>1855</v>
      </c>
      <c r="B167" s="256" t="s">
        <v>1471</v>
      </c>
      <c r="C167" s="256" t="s">
        <v>52</v>
      </c>
      <c r="D167" s="256" t="s">
        <v>52</v>
      </c>
      <c r="E167" s="256">
        <v>4437844</v>
      </c>
      <c r="F167" s="256">
        <v>4464722</v>
      </c>
      <c r="G167" s="256" t="s">
        <v>1874</v>
      </c>
      <c r="H167" s="256" t="s">
        <v>305</v>
      </c>
      <c r="I167" s="256" t="s">
        <v>1862</v>
      </c>
      <c r="J167" s="256" t="s">
        <v>1519</v>
      </c>
      <c r="K167" s="259">
        <v>46126.229166666664</v>
      </c>
      <c r="L167" s="259">
        <v>46126.795138888891</v>
      </c>
      <c r="M167" s="259">
        <v>46134.229166666664</v>
      </c>
      <c r="N167" s="256"/>
      <c r="O167" s="256" t="s">
        <v>1875</v>
      </c>
      <c r="P167" s="259">
        <v>46151.229166666664</v>
      </c>
      <c r="Q167" s="256">
        <v>2</v>
      </c>
      <c r="R167" s="256"/>
      <c r="S167" s="256">
        <v>2</v>
      </c>
      <c r="T167" s="256"/>
      <c r="U167" s="256" t="s">
        <v>1</v>
      </c>
      <c r="V167" s="256" t="s">
        <v>1</v>
      </c>
      <c r="W167" s="256" t="s">
        <v>1858</v>
      </c>
      <c r="X167" s="259">
        <v>46119.46597222222</v>
      </c>
      <c r="Y167" s="256" t="s">
        <v>1859</v>
      </c>
      <c r="Z167" s="256" t="s">
        <v>1864</v>
      </c>
      <c r="AA167" s="256" t="s">
        <v>1492</v>
      </c>
      <c r="AB167" s="256"/>
      <c r="AC167" s="256"/>
      <c r="AD167" s="256" t="s">
        <v>1876</v>
      </c>
      <c r="AE167" s="256" t="s">
        <v>408</v>
      </c>
    </row>
    <row r="168" spans="1:31">
      <c r="A168" s="256" t="s">
        <v>1855</v>
      </c>
      <c r="B168" s="256" t="s">
        <v>1471</v>
      </c>
      <c r="C168" s="256" t="s">
        <v>52</v>
      </c>
      <c r="D168" s="256" t="s">
        <v>52</v>
      </c>
      <c r="E168" s="256">
        <v>4437844</v>
      </c>
      <c r="F168" s="256">
        <v>4464868</v>
      </c>
      <c r="G168" s="256" t="s">
        <v>1877</v>
      </c>
      <c r="H168" s="256" t="s">
        <v>305</v>
      </c>
      <c r="I168" s="256" t="s">
        <v>1862</v>
      </c>
      <c r="J168" s="256" t="s">
        <v>1519</v>
      </c>
      <c r="K168" s="259">
        <v>46126.229166666664</v>
      </c>
      <c r="L168" s="259">
        <v>46126.795138888891</v>
      </c>
      <c r="M168" s="259">
        <v>46134.229166666664</v>
      </c>
      <c r="N168" s="256"/>
      <c r="O168" s="256" t="s">
        <v>1875</v>
      </c>
      <c r="P168" s="259">
        <v>46151.229166666664</v>
      </c>
      <c r="Q168" s="256">
        <v>3</v>
      </c>
      <c r="R168" s="256"/>
      <c r="S168" s="256">
        <v>2</v>
      </c>
      <c r="T168" s="256"/>
      <c r="U168" s="256" t="s">
        <v>1</v>
      </c>
      <c r="V168" s="256" t="s">
        <v>1</v>
      </c>
      <c r="W168" s="256" t="s">
        <v>1858</v>
      </c>
      <c r="X168" s="259">
        <v>46119.472916666666</v>
      </c>
      <c r="Y168" s="256" t="s">
        <v>1859</v>
      </c>
      <c r="Z168" s="256" t="s">
        <v>1864</v>
      </c>
      <c r="AA168" s="256" t="s">
        <v>1492</v>
      </c>
      <c r="AB168" s="256"/>
      <c r="AC168" s="256"/>
      <c r="AD168" s="256" t="s">
        <v>1878</v>
      </c>
      <c r="AE168" s="256" t="s">
        <v>408</v>
      </c>
    </row>
    <row r="169" spans="1:31">
      <c r="A169" s="256" t="s">
        <v>1847</v>
      </c>
      <c r="B169" s="256" t="s">
        <v>1471</v>
      </c>
      <c r="C169" s="256" t="s">
        <v>1772</v>
      </c>
      <c r="D169" s="256" t="s">
        <v>1848</v>
      </c>
      <c r="E169" s="256">
        <v>4456146</v>
      </c>
      <c r="F169" s="256">
        <v>4456195</v>
      </c>
      <c r="G169" s="256" t="s">
        <v>1267</v>
      </c>
      <c r="H169" s="256" t="s">
        <v>288</v>
      </c>
      <c r="I169" s="256" t="s">
        <v>1849</v>
      </c>
      <c r="J169" s="256" t="s">
        <v>1519</v>
      </c>
      <c r="K169" s="259">
        <v>46133.229166666664</v>
      </c>
      <c r="L169" s="256"/>
      <c r="M169" s="259">
        <v>46128.979166666664</v>
      </c>
      <c r="N169" s="256"/>
      <c r="O169" s="256" t="s">
        <v>1879</v>
      </c>
      <c r="P169" s="259">
        <v>46151.229166666664</v>
      </c>
      <c r="Q169" s="256">
        <v>5</v>
      </c>
      <c r="R169" s="256"/>
      <c r="S169" s="256">
        <v>2</v>
      </c>
      <c r="T169" s="256"/>
      <c r="U169" s="256"/>
      <c r="V169" s="256"/>
      <c r="W169" s="256" t="s">
        <v>1851</v>
      </c>
      <c r="X169" s="259">
        <v>46112.911111111112</v>
      </c>
      <c r="Y169" s="256" t="s">
        <v>1852</v>
      </c>
      <c r="Z169" s="256" t="s">
        <v>1853</v>
      </c>
      <c r="AA169" s="256" t="s">
        <v>1663</v>
      </c>
      <c r="AB169" s="256"/>
      <c r="AC169" s="256"/>
      <c r="AD169" s="256" t="s">
        <v>1854</v>
      </c>
      <c r="AE169" s="256" t="s">
        <v>408</v>
      </c>
    </row>
    <row r="170" spans="1:31">
      <c r="A170" s="256" t="s">
        <v>1847</v>
      </c>
      <c r="B170" s="256" t="s">
        <v>1471</v>
      </c>
      <c r="C170" s="256" t="s">
        <v>1772</v>
      </c>
      <c r="D170" s="256" t="s">
        <v>1848</v>
      </c>
      <c r="E170" s="256">
        <v>4456146</v>
      </c>
      <c r="F170" s="256">
        <v>4456197</v>
      </c>
      <c r="G170" s="256" t="s">
        <v>1268</v>
      </c>
      <c r="H170" s="256" t="s">
        <v>288</v>
      </c>
      <c r="I170" s="256" t="s">
        <v>1849</v>
      </c>
      <c r="J170" s="256" t="s">
        <v>1519</v>
      </c>
      <c r="K170" s="259">
        <v>46133.229166666664</v>
      </c>
      <c r="L170" s="256"/>
      <c r="M170" s="259">
        <v>46128.979166666664</v>
      </c>
      <c r="N170" s="256"/>
      <c r="O170" s="256" t="s">
        <v>1850</v>
      </c>
      <c r="P170" s="259">
        <v>46151.229166666664</v>
      </c>
      <c r="Q170" s="256">
        <v>3</v>
      </c>
      <c r="R170" s="256"/>
      <c r="S170" s="256">
        <v>2</v>
      </c>
      <c r="T170" s="256"/>
      <c r="U170" s="256"/>
      <c r="V170" s="256"/>
      <c r="W170" s="256" t="s">
        <v>1851</v>
      </c>
      <c r="X170" s="259">
        <v>46112.912499999999</v>
      </c>
      <c r="Y170" s="256" t="s">
        <v>1852</v>
      </c>
      <c r="Z170" s="256" t="s">
        <v>1853</v>
      </c>
      <c r="AA170" s="256" t="s">
        <v>1663</v>
      </c>
      <c r="AB170" s="256"/>
      <c r="AC170" s="256"/>
      <c r="AD170" s="256" t="s">
        <v>1854</v>
      </c>
      <c r="AE170" s="256" t="s">
        <v>408</v>
      </c>
    </row>
    <row r="171" spans="1:31">
      <c r="A171" s="256" t="s">
        <v>1847</v>
      </c>
      <c r="B171" s="256" t="s">
        <v>1471</v>
      </c>
      <c r="C171" s="256" t="s">
        <v>1772</v>
      </c>
      <c r="D171" s="256" t="s">
        <v>1848</v>
      </c>
      <c r="E171" s="256">
        <v>4456146</v>
      </c>
      <c r="F171" s="256">
        <v>4456199</v>
      </c>
      <c r="G171" s="256" t="s">
        <v>1265</v>
      </c>
      <c r="H171" s="256" t="s">
        <v>288</v>
      </c>
      <c r="I171" s="256" t="s">
        <v>1849</v>
      </c>
      <c r="J171" s="256" t="s">
        <v>1519</v>
      </c>
      <c r="K171" s="259">
        <v>46133.229166666664</v>
      </c>
      <c r="L171" s="256"/>
      <c r="M171" s="259">
        <v>46128.979166666664</v>
      </c>
      <c r="N171" s="256"/>
      <c r="O171" s="256" t="s">
        <v>1880</v>
      </c>
      <c r="P171" s="259">
        <v>46151.229166666664</v>
      </c>
      <c r="Q171" s="256">
        <v>3</v>
      </c>
      <c r="R171" s="256"/>
      <c r="S171" s="256">
        <v>2</v>
      </c>
      <c r="T171" s="256"/>
      <c r="U171" s="256"/>
      <c r="V171" s="256"/>
      <c r="W171" s="256" t="s">
        <v>1851</v>
      </c>
      <c r="X171" s="259">
        <v>46112.913888888892</v>
      </c>
      <c r="Y171" s="256" t="s">
        <v>1852</v>
      </c>
      <c r="Z171" s="256" t="s">
        <v>1853</v>
      </c>
      <c r="AA171" s="256" t="s">
        <v>1663</v>
      </c>
      <c r="AB171" s="256"/>
      <c r="AC171" s="256"/>
      <c r="AD171" s="256" t="s">
        <v>1854</v>
      </c>
      <c r="AE171" s="256" t="s">
        <v>408</v>
      </c>
    </row>
    <row r="172" spans="1:31">
      <c r="A172" s="256" t="s">
        <v>1847</v>
      </c>
      <c r="B172" s="256" t="s">
        <v>1471</v>
      </c>
      <c r="C172" s="256" t="s">
        <v>1772</v>
      </c>
      <c r="D172" s="256" t="s">
        <v>1848</v>
      </c>
      <c r="E172" s="256">
        <v>4456146</v>
      </c>
      <c r="F172" s="256">
        <v>4456200</v>
      </c>
      <c r="G172" s="256" t="s">
        <v>1263</v>
      </c>
      <c r="H172" s="256" t="s">
        <v>288</v>
      </c>
      <c r="I172" s="256" t="s">
        <v>1849</v>
      </c>
      <c r="J172" s="256" t="s">
        <v>1519</v>
      </c>
      <c r="K172" s="259">
        <v>46133.229166666664</v>
      </c>
      <c r="L172" s="259">
        <v>46127.229166666664</v>
      </c>
      <c r="M172" s="259">
        <v>46128.979166666664</v>
      </c>
      <c r="N172" s="256"/>
      <c r="O172" s="256" t="s">
        <v>1879</v>
      </c>
      <c r="P172" s="259">
        <v>46151.229166666664</v>
      </c>
      <c r="Q172" s="256">
        <v>5</v>
      </c>
      <c r="R172" s="256"/>
      <c r="S172" s="256">
        <v>2</v>
      </c>
      <c r="T172" s="256"/>
      <c r="U172" s="256"/>
      <c r="V172" s="256"/>
      <c r="W172" s="256" t="s">
        <v>1851</v>
      </c>
      <c r="X172" s="259">
        <v>46112.914583333331</v>
      </c>
      <c r="Y172" s="256" t="s">
        <v>1852</v>
      </c>
      <c r="Z172" s="256" t="s">
        <v>1853</v>
      </c>
      <c r="AA172" s="256" t="s">
        <v>1663</v>
      </c>
      <c r="AB172" s="256"/>
      <c r="AC172" s="256"/>
      <c r="AD172" s="256" t="s">
        <v>1854</v>
      </c>
      <c r="AE172" s="256" t="s">
        <v>408</v>
      </c>
    </row>
    <row r="173" spans="1:31">
      <c r="A173" s="256" t="s">
        <v>1847</v>
      </c>
      <c r="B173" s="256" t="s">
        <v>1471</v>
      </c>
      <c r="C173" s="256" t="s">
        <v>1772</v>
      </c>
      <c r="D173" s="256" t="s">
        <v>1848</v>
      </c>
      <c r="E173" s="256">
        <v>4456146</v>
      </c>
      <c r="F173" s="256">
        <v>4456202</v>
      </c>
      <c r="G173" s="256" t="s">
        <v>1266</v>
      </c>
      <c r="H173" s="256" t="s">
        <v>288</v>
      </c>
      <c r="I173" s="256" t="s">
        <v>1849</v>
      </c>
      <c r="J173" s="256" t="s">
        <v>1519</v>
      </c>
      <c r="K173" s="259">
        <v>46133.229166666664</v>
      </c>
      <c r="L173" s="256"/>
      <c r="M173" s="259">
        <v>46128.979166666664</v>
      </c>
      <c r="N173" s="256"/>
      <c r="O173" s="256" t="s">
        <v>1879</v>
      </c>
      <c r="P173" s="259">
        <v>46151.229166666664</v>
      </c>
      <c r="Q173" s="256">
        <v>5</v>
      </c>
      <c r="R173" s="256"/>
      <c r="S173" s="256">
        <v>2</v>
      </c>
      <c r="T173" s="256"/>
      <c r="U173" s="256"/>
      <c r="V173" s="256"/>
      <c r="W173" s="256" t="s">
        <v>1851</v>
      </c>
      <c r="X173" s="259">
        <v>46112.915972222225</v>
      </c>
      <c r="Y173" s="256" t="s">
        <v>1852</v>
      </c>
      <c r="Z173" s="256" t="s">
        <v>1853</v>
      </c>
      <c r="AA173" s="256" t="s">
        <v>1663</v>
      </c>
      <c r="AB173" s="256"/>
      <c r="AC173" s="256"/>
      <c r="AD173" s="256" t="s">
        <v>1854</v>
      </c>
      <c r="AE173" s="256" t="s">
        <v>408</v>
      </c>
    </row>
    <row r="174" spans="1:31">
      <c r="A174" s="256" t="s">
        <v>1847</v>
      </c>
      <c r="B174" s="256" t="s">
        <v>1471</v>
      </c>
      <c r="C174" s="256" t="s">
        <v>1772</v>
      </c>
      <c r="D174" s="256" t="s">
        <v>1848</v>
      </c>
      <c r="E174" s="256">
        <v>4456146</v>
      </c>
      <c r="F174" s="256">
        <v>4456204</v>
      </c>
      <c r="G174" s="256" t="s">
        <v>1269</v>
      </c>
      <c r="H174" s="256" t="s">
        <v>288</v>
      </c>
      <c r="I174" s="256" t="s">
        <v>1849</v>
      </c>
      <c r="J174" s="256" t="s">
        <v>1519</v>
      </c>
      <c r="K174" s="259">
        <v>46133.229166666664</v>
      </c>
      <c r="L174" s="256"/>
      <c r="M174" s="259">
        <v>46128.979166666664</v>
      </c>
      <c r="N174" s="256"/>
      <c r="O174" s="256" t="s">
        <v>1879</v>
      </c>
      <c r="P174" s="259">
        <v>46151.229166666664</v>
      </c>
      <c r="Q174" s="256">
        <v>3</v>
      </c>
      <c r="R174" s="256"/>
      <c r="S174" s="256">
        <v>2</v>
      </c>
      <c r="T174" s="256"/>
      <c r="U174" s="256"/>
      <c r="V174" s="256"/>
      <c r="W174" s="256" t="s">
        <v>1851</v>
      </c>
      <c r="X174" s="259">
        <v>46112.915972222225</v>
      </c>
      <c r="Y174" s="256" t="s">
        <v>1852</v>
      </c>
      <c r="Z174" s="256" t="s">
        <v>1853</v>
      </c>
      <c r="AA174" s="256" t="s">
        <v>1663</v>
      </c>
      <c r="AB174" s="256"/>
      <c r="AC174" s="256"/>
      <c r="AD174" s="256" t="s">
        <v>1854</v>
      </c>
      <c r="AE174" s="256" t="s">
        <v>408</v>
      </c>
    </row>
    <row r="175" spans="1:31">
      <c r="A175" s="256" t="s">
        <v>1847</v>
      </c>
      <c r="B175" s="256" t="s">
        <v>1471</v>
      </c>
      <c r="C175" s="256" t="s">
        <v>1772</v>
      </c>
      <c r="D175" s="256" t="s">
        <v>1848</v>
      </c>
      <c r="E175" s="256">
        <v>4456146</v>
      </c>
      <c r="F175" s="256">
        <v>4456205</v>
      </c>
      <c r="G175" s="256" t="s">
        <v>1261</v>
      </c>
      <c r="H175" s="256" t="s">
        <v>288</v>
      </c>
      <c r="I175" s="256" t="s">
        <v>1849</v>
      </c>
      <c r="J175" s="256" t="s">
        <v>1519</v>
      </c>
      <c r="K175" s="259">
        <v>46133.229166666664</v>
      </c>
      <c r="L175" s="256"/>
      <c r="M175" s="259">
        <v>46128.979166666664</v>
      </c>
      <c r="N175" s="256"/>
      <c r="O175" s="256" t="s">
        <v>1881</v>
      </c>
      <c r="P175" s="259">
        <v>46151.229166666664</v>
      </c>
      <c r="Q175" s="256">
        <v>3</v>
      </c>
      <c r="R175" s="256"/>
      <c r="S175" s="256">
        <v>2</v>
      </c>
      <c r="T175" s="256"/>
      <c r="U175" s="256"/>
      <c r="V175" s="256"/>
      <c r="W175" s="256" t="s">
        <v>1851</v>
      </c>
      <c r="X175" s="259">
        <v>46112.916666666664</v>
      </c>
      <c r="Y175" s="256" t="s">
        <v>1852</v>
      </c>
      <c r="Z175" s="256" t="s">
        <v>1853</v>
      </c>
      <c r="AA175" s="256" t="s">
        <v>1663</v>
      </c>
      <c r="AB175" s="256"/>
      <c r="AC175" s="256"/>
      <c r="AD175" s="256" t="s">
        <v>1854</v>
      </c>
      <c r="AE175" s="256" t="s">
        <v>408</v>
      </c>
    </row>
    <row r="176" spans="1:31">
      <c r="A176" s="256" t="s">
        <v>1847</v>
      </c>
      <c r="B176" s="256" t="s">
        <v>1471</v>
      </c>
      <c r="C176" s="256" t="s">
        <v>1772</v>
      </c>
      <c r="D176" s="256" t="s">
        <v>1848</v>
      </c>
      <c r="E176" s="256">
        <v>4456146</v>
      </c>
      <c r="F176" s="256">
        <v>4456206</v>
      </c>
      <c r="G176" s="256" t="s">
        <v>1255</v>
      </c>
      <c r="H176" s="256" t="s">
        <v>288</v>
      </c>
      <c r="I176" s="256" t="s">
        <v>1849</v>
      </c>
      <c r="J176" s="256" t="s">
        <v>1519</v>
      </c>
      <c r="K176" s="259">
        <v>46133.229166666664</v>
      </c>
      <c r="L176" s="256"/>
      <c r="M176" s="259">
        <v>46128.979166666664</v>
      </c>
      <c r="N176" s="256"/>
      <c r="O176" s="256" t="s">
        <v>1850</v>
      </c>
      <c r="P176" s="259">
        <v>46151.229166666664</v>
      </c>
      <c r="Q176" s="256">
        <v>5</v>
      </c>
      <c r="R176" s="256"/>
      <c r="S176" s="256">
        <v>2</v>
      </c>
      <c r="T176" s="256"/>
      <c r="U176" s="256"/>
      <c r="V176" s="256"/>
      <c r="W176" s="256" t="s">
        <v>1851</v>
      </c>
      <c r="X176" s="259">
        <v>46112.917361111111</v>
      </c>
      <c r="Y176" s="256" t="s">
        <v>1852</v>
      </c>
      <c r="Z176" s="256" t="s">
        <v>1853</v>
      </c>
      <c r="AA176" s="256" t="s">
        <v>1663</v>
      </c>
      <c r="AB176" s="256"/>
      <c r="AC176" s="256"/>
      <c r="AD176" s="256" t="s">
        <v>1854</v>
      </c>
      <c r="AE176" s="256" t="s">
        <v>408</v>
      </c>
    </row>
    <row r="177" spans="1:31">
      <c r="A177" s="256" t="s">
        <v>1847</v>
      </c>
      <c r="B177" s="256" t="s">
        <v>1471</v>
      </c>
      <c r="C177" s="256" t="s">
        <v>1772</v>
      </c>
      <c r="D177" s="256" t="s">
        <v>1848</v>
      </c>
      <c r="E177" s="256">
        <v>4456146</v>
      </c>
      <c r="F177" s="256">
        <v>4456207</v>
      </c>
      <c r="G177" s="256" t="s">
        <v>1270</v>
      </c>
      <c r="H177" s="256" t="s">
        <v>288</v>
      </c>
      <c r="I177" s="256" t="s">
        <v>1849</v>
      </c>
      <c r="J177" s="256" t="s">
        <v>1519</v>
      </c>
      <c r="K177" s="259">
        <v>46133.229166666664</v>
      </c>
      <c r="L177" s="256"/>
      <c r="M177" s="259">
        <v>46128.979166666664</v>
      </c>
      <c r="N177" s="256"/>
      <c r="O177" s="256" t="s">
        <v>1880</v>
      </c>
      <c r="P177" s="259">
        <v>46151.229166666664</v>
      </c>
      <c r="Q177" s="256">
        <v>5</v>
      </c>
      <c r="R177" s="256"/>
      <c r="S177" s="256">
        <v>2</v>
      </c>
      <c r="T177" s="256"/>
      <c r="U177" s="256"/>
      <c r="V177" s="256"/>
      <c r="W177" s="256" t="s">
        <v>1851</v>
      </c>
      <c r="X177" s="259">
        <v>46112.918055555558</v>
      </c>
      <c r="Y177" s="256" t="s">
        <v>1852</v>
      </c>
      <c r="Z177" s="256" t="s">
        <v>1853</v>
      </c>
      <c r="AA177" s="256" t="s">
        <v>1663</v>
      </c>
      <c r="AB177" s="256"/>
      <c r="AC177" s="256"/>
      <c r="AD177" s="256" t="s">
        <v>1854</v>
      </c>
      <c r="AE177" s="256" t="s">
        <v>408</v>
      </c>
    </row>
    <row r="178" spans="1:31">
      <c r="A178" s="256" t="s">
        <v>1847</v>
      </c>
      <c r="B178" s="256" t="s">
        <v>1471</v>
      </c>
      <c r="C178" s="256" t="s">
        <v>1772</v>
      </c>
      <c r="D178" s="256" t="s">
        <v>1848</v>
      </c>
      <c r="E178" s="256">
        <v>4456146</v>
      </c>
      <c r="F178" s="256">
        <v>4456208</v>
      </c>
      <c r="G178" s="256" t="s">
        <v>1262</v>
      </c>
      <c r="H178" s="256" t="s">
        <v>288</v>
      </c>
      <c r="I178" s="256" t="s">
        <v>1849</v>
      </c>
      <c r="J178" s="256" t="s">
        <v>1519</v>
      </c>
      <c r="K178" s="259">
        <v>46133.229166666664</v>
      </c>
      <c r="L178" s="256"/>
      <c r="M178" s="259">
        <v>46128.979166666664</v>
      </c>
      <c r="N178" s="256"/>
      <c r="O178" s="256" t="s">
        <v>1881</v>
      </c>
      <c r="P178" s="259">
        <v>46151.229166666664</v>
      </c>
      <c r="Q178" s="256">
        <v>5</v>
      </c>
      <c r="R178" s="256"/>
      <c r="S178" s="256">
        <v>2</v>
      </c>
      <c r="T178" s="256"/>
      <c r="U178" s="256"/>
      <c r="V178" s="256"/>
      <c r="W178" s="256" t="s">
        <v>1851</v>
      </c>
      <c r="X178" s="259">
        <v>46112.918749999997</v>
      </c>
      <c r="Y178" s="256" t="s">
        <v>1852</v>
      </c>
      <c r="Z178" s="256" t="s">
        <v>1853</v>
      </c>
      <c r="AA178" s="256" t="s">
        <v>1663</v>
      </c>
      <c r="AB178" s="256"/>
      <c r="AC178" s="256"/>
      <c r="AD178" s="256" t="s">
        <v>1854</v>
      </c>
      <c r="AE178" s="256" t="s">
        <v>408</v>
      </c>
    </row>
    <row r="179" spans="1:31">
      <c r="A179" s="256" t="s">
        <v>1847</v>
      </c>
      <c r="B179" s="256" t="s">
        <v>1471</v>
      </c>
      <c r="C179" s="256" t="s">
        <v>1772</v>
      </c>
      <c r="D179" s="256" t="s">
        <v>1848</v>
      </c>
      <c r="E179" s="256">
        <v>4456146</v>
      </c>
      <c r="F179" s="256">
        <v>4456209</v>
      </c>
      <c r="G179" s="256" t="s">
        <v>1260</v>
      </c>
      <c r="H179" s="256" t="s">
        <v>288</v>
      </c>
      <c r="I179" s="256" t="s">
        <v>1849</v>
      </c>
      <c r="J179" s="256" t="s">
        <v>1519</v>
      </c>
      <c r="K179" s="259">
        <v>46133.229166666664</v>
      </c>
      <c r="L179" s="256"/>
      <c r="M179" s="259">
        <v>46128.979166666664</v>
      </c>
      <c r="N179" s="256"/>
      <c r="O179" s="256" t="s">
        <v>1850</v>
      </c>
      <c r="P179" s="259">
        <v>46151.229166666664</v>
      </c>
      <c r="Q179" s="256">
        <v>3</v>
      </c>
      <c r="R179" s="256"/>
      <c r="S179" s="256">
        <v>2</v>
      </c>
      <c r="T179" s="256"/>
      <c r="U179" s="256"/>
      <c r="V179" s="256"/>
      <c r="W179" s="256" t="s">
        <v>1851</v>
      </c>
      <c r="X179" s="259">
        <v>46112.918749999997</v>
      </c>
      <c r="Y179" s="256" t="s">
        <v>1852</v>
      </c>
      <c r="Z179" s="256" t="s">
        <v>1853</v>
      </c>
      <c r="AA179" s="256" t="s">
        <v>1663</v>
      </c>
      <c r="AB179" s="256"/>
      <c r="AC179" s="256"/>
      <c r="AD179" s="256" t="s">
        <v>1854</v>
      </c>
      <c r="AE179" s="256" t="s">
        <v>408</v>
      </c>
    </row>
    <row r="180" spans="1:31">
      <c r="A180" s="256" t="s">
        <v>1847</v>
      </c>
      <c r="B180" s="256" t="s">
        <v>1471</v>
      </c>
      <c r="C180" s="256" t="s">
        <v>1772</v>
      </c>
      <c r="D180" s="256" t="s">
        <v>1848</v>
      </c>
      <c r="E180" s="256">
        <v>4456146</v>
      </c>
      <c r="F180" s="256">
        <v>4456210</v>
      </c>
      <c r="G180" s="256" t="s">
        <v>1259</v>
      </c>
      <c r="H180" s="256" t="s">
        <v>288</v>
      </c>
      <c r="I180" s="256" t="s">
        <v>1849</v>
      </c>
      <c r="J180" s="256" t="s">
        <v>1519</v>
      </c>
      <c r="K180" s="259">
        <v>46133.229166666664</v>
      </c>
      <c r="L180" s="259">
        <v>46127.229166666664</v>
      </c>
      <c r="M180" s="259">
        <v>46128.979166666664</v>
      </c>
      <c r="N180" s="256"/>
      <c r="O180" s="256" t="s">
        <v>1879</v>
      </c>
      <c r="P180" s="259">
        <v>46151.229166666664</v>
      </c>
      <c r="Q180" s="256">
        <v>3</v>
      </c>
      <c r="R180" s="256"/>
      <c r="S180" s="256">
        <v>2</v>
      </c>
      <c r="T180" s="256"/>
      <c r="U180" s="256"/>
      <c r="V180" s="256"/>
      <c r="W180" s="256" t="s">
        <v>1851</v>
      </c>
      <c r="X180" s="259">
        <v>46112.920138888891</v>
      </c>
      <c r="Y180" s="256" t="s">
        <v>1852</v>
      </c>
      <c r="Z180" s="256" t="s">
        <v>1853</v>
      </c>
      <c r="AA180" s="256" t="s">
        <v>1663</v>
      </c>
      <c r="AB180" s="256"/>
      <c r="AC180" s="256"/>
      <c r="AD180" s="256" t="s">
        <v>1854</v>
      </c>
      <c r="AE180" s="256" t="s">
        <v>408</v>
      </c>
    </row>
    <row r="181" spans="1:31">
      <c r="A181" s="256" t="s">
        <v>1882</v>
      </c>
      <c r="B181" s="256" t="s">
        <v>1471</v>
      </c>
      <c r="C181" s="256" t="s">
        <v>1772</v>
      </c>
      <c r="D181" s="256" t="s">
        <v>1438</v>
      </c>
      <c r="E181" s="256">
        <v>4223629</v>
      </c>
      <c r="F181" s="256">
        <v>4475571</v>
      </c>
      <c r="G181" s="256" t="s">
        <v>1298</v>
      </c>
      <c r="H181" s="256" t="s">
        <v>242</v>
      </c>
      <c r="I181" s="256" t="s">
        <v>1820</v>
      </c>
      <c r="J181" s="256" t="s">
        <v>1883</v>
      </c>
      <c r="K181" s="259">
        <v>46134.229166666664</v>
      </c>
      <c r="L181" s="256"/>
      <c r="M181" s="259">
        <v>46139.229166666664</v>
      </c>
      <c r="N181" s="256"/>
      <c r="O181" s="256" t="s">
        <v>1884</v>
      </c>
      <c r="P181" s="259">
        <v>46151.229166666664</v>
      </c>
      <c r="Q181" s="256">
        <v>5</v>
      </c>
      <c r="R181" s="256"/>
      <c r="S181" s="256">
        <v>2</v>
      </c>
      <c r="T181" s="256"/>
      <c r="U181" s="256"/>
      <c r="V181" s="256"/>
      <c r="W181" s="256" t="s">
        <v>1822</v>
      </c>
      <c r="X181" s="259">
        <v>46125.836111111108</v>
      </c>
      <c r="Y181" s="256" t="s">
        <v>1885</v>
      </c>
      <c r="Z181" s="256" t="s">
        <v>1824</v>
      </c>
      <c r="AA181" s="256" t="s">
        <v>1492</v>
      </c>
      <c r="AB181" s="256"/>
      <c r="AC181" s="256"/>
      <c r="AD181" s="256" t="s">
        <v>1886</v>
      </c>
      <c r="AE181" s="256" t="s">
        <v>408</v>
      </c>
    </row>
    <row r="182" spans="1:31">
      <c r="A182" s="256" t="s">
        <v>1855</v>
      </c>
      <c r="B182" s="256" t="s">
        <v>1471</v>
      </c>
      <c r="C182" s="256" t="s">
        <v>52</v>
      </c>
      <c r="D182" s="256" t="s">
        <v>52</v>
      </c>
      <c r="E182" s="256">
        <v>4437844</v>
      </c>
      <c r="F182" s="256">
        <v>4461243</v>
      </c>
      <c r="G182" s="256" t="s">
        <v>1286</v>
      </c>
      <c r="H182" s="256" t="s">
        <v>359</v>
      </c>
      <c r="I182" s="256" t="s">
        <v>1862</v>
      </c>
      <c r="J182" s="256" t="s">
        <v>1519</v>
      </c>
      <c r="K182" s="259">
        <v>46129.074999999997</v>
      </c>
      <c r="L182" s="259">
        <v>46128.229166666664</v>
      </c>
      <c r="M182" s="259">
        <v>46135.229166666664</v>
      </c>
      <c r="N182" s="256"/>
      <c r="O182" s="256" t="s">
        <v>1883</v>
      </c>
      <c r="P182" s="259">
        <v>46151.229166666664</v>
      </c>
      <c r="Q182" s="256">
        <v>5</v>
      </c>
      <c r="R182" s="256"/>
      <c r="S182" s="256">
        <v>2</v>
      </c>
      <c r="T182" s="256"/>
      <c r="U182" s="256" t="s">
        <v>1</v>
      </c>
      <c r="V182" s="256" t="s">
        <v>1</v>
      </c>
      <c r="W182" s="256" t="s">
        <v>1858</v>
      </c>
      <c r="X182" s="259">
        <v>46115.428472222222</v>
      </c>
      <c r="Y182" s="256" t="s">
        <v>1649</v>
      </c>
      <c r="Z182" s="256" t="s">
        <v>1864</v>
      </c>
      <c r="AA182" s="256" t="s">
        <v>1492</v>
      </c>
      <c r="AB182" s="256"/>
      <c r="AC182" s="256"/>
      <c r="AD182" s="256" t="s">
        <v>1887</v>
      </c>
      <c r="AE182" s="256" t="s">
        <v>408</v>
      </c>
    </row>
    <row r="183" spans="1:31">
      <c r="A183" s="256" t="s">
        <v>1888</v>
      </c>
      <c r="B183" s="256" t="s">
        <v>1471</v>
      </c>
      <c r="C183" s="256" t="s">
        <v>1772</v>
      </c>
      <c r="D183" s="256" t="s">
        <v>1825</v>
      </c>
      <c r="E183" s="256">
        <v>4472827</v>
      </c>
      <c r="F183" s="256">
        <v>4472826</v>
      </c>
      <c r="G183" s="256" t="s">
        <v>1287</v>
      </c>
      <c r="H183" s="256" t="s">
        <v>242</v>
      </c>
      <c r="I183" s="256" t="s">
        <v>1820</v>
      </c>
      <c r="J183" s="256" t="s">
        <v>1883</v>
      </c>
      <c r="K183" s="259">
        <v>46134.229166666664</v>
      </c>
      <c r="L183" s="256"/>
      <c r="M183" s="256"/>
      <c r="N183" s="256"/>
      <c r="O183" s="256" t="s">
        <v>1889</v>
      </c>
      <c r="P183" s="259">
        <v>46151.229166666664</v>
      </c>
      <c r="Q183" s="256"/>
      <c r="R183" s="256"/>
      <c r="S183" s="256">
        <v>2</v>
      </c>
      <c r="T183" s="256"/>
      <c r="U183" s="256"/>
      <c r="V183" s="256"/>
      <c r="W183" s="256" t="s">
        <v>1890</v>
      </c>
      <c r="X183" s="259">
        <v>46124.661805555559</v>
      </c>
      <c r="Y183" s="256" t="s">
        <v>1891</v>
      </c>
      <c r="Z183" s="256" t="s">
        <v>1824</v>
      </c>
      <c r="AA183" s="256" t="s">
        <v>1892</v>
      </c>
      <c r="AB183" s="256"/>
      <c r="AC183" s="256"/>
      <c r="AD183" s="256" t="s">
        <v>1893</v>
      </c>
      <c r="AE183" s="256" t="s">
        <v>408</v>
      </c>
    </row>
    <row r="184" spans="1:31">
      <c r="A184" s="256" t="s">
        <v>1888</v>
      </c>
      <c r="B184" s="256" t="s">
        <v>1471</v>
      </c>
      <c r="C184" s="256" t="s">
        <v>1772</v>
      </c>
      <c r="D184" s="256" t="s">
        <v>1825</v>
      </c>
      <c r="E184" s="256">
        <v>4472827</v>
      </c>
      <c r="F184" s="256">
        <v>4472828</v>
      </c>
      <c r="G184" s="256" t="s">
        <v>1289</v>
      </c>
      <c r="H184" s="256" t="s">
        <v>242</v>
      </c>
      <c r="I184" s="256" t="s">
        <v>1820</v>
      </c>
      <c r="J184" s="256" t="s">
        <v>1883</v>
      </c>
      <c r="K184" s="259">
        <v>46134.229166666664</v>
      </c>
      <c r="L184" s="256"/>
      <c r="M184" s="256"/>
      <c r="N184" s="256"/>
      <c r="O184" s="256" t="s">
        <v>1894</v>
      </c>
      <c r="P184" s="259">
        <v>46151.229166666664</v>
      </c>
      <c r="Q184" s="256">
        <v>3</v>
      </c>
      <c r="R184" s="256"/>
      <c r="S184" s="256">
        <v>2</v>
      </c>
      <c r="T184" s="256"/>
      <c r="U184" s="256"/>
      <c r="V184" s="256"/>
      <c r="W184" s="256" t="s">
        <v>1890</v>
      </c>
      <c r="X184" s="259">
        <v>46124.688888888886</v>
      </c>
      <c r="Y184" s="256" t="s">
        <v>1895</v>
      </c>
      <c r="Z184" s="256" t="s">
        <v>1824</v>
      </c>
      <c r="AA184" s="256" t="s">
        <v>1892</v>
      </c>
      <c r="AB184" s="256"/>
      <c r="AC184" s="256"/>
      <c r="AD184" s="256" t="s">
        <v>1893</v>
      </c>
      <c r="AE184" s="256" t="s">
        <v>408</v>
      </c>
    </row>
    <row r="185" spans="1:31">
      <c r="A185" s="256" t="s">
        <v>1888</v>
      </c>
      <c r="B185" s="256" t="s">
        <v>1471</v>
      </c>
      <c r="C185" s="256" t="s">
        <v>1772</v>
      </c>
      <c r="D185" s="256" t="s">
        <v>1825</v>
      </c>
      <c r="E185" s="256">
        <v>4472827</v>
      </c>
      <c r="F185" s="256">
        <v>4472830</v>
      </c>
      <c r="G185" s="256" t="s">
        <v>1291</v>
      </c>
      <c r="H185" s="256" t="s">
        <v>242</v>
      </c>
      <c r="I185" s="256" t="s">
        <v>1820</v>
      </c>
      <c r="J185" s="256" t="s">
        <v>1883</v>
      </c>
      <c r="K185" s="256"/>
      <c r="L185" s="256"/>
      <c r="M185" s="256"/>
      <c r="N185" s="256"/>
      <c r="O185" s="256" t="s">
        <v>1894</v>
      </c>
      <c r="P185" s="259">
        <v>46151.229166666664</v>
      </c>
      <c r="Q185" s="256"/>
      <c r="R185" s="256"/>
      <c r="S185" s="256">
        <v>2</v>
      </c>
      <c r="T185" s="256"/>
      <c r="U185" s="256"/>
      <c r="V185" s="256"/>
      <c r="W185" s="256" t="s">
        <v>1890</v>
      </c>
      <c r="X185" s="259">
        <v>46124.745833333334</v>
      </c>
      <c r="Y185" s="256" t="s">
        <v>1896</v>
      </c>
      <c r="Z185" s="256" t="s">
        <v>1824</v>
      </c>
      <c r="AA185" s="256" t="s">
        <v>1892</v>
      </c>
      <c r="AB185" s="256"/>
      <c r="AC185" s="256"/>
      <c r="AD185" s="256" t="s">
        <v>1893</v>
      </c>
      <c r="AE185" s="256" t="s">
        <v>408</v>
      </c>
    </row>
    <row r="186" spans="1:31">
      <c r="A186" s="256" t="s">
        <v>1888</v>
      </c>
      <c r="B186" s="256" t="s">
        <v>1471</v>
      </c>
      <c r="C186" s="256" t="s">
        <v>1772</v>
      </c>
      <c r="D186" s="256" t="s">
        <v>1825</v>
      </c>
      <c r="E186" s="256">
        <v>4472827</v>
      </c>
      <c r="F186" s="256">
        <v>4473194</v>
      </c>
      <c r="G186" s="256" t="s">
        <v>1293</v>
      </c>
      <c r="H186" s="256" t="s">
        <v>198</v>
      </c>
      <c r="I186" s="256" t="s">
        <v>1820</v>
      </c>
      <c r="J186" s="256" t="s">
        <v>1883</v>
      </c>
      <c r="K186" s="256"/>
      <c r="L186" s="256"/>
      <c r="M186" s="256"/>
      <c r="N186" s="256"/>
      <c r="O186" s="256" t="s">
        <v>1897</v>
      </c>
      <c r="P186" s="259">
        <v>46151.229166666664</v>
      </c>
      <c r="Q186" s="256"/>
      <c r="R186" s="256"/>
      <c r="S186" s="256">
        <v>2</v>
      </c>
      <c r="T186" s="256"/>
      <c r="U186" s="256"/>
      <c r="V186" s="256"/>
      <c r="W186" s="256" t="s">
        <v>1890</v>
      </c>
      <c r="X186" s="259">
        <v>46125.468055555553</v>
      </c>
      <c r="Y186" s="256" t="s">
        <v>1896</v>
      </c>
      <c r="Z186" s="256" t="s">
        <v>1824</v>
      </c>
      <c r="AA186" s="256" t="s">
        <v>1892</v>
      </c>
      <c r="AB186" s="256"/>
      <c r="AC186" s="256"/>
      <c r="AD186" s="256" t="s">
        <v>1893</v>
      </c>
      <c r="AE186" s="256" t="s">
        <v>408</v>
      </c>
    </row>
    <row r="187" spans="1:31">
      <c r="A187" s="256" t="s">
        <v>1888</v>
      </c>
      <c r="B187" s="256" t="s">
        <v>1471</v>
      </c>
      <c r="C187" s="256" t="s">
        <v>1772</v>
      </c>
      <c r="D187" s="256" t="s">
        <v>1825</v>
      </c>
      <c r="E187" s="256">
        <v>4472827</v>
      </c>
      <c r="F187" s="256">
        <v>4473683</v>
      </c>
      <c r="G187" s="256" t="s">
        <v>1295</v>
      </c>
      <c r="H187" s="256" t="s">
        <v>198</v>
      </c>
      <c r="I187" s="256" t="s">
        <v>1820</v>
      </c>
      <c r="J187" s="256" t="s">
        <v>1883</v>
      </c>
      <c r="K187" s="256"/>
      <c r="L187" s="256"/>
      <c r="M187" s="256"/>
      <c r="N187" s="256"/>
      <c r="O187" s="256" t="s">
        <v>1897</v>
      </c>
      <c r="P187" s="259">
        <v>46151.229166666664</v>
      </c>
      <c r="Q187" s="256"/>
      <c r="R187" s="256"/>
      <c r="S187" s="256">
        <v>2</v>
      </c>
      <c r="T187" s="256"/>
      <c r="U187" s="256"/>
      <c r="V187" s="256"/>
      <c r="W187" s="256" t="s">
        <v>1890</v>
      </c>
      <c r="X187" s="259">
        <v>46125.510416666664</v>
      </c>
      <c r="Y187" s="256" t="s">
        <v>1896</v>
      </c>
      <c r="Z187" s="256" t="s">
        <v>1824</v>
      </c>
      <c r="AA187" s="256" t="s">
        <v>1892</v>
      </c>
      <c r="AB187" s="256"/>
      <c r="AC187" s="256"/>
      <c r="AD187" s="256" t="s">
        <v>1893</v>
      </c>
      <c r="AE187" s="256" t="s">
        <v>408</v>
      </c>
    </row>
    <row r="188" spans="1:31">
      <c r="A188" s="256" t="s">
        <v>1888</v>
      </c>
      <c r="B188" s="256" t="s">
        <v>1471</v>
      </c>
      <c r="C188" s="256" t="s">
        <v>1772</v>
      </c>
      <c r="D188" s="256" t="s">
        <v>1825</v>
      </c>
      <c r="E188" s="256">
        <v>4472827</v>
      </c>
      <c r="F188" s="256">
        <v>4475272</v>
      </c>
      <c r="G188" s="256" t="s">
        <v>1297</v>
      </c>
      <c r="H188" s="256" t="s">
        <v>242</v>
      </c>
      <c r="I188" s="256" t="s">
        <v>1820</v>
      </c>
      <c r="J188" s="256" t="s">
        <v>1883</v>
      </c>
      <c r="K188" s="256"/>
      <c r="L188" s="256"/>
      <c r="M188" s="256"/>
      <c r="N188" s="256"/>
      <c r="O188" s="256" t="s">
        <v>1898</v>
      </c>
      <c r="P188" s="259">
        <v>46151.229166666664</v>
      </c>
      <c r="Q188" s="256"/>
      <c r="R188" s="256"/>
      <c r="S188" s="256">
        <v>2</v>
      </c>
      <c r="T188" s="256"/>
      <c r="U188" s="256"/>
      <c r="V188" s="256"/>
      <c r="W188" s="256" t="s">
        <v>1890</v>
      </c>
      <c r="X188" s="259">
        <v>46125.732638888891</v>
      </c>
      <c r="Y188" s="256" t="s">
        <v>1896</v>
      </c>
      <c r="Z188" s="256" t="s">
        <v>1824</v>
      </c>
      <c r="AA188" s="256" t="s">
        <v>1892</v>
      </c>
      <c r="AB188" s="256"/>
      <c r="AC188" s="256"/>
      <c r="AD188" s="256" t="s">
        <v>1893</v>
      </c>
      <c r="AE188" s="256" t="s">
        <v>408</v>
      </c>
    </row>
    <row r="189" spans="1:31">
      <c r="A189" s="256" t="s">
        <v>1888</v>
      </c>
      <c r="B189" s="256" t="s">
        <v>1471</v>
      </c>
      <c r="C189" s="256" t="s">
        <v>1772</v>
      </c>
      <c r="D189" s="256" t="s">
        <v>1825</v>
      </c>
      <c r="E189" s="256">
        <v>4472827</v>
      </c>
      <c r="F189" s="256">
        <v>4475823</v>
      </c>
      <c r="G189" s="256" t="s">
        <v>1302</v>
      </c>
      <c r="H189" s="256" t="s">
        <v>242</v>
      </c>
      <c r="I189" s="256" t="s">
        <v>1820</v>
      </c>
      <c r="J189" s="256" t="s">
        <v>1883</v>
      </c>
      <c r="K189" s="256"/>
      <c r="L189" s="256"/>
      <c r="M189" s="256"/>
      <c r="N189" s="256"/>
      <c r="O189" s="256" t="s">
        <v>1899</v>
      </c>
      <c r="P189" s="259">
        <v>46151.229166666664</v>
      </c>
      <c r="Q189" s="256"/>
      <c r="R189" s="256"/>
      <c r="S189" s="256">
        <v>2</v>
      </c>
      <c r="T189" s="256"/>
      <c r="U189" s="256"/>
      <c r="V189" s="256"/>
      <c r="W189" s="256" t="s">
        <v>1851</v>
      </c>
      <c r="X189" s="259">
        <v>46125.931944444441</v>
      </c>
      <c r="Y189" s="256" t="s">
        <v>1891</v>
      </c>
      <c r="Z189" s="256" t="s">
        <v>1824</v>
      </c>
      <c r="AA189" s="256" t="s">
        <v>1663</v>
      </c>
      <c r="AB189" s="256"/>
      <c r="AC189" s="256"/>
      <c r="AD189" s="256" t="s">
        <v>1900</v>
      </c>
      <c r="AE189" s="256" t="s">
        <v>408</v>
      </c>
    </row>
    <row r="190" spans="1:31">
      <c r="A190" s="256" t="s">
        <v>1888</v>
      </c>
      <c r="B190" s="256" t="s">
        <v>1471</v>
      </c>
      <c r="C190" s="256" t="s">
        <v>1772</v>
      </c>
      <c r="D190" s="256" t="s">
        <v>1825</v>
      </c>
      <c r="E190" s="256">
        <v>4472827</v>
      </c>
      <c r="F190" s="256">
        <v>4475827</v>
      </c>
      <c r="G190" s="256" t="s">
        <v>1303</v>
      </c>
      <c r="H190" s="256" t="s">
        <v>242</v>
      </c>
      <c r="I190" s="256" t="s">
        <v>1820</v>
      </c>
      <c r="J190" s="256" t="s">
        <v>1883</v>
      </c>
      <c r="K190" s="256"/>
      <c r="L190" s="256"/>
      <c r="M190" s="256"/>
      <c r="N190" s="256"/>
      <c r="O190" s="256" t="s">
        <v>1835</v>
      </c>
      <c r="P190" s="259">
        <v>46151.229166666664</v>
      </c>
      <c r="Q190" s="256"/>
      <c r="R190" s="256"/>
      <c r="S190" s="256">
        <v>2</v>
      </c>
      <c r="T190" s="256"/>
      <c r="U190" s="256"/>
      <c r="V190" s="256"/>
      <c r="W190" s="256" t="s">
        <v>1851</v>
      </c>
      <c r="X190" s="259">
        <v>46125.962500000001</v>
      </c>
      <c r="Y190" s="256" t="s">
        <v>1891</v>
      </c>
      <c r="Z190" s="256" t="s">
        <v>1824</v>
      </c>
      <c r="AA190" s="256" t="s">
        <v>1663</v>
      </c>
      <c r="AB190" s="256"/>
      <c r="AC190" s="256"/>
      <c r="AD190" s="256" t="s">
        <v>1901</v>
      </c>
      <c r="AE190" s="256" t="s">
        <v>408</v>
      </c>
    </row>
    <row r="191" spans="1:31">
      <c r="A191" s="256" t="s">
        <v>1888</v>
      </c>
      <c r="B191" s="256" t="s">
        <v>1471</v>
      </c>
      <c r="C191" s="256" t="s">
        <v>1772</v>
      </c>
      <c r="D191" s="256" t="s">
        <v>1825</v>
      </c>
      <c r="E191" s="256">
        <v>4472827</v>
      </c>
      <c r="F191" s="256">
        <v>4475909</v>
      </c>
      <c r="G191" s="256" t="s">
        <v>1902</v>
      </c>
      <c r="H191" s="256" t="s">
        <v>198</v>
      </c>
      <c r="I191" s="256" t="s">
        <v>1820</v>
      </c>
      <c r="J191" s="256" t="s">
        <v>1883</v>
      </c>
      <c r="K191" s="256"/>
      <c r="L191" s="256"/>
      <c r="M191" s="256"/>
      <c r="N191" s="256"/>
      <c r="O191" s="256" t="s">
        <v>1897</v>
      </c>
      <c r="P191" s="259">
        <v>46151.229166666664</v>
      </c>
      <c r="Q191" s="256"/>
      <c r="R191" s="256"/>
      <c r="S191" s="256">
        <v>2</v>
      </c>
      <c r="T191" s="256"/>
      <c r="U191" s="256"/>
      <c r="V191" s="256"/>
      <c r="W191" s="256" t="s">
        <v>1890</v>
      </c>
      <c r="X191" s="259">
        <v>46126.352777777778</v>
      </c>
      <c r="Y191" s="256" t="s">
        <v>1891</v>
      </c>
      <c r="Z191" s="256" t="s">
        <v>1824</v>
      </c>
      <c r="AA191" s="256" t="s">
        <v>1892</v>
      </c>
      <c r="AB191" s="256"/>
      <c r="AC191" s="256"/>
      <c r="AD191" s="256" t="s">
        <v>1893</v>
      </c>
      <c r="AE191" s="256" t="s">
        <v>408</v>
      </c>
    </row>
    <row r="192" spans="1:31">
      <c r="A192" s="256" t="s">
        <v>1888</v>
      </c>
      <c r="B192" s="256" t="s">
        <v>1471</v>
      </c>
      <c r="C192" s="256" t="s">
        <v>1772</v>
      </c>
      <c r="D192" s="256" t="s">
        <v>1825</v>
      </c>
      <c r="E192" s="256">
        <v>4472827</v>
      </c>
      <c r="F192" s="256">
        <v>4480695</v>
      </c>
      <c r="G192" s="256" t="s">
        <v>1309</v>
      </c>
      <c r="H192" s="256" t="s">
        <v>242</v>
      </c>
      <c r="I192" s="256" t="s">
        <v>1820</v>
      </c>
      <c r="J192" s="256" t="s">
        <v>1883</v>
      </c>
      <c r="K192" s="256"/>
      <c r="L192" s="256"/>
      <c r="M192" s="256"/>
      <c r="N192" s="256"/>
      <c r="O192" s="256" t="s">
        <v>1894</v>
      </c>
      <c r="P192" s="259">
        <v>46151.229166666664</v>
      </c>
      <c r="Q192" s="256"/>
      <c r="R192" s="256"/>
      <c r="S192" s="256">
        <v>2</v>
      </c>
      <c r="T192" s="256"/>
      <c r="U192" s="256"/>
      <c r="V192" s="256"/>
      <c r="W192" s="256" t="s">
        <v>1851</v>
      </c>
      <c r="X192" s="259">
        <v>46126.941666666666</v>
      </c>
      <c r="Y192" s="256" t="s">
        <v>1891</v>
      </c>
      <c r="Z192" s="256" t="s">
        <v>1824</v>
      </c>
      <c r="AA192" s="256" t="s">
        <v>1663</v>
      </c>
      <c r="AB192" s="256"/>
      <c r="AC192" s="256"/>
      <c r="AD192" s="256" t="s">
        <v>1900</v>
      </c>
      <c r="AE192" s="256" t="s">
        <v>408</v>
      </c>
    </row>
    <row r="193" spans="1:31">
      <c r="A193" s="256" t="s">
        <v>1903</v>
      </c>
      <c r="B193" s="256" t="s">
        <v>1471</v>
      </c>
      <c r="C193" s="256" t="s">
        <v>1772</v>
      </c>
      <c r="D193" s="256" t="s">
        <v>1430</v>
      </c>
      <c r="E193" s="256">
        <v>4358170</v>
      </c>
      <c r="F193" s="256">
        <v>4446825</v>
      </c>
      <c r="G193" s="256" t="s">
        <v>1159</v>
      </c>
      <c r="H193" s="256" t="s">
        <v>305</v>
      </c>
      <c r="I193" s="256" t="s">
        <v>1820</v>
      </c>
      <c r="J193" s="256" t="s">
        <v>1519</v>
      </c>
      <c r="K193" s="259">
        <v>46135.104166666664</v>
      </c>
      <c r="L193" s="259">
        <v>46121.995833333334</v>
      </c>
      <c r="M193" s="259">
        <v>46139.229166666664</v>
      </c>
      <c r="N193" s="256"/>
      <c r="O193" s="256" t="s">
        <v>1875</v>
      </c>
      <c r="P193" s="259">
        <v>46151.231944444444</v>
      </c>
      <c r="Q193" s="256">
        <v>3</v>
      </c>
      <c r="R193" s="256"/>
      <c r="S193" s="256">
        <v>2</v>
      </c>
      <c r="T193" s="256"/>
      <c r="U193" s="256" t="s">
        <v>1</v>
      </c>
      <c r="V193" s="256" t="s">
        <v>1</v>
      </c>
      <c r="W193" s="256" t="s">
        <v>1890</v>
      </c>
      <c r="X193" s="259">
        <v>46109.003472222219</v>
      </c>
      <c r="Y193" s="256" t="s">
        <v>1904</v>
      </c>
      <c r="Z193" s="256" t="s">
        <v>1824</v>
      </c>
      <c r="AA193" s="256" t="s">
        <v>1663</v>
      </c>
      <c r="AB193" s="256"/>
      <c r="AC193" s="256"/>
      <c r="AD193" s="256" t="s">
        <v>1905</v>
      </c>
      <c r="AE193" s="256" t="s">
        <v>408</v>
      </c>
    </row>
    <row r="194" spans="1:31">
      <c r="A194" s="256" t="s">
        <v>1855</v>
      </c>
      <c r="B194" s="256" t="s">
        <v>1471</v>
      </c>
      <c r="C194" s="256" t="s">
        <v>52</v>
      </c>
      <c r="D194" s="256" t="s">
        <v>52</v>
      </c>
      <c r="E194" s="256">
        <v>4437844</v>
      </c>
      <c r="F194" s="256">
        <v>4443792</v>
      </c>
      <c r="G194" s="256" t="s">
        <v>1098</v>
      </c>
      <c r="H194" s="256" t="s">
        <v>288</v>
      </c>
      <c r="I194" s="256" t="s">
        <v>1866</v>
      </c>
      <c r="J194" s="256" t="s">
        <v>1519</v>
      </c>
      <c r="K194" s="259">
        <v>46134.229166666664</v>
      </c>
      <c r="L194" s="256"/>
      <c r="M194" s="259">
        <v>46139.229166666664</v>
      </c>
      <c r="N194" s="256"/>
      <c r="O194" s="256" t="s">
        <v>1906</v>
      </c>
      <c r="P194" s="259">
        <v>46151.229166666664</v>
      </c>
      <c r="Q194" s="256">
        <v>5</v>
      </c>
      <c r="R194" s="256"/>
      <c r="S194" s="256">
        <v>2</v>
      </c>
      <c r="T194" s="256"/>
      <c r="U194" s="256"/>
      <c r="V194" s="256"/>
      <c r="W194" s="256" t="s">
        <v>1907</v>
      </c>
      <c r="X194" s="259">
        <v>46107.347916666666</v>
      </c>
      <c r="Y194" s="256"/>
      <c r="Z194" s="256" t="s">
        <v>1868</v>
      </c>
      <c r="AA194" s="256" t="s">
        <v>1492</v>
      </c>
      <c r="AB194" s="256"/>
      <c r="AC194" s="256"/>
      <c r="AD194" s="256" t="s">
        <v>1908</v>
      </c>
      <c r="AE194" s="256" t="s">
        <v>408</v>
      </c>
    </row>
    <row r="195" spans="1:31">
      <c r="A195" s="256" t="s">
        <v>1855</v>
      </c>
      <c r="B195" s="256" t="s">
        <v>1471</v>
      </c>
      <c r="C195" s="256" t="s">
        <v>52</v>
      </c>
      <c r="D195" s="256" t="s">
        <v>52</v>
      </c>
      <c r="E195" s="256">
        <v>4437844</v>
      </c>
      <c r="F195" s="256">
        <v>4442821</v>
      </c>
      <c r="G195" s="256" t="s">
        <v>1090</v>
      </c>
      <c r="H195" s="256" t="s">
        <v>305</v>
      </c>
      <c r="I195" s="256" t="s">
        <v>1862</v>
      </c>
      <c r="J195" s="256" t="s">
        <v>1519</v>
      </c>
      <c r="K195" s="259">
        <v>46126</v>
      </c>
      <c r="L195" s="259">
        <v>46125.677777777775</v>
      </c>
      <c r="M195" s="259">
        <v>46132.229166666664</v>
      </c>
      <c r="N195" s="256"/>
      <c r="O195" s="256" t="s">
        <v>1909</v>
      </c>
      <c r="P195" s="259">
        <v>46151.229166666664</v>
      </c>
      <c r="Q195" s="256">
        <v>5</v>
      </c>
      <c r="R195" s="256"/>
      <c r="S195" s="256">
        <v>2</v>
      </c>
      <c r="T195" s="256"/>
      <c r="U195" s="256" t="s">
        <v>1</v>
      </c>
      <c r="V195" s="256" t="s">
        <v>1</v>
      </c>
      <c r="W195" s="256" t="s">
        <v>1858</v>
      </c>
      <c r="X195" s="259">
        <v>46106.523611111108</v>
      </c>
      <c r="Y195" s="256"/>
      <c r="Z195" s="256" t="s">
        <v>1864</v>
      </c>
      <c r="AA195" s="256" t="s">
        <v>1492</v>
      </c>
      <c r="AB195" s="256"/>
      <c r="AC195" s="256"/>
      <c r="AD195" s="256" t="s">
        <v>1910</v>
      </c>
      <c r="AE195" s="256" t="s">
        <v>408</v>
      </c>
    </row>
    <row r="196" spans="1:31">
      <c r="A196" s="256" t="s">
        <v>1855</v>
      </c>
      <c r="B196" s="256" t="s">
        <v>1471</v>
      </c>
      <c r="C196" s="256" t="s">
        <v>52</v>
      </c>
      <c r="D196" s="256" t="s">
        <v>52</v>
      </c>
      <c r="E196" s="256">
        <v>4437844</v>
      </c>
      <c r="F196" s="256">
        <v>4443305</v>
      </c>
      <c r="G196" s="256" t="s">
        <v>1911</v>
      </c>
      <c r="H196" s="256" t="s">
        <v>359</v>
      </c>
      <c r="I196" s="256" t="s">
        <v>1856</v>
      </c>
      <c r="J196" s="256" t="s">
        <v>1519</v>
      </c>
      <c r="K196" s="259">
        <v>46128.07916666667</v>
      </c>
      <c r="L196" s="259">
        <v>46127.229166666664</v>
      </c>
      <c r="M196" s="259">
        <v>46134.229166666664</v>
      </c>
      <c r="N196" s="259">
        <v>46133.229166666664</v>
      </c>
      <c r="O196" s="256" t="s">
        <v>1519</v>
      </c>
      <c r="P196" s="259">
        <v>46151.229166666664</v>
      </c>
      <c r="Q196" s="256">
        <v>3.75</v>
      </c>
      <c r="R196" s="256"/>
      <c r="S196" s="256">
        <v>2</v>
      </c>
      <c r="T196" s="256"/>
      <c r="U196" s="256" t="s">
        <v>1</v>
      </c>
      <c r="V196" s="256" t="s">
        <v>1</v>
      </c>
      <c r="W196" s="256" t="s">
        <v>1907</v>
      </c>
      <c r="X196" s="259">
        <v>46106.583333333336</v>
      </c>
      <c r="Y196" s="256"/>
      <c r="Z196" s="256" t="s">
        <v>1860</v>
      </c>
      <c r="AA196" s="256" t="s">
        <v>1492</v>
      </c>
      <c r="AB196" s="256"/>
      <c r="AC196" s="256"/>
      <c r="AD196" s="256" t="s">
        <v>1912</v>
      </c>
      <c r="AE196" s="256" t="s">
        <v>408</v>
      </c>
    </row>
    <row r="197" spans="1:31">
      <c r="A197" s="256" t="s">
        <v>1855</v>
      </c>
      <c r="B197" s="256" t="s">
        <v>1471</v>
      </c>
      <c r="C197" s="256" t="s">
        <v>52</v>
      </c>
      <c r="D197" s="256" t="s">
        <v>52</v>
      </c>
      <c r="E197" s="256">
        <v>4437844</v>
      </c>
      <c r="F197" s="256">
        <v>4443377</v>
      </c>
      <c r="G197" s="256" t="s">
        <v>1094</v>
      </c>
      <c r="H197" s="256" t="s">
        <v>305</v>
      </c>
      <c r="I197" s="256" t="s">
        <v>1856</v>
      </c>
      <c r="J197" s="256" t="s">
        <v>1519</v>
      </c>
      <c r="K197" s="259">
        <v>46128.070833333331</v>
      </c>
      <c r="L197" s="259">
        <v>46127.713888888888</v>
      </c>
      <c r="M197" s="259">
        <v>46134.229166666664</v>
      </c>
      <c r="N197" s="256"/>
      <c r="O197" s="256" t="s">
        <v>1913</v>
      </c>
      <c r="P197" s="259">
        <v>46151.229166666664</v>
      </c>
      <c r="Q197" s="256">
        <v>4.75</v>
      </c>
      <c r="R197" s="256"/>
      <c r="S197" s="256">
        <v>2</v>
      </c>
      <c r="T197" s="256"/>
      <c r="U197" s="256" t="s">
        <v>1</v>
      </c>
      <c r="V197" s="256" t="s">
        <v>1</v>
      </c>
      <c r="W197" s="256" t="s">
        <v>1858</v>
      </c>
      <c r="X197" s="259">
        <v>46106.604861111111</v>
      </c>
      <c r="Y197" s="256"/>
      <c r="Z197" s="256" t="s">
        <v>1860</v>
      </c>
      <c r="AA197" s="256" t="s">
        <v>1492</v>
      </c>
      <c r="AB197" s="256"/>
      <c r="AC197" s="256"/>
      <c r="AD197" s="256" t="s">
        <v>1914</v>
      </c>
      <c r="AE197" s="256" t="s">
        <v>408</v>
      </c>
    </row>
    <row r="198" spans="1:31">
      <c r="A198" s="256" t="s">
        <v>1783</v>
      </c>
      <c r="B198" s="256" t="s">
        <v>1471</v>
      </c>
      <c r="C198" s="256" t="s">
        <v>280</v>
      </c>
      <c r="D198" s="256" t="s">
        <v>1791</v>
      </c>
      <c r="E198" s="256">
        <v>4446210</v>
      </c>
      <c r="F198" s="256">
        <v>4441957</v>
      </c>
      <c r="G198" s="256" t="s">
        <v>1068</v>
      </c>
      <c r="H198" s="256" t="s">
        <v>288</v>
      </c>
      <c r="I198" s="256" t="s">
        <v>1862</v>
      </c>
      <c r="J198" s="256" t="s">
        <v>1519</v>
      </c>
      <c r="K198" s="259">
        <v>46133</v>
      </c>
      <c r="L198" s="256"/>
      <c r="M198" s="259">
        <v>46135.229166666664</v>
      </c>
      <c r="N198" s="256"/>
      <c r="O198" s="256" t="s">
        <v>1915</v>
      </c>
      <c r="P198" s="259">
        <v>46151.229166666664</v>
      </c>
      <c r="Q198" s="256">
        <v>5</v>
      </c>
      <c r="R198" s="256"/>
      <c r="S198" s="256">
        <v>2</v>
      </c>
      <c r="T198" s="256"/>
      <c r="U198" s="256"/>
      <c r="V198" s="256"/>
      <c r="W198" s="256" t="s">
        <v>1786</v>
      </c>
      <c r="X198" s="259">
        <v>46105.99722222222</v>
      </c>
      <c r="Y198" s="256"/>
      <c r="Z198" s="256" t="s">
        <v>1864</v>
      </c>
      <c r="AA198" s="256" t="s">
        <v>1517</v>
      </c>
      <c r="AB198" s="256"/>
      <c r="AC198" s="256"/>
      <c r="AD198" s="256" t="s">
        <v>1793</v>
      </c>
      <c r="AE198" s="256" t="s">
        <v>408</v>
      </c>
    </row>
    <row r="199" spans="1:31">
      <c r="A199" s="256" t="s">
        <v>1797</v>
      </c>
      <c r="B199" s="256" t="s">
        <v>1486</v>
      </c>
      <c r="C199" s="256" t="s">
        <v>1772</v>
      </c>
      <c r="D199" s="256" t="s">
        <v>1808</v>
      </c>
      <c r="E199" s="256">
        <v>4439786</v>
      </c>
      <c r="F199" s="256">
        <v>4441007</v>
      </c>
      <c r="G199" s="256" t="s">
        <v>718</v>
      </c>
      <c r="H199" s="256" t="s">
        <v>359</v>
      </c>
      <c r="I199" s="256" t="s">
        <v>1820</v>
      </c>
      <c r="J199" s="256" t="s">
        <v>1801</v>
      </c>
      <c r="K199" s="259">
        <v>46135.104166666664</v>
      </c>
      <c r="L199" s="259">
        <v>46121.859027777777</v>
      </c>
      <c r="M199" s="259">
        <v>46135.979166666664</v>
      </c>
      <c r="N199" s="256"/>
      <c r="O199" s="256" t="s">
        <v>1916</v>
      </c>
      <c r="P199" s="259">
        <v>46151.229166666664</v>
      </c>
      <c r="Q199" s="256">
        <v>2</v>
      </c>
      <c r="R199" s="256"/>
      <c r="S199" s="256">
        <v>2</v>
      </c>
      <c r="T199" s="256"/>
      <c r="U199" s="256" t="s">
        <v>1</v>
      </c>
      <c r="V199" s="256" t="s">
        <v>1</v>
      </c>
      <c r="W199" s="256" t="s">
        <v>1803</v>
      </c>
      <c r="X199" s="259">
        <v>46105.749305555553</v>
      </c>
      <c r="Y199" s="256" t="s">
        <v>1917</v>
      </c>
      <c r="Z199" s="256" t="s">
        <v>1824</v>
      </c>
      <c r="AA199" s="256" t="s">
        <v>1492</v>
      </c>
      <c r="AB199" s="256"/>
      <c r="AC199" s="256"/>
      <c r="AD199" s="256" t="s">
        <v>1806</v>
      </c>
      <c r="AE199" s="256" t="s">
        <v>408</v>
      </c>
    </row>
    <row r="200" spans="1:31">
      <c r="A200" s="256" t="s">
        <v>1855</v>
      </c>
      <c r="B200" s="256" t="s">
        <v>1471</v>
      </c>
      <c r="C200" s="256" t="s">
        <v>52</v>
      </c>
      <c r="D200" s="256" t="s">
        <v>52</v>
      </c>
      <c r="E200" s="256">
        <v>4437844</v>
      </c>
      <c r="F200" s="256">
        <v>4448140</v>
      </c>
      <c r="G200" s="256" t="s">
        <v>1125</v>
      </c>
      <c r="H200" s="256" t="s">
        <v>1513</v>
      </c>
      <c r="I200" s="256" t="s">
        <v>1862</v>
      </c>
      <c r="J200" s="256" t="s">
        <v>1519</v>
      </c>
      <c r="K200" s="259">
        <v>46126</v>
      </c>
      <c r="L200" s="259">
        <v>46122.229166666664</v>
      </c>
      <c r="M200" s="259">
        <v>46134.229166666664</v>
      </c>
      <c r="N200" s="259">
        <v>46127.725694444445</v>
      </c>
      <c r="O200" s="256" t="s">
        <v>1918</v>
      </c>
      <c r="P200" s="259">
        <v>46151.229166666664</v>
      </c>
      <c r="Q200" s="256">
        <v>4</v>
      </c>
      <c r="R200" s="256"/>
      <c r="S200" s="256">
        <v>2</v>
      </c>
      <c r="T200" s="256"/>
      <c r="U200" s="256" t="s">
        <v>1</v>
      </c>
      <c r="V200" s="256" t="s">
        <v>1</v>
      </c>
      <c r="W200" s="256" t="s">
        <v>1858</v>
      </c>
      <c r="X200" s="259">
        <v>46111.598611111112</v>
      </c>
      <c r="Y200" s="256"/>
      <c r="Z200" s="256" t="s">
        <v>1864</v>
      </c>
      <c r="AA200" s="256" t="s">
        <v>1492</v>
      </c>
      <c r="AB200" s="256"/>
      <c r="AC200" s="256"/>
      <c r="AD200" s="256" t="s">
        <v>1887</v>
      </c>
      <c r="AE200" s="256" t="s">
        <v>408</v>
      </c>
    </row>
    <row r="201" spans="1:31">
      <c r="A201" s="256" t="s">
        <v>1919</v>
      </c>
      <c r="B201" s="256" t="s">
        <v>1471</v>
      </c>
      <c r="C201" s="256" t="s">
        <v>1772</v>
      </c>
      <c r="D201" s="256" t="s">
        <v>1430</v>
      </c>
      <c r="E201" s="256">
        <v>4447238</v>
      </c>
      <c r="F201" s="256">
        <v>4447237</v>
      </c>
      <c r="G201" s="256" t="s">
        <v>1157</v>
      </c>
      <c r="H201" s="256" t="s">
        <v>305</v>
      </c>
      <c r="I201" s="256" t="s">
        <v>1820</v>
      </c>
      <c r="J201" s="256" t="s">
        <v>1519</v>
      </c>
      <c r="K201" s="259">
        <v>46135.104166666664</v>
      </c>
      <c r="L201" s="259">
        <v>46121.994444444441</v>
      </c>
      <c r="M201" s="259">
        <v>46139.229166666664</v>
      </c>
      <c r="N201" s="256"/>
      <c r="O201" s="256" t="s">
        <v>1875</v>
      </c>
      <c r="P201" s="259">
        <v>46151.229166666664</v>
      </c>
      <c r="Q201" s="256">
        <v>3</v>
      </c>
      <c r="R201" s="256"/>
      <c r="S201" s="256">
        <v>2</v>
      </c>
      <c r="T201" s="256"/>
      <c r="U201" s="256" t="s">
        <v>1</v>
      </c>
      <c r="V201" s="256" t="s">
        <v>1</v>
      </c>
      <c r="W201" s="256" t="s">
        <v>1890</v>
      </c>
      <c r="X201" s="259">
        <v>46110.978472222225</v>
      </c>
      <c r="Y201" s="256" t="s">
        <v>1920</v>
      </c>
      <c r="Z201" s="256" t="s">
        <v>1824</v>
      </c>
      <c r="AA201" s="256" t="s">
        <v>1663</v>
      </c>
      <c r="AB201" s="256"/>
      <c r="AC201" s="256"/>
      <c r="AD201" s="256" t="s">
        <v>1921</v>
      </c>
      <c r="AE201" s="256" t="s">
        <v>408</v>
      </c>
    </row>
    <row r="202" spans="1:31">
      <c r="A202" s="256" t="s">
        <v>1922</v>
      </c>
      <c r="B202" s="256" t="s">
        <v>1471</v>
      </c>
      <c r="C202" s="256" t="s">
        <v>1772</v>
      </c>
      <c r="D202" s="256" t="s">
        <v>1825</v>
      </c>
      <c r="E202" s="256">
        <v>4447241</v>
      </c>
      <c r="F202" s="256">
        <v>4447240</v>
      </c>
      <c r="G202" s="256" t="s">
        <v>1923</v>
      </c>
      <c r="H202" s="256" t="s">
        <v>242</v>
      </c>
      <c r="I202" s="256" t="s">
        <v>1820</v>
      </c>
      <c r="J202" s="256" t="s">
        <v>1519</v>
      </c>
      <c r="K202" s="259">
        <v>46135.104166666664</v>
      </c>
      <c r="L202" s="256"/>
      <c r="M202" s="259">
        <v>46139.229166666664</v>
      </c>
      <c r="N202" s="256"/>
      <c r="O202" s="256" t="s">
        <v>1924</v>
      </c>
      <c r="P202" s="259">
        <v>46151.229166666664</v>
      </c>
      <c r="Q202" s="256">
        <v>3</v>
      </c>
      <c r="R202" s="256"/>
      <c r="S202" s="256">
        <v>2</v>
      </c>
      <c r="T202" s="256"/>
      <c r="U202" s="256"/>
      <c r="V202" s="256"/>
      <c r="W202" s="256" t="s">
        <v>1890</v>
      </c>
      <c r="X202" s="259">
        <v>46110.993750000001</v>
      </c>
      <c r="Y202" s="256" t="s">
        <v>1925</v>
      </c>
      <c r="Z202" s="256" t="s">
        <v>1824</v>
      </c>
      <c r="AA202" s="256" t="s">
        <v>1892</v>
      </c>
      <c r="AB202" s="256"/>
      <c r="AC202" s="256"/>
      <c r="AD202" s="256" t="s">
        <v>1926</v>
      </c>
      <c r="AE202" s="256" t="s">
        <v>408</v>
      </c>
    </row>
    <row r="203" spans="1:31">
      <c r="A203" s="256" t="s">
        <v>1505</v>
      </c>
      <c r="B203" s="256" t="s">
        <v>1471</v>
      </c>
      <c r="C203" s="256" t="s">
        <v>1472</v>
      </c>
      <c r="D203" s="256" t="s">
        <v>1506</v>
      </c>
      <c r="E203" s="256">
        <v>4440976</v>
      </c>
      <c r="F203" s="256">
        <v>4447065</v>
      </c>
      <c r="G203" s="256" t="s">
        <v>1927</v>
      </c>
      <c r="H203" s="256" t="s">
        <v>305</v>
      </c>
      <c r="I203" s="256" t="s">
        <v>1928</v>
      </c>
      <c r="J203" s="256" t="s">
        <v>1477</v>
      </c>
      <c r="K203" s="259">
        <v>46125.926388888889</v>
      </c>
      <c r="L203" s="259">
        <v>46125.9375</v>
      </c>
      <c r="M203" s="259">
        <v>46134.229166666664</v>
      </c>
      <c r="N203" s="256"/>
      <c r="O203" s="256" t="s">
        <v>1929</v>
      </c>
      <c r="P203" s="259">
        <v>46151.229166666664</v>
      </c>
      <c r="Q203" s="256">
        <v>2</v>
      </c>
      <c r="R203" s="256"/>
      <c r="S203" s="256">
        <v>2</v>
      </c>
      <c r="T203" s="256"/>
      <c r="U203" s="256" t="s">
        <v>1</v>
      </c>
      <c r="V203" s="256" t="s">
        <v>1</v>
      </c>
      <c r="W203" s="256" t="s">
        <v>1508</v>
      </c>
      <c r="X203" s="259">
        <v>46110.468055555553</v>
      </c>
      <c r="Y203" s="256" t="s">
        <v>1930</v>
      </c>
      <c r="Z203" s="256" t="s">
        <v>1931</v>
      </c>
      <c r="AA203" s="256" t="s">
        <v>1492</v>
      </c>
      <c r="AB203" s="256"/>
      <c r="AC203" s="256"/>
      <c r="AD203" s="256" t="s">
        <v>1510</v>
      </c>
      <c r="AE203" s="256" t="s">
        <v>408</v>
      </c>
    </row>
    <row r="204" spans="1:31">
      <c r="A204" s="256" t="s">
        <v>1932</v>
      </c>
      <c r="B204" s="256" t="s">
        <v>1471</v>
      </c>
      <c r="C204" s="256" t="s">
        <v>1772</v>
      </c>
      <c r="D204" s="256" t="s">
        <v>1430</v>
      </c>
      <c r="E204" s="256">
        <v>4447234</v>
      </c>
      <c r="F204" s="256">
        <v>4447233</v>
      </c>
      <c r="G204" s="256" t="s">
        <v>1155</v>
      </c>
      <c r="H204" s="256" t="s">
        <v>1152</v>
      </c>
      <c r="I204" s="256" t="s">
        <v>1820</v>
      </c>
      <c r="J204" s="256" t="s">
        <v>1519</v>
      </c>
      <c r="K204" s="259">
        <v>46135.104166666664</v>
      </c>
      <c r="L204" s="259">
        <v>46121.995138888888</v>
      </c>
      <c r="M204" s="259">
        <v>46139.229166666664</v>
      </c>
      <c r="N204" s="259">
        <v>46127.575694444444</v>
      </c>
      <c r="O204" s="256" t="s">
        <v>1933</v>
      </c>
      <c r="P204" s="259">
        <v>46151.229166666664</v>
      </c>
      <c r="Q204" s="256">
        <v>5</v>
      </c>
      <c r="R204" s="256"/>
      <c r="S204" s="256">
        <v>2</v>
      </c>
      <c r="T204" s="256"/>
      <c r="U204" s="256" t="s">
        <v>1</v>
      </c>
      <c r="V204" s="256" t="s">
        <v>1</v>
      </c>
      <c r="W204" s="256" t="s">
        <v>1890</v>
      </c>
      <c r="X204" s="259">
        <v>46110.851388888892</v>
      </c>
      <c r="Y204" s="256" t="s">
        <v>1920</v>
      </c>
      <c r="Z204" s="256" t="s">
        <v>1824</v>
      </c>
      <c r="AA204" s="256" t="s">
        <v>1663</v>
      </c>
      <c r="AB204" s="256"/>
      <c r="AC204" s="256"/>
      <c r="AD204" s="256" t="s">
        <v>1921</v>
      </c>
      <c r="AE204" s="256" t="s">
        <v>408</v>
      </c>
    </row>
    <row r="205" spans="1:31">
      <c r="A205" s="256" t="s">
        <v>1505</v>
      </c>
      <c r="B205" s="256" t="s">
        <v>1471</v>
      </c>
      <c r="C205" s="256" t="s">
        <v>1472</v>
      </c>
      <c r="D205" s="256" t="s">
        <v>1506</v>
      </c>
      <c r="E205" s="256">
        <v>4440976</v>
      </c>
      <c r="F205" s="256">
        <v>4446668</v>
      </c>
      <c r="G205" s="256" t="s">
        <v>1272</v>
      </c>
      <c r="H205" s="256" t="s">
        <v>305</v>
      </c>
      <c r="I205" s="256" t="s">
        <v>1866</v>
      </c>
      <c r="J205" s="256" t="s">
        <v>1519</v>
      </c>
      <c r="K205" s="259">
        <v>46125.229166666664</v>
      </c>
      <c r="L205" s="259">
        <v>46125.95416666667</v>
      </c>
      <c r="M205" s="259">
        <v>46140.229166666664</v>
      </c>
      <c r="N205" s="256"/>
      <c r="O205" s="256" t="s">
        <v>1867</v>
      </c>
      <c r="P205" s="259">
        <v>46151.229166666664</v>
      </c>
      <c r="Q205" s="256">
        <v>3</v>
      </c>
      <c r="R205" s="256"/>
      <c r="S205" s="256">
        <v>2</v>
      </c>
      <c r="T205" s="256"/>
      <c r="U205" s="256" t="s">
        <v>1</v>
      </c>
      <c r="V205" s="256" t="s">
        <v>1</v>
      </c>
      <c r="W205" s="256" t="s">
        <v>1508</v>
      </c>
      <c r="X205" s="259">
        <v>46108.741666666669</v>
      </c>
      <c r="Y205" s="256" t="s">
        <v>1560</v>
      </c>
      <c r="Z205" s="256" t="s">
        <v>1868</v>
      </c>
      <c r="AA205" s="256" t="s">
        <v>1492</v>
      </c>
      <c r="AB205" s="256"/>
      <c r="AC205" s="256"/>
      <c r="AD205" s="256" t="s">
        <v>1510</v>
      </c>
      <c r="AE205" s="256" t="s">
        <v>408</v>
      </c>
    </row>
    <row r="206" spans="1:31">
      <c r="A206" s="256" t="s">
        <v>1934</v>
      </c>
      <c r="B206" s="256" t="s">
        <v>1471</v>
      </c>
      <c r="C206" s="256" t="s">
        <v>1772</v>
      </c>
      <c r="D206" s="256" t="s">
        <v>1430</v>
      </c>
      <c r="E206" s="256">
        <v>4446398</v>
      </c>
      <c r="F206" s="256">
        <v>4446799</v>
      </c>
      <c r="G206" s="256" t="s">
        <v>1154</v>
      </c>
      <c r="H206" s="256" t="s">
        <v>242</v>
      </c>
      <c r="I206" s="256" t="s">
        <v>1820</v>
      </c>
      <c r="J206" s="256" t="s">
        <v>1519</v>
      </c>
      <c r="K206" s="259">
        <v>46134.229166666664</v>
      </c>
      <c r="L206" s="256"/>
      <c r="M206" s="259">
        <v>46140.229166666664</v>
      </c>
      <c r="N206" s="256"/>
      <c r="O206" s="256" t="s">
        <v>1935</v>
      </c>
      <c r="P206" s="259">
        <v>46151.229166666664</v>
      </c>
      <c r="Q206" s="256">
        <v>5</v>
      </c>
      <c r="R206" s="256"/>
      <c r="S206" s="256">
        <v>2</v>
      </c>
      <c r="T206" s="256"/>
      <c r="U206" s="256"/>
      <c r="V206" s="256"/>
      <c r="W206" s="256" t="s">
        <v>1890</v>
      </c>
      <c r="X206" s="259">
        <v>46108.893750000003</v>
      </c>
      <c r="Y206" s="256" t="s">
        <v>1936</v>
      </c>
      <c r="Z206" s="256" t="s">
        <v>1824</v>
      </c>
      <c r="AA206" s="256" t="s">
        <v>1663</v>
      </c>
      <c r="AB206" s="256"/>
      <c r="AC206" s="256"/>
      <c r="AD206" s="256" t="s">
        <v>1937</v>
      </c>
      <c r="AE206" s="256" t="s">
        <v>408</v>
      </c>
    </row>
    <row r="207" spans="1:31">
      <c r="A207" s="256" t="s">
        <v>1934</v>
      </c>
      <c r="B207" s="256" t="s">
        <v>1471</v>
      </c>
      <c r="C207" s="256" t="s">
        <v>1772</v>
      </c>
      <c r="D207" s="256" t="s">
        <v>1430</v>
      </c>
      <c r="E207" s="256">
        <v>4446398</v>
      </c>
      <c r="F207" s="256">
        <v>4446393</v>
      </c>
      <c r="G207" s="256" t="s">
        <v>1153</v>
      </c>
      <c r="H207" s="256" t="s">
        <v>393</v>
      </c>
      <c r="I207" s="256" t="s">
        <v>1820</v>
      </c>
      <c r="J207" s="256" t="s">
        <v>1519</v>
      </c>
      <c r="K207" s="259">
        <v>46134.229166666664</v>
      </c>
      <c r="L207" s="256"/>
      <c r="M207" s="259">
        <v>46140.229166666664</v>
      </c>
      <c r="N207" s="256"/>
      <c r="O207" s="256" t="s">
        <v>1935</v>
      </c>
      <c r="P207" s="259">
        <v>46151.229166666664</v>
      </c>
      <c r="Q207" s="256">
        <v>5</v>
      </c>
      <c r="R207" s="256"/>
      <c r="S207" s="256">
        <v>2</v>
      </c>
      <c r="T207" s="256"/>
      <c r="U207" s="256"/>
      <c r="V207" s="256"/>
      <c r="W207" s="256" t="s">
        <v>1890</v>
      </c>
      <c r="X207" s="259">
        <v>46108.640277777777</v>
      </c>
      <c r="Y207" s="256" t="s">
        <v>1938</v>
      </c>
      <c r="Z207" s="256" t="s">
        <v>1824</v>
      </c>
      <c r="AA207" s="256" t="s">
        <v>1663</v>
      </c>
      <c r="AB207" s="256"/>
      <c r="AC207" s="256"/>
      <c r="AD207" s="256" t="s">
        <v>1937</v>
      </c>
      <c r="AE207" s="256" t="s">
        <v>408</v>
      </c>
    </row>
    <row r="208" spans="1:31">
      <c r="A208" s="256" t="s">
        <v>1939</v>
      </c>
      <c r="B208" s="256" t="s">
        <v>1471</v>
      </c>
      <c r="C208" s="256" t="s">
        <v>1772</v>
      </c>
      <c r="D208" s="256" t="s">
        <v>1825</v>
      </c>
      <c r="E208" s="256">
        <v>4420090</v>
      </c>
      <c r="F208" s="256">
        <v>4432696</v>
      </c>
      <c r="G208" s="256" t="s">
        <v>1143</v>
      </c>
      <c r="H208" s="256" t="s">
        <v>1152</v>
      </c>
      <c r="I208" s="256" t="s">
        <v>1820</v>
      </c>
      <c r="J208" s="256" t="s">
        <v>1519</v>
      </c>
      <c r="K208" s="259">
        <v>46135.104166666664</v>
      </c>
      <c r="L208" s="259">
        <v>46121.979166666664</v>
      </c>
      <c r="M208" s="259">
        <v>46140.229166666664</v>
      </c>
      <c r="N208" s="256"/>
      <c r="O208" s="256" t="s">
        <v>1940</v>
      </c>
      <c r="P208" s="259">
        <v>46151.229166666664</v>
      </c>
      <c r="Q208" s="256">
        <v>3</v>
      </c>
      <c r="R208" s="256"/>
      <c r="S208" s="256">
        <v>2</v>
      </c>
      <c r="T208" s="256"/>
      <c r="U208" s="256" t="s">
        <v>1</v>
      </c>
      <c r="V208" s="256" t="s">
        <v>1</v>
      </c>
      <c r="W208" s="256" t="s">
        <v>1851</v>
      </c>
      <c r="X208" s="259">
        <v>46098.823611111111</v>
      </c>
      <c r="Y208" s="256" t="s">
        <v>1920</v>
      </c>
      <c r="Z208" s="256" t="s">
        <v>1824</v>
      </c>
      <c r="AA208" s="256" t="s">
        <v>1892</v>
      </c>
      <c r="AB208" s="256"/>
      <c r="AC208" s="256"/>
      <c r="AD208" s="256" t="s">
        <v>1941</v>
      </c>
      <c r="AE208" s="256" t="s">
        <v>408</v>
      </c>
    </row>
    <row r="209" spans="1:31">
      <c r="A209" s="256" t="s">
        <v>1819</v>
      </c>
      <c r="B209" s="256" t="s">
        <v>1471</v>
      </c>
      <c r="C209" s="256" t="s">
        <v>1772</v>
      </c>
      <c r="D209" s="256" t="s">
        <v>1438</v>
      </c>
      <c r="E209" s="256">
        <v>4434675</v>
      </c>
      <c r="F209" s="256">
        <v>4434702</v>
      </c>
      <c r="G209" s="256" t="s">
        <v>1942</v>
      </c>
      <c r="H209" s="256" t="s">
        <v>393</v>
      </c>
      <c r="I209" s="256" t="s">
        <v>1820</v>
      </c>
      <c r="J209" s="256" t="s">
        <v>1519</v>
      </c>
      <c r="K209" s="259">
        <v>46132.229166666664</v>
      </c>
      <c r="L209" s="256"/>
      <c r="M209" s="259">
        <v>46139.229166666664</v>
      </c>
      <c r="N209" s="256"/>
      <c r="O209" s="256" t="s">
        <v>1830</v>
      </c>
      <c r="P209" s="259">
        <v>46151.229166666664</v>
      </c>
      <c r="Q209" s="256">
        <v>5</v>
      </c>
      <c r="R209" s="256"/>
      <c r="S209" s="256">
        <v>1</v>
      </c>
      <c r="T209" s="256"/>
      <c r="U209" s="256"/>
      <c r="V209" s="256"/>
      <c r="W209" s="256" t="s">
        <v>1822</v>
      </c>
      <c r="X209" s="259">
        <v>46099.525694444441</v>
      </c>
      <c r="Y209" s="256" t="s">
        <v>1823</v>
      </c>
      <c r="Z209" s="256" t="s">
        <v>1824</v>
      </c>
      <c r="AA209" s="256" t="s">
        <v>1492</v>
      </c>
      <c r="AB209" s="256"/>
      <c r="AC209" s="256"/>
      <c r="AD209" s="256" t="s">
        <v>1825</v>
      </c>
      <c r="AE209" s="256" t="s">
        <v>408</v>
      </c>
    </row>
    <row r="210" spans="1:31">
      <c r="A210" s="256" t="s">
        <v>1819</v>
      </c>
      <c r="B210" s="256" t="s">
        <v>1471</v>
      </c>
      <c r="C210" s="256" t="s">
        <v>1772</v>
      </c>
      <c r="D210" s="256" t="s">
        <v>1438</v>
      </c>
      <c r="E210" s="256">
        <v>4434675</v>
      </c>
      <c r="F210" s="256">
        <v>4434707</v>
      </c>
      <c r="G210" s="256" t="s">
        <v>1171</v>
      </c>
      <c r="H210" s="256" t="s">
        <v>242</v>
      </c>
      <c r="I210" s="256" t="s">
        <v>1820</v>
      </c>
      <c r="J210" s="256" t="s">
        <v>1519</v>
      </c>
      <c r="K210" s="259">
        <v>46132.229166666664</v>
      </c>
      <c r="L210" s="256"/>
      <c r="M210" s="259">
        <v>46139.229166666664</v>
      </c>
      <c r="N210" s="256"/>
      <c r="O210" s="256" t="s">
        <v>1821</v>
      </c>
      <c r="P210" s="259">
        <v>46151.229166666664</v>
      </c>
      <c r="Q210" s="256">
        <v>5</v>
      </c>
      <c r="R210" s="256"/>
      <c r="S210" s="256">
        <v>3</v>
      </c>
      <c r="T210" s="256"/>
      <c r="U210" s="256"/>
      <c r="V210" s="256"/>
      <c r="W210" s="256" t="s">
        <v>1822</v>
      </c>
      <c r="X210" s="259">
        <v>46099.527777777781</v>
      </c>
      <c r="Y210" s="256" t="s">
        <v>1823</v>
      </c>
      <c r="Z210" s="256" t="s">
        <v>1824</v>
      </c>
      <c r="AA210" s="256" t="s">
        <v>1492</v>
      </c>
      <c r="AB210" s="256"/>
      <c r="AC210" s="256"/>
      <c r="AD210" s="256" t="s">
        <v>1825</v>
      </c>
      <c r="AE210" s="256" t="s">
        <v>408</v>
      </c>
    </row>
    <row r="211" spans="1:31">
      <c r="A211" s="256" t="s">
        <v>403</v>
      </c>
      <c r="B211" s="256" t="s">
        <v>1486</v>
      </c>
      <c r="C211" s="256" t="s">
        <v>235</v>
      </c>
      <c r="D211" s="256" t="s">
        <v>235</v>
      </c>
      <c r="E211" s="256">
        <v>4459051</v>
      </c>
      <c r="F211" s="256">
        <v>4432326</v>
      </c>
      <c r="G211" s="256" t="s">
        <v>542</v>
      </c>
      <c r="H211" s="256" t="s">
        <v>305</v>
      </c>
      <c r="I211" s="256" t="s">
        <v>1866</v>
      </c>
      <c r="J211" s="256" t="s">
        <v>1606</v>
      </c>
      <c r="K211" s="259">
        <v>46122.229166666664</v>
      </c>
      <c r="L211" s="259">
        <v>46123.006249999999</v>
      </c>
      <c r="M211" s="259">
        <v>46141.0625</v>
      </c>
      <c r="N211" s="256"/>
      <c r="O211" s="256" t="s">
        <v>1843</v>
      </c>
      <c r="P211" s="259">
        <v>46151.229166666664</v>
      </c>
      <c r="Q211" s="256">
        <v>3</v>
      </c>
      <c r="R211" s="256"/>
      <c r="S211" s="256">
        <v>2</v>
      </c>
      <c r="T211" s="256"/>
      <c r="U211" s="256" t="s">
        <v>1</v>
      </c>
      <c r="V211" s="256" t="s">
        <v>1</v>
      </c>
      <c r="W211" s="256" t="s">
        <v>1608</v>
      </c>
      <c r="X211" s="259">
        <v>46098.750694444447</v>
      </c>
      <c r="Y211" s="256" t="s">
        <v>1943</v>
      </c>
      <c r="Z211" s="256" t="s">
        <v>1868</v>
      </c>
      <c r="AA211" s="256" t="s">
        <v>1639</v>
      </c>
      <c r="AB211" s="256"/>
      <c r="AC211" s="256"/>
      <c r="AD211" s="256" t="s">
        <v>1611</v>
      </c>
      <c r="AE211" s="256" t="s">
        <v>408</v>
      </c>
    </row>
    <row r="212" spans="1:31">
      <c r="A212" s="256" t="s">
        <v>1944</v>
      </c>
      <c r="B212" s="256" t="s">
        <v>1471</v>
      </c>
      <c r="C212" s="256" t="s">
        <v>1772</v>
      </c>
      <c r="D212" s="256" t="s">
        <v>228</v>
      </c>
      <c r="E212" s="256">
        <v>4287584</v>
      </c>
      <c r="F212" s="256">
        <v>4426304</v>
      </c>
      <c r="G212" s="256" t="s">
        <v>1228</v>
      </c>
      <c r="H212" s="256" t="s">
        <v>242</v>
      </c>
      <c r="I212" s="256" t="s">
        <v>1820</v>
      </c>
      <c r="J212" s="256" t="s">
        <v>1519</v>
      </c>
      <c r="K212" s="259">
        <v>46129.229166666664</v>
      </c>
      <c r="L212" s="256"/>
      <c r="M212" s="259">
        <v>46133.229166666664</v>
      </c>
      <c r="N212" s="256"/>
      <c r="O212" s="256" t="s">
        <v>1945</v>
      </c>
      <c r="P212" s="259">
        <v>46151.229166666664</v>
      </c>
      <c r="Q212" s="256">
        <v>3</v>
      </c>
      <c r="R212" s="256"/>
      <c r="S212" s="256">
        <v>2</v>
      </c>
      <c r="T212" s="256"/>
      <c r="U212" s="256"/>
      <c r="V212" s="256"/>
      <c r="W212" s="256" t="s">
        <v>1851</v>
      </c>
      <c r="X212" s="259">
        <v>46094.947916666664</v>
      </c>
      <c r="Y212" s="256" t="s">
        <v>1823</v>
      </c>
      <c r="Z212" s="256" t="s">
        <v>1824</v>
      </c>
      <c r="AA212" s="256" t="s">
        <v>1946</v>
      </c>
      <c r="AB212" s="256"/>
      <c r="AC212" s="256"/>
      <c r="AD212" s="256" t="s">
        <v>1947</v>
      </c>
      <c r="AE212" s="256" t="s">
        <v>408</v>
      </c>
    </row>
    <row r="213" spans="1:31">
      <c r="A213" s="256" t="s">
        <v>1944</v>
      </c>
      <c r="B213" s="256" t="s">
        <v>1471</v>
      </c>
      <c r="C213" s="256" t="s">
        <v>1772</v>
      </c>
      <c r="D213" s="256" t="s">
        <v>228</v>
      </c>
      <c r="E213" s="256">
        <v>4287584</v>
      </c>
      <c r="F213" s="256">
        <v>4426387</v>
      </c>
      <c r="G213" s="256" t="s">
        <v>1138</v>
      </c>
      <c r="H213" s="256" t="s">
        <v>393</v>
      </c>
      <c r="I213" s="256" t="s">
        <v>1820</v>
      </c>
      <c r="J213" s="256" t="s">
        <v>1519</v>
      </c>
      <c r="K213" s="259">
        <v>46135.104166666664</v>
      </c>
      <c r="L213" s="256"/>
      <c r="M213" s="259">
        <v>46139.229166666664</v>
      </c>
      <c r="N213" s="256"/>
      <c r="O213" s="256" t="s">
        <v>1948</v>
      </c>
      <c r="P213" s="259">
        <v>46151.229166666664</v>
      </c>
      <c r="Q213" s="256">
        <v>5</v>
      </c>
      <c r="R213" s="256"/>
      <c r="S213" s="256">
        <v>2</v>
      </c>
      <c r="T213" s="256"/>
      <c r="U213" s="256"/>
      <c r="V213" s="256"/>
      <c r="W213" s="256" t="s">
        <v>1851</v>
      </c>
      <c r="X213" s="259">
        <v>46096.916666666664</v>
      </c>
      <c r="Y213" s="256" t="s">
        <v>1925</v>
      </c>
      <c r="Z213" s="256" t="s">
        <v>1824</v>
      </c>
      <c r="AA213" s="256" t="s">
        <v>1946</v>
      </c>
      <c r="AB213" s="256"/>
      <c r="AC213" s="256"/>
      <c r="AD213" s="256" t="s">
        <v>1949</v>
      </c>
      <c r="AE213" s="256" t="s">
        <v>408</v>
      </c>
    </row>
    <row r="214" spans="1:31">
      <c r="A214" s="256" t="s">
        <v>192</v>
      </c>
      <c r="B214" s="256" t="s">
        <v>1486</v>
      </c>
      <c r="C214" s="256" t="s">
        <v>1472</v>
      </c>
      <c r="D214" s="256" t="s">
        <v>191</v>
      </c>
      <c r="E214" s="256">
        <v>4446711</v>
      </c>
      <c r="F214" s="256">
        <v>4423255</v>
      </c>
      <c r="G214" s="256" t="s">
        <v>1950</v>
      </c>
      <c r="H214" s="256" t="s">
        <v>305</v>
      </c>
      <c r="I214" s="256" t="s">
        <v>1856</v>
      </c>
      <c r="J214" s="256" t="s">
        <v>1501</v>
      </c>
      <c r="K214" s="259">
        <v>46123.056944444441</v>
      </c>
      <c r="L214" s="259">
        <v>46122.632638888892</v>
      </c>
      <c r="M214" s="259">
        <v>46129.229166666664</v>
      </c>
      <c r="N214" s="256"/>
      <c r="O214" s="256" t="s">
        <v>1951</v>
      </c>
      <c r="P214" s="259">
        <v>46151.229166666664</v>
      </c>
      <c r="Q214" s="256">
        <v>2</v>
      </c>
      <c r="R214" s="256"/>
      <c r="S214" s="256">
        <v>2</v>
      </c>
      <c r="T214" s="256"/>
      <c r="U214" s="256" t="s">
        <v>1</v>
      </c>
      <c r="V214" s="256" t="s">
        <v>1</v>
      </c>
      <c r="W214" s="256" t="s">
        <v>1555</v>
      </c>
      <c r="X214" s="259">
        <v>46093.621527777781</v>
      </c>
      <c r="Y214" s="256" t="s">
        <v>1564</v>
      </c>
      <c r="Z214" s="256" t="s">
        <v>1860</v>
      </c>
      <c r="AA214" s="256" t="s">
        <v>1565</v>
      </c>
      <c r="AB214" s="256"/>
      <c r="AC214" s="256"/>
      <c r="AD214" s="256" t="s">
        <v>191</v>
      </c>
      <c r="AE214" s="256" t="s">
        <v>408</v>
      </c>
    </row>
    <row r="215" spans="1:31">
      <c r="A215" s="256" t="s">
        <v>1855</v>
      </c>
      <c r="B215" s="256" t="s">
        <v>1471</v>
      </c>
      <c r="C215" s="256" t="s">
        <v>52</v>
      </c>
      <c r="D215" s="256" t="s">
        <v>52</v>
      </c>
      <c r="E215" s="256">
        <v>4437844</v>
      </c>
      <c r="F215" s="256">
        <v>4415929</v>
      </c>
      <c r="G215" s="256" t="s">
        <v>1076</v>
      </c>
      <c r="H215" s="256" t="s">
        <v>288</v>
      </c>
      <c r="I215" s="256" t="s">
        <v>1862</v>
      </c>
      <c r="J215" s="256" t="s">
        <v>1519</v>
      </c>
      <c r="K215" s="259">
        <v>46134</v>
      </c>
      <c r="L215" s="256"/>
      <c r="M215" s="259">
        <v>46134.229166666664</v>
      </c>
      <c r="N215" s="256"/>
      <c r="O215" s="256" t="s">
        <v>1952</v>
      </c>
      <c r="P215" s="259">
        <v>46151.229166666664</v>
      </c>
      <c r="Q215" s="256">
        <v>1</v>
      </c>
      <c r="R215" s="256"/>
      <c r="S215" s="256">
        <v>2</v>
      </c>
      <c r="T215" s="256"/>
      <c r="U215" s="256"/>
      <c r="V215" s="256"/>
      <c r="W215" s="256" t="s">
        <v>1907</v>
      </c>
      <c r="X215" s="259">
        <v>46091.399305555555</v>
      </c>
      <c r="Y215" s="256"/>
      <c r="Z215" s="256" t="s">
        <v>1864</v>
      </c>
      <c r="AA215" s="256" t="s">
        <v>1492</v>
      </c>
      <c r="AB215" s="256"/>
      <c r="AC215" s="256"/>
      <c r="AD215" s="256" t="s">
        <v>1953</v>
      </c>
      <c r="AE215" s="256" t="s">
        <v>408</v>
      </c>
    </row>
    <row r="216" spans="1:31">
      <c r="A216" s="256" t="s">
        <v>1954</v>
      </c>
      <c r="B216" s="256" t="s">
        <v>1471</v>
      </c>
      <c r="C216" s="256" t="s">
        <v>52</v>
      </c>
      <c r="D216" s="256" t="s">
        <v>52</v>
      </c>
      <c r="E216" s="256">
        <v>4437200</v>
      </c>
      <c r="F216" s="256">
        <v>4423220</v>
      </c>
      <c r="G216" s="256" t="s">
        <v>1078</v>
      </c>
      <c r="H216" s="256" t="s">
        <v>242</v>
      </c>
      <c r="I216" s="256" t="s">
        <v>1862</v>
      </c>
      <c r="J216" s="256" t="s">
        <v>1519</v>
      </c>
      <c r="K216" s="259">
        <v>46141.229166666664</v>
      </c>
      <c r="L216" s="256"/>
      <c r="M216" s="259">
        <v>46142.229166666664</v>
      </c>
      <c r="N216" s="256"/>
      <c r="O216" s="256" t="s">
        <v>1955</v>
      </c>
      <c r="P216" s="259">
        <v>46151.229166666664</v>
      </c>
      <c r="Q216" s="256">
        <v>5</v>
      </c>
      <c r="R216" s="256"/>
      <c r="S216" s="256">
        <v>2</v>
      </c>
      <c r="T216" s="256"/>
      <c r="U216" s="256"/>
      <c r="V216" s="256"/>
      <c r="W216" s="256" t="s">
        <v>1907</v>
      </c>
      <c r="X216" s="259">
        <v>46093.589583333334</v>
      </c>
      <c r="Y216" s="256"/>
      <c r="Z216" s="256" t="s">
        <v>1864</v>
      </c>
      <c r="AA216" s="256" t="s">
        <v>1492</v>
      </c>
      <c r="AB216" s="256"/>
      <c r="AC216" s="256"/>
      <c r="AD216" s="256" t="s">
        <v>1956</v>
      </c>
      <c r="AE216" s="256" t="s">
        <v>408</v>
      </c>
    </row>
    <row r="217" spans="1:31">
      <c r="A217" s="256" t="s">
        <v>1954</v>
      </c>
      <c r="B217" s="256" t="s">
        <v>1471</v>
      </c>
      <c r="C217" s="256" t="s">
        <v>52</v>
      </c>
      <c r="D217" s="256" t="s">
        <v>52</v>
      </c>
      <c r="E217" s="256">
        <v>4437200</v>
      </c>
      <c r="F217" s="256">
        <v>4423221</v>
      </c>
      <c r="G217" s="256" t="s">
        <v>1082</v>
      </c>
      <c r="H217" s="256" t="s">
        <v>288</v>
      </c>
      <c r="I217" s="256" t="s">
        <v>1862</v>
      </c>
      <c r="J217" s="256" t="s">
        <v>1519</v>
      </c>
      <c r="K217" s="259">
        <v>46142.229166666664</v>
      </c>
      <c r="L217" s="256"/>
      <c r="M217" s="259">
        <v>46143.229166666664</v>
      </c>
      <c r="N217" s="256"/>
      <c r="O217" s="256" t="s">
        <v>1955</v>
      </c>
      <c r="P217" s="259">
        <v>46151.229166666664</v>
      </c>
      <c r="Q217" s="256">
        <v>5</v>
      </c>
      <c r="R217" s="256"/>
      <c r="S217" s="256">
        <v>2</v>
      </c>
      <c r="T217" s="256"/>
      <c r="U217" s="256"/>
      <c r="V217" s="256"/>
      <c r="W217" s="256" t="s">
        <v>1907</v>
      </c>
      <c r="X217" s="259">
        <v>46093.590277777781</v>
      </c>
      <c r="Y217" s="256"/>
      <c r="Z217" s="256" t="s">
        <v>1864</v>
      </c>
      <c r="AA217" s="256" t="s">
        <v>1492</v>
      </c>
      <c r="AB217" s="256"/>
      <c r="AC217" s="256"/>
      <c r="AD217" s="256" t="s">
        <v>1957</v>
      </c>
      <c r="AE217" s="256" t="s">
        <v>408</v>
      </c>
    </row>
    <row r="218" spans="1:31">
      <c r="A218" s="256" t="s">
        <v>1954</v>
      </c>
      <c r="B218" s="256" t="s">
        <v>1471</v>
      </c>
      <c r="C218" s="256" t="s">
        <v>52</v>
      </c>
      <c r="D218" s="256" t="s">
        <v>52</v>
      </c>
      <c r="E218" s="256">
        <v>4437200</v>
      </c>
      <c r="F218" s="256">
        <v>4423222</v>
      </c>
      <c r="G218" s="256" t="s">
        <v>1083</v>
      </c>
      <c r="H218" s="256" t="s">
        <v>242</v>
      </c>
      <c r="I218" s="256" t="s">
        <v>1862</v>
      </c>
      <c r="J218" s="256" t="s">
        <v>1519</v>
      </c>
      <c r="K218" s="259">
        <v>46142.229166666664</v>
      </c>
      <c r="L218" s="256"/>
      <c r="M218" s="259">
        <v>46143.229166666664</v>
      </c>
      <c r="N218" s="256"/>
      <c r="O218" s="256" t="s">
        <v>1958</v>
      </c>
      <c r="P218" s="259">
        <v>46151.229166666664</v>
      </c>
      <c r="Q218" s="256">
        <v>5</v>
      </c>
      <c r="R218" s="256"/>
      <c r="S218" s="256">
        <v>2</v>
      </c>
      <c r="T218" s="256"/>
      <c r="U218" s="256"/>
      <c r="V218" s="256"/>
      <c r="W218" s="256" t="s">
        <v>1907</v>
      </c>
      <c r="X218" s="259">
        <v>46093.59097222222</v>
      </c>
      <c r="Y218" s="256"/>
      <c r="Z218" s="256" t="s">
        <v>1864</v>
      </c>
      <c r="AA218" s="256" t="s">
        <v>1492</v>
      </c>
      <c r="AB218" s="256"/>
      <c r="AC218" s="256"/>
      <c r="AD218" s="256" t="s">
        <v>1959</v>
      </c>
      <c r="AE218" s="256" t="s">
        <v>408</v>
      </c>
    </row>
    <row r="219" spans="1:31">
      <c r="A219" s="256" t="s">
        <v>1960</v>
      </c>
      <c r="B219" s="256" t="s">
        <v>1471</v>
      </c>
      <c r="C219" s="256" t="s">
        <v>1772</v>
      </c>
      <c r="D219" s="256" t="s">
        <v>46</v>
      </c>
      <c r="E219" s="256">
        <v>4436327</v>
      </c>
      <c r="F219" s="256">
        <v>4423225</v>
      </c>
      <c r="G219" s="256" t="s">
        <v>1126</v>
      </c>
      <c r="H219" s="256" t="s">
        <v>198</v>
      </c>
      <c r="I219" s="256" t="s">
        <v>1849</v>
      </c>
      <c r="J219" s="256" t="s">
        <v>1519</v>
      </c>
      <c r="K219" s="259">
        <v>46129.229166666664</v>
      </c>
      <c r="L219" s="256"/>
      <c r="M219" s="259">
        <v>46129.979166666664</v>
      </c>
      <c r="N219" s="256"/>
      <c r="O219" s="256" t="s">
        <v>1850</v>
      </c>
      <c r="P219" s="259">
        <v>46151.229166666664</v>
      </c>
      <c r="Q219" s="256">
        <v>3</v>
      </c>
      <c r="R219" s="256"/>
      <c r="S219" s="256">
        <v>2</v>
      </c>
      <c r="T219" s="256"/>
      <c r="U219" s="256"/>
      <c r="V219" s="256"/>
      <c r="W219" s="256" t="s">
        <v>1907</v>
      </c>
      <c r="X219" s="259">
        <v>46093.591666666667</v>
      </c>
      <c r="Y219" s="256"/>
      <c r="Z219" s="256" t="s">
        <v>1853</v>
      </c>
      <c r="AA219" s="256" t="s">
        <v>1492</v>
      </c>
      <c r="AB219" s="256"/>
      <c r="AC219" s="256"/>
      <c r="AD219" s="256" t="s">
        <v>1848</v>
      </c>
      <c r="AE219" s="256" t="s">
        <v>408</v>
      </c>
    </row>
    <row r="220" spans="1:31">
      <c r="A220" s="256" t="s">
        <v>1944</v>
      </c>
      <c r="B220" s="256" t="s">
        <v>1471</v>
      </c>
      <c r="C220" s="256" t="s">
        <v>1772</v>
      </c>
      <c r="D220" s="256" t="s">
        <v>228</v>
      </c>
      <c r="E220" s="256">
        <v>4287584</v>
      </c>
      <c r="F220" s="256">
        <v>4423914</v>
      </c>
      <c r="G220" s="256" t="s">
        <v>1132</v>
      </c>
      <c r="H220" s="256" t="s">
        <v>393</v>
      </c>
      <c r="I220" s="256" t="s">
        <v>1820</v>
      </c>
      <c r="J220" s="256" t="s">
        <v>1519</v>
      </c>
      <c r="K220" s="259">
        <v>46134.229166666664</v>
      </c>
      <c r="L220" s="256"/>
      <c r="M220" s="259">
        <v>46140.229166666664</v>
      </c>
      <c r="N220" s="256"/>
      <c r="O220" s="256" t="s">
        <v>1961</v>
      </c>
      <c r="P220" s="259">
        <v>46151.229166666664</v>
      </c>
      <c r="Q220" s="256">
        <v>3</v>
      </c>
      <c r="R220" s="256"/>
      <c r="S220" s="256">
        <v>2</v>
      </c>
      <c r="T220" s="256"/>
      <c r="U220" s="256"/>
      <c r="V220" s="256"/>
      <c r="W220" s="256" t="s">
        <v>1851</v>
      </c>
      <c r="X220" s="259">
        <v>46093.927083333336</v>
      </c>
      <c r="Y220" s="256" t="s">
        <v>1962</v>
      </c>
      <c r="Z220" s="256" t="s">
        <v>1824</v>
      </c>
      <c r="AA220" s="256" t="s">
        <v>1946</v>
      </c>
      <c r="AB220" s="256"/>
      <c r="AC220" s="256"/>
      <c r="AD220" s="256" t="s">
        <v>1947</v>
      </c>
      <c r="AE220" s="256" t="s">
        <v>408</v>
      </c>
    </row>
    <row r="221" spans="1:31">
      <c r="A221" s="256" t="s">
        <v>1944</v>
      </c>
      <c r="B221" s="256" t="s">
        <v>1471</v>
      </c>
      <c r="C221" s="256" t="s">
        <v>1772</v>
      </c>
      <c r="D221" s="256" t="s">
        <v>228</v>
      </c>
      <c r="E221" s="256">
        <v>4287584</v>
      </c>
      <c r="F221" s="256">
        <v>4424457</v>
      </c>
      <c r="G221" s="256" t="s">
        <v>1226</v>
      </c>
      <c r="H221" s="256" t="s">
        <v>305</v>
      </c>
      <c r="I221" s="256" t="s">
        <v>1820</v>
      </c>
      <c r="J221" s="256" t="s">
        <v>1519</v>
      </c>
      <c r="K221" s="259">
        <v>46135.104166666664</v>
      </c>
      <c r="L221" s="259">
        <v>46121.999305555553</v>
      </c>
      <c r="M221" s="259">
        <v>46139.229166666664</v>
      </c>
      <c r="N221" s="256"/>
      <c r="O221" s="256" t="s">
        <v>1963</v>
      </c>
      <c r="P221" s="259">
        <v>46151.229166666664</v>
      </c>
      <c r="Q221" s="256">
        <v>3</v>
      </c>
      <c r="R221" s="256"/>
      <c r="S221" s="256">
        <v>2</v>
      </c>
      <c r="T221" s="256"/>
      <c r="U221" s="256" t="s">
        <v>1</v>
      </c>
      <c r="V221" s="256" t="s">
        <v>1</v>
      </c>
      <c r="W221" s="256" t="s">
        <v>1851</v>
      </c>
      <c r="X221" s="259">
        <v>46094.40347222222</v>
      </c>
      <c r="Y221" s="256" t="s">
        <v>1920</v>
      </c>
      <c r="Z221" s="256" t="s">
        <v>1824</v>
      </c>
      <c r="AA221" s="256" t="s">
        <v>1946</v>
      </c>
      <c r="AB221" s="256"/>
      <c r="AC221" s="256"/>
      <c r="AD221" s="256" t="s">
        <v>1964</v>
      </c>
      <c r="AE221" s="256" t="s">
        <v>408</v>
      </c>
    </row>
    <row r="222" spans="1:31">
      <c r="A222" s="256" t="s">
        <v>1855</v>
      </c>
      <c r="B222" s="256" t="s">
        <v>1471</v>
      </c>
      <c r="C222" s="256" t="s">
        <v>52</v>
      </c>
      <c r="D222" s="256" t="s">
        <v>52</v>
      </c>
      <c r="E222" s="256">
        <v>4437844</v>
      </c>
      <c r="F222" s="256">
        <v>4437822</v>
      </c>
      <c r="G222" s="256" t="s">
        <v>1119</v>
      </c>
      <c r="H222" s="256" t="s">
        <v>305</v>
      </c>
      <c r="I222" s="256" t="s">
        <v>1856</v>
      </c>
      <c r="J222" s="256" t="s">
        <v>1519</v>
      </c>
      <c r="K222" s="259">
        <v>46125.665277777778</v>
      </c>
      <c r="L222" s="259">
        <v>46125.727083333331</v>
      </c>
      <c r="M222" s="259">
        <v>46132.229166666664</v>
      </c>
      <c r="N222" s="256"/>
      <c r="O222" s="256" t="s">
        <v>1913</v>
      </c>
      <c r="P222" s="259">
        <v>46151.229166666664</v>
      </c>
      <c r="Q222" s="256">
        <v>3.75</v>
      </c>
      <c r="R222" s="256"/>
      <c r="S222" s="256">
        <v>2</v>
      </c>
      <c r="T222" s="256"/>
      <c r="U222" s="256" t="s">
        <v>1</v>
      </c>
      <c r="V222" s="256" t="s">
        <v>1</v>
      </c>
      <c r="W222" s="256" t="s">
        <v>1907</v>
      </c>
      <c r="X222" s="259">
        <v>46101.634722222225</v>
      </c>
      <c r="Y222" s="256"/>
      <c r="Z222" s="256" t="s">
        <v>1860</v>
      </c>
      <c r="AA222" s="256" t="s">
        <v>1492</v>
      </c>
      <c r="AB222" s="256"/>
      <c r="AC222" s="256"/>
      <c r="AD222" s="256" t="s">
        <v>1965</v>
      </c>
      <c r="AE222" s="256" t="s">
        <v>408</v>
      </c>
    </row>
    <row r="223" spans="1:31">
      <c r="A223" s="256" t="s">
        <v>1855</v>
      </c>
      <c r="B223" s="256" t="s">
        <v>1471</v>
      </c>
      <c r="C223" s="256" t="s">
        <v>52</v>
      </c>
      <c r="D223" s="256" t="s">
        <v>52</v>
      </c>
      <c r="E223" s="256">
        <v>4437844</v>
      </c>
      <c r="F223" s="256">
        <v>4437865</v>
      </c>
      <c r="G223" s="256" t="s">
        <v>1121</v>
      </c>
      <c r="H223" s="256" t="s">
        <v>305</v>
      </c>
      <c r="I223" s="256" t="s">
        <v>1862</v>
      </c>
      <c r="J223" s="256" t="s">
        <v>1519</v>
      </c>
      <c r="K223" s="259">
        <v>46127.804166666669</v>
      </c>
      <c r="L223" s="259">
        <v>46127.881249999999</v>
      </c>
      <c r="M223" s="259">
        <v>46132.229166666664</v>
      </c>
      <c r="N223" s="256"/>
      <c r="O223" s="256" t="s">
        <v>1871</v>
      </c>
      <c r="P223" s="259">
        <v>46151.229166666664</v>
      </c>
      <c r="Q223" s="256">
        <v>3</v>
      </c>
      <c r="R223" s="256"/>
      <c r="S223" s="256">
        <v>2</v>
      </c>
      <c r="T223" s="256"/>
      <c r="U223" s="256" t="s">
        <v>1</v>
      </c>
      <c r="V223" s="256" t="s">
        <v>1</v>
      </c>
      <c r="W223" s="256" t="s">
        <v>1907</v>
      </c>
      <c r="X223" s="259">
        <v>46101.644444444442</v>
      </c>
      <c r="Y223" s="256"/>
      <c r="Z223" s="256" t="s">
        <v>1864</v>
      </c>
      <c r="AA223" s="256" t="s">
        <v>1492</v>
      </c>
      <c r="AB223" s="256"/>
      <c r="AC223" s="256"/>
      <c r="AD223" s="256" t="s">
        <v>1966</v>
      </c>
      <c r="AE223" s="256" t="s">
        <v>408</v>
      </c>
    </row>
    <row r="224" spans="1:31">
      <c r="A224" s="256" t="s">
        <v>1855</v>
      </c>
      <c r="B224" s="256" t="s">
        <v>1471</v>
      </c>
      <c r="C224" s="256" t="s">
        <v>52</v>
      </c>
      <c r="D224" s="256" t="s">
        <v>52</v>
      </c>
      <c r="E224" s="256">
        <v>4437844</v>
      </c>
      <c r="F224" s="256">
        <v>4437883</v>
      </c>
      <c r="G224" s="256" t="s">
        <v>1967</v>
      </c>
      <c r="H224" s="256" t="s">
        <v>1513</v>
      </c>
      <c r="I224" s="256" t="s">
        <v>1866</v>
      </c>
      <c r="J224" s="256" t="s">
        <v>1519</v>
      </c>
      <c r="K224" s="259">
        <v>46119.229166666664</v>
      </c>
      <c r="L224" s="259">
        <v>46119.229166666664</v>
      </c>
      <c r="M224" s="259">
        <v>46135.229166666664</v>
      </c>
      <c r="N224" s="259">
        <v>46127.01458333333</v>
      </c>
      <c r="O224" s="256" t="s">
        <v>1918</v>
      </c>
      <c r="P224" s="259">
        <v>46151.229166666664</v>
      </c>
      <c r="Q224" s="256">
        <v>3</v>
      </c>
      <c r="R224" s="256"/>
      <c r="S224" s="256">
        <v>2</v>
      </c>
      <c r="T224" s="256"/>
      <c r="U224" s="256" t="s">
        <v>1</v>
      </c>
      <c r="V224" s="256" t="s">
        <v>1</v>
      </c>
      <c r="W224" s="256" t="s">
        <v>1907</v>
      </c>
      <c r="X224" s="259">
        <v>46101.660416666666</v>
      </c>
      <c r="Y224" s="256"/>
      <c r="Z224" s="256" t="s">
        <v>1868</v>
      </c>
      <c r="AA224" s="256" t="s">
        <v>1492</v>
      </c>
      <c r="AB224" s="256"/>
      <c r="AC224" s="256"/>
      <c r="AD224" s="256" t="s">
        <v>1968</v>
      </c>
      <c r="AE224" s="256" t="s">
        <v>408</v>
      </c>
    </row>
    <row r="225" spans="1:31">
      <c r="A225" s="256" t="s">
        <v>1855</v>
      </c>
      <c r="B225" s="256" t="s">
        <v>1471</v>
      </c>
      <c r="C225" s="256" t="s">
        <v>52</v>
      </c>
      <c r="D225" s="256" t="s">
        <v>52</v>
      </c>
      <c r="E225" s="256">
        <v>4437844</v>
      </c>
      <c r="F225" s="256">
        <v>4438162</v>
      </c>
      <c r="G225" s="256" t="s">
        <v>1124</v>
      </c>
      <c r="H225" s="256" t="s">
        <v>288</v>
      </c>
      <c r="I225" s="256" t="s">
        <v>1856</v>
      </c>
      <c r="J225" s="256" t="s">
        <v>1519</v>
      </c>
      <c r="K225" s="259">
        <v>46134.229166666664</v>
      </c>
      <c r="L225" s="256"/>
      <c r="M225" s="259">
        <v>46132.229166666664</v>
      </c>
      <c r="N225" s="256"/>
      <c r="O225" s="256" t="s">
        <v>1969</v>
      </c>
      <c r="P225" s="259">
        <v>46151.229166666664</v>
      </c>
      <c r="Q225" s="256">
        <v>6.2</v>
      </c>
      <c r="R225" s="256"/>
      <c r="S225" s="256">
        <v>2</v>
      </c>
      <c r="T225" s="256"/>
      <c r="U225" s="256"/>
      <c r="V225" s="256"/>
      <c r="W225" s="256" t="s">
        <v>1907</v>
      </c>
      <c r="X225" s="259">
        <v>46101.72152777778</v>
      </c>
      <c r="Y225" s="256"/>
      <c r="Z225" s="256" t="s">
        <v>1860</v>
      </c>
      <c r="AA225" s="256" t="s">
        <v>1492</v>
      </c>
      <c r="AB225" s="256"/>
      <c r="AC225" s="256"/>
      <c r="AD225" s="256" t="s">
        <v>1754</v>
      </c>
      <c r="AE225" s="256" t="s">
        <v>408</v>
      </c>
    </row>
    <row r="226" spans="1:31">
      <c r="A226" s="256" t="s">
        <v>1855</v>
      </c>
      <c r="B226" s="256" t="s">
        <v>1471</v>
      </c>
      <c r="C226" s="256" t="s">
        <v>52</v>
      </c>
      <c r="D226" s="256" t="s">
        <v>52</v>
      </c>
      <c r="E226" s="256">
        <v>4437844</v>
      </c>
      <c r="F226" s="256">
        <v>4439540</v>
      </c>
      <c r="G226" s="256" t="s">
        <v>1112</v>
      </c>
      <c r="H226" s="256" t="s">
        <v>305</v>
      </c>
      <c r="I226" s="256" t="s">
        <v>1866</v>
      </c>
      <c r="J226" s="256" t="s">
        <v>1519</v>
      </c>
      <c r="K226" s="259">
        <v>46126.229166666664</v>
      </c>
      <c r="L226" s="259">
        <v>46126.229166666664</v>
      </c>
      <c r="M226" s="259">
        <v>46136.229166666664</v>
      </c>
      <c r="N226" s="256"/>
      <c r="O226" s="256" t="s">
        <v>1863</v>
      </c>
      <c r="P226" s="259">
        <v>46151.229166666664</v>
      </c>
      <c r="Q226" s="256">
        <v>5</v>
      </c>
      <c r="R226" s="256"/>
      <c r="S226" s="256">
        <v>2</v>
      </c>
      <c r="T226" s="256"/>
      <c r="U226" s="256" t="s">
        <v>1</v>
      </c>
      <c r="V226" s="256" t="s">
        <v>1</v>
      </c>
      <c r="W226" s="256" t="s">
        <v>1907</v>
      </c>
      <c r="X226" s="259">
        <v>46105.368055555555</v>
      </c>
      <c r="Y226" s="256"/>
      <c r="Z226" s="256" t="s">
        <v>1868</v>
      </c>
      <c r="AA226" s="256" t="s">
        <v>1492</v>
      </c>
      <c r="AB226" s="256"/>
      <c r="AC226" s="256"/>
      <c r="AD226" s="256" t="s">
        <v>1970</v>
      </c>
      <c r="AE226" s="256" t="s">
        <v>408</v>
      </c>
    </row>
    <row r="227" spans="1:31">
      <c r="A227" s="256" t="s">
        <v>1855</v>
      </c>
      <c r="B227" s="256" t="s">
        <v>1471</v>
      </c>
      <c r="C227" s="256" t="s">
        <v>52</v>
      </c>
      <c r="D227" s="256" t="s">
        <v>52</v>
      </c>
      <c r="E227" s="256">
        <v>4437844</v>
      </c>
      <c r="F227" s="256">
        <v>4439541</v>
      </c>
      <c r="G227" s="256" t="s">
        <v>1114</v>
      </c>
      <c r="H227" s="256" t="s">
        <v>305</v>
      </c>
      <c r="I227" s="256" t="s">
        <v>1866</v>
      </c>
      <c r="J227" s="256" t="s">
        <v>1519</v>
      </c>
      <c r="K227" s="259">
        <v>46126.229166666664</v>
      </c>
      <c r="L227" s="259">
        <v>46126.229166666664</v>
      </c>
      <c r="M227" s="259">
        <v>46140.229166666664</v>
      </c>
      <c r="N227" s="256"/>
      <c r="O227" s="256" t="s">
        <v>1867</v>
      </c>
      <c r="P227" s="259">
        <v>46151.229166666664</v>
      </c>
      <c r="Q227" s="256">
        <v>5</v>
      </c>
      <c r="R227" s="256"/>
      <c r="S227" s="256">
        <v>2</v>
      </c>
      <c r="T227" s="256"/>
      <c r="U227" s="256" t="s">
        <v>1</v>
      </c>
      <c r="V227" s="256" t="s">
        <v>1</v>
      </c>
      <c r="W227" s="256" t="s">
        <v>1907</v>
      </c>
      <c r="X227" s="259">
        <v>46105.370833333334</v>
      </c>
      <c r="Y227" s="256"/>
      <c r="Z227" s="256" t="s">
        <v>1868</v>
      </c>
      <c r="AA227" s="256" t="s">
        <v>1492</v>
      </c>
      <c r="AB227" s="256"/>
      <c r="AC227" s="256"/>
      <c r="AD227" s="256" t="s">
        <v>1970</v>
      </c>
      <c r="AE227" s="256" t="s">
        <v>408</v>
      </c>
    </row>
    <row r="228" spans="1:31">
      <c r="A228" s="256" t="s">
        <v>1855</v>
      </c>
      <c r="B228" s="256" t="s">
        <v>1471</v>
      </c>
      <c r="C228" s="256" t="s">
        <v>52</v>
      </c>
      <c r="D228" s="256" t="s">
        <v>52</v>
      </c>
      <c r="E228" s="256">
        <v>4437844</v>
      </c>
      <c r="F228" s="256">
        <v>4439552</v>
      </c>
      <c r="G228" s="256" t="s">
        <v>1116</v>
      </c>
      <c r="H228" s="256" t="s">
        <v>288</v>
      </c>
      <c r="I228" s="256" t="s">
        <v>1866</v>
      </c>
      <c r="J228" s="256" t="s">
        <v>1519</v>
      </c>
      <c r="K228" s="259">
        <v>46142.229166666664</v>
      </c>
      <c r="L228" s="256"/>
      <c r="M228" s="259">
        <v>46139.229166666664</v>
      </c>
      <c r="N228" s="256"/>
      <c r="O228" s="256" t="s">
        <v>1971</v>
      </c>
      <c r="P228" s="259">
        <v>46151.229166666664</v>
      </c>
      <c r="Q228" s="256">
        <v>5</v>
      </c>
      <c r="R228" s="256"/>
      <c r="S228" s="256">
        <v>2</v>
      </c>
      <c r="T228" s="256"/>
      <c r="U228" s="256"/>
      <c r="V228" s="256"/>
      <c r="W228" s="256" t="s">
        <v>1907</v>
      </c>
      <c r="X228" s="259">
        <v>46105.384722222225</v>
      </c>
      <c r="Y228" s="256"/>
      <c r="Z228" s="256" t="s">
        <v>1868</v>
      </c>
      <c r="AA228" s="256" t="s">
        <v>1492</v>
      </c>
      <c r="AB228" s="256"/>
      <c r="AC228" s="256"/>
      <c r="AD228" s="256" t="s">
        <v>255</v>
      </c>
      <c r="AE228" s="256" t="s">
        <v>408</v>
      </c>
    </row>
    <row r="229" spans="1:31">
      <c r="A229" s="256" t="s">
        <v>1855</v>
      </c>
      <c r="B229" s="256" t="s">
        <v>1471</v>
      </c>
      <c r="C229" s="256" t="s">
        <v>52</v>
      </c>
      <c r="D229" s="256" t="s">
        <v>52</v>
      </c>
      <c r="E229" s="256">
        <v>4437844</v>
      </c>
      <c r="F229" s="256">
        <v>4439554</v>
      </c>
      <c r="G229" s="256" t="s">
        <v>1117</v>
      </c>
      <c r="H229" s="256" t="s">
        <v>288</v>
      </c>
      <c r="I229" s="256" t="s">
        <v>1866</v>
      </c>
      <c r="J229" s="256" t="s">
        <v>1519</v>
      </c>
      <c r="K229" s="259">
        <v>46134.229166666664</v>
      </c>
      <c r="L229" s="256"/>
      <c r="M229" s="259">
        <v>46139.229166666664</v>
      </c>
      <c r="N229" s="256"/>
      <c r="O229" s="256" t="s">
        <v>1972</v>
      </c>
      <c r="P229" s="259">
        <v>46151.229166666664</v>
      </c>
      <c r="Q229" s="256">
        <v>5</v>
      </c>
      <c r="R229" s="256"/>
      <c r="S229" s="256">
        <v>2</v>
      </c>
      <c r="T229" s="256"/>
      <c r="U229" s="256"/>
      <c r="V229" s="256"/>
      <c r="W229" s="256" t="s">
        <v>1907</v>
      </c>
      <c r="X229" s="259">
        <v>46105.386805555558</v>
      </c>
      <c r="Y229" s="256"/>
      <c r="Z229" s="256" t="s">
        <v>1868</v>
      </c>
      <c r="AA229" s="256" t="s">
        <v>1492</v>
      </c>
      <c r="AB229" s="256"/>
      <c r="AC229" s="256"/>
      <c r="AD229" s="256" t="s">
        <v>1704</v>
      </c>
      <c r="AE229" s="256" t="s">
        <v>408</v>
      </c>
    </row>
    <row r="230" spans="1:31">
      <c r="A230" s="256" t="s">
        <v>1797</v>
      </c>
      <c r="B230" s="256" t="s">
        <v>1486</v>
      </c>
      <c r="C230" s="256" t="s">
        <v>1772</v>
      </c>
      <c r="D230" s="256" t="s">
        <v>1808</v>
      </c>
      <c r="E230" s="256">
        <v>4439786</v>
      </c>
      <c r="F230" s="256">
        <v>4439737</v>
      </c>
      <c r="G230" s="256" t="s">
        <v>709</v>
      </c>
      <c r="H230" s="256" t="s">
        <v>393</v>
      </c>
      <c r="I230" s="256" t="s">
        <v>1820</v>
      </c>
      <c r="J230" s="256" t="s">
        <v>1801</v>
      </c>
      <c r="K230" s="259">
        <v>46135.104166666664</v>
      </c>
      <c r="L230" s="256"/>
      <c r="M230" s="259">
        <v>46135.979166666664</v>
      </c>
      <c r="N230" s="256"/>
      <c r="O230" s="256" t="s">
        <v>1899</v>
      </c>
      <c r="P230" s="259">
        <v>46151.229166666664</v>
      </c>
      <c r="Q230" s="256">
        <v>5</v>
      </c>
      <c r="R230" s="256"/>
      <c r="S230" s="256">
        <v>2</v>
      </c>
      <c r="T230" s="256"/>
      <c r="U230" s="256"/>
      <c r="V230" s="256"/>
      <c r="W230" s="256" t="s">
        <v>1803</v>
      </c>
      <c r="X230" s="259">
        <v>46105.497916666667</v>
      </c>
      <c r="Y230" s="256" t="s">
        <v>1973</v>
      </c>
      <c r="Z230" s="256" t="s">
        <v>1824</v>
      </c>
      <c r="AA230" s="256" t="s">
        <v>1492</v>
      </c>
      <c r="AB230" s="256"/>
      <c r="AC230" s="256"/>
      <c r="AD230" s="256" t="s">
        <v>1806</v>
      </c>
      <c r="AE230" s="256" t="s">
        <v>408</v>
      </c>
    </row>
    <row r="231" spans="1:31">
      <c r="A231" s="256" t="s">
        <v>1855</v>
      </c>
      <c r="B231" s="256" t="s">
        <v>1471</v>
      </c>
      <c r="C231" s="256" t="s">
        <v>52</v>
      </c>
      <c r="D231" s="256" t="s">
        <v>52</v>
      </c>
      <c r="E231" s="256">
        <v>4437844</v>
      </c>
      <c r="F231" s="256">
        <v>4438699</v>
      </c>
      <c r="G231" s="256" t="s">
        <v>1974</v>
      </c>
      <c r="H231" s="256" t="s">
        <v>242</v>
      </c>
      <c r="I231" s="256" t="s">
        <v>1862</v>
      </c>
      <c r="J231" s="256" t="s">
        <v>1519</v>
      </c>
      <c r="K231" s="259">
        <v>46134.229166666664</v>
      </c>
      <c r="L231" s="256"/>
      <c r="M231" s="259">
        <v>46139.229166666664</v>
      </c>
      <c r="N231" s="256"/>
      <c r="O231" s="256" t="s">
        <v>1915</v>
      </c>
      <c r="P231" s="259">
        <v>46151.229166666664</v>
      </c>
      <c r="Q231" s="256">
        <v>5</v>
      </c>
      <c r="R231" s="256"/>
      <c r="S231" s="256">
        <v>2</v>
      </c>
      <c r="T231" s="256"/>
      <c r="U231" s="256"/>
      <c r="V231" s="256"/>
      <c r="W231" s="256" t="s">
        <v>1907</v>
      </c>
      <c r="X231" s="259">
        <v>46104.494444444441</v>
      </c>
      <c r="Y231" s="256"/>
      <c r="Z231" s="256" t="s">
        <v>1864</v>
      </c>
      <c r="AA231" s="256" t="s">
        <v>1492</v>
      </c>
      <c r="AB231" s="256"/>
      <c r="AC231" s="256"/>
      <c r="AD231" s="256" t="s">
        <v>1975</v>
      </c>
      <c r="AE231" s="256" t="s">
        <v>408</v>
      </c>
    </row>
    <row r="232" spans="1:31">
      <c r="A232" s="256" t="s">
        <v>1855</v>
      </c>
      <c r="B232" s="256" t="s">
        <v>1471</v>
      </c>
      <c r="C232" s="256" t="s">
        <v>52</v>
      </c>
      <c r="D232" s="256" t="s">
        <v>52</v>
      </c>
      <c r="E232" s="256">
        <v>4437844</v>
      </c>
      <c r="F232" s="256">
        <v>4438707</v>
      </c>
      <c r="G232" s="256" t="s">
        <v>1976</v>
      </c>
      <c r="H232" s="256" t="s">
        <v>288</v>
      </c>
      <c r="I232" s="256" t="s">
        <v>1862</v>
      </c>
      <c r="J232" s="256" t="s">
        <v>1519</v>
      </c>
      <c r="K232" s="259">
        <v>46135</v>
      </c>
      <c r="L232" s="256"/>
      <c r="M232" s="259">
        <v>46133.229166666664</v>
      </c>
      <c r="N232" s="256"/>
      <c r="O232" s="256" t="s">
        <v>1977</v>
      </c>
      <c r="P232" s="259">
        <v>46151.229166666664</v>
      </c>
      <c r="Q232" s="256">
        <v>5</v>
      </c>
      <c r="R232" s="256"/>
      <c r="S232" s="256">
        <v>2</v>
      </c>
      <c r="T232" s="256"/>
      <c r="U232" s="256"/>
      <c r="V232" s="256"/>
      <c r="W232" s="256" t="s">
        <v>1907</v>
      </c>
      <c r="X232" s="259">
        <v>46104.49722222222</v>
      </c>
      <c r="Y232" s="256"/>
      <c r="Z232" s="256" t="s">
        <v>1864</v>
      </c>
      <c r="AA232" s="256" t="s">
        <v>1492</v>
      </c>
      <c r="AB232" s="256"/>
      <c r="AC232" s="256"/>
      <c r="AD232" s="256" t="s">
        <v>1978</v>
      </c>
      <c r="AE232" s="256" t="s">
        <v>408</v>
      </c>
    </row>
    <row r="233" spans="1:31">
      <c r="A233" s="256" t="s">
        <v>1855</v>
      </c>
      <c r="B233" s="256" t="s">
        <v>1471</v>
      </c>
      <c r="C233" s="256" t="s">
        <v>52</v>
      </c>
      <c r="D233" s="256" t="s">
        <v>52</v>
      </c>
      <c r="E233" s="256">
        <v>4437844</v>
      </c>
      <c r="F233" s="256">
        <v>4438717</v>
      </c>
      <c r="G233" s="256" t="s">
        <v>1979</v>
      </c>
      <c r="H233" s="256" t="s">
        <v>305</v>
      </c>
      <c r="I233" s="256" t="s">
        <v>1862</v>
      </c>
      <c r="J233" s="256" t="s">
        <v>1519</v>
      </c>
      <c r="K233" s="259">
        <v>46129.429166666669</v>
      </c>
      <c r="L233" s="259">
        <v>46128.229166666664</v>
      </c>
      <c r="M233" s="259">
        <v>46134.229166666664</v>
      </c>
      <c r="N233" s="256"/>
      <c r="O233" s="256" t="s">
        <v>1913</v>
      </c>
      <c r="P233" s="259">
        <v>46151.229166666664</v>
      </c>
      <c r="Q233" s="256">
        <v>5</v>
      </c>
      <c r="R233" s="256"/>
      <c r="S233" s="256">
        <v>2</v>
      </c>
      <c r="T233" s="256"/>
      <c r="U233" s="256" t="s">
        <v>1</v>
      </c>
      <c r="V233" s="256" t="s">
        <v>1</v>
      </c>
      <c r="W233" s="256" t="s">
        <v>1907</v>
      </c>
      <c r="X233" s="259">
        <v>46104.500694444447</v>
      </c>
      <c r="Y233" s="256"/>
      <c r="Z233" s="256" t="s">
        <v>1864</v>
      </c>
      <c r="AA233" s="256" t="s">
        <v>1492</v>
      </c>
      <c r="AB233" s="256"/>
      <c r="AC233" s="256"/>
      <c r="AD233" s="256" t="s">
        <v>1980</v>
      </c>
      <c r="AE233" s="256" t="s">
        <v>408</v>
      </c>
    </row>
    <row r="234" spans="1:31">
      <c r="A234" s="256" t="s">
        <v>1855</v>
      </c>
      <c r="B234" s="256" t="s">
        <v>1471</v>
      </c>
      <c r="C234" s="256" t="s">
        <v>52</v>
      </c>
      <c r="D234" s="256" t="s">
        <v>52</v>
      </c>
      <c r="E234" s="256">
        <v>4437844</v>
      </c>
      <c r="F234" s="256">
        <v>4438735</v>
      </c>
      <c r="G234" s="256" t="s">
        <v>1981</v>
      </c>
      <c r="H234" s="256" t="s">
        <v>305</v>
      </c>
      <c r="I234" s="256" t="s">
        <v>1856</v>
      </c>
      <c r="J234" s="256" t="s">
        <v>1519</v>
      </c>
      <c r="K234" s="259">
        <v>46127.955555555556</v>
      </c>
      <c r="L234" s="259">
        <v>46127.713888888888</v>
      </c>
      <c r="M234" s="259">
        <v>46134.229166666664</v>
      </c>
      <c r="N234" s="256"/>
      <c r="O234" s="256" t="s">
        <v>1913</v>
      </c>
      <c r="P234" s="259">
        <v>46151.229166666664</v>
      </c>
      <c r="Q234" s="256">
        <v>5.6</v>
      </c>
      <c r="R234" s="256"/>
      <c r="S234" s="256">
        <v>2</v>
      </c>
      <c r="T234" s="256"/>
      <c r="U234" s="256" t="s">
        <v>1</v>
      </c>
      <c r="V234" s="256" t="s">
        <v>1</v>
      </c>
      <c r="W234" s="256" t="s">
        <v>1907</v>
      </c>
      <c r="X234" s="259">
        <v>46104.505555555559</v>
      </c>
      <c r="Y234" s="256"/>
      <c r="Z234" s="256" t="s">
        <v>1860</v>
      </c>
      <c r="AA234" s="256" t="s">
        <v>1492</v>
      </c>
      <c r="AB234" s="256"/>
      <c r="AC234" s="256"/>
      <c r="AD234" s="256" t="s">
        <v>1982</v>
      </c>
      <c r="AE234" s="256" t="s">
        <v>408</v>
      </c>
    </row>
    <row r="235" spans="1:31">
      <c r="A235" s="256" t="s">
        <v>1855</v>
      </c>
      <c r="B235" s="256" t="s">
        <v>1471</v>
      </c>
      <c r="C235" s="256" t="s">
        <v>52</v>
      </c>
      <c r="D235" s="256" t="s">
        <v>52</v>
      </c>
      <c r="E235" s="256">
        <v>4437844</v>
      </c>
      <c r="F235" s="256">
        <v>4438741</v>
      </c>
      <c r="G235" s="256" t="s">
        <v>1983</v>
      </c>
      <c r="H235" s="256" t="s">
        <v>288</v>
      </c>
      <c r="I235" s="256" t="s">
        <v>1866</v>
      </c>
      <c r="J235" s="256" t="s">
        <v>1519</v>
      </c>
      <c r="K235" s="259">
        <v>46134.229166666664</v>
      </c>
      <c r="L235" s="256"/>
      <c r="M235" s="259">
        <v>46136.229166666664</v>
      </c>
      <c r="N235" s="256"/>
      <c r="O235" s="256" t="s">
        <v>1984</v>
      </c>
      <c r="P235" s="259">
        <v>46151.229166666664</v>
      </c>
      <c r="Q235" s="256">
        <v>7</v>
      </c>
      <c r="R235" s="256"/>
      <c r="S235" s="256">
        <v>2</v>
      </c>
      <c r="T235" s="256"/>
      <c r="U235" s="256"/>
      <c r="V235" s="256"/>
      <c r="W235" s="256" t="s">
        <v>1907</v>
      </c>
      <c r="X235" s="259">
        <v>46104.507638888892</v>
      </c>
      <c r="Y235" s="256"/>
      <c r="Z235" s="256" t="s">
        <v>1868</v>
      </c>
      <c r="AA235" s="256" t="s">
        <v>1492</v>
      </c>
      <c r="AB235" s="256"/>
      <c r="AC235" s="256"/>
      <c r="AD235" s="256" t="s">
        <v>1985</v>
      </c>
      <c r="AE235" s="256" t="s">
        <v>408</v>
      </c>
    </row>
    <row r="236" spans="1:31">
      <c r="A236" s="256" t="s">
        <v>1855</v>
      </c>
      <c r="B236" s="256" t="s">
        <v>1471</v>
      </c>
      <c r="C236" s="256" t="s">
        <v>52</v>
      </c>
      <c r="D236" s="256" t="s">
        <v>52</v>
      </c>
      <c r="E236" s="256">
        <v>4437844</v>
      </c>
      <c r="F236" s="256">
        <v>4438752</v>
      </c>
      <c r="G236" s="256" t="s">
        <v>1986</v>
      </c>
      <c r="H236" s="256" t="s">
        <v>305</v>
      </c>
      <c r="I236" s="256" t="s">
        <v>1856</v>
      </c>
      <c r="J236" s="256" t="s">
        <v>1519</v>
      </c>
      <c r="K236" s="259">
        <v>46128.072222222225</v>
      </c>
      <c r="L236" s="259">
        <v>46127.229166666664</v>
      </c>
      <c r="M236" s="259">
        <v>46134.229166666664</v>
      </c>
      <c r="N236" s="256"/>
      <c r="O236" s="256" t="s">
        <v>1913</v>
      </c>
      <c r="P236" s="259">
        <v>46151.229166666664</v>
      </c>
      <c r="Q236" s="256">
        <v>5.5</v>
      </c>
      <c r="R236" s="256"/>
      <c r="S236" s="256">
        <v>2</v>
      </c>
      <c r="T236" s="256"/>
      <c r="U236" s="256" t="s">
        <v>1</v>
      </c>
      <c r="V236" s="256" t="s">
        <v>1</v>
      </c>
      <c r="W236" s="256" t="s">
        <v>1907</v>
      </c>
      <c r="X236" s="259">
        <v>46104.510416666664</v>
      </c>
      <c r="Y236" s="256"/>
      <c r="Z236" s="256" t="s">
        <v>1860</v>
      </c>
      <c r="AA236" s="256" t="s">
        <v>1492</v>
      </c>
      <c r="AB236" s="256"/>
      <c r="AC236" s="256"/>
      <c r="AD236" s="256" t="s">
        <v>1987</v>
      </c>
      <c r="AE236" s="256" t="s">
        <v>408</v>
      </c>
    </row>
    <row r="237" spans="1:31">
      <c r="A237" s="256" t="s">
        <v>1903</v>
      </c>
      <c r="B237" s="256" t="s">
        <v>1471</v>
      </c>
      <c r="C237" s="256" t="s">
        <v>1772</v>
      </c>
      <c r="D237" s="256" t="s">
        <v>1825</v>
      </c>
      <c r="E237" s="256">
        <v>4358170</v>
      </c>
      <c r="F237" s="256">
        <v>4371942</v>
      </c>
      <c r="G237" s="256" t="s">
        <v>1988</v>
      </c>
      <c r="H237" s="256" t="s">
        <v>1152</v>
      </c>
      <c r="I237" s="256" t="s">
        <v>1820</v>
      </c>
      <c r="J237" s="256" t="s">
        <v>1519</v>
      </c>
      <c r="K237" s="259">
        <v>46134.229166666664</v>
      </c>
      <c r="L237" s="259">
        <v>46121.996527777781</v>
      </c>
      <c r="M237" s="259">
        <v>46139.229166666664</v>
      </c>
      <c r="N237" s="256"/>
      <c r="O237" s="256" t="s">
        <v>1989</v>
      </c>
      <c r="P237" s="259">
        <v>46151.229166666664</v>
      </c>
      <c r="Q237" s="256">
        <v>8</v>
      </c>
      <c r="R237" s="256"/>
      <c r="S237" s="256">
        <v>2</v>
      </c>
      <c r="T237" s="256"/>
      <c r="U237" s="256" t="s">
        <v>1</v>
      </c>
      <c r="V237" s="256" t="s">
        <v>1</v>
      </c>
      <c r="W237" s="256" t="s">
        <v>1851</v>
      </c>
      <c r="X237" s="259">
        <v>46070.976388888892</v>
      </c>
      <c r="Y237" s="256" t="s">
        <v>1925</v>
      </c>
      <c r="Z237" s="256" t="s">
        <v>1824</v>
      </c>
      <c r="AA237" s="256" t="s">
        <v>1892</v>
      </c>
      <c r="AB237" s="256"/>
      <c r="AC237" s="256"/>
      <c r="AD237" s="256" t="s">
        <v>1990</v>
      </c>
      <c r="AE237" s="256" t="s">
        <v>408</v>
      </c>
    </row>
    <row r="238" spans="1:31">
      <c r="A238" s="256" t="s">
        <v>403</v>
      </c>
      <c r="B238" s="256" t="s">
        <v>1471</v>
      </c>
      <c r="C238" s="256" t="s">
        <v>235</v>
      </c>
      <c r="D238" s="256" t="s">
        <v>1700</v>
      </c>
      <c r="E238" s="256">
        <v>4459051</v>
      </c>
      <c r="F238" s="256">
        <v>4392723</v>
      </c>
      <c r="G238" s="256" t="s">
        <v>540</v>
      </c>
      <c r="H238" s="256" t="s">
        <v>359</v>
      </c>
      <c r="I238" s="256" t="s">
        <v>407</v>
      </c>
      <c r="J238" s="256" t="s">
        <v>1606</v>
      </c>
      <c r="K238" s="259">
        <v>46134.229166666664</v>
      </c>
      <c r="L238" s="259">
        <v>46127.979166666664</v>
      </c>
      <c r="M238" s="259">
        <v>46141.0625</v>
      </c>
      <c r="N238" s="256"/>
      <c r="O238" s="256" t="s">
        <v>1843</v>
      </c>
      <c r="P238" s="259">
        <v>46151.229166666664</v>
      </c>
      <c r="Q238" s="256">
        <v>8</v>
      </c>
      <c r="R238" s="256"/>
      <c r="S238" s="256">
        <v>2</v>
      </c>
      <c r="T238" s="256"/>
      <c r="U238" s="256" t="s">
        <v>1</v>
      </c>
      <c r="V238" s="256" t="s">
        <v>1498</v>
      </c>
      <c r="W238" s="256" t="s">
        <v>1691</v>
      </c>
      <c r="X238" s="259">
        <v>46078.972916666666</v>
      </c>
      <c r="Y238" s="256" t="s">
        <v>1943</v>
      </c>
      <c r="Z238" s="256" t="s">
        <v>1817</v>
      </c>
      <c r="AA238" s="256" t="s">
        <v>1610</v>
      </c>
      <c r="AB238" s="256"/>
      <c r="AC238" s="256"/>
      <c r="AD238" s="256" t="s">
        <v>1991</v>
      </c>
      <c r="AE238" s="256" t="s">
        <v>408</v>
      </c>
    </row>
    <row r="239" spans="1:31">
      <c r="A239" s="256" t="s">
        <v>1855</v>
      </c>
      <c r="B239" s="256" t="s">
        <v>1471</v>
      </c>
      <c r="C239" s="256" t="s">
        <v>52</v>
      </c>
      <c r="D239" s="256" t="s">
        <v>52</v>
      </c>
      <c r="E239" s="256">
        <v>4437844</v>
      </c>
      <c r="F239" s="256">
        <v>4395048</v>
      </c>
      <c r="G239" s="256" t="s">
        <v>1084</v>
      </c>
      <c r="H239" s="256" t="s">
        <v>305</v>
      </c>
      <c r="I239" s="256" t="s">
        <v>1862</v>
      </c>
      <c r="J239" s="256" t="s">
        <v>1519</v>
      </c>
      <c r="K239" s="259">
        <v>46127</v>
      </c>
      <c r="L239" s="259">
        <v>46126.678472222222</v>
      </c>
      <c r="M239" s="259">
        <v>46129.229166666664</v>
      </c>
      <c r="N239" s="256"/>
      <c r="O239" s="256" t="s">
        <v>1909</v>
      </c>
      <c r="P239" s="259">
        <v>46151.229166666664</v>
      </c>
      <c r="Q239" s="256">
        <v>4</v>
      </c>
      <c r="R239" s="256"/>
      <c r="S239" s="256">
        <v>2</v>
      </c>
      <c r="T239" s="256"/>
      <c r="U239" s="256" t="s">
        <v>1</v>
      </c>
      <c r="V239" s="256" t="s">
        <v>1</v>
      </c>
      <c r="W239" s="256" t="s">
        <v>1907</v>
      </c>
      <c r="X239" s="259">
        <v>46080.997916666667</v>
      </c>
      <c r="Y239" s="256"/>
      <c r="Z239" s="256" t="s">
        <v>1864</v>
      </c>
      <c r="AA239" s="256" t="s">
        <v>1492</v>
      </c>
      <c r="AB239" s="256"/>
      <c r="AC239" s="256"/>
      <c r="AD239" s="256" t="s">
        <v>1992</v>
      </c>
      <c r="AE239" s="256" t="s">
        <v>408</v>
      </c>
    </row>
    <row r="240" spans="1:31">
      <c r="A240" s="256" t="s">
        <v>1855</v>
      </c>
      <c r="B240" s="256" t="s">
        <v>1471</v>
      </c>
      <c r="C240" s="256" t="s">
        <v>52</v>
      </c>
      <c r="D240" s="256" t="s">
        <v>52</v>
      </c>
      <c r="E240" s="256">
        <v>4437844</v>
      </c>
      <c r="F240" s="256">
        <v>4395051</v>
      </c>
      <c r="G240" s="256" t="s">
        <v>1086</v>
      </c>
      <c r="H240" s="256" t="s">
        <v>393</v>
      </c>
      <c r="I240" s="256" t="s">
        <v>1856</v>
      </c>
      <c r="J240" s="256" t="s">
        <v>1519</v>
      </c>
      <c r="K240" s="259">
        <v>46134.229166666664</v>
      </c>
      <c r="L240" s="256"/>
      <c r="M240" s="259">
        <v>46135.229166666664</v>
      </c>
      <c r="N240" s="256"/>
      <c r="O240" s="256" t="s">
        <v>1993</v>
      </c>
      <c r="P240" s="259">
        <v>46151.229166666664</v>
      </c>
      <c r="Q240" s="256">
        <v>4.3</v>
      </c>
      <c r="R240" s="256"/>
      <c r="S240" s="256">
        <v>3</v>
      </c>
      <c r="T240" s="256"/>
      <c r="U240" s="256"/>
      <c r="V240" s="256"/>
      <c r="W240" s="256" t="s">
        <v>1907</v>
      </c>
      <c r="X240" s="259">
        <v>46080.998611111114</v>
      </c>
      <c r="Y240" s="256"/>
      <c r="Z240" s="256" t="s">
        <v>1860</v>
      </c>
      <c r="AA240" s="256" t="s">
        <v>1492</v>
      </c>
      <c r="AB240" s="256"/>
      <c r="AC240" s="256"/>
      <c r="AD240" s="256" t="s">
        <v>1994</v>
      </c>
      <c r="AE240" s="256" t="s">
        <v>408</v>
      </c>
    </row>
    <row r="241" spans="1:31">
      <c r="A241" s="256" t="s">
        <v>1855</v>
      </c>
      <c r="B241" s="256" t="s">
        <v>1471</v>
      </c>
      <c r="C241" s="256" t="s">
        <v>52</v>
      </c>
      <c r="D241" s="256" t="s">
        <v>52</v>
      </c>
      <c r="E241" s="256">
        <v>4437844</v>
      </c>
      <c r="F241" s="256">
        <v>4395052</v>
      </c>
      <c r="G241" s="256" t="s">
        <v>1089</v>
      </c>
      <c r="H241" s="256" t="s">
        <v>359</v>
      </c>
      <c r="I241" s="256" t="s">
        <v>1862</v>
      </c>
      <c r="J241" s="256" t="s">
        <v>1519</v>
      </c>
      <c r="K241" s="259">
        <v>46128</v>
      </c>
      <c r="L241" s="259">
        <v>46128.713194444441</v>
      </c>
      <c r="M241" s="259">
        <v>46134.229166666664</v>
      </c>
      <c r="N241" s="259">
        <v>46132.229166666664</v>
      </c>
      <c r="O241" s="256" t="s">
        <v>1519</v>
      </c>
      <c r="P241" s="259">
        <v>46151.229166666664</v>
      </c>
      <c r="Q241" s="256">
        <v>4</v>
      </c>
      <c r="R241" s="256"/>
      <c r="S241" s="256">
        <v>2</v>
      </c>
      <c r="T241" s="256"/>
      <c r="U241" s="256"/>
      <c r="V241" s="256"/>
      <c r="W241" s="256" t="s">
        <v>1907</v>
      </c>
      <c r="X241" s="259">
        <v>46080.998611111114</v>
      </c>
      <c r="Y241" s="256"/>
      <c r="Z241" s="256" t="s">
        <v>1864</v>
      </c>
      <c r="AA241" s="256" t="s">
        <v>1492</v>
      </c>
      <c r="AB241" s="256"/>
      <c r="AC241" s="256"/>
      <c r="AD241" s="256" t="s">
        <v>1995</v>
      </c>
      <c r="AE241" s="256" t="s">
        <v>408</v>
      </c>
    </row>
    <row r="242" spans="1:31">
      <c r="A242" s="256" t="s">
        <v>1855</v>
      </c>
      <c r="B242" s="256" t="s">
        <v>1471</v>
      </c>
      <c r="C242" s="256" t="s">
        <v>52</v>
      </c>
      <c r="D242" s="256" t="s">
        <v>1996</v>
      </c>
      <c r="E242" s="256">
        <v>4437844</v>
      </c>
      <c r="F242" s="256">
        <v>4395054</v>
      </c>
      <c r="G242" s="256" t="s">
        <v>1072</v>
      </c>
      <c r="H242" s="256" t="s">
        <v>288</v>
      </c>
      <c r="I242" s="256" t="s">
        <v>1862</v>
      </c>
      <c r="J242" s="256" t="s">
        <v>1519</v>
      </c>
      <c r="K242" s="259">
        <v>46135</v>
      </c>
      <c r="L242" s="256"/>
      <c r="M242" s="259">
        <v>46132.229166666664</v>
      </c>
      <c r="N242" s="256"/>
      <c r="O242" s="256" t="s">
        <v>1958</v>
      </c>
      <c r="P242" s="259">
        <v>46151.229166666664</v>
      </c>
      <c r="Q242" s="256">
        <v>5</v>
      </c>
      <c r="R242" s="256"/>
      <c r="S242" s="256">
        <v>2</v>
      </c>
      <c r="T242" s="256"/>
      <c r="U242" s="256"/>
      <c r="V242" s="256"/>
      <c r="W242" s="256" t="s">
        <v>1907</v>
      </c>
      <c r="X242" s="259">
        <v>46080.999305555553</v>
      </c>
      <c r="Y242" s="256"/>
      <c r="Z242" s="256" t="s">
        <v>1864</v>
      </c>
      <c r="AA242" s="256" t="s">
        <v>1492</v>
      </c>
      <c r="AB242" s="256"/>
      <c r="AC242" s="256"/>
      <c r="AD242" s="256" t="s">
        <v>1997</v>
      </c>
      <c r="AE242" s="256" t="s">
        <v>408</v>
      </c>
    </row>
    <row r="243" spans="1:31">
      <c r="A243" s="256" t="s">
        <v>1954</v>
      </c>
      <c r="B243" s="256" t="s">
        <v>1471</v>
      </c>
      <c r="C243" s="256" t="s">
        <v>52</v>
      </c>
      <c r="D243" s="256" t="s">
        <v>52</v>
      </c>
      <c r="E243" s="256">
        <v>4437200</v>
      </c>
      <c r="F243" s="256">
        <v>4373651</v>
      </c>
      <c r="G243" s="256" t="s">
        <v>1118</v>
      </c>
      <c r="H243" s="256" t="s">
        <v>242</v>
      </c>
      <c r="I243" s="256" t="s">
        <v>1862</v>
      </c>
      <c r="J243" s="256" t="s">
        <v>1519</v>
      </c>
      <c r="K243" s="259">
        <v>46142.229166666664</v>
      </c>
      <c r="L243" s="256"/>
      <c r="M243" s="259">
        <v>46143.229166666664</v>
      </c>
      <c r="N243" s="256"/>
      <c r="O243" s="256" t="s">
        <v>1998</v>
      </c>
      <c r="P243" s="259">
        <v>46151.229166666664</v>
      </c>
      <c r="Q243" s="256">
        <v>5</v>
      </c>
      <c r="R243" s="256"/>
      <c r="S243" s="256">
        <v>2</v>
      </c>
      <c r="T243" s="256"/>
      <c r="U243" s="256"/>
      <c r="V243" s="256"/>
      <c r="W243" s="256" t="s">
        <v>1907</v>
      </c>
      <c r="X243" s="259">
        <v>46072.378472222219</v>
      </c>
      <c r="Y243" s="256" t="s">
        <v>1999</v>
      </c>
      <c r="Z243" s="256" t="s">
        <v>1864</v>
      </c>
      <c r="AA243" s="256" t="s">
        <v>1492</v>
      </c>
      <c r="AB243" s="256"/>
      <c r="AC243" s="256"/>
      <c r="AD243" s="256" t="s">
        <v>2000</v>
      </c>
      <c r="AE243" s="256" t="s">
        <v>408</v>
      </c>
    </row>
    <row r="244" spans="1:31">
      <c r="A244" s="256" t="s">
        <v>1944</v>
      </c>
      <c r="B244" s="256" t="s">
        <v>1471</v>
      </c>
      <c r="C244" s="256" t="s">
        <v>1772</v>
      </c>
      <c r="D244" s="256" t="s">
        <v>228</v>
      </c>
      <c r="E244" s="256">
        <v>4287584</v>
      </c>
      <c r="F244" s="256">
        <v>4270042</v>
      </c>
      <c r="G244" s="256" t="s">
        <v>1139</v>
      </c>
      <c r="H244" s="256" t="s">
        <v>242</v>
      </c>
      <c r="I244" s="256" t="s">
        <v>1820</v>
      </c>
      <c r="J244" s="256" t="s">
        <v>1519</v>
      </c>
      <c r="K244" s="259">
        <v>46135.104166666664</v>
      </c>
      <c r="L244" s="256"/>
      <c r="M244" s="259">
        <v>46136.229166666664</v>
      </c>
      <c r="N244" s="256"/>
      <c r="O244" s="256" t="s">
        <v>1894</v>
      </c>
      <c r="P244" s="259">
        <v>46151.229166666664</v>
      </c>
      <c r="Q244" s="256">
        <v>5</v>
      </c>
      <c r="R244" s="256"/>
      <c r="S244" s="256">
        <v>2</v>
      </c>
      <c r="T244" s="256"/>
      <c r="U244" s="256"/>
      <c r="V244" s="256"/>
      <c r="W244" s="256" t="s">
        <v>1851</v>
      </c>
      <c r="X244" s="259">
        <v>45995.600694444445</v>
      </c>
      <c r="Y244" s="256" t="s">
        <v>2001</v>
      </c>
      <c r="Z244" s="256" t="s">
        <v>1824</v>
      </c>
      <c r="AA244" s="256" t="s">
        <v>1838</v>
      </c>
      <c r="AB244" s="256"/>
      <c r="AC244" s="256"/>
      <c r="AD244" s="256" t="s">
        <v>2002</v>
      </c>
      <c r="AE244" s="256" t="s">
        <v>408</v>
      </c>
    </row>
    <row r="245" spans="1:31">
      <c r="A245" s="256" t="s">
        <v>1686</v>
      </c>
      <c r="B245" s="256" t="s">
        <v>1471</v>
      </c>
      <c r="C245" s="256" t="s">
        <v>1472</v>
      </c>
      <c r="D245" s="256" t="s">
        <v>1687</v>
      </c>
      <c r="E245" s="256">
        <v>4365826</v>
      </c>
      <c r="F245" s="256">
        <v>4301401</v>
      </c>
      <c r="G245" s="256" t="s">
        <v>1130</v>
      </c>
      <c r="H245" s="256" t="s">
        <v>288</v>
      </c>
      <c r="I245" s="256" t="s">
        <v>1862</v>
      </c>
      <c r="J245" s="256" t="s">
        <v>1519</v>
      </c>
      <c r="K245" s="259">
        <v>46135</v>
      </c>
      <c r="L245" s="256"/>
      <c r="M245" s="259">
        <v>46139.229166666664</v>
      </c>
      <c r="N245" s="256"/>
      <c r="O245" s="256" t="s">
        <v>2003</v>
      </c>
      <c r="P245" s="259">
        <v>46151.229166666664</v>
      </c>
      <c r="Q245" s="256">
        <v>5</v>
      </c>
      <c r="R245" s="256"/>
      <c r="S245" s="256">
        <v>2</v>
      </c>
      <c r="T245" s="256"/>
      <c r="U245" s="256" t="s">
        <v>18</v>
      </c>
      <c r="V245" s="256" t="s">
        <v>18</v>
      </c>
      <c r="W245" s="256" t="s">
        <v>1684</v>
      </c>
      <c r="X245" s="259">
        <v>46020.655555555553</v>
      </c>
      <c r="Y245" s="256" t="s">
        <v>2004</v>
      </c>
      <c r="Z245" s="256" t="s">
        <v>1864</v>
      </c>
      <c r="AA245" s="256" t="s">
        <v>1688</v>
      </c>
      <c r="AB245" s="256"/>
      <c r="AC245" s="256"/>
      <c r="AD245" s="256" t="s">
        <v>1682</v>
      </c>
      <c r="AE245" s="256" t="s">
        <v>408</v>
      </c>
    </row>
    <row r="246" spans="1:31">
      <c r="A246" s="256" t="s">
        <v>256</v>
      </c>
      <c r="B246" s="256" t="s">
        <v>1511</v>
      </c>
      <c r="C246" s="256" t="s">
        <v>280</v>
      </c>
      <c r="D246" s="256" t="s">
        <v>255</v>
      </c>
      <c r="E246" s="256">
        <v>4313249</v>
      </c>
      <c r="F246" s="256">
        <v>4313255</v>
      </c>
      <c r="G246" s="256" t="s">
        <v>818</v>
      </c>
      <c r="H246" s="256" t="s">
        <v>242</v>
      </c>
      <c r="I246" s="256" t="s">
        <v>271</v>
      </c>
      <c r="J246" s="256" t="s">
        <v>1488</v>
      </c>
      <c r="K246" s="259">
        <v>46134.729166666664</v>
      </c>
      <c r="L246" s="256"/>
      <c r="M246" s="256"/>
      <c r="N246" s="256"/>
      <c r="O246" s="256" t="s">
        <v>2005</v>
      </c>
      <c r="P246" s="259">
        <v>46151.229166666664</v>
      </c>
      <c r="Q246" s="256">
        <v>5</v>
      </c>
      <c r="R246" s="256"/>
      <c r="S246" s="256">
        <v>2</v>
      </c>
      <c r="T246" s="256"/>
      <c r="U246" s="256"/>
      <c r="V246" s="256"/>
      <c r="W246" s="256" t="s">
        <v>1515</v>
      </c>
      <c r="X246" s="259">
        <v>46028.469444444447</v>
      </c>
      <c r="Y246" s="256" t="s">
        <v>1560</v>
      </c>
      <c r="Z246" s="256" t="s">
        <v>2006</v>
      </c>
      <c r="AA246" s="256" t="s">
        <v>2007</v>
      </c>
      <c r="AB246" s="256"/>
      <c r="AC246" s="256"/>
      <c r="AD246" s="256" t="s">
        <v>2008</v>
      </c>
      <c r="AE246" s="256" t="s">
        <v>252</v>
      </c>
    </row>
    <row r="247" spans="1:31">
      <c r="A247" s="256" t="s">
        <v>272</v>
      </c>
      <c r="B247" s="256" t="s">
        <v>1511</v>
      </c>
      <c r="C247" s="256" t="s">
        <v>1511</v>
      </c>
      <c r="D247" s="256" t="s">
        <v>244</v>
      </c>
      <c r="E247" s="256">
        <v>4330994</v>
      </c>
      <c r="F247" s="256">
        <v>4318913</v>
      </c>
      <c r="G247" s="256" t="s">
        <v>273</v>
      </c>
      <c r="H247" s="256" t="s">
        <v>242</v>
      </c>
      <c r="I247" s="256" t="s">
        <v>251</v>
      </c>
      <c r="J247" s="256" t="s">
        <v>1488</v>
      </c>
      <c r="K247" s="259">
        <v>46133.229166666664</v>
      </c>
      <c r="L247" s="256"/>
      <c r="M247" s="259">
        <v>46137.0625</v>
      </c>
      <c r="N247" s="256"/>
      <c r="O247" s="256" t="s">
        <v>2009</v>
      </c>
      <c r="P247" s="259">
        <v>46151.229166666664</v>
      </c>
      <c r="Q247" s="256">
        <v>5</v>
      </c>
      <c r="R247" s="256"/>
      <c r="S247" s="256">
        <v>2</v>
      </c>
      <c r="T247" s="256"/>
      <c r="U247" s="256"/>
      <c r="V247" s="256"/>
      <c r="W247" s="256" t="s">
        <v>1786</v>
      </c>
      <c r="X247" s="259">
        <v>46033.811111111114</v>
      </c>
      <c r="Y247" s="256"/>
      <c r="Z247" s="256" t="s">
        <v>2010</v>
      </c>
      <c r="AA247" s="256" t="s">
        <v>1517</v>
      </c>
      <c r="AB247" s="256"/>
      <c r="AC247" s="256"/>
      <c r="AD247" s="256" t="s">
        <v>2011</v>
      </c>
      <c r="AE247" s="256" t="s">
        <v>252</v>
      </c>
    </row>
    <row r="248" spans="1:31">
      <c r="A248" s="256" t="s">
        <v>272</v>
      </c>
      <c r="B248" s="256" t="s">
        <v>1511</v>
      </c>
      <c r="C248" s="256" t="s">
        <v>1511</v>
      </c>
      <c r="D248" s="256" t="s">
        <v>244</v>
      </c>
      <c r="E248" s="256">
        <v>4330994</v>
      </c>
      <c r="F248" s="256">
        <v>4318914</v>
      </c>
      <c r="G248" s="256" t="s">
        <v>820</v>
      </c>
      <c r="H248" s="256" t="s">
        <v>242</v>
      </c>
      <c r="I248" s="256" t="s">
        <v>251</v>
      </c>
      <c r="J248" s="256" t="s">
        <v>1488</v>
      </c>
      <c r="K248" s="259">
        <v>46132.229166666664</v>
      </c>
      <c r="L248" s="256"/>
      <c r="M248" s="259">
        <v>46136.0625</v>
      </c>
      <c r="N248" s="256"/>
      <c r="O248" s="256" t="s">
        <v>2012</v>
      </c>
      <c r="P248" s="259">
        <v>46151.229166666664</v>
      </c>
      <c r="Q248" s="256">
        <v>5</v>
      </c>
      <c r="R248" s="256"/>
      <c r="S248" s="256">
        <v>2</v>
      </c>
      <c r="T248" s="256"/>
      <c r="U248" s="256"/>
      <c r="V248" s="256"/>
      <c r="W248" s="256" t="s">
        <v>1786</v>
      </c>
      <c r="X248" s="259">
        <v>46033.81527777778</v>
      </c>
      <c r="Y248" s="256"/>
      <c r="Z248" s="256" t="s">
        <v>2010</v>
      </c>
      <c r="AA248" s="256" t="s">
        <v>1517</v>
      </c>
      <c r="AB248" s="256"/>
      <c r="AC248" s="256"/>
      <c r="AD248" s="256" t="s">
        <v>2011</v>
      </c>
      <c r="AE248" s="256" t="s">
        <v>252</v>
      </c>
    </row>
    <row r="249" spans="1:31">
      <c r="A249" s="256" t="s">
        <v>272</v>
      </c>
      <c r="B249" s="256" t="s">
        <v>1511</v>
      </c>
      <c r="C249" s="256" t="s">
        <v>1511</v>
      </c>
      <c r="D249" s="256" t="s">
        <v>244</v>
      </c>
      <c r="E249" s="256">
        <v>4330994</v>
      </c>
      <c r="F249" s="256">
        <v>4318915</v>
      </c>
      <c r="G249" s="256" t="s">
        <v>823</v>
      </c>
      <c r="H249" s="256" t="s">
        <v>242</v>
      </c>
      <c r="I249" s="256" t="s">
        <v>251</v>
      </c>
      <c r="J249" s="256" t="s">
        <v>1488</v>
      </c>
      <c r="K249" s="259">
        <v>46132.229166666664</v>
      </c>
      <c r="L249" s="256"/>
      <c r="M249" s="259">
        <v>46136.0625</v>
      </c>
      <c r="N249" s="256"/>
      <c r="O249" s="256" t="s">
        <v>2012</v>
      </c>
      <c r="P249" s="259">
        <v>46151.229166666664</v>
      </c>
      <c r="Q249" s="256">
        <v>5</v>
      </c>
      <c r="R249" s="256"/>
      <c r="S249" s="256">
        <v>2</v>
      </c>
      <c r="T249" s="256"/>
      <c r="U249" s="256"/>
      <c r="V249" s="256"/>
      <c r="W249" s="256" t="s">
        <v>1786</v>
      </c>
      <c r="X249" s="259">
        <v>46033.81527777778</v>
      </c>
      <c r="Y249" s="256"/>
      <c r="Z249" s="256" t="s">
        <v>2010</v>
      </c>
      <c r="AA249" s="256" t="s">
        <v>1517</v>
      </c>
      <c r="AB249" s="256"/>
      <c r="AC249" s="256"/>
      <c r="AD249" s="256" t="s">
        <v>2011</v>
      </c>
      <c r="AE249" s="256" t="s">
        <v>252</v>
      </c>
    </row>
    <row r="250" spans="1:31">
      <c r="A250" s="256" t="s">
        <v>272</v>
      </c>
      <c r="B250" s="256" t="s">
        <v>1511</v>
      </c>
      <c r="C250" s="256" t="s">
        <v>1511</v>
      </c>
      <c r="D250" s="256" t="s">
        <v>244</v>
      </c>
      <c r="E250" s="256">
        <v>4330994</v>
      </c>
      <c r="F250" s="256">
        <v>4318916</v>
      </c>
      <c r="G250" s="256" t="s">
        <v>824</v>
      </c>
      <c r="H250" s="256" t="s">
        <v>242</v>
      </c>
      <c r="I250" s="256" t="s">
        <v>251</v>
      </c>
      <c r="J250" s="256" t="s">
        <v>1488</v>
      </c>
      <c r="K250" s="259">
        <v>46132.229166666664</v>
      </c>
      <c r="L250" s="256"/>
      <c r="M250" s="259">
        <v>46136.0625</v>
      </c>
      <c r="N250" s="256"/>
      <c r="O250" s="256" t="s">
        <v>2012</v>
      </c>
      <c r="P250" s="259">
        <v>46151.229166666664</v>
      </c>
      <c r="Q250" s="256">
        <v>5</v>
      </c>
      <c r="R250" s="256"/>
      <c r="S250" s="256">
        <v>2</v>
      </c>
      <c r="T250" s="256"/>
      <c r="U250" s="256"/>
      <c r="V250" s="256"/>
      <c r="W250" s="256" t="s">
        <v>1786</v>
      </c>
      <c r="X250" s="259">
        <v>46033.815972222219</v>
      </c>
      <c r="Y250" s="256"/>
      <c r="Z250" s="256" t="s">
        <v>2010</v>
      </c>
      <c r="AA250" s="256" t="s">
        <v>1517</v>
      </c>
      <c r="AB250" s="256"/>
      <c r="AC250" s="256"/>
      <c r="AD250" s="256" t="s">
        <v>2011</v>
      </c>
      <c r="AE250" s="256" t="s">
        <v>252</v>
      </c>
    </row>
    <row r="251" spans="1:31">
      <c r="A251" s="256" t="s">
        <v>2013</v>
      </c>
      <c r="B251" s="256" t="s">
        <v>1511</v>
      </c>
      <c r="C251" s="256" t="s">
        <v>280</v>
      </c>
      <c r="D251" s="256" t="s">
        <v>1695</v>
      </c>
      <c r="E251" s="256">
        <v>4327715</v>
      </c>
      <c r="F251" s="256">
        <v>4327802</v>
      </c>
      <c r="G251" s="256" t="s">
        <v>825</v>
      </c>
      <c r="H251" s="256" t="s">
        <v>305</v>
      </c>
      <c r="I251" s="256" t="s">
        <v>2014</v>
      </c>
      <c r="J251" s="256" t="s">
        <v>1488</v>
      </c>
      <c r="K251" s="259">
        <v>46121.020833333336</v>
      </c>
      <c r="L251" s="259">
        <v>46121.0625</v>
      </c>
      <c r="M251" s="256"/>
      <c r="N251" s="256"/>
      <c r="O251" s="256" t="s">
        <v>2015</v>
      </c>
      <c r="P251" s="259">
        <v>46151.229166666664</v>
      </c>
      <c r="Q251" s="256">
        <v>5</v>
      </c>
      <c r="R251" s="256"/>
      <c r="S251" s="256">
        <v>2</v>
      </c>
      <c r="T251" s="256"/>
      <c r="U251" s="256" t="s">
        <v>1</v>
      </c>
      <c r="V251" s="256" t="s">
        <v>1</v>
      </c>
      <c r="W251" s="256" t="s">
        <v>1515</v>
      </c>
      <c r="X251" s="259">
        <v>46038.503472222219</v>
      </c>
      <c r="Y251" s="256" t="s">
        <v>1560</v>
      </c>
      <c r="Z251" s="256" t="s">
        <v>2016</v>
      </c>
      <c r="AA251" s="256" t="s">
        <v>1517</v>
      </c>
      <c r="AB251" s="256"/>
      <c r="AC251" s="256"/>
      <c r="AD251" s="256" t="s">
        <v>2017</v>
      </c>
      <c r="AE251" s="256" t="s">
        <v>252</v>
      </c>
    </row>
    <row r="252" spans="1:31">
      <c r="A252" s="256" t="s">
        <v>2013</v>
      </c>
      <c r="B252" s="256" t="s">
        <v>1511</v>
      </c>
      <c r="C252" s="256" t="s">
        <v>280</v>
      </c>
      <c r="D252" s="256" t="s">
        <v>1695</v>
      </c>
      <c r="E252" s="256">
        <v>4327715</v>
      </c>
      <c r="F252" s="256">
        <v>4329271</v>
      </c>
      <c r="G252" s="256" t="s">
        <v>833</v>
      </c>
      <c r="H252" s="256" t="s">
        <v>305</v>
      </c>
      <c r="I252" s="256" t="s">
        <v>2014</v>
      </c>
      <c r="J252" s="256" t="s">
        <v>1488</v>
      </c>
      <c r="K252" s="259">
        <v>46121.020833333336</v>
      </c>
      <c r="L252" s="259">
        <v>46121.0625</v>
      </c>
      <c r="M252" s="256"/>
      <c r="N252" s="256"/>
      <c r="O252" s="256" t="s">
        <v>1697</v>
      </c>
      <c r="P252" s="259">
        <v>46151.229166666664</v>
      </c>
      <c r="Q252" s="256">
        <v>5</v>
      </c>
      <c r="R252" s="256"/>
      <c r="S252" s="256">
        <v>2</v>
      </c>
      <c r="T252" s="256"/>
      <c r="U252" s="256" t="s">
        <v>1</v>
      </c>
      <c r="V252" s="256" t="s">
        <v>1</v>
      </c>
      <c r="W252" s="256" t="s">
        <v>1515</v>
      </c>
      <c r="X252" s="259">
        <v>46041.48541666667</v>
      </c>
      <c r="Y252" s="256" t="s">
        <v>1560</v>
      </c>
      <c r="Z252" s="256" t="s">
        <v>2016</v>
      </c>
      <c r="AA252" s="256" t="s">
        <v>1517</v>
      </c>
      <c r="AB252" s="256"/>
      <c r="AC252" s="256"/>
      <c r="AD252" s="256" t="s">
        <v>2018</v>
      </c>
      <c r="AE252" s="256" t="s">
        <v>252</v>
      </c>
    </row>
    <row r="253" spans="1:31">
      <c r="A253" s="256" t="s">
        <v>2013</v>
      </c>
      <c r="B253" s="256" t="s">
        <v>1511</v>
      </c>
      <c r="C253" s="256" t="s">
        <v>280</v>
      </c>
      <c r="D253" s="256" t="s">
        <v>1695</v>
      </c>
      <c r="E253" s="256">
        <v>4327715</v>
      </c>
      <c r="F253" s="256">
        <v>4329273</v>
      </c>
      <c r="G253" s="256" t="s">
        <v>835</v>
      </c>
      <c r="H253" s="256" t="s">
        <v>305</v>
      </c>
      <c r="I253" s="256" t="s">
        <v>2014</v>
      </c>
      <c r="J253" s="256" t="s">
        <v>1488</v>
      </c>
      <c r="K253" s="259">
        <v>46121.020833333336</v>
      </c>
      <c r="L253" s="259">
        <v>46121.0625</v>
      </c>
      <c r="M253" s="256"/>
      <c r="N253" s="256"/>
      <c r="O253" s="256" t="s">
        <v>2019</v>
      </c>
      <c r="P253" s="259">
        <v>46151.229166666664</v>
      </c>
      <c r="Q253" s="256">
        <v>5</v>
      </c>
      <c r="R253" s="256"/>
      <c r="S253" s="256">
        <v>2</v>
      </c>
      <c r="T253" s="256"/>
      <c r="U253" s="256" t="s">
        <v>1</v>
      </c>
      <c r="V253" s="256" t="s">
        <v>1</v>
      </c>
      <c r="W253" s="256" t="s">
        <v>1515</v>
      </c>
      <c r="X253" s="259">
        <v>46041.486111111109</v>
      </c>
      <c r="Y253" s="256" t="s">
        <v>1560</v>
      </c>
      <c r="Z253" s="256" t="s">
        <v>2016</v>
      </c>
      <c r="AA253" s="256" t="s">
        <v>1517</v>
      </c>
      <c r="AB253" s="256"/>
      <c r="AC253" s="256"/>
      <c r="AD253" s="256" t="s">
        <v>2020</v>
      </c>
      <c r="AE253" s="256" t="s">
        <v>252</v>
      </c>
    </row>
    <row r="254" spans="1:31">
      <c r="A254" s="256" t="s">
        <v>2013</v>
      </c>
      <c r="B254" s="256" t="s">
        <v>1511</v>
      </c>
      <c r="C254" s="256" t="s">
        <v>280</v>
      </c>
      <c r="D254" s="256" t="s">
        <v>1695</v>
      </c>
      <c r="E254" s="256">
        <v>4327715</v>
      </c>
      <c r="F254" s="256">
        <v>4329279</v>
      </c>
      <c r="G254" s="256" t="s">
        <v>836</v>
      </c>
      <c r="H254" s="256" t="s">
        <v>305</v>
      </c>
      <c r="I254" s="256" t="s">
        <v>2014</v>
      </c>
      <c r="J254" s="256" t="s">
        <v>1488</v>
      </c>
      <c r="K254" s="259">
        <v>46121.020833333336</v>
      </c>
      <c r="L254" s="259">
        <v>46121.0625</v>
      </c>
      <c r="M254" s="256"/>
      <c r="N254" s="256"/>
      <c r="O254" s="256" t="s">
        <v>1494</v>
      </c>
      <c r="P254" s="259">
        <v>46151.229166666664</v>
      </c>
      <c r="Q254" s="256">
        <v>5</v>
      </c>
      <c r="R254" s="256"/>
      <c r="S254" s="256">
        <v>2</v>
      </c>
      <c r="T254" s="256"/>
      <c r="U254" s="256" t="s">
        <v>1</v>
      </c>
      <c r="V254" s="256" t="s">
        <v>1</v>
      </c>
      <c r="W254" s="256" t="s">
        <v>1515</v>
      </c>
      <c r="X254" s="259">
        <v>46041.486111111109</v>
      </c>
      <c r="Y254" s="256" t="s">
        <v>1560</v>
      </c>
      <c r="Z254" s="256" t="s">
        <v>2016</v>
      </c>
      <c r="AA254" s="256" t="s">
        <v>1517</v>
      </c>
      <c r="AB254" s="256"/>
      <c r="AC254" s="256"/>
      <c r="AD254" s="256" t="s">
        <v>2021</v>
      </c>
      <c r="AE254" s="256" t="s">
        <v>252</v>
      </c>
    </row>
    <row r="255" spans="1:31">
      <c r="A255" s="256" t="s">
        <v>264</v>
      </c>
      <c r="B255" s="256" t="s">
        <v>1511</v>
      </c>
      <c r="C255" s="256" t="s">
        <v>280</v>
      </c>
      <c r="D255" s="256" t="s">
        <v>263</v>
      </c>
      <c r="E255" s="256">
        <v>4232673</v>
      </c>
      <c r="F255" s="256">
        <v>4330382</v>
      </c>
      <c r="G255" s="256" t="s">
        <v>837</v>
      </c>
      <c r="H255" s="256" t="s">
        <v>305</v>
      </c>
      <c r="I255" s="256" t="s">
        <v>268</v>
      </c>
      <c r="J255" s="256" t="s">
        <v>1488</v>
      </c>
      <c r="K255" s="259">
        <v>46127.229166666664</v>
      </c>
      <c r="L255" s="259">
        <v>46126.948611111111</v>
      </c>
      <c r="M255" s="259">
        <v>46133.0625</v>
      </c>
      <c r="N255" s="256"/>
      <c r="O255" s="256" t="s">
        <v>2022</v>
      </c>
      <c r="P255" s="259">
        <v>46151.229166666664</v>
      </c>
      <c r="Q255" s="256">
        <v>5</v>
      </c>
      <c r="R255" s="256"/>
      <c r="S255" s="256">
        <v>2</v>
      </c>
      <c r="T255" s="256"/>
      <c r="U255" s="256" t="s">
        <v>1</v>
      </c>
      <c r="V255" s="256" t="s">
        <v>1</v>
      </c>
      <c r="W255" s="256" t="s">
        <v>2023</v>
      </c>
      <c r="X255" s="259">
        <v>46041.768750000003</v>
      </c>
      <c r="Y255" s="256"/>
      <c r="Z255" s="256" t="s">
        <v>2024</v>
      </c>
      <c r="AA255" s="256" t="s">
        <v>2025</v>
      </c>
      <c r="AB255" s="256"/>
      <c r="AC255" s="256"/>
      <c r="AD255" s="256" t="s">
        <v>2026</v>
      </c>
      <c r="AE255" s="256" t="s">
        <v>252</v>
      </c>
    </row>
    <row r="256" spans="1:31">
      <c r="A256" s="256" t="s">
        <v>2013</v>
      </c>
      <c r="B256" s="256" t="s">
        <v>1511</v>
      </c>
      <c r="C256" s="256" t="s">
        <v>280</v>
      </c>
      <c r="D256" s="256" t="s">
        <v>1695</v>
      </c>
      <c r="E256" s="256">
        <v>4327715</v>
      </c>
      <c r="F256" s="256">
        <v>4331550</v>
      </c>
      <c r="G256" s="256" t="s">
        <v>838</v>
      </c>
      <c r="H256" s="256" t="s">
        <v>305</v>
      </c>
      <c r="I256" s="256" t="s">
        <v>2014</v>
      </c>
      <c r="J256" s="256" t="s">
        <v>1488</v>
      </c>
      <c r="K256" s="259">
        <v>46121.020833333336</v>
      </c>
      <c r="L256" s="259">
        <v>46121.0625</v>
      </c>
      <c r="M256" s="256"/>
      <c r="N256" s="256"/>
      <c r="O256" s="256" t="s">
        <v>1697</v>
      </c>
      <c r="P256" s="259">
        <v>46151.229166666664</v>
      </c>
      <c r="Q256" s="256">
        <v>5</v>
      </c>
      <c r="R256" s="256"/>
      <c r="S256" s="256">
        <v>2</v>
      </c>
      <c r="T256" s="256"/>
      <c r="U256" s="256" t="s">
        <v>1</v>
      </c>
      <c r="V256" s="256" t="s">
        <v>1</v>
      </c>
      <c r="W256" s="256" t="s">
        <v>1515</v>
      </c>
      <c r="X256" s="259">
        <v>46042.534722222219</v>
      </c>
      <c r="Y256" s="256" t="s">
        <v>1560</v>
      </c>
      <c r="Z256" s="256" t="s">
        <v>2016</v>
      </c>
      <c r="AA256" s="256" t="s">
        <v>1517</v>
      </c>
      <c r="AB256" s="256"/>
      <c r="AC256" s="256"/>
      <c r="AD256" s="256" t="s">
        <v>1698</v>
      </c>
      <c r="AE256" s="256" t="s">
        <v>252</v>
      </c>
    </row>
    <row r="257" spans="1:31">
      <c r="A257" s="256" t="s">
        <v>264</v>
      </c>
      <c r="B257" s="256" t="s">
        <v>1511</v>
      </c>
      <c r="C257" s="256" t="s">
        <v>280</v>
      </c>
      <c r="D257" s="256" t="s">
        <v>263</v>
      </c>
      <c r="E257" s="256">
        <v>4232673</v>
      </c>
      <c r="F257" s="256">
        <v>4227424</v>
      </c>
      <c r="G257" s="256" t="s">
        <v>815</v>
      </c>
      <c r="H257" s="256" t="s">
        <v>242</v>
      </c>
      <c r="I257" s="256" t="s">
        <v>268</v>
      </c>
      <c r="J257" s="256" t="s">
        <v>1488</v>
      </c>
      <c r="K257" s="259">
        <v>46132.229166666664</v>
      </c>
      <c r="L257" s="256"/>
      <c r="M257" s="259">
        <v>46136.0625</v>
      </c>
      <c r="N257" s="256"/>
      <c r="O257" s="256" t="s">
        <v>2027</v>
      </c>
      <c r="P257" s="259">
        <v>46151.229166666664</v>
      </c>
      <c r="Q257" s="256">
        <v>5</v>
      </c>
      <c r="R257" s="256"/>
      <c r="S257" s="256">
        <v>2</v>
      </c>
      <c r="T257" s="256"/>
      <c r="U257" s="256" t="s">
        <v>1</v>
      </c>
      <c r="V257" s="256" t="s">
        <v>1</v>
      </c>
      <c r="W257" s="256" t="s">
        <v>2023</v>
      </c>
      <c r="X257" s="259">
        <v>45964.645833333336</v>
      </c>
      <c r="Y257" s="256"/>
      <c r="Z257" s="256" t="s">
        <v>2024</v>
      </c>
      <c r="AA257" s="256" t="s">
        <v>2025</v>
      </c>
      <c r="AB257" s="256"/>
      <c r="AC257" s="256"/>
      <c r="AD257" s="256" t="s">
        <v>2026</v>
      </c>
      <c r="AE257" s="256" t="s">
        <v>252</v>
      </c>
    </row>
    <row r="258" spans="1:31">
      <c r="A258" s="256" t="s">
        <v>272</v>
      </c>
      <c r="B258" s="256" t="s">
        <v>1511</v>
      </c>
      <c r="C258" s="256" t="s">
        <v>1511</v>
      </c>
      <c r="D258" s="256" t="s">
        <v>244</v>
      </c>
      <c r="E258" s="256">
        <v>4330994</v>
      </c>
      <c r="F258" s="256">
        <v>4165210</v>
      </c>
      <c r="G258" s="256" t="s">
        <v>279</v>
      </c>
      <c r="H258" s="256" t="s">
        <v>242</v>
      </c>
      <c r="I258" s="256" t="s">
        <v>251</v>
      </c>
      <c r="J258" s="256" t="s">
        <v>1488</v>
      </c>
      <c r="K258" s="259">
        <v>46133.229166666664</v>
      </c>
      <c r="L258" s="256"/>
      <c r="M258" s="259">
        <v>46137.0625</v>
      </c>
      <c r="N258" s="256"/>
      <c r="O258" s="256" t="s">
        <v>2009</v>
      </c>
      <c r="P258" s="259">
        <v>46151.229166666664</v>
      </c>
      <c r="Q258" s="256">
        <v>5</v>
      </c>
      <c r="R258" s="256"/>
      <c r="S258" s="256">
        <v>2</v>
      </c>
      <c r="T258" s="256"/>
      <c r="U258" s="256"/>
      <c r="V258" s="256"/>
      <c r="W258" s="256" t="s">
        <v>2028</v>
      </c>
      <c r="X258" s="259">
        <v>45938.52847222222</v>
      </c>
      <c r="Y258" s="256"/>
      <c r="Z258" s="256" t="s">
        <v>2010</v>
      </c>
      <c r="AA258" s="256" t="s">
        <v>1517</v>
      </c>
      <c r="AB258" s="256"/>
      <c r="AC258" s="256"/>
      <c r="AD258" s="256" t="s">
        <v>2011</v>
      </c>
      <c r="AE258" s="256" t="s">
        <v>252</v>
      </c>
    </row>
    <row r="259" spans="1:31">
      <c r="A259" s="256" t="s">
        <v>272</v>
      </c>
      <c r="B259" s="256" t="s">
        <v>1511</v>
      </c>
      <c r="C259" s="256" t="s">
        <v>1511</v>
      </c>
      <c r="D259" s="256" t="s">
        <v>244</v>
      </c>
      <c r="E259" s="256">
        <v>4330994</v>
      </c>
      <c r="F259" s="256">
        <v>4165212</v>
      </c>
      <c r="G259" s="256" t="s">
        <v>278</v>
      </c>
      <c r="H259" s="256" t="s">
        <v>242</v>
      </c>
      <c r="I259" s="256" t="s">
        <v>251</v>
      </c>
      <c r="J259" s="256" t="s">
        <v>1488</v>
      </c>
      <c r="K259" s="259">
        <v>46133.229166666664</v>
      </c>
      <c r="L259" s="256"/>
      <c r="M259" s="259">
        <v>46137.0625</v>
      </c>
      <c r="N259" s="256"/>
      <c r="O259" s="256" t="s">
        <v>2029</v>
      </c>
      <c r="P259" s="259">
        <v>46151.229166666664</v>
      </c>
      <c r="Q259" s="256">
        <v>5</v>
      </c>
      <c r="R259" s="256"/>
      <c r="S259" s="256">
        <v>2</v>
      </c>
      <c r="T259" s="256"/>
      <c r="U259" s="256"/>
      <c r="V259" s="256"/>
      <c r="W259" s="256" t="s">
        <v>2028</v>
      </c>
      <c r="X259" s="259">
        <v>45938.529861111114</v>
      </c>
      <c r="Y259" s="256"/>
      <c r="Z259" s="256" t="s">
        <v>2010</v>
      </c>
      <c r="AA259" s="256" t="s">
        <v>1517</v>
      </c>
      <c r="AB259" s="256"/>
      <c r="AC259" s="256"/>
      <c r="AD259" s="256" t="s">
        <v>2011</v>
      </c>
      <c r="AE259" s="256" t="s">
        <v>252</v>
      </c>
    </row>
    <row r="260" spans="1:31">
      <c r="A260" s="256" t="s">
        <v>272</v>
      </c>
      <c r="B260" s="256" t="s">
        <v>1511</v>
      </c>
      <c r="C260" s="256" t="s">
        <v>1511</v>
      </c>
      <c r="D260" s="256" t="s">
        <v>244</v>
      </c>
      <c r="E260" s="256">
        <v>4330994</v>
      </c>
      <c r="F260" s="256">
        <v>4165224</v>
      </c>
      <c r="G260" s="256" t="s">
        <v>277</v>
      </c>
      <c r="H260" s="256" t="s">
        <v>242</v>
      </c>
      <c r="I260" s="256" t="s">
        <v>251</v>
      </c>
      <c r="J260" s="256" t="s">
        <v>1488</v>
      </c>
      <c r="K260" s="259">
        <v>46133.229166666664</v>
      </c>
      <c r="L260" s="256"/>
      <c r="M260" s="259">
        <v>46137.0625</v>
      </c>
      <c r="N260" s="256"/>
      <c r="O260" s="256" t="s">
        <v>2029</v>
      </c>
      <c r="P260" s="259">
        <v>46151.229166666664</v>
      </c>
      <c r="Q260" s="256">
        <v>5</v>
      </c>
      <c r="R260" s="256"/>
      <c r="S260" s="256">
        <v>2</v>
      </c>
      <c r="T260" s="256"/>
      <c r="U260" s="256"/>
      <c r="V260" s="256"/>
      <c r="W260" s="256" t="s">
        <v>2028</v>
      </c>
      <c r="X260" s="259">
        <v>45938.53402777778</v>
      </c>
      <c r="Y260" s="256"/>
      <c r="Z260" s="256" t="s">
        <v>2010</v>
      </c>
      <c r="AA260" s="256" t="s">
        <v>1517</v>
      </c>
      <c r="AB260" s="256"/>
      <c r="AC260" s="256"/>
      <c r="AD260" s="256" t="s">
        <v>2011</v>
      </c>
      <c r="AE260" s="256" t="s">
        <v>252</v>
      </c>
    </row>
    <row r="261" spans="1:31">
      <c r="A261" s="256" t="s">
        <v>272</v>
      </c>
      <c r="B261" s="256" t="s">
        <v>1511</v>
      </c>
      <c r="C261" s="256" t="s">
        <v>1511</v>
      </c>
      <c r="D261" s="256" t="s">
        <v>244</v>
      </c>
      <c r="E261" s="256">
        <v>4330994</v>
      </c>
      <c r="F261" s="256">
        <v>4165232</v>
      </c>
      <c r="G261" s="256" t="s">
        <v>276</v>
      </c>
      <c r="H261" s="256" t="s">
        <v>242</v>
      </c>
      <c r="I261" s="256" t="s">
        <v>251</v>
      </c>
      <c r="J261" s="256" t="s">
        <v>1488</v>
      </c>
      <c r="K261" s="259">
        <v>46133.229166666664</v>
      </c>
      <c r="L261" s="256"/>
      <c r="M261" s="259">
        <v>46137.0625</v>
      </c>
      <c r="N261" s="256"/>
      <c r="O261" s="256" t="s">
        <v>2030</v>
      </c>
      <c r="P261" s="259">
        <v>46151.229166666664</v>
      </c>
      <c r="Q261" s="256">
        <v>5</v>
      </c>
      <c r="R261" s="256"/>
      <c r="S261" s="256">
        <v>2</v>
      </c>
      <c r="T261" s="256"/>
      <c r="U261" s="256"/>
      <c r="V261" s="256"/>
      <c r="W261" s="256" t="s">
        <v>2028</v>
      </c>
      <c r="X261" s="259">
        <v>45938.538194444445</v>
      </c>
      <c r="Y261" s="256"/>
      <c r="Z261" s="256" t="s">
        <v>2010</v>
      </c>
      <c r="AA261" s="256" t="s">
        <v>1517</v>
      </c>
      <c r="AB261" s="256"/>
      <c r="AC261" s="256"/>
      <c r="AD261" s="256" t="s">
        <v>2011</v>
      </c>
      <c r="AE261" s="256" t="s">
        <v>252</v>
      </c>
    </row>
    <row r="262" spans="1:31">
      <c r="A262" s="256" t="s">
        <v>272</v>
      </c>
      <c r="B262" s="256" t="s">
        <v>1511</v>
      </c>
      <c r="C262" s="256" t="s">
        <v>1511</v>
      </c>
      <c r="D262" s="256" t="s">
        <v>244</v>
      </c>
      <c r="E262" s="256">
        <v>4330994</v>
      </c>
      <c r="F262" s="256">
        <v>4165234</v>
      </c>
      <c r="G262" s="256" t="s">
        <v>275</v>
      </c>
      <c r="H262" s="256" t="s">
        <v>242</v>
      </c>
      <c r="I262" s="256" t="s">
        <v>251</v>
      </c>
      <c r="J262" s="256" t="s">
        <v>1488</v>
      </c>
      <c r="K262" s="259">
        <v>46133.229166666664</v>
      </c>
      <c r="L262" s="256"/>
      <c r="M262" s="259">
        <v>46137.0625</v>
      </c>
      <c r="N262" s="256"/>
      <c r="O262" s="256" t="s">
        <v>2031</v>
      </c>
      <c r="P262" s="259">
        <v>46151.229166666664</v>
      </c>
      <c r="Q262" s="256">
        <v>5</v>
      </c>
      <c r="R262" s="256"/>
      <c r="S262" s="256">
        <v>2</v>
      </c>
      <c r="T262" s="256"/>
      <c r="U262" s="256"/>
      <c r="V262" s="256"/>
      <c r="W262" s="256" t="s">
        <v>2028</v>
      </c>
      <c r="X262" s="259">
        <v>45938.538888888892</v>
      </c>
      <c r="Y262" s="256"/>
      <c r="Z262" s="256" t="s">
        <v>2010</v>
      </c>
      <c r="AA262" s="256" t="s">
        <v>1517</v>
      </c>
      <c r="AB262" s="256"/>
      <c r="AC262" s="256"/>
      <c r="AD262" s="256" t="s">
        <v>2011</v>
      </c>
      <c r="AE262" s="256" t="s">
        <v>252</v>
      </c>
    </row>
    <row r="263" spans="1:31">
      <c r="A263" s="256" t="s">
        <v>1714</v>
      </c>
      <c r="B263" s="256" t="s">
        <v>1511</v>
      </c>
      <c r="C263" s="256" t="s">
        <v>280</v>
      </c>
      <c r="D263" s="256" t="s">
        <v>1715</v>
      </c>
      <c r="E263" s="256">
        <v>4386528</v>
      </c>
      <c r="F263" s="256">
        <v>4359135</v>
      </c>
      <c r="G263" s="256" t="s">
        <v>2032</v>
      </c>
      <c r="H263" s="256" t="s">
        <v>305</v>
      </c>
      <c r="I263" s="256" t="s">
        <v>268</v>
      </c>
      <c r="J263" s="256" t="s">
        <v>1488</v>
      </c>
      <c r="K263" s="259">
        <v>46129.229166666664</v>
      </c>
      <c r="L263" s="259">
        <v>46128.788194444445</v>
      </c>
      <c r="M263" s="259">
        <v>46132.979166666664</v>
      </c>
      <c r="N263" s="256"/>
      <c r="O263" s="256" t="s">
        <v>2033</v>
      </c>
      <c r="P263" s="259">
        <v>46151.229166666664</v>
      </c>
      <c r="Q263" s="256">
        <v>8</v>
      </c>
      <c r="R263" s="256"/>
      <c r="S263" s="256">
        <v>2</v>
      </c>
      <c r="T263" s="256"/>
      <c r="U263" s="256" t="s">
        <v>1</v>
      </c>
      <c r="V263" s="256" t="s">
        <v>1</v>
      </c>
      <c r="W263" s="256" t="s">
        <v>1652</v>
      </c>
      <c r="X263" s="259">
        <v>46063.455555555556</v>
      </c>
      <c r="Y263" s="256" t="s">
        <v>1716</v>
      </c>
      <c r="Z263" s="256" t="s">
        <v>2024</v>
      </c>
      <c r="AA263" s="256" t="s">
        <v>1654</v>
      </c>
      <c r="AB263" s="256"/>
      <c r="AC263" s="256"/>
      <c r="AD263" s="256" t="s">
        <v>2034</v>
      </c>
      <c r="AE263" s="256" t="s">
        <v>252</v>
      </c>
    </row>
    <row r="264" spans="1:31">
      <c r="A264" s="256" t="s">
        <v>1714</v>
      </c>
      <c r="B264" s="256" t="s">
        <v>1511</v>
      </c>
      <c r="C264" s="256" t="s">
        <v>280</v>
      </c>
      <c r="D264" s="256" t="s">
        <v>1715</v>
      </c>
      <c r="E264" s="256">
        <v>4386528</v>
      </c>
      <c r="F264" s="256">
        <v>4359177</v>
      </c>
      <c r="G264" s="256" t="s">
        <v>2035</v>
      </c>
      <c r="H264" s="256" t="s">
        <v>305</v>
      </c>
      <c r="I264" s="256" t="s">
        <v>268</v>
      </c>
      <c r="J264" s="256" t="s">
        <v>1488</v>
      </c>
      <c r="K264" s="259">
        <v>46129.229166666664</v>
      </c>
      <c r="L264" s="259">
        <v>46128.788888888892</v>
      </c>
      <c r="M264" s="259">
        <v>46132.979166666664</v>
      </c>
      <c r="N264" s="256"/>
      <c r="O264" s="256" t="s">
        <v>2033</v>
      </c>
      <c r="P264" s="259">
        <v>46151.229166666664</v>
      </c>
      <c r="Q264" s="256">
        <v>8</v>
      </c>
      <c r="R264" s="256"/>
      <c r="S264" s="256">
        <v>2</v>
      </c>
      <c r="T264" s="256"/>
      <c r="U264" s="256" t="s">
        <v>1</v>
      </c>
      <c r="V264" s="256" t="s">
        <v>1</v>
      </c>
      <c r="W264" s="256" t="s">
        <v>1652</v>
      </c>
      <c r="X264" s="259">
        <v>46063.460416666669</v>
      </c>
      <c r="Y264" s="256" t="s">
        <v>1716</v>
      </c>
      <c r="Z264" s="256" t="s">
        <v>2024</v>
      </c>
      <c r="AA264" s="256" t="s">
        <v>1654</v>
      </c>
      <c r="AB264" s="256"/>
      <c r="AC264" s="256"/>
      <c r="AD264" s="256" t="s">
        <v>2034</v>
      </c>
      <c r="AE264" s="256" t="s">
        <v>252</v>
      </c>
    </row>
    <row r="265" spans="1:31">
      <c r="A265" s="256" t="s">
        <v>1714</v>
      </c>
      <c r="B265" s="256" t="s">
        <v>1511</v>
      </c>
      <c r="C265" s="256" t="s">
        <v>280</v>
      </c>
      <c r="D265" s="256" t="s">
        <v>1715</v>
      </c>
      <c r="E265" s="256">
        <v>4386528</v>
      </c>
      <c r="F265" s="256">
        <v>4359621</v>
      </c>
      <c r="G265" s="256" t="s">
        <v>808</v>
      </c>
      <c r="H265" s="256" t="s">
        <v>305</v>
      </c>
      <c r="I265" s="256" t="s">
        <v>268</v>
      </c>
      <c r="J265" s="256" t="s">
        <v>1488</v>
      </c>
      <c r="K265" s="259">
        <v>46128.9375</v>
      </c>
      <c r="L265" s="259">
        <v>46129.617361111108</v>
      </c>
      <c r="M265" s="259">
        <v>46132.979166666664</v>
      </c>
      <c r="N265" s="256"/>
      <c r="O265" s="256" t="s">
        <v>2033</v>
      </c>
      <c r="P265" s="259">
        <v>46151.229166666664</v>
      </c>
      <c r="Q265" s="256">
        <v>8</v>
      </c>
      <c r="R265" s="256"/>
      <c r="S265" s="256">
        <v>2</v>
      </c>
      <c r="T265" s="256"/>
      <c r="U265" s="256" t="s">
        <v>1</v>
      </c>
      <c r="V265" s="256" t="s">
        <v>1</v>
      </c>
      <c r="W265" s="256" t="s">
        <v>1652</v>
      </c>
      <c r="X265" s="259">
        <v>46063.574999999997</v>
      </c>
      <c r="Y265" s="256" t="s">
        <v>1716</v>
      </c>
      <c r="Z265" s="256" t="s">
        <v>2024</v>
      </c>
      <c r="AA265" s="256" t="s">
        <v>1654</v>
      </c>
      <c r="AB265" s="256"/>
      <c r="AC265" s="256"/>
      <c r="AD265" s="256" t="s">
        <v>2034</v>
      </c>
      <c r="AE265" s="256" t="s">
        <v>252</v>
      </c>
    </row>
    <row r="266" spans="1:31">
      <c r="A266" s="256" t="s">
        <v>281</v>
      </c>
      <c r="B266" s="256" t="s">
        <v>1511</v>
      </c>
      <c r="C266" s="256" t="s">
        <v>280</v>
      </c>
      <c r="D266" s="256" t="s">
        <v>281</v>
      </c>
      <c r="E266" s="256">
        <v>4372279</v>
      </c>
      <c r="F266" s="256">
        <v>4358553</v>
      </c>
      <c r="G266" s="256" t="s">
        <v>763</v>
      </c>
      <c r="H266" s="256" t="s">
        <v>783</v>
      </c>
      <c r="I266" s="256" t="s">
        <v>271</v>
      </c>
      <c r="J266" s="256" t="s">
        <v>1488</v>
      </c>
      <c r="K266" s="259">
        <v>46123.020833333336</v>
      </c>
      <c r="L266" s="259">
        <v>46126.684027777781</v>
      </c>
      <c r="M266" s="259">
        <v>46128.0625</v>
      </c>
      <c r="N266" s="259">
        <v>46128.031944444447</v>
      </c>
      <c r="O266" s="256" t="s">
        <v>1514</v>
      </c>
      <c r="P266" s="259">
        <v>46151.229166666664</v>
      </c>
      <c r="Q266" s="256">
        <v>5</v>
      </c>
      <c r="R266" s="256"/>
      <c r="S266" s="256">
        <v>2</v>
      </c>
      <c r="T266" s="256"/>
      <c r="U266" s="256" t="s">
        <v>1</v>
      </c>
      <c r="V266" s="256" t="s">
        <v>1</v>
      </c>
      <c r="W266" s="256" t="s">
        <v>1515</v>
      </c>
      <c r="X266" s="259">
        <v>46062.765972222223</v>
      </c>
      <c r="Y266" s="256" t="s">
        <v>2036</v>
      </c>
      <c r="Z266" s="256" t="s">
        <v>2006</v>
      </c>
      <c r="AA266" s="256" t="s">
        <v>2037</v>
      </c>
      <c r="AB266" s="256"/>
      <c r="AC266" s="256"/>
      <c r="AD266" s="256" t="s">
        <v>2038</v>
      </c>
      <c r="AE266" s="256" t="s">
        <v>252</v>
      </c>
    </row>
    <row r="267" spans="1:31">
      <c r="A267" s="256" t="s">
        <v>281</v>
      </c>
      <c r="B267" s="256" t="s">
        <v>1511</v>
      </c>
      <c r="C267" s="256" t="s">
        <v>280</v>
      </c>
      <c r="D267" s="256" t="s">
        <v>281</v>
      </c>
      <c r="E267" s="256">
        <v>4372279</v>
      </c>
      <c r="F267" s="256">
        <v>4358614</v>
      </c>
      <c r="G267" s="256" t="s">
        <v>765</v>
      </c>
      <c r="H267" s="256" t="s">
        <v>305</v>
      </c>
      <c r="I267" s="256" t="s">
        <v>271</v>
      </c>
      <c r="J267" s="256" t="s">
        <v>1488</v>
      </c>
      <c r="K267" s="259">
        <v>46126.020833333336</v>
      </c>
      <c r="L267" s="259">
        <v>46126.680555555555</v>
      </c>
      <c r="M267" s="259">
        <v>46130.0625</v>
      </c>
      <c r="N267" s="256"/>
      <c r="O267" s="256" t="s">
        <v>2039</v>
      </c>
      <c r="P267" s="259">
        <v>46151.229166666664</v>
      </c>
      <c r="Q267" s="256">
        <v>5</v>
      </c>
      <c r="R267" s="256"/>
      <c r="S267" s="256">
        <v>2</v>
      </c>
      <c r="T267" s="256"/>
      <c r="U267" s="256" t="s">
        <v>1</v>
      </c>
      <c r="V267" s="256" t="s">
        <v>1</v>
      </c>
      <c r="W267" s="256" t="s">
        <v>1515</v>
      </c>
      <c r="X267" s="259">
        <v>46062.774305555555</v>
      </c>
      <c r="Y267" s="256"/>
      <c r="Z267" s="256" t="s">
        <v>2006</v>
      </c>
      <c r="AA267" s="256" t="s">
        <v>2037</v>
      </c>
      <c r="AB267" s="256"/>
      <c r="AC267" s="256"/>
      <c r="AD267" s="256" t="s">
        <v>2040</v>
      </c>
      <c r="AE267" s="256" t="s">
        <v>252</v>
      </c>
    </row>
    <row r="268" spans="1:31">
      <c r="A268" s="256" t="s">
        <v>281</v>
      </c>
      <c r="B268" s="256" t="s">
        <v>1511</v>
      </c>
      <c r="C268" s="256" t="s">
        <v>280</v>
      </c>
      <c r="D268" s="256" t="s">
        <v>281</v>
      </c>
      <c r="E268" s="256">
        <v>4372279</v>
      </c>
      <c r="F268" s="256">
        <v>4358616</v>
      </c>
      <c r="G268" s="256" t="s">
        <v>767</v>
      </c>
      <c r="H268" s="256" t="s">
        <v>305</v>
      </c>
      <c r="I268" s="256" t="s">
        <v>271</v>
      </c>
      <c r="J268" s="256" t="s">
        <v>1488</v>
      </c>
      <c r="K268" s="259">
        <v>46126.020833333336</v>
      </c>
      <c r="L268" s="259">
        <v>46126.683333333334</v>
      </c>
      <c r="M268" s="259">
        <v>46130.0625</v>
      </c>
      <c r="N268" s="256"/>
      <c r="O268" s="256" t="s">
        <v>2039</v>
      </c>
      <c r="P268" s="259">
        <v>46151.229166666664</v>
      </c>
      <c r="Q268" s="256">
        <v>3</v>
      </c>
      <c r="R268" s="256"/>
      <c r="S268" s="256">
        <v>2</v>
      </c>
      <c r="T268" s="256"/>
      <c r="U268" s="256" t="s">
        <v>1</v>
      </c>
      <c r="V268" s="256" t="s">
        <v>1</v>
      </c>
      <c r="W268" s="256" t="s">
        <v>1515</v>
      </c>
      <c r="X268" s="259">
        <v>46062.775694444441</v>
      </c>
      <c r="Y268" s="256"/>
      <c r="Z268" s="256" t="s">
        <v>2006</v>
      </c>
      <c r="AA268" s="256" t="s">
        <v>2037</v>
      </c>
      <c r="AB268" s="256"/>
      <c r="AC268" s="256"/>
      <c r="AD268" s="256" t="s">
        <v>2041</v>
      </c>
      <c r="AE268" s="256" t="s">
        <v>252</v>
      </c>
    </row>
    <row r="269" spans="1:31">
      <c r="A269" s="256" t="s">
        <v>2042</v>
      </c>
      <c r="B269" s="256" t="s">
        <v>1511</v>
      </c>
      <c r="C269" s="256" t="s">
        <v>280</v>
      </c>
      <c r="D269" s="256" t="s">
        <v>2043</v>
      </c>
      <c r="E269" s="256">
        <v>4366166</v>
      </c>
      <c r="F269" s="256">
        <v>4358683</v>
      </c>
      <c r="G269" s="256" t="s">
        <v>2044</v>
      </c>
      <c r="H269" s="256" t="s">
        <v>242</v>
      </c>
      <c r="I269" s="256" t="s">
        <v>2014</v>
      </c>
      <c r="J269" s="256" t="s">
        <v>1488</v>
      </c>
      <c r="K269" s="259">
        <v>46137.020833333336</v>
      </c>
      <c r="L269" s="256"/>
      <c r="M269" s="259">
        <v>46137.229166666664</v>
      </c>
      <c r="N269" s="256"/>
      <c r="O269" s="256" t="s">
        <v>2045</v>
      </c>
      <c r="P269" s="259">
        <v>46151.229166666664</v>
      </c>
      <c r="Q269" s="256">
        <v>5</v>
      </c>
      <c r="R269" s="256"/>
      <c r="S269" s="256">
        <v>2</v>
      </c>
      <c r="T269" s="256"/>
      <c r="U269" s="256" t="s">
        <v>1</v>
      </c>
      <c r="V269" s="256" t="s">
        <v>1</v>
      </c>
      <c r="W269" s="256" t="s">
        <v>1705</v>
      </c>
      <c r="X269" s="259">
        <v>46062.79791666667</v>
      </c>
      <c r="Y269" s="256"/>
      <c r="Z269" s="256" t="s">
        <v>2016</v>
      </c>
      <c r="AA269" s="256" t="s">
        <v>1517</v>
      </c>
      <c r="AB269" s="256"/>
      <c r="AC269" s="256"/>
      <c r="AD269" s="256" t="s">
        <v>2046</v>
      </c>
      <c r="AE269" s="256" t="s">
        <v>252</v>
      </c>
    </row>
    <row r="270" spans="1:31">
      <c r="A270" s="256" t="s">
        <v>421</v>
      </c>
      <c r="B270" s="256" t="s">
        <v>1511</v>
      </c>
      <c r="C270" s="256" t="s">
        <v>280</v>
      </c>
      <c r="D270" s="256" t="s">
        <v>255</v>
      </c>
      <c r="E270" s="256">
        <v>4341363</v>
      </c>
      <c r="F270" s="256">
        <v>4343709</v>
      </c>
      <c r="G270" s="256" t="s">
        <v>839</v>
      </c>
      <c r="H270" s="256" t="s">
        <v>242</v>
      </c>
      <c r="I270" s="256" t="s">
        <v>271</v>
      </c>
      <c r="J270" s="256" t="s">
        <v>1488</v>
      </c>
      <c r="K270" s="259">
        <v>46134.729166666664</v>
      </c>
      <c r="L270" s="256"/>
      <c r="M270" s="256"/>
      <c r="N270" s="256"/>
      <c r="O270" s="256" t="s">
        <v>2047</v>
      </c>
      <c r="P270" s="259">
        <v>46151.229166666664</v>
      </c>
      <c r="Q270" s="256">
        <v>5</v>
      </c>
      <c r="R270" s="256"/>
      <c r="S270" s="256">
        <v>2</v>
      </c>
      <c r="T270" s="256"/>
      <c r="U270" s="256"/>
      <c r="V270" s="256"/>
      <c r="W270" s="256" t="s">
        <v>1515</v>
      </c>
      <c r="X270" s="259">
        <v>46051.616666666669</v>
      </c>
      <c r="Y270" s="256" t="s">
        <v>1560</v>
      </c>
      <c r="Z270" s="256" t="s">
        <v>2006</v>
      </c>
      <c r="AA270" s="256" t="s">
        <v>2007</v>
      </c>
      <c r="AB270" s="256"/>
      <c r="AC270" s="256"/>
      <c r="AD270" s="256" t="s">
        <v>2048</v>
      </c>
      <c r="AE270" s="256" t="s">
        <v>252</v>
      </c>
    </row>
    <row r="271" spans="1:31">
      <c r="A271" s="256" t="s">
        <v>256</v>
      </c>
      <c r="B271" s="256" t="s">
        <v>1511</v>
      </c>
      <c r="C271" s="256" t="s">
        <v>280</v>
      </c>
      <c r="D271" s="256" t="s">
        <v>255</v>
      </c>
      <c r="E271" s="256">
        <v>4313249</v>
      </c>
      <c r="F271" s="256">
        <v>4354055</v>
      </c>
      <c r="G271" s="256" t="s">
        <v>269</v>
      </c>
      <c r="H271" s="256" t="s">
        <v>242</v>
      </c>
      <c r="I271" s="256" t="s">
        <v>271</v>
      </c>
      <c r="J271" s="256" t="s">
        <v>1488</v>
      </c>
      <c r="K271" s="259">
        <v>46134.729166666664</v>
      </c>
      <c r="L271" s="256"/>
      <c r="M271" s="256"/>
      <c r="N271" s="256"/>
      <c r="O271" s="256" t="s">
        <v>2005</v>
      </c>
      <c r="P271" s="259">
        <v>46151.229166666664</v>
      </c>
      <c r="Q271" s="256">
        <v>5</v>
      </c>
      <c r="R271" s="256"/>
      <c r="S271" s="256">
        <v>2</v>
      </c>
      <c r="T271" s="256"/>
      <c r="U271" s="256"/>
      <c r="V271" s="256"/>
      <c r="W271" s="256" t="s">
        <v>1515</v>
      </c>
      <c r="X271" s="259">
        <v>46057.508333333331</v>
      </c>
      <c r="Y271" s="256" t="s">
        <v>1560</v>
      </c>
      <c r="Z271" s="256" t="s">
        <v>2006</v>
      </c>
      <c r="AA271" s="256" t="s">
        <v>2007</v>
      </c>
      <c r="AB271" s="256"/>
      <c r="AC271" s="256"/>
      <c r="AD271" s="256" t="s">
        <v>2048</v>
      </c>
      <c r="AE271" s="256" t="s">
        <v>252</v>
      </c>
    </row>
    <row r="272" spans="1:31">
      <c r="A272" s="256" t="s">
        <v>281</v>
      </c>
      <c r="B272" s="256" t="s">
        <v>1511</v>
      </c>
      <c r="C272" s="256" t="s">
        <v>280</v>
      </c>
      <c r="D272" s="256" t="s">
        <v>281</v>
      </c>
      <c r="E272" s="256">
        <v>4372279</v>
      </c>
      <c r="F272" s="256">
        <v>4366838</v>
      </c>
      <c r="G272" s="256" t="s">
        <v>809</v>
      </c>
      <c r="H272" s="256" t="s">
        <v>305</v>
      </c>
      <c r="I272" s="256" t="s">
        <v>271</v>
      </c>
      <c r="J272" s="256" t="s">
        <v>1488</v>
      </c>
      <c r="K272" s="259">
        <v>46127.229166666664</v>
      </c>
      <c r="L272" s="259">
        <v>46127.839583333334</v>
      </c>
      <c r="M272" s="259">
        <v>46132.979166666664</v>
      </c>
      <c r="N272" s="256"/>
      <c r="O272" s="256" t="s">
        <v>2049</v>
      </c>
      <c r="P272" s="259">
        <v>46151.229166666664</v>
      </c>
      <c r="Q272" s="256">
        <v>3</v>
      </c>
      <c r="R272" s="256"/>
      <c r="S272" s="256">
        <v>2</v>
      </c>
      <c r="T272" s="256"/>
      <c r="U272" s="256" t="s">
        <v>1</v>
      </c>
      <c r="V272" s="256" t="s">
        <v>1</v>
      </c>
      <c r="W272" s="256" t="s">
        <v>1515</v>
      </c>
      <c r="X272" s="259">
        <v>46066.482638888891</v>
      </c>
      <c r="Y272" s="256"/>
      <c r="Z272" s="256" t="s">
        <v>2006</v>
      </c>
      <c r="AA272" s="256" t="s">
        <v>2037</v>
      </c>
      <c r="AB272" s="256"/>
      <c r="AC272" s="256"/>
      <c r="AD272" s="256" t="s">
        <v>2050</v>
      </c>
      <c r="AE272" s="256" t="s">
        <v>252</v>
      </c>
    </row>
    <row r="273" spans="1:31">
      <c r="A273" s="256" t="s">
        <v>281</v>
      </c>
      <c r="B273" s="256" t="s">
        <v>1511</v>
      </c>
      <c r="C273" s="256" t="s">
        <v>280</v>
      </c>
      <c r="D273" s="256" t="s">
        <v>281</v>
      </c>
      <c r="E273" s="256">
        <v>4372279</v>
      </c>
      <c r="F273" s="256">
        <v>4366839</v>
      </c>
      <c r="G273" s="256" t="s">
        <v>810</v>
      </c>
      <c r="H273" s="256" t="s">
        <v>359</v>
      </c>
      <c r="I273" s="256" t="s">
        <v>271</v>
      </c>
      <c r="J273" s="256" t="s">
        <v>1488</v>
      </c>
      <c r="K273" s="259">
        <v>46128.729166666664</v>
      </c>
      <c r="L273" s="259">
        <v>46128.743750000001</v>
      </c>
      <c r="M273" s="259">
        <v>46132.979166666664</v>
      </c>
      <c r="N273" s="256"/>
      <c r="O273" s="256" t="s">
        <v>2049</v>
      </c>
      <c r="P273" s="259">
        <v>46151.229166666664</v>
      </c>
      <c r="Q273" s="256">
        <v>3</v>
      </c>
      <c r="R273" s="256"/>
      <c r="S273" s="256">
        <v>2</v>
      </c>
      <c r="T273" s="256"/>
      <c r="U273" s="256" t="s">
        <v>1</v>
      </c>
      <c r="V273" s="256" t="s">
        <v>1</v>
      </c>
      <c r="W273" s="256" t="s">
        <v>1515</v>
      </c>
      <c r="X273" s="259">
        <v>46066.48333333333</v>
      </c>
      <c r="Y273" s="256"/>
      <c r="Z273" s="256" t="s">
        <v>2006</v>
      </c>
      <c r="AA273" s="256" t="s">
        <v>2051</v>
      </c>
      <c r="AB273" s="256"/>
      <c r="AC273" s="256"/>
      <c r="AD273" s="256" t="s">
        <v>2052</v>
      </c>
      <c r="AE273" s="256" t="s">
        <v>252</v>
      </c>
    </row>
    <row r="274" spans="1:31">
      <c r="A274" s="256" t="s">
        <v>281</v>
      </c>
      <c r="B274" s="256" t="s">
        <v>1511</v>
      </c>
      <c r="C274" s="256" t="s">
        <v>280</v>
      </c>
      <c r="D274" s="256" t="s">
        <v>281</v>
      </c>
      <c r="E274" s="256">
        <v>4372279</v>
      </c>
      <c r="F274" s="256">
        <v>4367141</v>
      </c>
      <c r="G274" s="256" t="s">
        <v>771</v>
      </c>
      <c r="H274" s="256" t="s">
        <v>783</v>
      </c>
      <c r="I274" s="256" t="s">
        <v>271</v>
      </c>
      <c r="J274" s="256" t="s">
        <v>1488</v>
      </c>
      <c r="K274" s="259">
        <v>46123.020833333336</v>
      </c>
      <c r="L274" s="259">
        <v>46126.683333333334</v>
      </c>
      <c r="M274" s="259">
        <v>46128.0625</v>
      </c>
      <c r="N274" s="259">
        <v>46128.03125</v>
      </c>
      <c r="O274" s="256" t="s">
        <v>1514</v>
      </c>
      <c r="P274" s="259">
        <v>46151.229166666664</v>
      </c>
      <c r="Q274" s="256">
        <v>8</v>
      </c>
      <c r="R274" s="256"/>
      <c r="S274" s="256">
        <v>2</v>
      </c>
      <c r="T274" s="256"/>
      <c r="U274" s="256" t="s">
        <v>1</v>
      </c>
      <c r="V274" s="256" t="s">
        <v>1</v>
      </c>
      <c r="W274" s="256" t="s">
        <v>1515</v>
      </c>
      <c r="X274" s="259">
        <v>46066.506249999999</v>
      </c>
      <c r="Y274" s="256" t="s">
        <v>2036</v>
      </c>
      <c r="Z274" s="256" t="s">
        <v>2006</v>
      </c>
      <c r="AA274" s="256" t="s">
        <v>2053</v>
      </c>
      <c r="AB274" s="256"/>
      <c r="AC274" s="256"/>
      <c r="AD274" s="256" t="s">
        <v>2054</v>
      </c>
      <c r="AE274" s="256" t="s">
        <v>252</v>
      </c>
    </row>
    <row r="275" spans="1:31">
      <c r="A275" s="256" t="s">
        <v>281</v>
      </c>
      <c r="B275" s="256" t="s">
        <v>1511</v>
      </c>
      <c r="C275" s="256" t="s">
        <v>280</v>
      </c>
      <c r="D275" s="256" t="s">
        <v>281</v>
      </c>
      <c r="E275" s="256">
        <v>4372279</v>
      </c>
      <c r="F275" s="256">
        <v>4367142</v>
      </c>
      <c r="G275" s="256" t="s">
        <v>773</v>
      </c>
      <c r="H275" s="256" t="s">
        <v>783</v>
      </c>
      <c r="I275" s="256" t="s">
        <v>271</v>
      </c>
      <c r="J275" s="256" t="s">
        <v>1488</v>
      </c>
      <c r="K275" s="259">
        <v>46126.020833333336</v>
      </c>
      <c r="L275" s="259">
        <v>46126.682638888888</v>
      </c>
      <c r="M275" s="259">
        <v>46129.0625</v>
      </c>
      <c r="N275" s="259">
        <v>46129.012499999997</v>
      </c>
      <c r="O275" s="256" t="s">
        <v>1514</v>
      </c>
      <c r="P275" s="259">
        <v>46151.229166666664</v>
      </c>
      <c r="Q275" s="256">
        <v>8</v>
      </c>
      <c r="R275" s="256"/>
      <c r="S275" s="256">
        <v>2</v>
      </c>
      <c r="T275" s="256"/>
      <c r="U275" s="256" t="s">
        <v>1</v>
      </c>
      <c r="V275" s="256" t="s">
        <v>1</v>
      </c>
      <c r="W275" s="256" t="s">
        <v>1515</v>
      </c>
      <c r="X275" s="259">
        <v>46066.506944444445</v>
      </c>
      <c r="Y275" s="256"/>
      <c r="Z275" s="256" t="s">
        <v>2006</v>
      </c>
      <c r="AA275" s="256" t="s">
        <v>2053</v>
      </c>
      <c r="AB275" s="256"/>
      <c r="AC275" s="256"/>
      <c r="AD275" s="256" t="s">
        <v>2055</v>
      </c>
      <c r="AE275" s="256" t="s">
        <v>252</v>
      </c>
    </row>
    <row r="276" spans="1:31">
      <c r="A276" s="256" t="s">
        <v>281</v>
      </c>
      <c r="B276" s="256" t="s">
        <v>1511</v>
      </c>
      <c r="C276" s="256" t="s">
        <v>280</v>
      </c>
      <c r="D276" s="256" t="s">
        <v>281</v>
      </c>
      <c r="E276" s="256">
        <v>4372279</v>
      </c>
      <c r="F276" s="256">
        <v>4367145</v>
      </c>
      <c r="G276" s="256" t="s">
        <v>784</v>
      </c>
      <c r="H276" s="256" t="s">
        <v>359</v>
      </c>
      <c r="I276" s="256" t="s">
        <v>271</v>
      </c>
      <c r="J276" s="256" t="s">
        <v>1488</v>
      </c>
      <c r="K276" s="259">
        <v>46128.229166666664</v>
      </c>
      <c r="L276" s="259">
        <v>46128.0625</v>
      </c>
      <c r="M276" s="259">
        <v>46132.979166666664</v>
      </c>
      <c r="N276" s="256"/>
      <c r="O276" s="256" t="s">
        <v>2056</v>
      </c>
      <c r="P276" s="259">
        <v>46151.229166666664</v>
      </c>
      <c r="Q276" s="256">
        <v>3</v>
      </c>
      <c r="R276" s="256"/>
      <c r="S276" s="256">
        <v>2</v>
      </c>
      <c r="T276" s="256"/>
      <c r="U276" s="256" t="s">
        <v>1</v>
      </c>
      <c r="V276" s="256" t="s">
        <v>1</v>
      </c>
      <c r="W276" s="256" t="s">
        <v>1515</v>
      </c>
      <c r="X276" s="259">
        <v>46066.507638888892</v>
      </c>
      <c r="Y276" s="256"/>
      <c r="Z276" s="256" t="s">
        <v>2006</v>
      </c>
      <c r="AA276" s="256" t="s">
        <v>2051</v>
      </c>
      <c r="AB276" s="256"/>
      <c r="AC276" s="256"/>
      <c r="AD276" s="256" t="s">
        <v>2055</v>
      </c>
      <c r="AE276" s="256" t="s">
        <v>252</v>
      </c>
    </row>
    <row r="277" spans="1:31">
      <c r="A277" s="256" t="s">
        <v>281</v>
      </c>
      <c r="B277" s="256" t="s">
        <v>1511</v>
      </c>
      <c r="C277" s="256" t="s">
        <v>280</v>
      </c>
      <c r="D277" s="256" t="s">
        <v>281</v>
      </c>
      <c r="E277" s="256">
        <v>4372279</v>
      </c>
      <c r="F277" s="256">
        <v>4367160</v>
      </c>
      <c r="G277" s="256" t="s">
        <v>775</v>
      </c>
      <c r="H277" s="256" t="s">
        <v>783</v>
      </c>
      <c r="I277" s="256" t="s">
        <v>271</v>
      </c>
      <c r="J277" s="256" t="s">
        <v>1488</v>
      </c>
      <c r="K277" s="259">
        <v>46126.020833333336</v>
      </c>
      <c r="L277" s="259">
        <v>46126.682638888888</v>
      </c>
      <c r="M277" s="259">
        <v>46129.0625</v>
      </c>
      <c r="N277" s="259">
        <v>46129.013194444444</v>
      </c>
      <c r="O277" s="256" t="s">
        <v>1514</v>
      </c>
      <c r="P277" s="259">
        <v>46151.229166666664</v>
      </c>
      <c r="Q277" s="256">
        <v>8</v>
      </c>
      <c r="R277" s="256"/>
      <c r="S277" s="256">
        <v>2</v>
      </c>
      <c r="T277" s="256"/>
      <c r="U277" s="256" t="s">
        <v>1</v>
      </c>
      <c r="V277" s="256" t="s">
        <v>1</v>
      </c>
      <c r="W277" s="256" t="s">
        <v>1515</v>
      </c>
      <c r="X277" s="259">
        <v>46066.508333333331</v>
      </c>
      <c r="Y277" s="256"/>
      <c r="Z277" s="256" t="s">
        <v>2006</v>
      </c>
      <c r="AA277" s="256" t="s">
        <v>2053</v>
      </c>
      <c r="AB277" s="256"/>
      <c r="AC277" s="256"/>
      <c r="AD277" s="256" t="s">
        <v>2055</v>
      </c>
      <c r="AE277" s="256" t="s">
        <v>252</v>
      </c>
    </row>
    <row r="278" spans="1:31">
      <c r="A278" s="256" t="s">
        <v>281</v>
      </c>
      <c r="B278" s="256" t="s">
        <v>1511</v>
      </c>
      <c r="C278" s="256" t="s">
        <v>280</v>
      </c>
      <c r="D278" s="256" t="s">
        <v>281</v>
      </c>
      <c r="E278" s="256">
        <v>4372279</v>
      </c>
      <c r="F278" s="256">
        <v>4367162</v>
      </c>
      <c r="G278" s="256" t="s">
        <v>780</v>
      </c>
      <c r="H278" s="256" t="s">
        <v>359</v>
      </c>
      <c r="I278" s="256" t="s">
        <v>271</v>
      </c>
      <c r="J278" s="256" t="s">
        <v>1488</v>
      </c>
      <c r="K278" s="259">
        <v>46128.229166666664</v>
      </c>
      <c r="L278" s="259">
        <v>46128.0625</v>
      </c>
      <c r="M278" s="259">
        <v>46132.979166666664</v>
      </c>
      <c r="N278" s="256"/>
      <c r="O278" s="256" t="s">
        <v>2057</v>
      </c>
      <c r="P278" s="259">
        <v>46151.229166666664</v>
      </c>
      <c r="Q278" s="256">
        <v>3</v>
      </c>
      <c r="R278" s="256"/>
      <c r="S278" s="256">
        <v>2</v>
      </c>
      <c r="T278" s="256"/>
      <c r="U278" s="256" t="s">
        <v>1</v>
      </c>
      <c r="V278" s="256" t="s">
        <v>1</v>
      </c>
      <c r="W278" s="256" t="s">
        <v>1515</v>
      </c>
      <c r="X278" s="259">
        <v>46066.509027777778</v>
      </c>
      <c r="Y278" s="256"/>
      <c r="Z278" s="256" t="s">
        <v>2006</v>
      </c>
      <c r="AA278" s="256" t="s">
        <v>2051</v>
      </c>
      <c r="AB278" s="256"/>
      <c r="AC278" s="256"/>
      <c r="AD278" s="256" t="s">
        <v>2055</v>
      </c>
      <c r="AE278" s="256" t="s">
        <v>252</v>
      </c>
    </row>
    <row r="279" spans="1:31">
      <c r="A279" s="256" t="s">
        <v>281</v>
      </c>
      <c r="B279" s="256" t="s">
        <v>1511</v>
      </c>
      <c r="C279" s="256" t="s">
        <v>280</v>
      </c>
      <c r="D279" s="256" t="s">
        <v>281</v>
      </c>
      <c r="E279" s="256">
        <v>4372279</v>
      </c>
      <c r="F279" s="256">
        <v>4367480</v>
      </c>
      <c r="G279" s="256" t="s">
        <v>2058</v>
      </c>
      <c r="H279" s="256" t="s">
        <v>359</v>
      </c>
      <c r="I279" s="256" t="s">
        <v>271</v>
      </c>
      <c r="J279" s="256" t="s">
        <v>1488</v>
      </c>
      <c r="K279" s="259">
        <v>46128.229166666664</v>
      </c>
      <c r="L279" s="259">
        <v>46127.779861111114</v>
      </c>
      <c r="M279" s="259">
        <v>46132.979166666664</v>
      </c>
      <c r="N279" s="256"/>
      <c r="O279" s="256" t="s">
        <v>2056</v>
      </c>
      <c r="P279" s="259">
        <v>46151.229166666664</v>
      </c>
      <c r="Q279" s="256">
        <v>3</v>
      </c>
      <c r="R279" s="256"/>
      <c r="S279" s="256">
        <v>2</v>
      </c>
      <c r="T279" s="256"/>
      <c r="U279" s="256" t="s">
        <v>1</v>
      </c>
      <c r="V279" s="256" t="s">
        <v>1</v>
      </c>
      <c r="W279" s="256" t="s">
        <v>1786</v>
      </c>
      <c r="X279" s="259">
        <v>46066.670138888891</v>
      </c>
      <c r="Y279" s="256"/>
      <c r="Z279" s="256" t="s">
        <v>2006</v>
      </c>
      <c r="AA279" s="256" t="s">
        <v>2037</v>
      </c>
      <c r="AB279" s="256"/>
      <c r="AC279" s="256"/>
      <c r="AD279" s="256" t="s">
        <v>2059</v>
      </c>
      <c r="AE279" s="256" t="s">
        <v>252</v>
      </c>
    </row>
    <row r="280" spans="1:31">
      <c r="A280" s="256" t="s">
        <v>281</v>
      </c>
      <c r="B280" s="256" t="s">
        <v>1511</v>
      </c>
      <c r="C280" s="256" t="s">
        <v>280</v>
      </c>
      <c r="D280" s="256" t="s">
        <v>281</v>
      </c>
      <c r="E280" s="256">
        <v>4372279</v>
      </c>
      <c r="F280" s="256">
        <v>4367481</v>
      </c>
      <c r="G280" s="256" t="s">
        <v>2060</v>
      </c>
      <c r="H280" s="256" t="s">
        <v>783</v>
      </c>
      <c r="I280" s="256" t="s">
        <v>271</v>
      </c>
      <c r="J280" s="256" t="s">
        <v>1488</v>
      </c>
      <c r="K280" s="259">
        <v>46123.020833333336</v>
      </c>
      <c r="L280" s="259">
        <v>46123.0625</v>
      </c>
      <c r="M280" s="259">
        <v>46128.0625</v>
      </c>
      <c r="N280" s="259">
        <v>46127.916666666664</v>
      </c>
      <c r="O280" s="256" t="s">
        <v>1514</v>
      </c>
      <c r="P280" s="259">
        <v>46151.229166666664</v>
      </c>
      <c r="Q280" s="256">
        <v>8</v>
      </c>
      <c r="R280" s="256"/>
      <c r="S280" s="256">
        <v>2</v>
      </c>
      <c r="T280" s="256"/>
      <c r="U280" s="256" t="s">
        <v>1</v>
      </c>
      <c r="V280" s="256" t="s">
        <v>1</v>
      </c>
      <c r="W280" s="256" t="s">
        <v>1786</v>
      </c>
      <c r="X280" s="259">
        <v>46066.67083333333</v>
      </c>
      <c r="Y280" s="256" t="s">
        <v>2036</v>
      </c>
      <c r="Z280" s="256" t="s">
        <v>2006</v>
      </c>
      <c r="AA280" s="256" t="s">
        <v>2037</v>
      </c>
      <c r="AB280" s="256"/>
      <c r="AC280" s="256"/>
      <c r="AD280" s="256" t="s">
        <v>2061</v>
      </c>
      <c r="AE280" s="256" t="s">
        <v>252</v>
      </c>
    </row>
    <row r="281" spans="1:31">
      <c r="A281" s="256" t="s">
        <v>281</v>
      </c>
      <c r="B281" s="256" t="s">
        <v>1511</v>
      </c>
      <c r="C281" s="256" t="s">
        <v>280</v>
      </c>
      <c r="D281" s="256" t="s">
        <v>281</v>
      </c>
      <c r="E281" s="256">
        <v>4372279</v>
      </c>
      <c r="F281" s="256">
        <v>4367490</v>
      </c>
      <c r="G281" s="256" t="s">
        <v>777</v>
      </c>
      <c r="H281" s="256" t="s">
        <v>305</v>
      </c>
      <c r="I281" s="256" t="s">
        <v>271</v>
      </c>
      <c r="J281" s="256" t="s">
        <v>1488</v>
      </c>
      <c r="K281" s="259">
        <v>46128.229166666664</v>
      </c>
      <c r="L281" s="259">
        <v>46128.745138888888</v>
      </c>
      <c r="M281" s="259">
        <v>46132.979166666664</v>
      </c>
      <c r="N281" s="256"/>
      <c r="O281" s="256" t="s">
        <v>2062</v>
      </c>
      <c r="P281" s="259">
        <v>46151.229166666664</v>
      </c>
      <c r="Q281" s="256">
        <v>3</v>
      </c>
      <c r="R281" s="256"/>
      <c r="S281" s="256">
        <v>2</v>
      </c>
      <c r="T281" s="256"/>
      <c r="U281" s="256" t="s">
        <v>1</v>
      </c>
      <c r="V281" s="256" t="s">
        <v>1</v>
      </c>
      <c r="W281" s="256" t="s">
        <v>1786</v>
      </c>
      <c r="X281" s="259">
        <v>46066.67291666667</v>
      </c>
      <c r="Y281" s="256"/>
      <c r="Z281" s="256" t="s">
        <v>2006</v>
      </c>
      <c r="AA281" s="256" t="s">
        <v>2051</v>
      </c>
      <c r="AB281" s="256"/>
      <c r="AC281" s="256"/>
      <c r="AD281" s="256" t="s">
        <v>2063</v>
      </c>
      <c r="AE281" s="256" t="s">
        <v>252</v>
      </c>
    </row>
    <row r="282" spans="1:31">
      <c r="A282" s="256" t="s">
        <v>281</v>
      </c>
      <c r="B282" s="256" t="s">
        <v>1511</v>
      </c>
      <c r="C282" s="256" t="s">
        <v>280</v>
      </c>
      <c r="D282" s="256" t="s">
        <v>281</v>
      </c>
      <c r="E282" s="256">
        <v>4372279</v>
      </c>
      <c r="F282" s="256">
        <v>4367494</v>
      </c>
      <c r="G282" s="256" t="s">
        <v>779</v>
      </c>
      <c r="H282" s="256" t="s">
        <v>305</v>
      </c>
      <c r="I282" s="256" t="s">
        <v>271</v>
      </c>
      <c r="J282" s="256" t="s">
        <v>1488</v>
      </c>
      <c r="K282" s="259">
        <v>46127.229166666664</v>
      </c>
      <c r="L282" s="259">
        <v>46127.743750000001</v>
      </c>
      <c r="M282" s="259">
        <v>46132.979166666664</v>
      </c>
      <c r="N282" s="256"/>
      <c r="O282" s="256" t="s">
        <v>2039</v>
      </c>
      <c r="P282" s="259">
        <v>46151.229166666664</v>
      </c>
      <c r="Q282" s="256">
        <v>3</v>
      </c>
      <c r="R282" s="256"/>
      <c r="S282" s="256">
        <v>2</v>
      </c>
      <c r="T282" s="256"/>
      <c r="U282" s="256" t="s">
        <v>1</v>
      </c>
      <c r="V282" s="256" t="s">
        <v>1</v>
      </c>
      <c r="W282" s="256" t="s">
        <v>1786</v>
      </c>
      <c r="X282" s="259">
        <v>46066.673611111109</v>
      </c>
      <c r="Y282" s="256"/>
      <c r="Z282" s="256" t="s">
        <v>2006</v>
      </c>
      <c r="AA282" s="256" t="s">
        <v>2051</v>
      </c>
      <c r="AB282" s="256"/>
      <c r="AC282" s="256"/>
      <c r="AD282" s="256" t="s">
        <v>2064</v>
      </c>
      <c r="AE282" s="256" t="s">
        <v>252</v>
      </c>
    </row>
    <row r="283" spans="1:31">
      <c r="A283" s="256" t="s">
        <v>281</v>
      </c>
      <c r="B283" s="256" t="s">
        <v>1511</v>
      </c>
      <c r="C283" s="256" t="s">
        <v>280</v>
      </c>
      <c r="D283" s="256" t="s">
        <v>280</v>
      </c>
      <c r="E283" s="256">
        <v>4372279</v>
      </c>
      <c r="F283" s="256">
        <v>4367497</v>
      </c>
      <c r="G283" s="256" t="s">
        <v>2065</v>
      </c>
      <c r="H283" s="256" t="s">
        <v>783</v>
      </c>
      <c r="I283" s="256" t="s">
        <v>271</v>
      </c>
      <c r="J283" s="256" t="s">
        <v>1488</v>
      </c>
      <c r="K283" s="259">
        <v>46123.020833333336</v>
      </c>
      <c r="L283" s="259">
        <v>46126.681944444441</v>
      </c>
      <c r="M283" s="259">
        <v>46128.0625</v>
      </c>
      <c r="N283" s="259">
        <v>46127.916666666664</v>
      </c>
      <c r="O283" s="256" t="s">
        <v>1514</v>
      </c>
      <c r="P283" s="259">
        <v>46151.229166666664</v>
      </c>
      <c r="Q283" s="256">
        <v>8</v>
      </c>
      <c r="R283" s="256"/>
      <c r="S283" s="256">
        <v>2</v>
      </c>
      <c r="T283" s="256"/>
      <c r="U283" s="256" t="s">
        <v>1</v>
      </c>
      <c r="V283" s="256" t="s">
        <v>1</v>
      </c>
      <c r="W283" s="256" t="s">
        <v>1786</v>
      </c>
      <c r="X283" s="259">
        <v>46066.675000000003</v>
      </c>
      <c r="Y283" s="256" t="s">
        <v>2036</v>
      </c>
      <c r="Z283" s="256" t="s">
        <v>2006</v>
      </c>
      <c r="AA283" s="256" t="s">
        <v>2053</v>
      </c>
      <c r="AB283" s="256"/>
      <c r="AC283" s="256"/>
      <c r="AD283" s="256" t="s">
        <v>281</v>
      </c>
      <c r="AE283" s="256" t="s">
        <v>252</v>
      </c>
    </row>
    <row r="284" spans="1:31">
      <c r="A284" s="256" t="s">
        <v>281</v>
      </c>
      <c r="B284" s="256" t="s">
        <v>1511</v>
      </c>
      <c r="C284" s="256" t="s">
        <v>280</v>
      </c>
      <c r="D284" s="256" t="s">
        <v>280</v>
      </c>
      <c r="E284" s="256">
        <v>4372279</v>
      </c>
      <c r="F284" s="256">
        <v>4367503</v>
      </c>
      <c r="G284" s="256" t="s">
        <v>2066</v>
      </c>
      <c r="H284" s="256" t="s">
        <v>305</v>
      </c>
      <c r="I284" s="256" t="s">
        <v>271</v>
      </c>
      <c r="J284" s="256" t="s">
        <v>1488</v>
      </c>
      <c r="K284" s="259">
        <v>46125.229166666664</v>
      </c>
      <c r="L284" s="259">
        <v>46128.0625</v>
      </c>
      <c r="M284" s="259">
        <v>46133.0625</v>
      </c>
      <c r="N284" s="256"/>
      <c r="O284" s="256" t="s">
        <v>2067</v>
      </c>
      <c r="P284" s="259">
        <v>46151.229166666664</v>
      </c>
      <c r="Q284" s="256">
        <v>5</v>
      </c>
      <c r="R284" s="256"/>
      <c r="S284" s="256">
        <v>2</v>
      </c>
      <c r="T284" s="256"/>
      <c r="U284" s="256" t="s">
        <v>1</v>
      </c>
      <c r="V284" s="256" t="s">
        <v>1</v>
      </c>
      <c r="W284" s="256" t="s">
        <v>1786</v>
      </c>
      <c r="X284" s="259">
        <v>46066.676388888889</v>
      </c>
      <c r="Y284" s="256"/>
      <c r="Z284" s="256" t="s">
        <v>2006</v>
      </c>
      <c r="AA284" s="256" t="s">
        <v>2053</v>
      </c>
      <c r="AB284" s="256"/>
      <c r="AC284" s="256"/>
      <c r="AD284" s="256" t="s">
        <v>281</v>
      </c>
      <c r="AE284" s="256" t="s">
        <v>252</v>
      </c>
    </row>
    <row r="285" spans="1:31">
      <c r="A285" s="256" t="s">
        <v>281</v>
      </c>
      <c r="B285" s="256" t="s">
        <v>1511</v>
      </c>
      <c r="C285" s="256" t="s">
        <v>280</v>
      </c>
      <c r="D285" s="256" t="s">
        <v>280</v>
      </c>
      <c r="E285" s="256">
        <v>4372279</v>
      </c>
      <c r="F285" s="256">
        <v>4367506</v>
      </c>
      <c r="G285" s="256" t="s">
        <v>2068</v>
      </c>
      <c r="H285" s="256" t="s">
        <v>359</v>
      </c>
      <c r="I285" s="256" t="s">
        <v>271</v>
      </c>
      <c r="J285" s="256" t="s">
        <v>1488</v>
      </c>
      <c r="K285" s="259">
        <v>46129.229166666664</v>
      </c>
      <c r="L285" s="256"/>
      <c r="M285" s="259">
        <v>46132.979166666664</v>
      </c>
      <c r="N285" s="256"/>
      <c r="O285" s="256" t="s">
        <v>1488</v>
      </c>
      <c r="P285" s="259">
        <v>46151.229166666664</v>
      </c>
      <c r="Q285" s="256">
        <v>5</v>
      </c>
      <c r="R285" s="256"/>
      <c r="S285" s="256">
        <v>2</v>
      </c>
      <c r="T285" s="256"/>
      <c r="U285" s="256" t="s">
        <v>1</v>
      </c>
      <c r="V285" s="256" t="s">
        <v>1</v>
      </c>
      <c r="W285" s="256" t="s">
        <v>1786</v>
      </c>
      <c r="X285" s="259">
        <v>46066.677083333336</v>
      </c>
      <c r="Y285" s="256"/>
      <c r="Z285" s="256" t="s">
        <v>2006</v>
      </c>
      <c r="AA285" s="256" t="s">
        <v>2051</v>
      </c>
      <c r="AB285" s="256"/>
      <c r="AC285" s="256"/>
      <c r="AD285" s="256" t="s">
        <v>281</v>
      </c>
      <c r="AE285" s="256" t="s">
        <v>252</v>
      </c>
    </row>
    <row r="286" spans="1:31">
      <c r="A286" s="256" t="s">
        <v>281</v>
      </c>
      <c r="B286" s="256" t="s">
        <v>1511</v>
      </c>
      <c r="C286" s="256" t="s">
        <v>280</v>
      </c>
      <c r="D286" s="256" t="s">
        <v>280</v>
      </c>
      <c r="E286" s="256">
        <v>4372279</v>
      </c>
      <c r="F286" s="256">
        <v>4373870</v>
      </c>
      <c r="G286" s="256" t="s">
        <v>2069</v>
      </c>
      <c r="H286" s="256" t="s">
        <v>242</v>
      </c>
      <c r="I286" s="256" t="s">
        <v>2070</v>
      </c>
      <c r="J286" s="256" t="s">
        <v>1488</v>
      </c>
      <c r="K286" s="259">
        <v>46132.229166666664</v>
      </c>
      <c r="L286" s="256"/>
      <c r="M286" s="259">
        <v>46133.229166666664</v>
      </c>
      <c r="N286" s="256"/>
      <c r="O286" s="256" t="s">
        <v>2071</v>
      </c>
      <c r="P286" s="259">
        <v>46151.229166666664</v>
      </c>
      <c r="Q286" s="256">
        <v>3</v>
      </c>
      <c r="R286" s="256"/>
      <c r="S286" s="256">
        <v>2</v>
      </c>
      <c r="T286" s="256"/>
      <c r="U286" s="256"/>
      <c r="V286" s="256"/>
      <c r="W286" s="256" t="s">
        <v>1786</v>
      </c>
      <c r="X286" s="259">
        <v>46072.436805555553</v>
      </c>
      <c r="Y286" s="256"/>
      <c r="Z286" s="256" t="s">
        <v>2072</v>
      </c>
      <c r="AA286" s="256" t="s">
        <v>2037</v>
      </c>
      <c r="AB286" s="256"/>
      <c r="AC286" s="256"/>
      <c r="AD286" s="256" t="s">
        <v>281</v>
      </c>
      <c r="AE286" s="256" t="s">
        <v>252</v>
      </c>
    </row>
    <row r="287" spans="1:31">
      <c r="A287" s="256" t="s">
        <v>281</v>
      </c>
      <c r="B287" s="256" t="s">
        <v>1511</v>
      </c>
      <c r="C287" s="256" t="s">
        <v>280</v>
      </c>
      <c r="D287" s="256" t="s">
        <v>280</v>
      </c>
      <c r="E287" s="256">
        <v>4372279</v>
      </c>
      <c r="F287" s="256">
        <v>4373872</v>
      </c>
      <c r="G287" s="256" t="s">
        <v>2073</v>
      </c>
      <c r="H287" s="256" t="s">
        <v>305</v>
      </c>
      <c r="I287" s="256" t="s">
        <v>2070</v>
      </c>
      <c r="J287" s="256" t="s">
        <v>1488</v>
      </c>
      <c r="K287" s="259">
        <v>46129.229166666664</v>
      </c>
      <c r="L287" s="259">
        <v>46127.020833333336</v>
      </c>
      <c r="M287" s="259">
        <v>46132.979166666664</v>
      </c>
      <c r="N287" s="256"/>
      <c r="O287" s="256" t="s">
        <v>1497</v>
      </c>
      <c r="P287" s="259">
        <v>46151.229166666664</v>
      </c>
      <c r="Q287" s="256">
        <v>8</v>
      </c>
      <c r="R287" s="256"/>
      <c r="S287" s="256">
        <v>2</v>
      </c>
      <c r="T287" s="256"/>
      <c r="U287" s="256" t="s">
        <v>1</v>
      </c>
      <c r="V287" s="256" t="s">
        <v>1</v>
      </c>
      <c r="W287" s="256" t="s">
        <v>1786</v>
      </c>
      <c r="X287" s="259">
        <v>46072.4375</v>
      </c>
      <c r="Y287" s="256"/>
      <c r="Z287" s="256" t="s">
        <v>2072</v>
      </c>
      <c r="AA287" s="256" t="s">
        <v>2037</v>
      </c>
      <c r="AB287" s="256"/>
      <c r="AC287" s="256"/>
      <c r="AD287" s="256" t="s">
        <v>281</v>
      </c>
      <c r="AE287" s="256" t="s">
        <v>252</v>
      </c>
    </row>
    <row r="288" spans="1:31">
      <c r="A288" s="256" t="s">
        <v>256</v>
      </c>
      <c r="B288" s="256" t="s">
        <v>1511</v>
      </c>
      <c r="C288" s="256" t="s">
        <v>280</v>
      </c>
      <c r="D288" s="256" t="s">
        <v>255</v>
      </c>
      <c r="E288" s="256">
        <v>4313249</v>
      </c>
      <c r="F288" s="256">
        <v>4373905</v>
      </c>
      <c r="G288" s="256" t="s">
        <v>883</v>
      </c>
      <c r="H288" s="256" t="s">
        <v>305</v>
      </c>
      <c r="I288" s="256" t="s">
        <v>271</v>
      </c>
      <c r="J288" s="256" t="s">
        <v>1488</v>
      </c>
      <c r="K288" s="259">
        <v>46134.729166666664</v>
      </c>
      <c r="L288" s="259">
        <v>46128.744444444441</v>
      </c>
      <c r="M288" s="256"/>
      <c r="N288" s="256"/>
      <c r="O288" s="256" t="s">
        <v>2022</v>
      </c>
      <c r="P288" s="259">
        <v>46151.229166666664</v>
      </c>
      <c r="Q288" s="256">
        <v>3</v>
      </c>
      <c r="R288" s="256"/>
      <c r="S288" s="256">
        <v>2</v>
      </c>
      <c r="T288" s="256"/>
      <c r="U288" s="256" t="s">
        <v>1</v>
      </c>
      <c r="V288" s="256" t="s">
        <v>1</v>
      </c>
      <c r="W288" s="256" t="s">
        <v>1515</v>
      </c>
      <c r="X288" s="259">
        <v>46072.453472222223</v>
      </c>
      <c r="Y288" s="256" t="s">
        <v>1560</v>
      </c>
      <c r="Z288" s="256" t="s">
        <v>2006</v>
      </c>
      <c r="AA288" s="256" t="s">
        <v>2007</v>
      </c>
      <c r="AB288" s="256"/>
      <c r="AC288" s="256"/>
      <c r="AD288" s="256" t="s">
        <v>2074</v>
      </c>
      <c r="AE288" s="256" t="s">
        <v>252</v>
      </c>
    </row>
    <row r="289" spans="1:31">
      <c r="A289" s="256" t="s">
        <v>1714</v>
      </c>
      <c r="B289" s="256" t="s">
        <v>1511</v>
      </c>
      <c r="C289" s="256" t="s">
        <v>280</v>
      </c>
      <c r="D289" s="256" t="s">
        <v>1715</v>
      </c>
      <c r="E289" s="256">
        <v>4386528</v>
      </c>
      <c r="F289" s="256">
        <v>4386542</v>
      </c>
      <c r="G289" s="256" t="s">
        <v>884</v>
      </c>
      <c r="H289" s="256" t="s">
        <v>359</v>
      </c>
      <c r="I289" s="256" t="s">
        <v>268</v>
      </c>
      <c r="J289" s="256" t="s">
        <v>1488</v>
      </c>
      <c r="K289" s="259">
        <v>46128.9375</v>
      </c>
      <c r="L289" s="259">
        <v>46129.618055555555</v>
      </c>
      <c r="M289" s="259">
        <v>46132.979166666664</v>
      </c>
      <c r="N289" s="256"/>
      <c r="O289" s="256" t="s">
        <v>2075</v>
      </c>
      <c r="P289" s="259">
        <v>46151.229166666664</v>
      </c>
      <c r="Q289" s="256">
        <v>8</v>
      </c>
      <c r="R289" s="256"/>
      <c r="S289" s="256">
        <v>2</v>
      </c>
      <c r="T289" s="256"/>
      <c r="U289" s="256" t="s">
        <v>1</v>
      </c>
      <c r="V289" s="256" t="s">
        <v>1</v>
      </c>
      <c r="W289" s="256" t="s">
        <v>1652</v>
      </c>
      <c r="X289" s="259">
        <v>46076.311111111114</v>
      </c>
      <c r="Y289" s="256" t="s">
        <v>1716</v>
      </c>
      <c r="Z289" s="256" t="s">
        <v>2024</v>
      </c>
      <c r="AA289" s="256" t="s">
        <v>1654</v>
      </c>
      <c r="AB289" s="256"/>
      <c r="AC289" s="256"/>
      <c r="AD289" s="256" t="s">
        <v>2034</v>
      </c>
      <c r="AE289" s="256" t="s">
        <v>252</v>
      </c>
    </row>
    <row r="290" spans="1:31">
      <c r="A290" s="256" t="s">
        <v>1714</v>
      </c>
      <c r="B290" s="256" t="s">
        <v>1511</v>
      </c>
      <c r="C290" s="256" t="s">
        <v>280</v>
      </c>
      <c r="D290" s="256" t="s">
        <v>1715</v>
      </c>
      <c r="E290" s="256">
        <v>4386528</v>
      </c>
      <c r="F290" s="256">
        <v>4386543</v>
      </c>
      <c r="G290" s="256" t="s">
        <v>887</v>
      </c>
      <c r="H290" s="256" t="s">
        <v>242</v>
      </c>
      <c r="I290" s="256" t="s">
        <v>268</v>
      </c>
      <c r="J290" s="256" t="s">
        <v>1488</v>
      </c>
      <c r="K290" s="259">
        <v>46129.229166666664</v>
      </c>
      <c r="L290" s="256"/>
      <c r="M290" s="259">
        <v>46132.979166666664</v>
      </c>
      <c r="N290" s="256"/>
      <c r="O290" s="256" t="s">
        <v>2076</v>
      </c>
      <c r="P290" s="259">
        <v>46151.229166666664</v>
      </c>
      <c r="Q290" s="256">
        <v>8</v>
      </c>
      <c r="R290" s="256"/>
      <c r="S290" s="256">
        <v>2</v>
      </c>
      <c r="T290" s="256"/>
      <c r="U290" s="256"/>
      <c r="V290" s="256"/>
      <c r="W290" s="256" t="s">
        <v>1652</v>
      </c>
      <c r="X290" s="259">
        <v>46076.3125</v>
      </c>
      <c r="Y290" s="256" t="s">
        <v>1716</v>
      </c>
      <c r="Z290" s="256" t="s">
        <v>2024</v>
      </c>
      <c r="AA290" s="256" t="s">
        <v>1654</v>
      </c>
      <c r="AB290" s="256"/>
      <c r="AC290" s="256"/>
      <c r="AD290" s="256" t="s">
        <v>2034</v>
      </c>
      <c r="AE290" s="256" t="s">
        <v>252</v>
      </c>
    </row>
    <row r="291" spans="1:31">
      <c r="A291" s="256" t="s">
        <v>1714</v>
      </c>
      <c r="B291" s="256" t="s">
        <v>1511</v>
      </c>
      <c r="C291" s="256" t="s">
        <v>280</v>
      </c>
      <c r="D291" s="256" t="s">
        <v>1715</v>
      </c>
      <c r="E291" s="256">
        <v>4386528</v>
      </c>
      <c r="F291" s="256">
        <v>4386544</v>
      </c>
      <c r="G291" s="256" t="s">
        <v>889</v>
      </c>
      <c r="H291" s="256" t="s">
        <v>242</v>
      </c>
      <c r="I291" s="256" t="s">
        <v>268</v>
      </c>
      <c r="J291" s="256" t="s">
        <v>1488</v>
      </c>
      <c r="K291" s="259">
        <v>46132.229166666664</v>
      </c>
      <c r="L291" s="256"/>
      <c r="M291" s="259">
        <v>46133.229166666664</v>
      </c>
      <c r="N291" s="256"/>
      <c r="O291" s="256" t="s">
        <v>2077</v>
      </c>
      <c r="P291" s="259">
        <v>46151.229166666664</v>
      </c>
      <c r="Q291" s="256">
        <v>8</v>
      </c>
      <c r="R291" s="256"/>
      <c r="S291" s="256">
        <v>2</v>
      </c>
      <c r="T291" s="256"/>
      <c r="U291" s="256"/>
      <c r="V291" s="256"/>
      <c r="W291" s="256" t="s">
        <v>1652</v>
      </c>
      <c r="X291" s="259">
        <v>46076.313888888886</v>
      </c>
      <c r="Y291" s="256" t="s">
        <v>1716</v>
      </c>
      <c r="Z291" s="256" t="s">
        <v>2024</v>
      </c>
      <c r="AA291" s="256" t="s">
        <v>1654</v>
      </c>
      <c r="AB291" s="256"/>
      <c r="AC291" s="256"/>
      <c r="AD291" s="256" t="s">
        <v>2034</v>
      </c>
      <c r="AE291" s="256" t="s">
        <v>252</v>
      </c>
    </row>
    <row r="292" spans="1:31">
      <c r="A292" s="256" t="s">
        <v>1714</v>
      </c>
      <c r="B292" s="256" t="s">
        <v>1511</v>
      </c>
      <c r="C292" s="256" t="s">
        <v>280</v>
      </c>
      <c r="D292" s="256" t="s">
        <v>1715</v>
      </c>
      <c r="E292" s="256">
        <v>4386528</v>
      </c>
      <c r="F292" s="256">
        <v>4386545</v>
      </c>
      <c r="G292" s="256" t="s">
        <v>891</v>
      </c>
      <c r="H292" s="256" t="s">
        <v>242</v>
      </c>
      <c r="I292" s="256" t="s">
        <v>268</v>
      </c>
      <c r="J292" s="256" t="s">
        <v>1488</v>
      </c>
      <c r="K292" s="259">
        <v>46132.229166666664</v>
      </c>
      <c r="L292" s="256"/>
      <c r="M292" s="259">
        <v>46133.229166666664</v>
      </c>
      <c r="N292" s="256"/>
      <c r="O292" s="256" t="s">
        <v>2078</v>
      </c>
      <c r="P292" s="259">
        <v>46151.229166666664</v>
      </c>
      <c r="Q292" s="256">
        <v>8</v>
      </c>
      <c r="R292" s="256"/>
      <c r="S292" s="256">
        <v>2</v>
      </c>
      <c r="T292" s="256"/>
      <c r="U292" s="256"/>
      <c r="V292" s="256"/>
      <c r="W292" s="256" t="s">
        <v>1652</v>
      </c>
      <c r="X292" s="259">
        <v>46076.315972222219</v>
      </c>
      <c r="Y292" s="256" t="s">
        <v>1716</v>
      </c>
      <c r="Z292" s="256" t="s">
        <v>2024</v>
      </c>
      <c r="AA292" s="256" t="s">
        <v>1654</v>
      </c>
      <c r="AB292" s="256"/>
      <c r="AC292" s="256"/>
      <c r="AD292" s="256" t="s">
        <v>2034</v>
      </c>
      <c r="AE292" s="256" t="s">
        <v>252</v>
      </c>
    </row>
    <row r="293" spans="1:31">
      <c r="A293" s="256" t="s">
        <v>1714</v>
      </c>
      <c r="B293" s="256" t="s">
        <v>1511</v>
      </c>
      <c r="C293" s="256" t="s">
        <v>280</v>
      </c>
      <c r="D293" s="256" t="s">
        <v>1715</v>
      </c>
      <c r="E293" s="256">
        <v>4386528</v>
      </c>
      <c r="F293" s="256">
        <v>4386548</v>
      </c>
      <c r="G293" s="256" t="s">
        <v>893</v>
      </c>
      <c r="H293" s="256" t="s">
        <v>242</v>
      </c>
      <c r="I293" s="256" t="s">
        <v>268</v>
      </c>
      <c r="J293" s="256" t="s">
        <v>1488</v>
      </c>
      <c r="K293" s="259">
        <v>46132.229166666664</v>
      </c>
      <c r="L293" s="256"/>
      <c r="M293" s="259">
        <v>46133.229166666664</v>
      </c>
      <c r="N293" s="256"/>
      <c r="O293" s="256" t="s">
        <v>2079</v>
      </c>
      <c r="P293" s="259">
        <v>46151.229166666664</v>
      </c>
      <c r="Q293" s="256">
        <v>8</v>
      </c>
      <c r="R293" s="256"/>
      <c r="S293" s="256">
        <v>2</v>
      </c>
      <c r="T293" s="256"/>
      <c r="U293" s="256"/>
      <c r="V293" s="256"/>
      <c r="W293" s="256" t="s">
        <v>1652</v>
      </c>
      <c r="X293" s="259">
        <v>46076.317361111112</v>
      </c>
      <c r="Y293" s="256" t="s">
        <v>1716</v>
      </c>
      <c r="Z293" s="256" t="s">
        <v>2024</v>
      </c>
      <c r="AA293" s="256" t="s">
        <v>1654</v>
      </c>
      <c r="AB293" s="256"/>
      <c r="AC293" s="256"/>
      <c r="AD293" s="256" t="s">
        <v>2034</v>
      </c>
      <c r="AE293" s="256" t="s">
        <v>252</v>
      </c>
    </row>
    <row r="294" spans="1:31">
      <c r="A294" s="256" t="s">
        <v>1714</v>
      </c>
      <c r="B294" s="256" t="s">
        <v>1511</v>
      </c>
      <c r="C294" s="256" t="s">
        <v>280</v>
      </c>
      <c r="D294" s="256" t="s">
        <v>1715</v>
      </c>
      <c r="E294" s="256">
        <v>4386528</v>
      </c>
      <c r="F294" s="256">
        <v>4386549</v>
      </c>
      <c r="G294" s="256" t="s">
        <v>894</v>
      </c>
      <c r="H294" s="256" t="s">
        <v>242</v>
      </c>
      <c r="I294" s="256" t="s">
        <v>268</v>
      </c>
      <c r="J294" s="256" t="s">
        <v>1488</v>
      </c>
      <c r="K294" s="259">
        <v>46132.229166666664</v>
      </c>
      <c r="L294" s="256"/>
      <c r="M294" s="259">
        <v>46133.229166666664</v>
      </c>
      <c r="N294" s="256"/>
      <c r="O294" s="256" t="s">
        <v>2080</v>
      </c>
      <c r="P294" s="259">
        <v>46151.229166666664</v>
      </c>
      <c r="Q294" s="256">
        <v>8</v>
      </c>
      <c r="R294" s="256"/>
      <c r="S294" s="256">
        <v>2</v>
      </c>
      <c r="T294" s="256"/>
      <c r="U294" s="256"/>
      <c r="V294" s="256"/>
      <c r="W294" s="256" t="s">
        <v>1652</v>
      </c>
      <c r="X294" s="259">
        <v>46076.318055555559</v>
      </c>
      <c r="Y294" s="256" t="s">
        <v>1716</v>
      </c>
      <c r="Z294" s="256" t="s">
        <v>2024</v>
      </c>
      <c r="AA294" s="256" t="s">
        <v>1654</v>
      </c>
      <c r="AB294" s="256"/>
      <c r="AC294" s="256"/>
      <c r="AD294" s="256" t="s">
        <v>2034</v>
      </c>
      <c r="AE294" s="256" t="s">
        <v>252</v>
      </c>
    </row>
    <row r="295" spans="1:31">
      <c r="A295" s="256" t="s">
        <v>1714</v>
      </c>
      <c r="B295" s="256" t="s">
        <v>1511</v>
      </c>
      <c r="C295" s="256" t="s">
        <v>280</v>
      </c>
      <c r="D295" s="256" t="s">
        <v>1715</v>
      </c>
      <c r="E295" s="256">
        <v>4386528</v>
      </c>
      <c r="F295" s="256">
        <v>4386552</v>
      </c>
      <c r="G295" s="256" t="s">
        <v>895</v>
      </c>
      <c r="H295" s="256" t="s">
        <v>242</v>
      </c>
      <c r="I295" s="256" t="s">
        <v>268</v>
      </c>
      <c r="J295" s="256" t="s">
        <v>1488</v>
      </c>
      <c r="K295" s="259">
        <v>46132.229166666664</v>
      </c>
      <c r="L295" s="256"/>
      <c r="M295" s="259">
        <v>46133.229166666664</v>
      </c>
      <c r="N295" s="256"/>
      <c r="O295" s="256" t="s">
        <v>2080</v>
      </c>
      <c r="P295" s="259">
        <v>46151.229166666664</v>
      </c>
      <c r="Q295" s="256">
        <v>8</v>
      </c>
      <c r="R295" s="256"/>
      <c r="S295" s="256">
        <v>2</v>
      </c>
      <c r="T295" s="256"/>
      <c r="U295" s="256"/>
      <c r="V295" s="256"/>
      <c r="W295" s="256" t="s">
        <v>1652</v>
      </c>
      <c r="X295" s="259">
        <v>46076.321527777778</v>
      </c>
      <c r="Y295" s="256" t="s">
        <v>1716</v>
      </c>
      <c r="Z295" s="256" t="s">
        <v>2024</v>
      </c>
      <c r="AA295" s="256" t="s">
        <v>1654</v>
      </c>
      <c r="AB295" s="256"/>
      <c r="AC295" s="256"/>
      <c r="AD295" s="256" t="s">
        <v>2034</v>
      </c>
      <c r="AE295" s="256" t="s">
        <v>252</v>
      </c>
    </row>
    <row r="296" spans="1:31">
      <c r="A296" s="256" t="s">
        <v>1714</v>
      </c>
      <c r="B296" s="256" t="s">
        <v>1511</v>
      </c>
      <c r="C296" s="256" t="s">
        <v>280</v>
      </c>
      <c r="D296" s="256" t="s">
        <v>1715</v>
      </c>
      <c r="E296" s="256">
        <v>4386528</v>
      </c>
      <c r="F296" s="256">
        <v>4386553</v>
      </c>
      <c r="G296" s="256" t="s">
        <v>896</v>
      </c>
      <c r="H296" s="256" t="s">
        <v>242</v>
      </c>
      <c r="I296" s="256" t="s">
        <v>268</v>
      </c>
      <c r="J296" s="256" t="s">
        <v>1488</v>
      </c>
      <c r="K296" s="259">
        <v>46132.229166666664</v>
      </c>
      <c r="L296" s="256"/>
      <c r="M296" s="259">
        <v>46133.229166666664</v>
      </c>
      <c r="N296" s="256"/>
      <c r="O296" s="256" t="s">
        <v>2081</v>
      </c>
      <c r="P296" s="259">
        <v>46151.229166666664</v>
      </c>
      <c r="Q296" s="256">
        <v>5</v>
      </c>
      <c r="R296" s="256"/>
      <c r="S296" s="256">
        <v>2</v>
      </c>
      <c r="T296" s="256"/>
      <c r="U296" s="256"/>
      <c r="V296" s="256"/>
      <c r="W296" s="256" t="s">
        <v>1652</v>
      </c>
      <c r="X296" s="259">
        <v>46076.322222222225</v>
      </c>
      <c r="Y296" s="256" t="s">
        <v>1716</v>
      </c>
      <c r="Z296" s="256" t="s">
        <v>2024</v>
      </c>
      <c r="AA296" s="256" t="s">
        <v>1654</v>
      </c>
      <c r="AB296" s="256"/>
      <c r="AC296" s="256"/>
      <c r="AD296" s="256" t="s">
        <v>2034</v>
      </c>
      <c r="AE296" s="256" t="s">
        <v>252</v>
      </c>
    </row>
    <row r="297" spans="1:31">
      <c r="A297" s="256" t="s">
        <v>1714</v>
      </c>
      <c r="B297" s="256" t="s">
        <v>1511</v>
      </c>
      <c r="C297" s="256" t="s">
        <v>280</v>
      </c>
      <c r="D297" s="256" t="s">
        <v>1715</v>
      </c>
      <c r="E297" s="256">
        <v>4386528</v>
      </c>
      <c r="F297" s="256">
        <v>4386555</v>
      </c>
      <c r="G297" s="256" t="s">
        <v>898</v>
      </c>
      <c r="H297" s="256" t="s">
        <v>242</v>
      </c>
      <c r="I297" s="256" t="s">
        <v>268</v>
      </c>
      <c r="J297" s="256" t="s">
        <v>1488</v>
      </c>
      <c r="K297" s="259">
        <v>46132.229166666664</v>
      </c>
      <c r="L297" s="256"/>
      <c r="M297" s="259">
        <v>46133.229166666664</v>
      </c>
      <c r="N297" s="256"/>
      <c r="O297" s="256" t="s">
        <v>2077</v>
      </c>
      <c r="P297" s="259">
        <v>46151.229166666664</v>
      </c>
      <c r="Q297" s="256">
        <v>8</v>
      </c>
      <c r="R297" s="256"/>
      <c r="S297" s="256">
        <v>1</v>
      </c>
      <c r="T297" s="256"/>
      <c r="U297" s="256"/>
      <c r="V297" s="256"/>
      <c r="W297" s="256" t="s">
        <v>1652</v>
      </c>
      <c r="X297" s="259">
        <v>46076.322916666664</v>
      </c>
      <c r="Y297" s="256" t="s">
        <v>1716</v>
      </c>
      <c r="Z297" s="256" t="s">
        <v>2024</v>
      </c>
      <c r="AA297" s="256" t="s">
        <v>1654</v>
      </c>
      <c r="AB297" s="256"/>
      <c r="AC297" s="256"/>
      <c r="AD297" s="256" t="s">
        <v>2034</v>
      </c>
      <c r="AE297" s="256" t="s">
        <v>252</v>
      </c>
    </row>
    <row r="298" spans="1:31">
      <c r="A298" s="256" t="s">
        <v>1714</v>
      </c>
      <c r="B298" s="256" t="s">
        <v>1511</v>
      </c>
      <c r="C298" s="256" t="s">
        <v>280</v>
      </c>
      <c r="D298" s="256" t="s">
        <v>1715</v>
      </c>
      <c r="E298" s="256">
        <v>4386528</v>
      </c>
      <c r="F298" s="256">
        <v>4389872</v>
      </c>
      <c r="G298" s="256" t="s">
        <v>899</v>
      </c>
      <c r="H298" s="256" t="s">
        <v>242</v>
      </c>
      <c r="I298" s="256" t="s">
        <v>268</v>
      </c>
      <c r="J298" s="256" t="s">
        <v>1488</v>
      </c>
      <c r="K298" s="259">
        <v>46134.229166666664</v>
      </c>
      <c r="L298" s="256"/>
      <c r="M298" s="259">
        <v>46134.229166666664</v>
      </c>
      <c r="N298" s="256"/>
      <c r="O298" s="256" t="s">
        <v>2082</v>
      </c>
      <c r="P298" s="259">
        <v>46151.229166666664</v>
      </c>
      <c r="Q298" s="256">
        <v>8</v>
      </c>
      <c r="R298" s="256"/>
      <c r="S298" s="256">
        <v>2</v>
      </c>
      <c r="T298" s="256"/>
      <c r="U298" s="256"/>
      <c r="V298" s="256"/>
      <c r="W298" s="256" t="s">
        <v>1652</v>
      </c>
      <c r="X298" s="259">
        <v>46077.470138888886</v>
      </c>
      <c r="Y298" s="256" t="s">
        <v>1718</v>
      </c>
      <c r="Z298" s="256" t="s">
        <v>2024</v>
      </c>
      <c r="AA298" s="256" t="s">
        <v>1654</v>
      </c>
      <c r="AB298" s="256"/>
      <c r="AC298" s="256"/>
      <c r="AD298" s="256" t="s">
        <v>2083</v>
      </c>
      <c r="AE298" s="256" t="s">
        <v>252</v>
      </c>
    </row>
    <row r="299" spans="1:31">
      <c r="A299" s="256" t="s">
        <v>281</v>
      </c>
      <c r="B299" s="256" t="s">
        <v>1511</v>
      </c>
      <c r="C299" s="256" t="s">
        <v>280</v>
      </c>
      <c r="D299" s="256" t="s">
        <v>281</v>
      </c>
      <c r="E299" s="256">
        <v>4372279</v>
      </c>
      <c r="F299" s="256">
        <v>4373606</v>
      </c>
      <c r="G299" s="256" t="s">
        <v>872</v>
      </c>
      <c r="H299" s="256" t="s">
        <v>783</v>
      </c>
      <c r="I299" s="256" t="s">
        <v>271</v>
      </c>
      <c r="J299" s="256" t="s">
        <v>1488</v>
      </c>
      <c r="K299" s="259">
        <v>46123.020833333336</v>
      </c>
      <c r="L299" s="259">
        <v>46123.0625</v>
      </c>
      <c r="M299" s="259">
        <v>46128.0625</v>
      </c>
      <c r="N299" s="259">
        <v>46128.03402777778</v>
      </c>
      <c r="O299" s="256" t="s">
        <v>1514</v>
      </c>
      <c r="P299" s="259">
        <v>46151.229166666664</v>
      </c>
      <c r="Q299" s="256">
        <v>8</v>
      </c>
      <c r="R299" s="256"/>
      <c r="S299" s="256">
        <v>2</v>
      </c>
      <c r="T299" s="256"/>
      <c r="U299" s="256" t="s">
        <v>1</v>
      </c>
      <c r="V299" s="256" t="s">
        <v>1</v>
      </c>
      <c r="W299" s="256" t="s">
        <v>1786</v>
      </c>
      <c r="X299" s="259">
        <v>46072.113194444442</v>
      </c>
      <c r="Y299" s="256" t="s">
        <v>2036</v>
      </c>
      <c r="Z299" s="256" t="s">
        <v>2006</v>
      </c>
      <c r="AA299" s="256" t="s">
        <v>2053</v>
      </c>
      <c r="AB299" s="256"/>
      <c r="AC299" s="256"/>
      <c r="AD299" s="256" t="s">
        <v>2063</v>
      </c>
      <c r="AE299" s="256" t="s">
        <v>252</v>
      </c>
    </row>
    <row r="300" spans="1:31">
      <c r="A300" s="256" t="s">
        <v>281</v>
      </c>
      <c r="B300" s="256" t="s">
        <v>1511</v>
      </c>
      <c r="C300" s="256" t="s">
        <v>280</v>
      </c>
      <c r="D300" s="256" t="s">
        <v>280</v>
      </c>
      <c r="E300" s="256">
        <v>4372279</v>
      </c>
      <c r="F300" s="256">
        <v>4373608</v>
      </c>
      <c r="G300" s="256" t="s">
        <v>873</v>
      </c>
      <c r="H300" s="256" t="s">
        <v>783</v>
      </c>
      <c r="I300" s="256" t="s">
        <v>271</v>
      </c>
      <c r="J300" s="256" t="s">
        <v>1488</v>
      </c>
      <c r="K300" s="259">
        <v>46123.020833333336</v>
      </c>
      <c r="L300" s="259">
        <v>46123.0625</v>
      </c>
      <c r="M300" s="259">
        <v>46128.0625</v>
      </c>
      <c r="N300" s="259">
        <v>46128.043055555558</v>
      </c>
      <c r="O300" s="256" t="s">
        <v>1514</v>
      </c>
      <c r="P300" s="259">
        <v>46151.229166666664</v>
      </c>
      <c r="Q300" s="256">
        <v>5</v>
      </c>
      <c r="R300" s="256"/>
      <c r="S300" s="256">
        <v>2</v>
      </c>
      <c r="T300" s="256"/>
      <c r="U300" s="256" t="s">
        <v>1</v>
      </c>
      <c r="V300" s="256" t="s">
        <v>1</v>
      </c>
      <c r="W300" s="256" t="s">
        <v>1786</v>
      </c>
      <c r="X300" s="259">
        <v>46072.121527777781</v>
      </c>
      <c r="Y300" s="256"/>
      <c r="Z300" s="256" t="s">
        <v>2006</v>
      </c>
      <c r="AA300" s="256" t="s">
        <v>2053</v>
      </c>
      <c r="AB300" s="256"/>
      <c r="AC300" s="256"/>
      <c r="AD300" s="256" t="s">
        <v>281</v>
      </c>
      <c r="AE300" s="256" t="s">
        <v>252</v>
      </c>
    </row>
    <row r="301" spans="1:31">
      <c r="A301" s="256" t="s">
        <v>281</v>
      </c>
      <c r="B301" s="256" t="s">
        <v>1511</v>
      </c>
      <c r="C301" s="256" t="s">
        <v>280</v>
      </c>
      <c r="D301" s="256" t="s">
        <v>280</v>
      </c>
      <c r="E301" s="256">
        <v>4372279</v>
      </c>
      <c r="F301" s="256">
        <v>4373612</v>
      </c>
      <c r="G301" s="256" t="s">
        <v>2084</v>
      </c>
      <c r="H301" s="256" t="s">
        <v>305</v>
      </c>
      <c r="I301" s="256" t="s">
        <v>271</v>
      </c>
      <c r="J301" s="256" t="s">
        <v>1488</v>
      </c>
      <c r="K301" s="259">
        <v>46129.229166666664</v>
      </c>
      <c r="L301" s="259">
        <v>46128.0625</v>
      </c>
      <c r="M301" s="259">
        <v>46132.979166666664</v>
      </c>
      <c r="N301" s="256"/>
      <c r="O301" s="256" t="s">
        <v>2085</v>
      </c>
      <c r="P301" s="259">
        <v>46151.229166666664</v>
      </c>
      <c r="Q301" s="256">
        <v>3</v>
      </c>
      <c r="R301" s="256"/>
      <c r="S301" s="256">
        <v>2</v>
      </c>
      <c r="T301" s="256"/>
      <c r="U301" s="256" t="s">
        <v>1</v>
      </c>
      <c r="V301" s="256" t="s">
        <v>1</v>
      </c>
      <c r="W301" s="256" t="s">
        <v>1786</v>
      </c>
      <c r="X301" s="259">
        <v>46072.129166666666</v>
      </c>
      <c r="Y301" s="256"/>
      <c r="Z301" s="256" t="s">
        <v>2006</v>
      </c>
      <c r="AA301" s="256" t="s">
        <v>2051</v>
      </c>
      <c r="AB301" s="256"/>
      <c r="AC301" s="256"/>
      <c r="AD301" s="256" t="s">
        <v>281</v>
      </c>
      <c r="AE301" s="256" t="s">
        <v>252</v>
      </c>
    </row>
    <row r="302" spans="1:31">
      <c r="A302" s="256" t="s">
        <v>281</v>
      </c>
      <c r="B302" s="256" t="s">
        <v>1511</v>
      </c>
      <c r="C302" s="256" t="s">
        <v>280</v>
      </c>
      <c r="D302" s="256" t="s">
        <v>280</v>
      </c>
      <c r="E302" s="256">
        <v>4372279</v>
      </c>
      <c r="F302" s="256">
        <v>4373619</v>
      </c>
      <c r="G302" s="256" t="s">
        <v>2086</v>
      </c>
      <c r="H302" s="256" t="s">
        <v>359</v>
      </c>
      <c r="I302" s="256" t="s">
        <v>271</v>
      </c>
      <c r="J302" s="256" t="s">
        <v>1488</v>
      </c>
      <c r="K302" s="259">
        <v>46127.229166666664</v>
      </c>
      <c r="L302" s="259">
        <v>46128.0625</v>
      </c>
      <c r="M302" s="259">
        <v>46132.979166666664</v>
      </c>
      <c r="N302" s="256"/>
      <c r="O302" s="256" t="s">
        <v>2087</v>
      </c>
      <c r="P302" s="259">
        <v>46151.229166666664</v>
      </c>
      <c r="Q302" s="256">
        <v>3</v>
      </c>
      <c r="R302" s="256"/>
      <c r="S302" s="256">
        <v>2</v>
      </c>
      <c r="T302" s="256"/>
      <c r="U302" s="256" t="s">
        <v>1</v>
      </c>
      <c r="V302" s="256" t="s">
        <v>1</v>
      </c>
      <c r="W302" s="256" t="s">
        <v>1786</v>
      </c>
      <c r="X302" s="259">
        <v>46072.138888888891</v>
      </c>
      <c r="Y302" s="256"/>
      <c r="Z302" s="256" t="s">
        <v>2006</v>
      </c>
      <c r="AA302" s="256" t="s">
        <v>2051</v>
      </c>
      <c r="AB302" s="256"/>
      <c r="AC302" s="256"/>
      <c r="AD302" s="256" t="s">
        <v>281</v>
      </c>
      <c r="AE302" s="256" t="s">
        <v>252</v>
      </c>
    </row>
    <row r="303" spans="1:31">
      <c r="A303" s="256" t="s">
        <v>281</v>
      </c>
      <c r="B303" s="256" t="s">
        <v>1511</v>
      </c>
      <c r="C303" s="256" t="s">
        <v>280</v>
      </c>
      <c r="D303" s="256" t="s">
        <v>280</v>
      </c>
      <c r="E303" s="256">
        <v>4372279</v>
      </c>
      <c r="F303" s="256">
        <v>4373625</v>
      </c>
      <c r="G303" s="256" t="s">
        <v>2088</v>
      </c>
      <c r="H303" s="256" t="s">
        <v>305</v>
      </c>
      <c r="I303" s="256" t="s">
        <v>271</v>
      </c>
      <c r="J303" s="256" t="s">
        <v>1488</v>
      </c>
      <c r="K303" s="259">
        <v>46134.729166666664</v>
      </c>
      <c r="L303" s="259">
        <v>46128.872916666667</v>
      </c>
      <c r="M303" s="259">
        <v>46135.229166666664</v>
      </c>
      <c r="N303" s="256"/>
      <c r="O303" s="256" t="s">
        <v>2089</v>
      </c>
      <c r="P303" s="259">
        <v>46151.229166666664</v>
      </c>
      <c r="Q303" s="256">
        <v>8</v>
      </c>
      <c r="R303" s="256"/>
      <c r="S303" s="256">
        <v>2</v>
      </c>
      <c r="T303" s="256"/>
      <c r="U303" s="256" t="s">
        <v>1</v>
      </c>
      <c r="V303" s="256" t="s">
        <v>1</v>
      </c>
      <c r="W303" s="256" t="s">
        <v>1786</v>
      </c>
      <c r="X303" s="259">
        <v>46072.152083333334</v>
      </c>
      <c r="Y303" s="256"/>
      <c r="Z303" s="256" t="s">
        <v>2006</v>
      </c>
      <c r="AA303" s="256" t="s">
        <v>2007</v>
      </c>
      <c r="AB303" s="256"/>
      <c r="AC303" s="256"/>
      <c r="AD303" s="256" t="s">
        <v>281</v>
      </c>
      <c r="AE303" s="256" t="s">
        <v>252</v>
      </c>
    </row>
    <row r="304" spans="1:31">
      <c r="A304" s="256" t="s">
        <v>281</v>
      </c>
      <c r="B304" s="256" t="s">
        <v>1511</v>
      </c>
      <c r="C304" s="256" t="s">
        <v>280</v>
      </c>
      <c r="D304" s="256" t="s">
        <v>281</v>
      </c>
      <c r="E304" s="256">
        <v>4372279</v>
      </c>
      <c r="F304" s="256">
        <v>4373629</v>
      </c>
      <c r="G304" s="256" t="s">
        <v>877</v>
      </c>
      <c r="H304" s="256" t="s">
        <v>305</v>
      </c>
      <c r="I304" s="256" t="s">
        <v>2070</v>
      </c>
      <c r="J304" s="256" t="s">
        <v>1488</v>
      </c>
      <c r="K304" s="259">
        <v>46129.229166666664</v>
      </c>
      <c r="L304" s="259">
        <v>46127.910416666666</v>
      </c>
      <c r="M304" s="259">
        <v>46132.979166666664</v>
      </c>
      <c r="N304" s="256"/>
      <c r="O304" s="256" t="s">
        <v>2090</v>
      </c>
      <c r="P304" s="259">
        <v>46151.229166666664</v>
      </c>
      <c r="Q304" s="256">
        <v>8</v>
      </c>
      <c r="R304" s="256"/>
      <c r="S304" s="256">
        <v>2</v>
      </c>
      <c r="T304" s="256"/>
      <c r="U304" s="256" t="s">
        <v>1</v>
      </c>
      <c r="V304" s="256" t="s">
        <v>1</v>
      </c>
      <c r="W304" s="256" t="s">
        <v>1786</v>
      </c>
      <c r="X304" s="259">
        <v>46072.161111111112</v>
      </c>
      <c r="Y304" s="256"/>
      <c r="Z304" s="256" t="s">
        <v>2072</v>
      </c>
      <c r="AA304" s="256" t="s">
        <v>2091</v>
      </c>
      <c r="AB304" s="256"/>
      <c r="AC304" s="256"/>
      <c r="AD304" s="256" t="s">
        <v>281</v>
      </c>
      <c r="AE304" s="256" t="s">
        <v>252</v>
      </c>
    </row>
    <row r="305" spans="1:31">
      <c r="A305" s="256" t="s">
        <v>2092</v>
      </c>
      <c r="B305" s="256" t="s">
        <v>1511</v>
      </c>
      <c r="C305" s="256" t="s">
        <v>280</v>
      </c>
      <c r="D305" s="256" t="s">
        <v>1704</v>
      </c>
      <c r="E305" s="256">
        <v>4387285</v>
      </c>
      <c r="F305" s="256">
        <v>4388435</v>
      </c>
      <c r="G305" s="256" t="s">
        <v>979</v>
      </c>
      <c r="H305" s="256" t="s">
        <v>198</v>
      </c>
      <c r="I305" s="256" t="s">
        <v>2093</v>
      </c>
      <c r="J305" s="256" t="s">
        <v>1488</v>
      </c>
      <c r="K305" s="259">
        <v>46143.020833333336</v>
      </c>
      <c r="L305" s="256"/>
      <c r="M305" s="256"/>
      <c r="N305" s="256"/>
      <c r="O305" s="256" t="s">
        <v>2094</v>
      </c>
      <c r="P305" s="259">
        <v>46151.229166666664</v>
      </c>
      <c r="Q305" s="256"/>
      <c r="R305" s="256"/>
      <c r="S305" s="256">
        <v>1</v>
      </c>
      <c r="T305" s="256"/>
      <c r="U305" s="256"/>
      <c r="V305" s="256"/>
      <c r="W305" s="256" t="s">
        <v>1705</v>
      </c>
      <c r="X305" s="259">
        <v>46076.819444444445</v>
      </c>
      <c r="Y305" s="256" t="s">
        <v>2095</v>
      </c>
      <c r="Z305" s="256" t="s">
        <v>2096</v>
      </c>
      <c r="AA305" s="256" t="s">
        <v>2097</v>
      </c>
      <c r="AB305" s="256"/>
      <c r="AC305" s="256"/>
      <c r="AD305" s="256" t="s">
        <v>2098</v>
      </c>
      <c r="AE305" s="256" t="s">
        <v>252</v>
      </c>
    </row>
    <row r="306" spans="1:31">
      <c r="A306" s="256" t="s">
        <v>421</v>
      </c>
      <c r="B306" s="256" t="s">
        <v>1511</v>
      </c>
      <c r="C306" s="256" t="s">
        <v>280</v>
      </c>
      <c r="D306" s="256" t="s">
        <v>255</v>
      </c>
      <c r="E306" s="256">
        <v>4341363</v>
      </c>
      <c r="F306" s="256">
        <v>4394479</v>
      </c>
      <c r="G306" s="256" t="s">
        <v>900</v>
      </c>
      <c r="H306" s="256" t="s">
        <v>305</v>
      </c>
      <c r="I306" s="256" t="s">
        <v>271</v>
      </c>
      <c r="J306" s="256" t="s">
        <v>1488</v>
      </c>
      <c r="K306" s="259">
        <v>46134.729166666664</v>
      </c>
      <c r="L306" s="259">
        <v>46121.0625</v>
      </c>
      <c r="M306" s="256"/>
      <c r="N306" s="256"/>
      <c r="O306" s="256" t="s">
        <v>2019</v>
      </c>
      <c r="P306" s="259">
        <v>46151.229166666664</v>
      </c>
      <c r="Q306" s="256">
        <v>3</v>
      </c>
      <c r="R306" s="256"/>
      <c r="S306" s="256">
        <v>1</v>
      </c>
      <c r="T306" s="256"/>
      <c r="U306" s="256" t="s">
        <v>1</v>
      </c>
      <c r="V306" s="256" t="s">
        <v>1</v>
      </c>
      <c r="W306" s="256" t="s">
        <v>1515</v>
      </c>
      <c r="X306" s="259">
        <v>46080.708333333336</v>
      </c>
      <c r="Y306" s="256" t="s">
        <v>2099</v>
      </c>
      <c r="Z306" s="256" t="s">
        <v>2006</v>
      </c>
      <c r="AA306" s="256" t="s">
        <v>2007</v>
      </c>
      <c r="AB306" s="256"/>
      <c r="AC306" s="256"/>
      <c r="AD306" s="256" t="s">
        <v>2100</v>
      </c>
      <c r="AE306" s="256" t="s">
        <v>252</v>
      </c>
    </row>
    <row r="307" spans="1:31">
      <c r="A307" s="256" t="s">
        <v>256</v>
      </c>
      <c r="B307" s="256" t="s">
        <v>1511</v>
      </c>
      <c r="C307" s="256" t="s">
        <v>280</v>
      </c>
      <c r="D307" s="256" t="s">
        <v>255</v>
      </c>
      <c r="E307" s="256">
        <v>4313249</v>
      </c>
      <c r="F307" s="256">
        <v>4372175</v>
      </c>
      <c r="G307" s="256" t="s">
        <v>871</v>
      </c>
      <c r="H307" s="256" t="s">
        <v>242</v>
      </c>
      <c r="I307" s="256" t="s">
        <v>271</v>
      </c>
      <c r="J307" s="256" t="s">
        <v>1488</v>
      </c>
      <c r="K307" s="259">
        <v>46134.729166666664</v>
      </c>
      <c r="L307" s="256"/>
      <c r="M307" s="256"/>
      <c r="N307" s="256"/>
      <c r="O307" s="256" t="s">
        <v>2047</v>
      </c>
      <c r="P307" s="259">
        <v>46151.229166666664</v>
      </c>
      <c r="Q307" s="256">
        <v>5</v>
      </c>
      <c r="R307" s="256"/>
      <c r="S307" s="256">
        <v>2</v>
      </c>
      <c r="T307" s="256"/>
      <c r="U307" s="256"/>
      <c r="V307" s="256"/>
      <c r="W307" s="256" t="s">
        <v>1515</v>
      </c>
      <c r="X307" s="259">
        <v>46071.465277777781</v>
      </c>
      <c r="Y307" s="256" t="s">
        <v>1560</v>
      </c>
      <c r="Z307" s="256" t="s">
        <v>2006</v>
      </c>
      <c r="AA307" s="256" t="s">
        <v>2007</v>
      </c>
      <c r="AB307" s="256"/>
      <c r="AC307" s="256"/>
      <c r="AD307" s="256" t="s">
        <v>1713</v>
      </c>
      <c r="AE307" s="256" t="s">
        <v>252</v>
      </c>
    </row>
    <row r="308" spans="1:31">
      <c r="A308" s="256" t="s">
        <v>2092</v>
      </c>
      <c r="B308" s="256" t="s">
        <v>1511</v>
      </c>
      <c r="C308" s="256" t="s">
        <v>280</v>
      </c>
      <c r="D308" s="256" t="s">
        <v>2043</v>
      </c>
      <c r="E308" s="256">
        <v>4387285</v>
      </c>
      <c r="F308" s="256">
        <v>4370640</v>
      </c>
      <c r="G308" s="256" t="s">
        <v>860</v>
      </c>
      <c r="H308" s="256" t="s">
        <v>242</v>
      </c>
      <c r="I308" s="256" t="s">
        <v>2093</v>
      </c>
      <c r="J308" s="256" t="s">
        <v>1488</v>
      </c>
      <c r="K308" s="259">
        <v>46130.020833333336</v>
      </c>
      <c r="L308" s="256"/>
      <c r="M308" s="259">
        <v>46133.229166666664</v>
      </c>
      <c r="N308" s="256"/>
      <c r="O308" s="256" t="s">
        <v>2101</v>
      </c>
      <c r="P308" s="259">
        <v>46151.229166666664</v>
      </c>
      <c r="Q308" s="256">
        <v>8</v>
      </c>
      <c r="R308" s="256"/>
      <c r="S308" s="256">
        <v>2</v>
      </c>
      <c r="T308" s="256"/>
      <c r="U308" s="256" t="s">
        <v>1</v>
      </c>
      <c r="V308" s="256" t="s">
        <v>1</v>
      </c>
      <c r="W308" s="256" t="s">
        <v>1705</v>
      </c>
      <c r="X308" s="259">
        <v>46069.960416666669</v>
      </c>
      <c r="Y308" s="256"/>
      <c r="Z308" s="256" t="s">
        <v>2096</v>
      </c>
      <c r="AA308" s="256" t="s">
        <v>2097</v>
      </c>
      <c r="AB308" s="256"/>
      <c r="AC308" s="256"/>
      <c r="AD308" s="256" t="s">
        <v>1704</v>
      </c>
      <c r="AE308" s="256" t="s">
        <v>252</v>
      </c>
    </row>
    <row r="309" spans="1:31">
      <c r="A309" s="256" t="s">
        <v>2092</v>
      </c>
      <c r="B309" s="256" t="s">
        <v>1511</v>
      </c>
      <c r="C309" s="256" t="s">
        <v>280</v>
      </c>
      <c r="D309" s="256" t="s">
        <v>2043</v>
      </c>
      <c r="E309" s="256">
        <v>4387285</v>
      </c>
      <c r="F309" s="256">
        <v>4370648</v>
      </c>
      <c r="G309" s="256" t="s">
        <v>863</v>
      </c>
      <c r="H309" s="256" t="s">
        <v>242</v>
      </c>
      <c r="I309" s="256" t="s">
        <v>2093</v>
      </c>
      <c r="J309" s="256" t="s">
        <v>1488</v>
      </c>
      <c r="K309" s="259">
        <v>46130.020833333336</v>
      </c>
      <c r="L309" s="256"/>
      <c r="M309" s="259">
        <v>46133.229166666664</v>
      </c>
      <c r="N309" s="256"/>
      <c r="O309" s="256" t="s">
        <v>2102</v>
      </c>
      <c r="P309" s="259">
        <v>46151.229166666664</v>
      </c>
      <c r="Q309" s="256">
        <v>8</v>
      </c>
      <c r="R309" s="256"/>
      <c r="S309" s="256">
        <v>2</v>
      </c>
      <c r="T309" s="256"/>
      <c r="U309" s="256" t="s">
        <v>1</v>
      </c>
      <c r="V309" s="256" t="s">
        <v>1</v>
      </c>
      <c r="W309" s="256" t="s">
        <v>1705</v>
      </c>
      <c r="X309" s="259">
        <v>46069.970833333333</v>
      </c>
      <c r="Y309" s="256"/>
      <c r="Z309" s="256" t="s">
        <v>2096</v>
      </c>
      <c r="AA309" s="256" t="s">
        <v>2097</v>
      </c>
      <c r="AB309" s="256"/>
      <c r="AC309" s="256"/>
      <c r="AD309" s="256" t="s">
        <v>1704</v>
      </c>
      <c r="AE309" s="256" t="s">
        <v>252</v>
      </c>
    </row>
    <row r="310" spans="1:31">
      <c r="A310" s="256" t="s">
        <v>2092</v>
      </c>
      <c r="B310" s="256" t="s">
        <v>1511</v>
      </c>
      <c r="C310" s="256" t="s">
        <v>280</v>
      </c>
      <c r="D310" s="256" t="s">
        <v>2043</v>
      </c>
      <c r="E310" s="256">
        <v>4387285</v>
      </c>
      <c r="F310" s="256">
        <v>4370649</v>
      </c>
      <c r="G310" s="256" t="s">
        <v>864</v>
      </c>
      <c r="H310" s="256" t="s">
        <v>242</v>
      </c>
      <c r="I310" s="256" t="s">
        <v>2093</v>
      </c>
      <c r="J310" s="256" t="s">
        <v>1488</v>
      </c>
      <c r="K310" s="259">
        <v>46130.020833333336</v>
      </c>
      <c r="L310" s="256"/>
      <c r="M310" s="259">
        <v>46133.229166666664</v>
      </c>
      <c r="N310" s="256"/>
      <c r="O310" s="256" t="s">
        <v>2103</v>
      </c>
      <c r="P310" s="259">
        <v>46151.229166666664</v>
      </c>
      <c r="Q310" s="256">
        <v>8</v>
      </c>
      <c r="R310" s="256"/>
      <c r="S310" s="256">
        <v>2</v>
      </c>
      <c r="T310" s="256"/>
      <c r="U310" s="256" t="s">
        <v>1</v>
      </c>
      <c r="V310" s="256" t="s">
        <v>1</v>
      </c>
      <c r="W310" s="256" t="s">
        <v>1705</v>
      </c>
      <c r="X310" s="259">
        <v>46069.974305555559</v>
      </c>
      <c r="Y310" s="256"/>
      <c r="Z310" s="256" t="s">
        <v>2096</v>
      </c>
      <c r="AA310" s="256" t="s">
        <v>2097</v>
      </c>
      <c r="AB310" s="256"/>
      <c r="AC310" s="256"/>
      <c r="AD310" s="256" t="s">
        <v>1704</v>
      </c>
      <c r="AE310" s="256" t="s">
        <v>252</v>
      </c>
    </row>
    <row r="311" spans="1:31">
      <c r="A311" s="256" t="s">
        <v>2092</v>
      </c>
      <c r="B311" s="256" t="s">
        <v>1511</v>
      </c>
      <c r="C311" s="256" t="s">
        <v>280</v>
      </c>
      <c r="D311" s="256" t="s">
        <v>2043</v>
      </c>
      <c r="E311" s="256">
        <v>4387285</v>
      </c>
      <c r="F311" s="256">
        <v>4370650</v>
      </c>
      <c r="G311" s="256" t="s">
        <v>866</v>
      </c>
      <c r="H311" s="256" t="s">
        <v>242</v>
      </c>
      <c r="I311" s="256" t="s">
        <v>2093</v>
      </c>
      <c r="J311" s="256" t="s">
        <v>1488</v>
      </c>
      <c r="K311" s="259">
        <v>46130.020833333336</v>
      </c>
      <c r="L311" s="256"/>
      <c r="M311" s="259">
        <v>46133.229166666664</v>
      </c>
      <c r="N311" s="256"/>
      <c r="O311" s="256" t="s">
        <v>2101</v>
      </c>
      <c r="P311" s="259">
        <v>46151.229166666664</v>
      </c>
      <c r="Q311" s="256">
        <v>8</v>
      </c>
      <c r="R311" s="256"/>
      <c r="S311" s="256">
        <v>2</v>
      </c>
      <c r="T311" s="256"/>
      <c r="U311" s="256" t="s">
        <v>1</v>
      </c>
      <c r="V311" s="256" t="s">
        <v>1</v>
      </c>
      <c r="W311" s="256" t="s">
        <v>1705</v>
      </c>
      <c r="X311" s="259">
        <v>46069.981249999997</v>
      </c>
      <c r="Y311" s="256"/>
      <c r="Z311" s="256" t="s">
        <v>2096</v>
      </c>
      <c r="AA311" s="256" t="s">
        <v>2097</v>
      </c>
      <c r="AB311" s="256"/>
      <c r="AC311" s="256"/>
      <c r="AD311" s="256" t="s">
        <v>1704</v>
      </c>
      <c r="AE311" s="256" t="s">
        <v>252</v>
      </c>
    </row>
    <row r="312" spans="1:31">
      <c r="A312" s="256" t="s">
        <v>2092</v>
      </c>
      <c r="B312" s="256" t="s">
        <v>1511</v>
      </c>
      <c r="C312" s="256" t="s">
        <v>280</v>
      </c>
      <c r="D312" s="256" t="s">
        <v>2043</v>
      </c>
      <c r="E312" s="256">
        <v>4387285</v>
      </c>
      <c r="F312" s="256">
        <v>4370651</v>
      </c>
      <c r="G312" s="256" t="s">
        <v>2104</v>
      </c>
      <c r="H312" s="256" t="s">
        <v>242</v>
      </c>
      <c r="I312" s="256" t="s">
        <v>2093</v>
      </c>
      <c r="J312" s="256" t="s">
        <v>1488</v>
      </c>
      <c r="K312" s="259">
        <v>46130.020833333336</v>
      </c>
      <c r="L312" s="256"/>
      <c r="M312" s="259">
        <v>46133.229166666664</v>
      </c>
      <c r="N312" s="256"/>
      <c r="O312" s="256" t="s">
        <v>2105</v>
      </c>
      <c r="P312" s="259">
        <v>46151.229166666664</v>
      </c>
      <c r="Q312" s="256">
        <v>8</v>
      </c>
      <c r="R312" s="256"/>
      <c r="S312" s="256">
        <v>2</v>
      </c>
      <c r="T312" s="256"/>
      <c r="U312" s="256" t="s">
        <v>1</v>
      </c>
      <c r="V312" s="256" t="s">
        <v>1</v>
      </c>
      <c r="W312" s="256" t="s">
        <v>1705</v>
      </c>
      <c r="X312" s="259">
        <v>46069.999305555553</v>
      </c>
      <c r="Y312" s="256"/>
      <c r="Z312" s="256" t="s">
        <v>2096</v>
      </c>
      <c r="AA312" s="256" t="s">
        <v>2097</v>
      </c>
      <c r="AB312" s="256"/>
      <c r="AC312" s="256"/>
      <c r="AD312" s="256" t="s">
        <v>1704</v>
      </c>
      <c r="AE312" s="256" t="s">
        <v>252</v>
      </c>
    </row>
    <row r="313" spans="1:31">
      <c r="A313" s="256" t="s">
        <v>256</v>
      </c>
      <c r="B313" s="256" t="s">
        <v>1511</v>
      </c>
      <c r="C313" s="256" t="s">
        <v>280</v>
      </c>
      <c r="D313" s="256" t="s">
        <v>255</v>
      </c>
      <c r="E313" s="256">
        <v>4313249</v>
      </c>
      <c r="F313" s="256">
        <v>4371240</v>
      </c>
      <c r="G313" s="256" t="s">
        <v>869</v>
      </c>
      <c r="H313" s="256" t="s">
        <v>242</v>
      </c>
      <c r="I313" s="256" t="s">
        <v>271</v>
      </c>
      <c r="J313" s="256" t="s">
        <v>1488</v>
      </c>
      <c r="K313" s="259">
        <v>46134.729166666664</v>
      </c>
      <c r="L313" s="256"/>
      <c r="M313" s="256"/>
      <c r="N313" s="256"/>
      <c r="O313" s="256" t="s">
        <v>2047</v>
      </c>
      <c r="P313" s="259">
        <v>46151.229166666664</v>
      </c>
      <c r="Q313" s="256">
        <v>3</v>
      </c>
      <c r="R313" s="256"/>
      <c r="S313" s="256">
        <v>2</v>
      </c>
      <c r="T313" s="256"/>
      <c r="U313" s="256"/>
      <c r="V313" s="256"/>
      <c r="W313" s="256" t="s">
        <v>1515</v>
      </c>
      <c r="X313" s="259">
        <v>46070.462500000001</v>
      </c>
      <c r="Y313" s="256" t="s">
        <v>1560</v>
      </c>
      <c r="Z313" s="256" t="s">
        <v>2006</v>
      </c>
      <c r="AA313" s="256" t="s">
        <v>2007</v>
      </c>
      <c r="AB313" s="256"/>
      <c r="AC313" s="256"/>
      <c r="AD313" s="256" t="s">
        <v>2074</v>
      </c>
      <c r="AE313" s="256" t="s">
        <v>252</v>
      </c>
    </row>
    <row r="314" spans="1:31">
      <c r="A314" s="256" t="s">
        <v>281</v>
      </c>
      <c r="B314" s="256" t="s">
        <v>1511</v>
      </c>
      <c r="C314" s="256" t="s">
        <v>280</v>
      </c>
      <c r="D314" s="256" t="s">
        <v>280</v>
      </c>
      <c r="E314" s="256">
        <v>4372279</v>
      </c>
      <c r="F314" s="256">
        <v>4367567</v>
      </c>
      <c r="G314" s="256" t="s">
        <v>2106</v>
      </c>
      <c r="H314" s="256" t="s">
        <v>242</v>
      </c>
      <c r="I314" s="256" t="s">
        <v>2070</v>
      </c>
      <c r="J314" s="256" t="s">
        <v>1488</v>
      </c>
      <c r="K314" s="259">
        <v>46132.229166666664</v>
      </c>
      <c r="L314" s="256"/>
      <c r="M314" s="259">
        <v>46133.229166666664</v>
      </c>
      <c r="N314" s="256"/>
      <c r="O314" s="256" t="s">
        <v>2071</v>
      </c>
      <c r="P314" s="259">
        <v>46151.229166666664</v>
      </c>
      <c r="Q314" s="256">
        <v>3</v>
      </c>
      <c r="R314" s="256"/>
      <c r="S314" s="256">
        <v>2</v>
      </c>
      <c r="T314" s="256"/>
      <c r="U314" s="256"/>
      <c r="V314" s="256"/>
      <c r="W314" s="256" t="s">
        <v>1786</v>
      </c>
      <c r="X314" s="259">
        <v>46066.709722222222</v>
      </c>
      <c r="Y314" s="256"/>
      <c r="Z314" s="256" t="s">
        <v>2072</v>
      </c>
      <c r="AA314" s="256" t="s">
        <v>2037</v>
      </c>
      <c r="AB314" s="256"/>
      <c r="AC314" s="256"/>
      <c r="AD314" s="256" t="s">
        <v>281</v>
      </c>
      <c r="AE314" s="256" t="s">
        <v>252</v>
      </c>
    </row>
    <row r="315" spans="1:31">
      <c r="A315" s="256" t="s">
        <v>2092</v>
      </c>
      <c r="B315" s="256" t="s">
        <v>1511</v>
      </c>
      <c r="C315" s="256" t="s">
        <v>280</v>
      </c>
      <c r="D315" s="256" t="s">
        <v>2043</v>
      </c>
      <c r="E315" s="256">
        <v>4387285</v>
      </c>
      <c r="F315" s="256">
        <v>4367870</v>
      </c>
      <c r="G315" s="256" t="s">
        <v>789</v>
      </c>
      <c r="H315" s="256" t="s">
        <v>242</v>
      </c>
      <c r="I315" s="256" t="s">
        <v>2093</v>
      </c>
      <c r="J315" s="256" t="s">
        <v>1488</v>
      </c>
      <c r="K315" s="259">
        <v>46130.020833333336</v>
      </c>
      <c r="L315" s="256"/>
      <c r="M315" s="259">
        <v>46133.229166666664</v>
      </c>
      <c r="N315" s="256"/>
      <c r="O315" s="256" t="s">
        <v>2102</v>
      </c>
      <c r="P315" s="259">
        <v>46151.229166666664</v>
      </c>
      <c r="Q315" s="256">
        <v>8</v>
      </c>
      <c r="R315" s="256"/>
      <c r="S315" s="256">
        <v>2</v>
      </c>
      <c r="T315" s="256"/>
      <c r="U315" s="256" t="s">
        <v>1</v>
      </c>
      <c r="V315" s="256" t="s">
        <v>1</v>
      </c>
      <c r="W315" s="256" t="s">
        <v>1705</v>
      </c>
      <c r="X315" s="259">
        <v>46066.749305555553</v>
      </c>
      <c r="Y315" s="256"/>
      <c r="Z315" s="256" t="s">
        <v>2096</v>
      </c>
      <c r="AA315" s="256" t="s">
        <v>2097</v>
      </c>
      <c r="AB315" s="256"/>
      <c r="AC315" s="256"/>
      <c r="AD315" s="256" t="s">
        <v>2107</v>
      </c>
      <c r="AE315" s="256" t="s">
        <v>252</v>
      </c>
    </row>
    <row r="316" spans="1:31">
      <c r="A316" s="256" t="s">
        <v>2092</v>
      </c>
      <c r="B316" s="256" t="s">
        <v>1511</v>
      </c>
      <c r="C316" s="256" t="s">
        <v>280</v>
      </c>
      <c r="D316" s="256" t="s">
        <v>2043</v>
      </c>
      <c r="E316" s="256">
        <v>4387285</v>
      </c>
      <c r="F316" s="256">
        <v>4367874</v>
      </c>
      <c r="G316" s="256" t="s">
        <v>796</v>
      </c>
      <c r="H316" s="256" t="s">
        <v>242</v>
      </c>
      <c r="I316" s="256" t="s">
        <v>2093</v>
      </c>
      <c r="J316" s="256" t="s">
        <v>1488</v>
      </c>
      <c r="K316" s="259">
        <v>46130.020833333336</v>
      </c>
      <c r="L316" s="256"/>
      <c r="M316" s="259">
        <v>46133.229166666664</v>
      </c>
      <c r="N316" s="256"/>
      <c r="O316" s="256" t="s">
        <v>2103</v>
      </c>
      <c r="P316" s="259">
        <v>46151.229166666664</v>
      </c>
      <c r="Q316" s="256">
        <v>8</v>
      </c>
      <c r="R316" s="256"/>
      <c r="S316" s="256">
        <v>2</v>
      </c>
      <c r="T316" s="256"/>
      <c r="U316" s="256" t="s">
        <v>1</v>
      </c>
      <c r="V316" s="256" t="s">
        <v>1</v>
      </c>
      <c r="W316" s="256" t="s">
        <v>1705</v>
      </c>
      <c r="X316" s="259">
        <v>46066.750694444447</v>
      </c>
      <c r="Y316" s="256"/>
      <c r="Z316" s="256" t="s">
        <v>2096</v>
      </c>
      <c r="AA316" s="256" t="s">
        <v>2097</v>
      </c>
      <c r="AB316" s="256"/>
      <c r="AC316" s="256"/>
      <c r="AD316" s="256" t="s">
        <v>2107</v>
      </c>
      <c r="AE316" s="256" t="s">
        <v>252</v>
      </c>
    </row>
    <row r="317" spans="1:31">
      <c r="A317" s="256" t="s">
        <v>281</v>
      </c>
      <c r="B317" s="256" t="s">
        <v>1511</v>
      </c>
      <c r="C317" s="256" t="s">
        <v>280</v>
      </c>
      <c r="D317" s="256" t="s">
        <v>281</v>
      </c>
      <c r="E317" s="256">
        <v>4372279</v>
      </c>
      <c r="F317" s="256">
        <v>4368340</v>
      </c>
      <c r="G317" s="256" t="s">
        <v>758</v>
      </c>
      <c r="H317" s="256" t="s">
        <v>305</v>
      </c>
      <c r="I317" s="256" t="s">
        <v>271</v>
      </c>
      <c r="J317" s="256" t="s">
        <v>1488</v>
      </c>
      <c r="K317" s="259">
        <v>46123.020833333336</v>
      </c>
      <c r="L317" s="259">
        <v>46126.681250000001</v>
      </c>
      <c r="M317" s="259">
        <v>46133.0625</v>
      </c>
      <c r="N317" s="256"/>
      <c r="O317" s="256" t="s">
        <v>2039</v>
      </c>
      <c r="P317" s="259">
        <v>46151.229166666664</v>
      </c>
      <c r="Q317" s="256">
        <v>5</v>
      </c>
      <c r="R317" s="256"/>
      <c r="S317" s="256">
        <v>2</v>
      </c>
      <c r="T317" s="256"/>
      <c r="U317" s="256" t="s">
        <v>1</v>
      </c>
      <c r="V317" s="256" t="s">
        <v>1</v>
      </c>
      <c r="W317" s="256" t="s">
        <v>1515</v>
      </c>
      <c r="X317" s="259">
        <v>46067.604166666664</v>
      </c>
      <c r="Y317" s="256"/>
      <c r="Z317" s="256" t="s">
        <v>2006</v>
      </c>
      <c r="AA317" s="256" t="s">
        <v>2053</v>
      </c>
      <c r="AB317" s="256"/>
      <c r="AC317" s="256"/>
      <c r="AD317" s="256" t="s">
        <v>2040</v>
      </c>
      <c r="AE317" s="256" t="s">
        <v>252</v>
      </c>
    </row>
    <row r="318" spans="1:31">
      <c r="A318" s="256" t="s">
        <v>281</v>
      </c>
      <c r="B318" s="256" t="s">
        <v>1511</v>
      </c>
      <c r="C318" s="256" t="s">
        <v>280</v>
      </c>
      <c r="D318" s="256" t="s">
        <v>281</v>
      </c>
      <c r="E318" s="256">
        <v>4372279</v>
      </c>
      <c r="F318" s="256">
        <v>4368341</v>
      </c>
      <c r="G318" s="256" t="s">
        <v>761</v>
      </c>
      <c r="H318" s="256" t="s">
        <v>305</v>
      </c>
      <c r="I318" s="256" t="s">
        <v>271</v>
      </c>
      <c r="J318" s="256" t="s">
        <v>1488</v>
      </c>
      <c r="K318" s="259">
        <v>46123.020833333336</v>
      </c>
      <c r="L318" s="259">
        <v>46126.681250000001</v>
      </c>
      <c r="M318" s="259">
        <v>46133.0625</v>
      </c>
      <c r="N318" s="256"/>
      <c r="O318" s="256" t="s">
        <v>2039</v>
      </c>
      <c r="P318" s="259">
        <v>46151.229166666664</v>
      </c>
      <c r="Q318" s="256">
        <v>3</v>
      </c>
      <c r="R318" s="256"/>
      <c r="S318" s="256">
        <v>2</v>
      </c>
      <c r="T318" s="256"/>
      <c r="U318" s="256" t="s">
        <v>1</v>
      </c>
      <c r="V318" s="256" t="s">
        <v>1</v>
      </c>
      <c r="W318" s="256" t="s">
        <v>1515</v>
      </c>
      <c r="X318" s="259">
        <v>46067.606249999997</v>
      </c>
      <c r="Y318" s="256"/>
      <c r="Z318" s="256" t="s">
        <v>2006</v>
      </c>
      <c r="AA318" s="256" t="s">
        <v>2053</v>
      </c>
      <c r="AB318" s="256"/>
      <c r="AC318" s="256"/>
      <c r="AD318" s="256" t="s">
        <v>2108</v>
      </c>
      <c r="AE318" s="256" t="s">
        <v>252</v>
      </c>
    </row>
    <row r="319" spans="1:31">
      <c r="A319" s="256" t="s">
        <v>281</v>
      </c>
      <c r="B319" s="256" t="s">
        <v>1511</v>
      </c>
      <c r="C319" s="256" t="s">
        <v>280</v>
      </c>
      <c r="D319" s="256" t="s">
        <v>281</v>
      </c>
      <c r="E319" s="256">
        <v>4372279</v>
      </c>
      <c r="F319" s="256">
        <v>4368342</v>
      </c>
      <c r="G319" s="256" t="s">
        <v>845</v>
      </c>
      <c r="H319" s="256" t="s">
        <v>305</v>
      </c>
      <c r="I319" s="256" t="s">
        <v>271</v>
      </c>
      <c r="J319" s="256" t="s">
        <v>1488</v>
      </c>
      <c r="K319" s="259">
        <v>46128.229166666664</v>
      </c>
      <c r="L319" s="259">
        <v>46128.130555555559</v>
      </c>
      <c r="M319" s="259">
        <v>46132.979166666664</v>
      </c>
      <c r="N319" s="256"/>
      <c r="O319" s="256" t="s">
        <v>2109</v>
      </c>
      <c r="P319" s="259">
        <v>46151.229166666664</v>
      </c>
      <c r="Q319" s="256">
        <v>3</v>
      </c>
      <c r="R319" s="256"/>
      <c r="S319" s="256">
        <v>2</v>
      </c>
      <c r="T319" s="256"/>
      <c r="U319" s="256" t="s">
        <v>1</v>
      </c>
      <c r="V319" s="256" t="s">
        <v>1</v>
      </c>
      <c r="W319" s="256" t="s">
        <v>1515</v>
      </c>
      <c r="X319" s="259">
        <v>46067.606944444444</v>
      </c>
      <c r="Y319" s="256"/>
      <c r="Z319" s="256" t="s">
        <v>2006</v>
      </c>
      <c r="AA319" s="256" t="s">
        <v>2051</v>
      </c>
      <c r="AB319" s="256"/>
      <c r="AC319" s="256"/>
      <c r="AD319" s="256" t="s">
        <v>2050</v>
      </c>
      <c r="AE319" s="256" t="s">
        <v>252</v>
      </c>
    </row>
    <row r="320" spans="1:31">
      <c r="A320" s="256" t="s">
        <v>281</v>
      </c>
      <c r="B320" s="256" t="s">
        <v>1511</v>
      </c>
      <c r="C320" s="256" t="s">
        <v>280</v>
      </c>
      <c r="D320" s="256" t="s">
        <v>281</v>
      </c>
      <c r="E320" s="256">
        <v>4372279</v>
      </c>
      <c r="F320" s="256">
        <v>4368343</v>
      </c>
      <c r="G320" s="256" t="s">
        <v>848</v>
      </c>
      <c r="H320" s="256" t="s">
        <v>305</v>
      </c>
      <c r="I320" s="256" t="s">
        <v>271</v>
      </c>
      <c r="J320" s="256" t="s">
        <v>1488</v>
      </c>
      <c r="K320" s="259">
        <v>46129.229166666664</v>
      </c>
      <c r="L320" s="259">
        <v>46128.695833333331</v>
      </c>
      <c r="M320" s="259">
        <v>46132.979166666664</v>
      </c>
      <c r="N320" s="256"/>
      <c r="O320" s="256" t="s">
        <v>2109</v>
      </c>
      <c r="P320" s="259">
        <v>46151.229166666664</v>
      </c>
      <c r="Q320" s="256">
        <v>3</v>
      </c>
      <c r="R320" s="256"/>
      <c r="S320" s="256">
        <v>2</v>
      </c>
      <c r="T320" s="256"/>
      <c r="U320" s="256" t="s">
        <v>1</v>
      </c>
      <c r="V320" s="256" t="s">
        <v>1</v>
      </c>
      <c r="W320" s="256" t="s">
        <v>1515</v>
      </c>
      <c r="X320" s="259">
        <v>46067.60833333333</v>
      </c>
      <c r="Y320" s="256"/>
      <c r="Z320" s="256" t="s">
        <v>2006</v>
      </c>
      <c r="AA320" s="256" t="s">
        <v>2051</v>
      </c>
      <c r="AB320" s="256"/>
      <c r="AC320" s="256"/>
      <c r="AD320" s="256" t="s">
        <v>2052</v>
      </c>
      <c r="AE320" s="256" t="s">
        <v>252</v>
      </c>
    </row>
    <row r="321" spans="1:31">
      <c r="A321" s="256" t="s">
        <v>264</v>
      </c>
      <c r="B321" s="256" t="s">
        <v>1511</v>
      </c>
      <c r="C321" s="256" t="s">
        <v>280</v>
      </c>
      <c r="D321" s="256" t="s">
        <v>263</v>
      </c>
      <c r="E321" s="256">
        <v>4232673</v>
      </c>
      <c r="F321" s="256">
        <v>4368362</v>
      </c>
      <c r="G321" s="256" t="s">
        <v>265</v>
      </c>
      <c r="H321" s="256" t="s">
        <v>305</v>
      </c>
      <c r="I321" s="256" t="s">
        <v>268</v>
      </c>
      <c r="J321" s="256" t="s">
        <v>1488</v>
      </c>
      <c r="K321" s="259">
        <v>46129.229166666664</v>
      </c>
      <c r="L321" s="259">
        <v>46128.785416666666</v>
      </c>
      <c r="M321" s="259">
        <v>46135.0625</v>
      </c>
      <c r="N321" s="256"/>
      <c r="O321" s="256" t="s">
        <v>2019</v>
      </c>
      <c r="P321" s="259">
        <v>46151.229166666664</v>
      </c>
      <c r="Q321" s="256">
        <v>5</v>
      </c>
      <c r="R321" s="256"/>
      <c r="S321" s="256">
        <v>2</v>
      </c>
      <c r="T321" s="256"/>
      <c r="U321" s="256" t="s">
        <v>1</v>
      </c>
      <c r="V321" s="256" t="s">
        <v>1</v>
      </c>
      <c r="W321" s="256" t="s">
        <v>2023</v>
      </c>
      <c r="X321" s="259">
        <v>46067.904166666667</v>
      </c>
      <c r="Y321" s="256"/>
      <c r="Z321" s="256" t="s">
        <v>2024</v>
      </c>
      <c r="AA321" s="256" t="s">
        <v>2025</v>
      </c>
      <c r="AB321" s="256"/>
      <c r="AC321" s="256"/>
      <c r="AD321" s="256" t="s">
        <v>2026</v>
      </c>
      <c r="AE321" s="256" t="s">
        <v>252</v>
      </c>
    </row>
    <row r="322" spans="1:31">
      <c r="A322" s="256" t="s">
        <v>2110</v>
      </c>
      <c r="B322" s="256" t="s">
        <v>1511</v>
      </c>
      <c r="C322" s="256" t="s">
        <v>280</v>
      </c>
      <c r="D322" s="256" t="s">
        <v>280</v>
      </c>
      <c r="E322" s="256">
        <v>4331001</v>
      </c>
      <c r="F322" s="256">
        <v>4368513</v>
      </c>
      <c r="G322" s="256" t="s">
        <v>2111</v>
      </c>
      <c r="H322" s="256" t="s">
        <v>305</v>
      </c>
      <c r="I322" s="256" t="s">
        <v>2070</v>
      </c>
      <c r="J322" s="256" t="s">
        <v>1488</v>
      </c>
      <c r="K322" s="259">
        <v>46128.229166666664</v>
      </c>
      <c r="L322" s="259">
        <v>46128.038194444445</v>
      </c>
      <c r="M322" s="256"/>
      <c r="N322" s="256"/>
      <c r="O322" s="256" t="s">
        <v>2067</v>
      </c>
      <c r="P322" s="259">
        <v>46151.229166666664</v>
      </c>
      <c r="Q322" s="256">
        <v>5</v>
      </c>
      <c r="R322" s="256"/>
      <c r="S322" s="256">
        <v>2</v>
      </c>
      <c r="T322" s="256"/>
      <c r="U322" s="256" t="s">
        <v>1</v>
      </c>
      <c r="V322" s="256" t="s">
        <v>1</v>
      </c>
      <c r="W322" s="256" t="s">
        <v>1786</v>
      </c>
      <c r="X322" s="259">
        <v>46069.323611111111</v>
      </c>
      <c r="Y322" s="256" t="s">
        <v>1560</v>
      </c>
      <c r="Z322" s="256" t="s">
        <v>2072</v>
      </c>
      <c r="AA322" s="256" t="s">
        <v>1517</v>
      </c>
      <c r="AB322" s="256"/>
      <c r="AC322" s="256"/>
      <c r="AD322" s="256" t="s">
        <v>2112</v>
      </c>
      <c r="AE322" s="256" t="s">
        <v>252</v>
      </c>
    </row>
    <row r="323" spans="1:31">
      <c r="A323" s="256" t="s">
        <v>1694</v>
      </c>
      <c r="B323" s="256" t="s">
        <v>1511</v>
      </c>
      <c r="C323" s="256" t="s">
        <v>280</v>
      </c>
      <c r="D323" s="256" t="s">
        <v>1695</v>
      </c>
      <c r="E323" s="256">
        <v>4341384</v>
      </c>
      <c r="F323" s="256">
        <v>4369378</v>
      </c>
      <c r="G323" s="256" t="s">
        <v>851</v>
      </c>
      <c r="H323" s="256" t="s">
        <v>1475</v>
      </c>
      <c r="I323" s="256" t="s">
        <v>2014</v>
      </c>
      <c r="J323" s="256" t="s">
        <v>1488</v>
      </c>
      <c r="K323" s="259">
        <v>46121.020833333336</v>
      </c>
      <c r="L323" s="259">
        <v>46121.0625</v>
      </c>
      <c r="M323" s="256"/>
      <c r="N323" s="256"/>
      <c r="O323" s="256" t="s">
        <v>2015</v>
      </c>
      <c r="P323" s="259">
        <v>46151.229166666664</v>
      </c>
      <c r="Q323" s="256">
        <v>5</v>
      </c>
      <c r="R323" s="256"/>
      <c r="S323" s="256">
        <v>2</v>
      </c>
      <c r="T323" s="256"/>
      <c r="U323" s="256" t="s">
        <v>1</v>
      </c>
      <c r="V323" s="256" t="s">
        <v>1</v>
      </c>
      <c r="W323" s="256" t="s">
        <v>1515</v>
      </c>
      <c r="X323" s="259">
        <v>46069.512499999997</v>
      </c>
      <c r="Y323" s="256" t="s">
        <v>1560</v>
      </c>
      <c r="Z323" s="256" t="s">
        <v>2016</v>
      </c>
      <c r="AA323" s="256" t="s">
        <v>1517</v>
      </c>
      <c r="AB323" s="256"/>
      <c r="AC323" s="256"/>
      <c r="AD323" s="256" t="s">
        <v>1698</v>
      </c>
      <c r="AE323" s="256" t="s">
        <v>252</v>
      </c>
    </row>
    <row r="324" spans="1:31">
      <c r="A324" s="256" t="s">
        <v>1694</v>
      </c>
      <c r="B324" s="256" t="s">
        <v>1511</v>
      </c>
      <c r="C324" s="256" t="s">
        <v>280</v>
      </c>
      <c r="D324" s="256" t="s">
        <v>1695</v>
      </c>
      <c r="E324" s="256">
        <v>4341384</v>
      </c>
      <c r="F324" s="256">
        <v>4369381</v>
      </c>
      <c r="G324" s="256" t="s">
        <v>857</v>
      </c>
      <c r="H324" s="256" t="s">
        <v>305</v>
      </c>
      <c r="I324" s="256" t="s">
        <v>2014</v>
      </c>
      <c r="J324" s="256" t="s">
        <v>1488</v>
      </c>
      <c r="K324" s="259">
        <v>46121.020833333336</v>
      </c>
      <c r="L324" s="259">
        <v>46121.0625</v>
      </c>
      <c r="M324" s="256"/>
      <c r="N324" s="256"/>
      <c r="O324" s="256" t="s">
        <v>1697</v>
      </c>
      <c r="P324" s="259">
        <v>46151.229166666664</v>
      </c>
      <c r="Q324" s="256">
        <v>5</v>
      </c>
      <c r="R324" s="256"/>
      <c r="S324" s="256">
        <v>2</v>
      </c>
      <c r="T324" s="256"/>
      <c r="U324" s="256" t="s">
        <v>1</v>
      </c>
      <c r="V324" s="256" t="s">
        <v>1</v>
      </c>
      <c r="W324" s="256" t="s">
        <v>1515</v>
      </c>
      <c r="X324" s="259">
        <v>46069.513888888891</v>
      </c>
      <c r="Y324" s="256" t="s">
        <v>1560</v>
      </c>
      <c r="Z324" s="256" t="s">
        <v>2016</v>
      </c>
      <c r="AA324" s="256" t="s">
        <v>1517</v>
      </c>
      <c r="AB324" s="256"/>
      <c r="AC324" s="256"/>
      <c r="AD324" s="256" t="s">
        <v>1698</v>
      </c>
      <c r="AE324" s="256" t="s">
        <v>252</v>
      </c>
    </row>
    <row r="325" spans="1:31">
      <c r="A325" s="256" t="s">
        <v>1694</v>
      </c>
      <c r="B325" s="256" t="s">
        <v>1511</v>
      </c>
      <c r="C325" s="256" t="s">
        <v>280</v>
      </c>
      <c r="D325" s="256" t="s">
        <v>1695</v>
      </c>
      <c r="E325" s="256">
        <v>4341384</v>
      </c>
      <c r="F325" s="256">
        <v>4369382</v>
      </c>
      <c r="G325" s="256" t="s">
        <v>858</v>
      </c>
      <c r="H325" s="256" t="s">
        <v>305</v>
      </c>
      <c r="I325" s="256" t="s">
        <v>2014</v>
      </c>
      <c r="J325" s="256" t="s">
        <v>1488</v>
      </c>
      <c r="K325" s="259">
        <v>46121.020833333336</v>
      </c>
      <c r="L325" s="259">
        <v>46121.0625</v>
      </c>
      <c r="M325" s="256"/>
      <c r="N325" s="256"/>
      <c r="O325" s="256" t="s">
        <v>2019</v>
      </c>
      <c r="P325" s="259">
        <v>46151.229166666664</v>
      </c>
      <c r="Q325" s="256">
        <v>5</v>
      </c>
      <c r="R325" s="256"/>
      <c r="S325" s="256">
        <v>2</v>
      </c>
      <c r="T325" s="256"/>
      <c r="U325" s="256" t="s">
        <v>1</v>
      </c>
      <c r="V325" s="256" t="s">
        <v>1</v>
      </c>
      <c r="W325" s="256" t="s">
        <v>1515</v>
      </c>
      <c r="X325" s="259">
        <v>46069.515277777777</v>
      </c>
      <c r="Y325" s="256" t="s">
        <v>1560</v>
      </c>
      <c r="Z325" s="256" t="s">
        <v>2016</v>
      </c>
      <c r="AA325" s="256" t="s">
        <v>1517</v>
      </c>
      <c r="AB325" s="256"/>
      <c r="AC325" s="256"/>
      <c r="AD325" s="256" t="s">
        <v>1698</v>
      </c>
      <c r="AE325" s="256" t="s">
        <v>252</v>
      </c>
    </row>
    <row r="326" spans="1:31">
      <c r="A326" s="256" t="s">
        <v>1694</v>
      </c>
      <c r="B326" s="256" t="s">
        <v>1511</v>
      </c>
      <c r="C326" s="256" t="s">
        <v>280</v>
      </c>
      <c r="D326" s="256" t="s">
        <v>1695</v>
      </c>
      <c r="E326" s="256">
        <v>4341384</v>
      </c>
      <c r="F326" s="256">
        <v>4369383</v>
      </c>
      <c r="G326" s="256" t="s">
        <v>859</v>
      </c>
      <c r="H326" s="256" t="s">
        <v>1475</v>
      </c>
      <c r="I326" s="256" t="s">
        <v>2014</v>
      </c>
      <c r="J326" s="256" t="s">
        <v>1488</v>
      </c>
      <c r="K326" s="259">
        <v>46121.020833333336</v>
      </c>
      <c r="L326" s="259">
        <v>46121.0625</v>
      </c>
      <c r="M326" s="256"/>
      <c r="N326" s="256"/>
      <c r="O326" s="256" t="s">
        <v>1494</v>
      </c>
      <c r="P326" s="259">
        <v>46151.229166666664</v>
      </c>
      <c r="Q326" s="256">
        <v>5</v>
      </c>
      <c r="R326" s="256"/>
      <c r="S326" s="256">
        <v>2</v>
      </c>
      <c r="T326" s="256"/>
      <c r="U326" s="256" t="s">
        <v>1</v>
      </c>
      <c r="V326" s="256" t="s">
        <v>1</v>
      </c>
      <c r="W326" s="256" t="s">
        <v>1515</v>
      </c>
      <c r="X326" s="259">
        <v>46069.515277777777</v>
      </c>
      <c r="Y326" s="256" t="s">
        <v>1560</v>
      </c>
      <c r="Z326" s="256" t="s">
        <v>2016</v>
      </c>
      <c r="AA326" s="256" t="s">
        <v>1517</v>
      </c>
      <c r="AB326" s="256"/>
      <c r="AC326" s="256"/>
      <c r="AD326" s="256" t="s">
        <v>1698</v>
      </c>
      <c r="AE326" s="256" t="s">
        <v>252</v>
      </c>
    </row>
    <row r="327" spans="1:31">
      <c r="A327" s="256" t="s">
        <v>245</v>
      </c>
      <c r="B327" s="256" t="s">
        <v>1511</v>
      </c>
      <c r="C327" s="256" t="s">
        <v>1511</v>
      </c>
      <c r="D327" s="256" t="s">
        <v>244</v>
      </c>
      <c r="E327" s="256">
        <v>4446213</v>
      </c>
      <c r="F327" s="256">
        <v>4438584</v>
      </c>
      <c r="G327" s="256" t="s">
        <v>2113</v>
      </c>
      <c r="H327" s="256" t="s">
        <v>1513</v>
      </c>
      <c r="I327" s="256" t="s">
        <v>251</v>
      </c>
      <c r="J327" s="256" t="s">
        <v>1488</v>
      </c>
      <c r="K327" s="259">
        <v>46125.229166666664</v>
      </c>
      <c r="L327" s="259">
        <v>46126.679166666669</v>
      </c>
      <c r="M327" s="259">
        <v>46129.0625</v>
      </c>
      <c r="N327" s="259">
        <v>46128.927083333336</v>
      </c>
      <c r="O327" s="256" t="s">
        <v>2114</v>
      </c>
      <c r="P327" s="259">
        <v>46151.229166666664</v>
      </c>
      <c r="Q327" s="256">
        <v>3</v>
      </c>
      <c r="R327" s="256"/>
      <c r="S327" s="256">
        <v>2</v>
      </c>
      <c r="T327" s="256"/>
      <c r="U327" s="256" t="s">
        <v>1</v>
      </c>
      <c r="V327" s="256" t="s">
        <v>1</v>
      </c>
      <c r="W327" s="256" t="s">
        <v>1786</v>
      </c>
      <c r="X327" s="259">
        <v>46104.003472222219</v>
      </c>
      <c r="Y327" s="256" t="s">
        <v>2036</v>
      </c>
      <c r="Z327" s="256" t="s">
        <v>2010</v>
      </c>
      <c r="AA327" s="256" t="s">
        <v>2037</v>
      </c>
      <c r="AB327" s="256"/>
      <c r="AC327" s="256"/>
      <c r="AD327" s="256" t="s">
        <v>2011</v>
      </c>
      <c r="AE327" s="256" t="s">
        <v>252</v>
      </c>
    </row>
    <row r="328" spans="1:31">
      <c r="A328" s="256" t="s">
        <v>245</v>
      </c>
      <c r="B328" s="256" t="s">
        <v>1511</v>
      </c>
      <c r="C328" s="256" t="s">
        <v>1511</v>
      </c>
      <c r="D328" s="256" t="s">
        <v>244</v>
      </c>
      <c r="E328" s="256">
        <v>4446213</v>
      </c>
      <c r="F328" s="256">
        <v>4438585</v>
      </c>
      <c r="G328" s="256" t="s">
        <v>253</v>
      </c>
      <c r="H328" s="256" t="s">
        <v>305</v>
      </c>
      <c r="I328" s="256" t="s">
        <v>251</v>
      </c>
      <c r="J328" s="256" t="s">
        <v>1488</v>
      </c>
      <c r="K328" s="259">
        <v>46127.229166666664</v>
      </c>
      <c r="L328" s="259">
        <v>46126.679166666669</v>
      </c>
      <c r="M328" s="259">
        <v>46133.0625</v>
      </c>
      <c r="N328" s="256"/>
      <c r="O328" s="256" t="s">
        <v>2115</v>
      </c>
      <c r="P328" s="259">
        <v>46151.229166666664</v>
      </c>
      <c r="Q328" s="256">
        <v>3</v>
      </c>
      <c r="R328" s="256"/>
      <c r="S328" s="256">
        <v>2</v>
      </c>
      <c r="T328" s="256"/>
      <c r="U328" s="256" t="s">
        <v>1</v>
      </c>
      <c r="V328" s="256" t="s">
        <v>1</v>
      </c>
      <c r="W328" s="256" t="s">
        <v>1786</v>
      </c>
      <c r="X328" s="259">
        <v>46104.023611111108</v>
      </c>
      <c r="Y328" s="256"/>
      <c r="Z328" s="256" t="s">
        <v>2010</v>
      </c>
      <c r="AA328" s="256" t="s">
        <v>2037</v>
      </c>
      <c r="AB328" s="256"/>
      <c r="AC328" s="256"/>
      <c r="AD328" s="256" t="s">
        <v>2011</v>
      </c>
      <c r="AE328" s="256" t="s">
        <v>252</v>
      </c>
    </row>
    <row r="329" spans="1:31">
      <c r="A329" s="256" t="s">
        <v>2116</v>
      </c>
      <c r="B329" s="256" t="s">
        <v>1511</v>
      </c>
      <c r="C329" s="256" t="s">
        <v>280</v>
      </c>
      <c r="D329" s="256" t="s">
        <v>2117</v>
      </c>
      <c r="E329" s="256">
        <v>4446215</v>
      </c>
      <c r="F329" s="256">
        <v>4438589</v>
      </c>
      <c r="G329" s="256" t="s">
        <v>2118</v>
      </c>
      <c r="H329" s="256" t="s">
        <v>305</v>
      </c>
      <c r="I329" s="256" t="s">
        <v>2070</v>
      </c>
      <c r="J329" s="256" t="s">
        <v>1488</v>
      </c>
      <c r="K329" s="259">
        <v>46129.229166666664</v>
      </c>
      <c r="L329" s="259">
        <v>46128.040277777778</v>
      </c>
      <c r="M329" s="256"/>
      <c r="N329" s="256"/>
      <c r="O329" s="256" t="s">
        <v>2015</v>
      </c>
      <c r="P329" s="259">
        <v>46151.229166666664</v>
      </c>
      <c r="Q329" s="256">
        <v>8</v>
      </c>
      <c r="R329" s="256"/>
      <c r="S329" s="256">
        <v>2</v>
      </c>
      <c r="T329" s="256"/>
      <c r="U329" s="256" t="s">
        <v>1</v>
      </c>
      <c r="V329" s="256" t="s">
        <v>1</v>
      </c>
      <c r="W329" s="256" t="s">
        <v>1786</v>
      </c>
      <c r="X329" s="259">
        <v>46104.057638888888</v>
      </c>
      <c r="Y329" s="256" t="s">
        <v>1560</v>
      </c>
      <c r="Z329" s="256" t="s">
        <v>2072</v>
      </c>
      <c r="AA329" s="256" t="s">
        <v>2037</v>
      </c>
      <c r="AB329" s="256"/>
      <c r="AC329" s="256"/>
      <c r="AD329" s="256" t="s">
        <v>2119</v>
      </c>
      <c r="AE329" s="256" t="s">
        <v>252</v>
      </c>
    </row>
    <row r="330" spans="1:31">
      <c r="A330" s="256" t="s">
        <v>2116</v>
      </c>
      <c r="B330" s="256" t="s">
        <v>1511</v>
      </c>
      <c r="C330" s="256" t="s">
        <v>280</v>
      </c>
      <c r="D330" s="256" t="s">
        <v>2117</v>
      </c>
      <c r="E330" s="256">
        <v>4446215</v>
      </c>
      <c r="F330" s="256">
        <v>4438592</v>
      </c>
      <c r="G330" s="256" t="s">
        <v>911</v>
      </c>
      <c r="H330" s="256" t="s">
        <v>305</v>
      </c>
      <c r="I330" s="256" t="s">
        <v>2070</v>
      </c>
      <c r="J330" s="256" t="s">
        <v>1488</v>
      </c>
      <c r="K330" s="259">
        <v>46128.229166666664</v>
      </c>
      <c r="L330" s="259">
        <v>46127.831944444442</v>
      </c>
      <c r="M330" s="256"/>
      <c r="N330" s="256"/>
      <c r="O330" s="256" t="s">
        <v>1697</v>
      </c>
      <c r="P330" s="259">
        <v>46151.229166666664</v>
      </c>
      <c r="Q330" s="256">
        <v>5</v>
      </c>
      <c r="R330" s="256"/>
      <c r="S330" s="256">
        <v>2</v>
      </c>
      <c r="T330" s="256"/>
      <c r="U330" s="256" t="s">
        <v>1</v>
      </c>
      <c r="V330" s="256" t="s">
        <v>1</v>
      </c>
      <c r="W330" s="256" t="s">
        <v>1786</v>
      </c>
      <c r="X330" s="259">
        <v>46104.066666666666</v>
      </c>
      <c r="Y330" s="256" t="s">
        <v>1560</v>
      </c>
      <c r="Z330" s="256" t="s">
        <v>2072</v>
      </c>
      <c r="AA330" s="256" t="s">
        <v>2037</v>
      </c>
      <c r="AB330" s="256"/>
      <c r="AC330" s="256"/>
      <c r="AD330" s="256" t="s">
        <v>2119</v>
      </c>
      <c r="AE330" s="256" t="s">
        <v>252</v>
      </c>
    </row>
    <row r="331" spans="1:31">
      <c r="A331" s="256" t="s">
        <v>245</v>
      </c>
      <c r="B331" s="256" t="s">
        <v>1511</v>
      </c>
      <c r="C331" s="256" t="s">
        <v>1511</v>
      </c>
      <c r="D331" s="256" t="s">
        <v>244</v>
      </c>
      <c r="E331" s="256">
        <v>4446213</v>
      </c>
      <c r="F331" s="256">
        <v>4439526</v>
      </c>
      <c r="G331" s="256" t="s">
        <v>2120</v>
      </c>
      <c r="H331" s="256" t="s">
        <v>242</v>
      </c>
      <c r="I331" s="256" t="s">
        <v>251</v>
      </c>
      <c r="J331" s="256" t="s">
        <v>1488</v>
      </c>
      <c r="K331" s="259">
        <v>46133.229166666664</v>
      </c>
      <c r="L331" s="256"/>
      <c r="M331" s="259">
        <v>46137.0625</v>
      </c>
      <c r="N331" s="256"/>
      <c r="O331" s="256" t="s">
        <v>2121</v>
      </c>
      <c r="P331" s="259">
        <v>46151.229166666664</v>
      </c>
      <c r="Q331" s="256">
        <v>8</v>
      </c>
      <c r="R331" s="256"/>
      <c r="S331" s="256">
        <v>2</v>
      </c>
      <c r="T331" s="256"/>
      <c r="U331" s="256" t="s">
        <v>18</v>
      </c>
      <c r="V331" s="256" t="s">
        <v>18</v>
      </c>
      <c r="W331" s="256" t="s">
        <v>1786</v>
      </c>
      <c r="X331" s="259">
        <v>46105.070138888892</v>
      </c>
      <c r="Y331" s="256"/>
      <c r="Z331" s="256" t="s">
        <v>2010</v>
      </c>
      <c r="AA331" s="256" t="s">
        <v>2037</v>
      </c>
      <c r="AB331" s="256"/>
      <c r="AC331" s="256"/>
      <c r="AD331" s="256" t="s">
        <v>2011</v>
      </c>
      <c r="AE331" s="256" t="s">
        <v>252</v>
      </c>
    </row>
    <row r="332" spans="1:31">
      <c r="A332" s="256" t="s">
        <v>245</v>
      </c>
      <c r="B332" s="256" t="s">
        <v>1511</v>
      </c>
      <c r="C332" s="256" t="s">
        <v>1511</v>
      </c>
      <c r="D332" s="256" t="s">
        <v>244</v>
      </c>
      <c r="E332" s="256">
        <v>4446213</v>
      </c>
      <c r="F332" s="256">
        <v>4439527</v>
      </c>
      <c r="G332" s="256" t="s">
        <v>2122</v>
      </c>
      <c r="H332" s="256" t="s">
        <v>242</v>
      </c>
      <c r="I332" s="256" t="s">
        <v>251</v>
      </c>
      <c r="J332" s="256" t="s">
        <v>1488</v>
      </c>
      <c r="K332" s="259">
        <v>46133.229166666664</v>
      </c>
      <c r="L332" s="256"/>
      <c r="M332" s="259">
        <v>46137.0625</v>
      </c>
      <c r="N332" s="256"/>
      <c r="O332" s="256" t="s">
        <v>2030</v>
      </c>
      <c r="P332" s="259">
        <v>46151.229166666664</v>
      </c>
      <c r="Q332" s="256">
        <v>5</v>
      </c>
      <c r="R332" s="256"/>
      <c r="S332" s="256">
        <v>2</v>
      </c>
      <c r="T332" s="256"/>
      <c r="U332" s="256" t="s">
        <v>18</v>
      </c>
      <c r="V332" s="256" t="s">
        <v>18</v>
      </c>
      <c r="W332" s="256" t="s">
        <v>1786</v>
      </c>
      <c r="X332" s="259">
        <v>46105.075694444444</v>
      </c>
      <c r="Y332" s="256"/>
      <c r="Z332" s="256" t="s">
        <v>2010</v>
      </c>
      <c r="AA332" s="256" t="s">
        <v>2037</v>
      </c>
      <c r="AB332" s="256"/>
      <c r="AC332" s="256"/>
      <c r="AD332" s="256" t="s">
        <v>2011</v>
      </c>
      <c r="AE332" s="256" t="s">
        <v>252</v>
      </c>
    </row>
    <row r="333" spans="1:31">
      <c r="A333" s="256" t="s">
        <v>245</v>
      </c>
      <c r="B333" s="256" t="s">
        <v>1511</v>
      </c>
      <c r="C333" s="256" t="s">
        <v>1511</v>
      </c>
      <c r="D333" s="256" t="s">
        <v>244</v>
      </c>
      <c r="E333" s="256">
        <v>4446213</v>
      </c>
      <c r="F333" s="256">
        <v>4439529</v>
      </c>
      <c r="G333" s="256" t="s">
        <v>2123</v>
      </c>
      <c r="H333" s="256" t="s">
        <v>242</v>
      </c>
      <c r="I333" s="256" t="s">
        <v>251</v>
      </c>
      <c r="J333" s="256" t="s">
        <v>1488</v>
      </c>
      <c r="K333" s="259">
        <v>46133.229166666664</v>
      </c>
      <c r="L333" s="256"/>
      <c r="M333" s="259">
        <v>46137.0625</v>
      </c>
      <c r="N333" s="256"/>
      <c r="O333" s="256" t="s">
        <v>2029</v>
      </c>
      <c r="P333" s="259">
        <v>46151.229166666664</v>
      </c>
      <c r="Q333" s="256">
        <v>5</v>
      </c>
      <c r="R333" s="256"/>
      <c r="S333" s="256">
        <v>2</v>
      </c>
      <c r="T333" s="256"/>
      <c r="U333" s="256" t="s">
        <v>18</v>
      </c>
      <c r="V333" s="256" t="s">
        <v>18</v>
      </c>
      <c r="W333" s="256" t="s">
        <v>1786</v>
      </c>
      <c r="X333" s="259">
        <v>46105.07916666667</v>
      </c>
      <c r="Y333" s="256"/>
      <c r="Z333" s="256" t="s">
        <v>2010</v>
      </c>
      <c r="AA333" s="256" t="s">
        <v>2037</v>
      </c>
      <c r="AB333" s="256"/>
      <c r="AC333" s="256"/>
      <c r="AD333" s="256" t="s">
        <v>2011</v>
      </c>
      <c r="AE333" s="256" t="s">
        <v>252</v>
      </c>
    </row>
    <row r="334" spans="1:31">
      <c r="A334" s="256" t="s">
        <v>281</v>
      </c>
      <c r="B334" s="256" t="s">
        <v>1511</v>
      </c>
      <c r="C334" s="256" t="s">
        <v>280</v>
      </c>
      <c r="D334" s="256" t="s">
        <v>281</v>
      </c>
      <c r="E334" s="256">
        <v>4372279</v>
      </c>
      <c r="F334" s="256">
        <v>4438507</v>
      </c>
      <c r="G334" s="256" t="s">
        <v>906</v>
      </c>
      <c r="H334" s="256" t="s">
        <v>242</v>
      </c>
      <c r="I334" s="256" t="s">
        <v>271</v>
      </c>
      <c r="J334" s="256" t="s">
        <v>1488</v>
      </c>
      <c r="K334" s="259">
        <v>46134.729166666664</v>
      </c>
      <c r="L334" s="256"/>
      <c r="M334" s="259">
        <v>46135.229166666664</v>
      </c>
      <c r="N334" s="256"/>
      <c r="O334" s="256" t="s">
        <v>2124</v>
      </c>
      <c r="P334" s="259">
        <v>46151.229166666664</v>
      </c>
      <c r="Q334" s="256">
        <v>5</v>
      </c>
      <c r="R334" s="256"/>
      <c r="S334" s="256">
        <v>2</v>
      </c>
      <c r="T334" s="256"/>
      <c r="U334" s="256"/>
      <c r="V334" s="256"/>
      <c r="W334" s="256" t="s">
        <v>1515</v>
      </c>
      <c r="X334" s="259">
        <v>46102.450694444444</v>
      </c>
      <c r="Y334" s="256"/>
      <c r="Z334" s="256" t="s">
        <v>2006</v>
      </c>
      <c r="AA334" s="256" t="s">
        <v>2007</v>
      </c>
      <c r="AB334" s="256"/>
      <c r="AC334" s="256"/>
      <c r="AD334" s="256" t="s">
        <v>2125</v>
      </c>
      <c r="AE334" s="256" t="s">
        <v>252</v>
      </c>
    </row>
    <row r="335" spans="1:31">
      <c r="A335" s="256" t="s">
        <v>357</v>
      </c>
      <c r="B335" s="256" t="s">
        <v>1511</v>
      </c>
      <c r="C335" s="256" t="s">
        <v>280</v>
      </c>
      <c r="D335" s="256" t="s">
        <v>255</v>
      </c>
      <c r="E335" s="256">
        <v>4428652</v>
      </c>
      <c r="F335" s="256">
        <v>4428654</v>
      </c>
      <c r="G335" s="256" t="s">
        <v>902</v>
      </c>
      <c r="H335" s="256" t="s">
        <v>305</v>
      </c>
      <c r="I335" s="256" t="s">
        <v>271</v>
      </c>
      <c r="J335" s="256" t="s">
        <v>1488</v>
      </c>
      <c r="K335" s="259">
        <v>46134.729166666664</v>
      </c>
      <c r="L335" s="259">
        <v>46122.650694444441</v>
      </c>
      <c r="M335" s="256"/>
      <c r="N335" s="256"/>
      <c r="O335" s="256" t="s">
        <v>2062</v>
      </c>
      <c r="P335" s="259">
        <v>46151.229166666664</v>
      </c>
      <c r="Q335" s="256">
        <v>3</v>
      </c>
      <c r="R335" s="256"/>
      <c r="S335" s="256">
        <v>2</v>
      </c>
      <c r="T335" s="256"/>
      <c r="U335" s="256" t="s">
        <v>1</v>
      </c>
      <c r="V335" s="256" t="s">
        <v>1</v>
      </c>
      <c r="W335" s="256" t="s">
        <v>1515</v>
      </c>
      <c r="X335" s="259">
        <v>46097.638194444444</v>
      </c>
      <c r="Y335" s="256" t="s">
        <v>1560</v>
      </c>
      <c r="Z335" s="256" t="s">
        <v>2006</v>
      </c>
      <c r="AA335" s="256" t="s">
        <v>2007</v>
      </c>
      <c r="AB335" s="256"/>
      <c r="AC335" s="256"/>
      <c r="AD335" s="256" t="s">
        <v>2126</v>
      </c>
      <c r="AE335" s="256" t="s">
        <v>252</v>
      </c>
    </row>
    <row r="336" spans="1:31">
      <c r="A336" s="256" t="s">
        <v>357</v>
      </c>
      <c r="B336" s="256" t="s">
        <v>1511</v>
      </c>
      <c r="C336" s="256" t="s">
        <v>280</v>
      </c>
      <c r="D336" s="256" t="s">
        <v>255</v>
      </c>
      <c r="E336" s="256">
        <v>4428652</v>
      </c>
      <c r="F336" s="256">
        <v>4428655</v>
      </c>
      <c r="G336" s="256" t="s">
        <v>903</v>
      </c>
      <c r="H336" s="256" t="s">
        <v>305</v>
      </c>
      <c r="I336" s="256" t="s">
        <v>271</v>
      </c>
      <c r="J336" s="256" t="s">
        <v>1488</v>
      </c>
      <c r="K336" s="259">
        <v>46134.729166666664</v>
      </c>
      <c r="L336" s="259">
        <v>46126.678472222222</v>
      </c>
      <c r="M336" s="259">
        <v>46135.229166666664</v>
      </c>
      <c r="N336" s="256"/>
      <c r="O336" s="256" t="s">
        <v>2087</v>
      </c>
      <c r="P336" s="259">
        <v>46151.229166666664</v>
      </c>
      <c r="Q336" s="256">
        <v>3</v>
      </c>
      <c r="R336" s="256"/>
      <c r="S336" s="256">
        <v>2</v>
      </c>
      <c r="T336" s="256"/>
      <c r="U336" s="256" t="s">
        <v>1</v>
      </c>
      <c r="V336" s="256" t="s">
        <v>1</v>
      </c>
      <c r="W336" s="256" t="s">
        <v>1515</v>
      </c>
      <c r="X336" s="259">
        <v>46097.638194444444</v>
      </c>
      <c r="Y336" s="256"/>
      <c r="Z336" s="256" t="s">
        <v>2006</v>
      </c>
      <c r="AA336" s="256" t="s">
        <v>2007</v>
      </c>
      <c r="AB336" s="256"/>
      <c r="AC336" s="256"/>
      <c r="AD336" s="256" t="s">
        <v>360</v>
      </c>
      <c r="AE336" s="256" t="s">
        <v>252</v>
      </c>
    </row>
    <row r="337" spans="1:31">
      <c r="A337" s="256" t="s">
        <v>2127</v>
      </c>
      <c r="B337" s="256" t="s">
        <v>1511</v>
      </c>
      <c r="C337" s="256" t="s">
        <v>280</v>
      </c>
      <c r="D337" s="256" t="s">
        <v>2128</v>
      </c>
      <c r="E337" s="256">
        <v>4434343</v>
      </c>
      <c r="F337" s="256">
        <v>4434380</v>
      </c>
      <c r="G337" s="256" t="s">
        <v>657</v>
      </c>
      <c r="H337" s="256" t="s">
        <v>305</v>
      </c>
      <c r="I337" s="256" t="s">
        <v>2129</v>
      </c>
      <c r="J337" s="256" t="s">
        <v>1501</v>
      </c>
      <c r="K337" s="259">
        <v>46132.229166666664</v>
      </c>
      <c r="L337" s="259">
        <v>46128.99722222222</v>
      </c>
      <c r="M337" s="259">
        <v>46134.229166666664</v>
      </c>
      <c r="N337" s="256"/>
      <c r="O337" s="256" t="s">
        <v>1502</v>
      </c>
      <c r="P337" s="259">
        <v>46151.229166666664</v>
      </c>
      <c r="Q337" s="256">
        <v>8</v>
      </c>
      <c r="R337" s="256"/>
      <c r="S337" s="256">
        <v>2</v>
      </c>
      <c r="T337" s="256"/>
      <c r="U337" s="256" t="s">
        <v>1</v>
      </c>
      <c r="V337" s="256" t="s">
        <v>1</v>
      </c>
      <c r="W337" s="256" t="s">
        <v>1515</v>
      </c>
      <c r="X337" s="259">
        <v>46099.458333333336</v>
      </c>
      <c r="Y337" s="256"/>
      <c r="Z337" s="256" t="s">
        <v>2130</v>
      </c>
      <c r="AA337" s="256" t="s">
        <v>1517</v>
      </c>
      <c r="AB337" s="256"/>
      <c r="AC337" s="256"/>
      <c r="AD337" s="256" t="s">
        <v>2131</v>
      </c>
      <c r="AE337" s="256" t="s">
        <v>252</v>
      </c>
    </row>
    <row r="338" spans="1:31">
      <c r="A338" s="256" t="s">
        <v>2127</v>
      </c>
      <c r="B338" s="256" t="s">
        <v>1511</v>
      </c>
      <c r="C338" s="256" t="s">
        <v>280</v>
      </c>
      <c r="D338" s="256" t="s">
        <v>2128</v>
      </c>
      <c r="E338" s="256">
        <v>4434343</v>
      </c>
      <c r="F338" s="256">
        <v>4434383</v>
      </c>
      <c r="G338" s="256" t="s">
        <v>658</v>
      </c>
      <c r="H338" s="256" t="s">
        <v>305</v>
      </c>
      <c r="I338" s="256" t="s">
        <v>2129</v>
      </c>
      <c r="J338" s="256" t="s">
        <v>1501</v>
      </c>
      <c r="K338" s="259">
        <v>46129.229166666664</v>
      </c>
      <c r="L338" s="259">
        <v>46122.229166666664</v>
      </c>
      <c r="M338" s="259">
        <v>46133.229166666664</v>
      </c>
      <c r="N338" s="256"/>
      <c r="O338" s="256" t="s">
        <v>1502</v>
      </c>
      <c r="P338" s="259">
        <v>46151.229166666664</v>
      </c>
      <c r="Q338" s="256">
        <v>5</v>
      </c>
      <c r="R338" s="256"/>
      <c r="S338" s="256">
        <v>2</v>
      </c>
      <c r="T338" s="256"/>
      <c r="U338" s="256" t="s">
        <v>1</v>
      </c>
      <c r="V338" s="256" t="s">
        <v>1</v>
      </c>
      <c r="W338" s="256" t="s">
        <v>1515</v>
      </c>
      <c r="X338" s="259">
        <v>46099.459027777775</v>
      </c>
      <c r="Y338" s="256"/>
      <c r="Z338" s="256" t="s">
        <v>2130</v>
      </c>
      <c r="AA338" s="256" t="s">
        <v>1517</v>
      </c>
      <c r="AB338" s="256"/>
      <c r="AC338" s="256"/>
      <c r="AD338" s="256" t="s">
        <v>2131</v>
      </c>
      <c r="AE338" s="256" t="s">
        <v>252</v>
      </c>
    </row>
    <row r="339" spans="1:31">
      <c r="A339" s="256" t="s">
        <v>2127</v>
      </c>
      <c r="B339" s="256" t="s">
        <v>1511</v>
      </c>
      <c r="C339" s="256" t="s">
        <v>280</v>
      </c>
      <c r="D339" s="256" t="s">
        <v>2128</v>
      </c>
      <c r="E339" s="256">
        <v>4434343</v>
      </c>
      <c r="F339" s="256">
        <v>4434479</v>
      </c>
      <c r="G339" s="256" t="s">
        <v>659</v>
      </c>
      <c r="H339" s="256" t="s">
        <v>305</v>
      </c>
      <c r="I339" s="256" t="s">
        <v>2129</v>
      </c>
      <c r="J339" s="256" t="s">
        <v>1501</v>
      </c>
      <c r="K339" s="259">
        <v>46127.229166666664</v>
      </c>
      <c r="L339" s="259">
        <v>46120.229166666664</v>
      </c>
      <c r="M339" s="259">
        <v>46133.229166666664</v>
      </c>
      <c r="N339" s="256"/>
      <c r="O339" s="256" t="s">
        <v>1502</v>
      </c>
      <c r="P339" s="259">
        <v>46151.229166666664</v>
      </c>
      <c r="Q339" s="256">
        <v>1</v>
      </c>
      <c r="R339" s="256"/>
      <c r="S339" s="256">
        <v>2</v>
      </c>
      <c r="T339" s="256"/>
      <c r="U339" s="256" t="s">
        <v>1</v>
      </c>
      <c r="V339" s="256" t="s">
        <v>1</v>
      </c>
      <c r="W339" s="256" t="s">
        <v>1515</v>
      </c>
      <c r="X339" s="259">
        <v>46099.486111111109</v>
      </c>
      <c r="Y339" s="256"/>
      <c r="Z339" s="256" t="s">
        <v>2130</v>
      </c>
      <c r="AA339" s="256" t="s">
        <v>1517</v>
      </c>
      <c r="AB339" s="256"/>
      <c r="AC339" s="256"/>
      <c r="AD339" s="256" t="s">
        <v>2131</v>
      </c>
      <c r="AE339" s="256" t="s">
        <v>252</v>
      </c>
    </row>
    <row r="340" spans="1:31">
      <c r="A340" s="256" t="s">
        <v>2132</v>
      </c>
      <c r="B340" s="256" t="s">
        <v>1511</v>
      </c>
      <c r="C340" s="256" t="s">
        <v>280</v>
      </c>
      <c r="D340" s="256" t="s">
        <v>1704</v>
      </c>
      <c r="E340" s="256">
        <v>4311794</v>
      </c>
      <c r="F340" s="256">
        <v>4445058</v>
      </c>
      <c r="G340" s="256" t="s">
        <v>2133</v>
      </c>
      <c r="H340" s="256" t="s">
        <v>1475</v>
      </c>
      <c r="I340" s="256" t="s">
        <v>2014</v>
      </c>
      <c r="J340" s="256" t="s">
        <v>1488</v>
      </c>
      <c r="K340" s="259">
        <v>46121.020833333336</v>
      </c>
      <c r="L340" s="259">
        <v>46121.0625</v>
      </c>
      <c r="M340" s="256"/>
      <c r="N340" s="256"/>
      <c r="O340" s="256" t="s">
        <v>1497</v>
      </c>
      <c r="P340" s="259">
        <v>46151.229166666664</v>
      </c>
      <c r="Q340" s="256">
        <v>8</v>
      </c>
      <c r="R340" s="256"/>
      <c r="S340" s="256">
        <v>2</v>
      </c>
      <c r="T340" s="256"/>
      <c r="U340" s="256" t="s">
        <v>1</v>
      </c>
      <c r="V340" s="256" t="s">
        <v>1</v>
      </c>
      <c r="W340" s="256" t="s">
        <v>1705</v>
      </c>
      <c r="X340" s="259">
        <v>46107.729166666664</v>
      </c>
      <c r="Y340" s="256" t="s">
        <v>1560</v>
      </c>
      <c r="Z340" s="256" t="s">
        <v>2016</v>
      </c>
      <c r="AA340" s="256" t="s">
        <v>1517</v>
      </c>
      <c r="AB340" s="256"/>
      <c r="AC340" s="256"/>
      <c r="AD340" s="256" t="s">
        <v>2134</v>
      </c>
      <c r="AE340" s="256" t="s">
        <v>252</v>
      </c>
    </row>
    <row r="341" spans="1:31">
      <c r="A341" s="256" t="s">
        <v>281</v>
      </c>
      <c r="B341" s="256" t="s">
        <v>1511</v>
      </c>
      <c r="C341" s="256" t="s">
        <v>280</v>
      </c>
      <c r="D341" s="256" t="s">
        <v>281</v>
      </c>
      <c r="E341" s="256">
        <v>4372279</v>
      </c>
      <c r="F341" s="256">
        <v>4446516</v>
      </c>
      <c r="G341" s="256" t="s">
        <v>931</v>
      </c>
      <c r="H341" s="256" t="s">
        <v>359</v>
      </c>
      <c r="I341" s="256" t="s">
        <v>2070</v>
      </c>
      <c r="J341" s="256" t="s">
        <v>1488</v>
      </c>
      <c r="K341" s="259">
        <v>46129.020833333336</v>
      </c>
      <c r="L341" s="259">
        <v>46128.745833333334</v>
      </c>
      <c r="M341" s="259">
        <v>46132.979166666664</v>
      </c>
      <c r="N341" s="256"/>
      <c r="O341" s="256" t="s">
        <v>2109</v>
      </c>
      <c r="P341" s="259">
        <v>46151.229166666664</v>
      </c>
      <c r="Q341" s="256">
        <v>3</v>
      </c>
      <c r="R341" s="256"/>
      <c r="S341" s="256">
        <v>2</v>
      </c>
      <c r="T341" s="256"/>
      <c r="U341" s="256" t="s">
        <v>1</v>
      </c>
      <c r="V341" s="256" t="s">
        <v>1</v>
      </c>
      <c r="W341" s="256" t="s">
        <v>1786</v>
      </c>
      <c r="X341" s="259">
        <v>46108.678472222222</v>
      </c>
      <c r="Y341" s="256"/>
      <c r="Z341" s="256" t="s">
        <v>2072</v>
      </c>
      <c r="AA341" s="256" t="s">
        <v>2037</v>
      </c>
      <c r="AB341" s="256"/>
      <c r="AC341" s="256"/>
      <c r="AD341" s="256" t="s">
        <v>2135</v>
      </c>
      <c r="AE341" s="256" t="s">
        <v>252</v>
      </c>
    </row>
    <row r="342" spans="1:31">
      <c r="A342" s="256" t="s">
        <v>281</v>
      </c>
      <c r="B342" s="256" t="s">
        <v>1511</v>
      </c>
      <c r="C342" s="256" t="s">
        <v>280</v>
      </c>
      <c r="D342" s="256" t="s">
        <v>280</v>
      </c>
      <c r="E342" s="256">
        <v>4372279</v>
      </c>
      <c r="F342" s="256">
        <v>4446639</v>
      </c>
      <c r="G342" s="256" t="s">
        <v>2136</v>
      </c>
      <c r="H342" s="256" t="s">
        <v>359</v>
      </c>
      <c r="I342" s="256" t="s">
        <v>2070</v>
      </c>
      <c r="J342" s="256" t="s">
        <v>1488</v>
      </c>
      <c r="K342" s="259">
        <v>46129.229166666664</v>
      </c>
      <c r="L342" s="259">
        <v>46128.699305555558</v>
      </c>
      <c r="M342" s="259">
        <v>46133.0625</v>
      </c>
      <c r="N342" s="256"/>
      <c r="O342" s="256" t="s">
        <v>2137</v>
      </c>
      <c r="P342" s="259">
        <v>46151.229166666664</v>
      </c>
      <c r="Q342" s="256">
        <v>5</v>
      </c>
      <c r="R342" s="256"/>
      <c r="S342" s="256">
        <v>2</v>
      </c>
      <c r="T342" s="256"/>
      <c r="U342" s="256" t="s">
        <v>1</v>
      </c>
      <c r="V342" s="256" t="s">
        <v>1</v>
      </c>
      <c r="W342" s="256" t="s">
        <v>1786</v>
      </c>
      <c r="X342" s="259">
        <v>46108.729166666664</v>
      </c>
      <c r="Y342" s="256"/>
      <c r="Z342" s="256" t="s">
        <v>2072</v>
      </c>
      <c r="AA342" s="256" t="s">
        <v>2053</v>
      </c>
      <c r="AB342" s="256"/>
      <c r="AC342" s="256"/>
      <c r="AD342" s="256" t="s">
        <v>281</v>
      </c>
      <c r="AE342" s="256" t="s">
        <v>252</v>
      </c>
    </row>
    <row r="343" spans="1:31">
      <c r="A343" s="256" t="s">
        <v>281</v>
      </c>
      <c r="B343" s="256" t="s">
        <v>1511</v>
      </c>
      <c r="C343" s="256" t="s">
        <v>280</v>
      </c>
      <c r="D343" s="256" t="s">
        <v>280</v>
      </c>
      <c r="E343" s="256">
        <v>4372279</v>
      </c>
      <c r="F343" s="256">
        <v>4446655</v>
      </c>
      <c r="G343" s="256" t="s">
        <v>2138</v>
      </c>
      <c r="H343" s="256" t="s">
        <v>242</v>
      </c>
      <c r="I343" s="256" t="s">
        <v>2070</v>
      </c>
      <c r="J343" s="256" t="s">
        <v>1488</v>
      </c>
      <c r="K343" s="259">
        <v>46132.229166666664</v>
      </c>
      <c r="L343" s="256"/>
      <c r="M343" s="259">
        <v>46133.229166666664</v>
      </c>
      <c r="N343" s="256"/>
      <c r="O343" s="256" t="s">
        <v>2071</v>
      </c>
      <c r="P343" s="259">
        <v>46151.229166666664</v>
      </c>
      <c r="Q343" s="256">
        <v>3</v>
      </c>
      <c r="R343" s="256"/>
      <c r="S343" s="256">
        <v>2</v>
      </c>
      <c r="T343" s="256"/>
      <c r="U343" s="256"/>
      <c r="V343" s="256"/>
      <c r="W343" s="256" t="s">
        <v>1786</v>
      </c>
      <c r="X343" s="259">
        <v>46108.731249999997</v>
      </c>
      <c r="Y343" s="256"/>
      <c r="Z343" s="256" t="s">
        <v>2072</v>
      </c>
      <c r="AA343" s="256" t="s">
        <v>2037</v>
      </c>
      <c r="AB343" s="256"/>
      <c r="AC343" s="256"/>
      <c r="AD343" s="256" t="s">
        <v>281</v>
      </c>
      <c r="AE343" s="256" t="s">
        <v>252</v>
      </c>
    </row>
    <row r="344" spans="1:31">
      <c r="A344" s="256" t="s">
        <v>1505</v>
      </c>
      <c r="B344" s="256" t="s">
        <v>1471</v>
      </c>
      <c r="C344" s="256" t="s">
        <v>1472</v>
      </c>
      <c r="D344" s="256" t="s">
        <v>1506</v>
      </c>
      <c r="E344" s="256">
        <v>4440976</v>
      </c>
      <c r="F344" s="256">
        <v>4446570</v>
      </c>
      <c r="G344" s="256" t="s">
        <v>692</v>
      </c>
      <c r="H344" s="256" t="s">
        <v>305</v>
      </c>
      <c r="I344" s="256" t="s">
        <v>251</v>
      </c>
      <c r="J344" s="256" t="s">
        <v>1501</v>
      </c>
      <c r="K344" s="259">
        <v>46133.229166666664</v>
      </c>
      <c r="L344" s="259">
        <v>46127.775000000001</v>
      </c>
      <c r="M344" s="256"/>
      <c r="N344" s="256"/>
      <c r="O344" s="256" t="s">
        <v>1507</v>
      </c>
      <c r="P344" s="259">
        <v>46151.229166666664</v>
      </c>
      <c r="Q344" s="256">
        <v>3</v>
      </c>
      <c r="R344" s="256"/>
      <c r="S344" s="256">
        <v>2</v>
      </c>
      <c r="T344" s="256"/>
      <c r="U344" s="256" t="s">
        <v>1</v>
      </c>
      <c r="V344" s="256" t="s">
        <v>1498</v>
      </c>
      <c r="W344" s="256" t="s">
        <v>1508</v>
      </c>
      <c r="X344" s="259">
        <v>46108.703472222223</v>
      </c>
      <c r="Y344" s="256" t="s">
        <v>1560</v>
      </c>
      <c r="Z344" s="256" t="s">
        <v>2010</v>
      </c>
      <c r="AA344" s="256" t="s">
        <v>1492</v>
      </c>
      <c r="AB344" s="256"/>
      <c r="AC344" s="256"/>
      <c r="AD344" s="256" t="s">
        <v>1510</v>
      </c>
      <c r="AE344" s="256" t="s">
        <v>252</v>
      </c>
    </row>
    <row r="345" spans="1:31">
      <c r="A345" s="256" t="s">
        <v>281</v>
      </c>
      <c r="B345" s="256" t="s">
        <v>1511</v>
      </c>
      <c r="C345" s="256" t="s">
        <v>280</v>
      </c>
      <c r="D345" s="256" t="s">
        <v>280</v>
      </c>
      <c r="E345" s="256">
        <v>4372279</v>
      </c>
      <c r="F345" s="256">
        <v>4446726</v>
      </c>
      <c r="G345" s="256" t="s">
        <v>962</v>
      </c>
      <c r="H345" s="256" t="s">
        <v>1475</v>
      </c>
      <c r="I345" s="256" t="s">
        <v>271</v>
      </c>
      <c r="J345" s="256" t="s">
        <v>1488</v>
      </c>
      <c r="K345" s="259">
        <v>46134.729166666664</v>
      </c>
      <c r="L345" s="259">
        <v>46121.925694444442</v>
      </c>
      <c r="M345" s="256"/>
      <c r="N345" s="256"/>
      <c r="O345" s="256" t="s">
        <v>2085</v>
      </c>
      <c r="P345" s="259">
        <v>46151.229166666664</v>
      </c>
      <c r="Q345" s="256">
        <v>3</v>
      </c>
      <c r="R345" s="256"/>
      <c r="S345" s="256">
        <v>2</v>
      </c>
      <c r="T345" s="256"/>
      <c r="U345" s="256" t="s">
        <v>1</v>
      </c>
      <c r="V345" s="256" t="s">
        <v>1</v>
      </c>
      <c r="W345" s="256" t="s">
        <v>1786</v>
      </c>
      <c r="X345" s="259">
        <v>46108.802777777775</v>
      </c>
      <c r="Y345" s="256" t="s">
        <v>1560</v>
      </c>
      <c r="Z345" s="256" t="s">
        <v>2006</v>
      </c>
      <c r="AA345" s="256" t="s">
        <v>2007</v>
      </c>
      <c r="AB345" s="256"/>
      <c r="AC345" s="256"/>
      <c r="AD345" s="256" t="s">
        <v>2112</v>
      </c>
      <c r="AE345" s="256" t="s">
        <v>252</v>
      </c>
    </row>
    <row r="346" spans="1:31">
      <c r="A346" s="256" t="s">
        <v>281</v>
      </c>
      <c r="B346" s="256" t="s">
        <v>1511</v>
      </c>
      <c r="C346" s="256" t="s">
        <v>280</v>
      </c>
      <c r="D346" s="256" t="s">
        <v>1676</v>
      </c>
      <c r="E346" s="256">
        <v>4372279</v>
      </c>
      <c r="F346" s="256">
        <v>4440940</v>
      </c>
      <c r="G346" s="256" t="s">
        <v>916</v>
      </c>
      <c r="H346" s="256" t="s">
        <v>359</v>
      </c>
      <c r="I346" s="256" t="s">
        <v>271</v>
      </c>
      <c r="J346" s="256" t="s">
        <v>1488</v>
      </c>
      <c r="K346" s="259">
        <v>46134.229166666664</v>
      </c>
      <c r="L346" s="259">
        <v>46129.619444444441</v>
      </c>
      <c r="M346" s="259">
        <v>46135.229166666664</v>
      </c>
      <c r="N346" s="256"/>
      <c r="O346" s="256" t="s">
        <v>2089</v>
      </c>
      <c r="P346" s="259">
        <v>46151.229166666664</v>
      </c>
      <c r="Q346" s="256">
        <v>3</v>
      </c>
      <c r="R346" s="256"/>
      <c r="S346" s="256">
        <v>2</v>
      </c>
      <c r="T346" s="256"/>
      <c r="U346" s="256" t="s">
        <v>1</v>
      </c>
      <c r="V346" s="256" t="s">
        <v>1</v>
      </c>
      <c r="W346" s="256" t="s">
        <v>1515</v>
      </c>
      <c r="X346" s="259">
        <v>46105.72152777778</v>
      </c>
      <c r="Y346" s="256"/>
      <c r="Z346" s="256" t="s">
        <v>2006</v>
      </c>
      <c r="AA346" s="256" t="s">
        <v>1517</v>
      </c>
      <c r="AB346" s="256"/>
      <c r="AC346" s="256"/>
      <c r="AD346" s="256" t="s">
        <v>1677</v>
      </c>
      <c r="AE346" s="256" t="s">
        <v>252</v>
      </c>
    </row>
    <row r="347" spans="1:31">
      <c r="A347" s="256" t="s">
        <v>2139</v>
      </c>
      <c r="B347" s="256" t="s">
        <v>1511</v>
      </c>
      <c r="C347" s="256" t="s">
        <v>280</v>
      </c>
      <c r="D347" s="256" t="s">
        <v>1704</v>
      </c>
      <c r="E347" s="256">
        <v>4452034</v>
      </c>
      <c r="F347" s="256">
        <v>4443719</v>
      </c>
      <c r="G347" s="256" t="s">
        <v>917</v>
      </c>
      <c r="H347" s="256" t="s">
        <v>305</v>
      </c>
      <c r="I347" s="256" t="s">
        <v>2093</v>
      </c>
      <c r="J347" s="256" t="s">
        <v>1488</v>
      </c>
      <c r="K347" s="259">
        <v>46128.020833333336</v>
      </c>
      <c r="L347" s="259">
        <v>46127.918055555558</v>
      </c>
      <c r="M347" s="256"/>
      <c r="N347" s="256"/>
      <c r="O347" s="256" t="s">
        <v>2140</v>
      </c>
      <c r="P347" s="259">
        <v>46151.229166666664</v>
      </c>
      <c r="Q347" s="256">
        <v>8</v>
      </c>
      <c r="R347" s="256"/>
      <c r="S347" s="256">
        <v>2</v>
      </c>
      <c r="T347" s="256"/>
      <c r="U347" s="256" t="s">
        <v>1</v>
      </c>
      <c r="V347" s="256" t="s">
        <v>1</v>
      </c>
      <c r="W347" s="256" t="s">
        <v>1705</v>
      </c>
      <c r="X347" s="259">
        <v>46106.919444444444</v>
      </c>
      <c r="Y347" s="256" t="s">
        <v>1560</v>
      </c>
      <c r="Z347" s="256" t="s">
        <v>2096</v>
      </c>
      <c r="AA347" s="256" t="s">
        <v>2097</v>
      </c>
      <c r="AB347" s="256"/>
      <c r="AC347" s="256"/>
      <c r="AD347" s="256" t="s">
        <v>2134</v>
      </c>
      <c r="AE347" s="256" t="s">
        <v>252</v>
      </c>
    </row>
    <row r="348" spans="1:31">
      <c r="A348" s="256" t="s">
        <v>2092</v>
      </c>
      <c r="B348" s="256" t="s">
        <v>1511</v>
      </c>
      <c r="C348" s="256" t="s">
        <v>280</v>
      </c>
      <c r="D348" s="256" t="s">
        <v>1704</v>
      </c>
      <c r="E348" s="256">
        <v>4387285</v>
      </c>
      <c r="F348" s="256">
        <v>4443721</v>
      </c>
      <c r="G348" s="256" t="s">
        <v>919</v>
      </c>
      <c r="H348" s="256" t="s">
        <v>242</v>
      </c>
      <c r="I348" s="256" t="s">
        <v>2093</v>
      </c>
      <c r="J348" s="256" t="s">
        <v>1488</v>
      </c>
      <c r="K348" s="259">
        <v>46133.020833333336</v>
      </c>
      <c r="L348" s="256"/>
      <c r="M348" s="259">
        <v>46136.0625</v>
      </c>
      <c r="N348" s="256"/>
      <c r="O348" s="256" t="s">
        <v>2141</v>
      </c>
      <c r="P348" s="259">
        <v>46151.229166666664</v>
      </c>
      <c r="Q348" s="256">
        <v>8</v>
      </c>
      <c r="R348" s="256"/>
      <c r="S348" s="256">
        <v>2</v>
      </c>
      <c r="T348" s="256"/>
      <c r="U348" s="256" t="s">
        <v>1</v>
      </c>
      <c r="V348" s="256" t="s">
        <v>1</v>
      </c>
      <c r="W348" s="256" t="s">
        <v>1705</v>
      </c>
      <c r="X348" s="259">
        <v>46106.926388888889</v>
      </c>
      <c r="Y348" s="256" t="s">
        <v>1560</v>
      </c>
      <c r="Z348" s="256" t="s">
        <v>2096</v>
      </c>
      <c r="AA348" s="256" t="s">
        <v>2097</v>
      </c>
      <c r="AB348" s="256"/>
      <c r="AC348" s="256"/>
      <c r="AD348" s="256" t="s">
        <v>2134</v>
      </c>
      <c r="AE348" s="256" t="s">
        <v>252</v>
      </c>
    </row>
    <row r="349" spans="1:31">
      <c r="A349" s="256" t="s">
        <v>2092</v>
      </c>
      <c r="B349" s="256" t="s">
        <v>1511</v>
      </c>
      <c r="C349" s="256" t="s">
        <v>280</v>
      </c>
      <c r="D349" s="256" t="s">
        <v>1704</v>
      </c>
      <c r="E349" s="256">
        <v>4387285</v>
      </c>
      <c r="F349" s="256">
        <v>4443722</v>
      </c>
      <c r="G349" s="256" t="s">
        <v>921</v>
      </c>
      <c r="H349" s="256" t="s">
        <v>242</v>
      </c>
      <c r="I349" s="256" t="s">
        <v>2093</v>
      </c>
      <c r="J349" s="256" t="s">
        <v>1488</v>
      </c>
      <c r="K349" s="259">
        <v>46133.020833333336</v>
      </c>
      <c r="L349" s="256"/>
      <c r="M349" s="259">
        <v>46136.0625</v>
      </c>
      <c r="N349" s="256"/>
      <c r="O349" s="256" t="s">
        <v>2141</v>
      </c>
      <c r="P349" s="259">
        <v>46151.229166666664</v>
      </c>
      <c r="Q349" s="256">
        <v>8</v>
      </c>
      <c r="R349" s="256"/>
      <c r="S349" s="256">
        <v>2</v>
      </c>
      <c r="T349" s="256"/>
      <c r="U349" s="256" t="s">
        <v>1</v>
      </c>
      <c r="V349" s="256" t="s">
        <v>1</v>
      </c>
      <c r="W349" s="256" t="s">
        <v>1705</v>
      </c>
      <c r="X349" s="259">
        <v>46106.927083333336</v>
      </c>
      <c r="Y349" s="256" t="s">
        <v>1560</v>
      </c>
      <c r="Z349" s="256" t="s">
        <v>2096</v>
      </c>
      <c r="AA349" s="256" t="s">
        <v>2097</v>
      </c>
      <c r="AB349" s="256"/>
      <c r="AC349" s="256"/>
      <c r="AD349" s="256" t="s">
        <v>2134</v>
      </c>
      <c r="AE349" s="256" t="s">
        <v>252</v>
      </c>
    </row>
    <row r="350" spans="1:31">
      <c r="A350" s="256" t="s">
        <v>2132</v>
      </c>
      <c r="B350" s="256" t="s">
        <v>1511</v>
      </c>
      <c r="C350" s="256" t="s">
        <v>280</v>
      </c>
      <c r="D350" s="256" t="s">
        <v>1704</v>
      </c>
      <c r="E350" s="256">
        <v>4311794</v>
      </c>
      <c r="F350" s="256">
        <v>4443724</v>
      </c>
      <c r="G350" s="256" t="s">
        <v>973</v>
      </c>
      <c r="H350" s="256" t="s">
        <v>242</v>
      </c>
      <c r="I350" s="256" t="s">
        <v>2093</v>
      </c>
      <c r="J350" s="256" t="s">
        <v>1488</v>
      </c>
      <c r="K350" s="259">
        <v>46134.020833333336</v>
      </c>
      <c r="L350" s="256"/>
      <c r="M350" s="259">
        <v>46140.0625</v>
      </c>
      <c r="N350" s="256"/>
      <c r="O350" s="256" t="s">
        <v>2142</v>
      </c>
      <c r="P350" s="259">
        <v>46151.229166666664</v>
      </c>
      <c r="Q350" s="256">
        <v>5</v>
      </c>
      <c r="R350" s="256"/>
      <c r="S350" s="256">
        <v>2</v>
      </c>
      <c r="T350" s="256"/>
      <c r="U350" s="256" t="s">
        <v>1</v>
      </c>
      <c r="V350" s="256" t="s">
        <v>1</v>
      </c>
      <c r="W350" s="256" t="s">
        <v>1705</v>
      </c>
      <c r="X350" s="259">
        <v>46106.930555555555</v>
      </c>
      <c r="Y350" s="256" t="s">
        <v>1560</v>
      </c>
      <c r="Z350" s="256" t="s">
        <v>2096</v>
      </c>
      <c r="AA350" s="256" t="s">
        <v>2097</v>
      </c>
      <c r="AB350" s="256"/>
      <c r="AC350" s="256"/>
      <c r="AD350" s="256" t="s">
        <v>2134</v>
      </c>
      <c r="AE350" s="256" t="s">
        <v>252</v>
      </c>
    </row>
    <row r="351" spans="1:31">
      <c r="A351" s="256" t="s">
        <v>2132</v>
      </c>
      <c r="B351" s="256" t="s">
        <v>1511</v>
      </c>
      <c r="C351" s="256" t="s">
        <v>280</v>
      </c>
      <c r="D351" s="256" t="s">
        <v>1704</v>
      </c>
      <c r="E351" s="256">
        <v>4311794</v>
      </c>
      <c r="F351" s="256">
        <v>4443725</v>
      </c>
      <c r="G351" s="256" t="s">
        <v>923</v>
      </c>
      <c r="H351" s="256" t="s">
        <v>305</v>
      </c>
      <c r="I351" s="256" t="s">
        <v>2014</v>
      </c>
      <c r="J351" s="256" t="s">
        <v>1488</v>
      </c>
      <c r="K351" s="259">
        <v>46121.020833333336</v>
      </c>
      <c r="L351" s="259">
        <v>46121.0625</v>
      </c>
      <c r="M351" s="256"/>
      <c r="N351" s="256"/>
      <c r="O351" s="256" t="s">
        <v>2140</v>
      </c>
      <c r="P351" s="259">
        <v>46151.229166666664</v>
      </c>
      <c r="Q351" s="256">
        <v>8</v>
      </c>
      <c r="R351" s="256"/>
      <c r="S351" s="256">
        <v>2</v>
      </c>
      <c r="T351" s="256"/>
      <c r="U351" s="256" t="s">
        <v>1</v>
      </c>
      <c r="V351" s="256" t="s">
        <v>1</v>
      </c>
      <c r="W351" s="256" t="s">
        <v>1705</v>
      </c>
      <c r="X351" s="259">
        <v>46106.934027777781</v>
      </c>
      <c r="Y351" s="256" t="s">
        <v>1560</v>
      </c>
      <c r="Z351" s="256" t="s">
        <v>2016</v>
      </c>
      <c r="AA351" s="256" t="s">
        <v>1517</v>
      </c>
      <c r="AB351" s="256"/>
      <c r="AC351" s="256"/>
      <c r="AD351" s="256" t="s">
        <v>2134</v>
      </c>
      <c r="AE351" s="256" t="s">
        <v>252</v>
      </c>
    </row>
    <row r="352" spans="1:31">
      <c r="A352" s="256" t="s">
        <v>1714</v>
      </c>
      <c r="B352" s="256" t="s">
        <v>1511</v>
      </c>
      <c r="C352" s="256" t="s">
        <v>280</v>
      </c>
      <c r="D352" s="256" t="s">
        <v>1715</v>
      </c>
      <c r="E352" s="256">
        <v>4386528</v>
      </c>
      <c r="F352" s="256">
        <v>4486268</v>
      </c>
      <c r="G352" s="256" t="s">
        <v>982</v>
      </c>
      <c r="H352" s="256" t="s">
        <v>198</v>
      </c>
      <c r="I352" s="256" t="s">
        <v>268</v>
      </c>
      <c r="J352" s="256" t="s">
        <v>1488</v>
      </c>
      <c r="K352" s="259">
        <v>46135.020833333336</v>
      </c>
      <c r="L352" s="256"/>
      <c r="M352" s="256"/>
      <c r="N352" s="256"/>
      <c r="O352" s="256" t="s">
        <v>2079</v>
      </c>
      <c r="P352" s="259">
        <v>46151.229166666664</v>
      </c>
      <c r="Q352" s="256">
        <v>3</v>
      </c>
      <c r="R352" s="256"/>
      <c r="S352" s="256">
        <v>2</v>
      </c>
      <c r="T352" s="256"/>
      <c r="U352" s="256"/>
      <c r="V352" s="256"/>
      <c r="W352" s="256" t="s">
        <v>1652</v>
      </c>
      <c r="X352" s="259">
        <v>46128.619444444441</v>
      </c>
      <c r="Y352" s="256"/>
      <c r="Z352" s="256" t="s">
        <v>2024</v>
      </c>
      <c r="AA352" s="256" t="s">
        <v>1654</v>
      </c>
      <c r="AB352" s="256"/>
      <c r="AC352" s="256"/>
      <c r="AD352" s="256" t="s">
        <v>2143</v>
      </c>
      <c r="AE352" s="256" t="s">
        <v>252</v>
      </c>
    </row>
    <row r="353" spans="1:31">
      <c r="A353" s="256" t="s">
        <v>2132</v>
      </c>
      <c r="B353" s="256" t="s">
        <v>1471</v>
      </c>
      <c r="C353" s="256" t="s">
        <v>280</v>
      </c>
      <c r="D353" s="256" t="s">
        <v>360</v>
      </c>
      <c r="E353" s="256">
        <v>4311794</v>
      </c>
      <c r="F353" s="256">
        <v>4470161</v>
      </c>
      <c r="G353" s="256" t="s">
        <v>972</v>
      </c>
      <c r="H353" s="256" t="s">
        <v>305</v>
      </c>
      <c r="I353" s="256" t="s">
        <v>2093</v>
      </c>
      <c r="J353" s="256" t="s">
        <v>1488</v>
      </c>
      <c r="K353" s="259">
        <v>46133.020833333336</v>
      </c>
      <c r="L353" s="259">
        <v>46126.947916666664</v>
      </c>
      <c r="M353" s="259">
        <v>46136.0625</v>
      </c>
      <c r="N353" s="256"/>
      <c r="O353" s="256" t="s">
        <v>2067</v>
      </c>
      <c r="P353" s="259">
        <v>46151.229166666664</v>
      </c>
      <c r="Q353" s="256">
        <v>3</v>
      </c>
      <c r="R353" s="256"/>
      <c r="S353" s="256">
        <v>2</v>
      </c>
      <c r="T353" s="256"/>
      <c r="U353" s="256" t="s">
        <v>1</v>
      </c>
      <c r="V353" s="256" t="s">
        <v>1</v>
      </c>
      <c r="W353" s="256" t="s">
        <v>1705</v>
      </c>
      <c r="X353" s="259">
        <v>46121.469444444447</v>
      </c>
      <c r="Y353" s="256" t="s">
        <v>2144</v>
      </c>
      <c r="Z353" s="256" t="s">
        <v>2096</v>
      </c>
      <c r="AA353" s="256" t="s">
        <v>2097</v>
      </c>
      <c r="AB353" s="256"/>
      <c r="AC353" s="256"/>
      <c r="AD353" s="256" t="s">
        <v>2145</v>
      </c>
      <c r="AE353" s="256" t="s">
        <v>252</v>
      </c>
    </row>
    <row r="354" spans="1:31">
      <c r="A354" s="256" t="s">
        <v>2132</v>
      </c>
      <c r="B354" s="256" t="s">
        <v>1511</v>
      </c>
      <c r="C354" s="256" t="s">
        <v>280</v>
      </c>
      <c r="D354" s="256" t="s">
        <v>1704</v>
      </c>
      <c r="E354" s="256">
        <v>4311794</v>
      </c>
      <c r="F354" s="256">
        <v>4468291</v>
      </c>
      <c r="G354" s="256" t="s">
        <v>753</v>
      </c>
      <c r="H354" s="256" t="s">
        <v>242</v>
      </c>
      <c r="I354" s="256" t="s">
        <v>2014</v>
      </c>
      <c r="J354" s="256" t="s">
        <v>1488</v>
      </c>
      <c r="K354" s="259">
        <v>46134.229166666664</v>
      </c>
      <c r="L354" s="256"/>
      <c r="M354" s="256"/>
      <c r="N354" s="256"/>
      <c r="O354" s="256" t="s">
        <v>2146</v>
      </c>
      <c r="P354" s="259">
        <v>46151.229166666664</v>
      </c>
      <c r="Q354" s="256">
        <v>8</v>
      </c>
      <c r="R354" s="256"/>
      <c r="S354" s="256">
        <v>2</v>
      </c>
      <c r="T354" s="256"/>
      <c r="U354" s="256"/>
      <c r="V354" s="256"/>
      <c r="W354" s="256" t="s">
        <v>1705</v>
      </c>
      <c r="X354" s="259">
        <v>46120.404166666667</v>
      </c>
      <c r="Y354" s="256" t="s">
        <v>2147</v>
      </c>
      <c r="Z354" s="256" t="s">
        <v>2016</v>
      </c>
      <c r="AA354" s="256" t="s">
        <v>1517</v>
      </c>
      <c r="AB354" s="256"/>
      <c r="AC354" s="256"/>
      <c r="AD354" s="256" t="s">
        <v>2134</v>
      </c>
      <c r="AE354" s="256" t="s">
        <v>252</v>
      </c>
    </row>
    <row r="355" spans="1:31">
      <c r="A355" s="256" t="s">
        <v>2132</v>
      </c>
      <c r="B355" s="256" t="s">
        <v>1511</v>
      </c>
      <c r="C355" s="256" t="s">
        <v>280</v>
      </c>
      <c r="D355" s="256" t="s">
        <v>1704</v>
      </c>
      <c r="E355" s="256">
        <v>4311794</v>
      </c>
      <c r="F355" s="256">
        <v>4468292</v>
      </c>
      <c r="G355" s="256" t="s">
        <v>756</v>
      </c>
      <c r="H355" s="256" t="s">
        <v>242</v>
      </c>
      <c r="I355" s="256" t="s">
        <v>2014</v>
      </c>
      <c r="J355" s="256" t="s">
        <v>1488</v>
      </c>
      <c r="K355" s="259">
        <v>46134.229166666664</v>
      </c>
      <c r="L355" s="256"/>
      <c r="M355" s="256"/>
      <c r="N355" s="256"/>
      <c r="O355" s="256" t="s">
        <v>2148</v>
      </c>
      <c r="P355" s="259">
        <v>46151.229166666664</v>
      </c>
      <c r="Q355" s="256">
        <v>8</v>
      </c>
      <c r="R355" s="256"/>
      <c r="S355" s="256">
        <v>2</v>
      </c>
      <c r="T355" s="256"/>
      <c r="U355" s="256"/>
      <c r="V355" s="256"/>
      <c r="W355" s="256" t="s">
        <v>1705</v>
      </c>
      <c r="X355" s="259">
        <v>46120.404861111114</v>
      </c>
      <c r="Y355" s="256" t="s">
        <v>2147</v>
      </c>
      <c r="Z355" s="256" t="s">
        <v>2016</v>
      </c>
      <c r="AA355" s="256" t="s">
        <v>1517</v>
      </c>
      <c r="AB355" s="256"/>
      <c r="AC355" s="256"/>
      <c r="AD355" s="256" t="s">
        <v>2134</v>
      </c>
      <c r="AE355" s="256" t="s">
        <v>252</v>
      </c>
    </row>
    <row r="356" spans="1:31">
      <c r="A356" s="256" t="s">
        <v>2132</v>
      </c>
      <c r="B356" s="256" t="s">
        <v>1511</v>
      </c>
      <c r="C356" s="256" t="s">
        <v>280</v>
      </c>
      <c r="D356" s="256" t="s">
        <v>1704</v>
      </c>
      <c r="E356" s="256">
        <v>4311794</v>
      </c>
      <c r="F356" s="256">
        <v>4468947</v>
      </c>
      <c r="G356" s="256" t="s">
        <v>966</v>
      </c>
      <c r="H356" s="256" t="s">
        <v>242</v>
      </c>
      <c r="I356" s="256" t="s">
        <v>2014</v>
      </c>
      <c r="J356" s="256" t="s">
        <v>1488</v>
      </c>
      <c r="K356" s="259">
        <v>46134.229166666664</v>
      </c>
      <c r="L356" s="256"/>
      <c r="M356" s="259">
        <v>46140.0625</v>
      </c>
      <c r="N356" s="256"/>
      <c r="O356" s="256" t="s">
        <v>2149</v>
      </c>
      <c r="P356" s="259">
        <v>46151.229166666664</v>
      </c>
      <c r="Q356" s="256">
        <v>5</v>
      </c>
      <c r="R356" s="256"/>
      <c r="S356" s="256">
        <v>2</v>
      </c>
      <c r="T356" s="256"/>
      <c r="U356" s="256"/>
      <c r="V356" s="256"/>
      <c r="W356" s="256" t="s">
        <v>1705</v>
      </c>
      <c r="X356" s="259">
        <v>46120.590277777781</v>
      </c>
      <c r="Y356" s="256" t="s">
        <v>2147</v>
      </c>
      <c r="Z356" s="256" t="s">
        <v>2016</v>
      </c>
      <c r="AA356" s="256" t="s">
        <v>1517</v>
      </c>
      <c r="AB356" s="256"/>
      <c r="AC356" s="256"/>
      <c r="AD356" s="256" t="s">
        <v>2134</v>
      </c>
      <c r="AE356" s="256" t="s">
        <v>252</v>
      </c>
    </row>
    <row r="357" spans="1:31">
      <c r="A357" s="256" t="s">
        <v>281</v>
      </c>
      <c r="B357" s="256" t="s">
        <v>1471</v>
      </c>
      <c r="C357" s="256" t="s">
        <v>280</v>
      </c>
      <c r="D357" s="256" t="s">
        <v>360</v>
      </c>
      <c r="E357" s="256">
        <v>4372279</v>
      </c>
      <c r="F357" s="256">
        <v>4469645</v>
      </c>
      <c r="G357" s="256" t="s">
        <v>2150</v>
      </c>
      <c r="H357" s="256" t="s">
        <v>783</v>
      </c>
      <c r="I357" s="256" t="s">
        <v>271</v>
      </c>
      <c r="J357" s="256" t="s">
        <v>1488</v>
      </c>
      <c r="K357" s="259">
        <v>46134.229166666664</v>
      </c>
      <c r="L357" s="259">
        <v>46128.038888888892</v>
      </c>
      <c r="M357" s="259">
        <v>46140.0625</v>
      </c>
      <c r="N357" s="256"/>
      <c r="O357" s="256" t="s">
        <v>1514</v>
      </c>
      <c r="P357" s="259">
        <v>46151.229166666664</v>
      </c>
      <c r="Q357" s="256">
        <v>5</v>
      </c>
      <c r="R357" s="256"/>
      <c r="S357" s="256">
        <v>2</v>
      </c>
      <c r="T357" s="256"/>
      <c r="U357" s="256" t="s">
        <v>1</v>
      </c>
      <c r="V357" s="256" t="s">
        <v>1</v>
      </c>
      <c r="W357" s="256" t="s">
        <v>1786</v>
      </c>
      <c r="X357" s="259">
        <v>46120.78402777778</v>
      </c>
      <c r="Y357" s="256" t="s">
        <v>1859</v>
      </c>
      <c r="Z357" s="256" t="s">
        <v>2006</v>
      </c>
      <c r="AA357" s="256" t="s">
        <v>2007</v>
      </c>
      <c r="AB357" s="256"/>
      <c r="AC357" s="256"/>
      <c r="AD357" s="256" t="s">
        <v>2145</v>
      </c>
      <c r="AE357" s="256" t="s">
        <v>252</v>
      </c>
    </row>
    <row r="358" spans="1:31">
      <c r="A358" s="256" t="s">
        <v>1505</v>
      </c>
      <c r="B358" s="256" t="s">
        <v>1471</v>
      </c>
      <c r="C358" s="256" t="s">
        <v>1472</v>
      </c>
      <c r="D358" s="256" t="s">
        <v>1506</v>
      </c>
      <c r="E358" s="256">
        <v>4440976</v>
      </c>
      <c r="F358" s="256">
        <v>4457573</v>
      </c>
      <c r="G358" s="256" t="s">
        <v>956</v>
      </c>
      <c r="H358" s="256" t="s">
        <v>305</v>
      </c>
      <c r="I358" s="256" t="s">
        <v>271</v>
      </c>
      <c r="J358" s="256" t="s">
        <v>1488</v>
      </c>
      <c r="K358" s="259">
        <v>46134.729166666664</v>
      </c>
      <c r="L358" s="259">
        <v>46128.038888888892</v>
      </c>
      <c r="M358" s="259">
        <v>46134.229166666664</v>
      </c>
      <c r="N358" s="256"/>
      <c r="O358" s="256" t="s">
        <v>2151</v>
      </c>
      <c r="P358" s="259">
        <v>46151.229166666664</v>
      </c>
      <c r="Q358" s="256">
        <v>3</v>
      </c>
      <c r="R358" s="256"/>
      <c r="S358" s="256">
        <v>2</v>
      </c>
      <c r="T358" s="256"/>
      <c r="U358" s="256" t="s">
        <v>1</v>
      </c>
      <c r="V358" s="256" t="s">
        <v>1</v>
      </c>
      <c r="W358" s="256" t="s">
        <v>1508</v>
      </c>
      <c r="X358" s="259">
        <v>46113.489583333336</v>
      </c>
      <c r="Y358" s="256" t="s">
        <v>1642</v>
      </c>
      <c r="Z358" s="256" t="s">
        <v>2006</v>
      </c>
      <c r="AA358" s="256" t="s">
        <v>2007</v>
      </c>
      <c r="AB358" s="256"/>
      <c r="AC358" s="256"/>
      <c r="AD358" s="256" t="s">
        <v>1510</v>
      </c>
      <c r="AE358" s="256" t="s">
        <v>252</v>
      </c>
    </row>
    <row r="359" spans="1:31">
      <c r="A359" s="256" t="s">
        <v>1505</v>
      </c>
      <c r="B359" s="256" t="s">
        <v>1471</v>
      </c>
      <c r="C359" s="256" t="s">
        <v>1472</v>
      </c>
      <c r="D359" s="256" t="s">
        <v>1506</v>
      </c>
      <c r="E359" s="256">
        <v>4440976</v>
      </c>
      <c r="F359" s="256">
        <v>4457575</v>
      </c>
      <c r="G359" s="256" t="s">
        <v>950</v>
      </c>
      <c r="H359" s="256" t="s">
        <v>305</v>
      </c>
      <c r="I359" s="256" t="s">
        <v>2070</v>
      </c>
      <c r="J359" s="256" t="s">
        <v>1488</v>
      </c>
      <c r="K359" s="259">
        <v>46134.229166666664</v>
      </c>
      <c r="L359" s="259">
        <v>46128.039583333331</v>
      </c>
      <c r="M359" s="256"/>
      <c r="N359" s="256"/>
      <c r="O359" s="256" t="s">
        <v>1697</v>
      </c>
      <c r="P359" s="259">
        <v>46151.229166666664</v>
      </c>
      <c r="Q359" s="256">
        <v>3</v>
      </c>
      <c r="R359" s="256"/>
      <c r="S359" s="256">
        <v>2</v>
      </c>
      <c r="T359" s="256"/>
      <c r="U359" s="256" t="s">
        <v>1</v>
      </c>
      <c r="V359" s="256" t="s">
        <v>1</v>
      </c>
      <c r="W359" s="256" t="s">
        <v>1508</v>
      </c>
      <c r="X359" s="259">
        <v>46113.491666666669</v>
      </c>
      <c r="Y359" s="256" t="s">
        <v>1642</v>
      </c>
      <c r="Z359" s="256" t="s">
        <v>2072</v>
      </c>
      <c r="AA359" s="256" t="s">
        <v>1492</v>
      </c>
      <c r="AB359" s="256"/>
      <c r="AC359" s="256"/>
      <c r="AD359" s="256" t="s">
        <v>1510</v>
      </c>
      <c r="AE359" s="256" t="s">
        <v>252</v>
      </c>
    </row>
    <row r="360" spans="1:31">
      <c r="A360" s="256" t="s">
        <v>1505</v>
      </c>
      <c r="B360" s="256" t="s">
        <v>1471</v>
      </c>
      <c r="C360" s="256" t="s">
        <v>1472</v>
      </c>
      <c r="D360" s="256" t="s">
        <v>1506</v>
      </c>
      <c r="E360" s="256">
        <v>4440976</v>
      </c>
      <c r="F360" s="256">
        <v>4457581</v>
      </c>
      <c r="G360" s="256" t="s">
        <v>953</v>
      </c>
      <c r="H360" s="256" t="s">
        <v>305</v>
      </c>
      <c r="I360" s="256" t="s">
        <v>2014</v>
      </c>
      <c r="J360" s="256" t="s">
        <v>1488</v>
      </c>
      <c r="K360" s="259">
        <v>46123.020833333336</v>
      </c>
      <c r="L360" s="259">
        <v>46123.0625</v>
      </c>
      <c r="M360" s="256"/>
      <c r="N360" s="256"/>
      <c r="O360" s="256" t="s">
        <v>2015</v>
      </c>
      <c r="P360" s="259">
        <v>46151.229166666664</v>
      </c>
      <c r="Q360" s="256">
        <v>5</v>
      </c>
      <c r="R360" s="256"/>
      <c r="S360" s="256">
        <v>2</v>
      </c>
      <c r="T360" s="256"/>
      <c r="U360" s="256" t="s">
        <v>1</v>
      </c>
      <c r="V360" s="256" t="s">
        <v>1</v>
      </c>
      <c r="W360" s="256" t="s">
        <v>1508</v>
      </c>
      <c r="X360" s="259">
        <v>46113.493750000001</v>
      </c>
      <c r="Y360" s="256" t="s">
        <v>1642</v>
      </c>
      <c r="Z360" s="256" t="s">
        <v>2016</v>
      </c>
      <c r="AA360" s="256" t="s">
        <v>1492</v>
      </c>
      <c r="AB360" s="256"/>
      <c r="AC360" s="256"/>
      <c r="AD360" s="256" t="s">
        <v>1510</v>
      </c>
      <c r="AE360" s="256" t="s">
        <v>252</v>
      </c>
    </row>
    <row r="361" spans="1:31">
      <c r="A361" s="256" t="s">
        <v>281</v>
      </c>
      <c r="B361" s="256" t="s">
        <v>1511</v>
      </c>
      <c r="C361" s="256" t="s">
        <v>280</v>
      </c>
      <c r="D361" s="256" t="s">
        <v>281</v>
      </c>
      <c r="E361" s="256">
        <v>4372279</v>
      </c>
      <c r="F361" s="256">
        <v>4461784</v>
      </c>
      <c r="G361" s="256" t="s">
        <v>959</v>
      </c>
      <c r="H361" s="256" t="s">
        <v>242</v>
      </c>
      <c r="I361" s="256" t="s">
        <v>2070</v>
      </c>
      <c r="J361" s="256" t="s">
        <v>1488</v>
      </c>
      <c r="K361" s="259">
        <v>46134.229166666664</v>
      </c>
      <c r="L361" s="256"/>
      <c r="M361" s="259">
        <v>46135.229166666664</v>
      </c>
      <c r="N361" s="256"/>
      <c r="O361" s="256" t="s">
        <v>2152</v>
      </c>
      <c r="P361" s="259">
        <v>46151.229166666664</v>
      </c>
      <c r="Q361" s="256">
        <v>3</v>
      </c>
      <c r="R361" s="256"/>
      <c r="S361" s="256">
        <v>2</v>
      </c>
      <c r="T361" s="256"/>
      <c r="U361" s="256"/>
      <c r="V361" s="256"/>
      <c r="W361" s="256" t="s">
        <v>1786</v>
      </c>
      <c r="X361" s="259">
        <v>46115.802083333336</v>
      </c>
      <c r="Y361" s="256" t="s">
        <v>1859</v>
      </c>
      <c r="Z361" s="256" t="s">
        <v>2072</v>
      </c>
      <c r="AA361" s="256" t="s">
        <v>2037</v>
      </c>
      <c r="AB361" s="256"/>
      <c r="AC361" s="256"/>
      <c r="AD361" s="256" t="s">
        <v>2125</v>
      </c>
      <c r="AE361" s="256" t="s">
        <v>252</v>
      </c>
    </row>
    <row r="362" spans="1:31">
      <c r="A362" s="256" t="s">
        <v>281</v>
      </c>
      <c r="B362" s="256" t="s">
        <v>1511</v>
      </c>
      <c r="C362" s="256" t="s">
        <v>280</v>
      </c>
      <c r="D362" s="256" t="s">
        <v>281</v>
      </c>
      <c r="E362" s="256">
        <v>4372279</v>
      </c>
      <c r="F362" s="256">
        <v>4461786</v>
      </c>
      <c r="G362" s="256" t="s">
        <v>967</v>
      </c>
      <c r="H362" s="256" t="s">
        <v>242</v>
      </c>
      <c r="I362" s="256" t="s">
        <v>271</v>
      </c>
      <c r="J362" s="256" t="s">
        <v>1488</v>
      </c>
      <c r="K362" s="259">
        <v>46129.229166666664</v>
      </c>
      <c r="L362" s="256"/>
      <c r="M362" s="259">
        <v>46135.0625</v>
      </c>
      <c r="N362" s="256"/>
      <c r="O362" s="256" t="s">
        <v>2153</v>
      </c>
      <c r="P362" s="259">
        <v>46151.229166666664</v>
      </c>
      <c r="Q362" s="256">
        <v>3</v>
      </c>
      <c r="R362" s="256"/>
      <c r="S362" s="256">
        <v>2</v>
      </c>
      <c r="T362" s="256"/>
      <c r="U362" s="256"/>
      <c r="V362" s="256"/>
      <c r="W362" s="256" t="s">
        <v>1786</v>
      </c>
      <c r="X362" s="259">
        <v>46115.802777777775</v>
      </c>
      <c r="Y362" s="256" t="s">
        <v>1859</v>
      </c>
      <c r="Z362" s="256" t="s">
        <v>2006</v>
      </c>
      <c r="AA362" s="256" t="s">
        <v>2007</v>
      </c>
      <c r="AB362" s="256"/>
      <c r="AC362" s="256"/>
      <c r="AD362" s="256" t="s">
        <v>2125</v>
      </c>
      <c r="AE362" s="256" t="s">
        <v>252</v>
      </c>
    </row>
    <row r="363" spans="1:31">
      <c r="A363" s="256" t="s">
        <v>281</v>
      </c>
      <c r="B363" s="256" t="s">
        <v>1511</v>
      </c>
      <c r="C363" s="256" t="s">
        <v>280</v>
      </c>
      <c r="D363" s="256" t="s">
        <v>281</v>
      </c>
      <c r="E363" s="256">
        <v>4372279</v>
      </c>
      <c r="F363" s="256">
        <v>4461787</v>
      </c>
      <c r="G363" s="256" t="s">
        <v>968</v>
      </c>
      <c r="H363" s="256" t="s">
        <v>242</v>
      </c>
      <c r="I363" s="256" t="s">
        <v>2070</v>
      </c>
      <c r="J363" s="256" t="s">
        <v>1488</v>
      </c>
      <c r="K363" s="259">
        <v>46129.229166666664</v>
      </c>
      <c r="L363" s="256"/>
      <c r="M363" s="259">
        <v>46135.0625</v>
      </c>
      <c r="N363" s="256"/>
      <c r="O363" s="256" t="s">
        <v>2152</v>
      </c>
      <c r="P363" s="259">
        <v>46151.229166666664</v>
      </c>
      <c r="Q363" s="256">
        <v>3</v>
      </c>
      <c r="R363" s="256"/>
      <c r="S363" s="256">
        <v>2</v>
      </c>
      <c r="T363" s="256"/>
      <c r="U363" s="256"/>
      <c r="V363" s="256"/>
      <c r="W363" s="256" t="s">
        <v>1786</v>
      </c>
      <c r="X363" s="259">
        <v>46115.802777777775</v>
      </c>
      <c r="Y363" s="256" t="s">
        <v>1859</v>
      </c>
      <c r="Z363" s="256" t="s">
        <v>2072</v>
      </c>
      <c r="AA363" s="256" t="s">
        <v>2037</v>
      </c>
      <c r="AB363" s="256"/>
      <c r="AC363" s="256"/>
      <c r="AD363" s="256" t="s">
        <v>2125</v>
      </c>
      <c r="AE363" s="256" t="s">
        <v>252</v>
      </c>
    </row>
    <row r="364" spans="1:31">
      <c r="A364" s="256" t="s">
        <v>281</v>
      </c>
      <c r="B364" s="256" t="s">
        <v>1511</v>
      </c>
      <c r="C364" s="256" t="s">
        <v>280</v>
      </c>
      <c r="D364" s="256" t="s">
        <v>281</v>
      </c>
      <c r="E364" s="256">
        <v>4372279</v>
      </c>
      <c r="F364" s="256">
        <v>4461789</v>
      </c>
      <c r="G364" s="256" t="s">
        <v>960</v>
      </c>
      <c r="H364" s="256" t="s">
        <v>242</v>
      </c>
      <c r="I364" s="256" t="s">
        <v>271</v>
      </c>
      <c r="J364" s="256" t="s">
        <v>1488</v>
      </c>
      <c r="K364" s="259">
        <v>46134.229166666664</v>
      </c>
      <c r="L364" s="256"/>
      <c r="M364" s="259">
        <v>46140.0625</v>
      </c>
      <c r="N364" s="256"/>
      <c r="O364" s="256" t="s">
        <v>2153</v>
      </c>
      <c r="P364" s="259">
        <v>46151.229166666664</v>
      </c>
      <c r="Q364" s="256">
        <v>3</v>
      </c>
      <c r="R364" s="256"/>
      <c r="S364" s="256">
        <v>2</v>
      </c>
      <c r="T364" s="256"/>
      <c r="U364" s="256"/>
      <c r="V364" s="256"/>
      <c r="W364" s="256" t="s">
        <v>1786</v>
      </c>
      <c r="X364" s="259">
        <v>46115.803472222222</v>
      </c>
      <c r="Y364" s="256" t="s">
        <v>1859</v>
      </c>
      <c r="Z364" s="256" t="s">
        <v>2006</v>
      </c>
      <c r="AA364" s="256" t="s">
        <v>2007</v>
      </c>
      <c r="AB364" s="256"/>
      <c r="AC364" s="256"/>
      <c r="AD364" s="256" t="s">
        <v>2125</v>
      </c>
      <c r="AE364" s="256" t="s">
        <v>252</v>
      </c>
    </row>
    <row r="365" spans="1:31">
      <c r="A365" s="256" t="s">
        <v>2092</v>
      </c>
      <c r="B365" s="256" t="s">
        <v>1511</v>
      </c>
      <c r="C365" s="256" t="s">
        <v>280</v>
      </c>
      <c r="D365" s="256" t="s">
        <v>281</v>
      </c>
      <c r="E365" s="256">
        <v>4387285</v>
      </c>
      <c r="F365" s="256">
        <v>4461954</v>
      </c>
      <c r="G365" s="256" t="s">
        <v>969</v>
      </c>
      <c r="H365" s="256" t="s">
        <v>242</v>
      </c>
      <c r="I365" s="256" t="s">
        <v>2093</v>
      </c>
      <c r="J365" s="256" t="s">
        <v>1488</v>
      </c>
      <c r="K365" s="259">
        <v>46135.020833333336</v>
      </c>
      <c r="L365" s="256"/>
      <c r="M365" s="259">
        <v>46140.0625</v>
      </c>
      <c r="N365" s="256"/>
      <c r="O365" s="256" t="s">
        <v>2142</v>
      </c>
      <c r="P365" s="259">
        <v>46151.229166666664</v>
      </c>
      <c r="Q365" s="256">
        <v>8</v>
      </c>
      <c r="R365" s="256"/>
      <c r="S365" s="256">
        <v>2</v>
      </c>
      <c r="T365" s="256"/>
      <c r="U365" s="256" t="s">
        <v>1</v>
      </c>
      <c r="V365" s="256" t="s">
        <v>1</v>
      </c>
      <c r="W365" s="256" t="s">
        <v>1705</v>
      </c>
      <c r="X365" s="259">
        <v>46115.824999999997</v>
      </c>
      <c r="Y365" s="256" t="s">
        <v>2154</v>
      </c>
      <c r="Z365" s="256" t="s">
        <v>2096</v>
      </c>
      <c r="AA365" s="256" t="s">
        <v>2097</v>
      </c>
      <c r="AB365" s="256"/>
      <c r="AC365" s="256"/>
      <c r="AD365" s="256" t="s">
        <v>2125</v>
      </c>
      <c r="AE365" s="256" t="s">
        <v>252</v>
      </c>
    </row>
    <row r="366" spans="1:31">
      <c r="A366" s="256" t="s">
        <v>2092</v>
      </c>
      <c r="B366" s="256" t="s">
        <v>1511</v>
      </c>
      <c r="C366" s="256" t="s">
        <v>280</v>
      </c>
      <c r="D366" s="256" t="s">
        <v>281</v>
      </c>
      <c r="E366" s="256">
        <v>4387285</v>
      </c>
      <c r="F366" s="256">
        <v>4461955</v>
      </c>
      <c r="G366" s="256" t="s">
        <v>961</v>
      </c>
      <c r="H366" s="256" t="s">
        <v>359</v>
      </c>
      <c r="I366" s="256" t="s">
        <v>2093</v>
      </c>
      <c r="J366" s="256" t="s">
        <v>1488</v>
      </c>
      <c r="K366" s="259">
        <v>46135.020833333336</v>
      </c>
      <c r="L366" s="259">
        <v>46129.620138888888</v>
      </c>
      <c r="M366" s="259">
        <v>46135.229166666664</v>
      </c>
      <c r="N366" s="256"/>
      <c r="O366" s="256" t="s">
        <v>2085</v>
      </c>
      <c r="P366" s="259">
        <v>46151.229166666664</v>
      </c>
      <c r="Q366" s="256">
        <v>8</v>
      </c>
      <c r="R366" s="256"/>
      <c r="S366" s="256">
        <v>2</v>
      </c>
      <c r="T366" s="256"/>
      <c r="U366" s="256" t="s">
        <v>1</v>
      </c>
      <c r="V366" s="256" t="s">
        <v>1</v>
      </c>
      <c r="W366" s="256" t="s">
        <v>1705</v>
      </c>
      <c r="X366" s="259">
        <v>46115.825694444444</v>
      </c>
      <c r="Y366" s="256" t="s">
        <v>2154</v>
      </c>
      <c r="Z366" s="256" t="s">
        <v>2096</v>
      </c>
      <c r="AA366" s="256" t="s">
        <v>2097</v>
      </c>
      <c r="AB366" s="256"/>
      <c r="AC366" s="256"/>
      <c r="AD366" s="256" t="s">
        <v>2125</v>
      </c>
      <c r="AE366" s="256" t="s">
        <v>252</v>
      </c>
    </row>
    <row r="367" spans="1:31">
      <c r="A367" s="256" t="s">
        <v>281</v>
      </c>
      <c r="B367" s="256" t="s">
        <v>1511</v>
      </c>
      <c r="C367" s="256" t="s">
        <v>280</v>
      </c>
      <c r="D367" s="256" t="s">
        <v>281</v>
      </c>
      <c r="E367" s="256">
        <v>4372279</v>
      </c>
      <c r="F367" s="256">
        <v>4450158</v>
      </c>
      <c r="G367" s="256" t="s">
        <v>2155</v>
      </c>
      <c r="H367" s="256" t="s">
        <v>242</v>
      </c>
      <c r="I367" s="256" t="s">
        <v>271</v>
      </c>
      <c r="J367" s="256" t="s">
        <v>1488</v>
      </c>
      <c r="K367" s="259">
        <v>46134.729166666664</v>
      </c>
      <c r="L367" s="256"/>
      <c r="M367" s="259">
        <v>46135.229166666664</v>
      </c>
      <c r="N367" s="256"/>
      <c r="O367" s="256" t="s">
        <v>2153</v>
      </c>
      <c r="P367" s="259">
        <v>46151.229166666664</v>
      </c>
      <c r="Q367" s="256">
        <v>5</v>
      </c>
      <c r="R367" s="256"/>
      <c r="S367" s="256">
        <v>2</v>
      </c>
      <c r="T367" s="256"/>
      <c r="U367" s="256" t="s">
        <v>1</v>
      </c>
      <c r="V367" s="256" t="s">
        <v>1</v>
      </c>
      <c r="W367" s="256" t="s">
        <v>1786</v>
      </c>
      <c r="X367" s="259">
        <v>46111.871527777781</v>
      </c>
      <c r="Y367" s="256"/>
      <c r="Z367" s="256" t="s">
        <v>2006</v>
      </c>
      <c r="AA367" s="256" t="s">
        <v>2007</v>
      </c>
      <c r="AB367" s="256"/>
      <c r="AC367" s="256"/>
      <c r="AD367" s="256" t="s">
        <v>2125</v>
      </c>
      <c r="AE367" s="256" t="s">
        <v>252</v>
      </c>
    </row>
    <row r="368" spans="1:31">
      <c r="A368" s="256" t="s">
        <v>281</v>
      </c>
      <c r="B368" s="256" t="s">
        <v>1511</v>
      </c>
      <c r="C368" s="256" t="s">
        <v>280</v>
      </c>
      <c r="D368" s="256" t="s">
        <v>1676</v>
      </c>
      <c r="E368" s="256">
        <v>4372279</v>
      </c>
      <c r="F368" s="256">
        <v>4447576</v>
      </c>
      <c r="G368" s="256" t="s">
        <v>934</v>
      </c>
      <c r="H368" s="256" t="s">
        <v>242</v>
      </c>
      <c r="I368" s="256" t="s">
        <v>2070</v>
      </c>
      <c r="J368" s="256" t="s">
        <v>1488</v>
      </c>
      <c r="K368" s="259">
        <v>46134.229166666664</v>
      </c>
      <c r="L368" s="256"/>
      <c r="M368" s="259">
        <v>46135.229166666664</v>
      </c>
      <c r="N368" s="256"/>
      <c r="O368" s="256" t="s">
        <v>2156</v>
      </c>
      <c r="P368" s="259">
        <v>46151.229166666664</v>
      </c>
      <c r="Q368" s="256">
        <v>5</v>
      </c>
      <c r="R368" s="256"/>
      <c r="S368" s="256">
        <v>2</v>
      </c>
      <c r="T368" s="256"/>
      <c r="U368" s="256"/>
      <c r="V368" s="256"/>
      <c r="W368" s="256" t="s">
        <v>1786</v>
      </c>
      <c r="X368" s="259">
        <v>46111.445833333331</v>
      </c>
      <c r="Y368" s="256"/>
      <c r="Z368" s="256" t="s">
        <v>2072</v>
      </c>
      <c r="AA368" s="256" t="s">
        <v>1517</v>
      </c>
      <c r="AB368" s="256"/>
      <c r="AC368" s="256"/>
      <c r="AD368" s="256" t="s">
        <v>1677</v>
      </c>
      <c r="AE368" s="256" t="s">
        <v>252</v>
      </c>
    </row>
    <row r="369" spans="1:31">
      <c r="A369" s="256" t="s">
        <v>281</v>
      </c>
      <c r="B369" s="256" t="s">
        <v>1511</v>
      </c>
      <c r="C369" s="256" t="s">
        <v>280</v>
      </c>
      <c r="D369" s="256" t="s">
        <v>280</v>
      </c>
      <c r="E369" s="256">
        <v>4372279</v>
      </c>
      <c r="F369" s="256">
        <v>4448171</v>
      </c>
      <c r="G369" s="256" t="s">
        <v>935</v>
      </c>
      <c r="H369" s="256" t="s">
        <v>783</v>
      </c>
      <c r="I369" s="256" t="s">
        <v>2070</v>
      </c>
      <c r="J369" s="256" t="s">
        <v>1488</v>
      </c>
      <c r="K369" s="259">
        <v>46126.020833333336</v>
      </c>
      <c r="L369" s="259">
        <v>46126.677777777775</v>
      </c>
      <c r="M369" s="259">
        <v>46129.0625</v>
      </c>
      <c r="N369" s="259">
        <v>46129.013888888891</v>
      </c>
      <c r="O369" s="256" t="s">
        <v>1514</v>
      </c>
      <c r="P369" s="259">
        <v>46151.229166666664</v>
      </c>
      <c r="Q369" s="256">
        <v>3</v>
      </c>
      <c r="R369" s="256"/>
      <c r="S369" s="256">
        <v>2</v>
      </c>
      <c r="T369" s="256"/>
      <c r="U369" s="256" t="s">
        <v>1</v>
      </c>
      <c r="V369" s="256" t="s">
        <v>1</v>
      </c>
      <c r="W369" s="256" t="s">
        <v>1786</v>
      </c>
      <c r="X369" s="259">
        <v>46111.628472222219</v>
      </c>
      <c r="Y369" s="256"/>
      <c r="Z369" s="256" t="s">
        <v>2072</v>
      </c>
      <c r="AA369" s="256" t="s">
        <v>2053</v>
      </c>
      <c r="AB369" s="256"/>
      <c r="AC369" s="256"/>
      <c r="AD369" s="256" t="s">
        <v>281</v>
      </c>
      <c r="AE369" s="256" t="s">
        <v>252</v>
      </c>
    </row>
    <row r="370" spans="1:31">
      <c r="A370" s="256" t="s">
        <v>281</v>
      </c>
      <c r="B370" s="256" t="s">
        <v>1511</v>
      </c>
      <c r="C370" s="256" t="s">
        <v>280</v>
      </c>
      <c r="D370" s="256" t="s">
        <v>1676</v>
      </c>
      <c r="E370" s="256">
        <v>4372279</v>
      </c>
      <c r="F370" s="256">
        <v>4448490</v>
      </c>
      <c r="G370" s="256" t="s">
        <v>936</v>
      </c>
      <c r="H370" s="256" t="s">
        <v>183</v>
      </c>
      <c r="I370" s="256" t="s">
        <v>2093</v>
      </c>
      <c r="J370" s="256" t="s">
        <v>1488</v>
      </c>
      <c r="K370" s="259">
        <v>46130.020833333336</v>
      </c>
      <c r="L370" s="256"/>
      <c r="M370" s="259">
        <v>46133.229166666664</v>
      </c>
      <c r="N370" s="256"/>
      <c r="O370" s="256" t="s">
        <v>1488</v>
      </c>
      <c r="P370" s="259">
        <v>46151.229166666664</v>
      </c>
      <c r="Q370" s="256">
        <v>8</v>
      </c>
      <c r="R370" s="256"/>
      <c r="S370" s="256">
        <v>2</v>
      </c>
      <c r="T370" s="256"/>
      <c r="U370" s="256" t="s">
        <v>1</v>
      </c>
      <c r="V370" s="256" t="s">
        <v>1</v>
      </c>
      <c r="W370" s="256" t="s">
        <v>1705</v>
      </c>
      <c r="X370" s="259">
        <v>46111.660416666666</v>
      </c>
      <c r="Y370" s="256"/>
      <c r="Z370" s="256" t="s">
        <v>2096</v>
      </c>
      <c r="AA370" s="256" t="s">
        <v>2097</v>
      </c>
      <c r="AB370" s="256"/>
      <c r="AC370" s="256"/>
      <c r="AD370" s="256" t="s">
        <v>1677</v>
      </c>
      <c r="AE370" s="256" t="s">
        <v>252</v>
      </c>
    </row>
    <row r="371" spans="1:31">
      <c r="A371" s="256" t="s">
        <v>281</v>
      </c>
      <c r="B371" s="256" t="s">
        <v>1511</v>
      </c>
      <c r="C371" s="256" t="s">
        <v>280</v>
      </c>
      <c r="D371" s="256" t="s">
        <v>281</v>
      </c>
      <c r="E371" s="256">
        <v>4372279</v>
      </c>
      <c r="F371" s="256">
        <v>4448492</v>
      </c>
      <c r="G371" s="256" t="s">
        <v>938</v>
      </c>
      <c r="H371" s="256" t="s">
        <v>242</v>
      </c>
      <c r="I371" s="256" t="s">
        <v>2070</v>
      </c>
      <c r="J371" s="256" t="s">
        <v>1488</v>
      </c>
      <c r="K371" s="259">
        <v>46134.229166666664</v>
      </c>
      <c r="L371" s="256"/>
      <c r="M371" s="259">
        <v>46135.229166666664</v>
      </c>
      <c r="N371" s="256"/>
      <c r="O371" s="256" t="s">
        <v>2156</v>
      </c>
      <c r="P371" s="259">
        <v>46151.229166666664</v>
      </c>
      <c r="Q371" s="256">
        <v>8</v>
      </c>
      <c r="R371" s="256"/>
      <c r="S371" s="256">
        <v>2</v>
      </c>
      <c r="T371" s="256"/>
      <c r="U371" s="256"/>
      <c r="V371" s="256"/>
      <c r="W371" s="256" t="s">
        <v>1786</v>
      </c>
      <c r="X371" s="259">
        <v>46111.661805555559</v>
      </c>
      <c r="Y371" s="256"/>
      <c r="Z371" s="256" t="s">
        <v>2072</v>
      </c>
      <c r="AA371" s="256" t="s">
        <v>2037</v>
      </c>
      <c r="AB371" s="256"/>
      <c r="AC371" s="256"/>
      <c r="AD371" s="256" t="s">
        <v>2125</v>
      </c>
      <c r="AE371" s="256" t="s">
        <v>252</v>
      </c>
    </row>
    <row r="372" spans="1:31">
      <c r="A372" s="256" t="s">
        <v>281</v>
      </c>
      <c r="B372" s="256" t="s">
        <v>1511</v>
      </c>
      <c r="C372" s="256" t="s">
        <v>280</v>
      </c>
      <c r="D372" s="256" t="s">
        <v>281</v>
      </c>
      <c r="E372" s="256">
        <v>4372279</v>
      </c>
      <c r="F372" s="256">
        <v>4448499</v>
      </c>
      <c r="G372" s="256" t="s">
        <v>940</v>
      </c>
      <c r="H372" s="256" t="s">
        <v>359</v>
      </c>
      <c r="I372" s="256" t="s">
        <v>2093</v>
      </c>
      <c r="J372" s="256" t="s">
        <v>1488</v>
      </c>
      <c r="K372" s="259">
        <v>46130.020833333336</v>
      </c>
      <c r="L372" s="259">
        <v>46129.620833333334</v>
      </c>
      <c r="M372" s="259">
        <v>46132.979166666664</v>
      </c>
      <c r="N372" s="256"/>
      <c r="O372" s="256" t="s">
        <v>2057</v>
      </c>
      <c r="P372" s="259">
        <v>46151.229166666664</v>
      </c>
      <c r="Q372" s="256">
        <v>8</v>
      </c>
      <c r="R372" s="256"/>
      <c r="S372" s="256">
        <v>2</v>
      </c>
      <c r="T372" s="256"/>
      <c r="U372" s="256" t="s">
        <v>1</v>
      </c>
      <c r="V372" s="256" t="s">
        <v>1</v>
      </c>
      <c r="W372" s="256" t="s">
        <v>1705</v>
      </c>
      <c r="X372" s="259">
        <v>46111.662499999999</v>
      </c>
      <c r="Y372" s="256"/>
      <c r="Z372" s="256" t="s">
        <v>2096</v>
      </c>
      <c r="AA372" s="256" t="s">
        <v>2097</v>
      </c>
      <c r="AB372" s="256"/>
      <c r="AC372" s="256"/>
      <c r="AD372" s="256" t="s">
        <v>2125</v>
      </c>
      <c r="AE372" s="256" t="s">
        <v>252</v>
      </c>
    </row>
    <row r="373" spans="1:31">
      <c r="A373" s="256" t="s">
        <v>281</v>
      </c>
      <c r="B373" s="256" t="s">
        <v>1511</v>
      </c>
      <c r="C373" s="256" t="s">
        <v>280</v>
      </c>
      <c r="D373" s="256" t="s">
        <v>360</v>
      </c>
      <c r="E373" s="256">
        <v>4372279</v>
      </c>
      <c r="F373" s="256">
        <v>4449970</v>
      </c>
      <c r="G373" s="256" t="s">
        <v>2157</v>
      </c>
      <c r="H373" s="256" t="s">
        <v>242</v>
      </c>
      <c r="I373" s="256" t="s">
        <v>2093</v>
      </c>
      <c r="J373" s="256" t="s">
        <v>1488</v>
      </c>
      <c r="K373" s="259">
        <v>46135.020833333336</v>
      </c>
      <c r="L373" s="256"/>
      <c r="M373" s="259">
        <v>46136.229166666664</v>
      </c>
      <c r="N373" s="256"/>
      <c r="O373" s="256" t="s">
        <v>2141</v>
      </c>
      <c r="P373" s="259">
        <v>46151.229166666664</v>
      </c>
      <c r="Q373" s="256">
        <v>3</v>
      </c>
      <c r="R373" s="256"/>
      <c r="S373" s="256">
        <v>2</v>
      </c>
      <c r="T373" s="256"/>
      <c r="U373" s="256" t="s">
        <v>1</v>
      </c>
      <c r="V373" s="256" t="s">
        <v>1</v>
      </c>
      <c r="W373" s="256" t="s">
        <v>1705</v>
      </c>
      <c r="X373" s="259">
        <v>46111.822222222225</v>
      </c>
      <c r="Y373" s="256"/>
      <c r="Z373" s="256" t="s">
        <v>2096</v>
      </c>
      <c r="AA373" s="256" t="s">
        <v>2097</v>
      </c>
      <c r="AB373" s="256"/>
      <c r="AC373" s="256"/>
      <c r="AD373" s="256" t="s">
        <v>2145</v>
      </c>
      <c r="AE373" s="256" t="s">
        <v>252</v>
      </c>
    </row>
    <row r="374" spans="1:31">
      <c r="A374" s="256" t="s">
        <v>2158</v>
      </c>
      <c r="B374" s="256" t="s">
        <v>1471</v>
      </c>
      <c r="C374" s="256" t="s">
        <v>1772</v>
      </c>
      <c r="D374" s="256" t="s">
        <v>228</v>
      </c>
      <c r="E374" s="256">
        <v>4471096</v>
      </c>
      <c r="F374" s="256">
        <v>4456194</v>
      </c>
      <c r="G374" s="256" t="s">
        <v>1273</v>
      </c>
      <c r="H374" s="256" t="s">
        <v>305</v>
      </c>
      <c r="I374" s="256" t="s">
        <v>226</v>
      </c>
      <c r="J374" s="256" t="s">
        <v>1883</v>
      </c>
      <c r="K374" s="259">
        <v>46128.229166666664</v>
      </c>
      <c r="L374" s="259">
        <v>46123.029861111114</v>
      </c>
      <c r="M374" s="259">
        <v>46134.229166666664</v>
      </c>
      <c r="N374" s="256"/>
      <c r="O374" s="256" t="s">
        <v>1963</v>
      </c>
      <c r="P374" s="259">
        <v>46151.229166666664</v>
      </c>
      <c r="Q374" s="256">
        <v>5</v>
      </c>
      <c r="R374" s="256"/>
      <c r="S374" s="256">
        <v>2</v>
      </c>
      <c r="T374" s="256"/>
      <c r="U374" s="256" t="s">
        <v>1</v>
      </c>
      <c r="V374" s="256" t="s">
        <v>1</v>
      </c>
      <c r="W374" s="256" t="s">
        <v>2159</v>
      </c>
      <c r="X374" s="259">
        <v>46112.893750000003</v>
      </c>
      <c r="Y374" s="256" t="s">
        <v>2160</v>
      </c>
      <c r="Z374" s="256" t="s">
        <v>2161</v>
      </c>
      <c r="AA374" s="256" t="s">
        <v>2162</v>
      </c>
      <c r="AB374" s="256"/>
      <c r="AC374" s="256"/>
      <c r="AD374" s="256" t="s">
        <v>2163</v>
      </c>
      <c r="AE374" s="256" t="s">
        <v>227</v>
      </c>
    </row>
    <row r="375" spans="1:31">
      <c r="A375" s="256" t="s">
        <v>2164</v>
      </c>
      <c r="B375" s="256" t="s">
        <v>1471</v>
      </c>
      <c r="C375" s="256" t="s">
        <v>1772</v>
      </c>
      <c r="D375" s="256" t="s">
        <v>228</v>
      </c>
      <c r="E375" s="256">
        <v>4420086</v>
      </c>
      <c r="F375" s="256">
        <v>4456371</v>
      </c>
      <c r="G375" s="256" t="s">
        <v>1275</v>
      </c>
      <c r="H375" s="256" t="s">
        <v>305</v>
      </c>
      <c r="I375" s="256" t="s">
        <v>226</v>
      </c>
      <c r="J375" s="256" t="s">
        <v>1883</v>
      </c>
      <c r="K375" s="259">
        <v>46128.229166666664</v>
      </c>
      <c r="L375" s="259">
        <v>46125.697222222225</v>
      </c>
      <c r="M375" s="259">
        <v>46134.229166666664</v>
      </c>
      <c r="N375" s="256"/>
      <c r="O375" s="256" t="s">
        <v>2165</v>
      </c>
      <c r="P375" s="259">
        <v>46151.229166666664</v>
      </c>
      <c r="Q375" s="256">
        <v>3</v>
      </c>
      <c r="R375" s="256"/>
      <c r="S375" s="256">
        <v>2</v>
      </c>
      <c r="T375" s="256"/>
      <c r="U375" s="256" t="s">
        <v>1</v>
      </c>
      <c r="V375" s="256" t="s">
        <v>1</v>
      </c>
      <c r="W375" s="256" t="s">
        <v>1851</v>
      </c>
      <c r="X375" s="259">
        <v>46112.998611111114</v>
      </c>
      <c r="Y375" s="256" t="s">
        <v>2154</v>
      </c>
      <c r="Z375" s="256" t="s">
        <v>2161</v>
      </c>
      <c r="AA375" s="256" t="s">
        <v>1663</v>
      </c>
      <c r="AB375" s="256"/>
      <c r="AC375" s="256"/>
      <c r="AD375" s="256" t="s">
        <v>2166</v>
      </c>
      <c r="AE375" s="256" t="s">
        <v>227</v>
      </c>
    </row>
    <row r="376" spans="1:31">
      <c r="A376" s="256" t="s">
        <v>2164</v>
      </c>
      <c r="B376" s="256" t="s">
        <v>1471</v>
      </c>
      <c r="C376" s="256" t="s">
        <v>1772</v>
      </c>
      <c r="D376" s="256" t="s">
        <v>228</v>
      </c>
      <c r="E376" s="256">
        <v>4420086</v>
      </c>
      <c r="F376" s="256">
        <v>4456373</v>
      </c>
      <c r="G376" s="256" t="s">
        <v>1277</v>
      </c>
      <c r="H376" s="256" t="s">
        <v>305</v>
      </c>
      <c r="I376" s="256" t="s">
        <v>226</v>
      </c>
      <c r="J376" s="256" t="s">
        <v>1883</v>
      </c>
      <c r="K376" s="259">
        <v>46128.229166666664</v>
      </c>
      <c r="L376" s="259">
        <v>46125.698611111111</v>
      </c>
      <c r="M376" s="259">
        <v>46134.229166666664</v>
      </c>
      <c r="N376" s="256"/>
      <c r="O376" s="256" t="s">
        <v>2167</v>
      </c>
      <c r="P376" s="259">
        <v>46151.229166666664</v>
      </c>
      <c r="Q376" s="256">
        <v>5</v>
      </c>
      <c r="R376" s="256"/>
      <c r="S376" s="256">
        <v>2</v>
      </c>
      <c r="T376" s="256"/>
      <c r="U376" s="256" t="s">
        <v>1</v>
      </c>
      <c r="V376" s="256" t="s">
        <v>1</v>
      </c>
      <c r="W376" s="256" t="s">
        <v>1851</v>
      </c>
      <c r="X376" s="259">
        <v>46112.999305555553</v>
      </c>
      <c r="Y376" s="256" t="s">
        <v>2154</v>
      </c>
      <c r="Z376" s="256" t="s">
        <v>2161</v>
      </c>
      <c r="AA376" s="256" t="s">
        <v>1663</v>
      </c>
      <c r="AB376" s="256"/>
      <c r="AC376" s="256"/>
      <c r="AD376" s="256" t="s">
        <v>2168</v>
      </c>
      <c r="AE376" s="256" t="s">
        <v>227</v>
      </c>
    </row>
    <row r="377" spans="1:31">
      <c r="A377" s="256" t="s">
        <v>2164</v>
      </c>
      <c r="B377" s="256" t="s">
        <v>1471</v>
      </c>
      <c r="C377" s="256" t="s">
        <v>1772</v>
      </c>
      <c r="D377" s="256" t="s">
        <v>228</v>
      </c>
      <c r="E377" s="256">
        <v>4420086</v>
      </c>
      <c r="F377" s="256">
        <v>4456376</v>
      </c>
      <c r="G377" s="256" t="s">
        <v>1279</v>
      </c>
      <c r="H377" s="256" t="s">
        <v>305</v>
      </c>
      <c r="I377" s="256" t="s">
        <v>226</v>
      </c>
      <c r="J377" s="256" t="s">
        <v>1883</v>
      </c>
      <c r="K377" s="259">
        <v>46128.229166666664</v>
      </c>
      <c r="L377" s="259">
        <v>46125.694444444445</v>
      </c>
      <c r="M377" s="259">
        <v>46133.229166666664</v>
      </c>
      <c r="N377" s="256"/>
      <c r="O377" s="256" t="s">
        <v>2167</v>
      </c>
      <c r="P377" s="259">
        <v>46151.229166666664</v>
      </c>
      <c r="Q377" s="256">
        <v>2</v>
      </c>
      <c r="R377" s="256"/>
      <c r="S377" s="256">
        <v>2</v>
      </c>
      <c r="T377" s="256"/>
      <c r="U377" s="256"/>
      <c r="V377" s="256"/>
      <c r="W377" s="256" t="s">
        <v>1851</v>
      </c>
      <c r="X377" s="259">
        <v>46113.003472222219</v>
      </c>
      <c r="Y377" s="256" t="s">
        <v>2154</v>
      </c>
      <c r="Z377" s="256" t="s">
        <v>2161</v>
      </c>
      <c r="AA377" s="256" t="s">
        <v>1663</v>
      </c>
      <c r="AB377" s="256"/>
      <c r="AC377" s="256"/>
      <c r="AD377" s="256" t="s">
        <v>2169</v>
      </c>
      <c r="AE377" s="256" t="s">
        <v>227</v>
      </c>
    </row>
    <row r="378" spans="1:31">
      <c r="A378" s="256" t="s">
        <v>2170</v>
      </c>
      <c r="B378" s="256" t="s">
        <v>1471</v>
      </c>
      <c r="C378" s="256" t="s">
        <v>1772</v>
      </c>
      <c r="D378" s="256" t="s">
        <v>2171</v>
      </c>
      <c r="E378" s="256">
        <v>4438558</v>
      </c>
      <c r="F378" s="256">
        <v>4456380</v>
      </c>
      <c r="G378" s="256" t="s">
        <v>1280</v>
      </c>
      <c r="H378" s="256" t="s">
        <v>1152</v>
      </c>
      <c r="I378" s="256" t="s">
        <v>2172</v>
      </c>
      <c r="J378" s="256" t="s">
        <v>1883</v>
      </c>
      <c r="K378" s="259">
        <v>46126.229166666664</v>
      </c>
      <c r="L378" s="259">
        <v>46122.229166666664</v>
      </c>
      <c r="M378" s="259">
        <v>46129.229166666664</v>
      </c>
      <c r="N378" s="256"/>
      <c r="O378" s="256" t="s">
        <v>2173</v>
      </c>
      <c r="P378" s="259">
        <v>46151.229166666664</v>
      </c>
      <c r="Q378" s="256">
        <v>5</v>
      </c>
      <c r="R378" s="256"/>
      <c r="S378" s="256">
        <v>2</v>
      </c>
      <c r="T378" s="256"/>
      <c r="U378" s="256" t="s">
        <v>1</v>
      </c>
      <c r="V378" s="256" t="s">
        <v>1</v>
      </c>
      <c r="W378" s="256" t="s">
        <v>1851</v>
      </c>
      <c r="X378" s="259">
        <v>46113.027777777781</v>
      </c>
      <c r="Y378" s="256" t="s">
        <v>2174</v>
      </c>
      <c r="Z378" s="256" t="s">
        <v>2175</v>
      </c>
      <c r="AA378" s="256" t="s">
        <v>1663</v>
      </c>
      <c r="AB378" s="256"/>
      <c r="AC378" s="256"/>
      <c r="AD378" s="256" t="s">
        <v>2176</v>
      </c>
      <c r="AE378" s="256" t="s">
        <v>227</v>
      </c>
    </row>
    <row r="379" spans="1:31">
      <c r="A379" s="256" t="s">
        <v>1882</v>
      </c>
      <c r="B379" s="256" t="s">
        <v>1471</v>
      </c>
      <c r="C379" s="256" t="s">
        <v>1772</v>
      </c>
      <c r="D379" s="256" t="s">
        <v>1438</v>
      </c>
      <c r="E379" s="256">
        <v>4223629</v>
      </c>
      <c r="F379" s="256">
        <v>4475587</v>
      </c>
      <c r="G379" s="256" t="s">
        <v>2177</v>
      </c>
      <c r="H379" s="256" t="s">
        <v>198</v>
      </c>
      <c r="I379" s="256" t="s">
        <v>2178</v>
      </c>
      <c r="J379" s="256" t="s">
        <v>1883</v>
      </c>
      <c r="K379" s="259">
        <v>46136.229166666664</v>
      </c>
      <c r="L379" s="256"/>
      <c r="M379" s="259">
        <v>46140.229166666664</v>
      </c>
      <c r="N379" s="256"/>
      <c r="O379" s="256" t="s">
        <v>2179</v>
      </c>
      <c r="P379" s="259">
        <v>46151.229166666664</v>
      </c>
      <c r="Q379" s="256">
        <v>2</v>
      </c>
      <c r="R379" s="256"/>
      <c r="S379" s="256">
        <v>2</v>
      </c>
      <c r="T379" s="256"/>
      <c r="U379" s="256"/>
      <c r="V379" s="256"/>
      <c r="W379" s="256" t="s">
        <v>1822</v>
      </c>
      <c r="X379" s="259">
        <v>46125.84097222222</v>
      </c>
      <c r="Y379" s="256" t="s">
        <v>2180</v>
      </c>
      <c r="Z379" s="256" t="s">
        <v>2181</v>
      </c>
      <c r="AA379" s="256" t="s">
        <v>1492</v>
      </c>
      <c r="AB379" s="256"/>
      <c r="AC379" s="256"/>
      <c r="AD379" s="256" t="s">
        <v>1886</v>
      </c>
      <c r="AE379" s="256" t="s">
        <v>227</v>
      </c>
    </row>
    <row r="380" spans="1:31">
      <c r="A380" s="256" t="s">
        <v>2182</v>
      </c>
      <c r="B380" s="256" t="s">
        <v>1471</v>
      </c>
      <c r="C380" s="256" t="s">
        <v>1772</v>
      </c>
      <c r="D380" s="256" t="s">
        <v>46</v>
      </c>
      <c r="E380" s="256">
        <v>4476840</v>
      </c>
      <c r="F380" s="256">
        <v>4476698</v>
      </c>
      <c r="G380" s="256" t="s">
        <v>1306</v>
      </c>
      <c r="H380" s="256" t="s">
        <v>198</v>
      </c>
      <c r="I380" s="256" t="s">
        <v>2178</v>
      </c>
      <c r="J380" s="256" t="s">
        <v>1883</v>
      </c>
      <c r="K380" s="259">
        <v>46134.229166666664</v>
      </c>
      <c r="L380" s="256"/>
      <c r="M380" s="259">
        <v>46139.229166666664</v>
      </c>
      <c r="N380" s="256"/>
      <c r="O380" s="256" t="s">
        <v>2183</v>
      </c>
      <c r="P380" s="259">
        <v>46151.229166666664</v>
      </c>
      <c r="Q380" s="256"/>
      <c r="R380" s="256"/>
      <c r="S380" s="256">
        <v>2</v>
      </c>
      <c r="T380" s="256"/>
      <c r="U380" s="256"/>
      <c r="V380" s="256"/>
      <c r="W380" s="256" t="s">
        <v>1907</v>
      </c>
      <c r="X380" s="259">
        <v>46126.513888888891</v>
      </c>
      <c r="Y380" s="256" t="s">
        <v>2184</v>
      </c>
      <c r="Z380" s="256" t="s">
        <v>2181</v>
      </c>
      <c r="AA380" s="256" t="s">
        <v>1492</v>
      </c>
      <c r="AB380" s="256"/>
      <c r="AC380" s="256"/>
      <c r="AD380" s="256" t="s">
        <v>1886</v>
      </c>
      <c r="AE380" s="256" t="s">
        <v>227</v>
      </c>
    </row>
    <row r="381" spans="1:31">
      <c r="A381" s="256" t="s">
        <v>2182</v>
      </c>
      <c r="B381" s="256" t="s">
        <v>1471</v>
      </c>
      <c r="C381" s="256" t="s">
        <v>1772</v>
      </c>
      <c r="D381" s="256" t="s">
        <v>46</v>
      </c>
      <c r="E381" s="256">
        <v>4476840</v>
      </c>
      <c r="F381" s="256">
        <v>4477040</v>
      </c>
      <c r="G381" s="256" t="s">
        <v>1308</v>
      </c>
      <c r="H381" s="256" t="s">
        <v>198</v>
      </c>
      <c r="I381" s="256" t="s">
        <v>2178</v>
      </c>
      <c r="J381" s="256" t="s">
        <v>1883</v>
      </c>
      <c r="K381" s="256"/>
      <c r="L381" s="256"/>
      <c r="M381" s="256"/>
      <c r="N381" s="256"/>
      <c r="O381" s="256" t="s">
        <v>2185</v>
      </c>
      <c r="P381" s="259">
        <v>46151.229166666664</v>
      </c>
      <c r="Q381" s="256"/>
      <c r="R381" s="256"/>
      <c r="S381" s="256">
        <v>2</v>
      </c>
      <c r="T381" s="256"/>
      <c r="U381" s="256"/>
      <c r="V381" s="256"/>
      <c r="W381" s="256" t="s">
        <v>1907</v>
      </c>
      <c r="X381" s="259">
        <v>46126.550694444442</v>
      </c>
      <c r="Y381" s="256" t="s">
        <v>2186</v>
      </c>
      <c r="Z381" s="256" t="s">
        <v>2181</v>
      </c>
      <c r="AA381" s="256" t="s">
        <v>1492</v>
      </c>
      <c r="AB381" s="256"/>
      <c r="AC381" s="256"/>
      <c r="AD381" s="256" t="s">
        <v>1886</v>
      </c>
      <c r="AE381" s="256" t="s">
        <v>227</v>
      </c>
    </row>
    <row r="382" spans="1:31">
      <c r="A382" s="256" t="s">
        <v>2187</v>
      </c>
      <c r="B382" s="256" t="s">
        <v>1471</v>
      </c>
      <c r="C382" s="256" t="s">
        <v>1772</v>
      </c>
      <c r="D382" s="256" t="s">
        <v>228</v>
      </c>
      <c r="E382" s="256">
        <v>4420088</v>
      </c>
      <c r="F382" s="256">
        <v>4443686</v>
      </c>
      <c r="G382" s="256" t="s">
        <v>2188</v>
      </c>
      <c r="H382" s="256" t="s">
        <v>305</v>
      </c>
      <c r="I382" s="256" t="s">
        <v>226</v>
      </c>
      <c r="J382" s="256" t="s">
        <v>1883</v>
      </c>
      <c r="K382" s="259">
        <v>46127.229166666664</v>
      </c>
      <c r="L382" s="259">
        <v>46127.229166666664</v>
      </c>
      <c r="M382" s="259">
        <v>46132.229166666664</v>
      </c>
      <c r="N382" s="256"/>
      <c r="O382" s="256" t="s">
        <v>2189</v>
      </c>
      <c r="P382" s="259">
        <v>46151.229166666664</v>
      </c>
      <c r="Q382" s="256">
        <v>5</v>
      </c>
      <c r="R382" s="256"/>
      <c r="S382" s="256">
        <v>2</v>
      </c>
      <c r="T382" s="256"/>
      <c r="U382" s="256" t="s">
        <v>1</v>
      </c>
      <c r="V382" s="256" t="s">
        <v>1</v>
      </c>
      <c r="W382" s="256" t="s">
        <v>2159</v>
      </c>
      <c r="X382" s="259">
        <v>46106.820833333331</v>
      </c>
      <c r="Y382" s="256" t="s">
        <v>2190</v>
      </c>
      <c r="Z382" s="256" t="s">
        <v>2161</v>
      </c>
      <c r="AA382" s="256" t="s">
        <v>2162</v>
      </c>
      <c r="AB382" s="256"/>
      <c r="AC382" s="256"/>
      <c r="AD382" s="256" t="s">
        <v>2191</v>
      </c>
      <c r="AE382" s="256" t="s">
        <v>227</v>
      </c>
    </row>
    <row r="383" spans="1:31">
      <c r="A383" s="256" t="s">
        <v>2192</v>
      </c>
      <c r="B383" s="256" t="s">
        <v>1471</v>
      </c>
      <c r="C383" s="256" t="s">
        <v>1772</v>
      </c>
      <c r="D383" s="256" t="s">
        <v>228</v>
      </c>
      <c r="E383" s="256">
        <v>4459031</v>
      </c>
      <c r="F383" s="256">
        <v>4443396</v>
      </c>
      <c r="G383" s="256" t="s">
        <v>2193</v>
      </c>
      <c r="H383" s="256" t="s">
        <v>305</v>
      </c>
      <c r="I383" s="256" t="s">
        <v>226</v>
      </c>
      <c r="J383" s="256" t="s">
        <v>1883</v>
      </c>
      <c r="K383" s="259">
        <v>46127.229166666664</v>
      </c>
      <c r="L383" s="259">
        <v>46121.990972222222</v>
      </c>
      <c r="M383" s="259">
        <v>46132.229166666664</v>
      </c>
      <c r="N383" s="256"/>
      <c r="O383" s="256" t="s">
        <v>2194</v>
      </c>
      <c r="P383" s="259">
        <v>46151.229166666664</v>
      </c>
      <c r="Q383" s="256">
        <v>3</v>
      </c>
      <c r="R383" s="256"/>
      <c r="S383" s="256">
        <v>2</v>
      </c>
      <c r="T383" s="256"/>
      <c r="U383" s="256" t="s">
        <v>1</v>
      </c>
      <c r="V383" s="256" t="s">
        <v>1</v>
      </c>
      <c r="W383" s="256" t="s">
        <v>2159</v>
      </c>
      <c r="X383" s="259">
        <v>46106.614583333336</v>
      </c>
      <c r="Y383" s="256"/>
      <c r="Z383" s="256" t="s">
        <v>2161</v>
      </c>
      <c r="AA383" s="256" t="s">
        <v>2162</v>
      </c>
      <c r="AB383" s="256"/>
      <c r="AC383" s="256"/>
      <c r="AD383" s="256" t="s">
        <v>2195</v>
      </c>
      <c r="AE383" s="256" t="s">
        <v>227</v>
      </c>
    </row>
    <row r="384" spans="1:31">
      <c r="A384" s="256" t="s">
        <v>2196</v>
      </c>
      <c r="B384" s="256" t="s">
        <v>1471</v>
      </c>
      <c r="C384" s="256" t="s">
        <v>1772</v>
      </c>
      <c r="D384" s="256" t="s">
        <v>235</v>
      </c>
      <c r="E384" s="256">
        <v>4443465</v>
      </c>
      <c r="F384" s="256">
        <v>4443430</v>
      </c>
      <c r="G384" s="256" t="s">
        <v>1187</v>
      </c>
      <c r="H384" s="256" t="s">
        <v>305</v>
      </c>
      <c r="I384" s="256" t="s">
        <v>243</v>
      </c>
      <c r="J384" s="256" t="s">
        <v>1883</v>
      </c>
      <c r="K384" s="259">
        <v>46127.229166666664</v>
      </c>
      <c r="L384" s="259">
        <v>46121.993055555555</v>
      </c>
      <c r="M384" s="259">
        <v>46133.229166666664</v>
      </c>
      <c r="N384" s="256"/>
      <c r="O384" s="256" t="s">
        <v>2167</v>
      </c>
      <c r="P384" s="259">
        <v>46151.229166666664</v>
      </c>
      <c r="Q384" s="256">
        <v>3</v>
      </c>
      <c r="R384" s="256"/>
      <c r="S384" s="256">
        <v>2</v>
      </c>
      <c r="T384" s="256"/>
      <c r="U384" s="256" t="s">
        <v>1</v>
      </c>
      <c r="V384" s="256" t="s">
        <v>1</v>
      </c>
      <c r="W384" s="256" t="s">
        <v>1479</v>
      </c>
      <c r="X384" s="259">
        <v>46106.640972222223</v>
      </c>
      <c r="Y384" s="256" t="s">
        <v>2197</v>
      </c>
      <c r="Z384" s="256" t="s">
        <v>2198</v>
      </c>
      <c r="AA384" s="256" t="s">
        <v>1610</v>
      </c>
      <c r="AB384" s="256"/>
      <c r="AC384" s="256"/>
      <c r="AD384" s="256" t="s">
        <v>2197</v>
      </c>
      <c r="AE384" s="256" t="s">
        <v>227</v>
      </c>
    </row>
    <row r="385" spans="1:31">
      <c r="A385" s="256" t="s">
        <v>2199</v>
      </c>
      <c r="B385" s="256" t="s">
        <v>1471</v>
      </c>
      <c r="C385" s="256" t="s">
        <v>1772</v>
      </c>
      <c r="D385" s="256" t="s">
        <v>228</v>
      </c>
      <c r="E385" s="256">
        <v>4420081</v>
      </c>
      <c r="F385" s="256">
        <v>4443453</v>
      </c>
      <c r="G385" s="256" t="s">
        <v>2200</v>
      </c>
      <c r="H385" s="256" t="s">
        <v>305</v>
      </c>
      <c r="I385" s="256" t="s">
        <v>226</v>
      </c>
      <c r="J385" s="256" t="s">
        <v>1883</v>
      </c>
      <c r="K385" s="259">
        <v>46127.229166666664</v>
      </c>
      <c r="L385" s="259">
        <v>46122.7</v>
      </c>
      <c r="M385" s="259">
        <v>46133.229166666664</v>
      </c>
      <c r="N385" s="256"/>
      <c r="O385" s="256" t="s">
        <v>2189</v>
      </c>
      <c r="P385" s="259">
        <v>46151.229166666664</v>
      </c>
      <c r="Q385" s="256">
        <v>5</v>
      </c>
      <c r="R385" s="256"/>
      <c r="S385" s="256">
        <v>2</v>
      </c>
      <c r="T385" s="256"/>
      <c r="U385" s="256" t="s">
        <v>1</v>
      </c>
      <c r="V385" s="256" t="s">
        <v>1</v>
      </c>
      <c r="W385" s="256" t="s">
        <v>2159</v>
      </c>
      <c r="X385" s="259">
        <v>46106.65</v>
      </c>
      <c r="Y385" s="256" t="s">
        <v>2201</v>
      </c>
      <c r="Z385" s="256" t="s">
        <v>2161</v>
      </c>
      <c r="AA385" s="256" t="s">
        <v>2162</v>
      </c>
      <c r="AB385" s="256"/>
      <c r="AC385" s="256"/>
      <c r="AD385" s="256" t="s">
        <v>2202</v>
      </c>
      <c r="AE385" s="256" t="s">
        <v>227</v>
      </c>
    </row>
    <row r="386" spans="1:31">
      <c r="A386" s="256" t="s">
        <v>2192</v>
      </c>
      <c r="B386" s="256" t="s">
        <v>1471</v>
      </c>
      <c r="C386" s="256" t="s">
        <v>1772</v>
      </c>
      <c r="D386" s="256" t="s">
        <v>228</v>
      </c>
      <c r="E386" s="256">
        <v>4459031</v>
      </c>
      <c r="F386" s="256">
        <v>4442525</v>
      </c>
      <c r="G386" s="256" t="s">
        <v>2203</v>
      </c>
      <c r="H386" s="256" t="s">
        <v>242</v>
      </c>
      <c r="I386" s="256" t="s">
        <v>226</v>
      </c>
      <c r="J386" s="256" t="s">
        <v>1883</v>
      </c>
      <c r="K386" s="259">
        <v>46130.104166666664</v>
      </c>
      <c r="L386" s="259">
        <v>46127.229166666664</v>
      </c>
      <c r="M386" s="259">
        <v>46130.229166666664</v>
      </c>
      <c r="N386" s="256"/>
      <c r="O386" s="256" t="s">
        <v>2204</v>
      </c>
      <c r="P386" s="259">
        <v>46151.229166666664</v>
      </c>
      <c r="Q386" s="256">
        <v>5</v>
      </c>
      <c r="R386" s="256"/>
      <c r="S386" s="256">
        <v>2</v>
      </c>
      <c r="T386" s="256"/>
      <c r="U386" s="256"/>
      <c r="V386" s="256"/>
      <c r="W386" s="256" t="s">
        <v>2159</v>
      </c>
      <c r="X386" s="259">
        <v>46106.45416666667</v>
      </c>
      <c r="Y386" s="256" t="s">
        <v>1823</v>
      </c>
      <c r="Z386" s="256" t="s">
        <v>2161</v>
      </c>
      <c r="AA386" s="256" t="s">
        <v>2162</v>
      </c>
      <c r="AB386" s="256"/>
      <c r="AC386" s="256"/>
      <c r="AD386" s="256" t="s">
        <v>2205</v>
      </c>
      <c r="AE386" s="256" t="s">
        <v>227</v>
      </c>
    </row>
    <row r="387" spans="1:31">
      <c r="A387" s="256" t="s">
        <v>2206</v>
      </c>
      <c r="B387" s="256" t="s">
        <v>1471</v>
      </c>
      <c r="C387" s="256" t="s">
        <v>1772</v>
      </c>
      <c r="D387" s="256" t="s">
        <v>228</v>
      </c>
      <c r="E387" s="256">
        <v>4420814</v>
      </c>
      <c r="F387" s="256">
        <v>4446735</v>
      </c>
      <c r="G387" s="256" t="s">
        <v>2207</v>
      </c>
      <c r="H387" s="256" t="s">
        <v>305</v>
      </c>
      <c r="I387" s="256" t="s">
        <v>226</v>
      </c>
      <c r="J387" s="256" t="s">
        <v>1883</v>
      </c>
      <c r="K387" s="259">
        <v>46129.229166666664</v>
      </c>
      <c r="L387" s="259">
        <v>46127.229166666664</v>
      </c>
      <c r="M387" s="259">
        <v>46135.229166666664</v>
      </c>
      <c r="N387" s="256"/>
      <c r="O387" s="256" t="s">
        <v>2189</v>
      </c>
      <c r="P387" s="259">
        <v>46151.229166666664</v>
      </c>
      <c r="Q387" s="256">
        <v>3</v>
      </c>
      <c r="R387" s="256"/>
      <c r="S387" s="256">
        <v>2</v>
      </c>
      <c r="T387" s="256"/>
      <c r="U387" s="256" t="s">
        <v>1</v>
      </c>
      <c r="V387" s="256" t="s">
        <v>1</v>
      </c>
      <c r="W387" s="256" t="s">
        <v>2159</v>
      </c>
      <c r="X387" s="259">
        <v>46108.81527777778</v>
      </c>
      <c r="Y387" s="256" t="s">
        <v>2208</v>
      </c>
      <c r="Z387" s="256" t="s">
        <v>2161</v>
      </c>
      <c r="AA387" s="256" t="s">
        <v>2162</v>
      </c>
      <c r="AB387" s="256"/>
      <c r="AC387" s="256"/>
      <c r="AD387" s="256" t="s">
        <v>2209</v>
      </c>
      <c r="AE387" s="256" t="s">
        <v>227</v>
      </c>
    </row>
    <row r="388" spans="1:31">
      <c r="A388" s="256" t="s">
        <v>2210</v>
      </c>
      <c r="B388" s="256" t="s">
        <v>1471</v>
      </c>
      <c r="C388" s="256" t="s">
        <v>1772</v>
      </c>
      <c r="D388" s="256" t="s">
        <v>1438</v>
      </c>
      <c r="E388" s="256">
        <v>4450105</v>
      </c>
      <c r="F388" s="256">
        <v>4446741</v>
      </c>
      <c r="G388" s="256" t="s">
        <v>2211</v>
      </c>
      <c r="H388" s="256" t="s">
        <v>242</v>
      </c>
      <c r="I388" s="256" t="s">
        <v>1839</v>
      </c>
      <c r="J388" s="256" t="s">
        <v>1883</v>
      </c>
      <c r="K388" s="259">
        <v>46132.229166666664</v>
      </c>
      <c r="L388" s="256"/>
      <c r="M388" s="259">
        <v>46136.229166666664</v>
      </c>
      <c r="N388" s="256"/>
      <c r="O388" s="256" t="s">
        <v>2212</v>
      </c>
      <c r="P388" s="259">
        <v>46151.229166666664</v>
      </c>
      <c r="Q388" s="256">
        <v>4</v>
      </c>
      <c r="R388" s="256"/>
      <c r="S388" s="256">
        <v>2</v>
      </c>
      <c r="T388" s="256"/>
      <c r="U388" s="256"/>
      <c r="V388" s="256"/>
      <c r="W388" s="256" t="s">
        <v>1836</v>
      </c>
      <c r="X388" s="259">
        <v>46108.822916666664</v>
      </c>
      <c r="Y388" s="256" t="s">
        <v>2213</v>
      </c>
      <c r="Z388" s="256" t="s">
        <v>2214</v>
      </c>
      <c r="AA388" s="256" t="s">
        <v>1838</v>
      </c>
      <c r="AB388" s="256"/>
      <c r="AC388" s="256"/>
      <c r="AD388" s="256" t="s">
        <v>1839</v>
      </c>
      <c r="AE388" s="256" t="s">
        <v>227</v>
      </c>
    </row>
    <row r="389" spans="1:31">
      <c r="A389" s="256" t="s">
        <v>1834</v>
      </c>
      <c r="B389" s="256" t="s">
        <v>1471</v>
      </c>
      <c r="C389" s="256" t="s">
        <v>1772</v>
      </c>
      <c r="D389" s="256" t="s">
        <v>1438</v>
      </c>
      <c r="E389" s="256">
        <v>4373584</v>
      </c>
      <c r="F389" s="256">
        <v>4446712</v>
      </c>
      <c r="G389" s="256" t="s">
        <v>2215</v>
      </c>
      <c r="H389" s="256" t="s">
        <v>305</v>
      </c>
      <c r="I389" s="256" t="s">
        <v>1839</v>
      </c>
      <c r="J389" s="256" t="s">
        <v>1883</v>
      </c>
      <c r="K389" s="259">
        <v>46127.229166666664</v>
      </c>
      <c r="L389" s="259">
        <v>46127.676388888889</v>
      </c>
      <c r="M389" s="259">
        <v>46134.229166666664</v>
      </c>
      <c r="N389" s="256"/>
      <c r="O389" s="256" t="s">
        <v>2216</v>
      </c>
      <c r="P389" s="259">
        <v>46151.229166666664</v>
      </c>
      <c r="Q389" s="256">
        <v>2</v>
      </c>
      <c r="R389" s="256"/>
      <c r="S389" s="256">
        <v>2</v>
      </c>
      <c r="T389" s="256"/>
      <c r="U389" s="256" t="s">
        <v>1</v>
      </c>
      <c r="V389" s="256" t="s">
        <v>1</v>
      </c>
      <c r="W389" s="256" t="s">
        <v>1836</v>
      </c>
      <c r="X389" s="259">
        <v>46108.786111111112</v>
      </c>
      <c r="Y389" s="256" t="s">
        <v>2217</v>
      </c>
      <c r="Z389" s="256" t="s">
        <v>2214</v>
      </c>
      <c r="AA389" s="256" t="s">
        <v>1838</v>
      </c>
      <c r="AB389" s="256"/>
      <c r="AC389" s="256"/>
      <c r="AD389" s="256" t="s">
        <v>1839</v>
      </c>
      <c r="AE389" s="256" t="s">
        <v>227</v>
      </c>
    </row>
    <row r="390" spans="1:31">
      <c r="A390" s="256" t="s">
        <v>2218</v>
      </c>
      <c r="B390" s="256" t="s">
        <v>1471</v>
      </c>
      <c r="C390" s="256" t="s">
        <v>1772</v>
      </c>
      <c r="D390" s="256" t="s">
        <v>2219</v>
      </c>
      <c r="E390" s="256">
        <v>4434514</v>
      </c>
      <c r="F390" s="256">
        <v>4447236</v>
      </c>
      <c r="G390" s="256" t="s">
        <v>1219</v>
      </c>
      <c r="H390" s="256" t="s">
        <v>242</v>
      </c>
      <c r="I390" s="256" t="s">
        <v>2220</v>
      </c>
      <c r="J390" s="256" t="s">
        <v>1883</v>
      </c>
      <c r="K390" s="259">
        <v>46133.020833333336</v>
      </c>
      <c r="L390" s="256"/>
      <c r="M390" s="259">
        <v>46136.229166666664</v>
      </c>
      <c r="N390" s="256"/>
      <c r="O390" s="256" t="s">
        <v>2221</v>
      </c>
      <c r="P390" s="259">
        <v>46151.229166666664</v>
      </c>
      <c r="Q390" s="256">
        <v>5</v>
      </c>
      <c r="R390" s="256"/>
      <c r="S390" s="256">
        <v>2</v>
      </c>
      <c r="T390" s="256"/>
      <c r="U390" s="256"/>
      <c r="V390" s="256"/>
      <c r="W390" s="256" t="s">
        <v>1851</v>
      </c>
      <c r="X390" s="259">
        <v>46110.915972222225</v>
      </c>
      <c r="Y390" s="256" t="s">
        <v>2222</v>
      </c>
      <c r="Z390" s="256" t="s">
        <v>2223</v>
      </c>
      <c r="AA390" s="256" t="s">
        <v>1663</v>
      </c>
      <c r="AB390" s="256"/>
      <c r="AC390" s="256"/>
      <c r="AD390" s="256" t="s">
        <v>2224</v>
      </c>
      <c r="AE390" s="256" t="s">
        <v>227</v>
      </c>
    </row>
    <row r="391" spans="1:31">
      <c r="A391" s="256" t="s">
        <v>2218</v>
      </c>
      <c r="B391" s="256" t="s">
        <v>1471</v>
      </c>
      <c r="C391" s="256" t="s">
        <v>1772</v>
      </c>
      <c r="D391" s="256" t="s">
        <v>2219</v>
      </c>
      <c r="E391" s="256">
        <v>4434514</v>
      </c>
      <c r="F391" s="256">
        <v>4447232</v>
      </c>
      <c r="G391" s="256" t="s">
        <v>1217</v>
      </c>
      <c r="H391" s="256" t="s">
        <v>242</v>
      </c>
      <c r="I391" s="256" t="s">
        <v>2220</v>
      </c>
      <c r="J391" s="256" t="s">
        <v>1883</v>
      </c>
      <c r="K391" s="259">
        <v>46133.020833333336</v>
      </c>
      <c r="L391" s="256"/>
      <c r="M391" s="259">
        <v>46136.229166666664</v>
      </c>
      <c r="N391" s="256"/>
      <c r="O391" s="256" t="s">
        <v>2183</v>
      </c>
      <c r="P391" s="259">
        <v>46151.229166666664</v>
      </c>
      <c r="Q391" s="256">
        <v>5</v>
      </c>
      <c r="R391" s="256"/>
      <c r="S391" s="256">
        <v>2</v>
      </c>
      <c r="T391" s="256"/>
      <c r="U391" s="256"/>
      <c r="V391" s="256"/>
      <c r="W391" s="256" t="s">
        <v>1851</v>
      </c>
      <c r="X391" s="259">
        <v>46110.798611111109</v>
      </c>
      <c r="Y391" s="256" t="s">
        <v>2222</v>
      </c>
      <c r="Z391" s="256" t="s">
        <v>2223</v>
      </c>
      <c r="AA391" s="256" t="s">
        <v>1663</v>
      </c>
      <c r="AB391" s="256"/>
      <c r="AC391" s="256"/>
      <c r="AD391" s="256" t="s">
        <v>2225</v>
      </c>
      <c r="AE391" s="256" t="s">
        <v>227</v>
      </c>
    </row>
    <row r="392" spans="1:31">
      <c r="A392" s="256" t="s">
        <v>2206</v>
      </c>
      <c r="B392" s="256" t="s">
        <v>1471</v>
      </c>
      <c r="C392" s="256" t="s">
        <v>1772</v>
      </c>
      <c r="D392" s="256" t="s">
        <v>228</v>
      </c>
      <c r="E392" s="256">
        <v>4420814</v>
      </c>
      <c r="F392" s="256">
        <v>4446746</v>
      </c>
      <c r="G392" s="256" t="s">
        <v>2226</v>
      </c>
      <c r="H392" s="256" t="s">
        <v>305</v>
      </c>
      <c r="I392" s="256" t="s">
        <v>226</v>
      </c>
      <c r="J392" s="256" t="s">
        <v>1883</v>
      </c>
      <c r="K392" s="259">
        <v>46129.229166666664</v>
      </c>
      <c r="L392" s="259">
        <v>46127.229166666664</v>
      </c>
      <c r="M392" s="259">
        <v>46134.229166666664</v>
      </c>
      <c r="N392" s="256"/>
      <c r="O392" s="256" t="s">
        <v>2189</v>
      </c>
      <c r="P392" s="259">
        <v>46151.229166666664</v>
      </c>
      <c r="Q392" s="256">
        <v>2</v>
      </c>
      <c r="R392" s="256"/>
      <c r="S392" s="256">
        <v>2</v>
      </c>
      <c r="T392" s="256"/>
      <c r="U392" s="256" t="s">
        <v>1</v>
      </c>
      <c r="V392" s="256" t="s">
        <v>1</v>
      </c>
      <c r="W392" s="256" t="s">
        <v>2159</v>
      </c>
      <c r="X392" s="259">
        <v>46108.84097222222</v>
      </c>
      <c r="Y392" s="256" t="s">
        <v>2208</v>
      </c>
      <c r="Z392" s="256" t="s">
        <v>2161</v>
      </c>
      <c r="AA392" s="256" t="s">
        <v>2162</v>
      </c>
      <c r="AB392" s="256"/>
      <c r="AC392" s="256"/>
      <c r="AD392" s="256" t="s">
        <v>2227</v>
      </c>
      <c r="AE392" s="256" t="s">
        <v>227</v>
      </c>
    </row>
    <row r="393" spans="1:31">
      <c r="A393" s="256" t="s">
        <v>2206</v>
      </c>
      <c r="B393" s="256" t="s">
        <v>1471</v>
      </c>
      <c r="C393" s="256" t="s">
        <v>1772</v>
      </c>
      <c r="D393" s="256" t="s">
        <v>228</v>
      </c>
      <c r="E393" s="256">
        <v>4420814</v>
      </c>
      <c r="F393" s="256">
        <v>4446753</v>
      </c>
      <c r="G393" s="256" t="s">
        <v>2228</v>
      </c>
      <c r="H393" s="256" t="s">
        <v>305</v>
      </c>
      <c r="I393" s="256" t="s">
        <v>226</v>
      </c>
      <c r="J393" s="256" t="s">
        <v>1883</v>
      </c>
      <c r="K393" s="259">
        <v>46129.229166666664</v>
      </c>
      <c r="L393" s="259">
        <v>46127.229166666664</v>
      </c>
      <c r="M393" s="259">
        <v>46135.229166666664</v>
      </c>
      <c r="N393" s="256"/>
      <c r="O393" s="256" t="s">
        <v>2189</v>
      </c>
      <c r="P393" s="259">
        <v>46151.229166666664</v>
      </c>
      <c r="Q393" s="256">
        <v>2</v>
      </c>
      <c r="R393" s="256"/>
      <c r="S393" s="256">
        <v>2</v>
      </c>
      <c r="T393" s="256"/>
      <c r="U393" s="256" t="s">
        <v>1</v>
      </c>
      <c r="V393" s="256" t="s">
        <v>1</v>
      </c>
      <c r="W393" s="256" t="s">
        <v>2159</v>
      </c>
      <c r="X393" s="259">
        <v>46108.862500000003</v>
      </c>
      <c r="Y393" s="256" t="s">
        <v>2208</v>
      </c>
      <c r="Z393" s="256" t="s">
        <v>2161</v>
      </c>
      <c r="AA393" s="256" t="s">
        <v>2162</v>
      </c>
      <c r="AB393" s="256"/>
      <c r="AC393" s="256"/>
      <c r="AD393" s="256" t="s">
        <v>2229</v>
      </c>
      <c r="AE393" s="256" t="s">
        <v>227</v>
      </c>
    </row>
    <row r="394" spans="1:31">
      <c r="A394" s="256" t="s">
        <v>229</v>
      </c>
      <c r="B394" s="256" t="s">
        <v>1471</v>
      </c>
      <c r="C394" s="256" t="s">
        <v>1772</v>
      </c>
      <c r="D394" s="256" t="s">
        <v>228</v>
      </c>
      <c r="E394" s="256">
        <v>4447242</v>
      </c>
      <c r="F394" s="256">
        <v>4447244</v>
      </c>
      <c r="G394" s="256" t="s">
        <v>230</v>
      </c>
      <c r="H394" s="256" t="s">
        <v>242</v>
      </c>
      <c r="I394" s="256" t="s">
        <v>226</v>
      </c>
      <c r="J394" s="256" t="s">
        <v>1883</v>
      </c>
      <c r="K394" s="259">
        <v>46129.229166666664</v>
      </c>
      <c r="L394" s="256"/>
      <c r="M394" s="259">
        <v>46135.229166666664</v>
      </c>
      <c r="N394" s="256"/>
      <c r="O394" s="256" t="s">
        <v>2230</v>
      </c>
      <c r="P394" s="259">
        <v>46151.229166666664</v>
      </c>
      <c r="Q394" s="256">
        <v>3</v>
      </c>
      <c r="R394" s="256"/>
      <c r="S394" s="256">
        <v>2</v>
      </c>
      <c r="T394" s="256"/>
      <c r="U394" s="256"/>
      <c r="V394" s="256"/>
      <c r="W394" s="256" t="s">
        <v>1851</v>
      </c>
      <c r="X394" s="259">
        <v>46111.00277777778</v>
      </c>
      <c r="Y394" s="256" t="s">
        <v>2231</v>
      </c>
      <c r="Z394" s="256" t="s">
        <v>2161</v>
      </c>
      <c r="AA394" s="256" t="s">
        <v>1663</v>
      </c>
      <c r="AB394" s="256"/>
      <c r="AC394" s="256"/>
      <c r="AD394" s="256" t="s">
        <v>2232</v>
      </c>
      <c r="AE394" s="256" t="s">
        <v>227</v>
      </c>
    </row>
    <row r="395" spans="1:31">
      <c r="A395" s="256" t="s">
        <v>2164</v>
      </c>
      <c r="B395" s="256" t="s">
        <v>1471</v>
      </c>
      <c r="C395" s="256" t="s">
        <v>1772</v>
      </c>
      <c r="D395" s="256" t="s">
        <v>228</v>
      </c>
      <c r="E395" s="256">
        <v>4420086</v>
      </c>
      <c r="F395" s="256">
        <v>4447465</v>
      </c>
      <c r="G395" s="256" t="s">
        <v>2233</v>
      </c>
      <c r="H395" s="256" t="s">
        <v>305</v>
      </c>
      <c r="I395" s="256" t="s">
        <v>226</v>
      </c>
      <c r="J395" s="256" t="s">
        <v>1883</v>
      </c>
      <c r="K395" s="259">
        <v>46127.229166666664</v>
      </c>
      <c r="L395" s="259">
        <v>46127.170138888891</v>
      </c>
      <c r="M395" s="259">
        <v>46130.229166666664</v>
      </c>
      <c r="N395" s="256"/>
      <c r="O395" s="256" t="s">
        <v>1963</v>
      </c>
      <c r="P395" s="259">
        <v>46151.229166666664</v>
      </c>
      <c r="Q395" s="256">
        <v>3</v>
      </c>
      <c r="R395" s="256"/>
      <c r="S395" s="256">
        <v>2</v>
      </c>
      <c r="T395" s="256"/>
      <c r="U395" s="256"/>
      <c r="V395" s="256"/>
      <c r="W395" s="256" t="s">
        <v>2159</v>
      </c>
      <c r="X395" s="259">
        <v>46111.413888888892</v>
      </c>
      <c r="Y395" s="256" t="s">
        <v>2234</v>
      </c>
      <c r="Z395" s="256" t="s">
        <v>2161</v>
      </c>
      <c r="AA395" s="256" t="s">
        <v>2162</v>
      </c>
      <c r="AB395" s="256"/>
      <c r="AC395" s="256"/>
      <c r="AD395" s="256" t="s">
        <v>2235</v>
      </c>
      <c r="AE395" s="256" t="s">
        <v>227</v>
      </c>
    </row>
    <row r="396" spans="1:31">
      <c r="A396" s="256" t="s">
        <v>2236</v>
      </c>
      <c r="B396" s="256" t="s">
        <v>1471</v>
      </c>
      <c r="C396" s="256" t="s">
        <v>1772</v>
      </c>
      <c r="D396" s="256" t="s">
        <v>228</v>
      </c>
      <c r="E396" s="256">
        <v>4418789</v>
      </c>
      <c r="F396" s="256">
        <v>4446374</v>
      </c>
      <c r="G396" s="256" t="s">
        <v>2237</v>
      </c>
      <c r="H396" s="256" t="s">
        <v>305</v>
      </c>
      <c r="I396" s="256" t="s">
        <v>226</v>
      </c>
      <c r="J396" s="256" t="s">
        <v>1883</v>
      </c>
      <c r="K396" s="259">
        <v>46129.229166666664</v>
      </c>
      <c r="L396" s="259">
        <v>46126.804861111108</v>
      </c>
      <c r="M396" s="259">
        <v>46134.229166666664</v>
      </c>
      <c r="N396" s="256"/>
      <c r="O396" s="256" t="s">
        <v>2189</v>
      </c>
      <c r="P396" s="259">
        <v>46151.229166666664</v>
      </c>
      <c r="Q396" s="256">
        <v>5</v>
      </c>
      <c r="R396" s="256"/>
      <c r="S396" s="256">
        <v>2</v>
      </c>
      <c r="T396" s="256"/>
      <c r="U396" s="256"/>
      <c r="V396" s="256"/>
      <c r="W396" s="256" t="s">
        <v>2159</v>
      </c>
      <c r="X396" s="259">
        <v>46108.625</v>
      </c>
      <c r="Y396" s="256" t="s">
        <v>2238</v>
      </c>
      <c r="Z396" s="256" t="s">
        <v>2161</v>
      </c>
      <c r="AA396" s="256" t="s">
        <v>2162</v>
      </c>
      <c r="AB396" s="256"/>
      <c r="AC396" s="256"/>
      <c r="AD396" s="256" t="s">
        <v>2239</v>
      </c>
      <c r="AE396" s="256" t="s">
        <v>227</v>
      </c>
    </row>
    <row r="397" spans="1:31">
      <c r="A397" s="256" t="s">
        <v>1882</v>
      </c>
      <c r="B397" s="256" t="s">
        <v>1471</v>
      </c>
      <c r="C397" s="256" t="s">
        <v>1772</v>
      </c>
      <c r="D397" s="256" t="s">
        <v>1438</v>
      </c>
      <c r="E397" s="256">
        <v>4223629</v>
      </c>
      <c r="F397" s="256">
        <v>4445162</v>
      </c>
      <c r="G397" s="256" t="s">
        <v>2240</v>
      </c>
      <c r="H397" s="256" t="s">
        <v>242</v>
      </c>
      <c r="I397" s="256" t="s">
        <v>2178</v>
      </c>
      <c r="J397" s="256" t="s">
        <v>1883</v>
      </c>
      <c r="K397" s="259">
        <v>46132.229166666664</v>
      </c>
      <c r="L397" s="256"/>
      <c r="M397" s="259">
        <v>46135.229166666664</v>
      </c>
      <c r="N397" s="256"/>
      <c r="O397" s="256" t="s">
        <v>2179</v>
      </c>
      <c r="P397" s="259">
        <v>46151.229166666664</v>
      </c>
      <c r="Q397" s="256">
        <v>3</v>
      </c>
      <c r="R397" s="256"/>
      <c r="S397" s="256">
        <v>2</v>
      </c>
      <c r="T397" s="256"/>
      <c r="U397" s="256"/>
      <c r="V397" s="256"/>
      <c r="W397" s="256" t="s">
        <v>2241</v>
      </c>
      <c r="X397" s="259">
        <v>46107.790972222225</v>
      </c>
      <c r="Y397" s="256" t="s">
        <v>2242</v>
      </c>
      <c r="Z397" s="256" t="s">
        <v>2181</v>
      </c>
      <c r="AA397" s="256" t="s">
        <v>1517</v>
      </c>
      <c r="AB397" s="256"/>
      <c r="AC397" s="256"/>
      <c r="AD397" s="256" t="s">
        <v>1886</v>
      </c>
      <c r="AE397" s="256" t="s">
        <v>227</v>
      </c>
    </row>
    <row r="398" spans="1:31">
      <c r="A398" s="256" t="s">
        <v>236</v>
      </c>
      <c r="B398" s="256" t="s">
        <v>1471</v>
      </c>
      <c r="C398" s="256" t="s">
        <v>1772</v>
      </c>
      <c r="D398" s="256" t="s">
        <v>235</v>
      </c>
      <c r="E398" s="256">
        <v>4443461</v>
      </c>
      <c r="F398" s="256">
        <v>4432575</v>
      </c>
      <c r="G398" s="256" t="s">
        <v>2243</v>
      </c>
      <c r="H398" s="256" t="s">
        <v>305</v>
      </c>
      <c r="I398" s="256" t="s">
        <v>243</v>
      </c>
      <c r="J398" s="256" t="s">
        <v>1883</v>
      </c>
      <c r="K398" s="259">
        <v>46127.229166666664</v>
      </c>
      <c r="L398" s="259">
        <v>46126.804166666669</v>
      </c>
      <c r="M398" s="259">
        <v>46134.229166666664</v>
      </c>
      <c r="N398" s="256"/>
      <c r="O398" s="256" t="s">
        <v>2244</v>
      </c>
      <c r="P398" s="259">
        <v>46151.229166666664</v>
      </c>
      <c r="Q398" s="256">
        <v>3</v>
      </c>
      <c r="R398" s="256"/>
      <c r="S398" s="256">
        <v>2</v>
      </c>
      <c r="T398" s="256"/>
      <c r="U398" s="256" t="s">
        <v>1</v>
      </c>
      <c r="V398" s="256"/>
      <c r="W398" s="256" t="s">
        <v>1479</v>
      </c>
      <c r="X398" s="259">
        <v>46098.790972222225</v>
      </c>
      <c r="Y398" s="256" t="s">
        <v>2197</v>
      </c>
      <c r="Z398" s="256" t="s">
        <v>2198</v>
      </c>
      <c r="AA398" s="256" t="s">
        <v>1610</v>
      </c>
      <c r="AB398" s="256"/>
      <c r="AC398" s="256"/>
      <c r="AD398" s="256" t="s">
        <v>2197</v>
      </c>
      <c r="AE398" s="256" t="s">
        <v>227</v>
      </c>
    </row>
    <row r="399" spans="1:31">
      <c r="A399" s="256" t="s">
        <v>1944</v>
      </c>
      <c r="B399" s="256" t="s">
        <v>1471</v>
      </c>
      <c r="C399" s="256" t="s">
        <v>1772</v>
      </c>
      <c r="D399" s="256" t="s">
        <v>228</v>
      </c>
      <c r="E399" s="256">
        <v>4287584</v>
      </c>
      <c r="F399" s="256">
        <v>4435931</v>
      </c>
      <c r="G399" s="256" t="s">
        <v>1229</v>
      </c>
      <c r="H399" s="256" t="s">
        <v>359</v>
      </c>
      <c r="I399" s="256" t="s">
        <v>226</v>
      </c>
      <c r="J399" s="256" t="s">
        <v>1883</v>
      </c>
      <c r="K399" s="259">
        <v>46129.229166666664</v>
      </c>
      <c r="L399" s="256"/>
      <c r="M399" s="259">
        <v>46133.229166666664</v>
      </c>
      <c r="N399" s="256"/>
      <c r="O399" s="256" t="s">
        <v>1883</v>
      </c>
      <c r="P399" s="259">
        <v>46151.229166666664</v>
      </c>
      <c r="Q399" s="256">
        <v>2</v>
      </c>
      <c r="R399" s="256"/>
      <c r="S399" s="256">
        <v>2</v>
      </c>
      <c r="T399" s="256"/>
      <c r="U399" s="256"/>
      <c r="V399" s="256"/>
      <c r="W399" s="256" t="s">
        <v>1851</v>
      </c>
      <c r="X399" s="259">
        <v>46099.959722222222</v>
      </c>
      <c r="Y399" s="256" t="s">
        <v>2245</v>
      </c>
      <c r="Z399" s="256" t="s">
        <v>2161</v>
      </c>
      <c r="AA399" s="256" t="s">
        <v>1892</v>
      </c>
      <c r="AB399" s="256"/>
      <c r="AC399" s="256"/>
      <c r="AD399" s="256" t="s">
        <v>2246</v>
      </c>
      <c r="AE399" s="256" t="s">
        <v>227</v>
      </c>
    </row>
    <row r="400" spans="1:31">
      <c r="A400" s="256" t="s">
        <v>2247</v>
      </c>
      <c r="B400" s="256" t="s">
        <v>1471</v>
      </c>
      <c r="C400" s="256" t="s">
        <v>1772</v>
      </c>
      <c r="D400" s="256" t="s">
        <v>46</v>
      </c>
      <c r="E400" s="256">
        <v>4249003</v>
      </c>
      <c r="F400" s="256">
        <v>4435809</v>
      </c>
      <c r="G400" s="256" t="s">
        <v>1199</v>
      </c>
      <c r="H400" s="256" t="s">
        <v>198</v>
      </c>
      <c r="I400" s="256" t="s">
        <v>2220</v>
      </c>
      <c r="J400" s="256" t="s">
        <v>1883</v>
      </c>
      <c r="K400" s="259">
        <v>46129.229166666664</v>
      </c>
      <c r="L400" s="256"/>
      <c r="M400" s="259">
        <v>46136.229166666664</v>
      </c>
      <c r="N400" s="256"/>
      <c r="O400" s="256" t="s">
        <v>2248</v>
      </c>
      <c r="P400" s="259">
        <v>46151.229166666664</v>
      </c>
      <c r="Q400" s="256">
        <v>3</v>
      </c>
      <c r="R400" s="256"/>
      <c r="S400" s="256">
        <v>2</v>
      </c>
      <c r="T400" s="256"/>
      <c r="U400" s="256"/>
      <c r="V400" s="256"/>
      <c r="W400" s="256" t="s">
        <v>2249</v>
      </c>
      <c r="X400" s="259">
        <v>46099.787499999999</v>
      </c>
      <c r="Y400" s="256"/>
      <c r="Z400" s="256" t="s">
        <v>2223</v>
      </c>
      <c r="AA400" s="256" t="s">
        <v>1517</v>
      </c>
      <c r="AB400" s="256"/>
      <c r="AC400" s="256"/>
      <c r="AD400" s="256" t="s">
        <v>2250</v>
      </c>
      <c r="AE400" s="256" t="s">
        <v>227</v>
      </c>
    </row>
    <row r="401" spans="1:31">
      <c r="A401" s="256" t="s">
        <v>2199</v>
      </c>
      <c r="B401" s="256" t="s">
        <v>1471</v>
      </c>
      <c r="C401" s="256" t="s">
        <v>1772</v>
      </c>
      <c r="D401" s="256" t="s">
        <v>228</v>
      </c>
      <c r="E401" s="256">
        <v>4420081</v>
      </c>
      <c r="F401" s="256">
        <v>4429865</v>
      </c>
      <c r="G401" s="256" t="s">
        <v>2251</v>
      </c>
      <c r="H401" s="256" t="s">
        <v>305</v>
      </c>
      <c r="I401" s="256" t="s">
        <v>226</v>
      </c>
      <c r="J401" s="256" t="s">
        <v>1883</v>
      </c>
      <c r="K401" s="259">
        <v>46126.229166666664</v>
      </c>
      <c r="L401" s="259">
        <v>46121.229166666664</v>
      </c>
      <c r="M401" s="259">
        <v>46129.979166666664</v>
      </c>
      <c r="N401" s="256"/>
      <c r="O401" s="256" t="s">
        <v>2194</v>
      </c>
      <c r="P401" s="259">
        <v>46151.229166666664</v>
      </c>
      <c r="Q401" s="256">
        <v>2</v>
      </c>
      <c r="R401" s="256"/>
      <c r="S401" s="256">
        <v>2</v>
      </c>
      <c r="T401" s="256"/>
      <c r="U401" s="256" t="s">
        <v>1</v>
      </c>
      <c r="V401" s="256" t="s">
        <v>1</v>
      </c>
      <c r="W401" s="256" t="s">
        <v>1851</v>
      </c>
      <c r="X401" s="259">
        <v>46097.954861111109</v>
      </c>
      <c r="Y401" s="256"/>
      <c r="Z401" s="256" t="s">
        <v>2161</v>
      </c>
      <c r="AA401" s="256" t="s">
        <v>1946</v>
      </c>
      <c r="AB401" s="256"/>
      <c r="AC401" s="256"/>
      <c r="AD401" s="256" t="s">
        <v>2252</v>
      </c>
      <c r="AE401" s="256" t="s">
        <v>227</v>
      </c>
    </row>
    <row r="402" spans="1:31">
      <c r="A402" s="256" t="s">
        <v>2199</v>
      </c>
      <c r="B402" s="256" t="s">
        <v>1471</v>
      </c>
      <c r="C402" s="256" t="s">
        <v>1772</v>
      </c>
      <c r="D402" s="256" t="s">
        <v>228</v>
      </c>
      <c r="E402" s="256">
        <v>4420081</v>
      </c>
      <c r="F402" s="256">
        <v>4429885</v>
      </c>
      <c r="G402" s="256" t="s">
        <v>1237</v>
      </c>
      <c r="H402" s="256" t="s">
        <v>305</v>
      </c>
      <c r="I402" s="256" t="s">
        <v>226</v>
      </c>
      <c r="J402" s="256" t="s">
        <v>1883</v>
      </c>
      <c r="K402" s="259">
        <v>46128.229166666664</v>
      </c>
      <c r="L402" s="259">
        <v>46125.699305555558</v>
      </c>
      <c r="M402" s="259">
        <v>46136.229166666664</v>
      </c>
      <c r="N402" s="256"/>
      <c r="O402" s="256" t="s">
        <v>2165</v>
      </c>
      <c r="P402" s="259">
        <v>46151.229166666664</v>
      </c>
      <c r="Q402" s="256">
        <v>2</v>
      </c>
      <c r="R402" s="256"/>
      <c r="S402" s="256">
        <v>2</v>
      </c>
      <c r="T402" s="256"/>
      <c r="U402" s="256" t="s">
        <v>1</v>
      </c>
      <c r="V402" s="256" t="s">
        <v>1</v>
      </c>
      <c r="W402" s="256" t="s">
        <v>1851</v>
      </c>
      <c r="X402" s="259">
        <v>46097.963194444441</v>
      </c>
      <c r="Y402" s="256" t="s">
        <v>2201</v>
      </c>
      <c r="Z402" s="256" t="s">
        <v>2161</v>
      </c>
      <c r="AA402" s="256" t="s">
        <v>1946</v>
      </c>
      <c r="AB402" s="256"/>
      <c r="AC402" s="256"/>
      <c r="AD402" s="256" t="s">
        <v>2253</v>
      </c>
      <c r="AE402" s="256" t="s">
        <v>227</v>
      </c>
    </row>
    <row r="403" spans="1:31">
      <c r="A403" s="256" t="s">
        <v>236</v>
      </c>
      <c r="B403" s="256" t="s">
        <v>1471</v>
      </c>
      <c r="C403" s="256" t="s">
        <v>1772</v>
      </c>
      <c r="D403" s="256" t="s">
        <v>235</v>
      </c>
      <c r="E403" s="256">
        <v>4443461</v>
      </c>
      <c r="F403" s="256">
        <v>4429175</v>
      </c>
      <c r="G403" s="256" t="s">
        <v>237</v>
      </c>
      <c r="H403" s="256" t="s">
        <v>305</v>
      </c>
      <c r="I403" s="256" t="s">
        <v>243</v>
      </c>
      <c r="J403" s="256" t="s">
        <v>1883</v>
      </c>
      <c r="K403" s="259">
        <v>46127.229166666664</v>
      </c>
      <c r="L403" s="259">
        <v>46121.993055555555</v>
      </c>
      <c r="M403" s="259">
        <v>46134.229166666664</v>
      </c>
      <c r="N403" s="256"/>
      <c r="O403" s="256" t="s">
        <v>2167</v>
      </c>
      <c r="P403" s="259">
        <v>46151.229166666664</v>
      </c>
      <c r="Q403" s="256">
        <v>3</v>
      </c>
      <c r="R403" s="256"/>
      <c r="S403" s="256">
        <v>2</v>
      </c>
      <c r="T403" s="256"/>
      <c r="U403" s="256" t="s">
        <v>1</v>
      </c>
      <c r="V403" s="256" t="s">
        <v>1</v>
      </c>
      <c r="W403" s="256" t="s">
        <v>1479</v>
      </c>
      <c r="X403" s="259">
        <v>46097.725694444445</v>
      </c>
      <c r="Y403" s="256" t="s">
        <v>2197</v>
      </c>
      <c r="Z403" s="256" t="s">
        <v>2198</v>
      </c>
      <c r="AA403" s="256" t="s">
        <v>1610</v>
      </c>
      <c r="AB403" s="256"/>
      <c r="AC403" s="256"/>
      <c r="AD403" s="256" t="s">
        <v>2197</v>
      </c>
      <c r="AE403" s="256" t="s">
        <v>227</v>
      </c>
    </row>
    <row r="404" spans="1:31">
      <c r="A404" s="256" t="s">
        <v>236</v>
      </c>
      <c r="B404" s="256" t="s">
        <v>1471</v>
      </c>
      <c r="C404" s="256" t="s">
        <v>1772</v>
      </c>
      <c r="D404" s="256" t="s">
        <v>235</v>
      </c>
      <c r="E404" s="256">
        <v>4443461</v>
      </c>
      <c r="F404" s="256">
        <v>4431480</v>
      </c>
      <c r="G404" s="256" t="s">
        <v>1183</v>
      </c>
      <c r="H404" s="256" t="s">
        <v>305</v>
      </c>
      <c r="I404" s="256" t="s">
        <v>243</v>
      </c>
      <c r="J404" s="256" t="s">
        <v>1883</v>
      </c>
      <c r="K404" s="259">
        <v>46127.229166666664</v>
      </c>
      <c r="L404" s="259">
        <v>46121.992361111108</v>
      </c>
      <c r="M404" s="259">
        <v>46134.229166666664</v>
      </c>
      <c r="N404" s="256"/>
      <c r="O404" s="256" t="s">
        <v>2167</v>
      </c>
      <c r="P404" s="259">
        <v>46151.229166666664</v>
      </c>
      <c r="Q404" s="256">
        <v>3</v>
      </c>
      <c r="R404" s="256"/>
      <c r="S404" s="256">
        <v>2</v>
      </c>
      <c r="T404" s="256"/>
      <c r="U404" s="256" t="s">
        <v>1</v>
      </c>
      <c r="V404" s="256"/>
      <c r="W404" s="256" t="s">
        <v>1479</v>
      </c>
      <c r="X404" s="259">
        <v>46098.611805555556</v>
      </c>
      <c r="Y404" s="256" t="s">
        <v>2197</v>
      </c>
      <c r="Z404" s="256" t="s">
        <v>2198</v>
      </c>
      <c r="AA404" s="256" t="s">
        <v>1610</v>
      </c>
      <c r="AB404" s="256"/>
      <c r="AC404" s="256"/>
      <c r="AD404" s="256" t="s">
        <v>2197</v>
      </c>
      <c r="AE404" s="256" t="s">
        <v>227</v>
      </c>
    </row>
    <row r="405" spans="1:31">
      <c r="A405" s="256" t="s">
        <v>2254</v>
      </c>
      <c r="B405" s="256" t="s">
        <v>1471</v>
      </c>
      <c r="C405" s="256" t="s">
        <v>1772</v>
      </c>
      <c r="D405" s="256" t="s">
        <v>46</v>
      </c>
      <c r="E405" s="256">
        <v>4437199</v>
      </c>
      <c r="F405" s="256">
        <v>4423216</v>
      </c>
      <c r="G405" s="256" t="s">
        <v>1211</v>
      </c>
      <c r="H405" s="256" t="s">
        <v>242</v>
      </c>
      <c r="I405" s="256" t="s">
        <v>2172</v>
      </c>
      <c r="J405" s="256" t="s">
        <v>1883</v>
      </c>
      <c r="K405" s="259">
        <v>46132.229166666664</v>
      </c>
      <c r="L405" s="256"/>
      <c r="M405" s="259">
        <v>46133.229166666664</v>
      </c>
      <c r="N405" s="256"/>
      <c r="O405" s="256" t="s">
        <v>2255</v>
      </c>
      <c r="P405" s="259">
        <v>46151.229166666664</v>
      </c>
      <c r="Q405" s="256">
        <v>5</v>
      </c>
      <c r="R405" s="256"/>
      <c r="S405" s="256">
        <v>2</v>
      </c>
      <c r="T405" s="256"/>
      <c r="U405" s="256"/>
      <c r="V405" s="256"/>
      <c r="W405" s="256" t="s">
        <v>1907</v>
      </c>
      <c r="X405" s="259">
        <v>46093.588194444441</v>
      </c>
      <c r="Y405" s="256"/>
      <c r="Z405" s="256" t="s">
        <v>2175</v>
      </c>
      <c r="AA405" s="256" t="s">
        <v>1492</v>
      </c>
      <c r="AB405" s="256"/>
      <c r="AC405" s="256"/>
      <c r="AD405" s="256" t="s">
        <v>2256</v>
      </c>
      <c r="AE405" s="256" t="s">
        <v>227</v>
      </c>
    </row>
    <row r="406" spans="1:31">
      <c r="A406" s="256" t="s">
        <v>2254</v>
      </c>
      <c r="B406" s="256" t="s">
        <v>1471</v>
      </c>
      <c r="C406" s="256" t="s">
        <v>1772</v>
      </c>
      <c r="D406" s="256" t="s">
        <v>46</v>
      </c>
      <c r="E406" s="256">
        <v>4437199</v>
      </c>
      <c r="F406" s="256">
        <v>4423219</v>
      </c>
      <c r="G406" s="256" t="s">
        <v>1212</v>
      </c>
      <c r="H406" s="256" t="s">
        <v>242</v>
      </c>
      <c r="I406" s="256" t="s">
        <v>2172</v>
      </c>
      <c r="J406" s="256" t="s">
        <v>1883</v>
      </c>
      <c r="K406" s="259">
        <v>46132.229166666664</v>
      </c>
      <c r="L406" s="256"/>
      <c r="M406" s="259">
        <v>46133.229166666664</v>
      </c>
      <c r="N406" s="256"/>
      <c r="O406" s="256" t="s">
        <v>2257</v>
      </c>
      <c r="P406" s="259">
        <v>46151.229166666664</v>
      </c>
      <c r="Q406" s="256">
        <v>5</v>
      </c>
      <c r="R406" s="256"/>
      <c r="S406" s="256">
        <v>2</v>
      </c>
      <c r="T406" s="256"/>
      <c r="U406" s="256"/>
      <c r="V406" s="256"/>
      <c r="W406" s="256" t="s">
        <v>1907</v>
      </c>
      <c r="X406" s="259">
        <v>46093.588888888888</v>
      </c>
      <c r="Y406" s="256"/>
      <c r="Z406" s="256" t="s">
        <v>2175</v>
      </c>
      <c r="AA406" s="256" t="s">
        <v>1492</v>
      </c>
      <c r="AB406" s="256"/>
      <c r="AC406" s="256"/>
      <c r="AD406" s="256" t="s">
        <v>2258</v>
      </c>
      <c r="AE406" s="256" t="s">
        <v>227</v>
      </c>
    </row>
    <row r="407" spans="1:31">
      <c r="A407" s="256" t="s">
        <v>2210</v>
      </c>
      <c r="B407" s="256" t="s">
        <v>1471</v>
      </c>
      <c r="C407" s="256" t="s">
        <v>1772</v>
      </c>
      <c r="D407" s="256" t="s">
        <v>1438</v>
      </c>
      <c r="E407" s="256">
        <v>4450105</v>
      </c>
      <c r="F407" s="256">
        <v>4438308</v>
      </c>
      <c r="G407" s="256" t="s">
        <v>1192</v>
      </c>
      <c r="H407" s="256" t="s">
        <v>305</v>
      </c>
      <c r="I407" s="256" t="s">
        <v>1839</v>
      </c>
      <c r="J407" s="256" t="s">
        <v>1883</v>
      </c>
      <c r="K407" s="259">
        <v>46128.229166666664</v>
      </c>
      <c r="L407" s="259">
        <v>46129.125694444447</v>
      </c>
      <c r="M407" s="259">
        <v>46133.229166666664</v>
      </c>
      <c r="N407" s="256"/>
      <c r="O407" s="256" t="s">
        <v>2259</v>
      </c>
      <c r="P407" s="259">
        <v>46151.229166666664</v>
      </c>
      <c r="Q407" s="256">
        <v>3</v>
      </c>
      <c r="R407" s="256"/>
      <c r="S407" s="256">
        <v>2</v>
      </c>
      <c r="T407" s="256"/>
      <c r="U407" s="256"/>
      <c r="V407" s="256"/>
      <c r="W407" s="256" t="s">
        <v>1836</v>
      </c>
      <c r="X407" s="259">
        <v>46102.031944444447</v>
      </c>
      <c r="Y407" s="256" t="s">
        <v>2213</v>
      </c>
      <c r="Z407" s="256" t="s">
        <v>2214</v>
      </c>
      <c r="AA407" s="256" t="s">
        <v>1838</v>
      </c>
      <c r="AB407" s="256"/>
      <c r="AC407" s="256"/>
      <c r="AD407" s="256" t="s">
        <v>1839</v>
      </c>
      <c r="AE407" s="256" t="s">
        <v>227</v>
      </c>
    </row>
    <row r="408" spans="1:31">
      <c r="A408" s="256" t="s">
        <v>2210</v>
      </c>
      <c r="B408" s="256" t="s">
        <v>1471</v>
      </c>
      <c r="C408" s="256" t="s">
        <v>1772</v>
      </c>
      <c r="D408" s="256" t="s">
        <v>1438</v>
      </c>
      <c r="E408" s="256">
        <v>4450105</v>
      </c>
      <c r="F408" s="256">
        <v>4438326</v>
      </c>
      <c r="G408" s="256" t="s">
        <v>2260</v>
      </c>
      <c r="H408" s="256" t="s">
        <v>305</v>
      </c>
      <c r="I408" s="256" t="s">
        <v>1839</v>
      </c>
      <c r="J408" s="256" t="s">
        <v>1883</v>
      </c>
      <c r="K408" s="259">
        <v>46132.229166666664</v>
      </c>
      <c r="L408" s="259">
        <v>46129.125694444447</v>
      </c>
      <c r="M408" s="259">
        <v>46136.229166666664</v>
      </c>
      <c r="N408" s="256"/>
      <c r="O408" s="256" t="s">
        <v>2259</v>
      </c>
      <c r="P408" s="259">
        <v>46151.229166666664</v>
      </c>
      <c r="Q408" s="256">
        <v>5</v>
      </c>
      <c r="R408" s="256"/>
      <c r="S408" s="256">
        <v>2</v>
      </c>
      <c r="T408" s="256"/>
      <c r="U408" s="256"/>
      <c r="V408" s="256"/>
      <c r="W408" s="256" t="s">
        <v>1836</v>
      </c>
      <c r="X408" s="259">
        <v>46102.045138888891</v>
      </c>
      <c r="Y408" s="256" t="s">
        <v>2213</v>
      </c>
      <c r="Z408" s="256" t="s">
        <v>2214</v>
      </c>
      <c r="AA408" s="256" t="s">
        <v>1838</v>
      </c>
      <c r="AB408" s="256"/>
      <c r="AC408" s="256"/>
      <c r="AD408" s="256" t="s">
        <v>1839</v>
      </c>
      <c r="AE408" s="256" t="s">
        <v>227</v>
      </c>
    </row>
    <row r="409" spans="1:31">
      <c r="A409" s="256" t="s">
        <v>2210</v>
      </c>
      <c r="B409" s="256" t="s">
        <v>1471</v>
      </c>
      <c r="C409" s="256" t="s">
        <v>1772</v>
      </c>
      <c r="D409" s="256" t="s">
        <v>1438</v>
      </c>
      <c r="E409" s="256">
        <v>4450105</v>
      </c>
      <c r="F409" s="256">
        <v>4438451</v>
      </c>
      <c r="G409" s="256" t="s">
        <v>2261</v>
      </c>
      <c r="H409" s="256" t="s">
        <v>242</v>
      </c>
      <c r="I409" s="256" t="s">
        <v>1839</v>
      </c>
      <c r="J409" s="256" t="s">
        <v>1883</v>
      </c>
      <c r="K409" s="259">
        <v>46132.229166666664</v>
      </c>
      <c r="L409" s="256"/>
      <c r="M409" s="259">
        <v>46135.229166666664</v>
      </c>
      <c r="N409" s="256"/>
      <c r="O409" s="256" t="s">
        <v>2262</v>
      </c>
      <c r="P409" s="259">
        <v>46151.229166666664</v>
      </c>
      <c r="Q409" s="256">
        <v>5</v>
      </c>
      <c r="R409" s="256"/>
      <c r="S409" s="256">
        <v>2</v>
      </c>
      <c r="T409" s="256"/>
      <c r="U409" s="256"/>
      <c r="V409" s="256"/>
      <c r="W409" s="256" t="s">
        <v>1836</v>
      </c>
      <c r="X409" s="259">
        <v>46102.0625</v>
      </c>
      <c r="Y409" s="256" t="s">
        <v>2213</v>
      </c>
      <c r="Z409" s="256" t="s">
        <v>2214</v>
      </c>
      <c r="AA409" s="256" t="s">
        <v>1838</v>
      </c>
      <c r="AB409" s="256"/>
      <c r="AC409" s="256"/>
      <c r="AD409" s="256" t="s">
        <v>1839</v>
      </c>
      <c r="AE409" s="256" t="s">
        <v>227</v>
      </c>
    </row>
    <row r="410" spans="1:31">
      <c r="A410" s="256" t="s">
        <v>2218</v>
      </c>
      <c r="B410" s="256" t="s">
        <v>1471</v>
      </c>
      <c r="C410" s="256" t="s">
        <v>1772</v>
      </c>
      <c r="D410" s="256" t="s">
        <v>2219</v>
      </c>
      <c r="E410" s="256">
        <v>4434514</v>
      </c>
      <c r="F410" s="256">
        <v>4438518</v>
      </c>
      <c r="G410" s="256" t="s">
        <v>1220</v>
      </c>
      <c r="H410" s="256" t="s">
        <v>242</v>
      </c>
      <c r="I410" s="256" t="s">
        <v>2220</v>
      </c>
      <c r="J410" s="256" t="s">
        <v>1883</v>
      </c>
      <c r="K410" s="259">
        <v>46133.020833333336</v>
      </c>
      <c r="L410" s="256"/>
      <c r="M410" s="259">
        <v>46139.229166666664</v>
      </c>
      <c r="N410" s="256"/>
      <c r="O410" s="256" t="s">
        <v>2263</v>
      </c>
      <c r="P410" s="259">
        <v>46151.229166666664</v>
      </c>
      <c r="Q410" s="256">
        <v>5</v>
      </c>
      <c r="R410" s="256"/>
      <c r="S410" s="256">
        <v>2</v>
      </c>
      <c r="T410" s="256"/>
      <c r="U410" s="256"/>
      <c r="V410" s="256"/>
      <c r="W410" s="256" t="s">
        <v>1851</v>
      </c>
      <c r="X410" s="259">
        <v>46102.686805555553</v>
      </c>
      <c r="Y410" s="256" t="s">
        <v>2222</v>
      </c>
      <c r="Z410" s="256" t="s">
        <v>2223</v>
      </c>
      <c r="AA410" s="256" t="s">
        <v>1663</v>
      </c>
      <c r="AB410" s="256"/>
      <c r="AC410" s="256"/>
      <c r="AD410" s="256" t="s">
        <v>2264</v>
      </c>
      <c r="AE410" s="256" t="s">
        <v>227</v>
      </c>
    </row>
    <row r="411" spans="1:31">
      <c r="A411" s="256" t="s">
        <v>2187</v>
      </c>
      <c r="B411" s="256" t="s">
        <v>1471</v>
      </c>
      <c r="C411" s="256" t="s">
        <v>1772</v>
      </c>
      <c r="D411" s="256" t="s">
        <v>228</v>
      </c>
      <c r="E411" s="256">
        <v>4420088</v>
      </c>
      <c r="F411" s="256">
        <v>4436659</v>
      </c>
      <c r="G411" s="256" t="s">
        <v>2265</v>
      </c>
      <c r="H411" s="256" t="s">
        <v>305</v>
      </c>
      <c r="I411" s="256" t="s">
        <v>226</v>
      </c>
      <c r="J411" s="256" t="s">
        <v>1883</v>
      </c>
      <c r="K411" s="259">
        <v>46127.229166666664</v>
      </c>
      <c r="L411" s="259">
        <v>46128.0625</v>
      </c>
      <c r="M411" s="259">
        <v>46130.229166666664</v>
      </c>
      <c r="N411" s="256"/>
      <c r="O411" s="256" t="s">
        <v>2194</v>
      </c>
      <c r="P411" s="259">
        <v>46151.229166666664</v>
      </c>
      <c r="Q411" s="256">
        <v>5</v>
      </c>
      <c r="R411" s="256"/>
      <c r="S411" s="256">
        <v>2</v>
      </c>
      <c r="T411" s="256"/>
      <c r="U411" s="256" t="s">
        <v>1</v>
      </c>
      <c r="V411" s="256" t="s">
        <v>1</v>
      </c>
      <c r="W411" s="256" t="s">
        <v>1851</v>
      </c>
      <c r="X411" s="259">
        <v>46100.624305555553</v>
      </c>
      <c r="Y411" s="256" t="s">
        <v>2266</v>
      </c>
      <c r="Z411" s="256" t="s">
        <v>2161</v>
      </c>
      <c r="AA411" s="256" t="s">
        <v>1892</v>
      </c>
      <c r="AB411" s="256"/>
      <c r="AC411" s="256"/>
      <c r="AD411" s="256" t="s">
        <v>2267</v>
      </c>
      <c r="AE411" s="256" t="s">
        <v>227</v>
      </c>
    </row>
    <row r="412" spans="1:31">
      <c r="A412" s="256" t="s">
        <v>2236</v>
      </c>
      <c r="B412" s="256" t="s">
        <v>1471</v>
      </c>
      <c r="C412" s="256" t="s">
        <v>1772</v>
      </c>
      <c r="D412" s="256" t="s">
        <v>228</v>
      </c>
      <c r="E412" s="256">
        <v>4418789</v>
      </c>
      <c r="F412" s="256">
        <v>4436694</v>
      </c>
      <c r="G412" s="256" t="s">
        <v>1232</v>
      </c>
      <c r="H412" s="256" t="s">
        <v>305</v>
      </c>
      <c r="I412" s="256" t="s">
        <v>226</v>
      </c>
      <c r="J412" s="256" t="s">
        <v>1883</v>
      </c>
      <c r="K412" s="259">
        <v>46127.229166666664</v>
      </c>
      <c r="L412" s="259">
        <v>46126.788194444445</v>
      </c>
      <c r="M412" s="259">
        <v>46130.229166666664</v>
      </c>
      <c r="N412" s="256"/>
      <c r="O412" s="256" t="s">
        <v>2194</v>
      </c>
      <c r="P412" s="259">
        <v>46151.229166666664</v>
      </c>
      <c r="Q412" s="256">
        <v>3</v>
      </c>
      <c r="R412" s="256"/>
      <c r="S412" s="256">
        <v>2</v>
      </c>
      <c r="T412" s="256"/>
      <c r="U412" s="256"/>
      <c r="V412" s="256"/>
      <c r="W412" s="256" t="s">
        <v>1851</v>
      </c>
      <c r="X412" s="259">
        <v>46100.638888888891</v>
      </c>
      <c r="Y412" s="256" t="s">
        <v>2238</v>
      </c>
      <c r="Z412" s="256" t="s">
        <v>2161</v>
      </c>
      <c r="AA412" s="256" t="s">
        <v>1892</v>
      </c>
      <c r="AB412" s="256"/>
      <c r="AC412" s="256"/>
      <c r="AD412" s="256" t="s">
        <v>2268</v>
      </c>
      <c r="AE412" s="256" t="s">
        <v>227</v>
      </c>
    </row>
    <row r="413" spans="1:31">
      <c r="A413" s="256" t="s">
        <v>2170</v>
      </c>
      <c r="B413" s="256" t="s">
        <v>1471</v>
      </c>
      <c r="C413" s="256" t="s">
        <v>1772</v>
      </c>
      <c r="D413" s="256" t="s">
        <v>2171</v>
      </c>
      <c r="E413" s="256">
        <v>4438558</v>
      </c>
      <c r="F413" s="256">
        <v>4439465</v>
      </c>
      <c r="G413" s="256" t="s">
        <v>1189</v>
      </c>
      <c r="H413" s="256" t="s">
        <v>1152</v>
      </c>
      <c r="I413" s="256" t="s">
        <v>2172</v>
      </c>
      <c r="J413" s="256" t="s">
        <v>1883</v>
      </c>
      <c r="K413" s="259">
        <v>46120.229166666664</v>
      </c>
      <c r="L413" s="259">
        <v>46121.739583333336</v>
      </c>
      <c r="M413" s="259">
        <v>46125.979166666664</v>
      </c>
      <c r="N413" s="256"/>
      <c r="O413" s="256" t="s">
        <v>2269</v>
      </c>
      <c r="P413" s="259">
        <v>46151.229166666664</v>
      </c>
      <c r="Q413" s="256">
        <v>3</v>
      </c>
      <c r="R413" s="256"/>
      <c r="S413" s="256">
        <v>2</v>
      </c>
      <c r="T413" s="256"/>
      <c r="U413" s="256" t="s">
        <v>1</v>
      </c>
      <c r="V413" s="256" t="s">
        <v>1</v>
      </c>
      <c r="W413" s="256" t="s">
        <v>1851</v>
      </c>
      <c r="X413" s="259">
        <v>46104.964583333334</v>
      </c>
      <c r="Y413" s="256" t="s">
        <v>2270</v>
      </c>
      <c r="Z413" s="256" t="s">
        <v>2175</v>
      </c>
      <c r="AA413" s="256" t="s">
        <v>1663</v>
      </c>
      <c r="AB413" s="256"/>
      <c r="AC413" s="256"/>
      <c r="AD413" s="256" t="s">
        <v>2271</v>
      </c>
      <c r="AE413" s="256" t="s">
        <v>227</v>
      </c>
    </row>
    <row r="414" spans="1:31">
      <c r="A414" s="256" t="s">
        <v>2218</v>
      </c>
      <c r="B414" s="256" t="s">
        <v>1471</v>
      </c>
      <c r="C414" s="256" t="s">
        <v>1772</v>
      </c>
      <c r="D414" s="256" t="s">
        <v>2219</v>
      </c>
      <c r="E414" s="256">
        <v>4434514</v>
      </c>
      <c r="F414" s="256">
        <v>4438549</v>
      </c>
      <c r="G414" s="256" t="s">
        <v>1221</v>
      </c>
      <c r="H414" s="256" t="s">
        <v>242</v>
      </c>
      <c r="I414" s="256" t="s">
        <v>2220</v>
      </c>
      <c r="J414" s="256" t="s">
        <v>1883</v>
      </c>
      <c r="K414" s="259">
        <v>46133.020833333336</v>
      </c>
      <c r="L414" s="256"/>
      <c r="M414" s="259">
        <v>46139.229166666664</v>
      </c>
      <c r="N414" s="256"/>
      <c r="O414" s="256" t="s">
        <v>2248</v>
      </c>
      <c r="P414" s="259">
        <v>46151.229166666664</v>
      </c>
      <c r="Q414" s="256">
        <v>2</v>
      </c>
      <c r="R414" s="256"/>
      <c r="S414" s="256">
        <v>2</v>
      </c>
      <c r="T414" s="256"/>
      <c r="U414" s="256"/>
      <c r="V414" s="256"/>
      <c r="W414" s="256" t="s">
        <v>1851</v>
      </c>
      <c r="X414" s="259">
        <v>46102.961805555555</v>
      </c>
      <c r="Y414" s="256" t="s">
        <v>2222</v>
      </c>
      <c r="Z414" s="256" t="s">
        <v>2223</v>
      </c>
      <c r="AA414" s="256" t="s">
        <v>1663</v>
      </c>
      <c r="AB414" s="256"/>
      <c r="AC414" s="256"/>
      <c r="AD414" s="256" t="s">
        <v>2272</v>
      </c>
      <c r="AE414" s="256" t="s">
        <v>227</v>
      </c>
    </row>
    <row r="415" spans="1:31">
      <c r="A415" s="256" t="s">
        <v>2218</v>
      </c>
      <c r="B415" s="256" t="s">
        <v>1471</v>
      </c>
      <c r="C415" s="256" t="s">
        <v>1772</v>
      </c>
      <c r="D415" s="256" t="s">
        <v>2219</v>
      </c>
      <c r="E415" s="256">
        <v>4434514</v>
      </c>
      <c r="F415" s="256">
        <v>4438550</v>
      </c>
      <c r="G415" s="256" t="s">
        <v>1222</v>
      </c>
      <c r="H415" s="256" t="s">
        <v>242</v>
      </c>
      <c r="I415" s="256" t="s">
        <v>2220</v>
      </c>
      <c r="J415" s="256" t="s">
        <v>1883</v>
      </c>
      <c r="K415" s="259">
        <v>46133.020833333336</v>
      </c>
      <c r="L415" s="256"/>
      <c r="M415" s="259">
        <v>46139.229166666664</v>
      </c>
      <c r="N415" s="256"/>
      <c r="O415" s="256" t="s">
        <v>2273</v>
      </c>
      <c r="P415" s="259">
        <v>46151.229166666664</v>
      </c>
      <c r="Q415" s="256">
        <v>5</v>
      </c>
      <c r="R415" s="256"/>
      <c r="S415" s="256">
        <v>2</v>
      </c>
      <c r="T415" s="256"/>
      <c r="U415" s="256"/>
      <c r="V415" s="256"/>
      <c r="W415" s="256" t="s">
        <v>1851</v>
      </c>
      <c r="X415" s="259">
        <v>46102.97152777778</v>
      </c>
      <c r="Y415" s="256" t="s">
        <v>2222</v>
      </c>
      <c r="Z415" s="256" t="s">
        <v>2223</v>
      </c>
      <c r="AA415" s="256" t="s">
        <v>1663</v>
      </c>
      <c r="AB415" s="256"/>
      <c r="AC415" s="256"/>
      <c r="AD415" s="256" t="s">
        <v>2274</v>
      </c>
      <c r="AE415" s="256" t="s">
        <v>227</v>
      </c>
    </row>
    <row r="416" spans="1:31">
      <c r="A416" s="256" t="s">
        <v>1834</v>
      </c>
      <c r="B416" s="256" t="s">
        <v>1471</v>
      </c>
      <c r="C416" s="256" t="s">
        <v>1772</v>
      </c>
      <c r="D416" s="256" t="s">
        <v>1438</v>
      </c>
      <c r="E416" s="256">
        <v>4373584</v>
      </c>
      <c r="F416" s="256">
        <v>4371674</v>
      </c>
      <c r="G416" s="256" t="s">
        <v>2275</v>
      </c>
      <c r="H416" s="256" t="s">
        <v>305</v>
      </c>
      <c r="I416" s="256" t="s">
        <v>1839</v>
      </c>
      <c r="J416" s="256" t="s">
        <v>1883</v>
      </c>
      <c r="K416" s="259">
        <v>46130.229166666664</v>
      </c>
      <c r="L416" s="259">
        <v>46127.679861111108</v>
      </c>
      <c r="M416" s="259">
        <v>46134.229166666664</v>
      </c>
      <c r="N416" s="256"/>
      <c r="O416" s="256" t="s">
        <v>1989</v>
      </c>
      <c r="P416" s="259">
        <v>46151.229166666664</v>
      </c>
      <c r="Q416" s="256">
        <v>3</v>
      </c>
      <c r="R416" s="256"/>
      <c r="S416" s="256">
        <v>2</v>
      </c>
      <c r="T416" s="256"/>
      <c r="U416" s="256" t="s">
        <v>1</v>
      </c>
      <c r="V416" s="256" t="s">
        <v>1</v>
      </c>
      <c r="W416" s="256" t="s">
        <v>1836</v>
      </c>
      <c r="X416" s="259">
        <v>46070.684027777781</v>
      </c>
      <c r="Y416" s="256" t="s">
        <v>2217</v>
      </c>
      <c r="Z416" s="256" t="s">
        <v>2214</v>
      </c>
      <c r="AA416" s="256" t="s">
        <v>1838</v>
      </c>
      <c r="AB416" s="256"/>
      <c r="AC416" s="256"/>
      <c r="AD416" s="256" t="s">
        <v>1839</v>
      </c>
      <c r="AE416" s="256" t="s">
        <v>227</v>
      </c>
    </row>
    <row r="417" spans="1:31">
      <c r="A417" s="256" t="s">
        <v>1834</v>
      </c>
      <c r="B417" s="256" t="s">
        <v>1471</v>
      </c>
      <c r="C417" s="256" t="s">
        <v>1772</v>
      </c>
      <c r="D417" s="256" t="s">
        <v>1438</v>
      </c>
      <c r="E417" s="256">
        <v>4373584</v>
      </c>
      <c r="F417" s="256">
        <v>4373554</v>
      </c>
      <c r="G417" s="256" t="s">
        <v>2276</v>
      </c>
      <c r="H417" s="256" t="s">
        <v>305</v>
      </c>
      <c r="I417" s="256" t="s">
        <v>1839</v>
      </c>
      <c r="J417" s="256" t="s">
        <v>1883</v>
      </c>
      <c r="K417" s="259">
        <v>46127.229166666664</v>
      </c>
      <c r="L417" s="259">
        <v>46127.680555555555</v>
      </c>
      <c r="M417" s="259">
        <v>46132.229166666664</v>
      </c>
      <c r="N417" s="256"/>
      <c r="O417" s="256" t="s">
        <v>1989</v>
      </c>
      <c r="P417" s="259">
        <v>46151.229166666664</v>
      </c>
      <c r="Q417" s="256">
        <v>1</v>
      </c>
      <c r="R417" s="256"/>
      <c r="S417" s="256">
        <v>2</v>
      </c>
      <c r="T417" s="256"/>
      <c r="U417" s="256" t="s">
        <v>1</v>
      </c>
      <c r="V417" s="256" t="s">
        <v>1</v>
      </c>
      <c r="W417" s="256" t="s">
        <v>1836</v>
      </c>
      <c r="X417" s="259">
        <v>46071.831250000003</v>
      </c>
      <c r="Y417" s="256" t="s">
        <v>2217</v>
      </c>
      <c r="Z417" s="256" t="s">
        <v>2214</v>
      </c>
      <c r="AA417" s="256" t="s">
        <v>1838</v>
      </c>
      <c r="AB417" s="256"/>
      <c r="AC417" s="256"/>
      <c r="AD417" s="256" t="s">
        <v>1839</v>
      </c>
      <c r="AE417" s="256" t="s">
        <v>227</v>
      </c>
    </row>
    <row r="418" spans="1:31">
      <c r="A418" s="256" t="s">
        <v>1834</v>
      </c>
      <c r="B418" s="256" t="s">
        <v>1471</v>
      </c>
      <c r="C418" s="256" t="s">
        <v>1772</v>
      </c>
      <c r="D418" s="256" t="s">
        <v>1438</v>
      </c>
      <c r="E418" s="256">
        <v>4373584</v>
      </c>
      <c r="F418" s="256">
        <v>4373579</v>
      </c>
      <c r="G418" s="256" t="s">
        <v>2277</v>
      </c>
      <c r="H418" s="256" t="s">
        <v>305</v>
      </c>
      <c r="I418" s="256" t="s">
        <v>1839</v>
      </c>
      <c r="J418" s="256" t="s">
        <v>1883</v>
      </c>
      <c r="K418" s="259">
        <v>46127.229166666664</v>
      </c>
      <c r="L418" s="259">
        <v>46127.681250000001</v>
      </c>
      <c r="M418" s="259">
        <v>46132.229166666664</v>
      </c>
      <c r="N418" s="256"/>
      <c r="O418" s="256" t="s">
        <v>1989</v>
      </c>
      <c r="P418" s="259">
        <v>46151.229166666664</v>
      </c>
      <c r="Q418" s="256">
        <v>2</v>
      </c>
      <c r="R418" s="256"/>
      <c r="S418" s="256">
        <v>2</v>
      </c>
      <c r="T418" s="256"/>
      <c r="U418" s="256" t="s">
        <v>1</v>
      </c>
      <c r="V418" s="256" t="s">
        <v>1</v>
      </c>
      <c r="W418" s="256" t="s">
        <v>1836</v>
      </c>
      <c r="X418" s="259">
        <v>46072.002083333333</v>
      </c>
      <c r="Y418" s="256" t="s">
        <v>2217</v>
      </c>
      <c r="Z418" s="256" t="s">
        <v>2214</v>
      </c>
      <c r="AA418" s="256" t="s">
        <v>1838</v>
      </c>
      <c r="AB418" s="256"/>
      <c r="AC418" s="256"/>
      <c r="AD418" s="256" t="s">
        <v>1839</v>
      </c>
      <c r="AE418" s="256" t="s">
        <v>227</v>
      </c>
    </row>
    <row r="419" spans="1:31">
      <c r="A419" s="256" t="s">
        <v>1834</v>
      </c>
      <c r="B419" s="256" t="s">
        <v>1471</v>
      </c>
      <c r="C419" s="256" t="s">
        <v>1772</v>
      </c>
      <c r="D419" s="256" t="s">
        <v>1438</v>
      </c>
      <c r="E419" s="256">
        <v>4373584</v>
      </c>
      <c r="F419" s="256">
        <v>4373583</v>
      </c>
      <c r="G419" s="256" t="s">
        <v>1210</v>
      </c>
      <c r="H419" s="256" t="s">
        <v>305</v>
      </c>
      <c r="I419" s="256" t="s">
        <v>1839</v>
      </c>
      <c r="J419" s="256" t="s">
        <v>1883</v>
      </c>
      <c r="K419" s="259">
        <v>46132.229166666664</v>
      </c>
      <c r="L419" s="259">
        <v>46127.229166666664</v>
      </c>
      <c r="M419" s="259">
        <v>46136.229166666664</v>
      </c>
      <c r="N419" s="256"/>
      <c r="O419" s="256" t="s">
        <v>1989</v>
      </c>
      <c r="P419" s="259">
        <v>46151.229166666664</v>
      </c>
      <c r="Q419" s="256">
        <v>5</v>
      </c>
      <c r="R419" s="256"/>
      <c r="S419" s="256">
        <v>2</v>
      </c>
      <c r="T419" s="256"/>
      <c r="U419" s="256" t="s">
        <v>1</v>
      </c>
      <c r="V419" s="256" t="s">
        <v>1</v>
      </c>
      <c r="W419" s="256" t="s">
        <v>1836</v>
      </c>
      <c r="X419" s="259">
        <v>46072.03125</v>
      </c>
      <c r="Y419" s="256" t="s">
        <v>2217</v>
      </c>
      <c r="Z419" s="256" t="s">
        <v>2214</v>
      </c>
      <c r="AA419" s="256" t="s">
        <v>1838</v>
      </c>
      <c r="AB419" s="256"/>
      <c r="AC419" s="256"/>
      <c r="AD419" s="256" t="s">
        <v>1839</v>
      </c>
      <c r="AE419" s="256" t="s">
        <v>227</v>
      </c>
    </row>
    <row r="420" spans="1:31">
      <c r="A420" s="256" t="s">
        <v>1834</v>
      </c>
      <c r="B420" s="256" t="s">
        <v>1471</v>
      </c>
      <c r="C420" s="256" t="s">
        <v>1772</v>
      </c>
      <c r="D420" s="256" t="s">
        <v>1438</v>
      </c>
      <c r="E420" s="256">
        <v>4373584</v>
      </c>
      <c r="F420" s="256">
        <v>4371726</v>
      </c>
      <c r="G420" s="256" t="s">
        <v>2278</v>
      </c>
      <c r="H420" s="256" t="s">
        <v>305</v>
      </c>
      <c r="I420" s="256" t="s">
        <v>1839</v>
      </c>
      <c r="J420" s="256" t="s">
        <v>1883</v>
      </c>
      <c r="K420" s="259">
        <v>46132.229166666664</v>
      </c>
      <c r="L420" s="259">
        <v>46127.75</v>
      </c>
      <c r="M420" s="259">
        <v>46139.229166666664</v>
      </c>
      <c r="N420" s="256"/>
      <c r="O420" s="256" t="s">
        <v>2216</v>
      </c>
      <c r="P420" s="259">
        <v>46151.229166666664</v>
      </c>
      <c r="Q420" s="256">
        <v>5</v>
      </c>
      <c r="R420" s="256"/>
      <c r="S420" s="256">
        <v>2</v>
      </c>
      <c r="T420" s="256"/>
      <c r="U420" s="256" t="s">
        <v>1</v>
      </c>
      <c r="V420" s="256" t="s">
        <v>1</v>
      </c>
      <c r="W420" s="256" t="s">
        <v>1836</v>
      </c>
      <c r="X420" s="259">
        <v>46070.722916666666</v>
      </c>
      <c r="Y420" s="256" t="s">
        <v>2217</v>
      </c>
      <c r="Z420" s="256" t="s">
        <v>2214</v>
      </c>
      <c r="AA420" s="256" t="s">
        <v>1838</v>
      </c>
      <c r="AB420" s="256"/>
      <c r="AC420" s="256"/>
      <c r="AD420" s="256" t="s">
        <v>1839</v>
      </c>
      <c r="AE420" s="256" t="s">
        <v>227</v>
      </c>
    </row>
    <row r="421" spans="1:31">
      <c r="A421" s="256" t="s">
        <v>220</v>
      </c>
      <c r="B421" s="256" t="s">
        <v>1471</v>
      </c>
      <c r="C421" s="256" t="s">
        <v>1772</v>
      </c>
      <c r="D421" s="256" t="s">
        <v>219</v>
      </c>
      <c r="E421" s="256">
        <v>4393834</v>
      </c>
      <c r="F421" s="256">
        <v>4392744</v>
      </c>
      <c r="G421" s="256" t="s">
        <v>2279</v>
      </c>
      <c r="H421" s="256" t="s">
        <v>305</v>
      </c>
      <c r="I421" s="256" t="s">
        <v>226</v>
      </c>
      <c r="J421" s="256" t="s">
        <v>1883</v>
      </c>
      <c r="K421" s="259">
        <v>46128.104166666664</v>
      </c>
      <c r="L421" s="259">
        <v>46127.229166666664</v>
      </c>
      <c r="M421" s="259">
        <v>46136.229166666664</v>
      </c>
      <c r="N421" s="256"/>
      <c r="O421" s="256" t="s">
        <v>2165</v>
      </c>
      <c r="P421" s="259">
        <v>46151.229166666664</v>
      </c>
      <c r="Q421" s="256">
        <v>3</v>
      </c>
      <c r="R421" s="256"/>
      <c r="S421" s="256">
        <v>2</v>
      </c>
      <c r="T421" s="256"/>
      <c r="U421" s="256" t="s">
        <v>1</v>
      </c>
      <c r="V421" s="256" t="s">
        <v>1</v>
      </c>
      <c r="W421" s="256" t="s">
        <v>1851</v>
      </c>
      <c r="X421" s="259">
        <v>46078.99722222222</v>
      </c>
      <c r="Y421" s="256"/>
      <c r="Z421" s="256" t="s">
        <v>2161</v>
      </c>
      <c r="AA421" s="256" t="s">
        <v>2162</v>
      </c>
      <c r="AB421" s="256"/>
      <c r="AC421" s="256"/>
      <c r="AD421" s="256" t="s">
        <v>2280</v>
      </c>
      <c r="AE421" s="256" t="s">
        <v>227</v>
      </c>
    </row>
    <row r="422" spans="1:31">
      <c r="A422" s="256" t="s">
        <v>2281</v>
      </c>
      <c r="B422" s="256" t="s">
        <v>1471</v>
      </c>
      <c r="C422" s="256" t="s">
        <v>1772</v>
      </c>
      <c r="D422" s="256" t="s">
        <v>1438</v>
      </c>
      <c r="E422" s="256">
        <v>4317766</v>
      </c>
      <c r="F422" s="256">
        <v>4319888</v>
      </c>
      <c r="G422" s="256" t="s">
        <v>1201</v>
      </c>
      <c r="H422" s="256" t="s">
        <v>242</v>
      </c>
      <c r="I422" s="256" t="s">
        <v>1839</v>
      </c>
      <c r="J422" s="256" t="s">
        <v>1883</v>
      </c>
      <c r="K422" s="259">
        <v>46132.229166666664</v>
      </c>
      <c r="L422" s="256"/>
      <c r="M422" s="259">
        <v>46127.229166666664</v>
      </c>
      <c r="N422" s="256"/>
      <c r="O422" s="256" t="s">
        <v>2262</v>
      </c>
      <c r="P422" s="259">
        <v>46151.229166666664</v>
      </c>
      <c r="Q422" s="256">
        <v>5</v>
      </c>
      <c r="R422" s="256"/>
      <c r="S422" s="256">
        <v>2</v>
      </c>
      <c r="T422" s="256"/>
      <c r="U422" s="256"/>
      <c r="V422" s="256"/>
      <c r="W422" s="256" t="s">
        <v>1836</v>
      </c>
      <c r="X422" s="259">
        <v>46034.882638888892</v>
      </c>
      <c r="Y422" s="256" t="s">
        <v>2282</v>
      </c>
      <c r="Z422" s="256" t="s">
        <v>2214</v>
      </c>
      <c r="AA422" s="256" t="s">
        <v>1838</v>
      </c>
      <c r="AB422" s="256"/>
      <c r="AC422" s="256"/>
      <c r="AD422" s="256" t="s">
        <v>1839</v>
      </c>
      <c r="AE422" s="256" t="s">
        <v>227</v>
      </c>
    </row>
    <row r="423" spans="1:31">
      <c r="A423" s="256" t="s">
        <v>337</v>
      </c>
      <c r="B423" s="256" t="s">
        <v>1486</v>
      </c>
      <c r="C423" s="256" t="s">
        <v>1472</v>
      </c>
      <c r="D423" s="256" t="s">
        <v>191</v>
      </c>
      <c r="E423" s="256">
        <v>4420374</v>
      </c>
      <c r="F423" s="256">
        <v>4278131</v>
      </c>
      <c r="G423" s="256" t="s">
        <v>2283</v>
      </c>
      <c r="H423" s="256" t="s">
        <v>183</v>
      </c>
      <c r="I423" s="256" t="s">
        <v>199</v>
      </c>
      <c r="J423" s="256" t="s">
        <v>1501</v>
      </c>
      <c r="K423" s="259">
        <v>46125.229166666664</v>
      </c>
      <c r="L423" s="259">
        <v>46125.229166666664</v>
      </c>
      <c r="M423" s="259">
        <v>46129.229166666664</v>
      </c>
      <c r="N423" s="259">
        <v>46129.229166666664</v>
      </c>
      <c r="O423" s="256" t="s">
        <v>1668</v>
      </c>
      <c r="P423" s="259">
        <v>46151.229166666664</v>
      </c>
      <c r="Q423" s="256">
        <v>3</v>
      </c>
      <c r="R423" s="256"/>
      <c r="S423" s="256">
        <v>2</v>
      </c>
      <c r="T423" s="256"/>
      <c r="U423" s="256" t="s">
        <v>1</v>
      </c>
      <c r="V423" s="256" t="s">
        <v>1</v>
      </c>
      <c r="W423" s="256" t="s">
        <v>1555</v>
      </c>
      <c r="X423" s="259">
        <v>46006.472916666666</v>
      </c>
      <c r="Y423" s="256" t="s">
        <v>1564</v>
      </c>
      <c r="Z423" s="256" t="s">
        <v>2284</v>
      </c>
      <c r="AA423" s="256" t="s">
        <v>1565</v>
      </c>
      <c r="AB423" s="256"/>
      <c r="AC423" s="256"/>
      <c r="AD423" s="256" t="s">
        <v>191</v>
      </c>
      <c r="AE423" s="256" t="s">
        <v>200</v>
      </c>
    </row>
    <row r="424" spans="1:31">
      <c r="A424" s="256" t="s">
        <v>337</v>
      </c>
      <c r="B424" s="256" t="s">
        <v>1486</v>
      </c>
      <c r="C424" s="256" t="s">
        <v>1472</v>
      </c>
      <c r="D424" s="256" t="s">
        <v>191</v>
      </c>
      <c r="E424" s="256">
        <v>4420374</v>
      </c>
      <c r="F424" s="256">
        <v>4436594</v>
      </c>
      <c r="G424" s="256" t="s">
        <v>660</v>
      </c>
      <c r="H424" s="256" t="s">
        <v>305</v>
      </c>
      <c r="I424" s="256" t="s">
        <v>199</v>
      </c>
      <c r="J424" s="256" t="s">
        <v>1501</v>
      </c>
      <c r="K424" s="259">
        <v>46132.229166666664</v>
      </c>
      <c r="L424" s="259">
        <v>46127.229166666664</v>
      </c>
      <c r="M424" s="259">
        <v>46134.229166666664</v>
      </c>
      <c r="N424" s="256"/>
      <c r="O424" s="256" t="s">
        <v>1671</v>
      </c>
      <c r="P424" s="259">
        <v>46151.229166666664</v>
      </c>
      <c r="Q424" s="256">
        <v>5</v>
      </c>
      <c r="R424" s="256"/>
      <c r="S424" s="256">
        <v>2</v>
      </c>
      <c r="T424" s="256"/>
      <c r="U424" s="256" t="s">
        <v>1</v>
      </c>
      <c r="V424" s="256" t="s">
        <v>1</v>
      </c>
      <c r="W424" s="256" t="s">
        <v>1555</v>
      </c>
      <c r="X424" s="259">
        <v>46100.568055555559</v>
      </c>
      <c r="Y424" s="256" t="s">
        <v>1564</v>
      </c>
      <c r="Z424" s="256" t="s">
        <v>2284</v>
      </c>
      <c r="AA424" s="256" t="s">
        <v>1565</v>
      </c>
      <c r="AB424" s="256"/>
      <c r="AC424" s="256"/>
      <c r="AD424" s="256" t="s">
        <v>191</v>
      </c>
      <c r="AE424" s="256" t="s">
        <v>200</v>
      </c>
    </row>
    <row r="425" spans="1:31">
      <c r="A425" s="256" t="s">
        <v>337</v>
      </c>
      <c r="B425" s="256" t="s">
        <v>1471</v>
      </c>
      <c r="C425" s="256" t="s">
        <v>1472</v>
      </c>
      <c r="D425" s="256" t="s">
        <v>191</v>
      </c>
      <c r="E425" s="256">
        <v>4420374</v>
      </c>
      <c r="F425" s="256">
        <v>4438249</v>
      </c>
      <c r="G425" s="256" t="s">
        <v>673</v>
      </c>
      <c r="H425" s="256" t="s">
        <v>305</v>
      </c>
      <c r="I425" s="256" t="s">
        <v>199</v>
      </c>
      <c r="J425" s="256" t="s">
        <v>1501</v>
      </c>
      <c r="K425" s="259">
        <v>46127.229166666664</v>
      </c>
      <c r="L425" s="259">
        <v>46128.998611111114</v>
      </c>
      <c r="M425" s="259">
        <v>46133.229166666664</v>
      </c>
      <c r="N425" s="256"/>
      <c r="O425" s="256" t="s">
        <v>1671</v>
      </c>
      <c r="P425" s="259">
        <v>46151.229166666664</v>
      </c>
      <c r="Q425" s="256">
        <v>5</v>
      </c>
      <c r="R425" s="256"/>
      <c r="S425" s="256">
        <v>1</v>
      </c>
      <c r="T425" s="256"/>
      <c r="U425" s="256" t="s">
        <v>1</v>
      </c>
      <c r="V425" s="256" t="s">
        <v>1</v>
      </c>
      <c r="W425" s="256" t="s">
        <v>1555</v>
      </c>
      <c r="X425" s="259">
        <v>46101.835416666669</v>
      </c>
      <c r="Y425" s="256" t="s">
        <v>1564</v>
      </c>
      <c r="Z425" s="256" t="s">
        <v>2284</v>
      </c>
      <c r="AA425" s="256" t="s">
        <v>1565</v>
      </c>
      <c r="AB425" s="256"/>
      <c r="AC425" s="256"/>
      <c r="AD425" s="256" t="s">
        <v>191</v>
      </c>
      <c r="AE425" s="256" t="s">
        <v>200</v>
      </c>
    </row>
    <row r="426" spans="1:31">
      <c r="A426" s="256" t="s">
        <v>192</v>
      </c>
      <c r="B426" s="256" t="s">
        <v>1486</v>
      </c>
      <c r="C426" s="256" t="s">
        <v>1472</v>
      </c>
      <c r="D426" s="256" t="s">
        <v>191</v>
      </c>
      <c r="E426" s="256">
        <v>4446711</v>
      </c>
      <c r="F426" s="256">
        <v>4423248</v>
      </c>
      <c r="G426" s="256" t="s">
        <v>2285</v>
      </c>
      <c r="H426" s="256" t="s">
        <v>359</v>
      </c>
      <c r="I426" s="256" t="s">
        <v>199</v>
      </c>
      <c r="J426" s="256" t="s">
        <v>1501</v>
      </c>
      <c r="K426" s="259">
        <v>46125.229166666664</v>
      </c>
      <c r="L426" s="259">
        <v>46129.680555555555</v>
      </c>
      <c r="M426" s="259">
        <v>46129.229166666664</v>
      </c>
      <c r="N426" s="256"/>
      <c r="O426" s="256" t="s">
        <v>2286</v>
      </c>
      <c r="P426" s="259">
        <v>46151.229166666664</v>
      </c>
      <c r="Q426" s="256">
        <v>5</v>
      </c>
      <c r="R426" s="256"/>
      <c r="S426" s="256">
        <v>2</v>
      </c>
      <c r="T426" s="256"/>
      <c r="U426" s="256"/>
      <c r="V426" s="256"/>
      <c r="W426" s="256" t="s">
        <v>1555</v>
      </c>
      <c r="X426" s="259">
        <v>46093.615972222222</v>
      </c>
      <c r="Y426" s="256" t="s">
        <v>1564</v>
      </c>
      <c r="Z426" s="256" t="s">
        <v>2284</v>
      </c>
      <c r="AA426" s="256" t="s">
        <v>1565</v>
      </c>
      <c r="AB426" s="256"/>
      <c r="AC426" s="256"/>
      <c r="AD426" s="256" t="s">
        <v>191</v>
      </c>
      <c r="AE426" s="256" t="s">
        <v>200</v>
      </c>
    </row>
    <row r="427" spans="1:31">
      <c r="A427" s="256" t="s">
        <v>192</v>
      </c>
      <c r="B427" s="256" t="s">
        <v>1486</v>
      </c>
      <c r="C427" s="256" t="s">
        <v>1472</v>
      </c>
      <c r="D427" s="256" t="s">
        <v>191</v>
      </c>
      <c r="E427" s="256">
        <v>4446711</v>
      </c>
      <c r="F427" s="256">
        <v>4425029</v>
      </c>
      <c r="G427" s="256" t="s">
        <v>2287</v>
      </c>
      <c r="H427" s="256" t="s">
        <v>198</v>
      </c>
      <c r="I427" s="256" t="s">
        <v>199</v>
      </c>
      <c r="J427" s="256" t="s">
        <v>1501</v>
      </c>
      <c r="K427" s="259">
        <v>46132.229166666664</v>
      </c>
      <c r="L427" s="256"/>
      <c r="M427" s="259">
        <v>46134.229166666664</v>
      </c>
      <c r="N427" s="256"/>
      <c r="O427" s="256" t="s">
        <v>2288</v>
      </c>
      <c r="P427" s="259">
        <v>46151.229166666664</v>
      </c>
      <c r="Q427" s="256">
        <v>7</v>
      </c>
      <c r="R427" s="256"/>
      <c r="S427" s="256">
        <v>1</v>
      </c>
      <c r="T427" s="256"/>
      <c r="U427" s="256"/>
      <c r="V427" s="256"/>
      <c r="W427" s="256" t="s">
        <v>1555</v>
      </c>
      <c r="X427" s="259">
        <v>46094.529861111114</v>
      </c>
      <c r="Y427" s="256" t="s">
        <v>1564</v>
      </c>
      <c r="Z427" s="256" t="s">
        <v>2284</v>
      </c>
      <c r="AA427" s="256" t="s">
        <v>1565</v>
      </c>
      <c r="AB427" s="256"/>
      <c r="AC427" s="256"/>
      <c r="AD427" s="256" t="s">
        <v>191</v>
      </c>
      <c r="AE427" s="256" t="s">
        <v>200</v>
      </c>
    </row>
    <row r="428" spans="1:31">
      <c r="A428" s="256" t="s">
        <v>337</v>
      </c>
      <c r="B428" s="256" t="s">
        <v>1471</v>
      </c>
      <c r="C428" s="256" t="s">
        <v>1472</v>
      </c>
      <c r="D428" s="256" t="s">
        <v>191</v>
      </c>
      <c r="E428" s="256">
        <v>4420374</v>
      </c>
      <c r="F428" s="256">
        <v>4425459</v>
      </c>
      <c r="G428" s="256" t="s">
        <v>646</v>
      </c>
      <c r="H428" s="256" t="s">
        <v>305</v>
      </c>
      <c r="I428" s="256" t="s">
        <v>199</v>
      </c>
      <c r="J428" s="256" t="s">
        <v>1501</v>
      </c>
      <c r="K428" s="259">
        <v>46127.229166666664</v>
      </c>
      <c r="L428" s="259">
        <v>46129.683333333334</v>
      </c>
      <c r="M428" s="259">
        <v>46133.229166666664</v>
      </c>
      <c r="N428" s="256"/>
      <c r="O428" s="256" t="s">
        <v>1951</v>
      </c>
      <c r="P428" s="259">
        <v>46151.229166666664</v>
      </c>
      <c r="Q428" s="256">
        <v>3</v>
      </c>
      <c r="R428" s="256"/>
      <c r="S428" s="256">
        <v>1</v>
      </c>
      <c r="T428" s="256"/>
      <c r="U428" s="256" t="s">
        <v>1</v>
      </c>
      <c r="V428" s="256" t="s">
        <v>1</v>
      </c>
      <c r="W428" s="256" t="s">
        <v>1555</v>
      </c>
      <c r="X428" s="259">
        <v>46094.675000000003</v>
      </c>
      <c r="Y428" s="256" t="s">
        <v>1564</v>
      </c>
      <c r="Z428" s="256" t="s">
        <v>2284</v>
      </c>
      <c r="AA428" s="256" t="s">
        <v>1565</v>
      </c>
      <c r="AB428" s="256"/>
      <c r="AC428" s="256"/>
      <c r="AD428" s="256" t="s">
        <v>191</v>
      </c>
      <c r="AE428" s="256" t="s">
        <v>200</v>
      </c>
    </row>
    <row r="429" spans="1:31">
      <c r="A429" s="256" t="s">
        <v>324</v>
      </c>
      <c r="B429" s="256" t="s">
        <v>1471</v>
      </c>
      <c r="C429" s="256" t="s">
        <v>1472</v>
      </c>
      <c r="D429" s="256" t="s">
        <v>191</v>
      </c>
      <c r="E429" s="256">
        <v>4446526</v>
      </c>
      <c r="F429" s="256">
        <v>4425950</v>
      </c>
      <c r="G429" s="256" t="s">
        <v>648</v>
      </c>
      <c r="H429" s="256" t="s">
        <v>288</v>
      </c>
      <c r="I429" s="256" t="s">
        <v>199</v>
      </c>
      <c r="J429" s="256" t="s">
        <v>1501</v>
      </c>
      <c r="K429" s="259">
        <v>46132.229166666664</v>
      </c>
      <c r="L429" s="256"/>
      <c r="M429" s="259">
        <v>46134.229166666664</v>
      </c>
      <c r="N429" s="256"/>
      <c r="O429" s="256" t="s">
        <v>2289</v>
      </c>
      <c r="P429" s="259">
        <v>46151.229166666664</v>
      </c>
      <c r="Q429" s="256">
        <v>5</v>
      </c>
      <c r="R429" s="256"/>
      <c r="S429" s="256">
        <v>2</v>
      </c>
      <c r="T429" s="256"/>
      <c r="U429" s="256"/>
      <c r="V429" s="256"/>
      <c r="W429" s="256" t="s">
        <v>1555</v>
      </c>
      <c r="X429" s="259">
        <v>46094.782638888886</v>
      </c>
      <c r="Y429" s="256" t="s">
        <v>1564</v>
      </c>
      <c r="Z429" s="256" t="s">
        <v>2284</v>
      </c>
      <c r="AA429" s="256" t="s">
        <v>1565</v>
      </c>
      <c r="AB429" s="256"/>
      <c r="AC429" s="256"/>
      <c r="AD429" s="256" t="s">
        <v>191</v>
      </c>
      <c r="AE429" s="256" t="s">
        <v>200</v>
      </c>
    </row>
    <row r="430" spans="1:31">
      <c r="A430" s="256" t="s">
        <v>324</v>
      </c>
      <c r="B430" s="256" t="s">
        <v>1471</v>
      </c>
      <c r="C430" s="256" t="s">
        <v>1472</v>
      </c>
      <c r="D430" s="256" t="s">
        <v>191</v>
      </c>
      <c r="E430" s="256">
        <v>4446526</v>
      </c>
      <c r="F430" s="256">
        <v>4425951</v>
      </c>
      <c r="G430" s="256" t="s">
        <v>650</v>
      </c>
      <c r="H430" s="256" t="s">
        <v>288</v>
      </c>
      <c r="I430" s="256" t="s">
        <v>199</v>
      </c>
      <c r="J430" s="256" t="s">
        <v>1501</v>
      </c>
      <c r="K430" s="259">
        <v>46132.229166666664</v>
      </c>
      <c r="L430" s="256"/>
      <c r="M430" s="259">
        <v>46134.229166666664</v>
      </c>
      <c r="N430" s="256"/>
      <c r="O430" s="256" t="s">
        <v>2290</v>
      </c>
      <c r="P430" s="259">
        <v>46151.229166666664</v>
      </c>
      <c r="Q430" s="256">
        <v>3</v>
      </c>
      <c r="R430" s="256"/>
      <c r="S430" s="256">
        <v>2</v>
      </c>
      <c r="T430" s="256"/>
      <c r="U430" s="256"/>
      <c r="V430" s="256"/>
      <c r="W430" s="256" t="s">
        <v>1555</v>
      </c>
      <c r="X430" s="259">
        <v>46094.782638888886</v>
      </c>
      <c r="Y430" s="256" t="s">
        <v>1564</v>
      </c>
      <c r="Z430" s="256" t="s">
        <v>2284</v>
      </c>
      <c r="AA430" s="256" t="s">
        <v>1565</v>
      </c>
      <c r="AB430" s="256"/>
      <c r="AC430" s="256"/>
      <c r="AD430" s="256" t="s">
        <v>191</v>
      </c>
      <c r="AE430" s="256" t="s">
        <v>200</v>
      </c>
    </row>
    <row r="431" spans="1:31">
      <c r="A431" s="256" t="s">
        <v>324</v>
      </c>
      <c r="B431" s="256" t="s">
        <v>1471</v>
      </c>
      <c r="C431" s="256" t="s">
        <v>1472</v>
      </c>
      <c r="D431" s="256" t="s">
        <v>191</v>
      </c>
      <c r="E431" s="256">
        <v>4446526</v>
      </c>
      <c r="F431" s="256">
        <v>4425952</v>
      </c>
      <c r="G431" s="256" t="s">
        <v>2291</v>
      </c>
      <c r="H431" s="256" t="s">
        <v>288</v>
      </c>
      <c r="I431" s="256" t="s">
        <v>199</v>
      </c>
      <c r="J431" s="256" t="s">
        <v>1501</v>
      </c>
      <c r="K431" s="259">
        <v>46132.229166666664</v>
      </c>
      <c r="L431" s="256"/>
      <c r="M431" s="259">
        <v>46134.229166666664</v>
      </c>
      <c r="N431" s="256"/>
      <c r="O431" s="256" t="s">
        <v>2290</v>
      </c>
      <c r="P431" s="259">
        <v>46151.229166666664</v>
      </c>
      <c r="Q431" s="256">
        <v>7</v>
      </c>
      <c r="R431" s="256"/>
      <c r="S431" s="256">
        <v>2</v>
      </c>
      <c r="T431" s="256"/>
      <c r="U431" s="256"/>
      <c r="V431" s="256"/>
      <c r="W431" s="256" t="s">
        <v>1555</v>
      </c>
      <c r="X431" s="259">
        <v>46094.782638888886</v>
      </c>
      <c r="Y431" s="256" t="s">
        <v>1564</v>
      </c>
      <c r="Z431" s="256" t="s">
        <v>2284</v>
      </c>
      <c r="AA431" s="256" t="s">
        <v>1565</v>
      </c>
      <c r="AB431" s="256"/>
      <c r="AC431" s="256"/>
      <c r="AD431" s="256" t="s">
        <v>191</v>
      </c>
      <c r="AE431" s="256" t="s">
        <v>200</v>
      </c>
    </row>
    <row r="432" spans="1:31">
      <c r="A432" s="256" t="s">
        <v>324</v>
      </c>
      <c r="B432" s="256" t="s">
        <v>1471</v>
      </c>
      <c r="C432" s="256" t="s">
        <v>1472</v>
      </c>
      <c r="D432" s="256" t="s">
        <v>191</v>
      </c>
      <c r="E432" s="256">
        <v>4446526</v>
      </c>
      <c r="F432" s="256">
        <v>4425953</v>
      </c>
      <c r="G432" s="256" t="s">
        <v>652</v>
      </c>
      <c r="H432" s="256" t="s">
        <v>288</v>
      </c>
      <c r="I432" s="256" t="s">
        <v>199</v>
      </c>
      <c r="J432" s="256" t="s">
        <v>1501</v>
      </c>
      <c r="K432" s="259">
        <v>46132.229166666664</v>
      </c>
      <c r="L432" s="256"/>
      <c r="M432" s="259">
        <v>46134.229166666664</v>
      </c>
      <c r="N432" s="256"/>
      <c r="O432" s="256" t="s">
        <v>2292</v>
      </c>
      <c r="P432" s="259">
        <v>46151.229166666664</v>
      </c>
      <c r="Q432" s="256">
        <v>6</v>
      </c>
      <c r="R432" s="256"/>
      <c r="S432" s="256">
        <v>2</v>
      </c>
      <c r="T432" s="256"/>
      <c r="U432" s="256"/>
      <c r="V432" s="256"/>
      <c r="W432" s="256" t="s">
        <v>1555</v>
      </c>
      <c r="X432" s="259">
        <v>46094.782638888886</v>
      </c>
      <c r="Y432" s="256" t="s">
        <v>1564</v>
      </c>
      <c r="Z432" s="256" t="s">
        <v>2284</v>
      </c>
      <c r="AA432" s="256" t="s">
        <v>1565</v>
      </c>
      <c r="AB432" s="256"/>
      <c r="AC432" s="256"/>
      <c r="AD432" s="256" t="s">
        <v>191</v>
      </c>
      <c r="AE432" s="256" t="s">
        <v>200</v>
      </c>
    </row>
    <row r="433" spans="1:31">
      <c r="A433" s="256" t="s">
        <v>324</v>
      </c>
      <c r="B433" s="256" t="s">
        <v>1471</v>
      </c>
      <c r="C433" s="256" t="s">
        <v>1472</v>
      </c>
      <c r="D433" s="256" t="s">
        <v>191</v>
      </c>
      <c r="E433" s="256">
        <v>4446526</v>
      </c>
      <c r="F433" s="256">
        <v>4425954</v>
      </c>
      <c r="G433" s="256" t="s">
        <v>655</v>
      </c>
      <c r="H433" s="256" t="s">
        <v>288</v>
      </c>
      <c r="I433" s="256" t="s">
        <v>199</v>
      </c>
      <c r="J433" s="256" t="s">
        <v>1501</v>
      </c>
      <c r="K433" s="259">
        <v>46132.229166666664</v>
      </c>
      <c r="L433" s="256"/>
      <c r="M433" s="259">
        <v>46134.229166666664</v>
      </c>
      <c r="N433" s="256"/>
      <c r="O433" s="256" t="s">
        <v>2292</v>
      </c>
      <c r="P433" s="259">
        <v>46151.229166666664</v>
      </c>
      <c r="Q433" s="256">
        <v>5</v>
      </c>
      <c r="R433" s="256"/>
      <c r="S433" s="256">
        <v>2</v>
      </c>
      <c r="T433" s="256"/>
      <c r="U433" s="256"/>
      <c r="V433" s="256"/>
      <c r="W433" s="256" t="s">
        <v>1555</v>
      </c>
      <c r="X433" s="259">
        <v>46094.782638888886</v>
      </c>
      <c r="Y433" s="256" t="s">
        <v>1564</v>
      </c>
      <c r="Z433" s="256" t="s">
        <v>2284</v>
      </c>
      <c r="AA433" s="256" t="s">
        <v>1565</v>
      </c>
      <c r="AB433" s="256"/>
      <c r="AC433" s="256"/>
      <c r="AD433" s="256" t="s">
        <v>191</v>
      </c>
      <c r="AE433" s="256" t="s">
        <v>200</v>
      </c>
    </row>
    <row r="434" spans="1:31">
      <c r="A434" s="256" t="s">
        <v>324</v>
      </c>
      <c r="B434" s="256" t="s">
        <v>1471</v>
      </c>
      <c r="C434" s="256" t="s">
        <v>1472</v>
      </c>
      <c r="D434" s="256" t="s">
        <v>191</v>
      </c>
      <c r="E434" s="256">
        <v>4446526</v>
      </c>
      <c r="F434" s="256">
        <v>4425955</v>
      </c>
      <c r="G434" s="256" t="s">
        <v>656</v>
      </c>
      <c r="H434" s="256" t="s">
        <v>288</v>
      </c>
      <c r="I434" s="256" t="s">
        <v>199</v>
      </c>
      <c r="J434" s="256" t="s">
        <v>1501</v>
      </c>
      <c r="K434" s="259">
        <v>46129.229166666664</v>
      </c>
      <c r="L434" s="256"/>
      <c r="M434" s="259">
        <v>46134.229166666664</v>
      </c>
      <c r="N434" s="256"/>
      <c r="O434" s="256" t="s">
        <v>2290</v>
      </c>
      <c r="P434" s="259">
        <v>46151.229166666664</v>
      </c>
      <c r="Q434" s="256">
        <v>5</v>
      </c>
      <c r="R434" s="256"/>
      <c r="S434" s="256">
        <v>2</v>
      </c>
      <c r="T434" s="256"/>
      <c r="U434" s="256"/>
      <c r="V434" s="256"/>
      <c r="W434" s="256" t="s">
        <v>1555</v>
      </c>
      <c r="X434" s="259">
        <v>46094.782638888886</v>
      </c>
      <c r="Y434" s="256" t="s">
        <v>1564</v>
      </c>
      <c r="Z434" s="256" t="s">
        <v>2284</v>
      </c>
      <c r="AA434" s="256" t="s">
        <v>1565</v>
      </c>
      <c r="AB434" s="256"/>
      <c r="AC434" s="256"/>
      <c r="AD434" s="256" t="s">
        <v>191</v>
      </c>
      <c r="AE434" s="256" t="s">
        <v>200</v>
      </c>
    </row>
    <row r="435" spans="1:31">
      <c r="A435" s="256" t="s">
        <v>337</v>
      </c>
      <c r="B435" s="256" t="s">
        <v>1486</v>
      </c>
      <c r="C435" s="256" t="s">
        <v>1472</v>
      </c>
      <c r="D435" s="256" t="s">
        <v>191</v>
      </c>
      <c r="E435" s="256">
        <v>4420374</v>
      </c>
      <c r="F435" s="256">
        <v>4421576</v>
      </c>
      <c r="G435" s="256" t="s">
        <v>632</v>
      </c>
      <c r="H435" s="256" t="s">
        <v>183</v>
      </c>
      <c r="I435" s="256" t="s">
        <v>199</v>
      </c>
      <c r="J435" s="256" t="s">
        <v>1501</v>
      </c>
      <c r="K435" s="259">
        <v>46125.229166666664</v>
      </c>
      <c r="L435" s="259">
        <v>46128.816666666666</v>
      </c>
      <c r="M435" s="259">
        <v>46129.229166666664</v>
      </c>
      <c r="N435" s="256"/>
      <c r="O435" s="256" t="s">
        <v>1668</v>
      </c>
      <c r="P435" s="259">
        <v>46151.229166666664</v>
      </c>
      <c r="Q435" s="256">
        <v>3</v>
      </c>
      <c r="R435" s="256"/>
      <c r="S435" s="256">
        <v>2</v>
      </c>
      <c r="T435" s="256"/>
      <c r="U435" s="256" t="s">
        <v>1</v>
      </c>
      <c r="V435" s="256" t="s">
        <v>1</v>
      </c>
      <c r="W435" s="256" t="s">
        <v>1555</v>
      </c>
      <c r="X435" s="259">
        <v>46092.603472222225</v>
      </c>
      <c r="Y435" s="256" t="s">
        <v>1564</v>
      </c>
      <c r="Z435" s="256" t="s">
        <v>2284</v>
      </c>
      <c r="AA435" s="256" t="s">
        <v>1565</v>
      </c>
      <c r="AB435" s="256"/>
      <c r="AC435" s="256"/>
      <c r="AD435" s="256" t="s">
        <v>191</v>
      </c>
      <c r="AE435" s="256" t="s">
        <v>200</v>
      </c>
    </row>
    <row r="436" spans="1:31">
      <c r="A436" s="256" t="s">
        <v>337</v>
      </c>
      <c r="B436" s="256" t="s">
        <v>1486</v>
      </c>
      <c r="C436" s="256" t="s">
        <v>1472</v>
      </c>
      <c r="D436" s="256" t="s">
        <v>191</v>
      </c>
      <c r="E436" s="256">
        <v>4420374</v>
      </c>
      <c r="F436" s="256">
        <v>4421613</v>
      </c>
      <c r="G436" s="256" t="s">
        <v>2293</v>
      </c>
      <c r="H436" s="256" t="s">
        <v>183</v>
      </c>
      <c r="I436" s="256" t="s">
        <v>199</v>
      </c>
      <c r="J436" s="256" t="s">
        <v>1501</v>
      </c>
      <c r="K436" s="259">
        <v>46125.229166666664</v>
      </c>
      <c r="L436" s="259">
        <v>46125.229166666664</v>
      </c>
      <c r="M436" s="259">
        <v>46129.229166666664</v>
      </c>
      <c r="N436" s="256"/>
      <c r="O436" s="256" t="s">
        <v>1668</v>
      </c>
      <c r="P436" s="259">
        <v>46151.229166666664</v>
      </c>
      <c r="Q436" s="256">
        <v>3</v>
      </c>
      <c r="R436" s="256"/>
      <c r="S436" s="256">
        <v>2</v>
      </c>
      <c r="T436" s="256"/>
      <c r="U436" s="256" t="s">
        <v>1</v>
      </c>
      <c r="V436" s="256" t="s">
        <v>1</v>
      </c>
      <c r="W436" s="256" t="s">
        <v>1555</v>
      </c>
      <c r="X436" s="259">
        <v>46092.607638888891</v>
      </c>
      <c r="Y436" s="256" t="s">
        <v>1564</v>
      </c>
      <c r="Z436" s="256" t="s">
        <v>2284</v>
      </c>
      <c r="AA436" s="256" t="s">
        <v>1565</v>
      </c>
      <c r="AB436" s="256"/>
      <c r="AC436" s="256"/>
      <c r="AD436" s="256" t="s">
        <v>191</v>
      </c>
      <c r="AE436" s="256" t="s">
        <v>200</v>
      </c>
    </row>
    <row r="437" spans="1:31">
      <c r="A437" s="256" t="s">
        <v>337</v>
      </c>
      <c r="B437" s="256" t="s">
        <v>1486</v>
      </c>
      <c r="C437" s="256" t="s">
        <v>1472</v>
      </c>
      <c r="D437" s="256" t="s">
        <v>191</v>
      </c>
      <c r="E437" s="256">
        <v>4420374</v>
      </c>
      <c r="F437" s="256">
        <v>4421619</v>
      </c>
      <c r="G437" s="256" t="s">
        <v>2294</v>
      </c>
      <c r="H437" s="256" t="s">
        <v>183</v>
      </c>
      <c r="I437" s="256" t="s">
        <v>199</v>
      </c>
      <c r="J437" s="256" t="s">
        <v>1501</v>
      </c>
      <c r="K437" s="259">
        <v>46125.229166666664</v>
      </c>
      <c r="L437" s="259">
        <v>46128.996527777781</v>
      </c>
      <c r="M437" s="259">
        <v>46129.229166666664</v>
      </c>
      <c r="N437" s="256"/>
      <c r="O437" s="256" t="s">
        <v>1668</v>
      </c>
      <c r="P437" s="259">
        <v>46151.229166666664</v>
      </c>
      <c r="Q437" s="256">
        <v>3</v>
      </c>
      <c r="R437" s="256"/>
      <c r="S437" s="256">
        <v>2</v>
      </c>
      <c r="T437" s="256"/>
      <c r="U437" s="256" t="s">
        <v>1</v>
      </c>
      <c r="V437" s="256" t="s">
        <v>1</v>
      </c>
      <c r="W437" s="256" t="s">
        <v>1555</v>
      </c>
      <c r="X437" s="259">
        <v>46092.609027777777</v>
      </c>
      <c r="Y437" s="256" t="s">
        <v>1564</v>
      </c>
      <c r="Z437" s="256" t="s">
        <v>2284</v>
      </c>
      <c r="AA437" s="256" t="s">
        <v>1565</v>
      </c>
      <c r="AB437" s="256"/>
      <c r="AC437" s="256"/>
      <c r="AD437" s="256" t="s">
        <v>191</v>
      </c>
      <c r="AE437" s="256" t="s">
        <v>200</v>
      </c>
    </row>
    <row r="438" spans="1:31">
      <c r="A438" s="256" t="s">
        <v>337</v>
      </c>
      <c r="B438" s="256" t="s">
        <v>1486</v>
      </c>
      <c r="C438" s="256" t="s">
        <v>1472</v>
      </c>
      <c r="D438" s="256" t="s">
        <v>191</v>
      </c>
      <c r="E438" s="256">
        <v>4420374</v>
      </c>
      <c r="F438" s="256">
        <v>4422310</v>
      </c>
      <c r="G438" s="256" t="s">
        <v>2295</v>
      </c>
      <c r="H438" s="256" t="s">
        <v>2296</v>
      </c>
      <c r="I438" s="256" t="s">
        <v>199</v>
      </c>
      <c r="J438" s="256" t="s">
        <v>1501</v>
      </c>
      <c r="K438" s="259">
        <v>46125.229166666664</v>
      </c>
      <c r="L438" s="256"/>
      <c r="M438" s="259">
        <v>46129.229166666664</v>
      </c>
      <c r="N438" s="256"/>
      <c r="O438" s="256" t="s">
        <v>2288</v>
      </c>
      <c r="P438" s="259">
        <v>46151.229166666664</v>
      </c>
      <c r="Q438" s="256">
        <v>5</v>
      </c>
      <c r="R438" s="256"/>
      <c r="S438" s="256">
        <v>2</v>
      </c>
      <c r="T438" s="256"/>
      <c r="U438" s="256"/>
      <c r="V438" s="256"/>
      <c r="W438" s="256" t="s">
        <v>1555</v>
      </c>
      <c r="X438" s="259">
        <v>46092.743750000001</v>
      </c>
      <c r="Y438" s="256" t="s">
        <v>1564</v>
      </c>
      <c r="Z438" s="256" t="s">
        <v>2284</v>
      </c>
      <c r="AA438" s="256" t="s">
        <v>1565</v>
      </c>
      <c r="AB438" s="256"/>
      <c r="AC438" s="256"/>
      <c r="AD438" s="256" t="s">
        <v>191</v>
      </c>
      <c r="AE438" s="256" t="s">
        <v>200</v>
      </c>
    </row>
    <row r="439" spans="1:31">
      <c r="A439" s="256" t="s">
        <v>337</v>
      </c>
      <c r="B439" s="256" t="s">
        <v>1486</v>
      </c>
      <c r="C439" s="256" t="s">
        <v>1472</v>
      </c>
      <c r="D439" s="256" t="s">
        <v>191</v>
      </c>
      <c r="E439" s="256">
        <v>4420374</v>
      </c>
      <c r="F439" s="256">
        <v>4422354</v>
      </c>
      <c r="G439" s="256" t="s">
        <v>2297</v>
      </c>
      <c r="H439" s="256" t="s">
        <v>2296</v>
      </c>
      <c r="I439" s="256" t="s">
        <v>199</v>
      </c>
      <c r="J439" s="256" t="s">
        <v>1501</v>
      </c>
      <c r="K439" s="259">
        <v>46125.229166666664</v>
      </c>
      <c r="L439" s="256"/>
      <c r="M439" s="259">
        <v>46129.229166666664</v>
      </c>
      <c r="N439" s="256"/>
      <c r="O439" s="256" t="s">
        <v>2298</v>
      </c>
      <c r="P439" s="259">
        <v>46151.229166666664</v>
      </c>
      <c r="Q439" s="256">
        <v>5</v>
      </c>
      <c r="R439" s="256"/>
      <c r="S439" s="256">
        <v>2</v>
      </c>
      <c r="T439" s="256"/>
      <c r="U439" s="256" t="s">
        <v>1</v>
      </c>
      <c r="V439" s="256" t="s">
        <v>18</v>
      </c>
      <c r="W439" s="256" t="s">
        <v>1555</v>
      </c>
      <c r="X439" s="259">
        <v>46092.765972222223</v>
      </c>
      <c r="Y439" s="256" t="s">
        <v>1564</v>
      </c>
      <c r="Z439" s="256" t="s">
        <v>2284</v>
      </c>
      <c r="AA439" s="256" t="s">
        <v>1565</v>
      </c>
      <c r="AB439" s="256"/>
      <c r="AC439" s="256"/>
      <c r="AD439" s="256" t="s">
        <v>191</v>
      </c>
      <c r="AE439" s="256" t="s">
        <v>200</v>
      </c>
    </row>
    <row r="440" spans="1:31">
      <c r="A440" s="256" t="s">
        <v>192</v>
      </c>
      <c r="B440" s="256" t="s">
        <v>1486</v>
      </c>
      <c r="C440" s="256" t="s">
        <v>1472</v>
      </c>
      <c r="D440" s="256" t="s">
        <v>191</v>
      </c>
      <c r="E440" s="256">
        <v>4446711</v>
      </c>
      <c r="F440" s="256">
        <v>4423291</v>
      </c>
      <c r="G440" s="256" t="s">
        <v>640</v>
      </c>
      <c r="H440" s="256" t="s">
        <v>305</v>
      </c>
      <c r="I440" s="256" t="s">
        <v>199</v>
      </c>
      <c r="J440" s="256" t="s">
        <v>1501</v>
      </c>
      <c r="K440" s="259">
        <v>46125.229166666664</v>
      </c>
      <c r="L440" s="259">
        <v>46125.229166666664</v>
      </c>
      <c r="M440" s="259">
        <v>46129.229166666664</v>
      </c>
      <c r="N440" s="256"/>
      <c r="O440" s="256" t="s">
        <v>1951</v>
      </c>
      <c r="P440" s="259">
        <v>46151.229166666664</v>
      </c>
      <c r="Q440" s="256">
        <v>5</v>
      </c>
      <c r="R440" s="256"/>
      <c r="S440" s="256">
        <v>1</v>
      </c>
      <c r="T440" s="256"/>
      <c r="U440" s="256" t="s">
        <v>18</v>
      </c>
      <c r="V440" s="256" t="s">
        <v>1</v>
      </c>
      <c r="W440" s="256" t="s">
        <v>1555</v>
      </c>
      <c r="X440" s="259">
        <v>46093.647222222222</v>
      </c>
      <c r="Y440" s="256" t="s">
        <v>1564</v>
      </c>
      <c r="Z440" s="256" t="s">
        <v>2284</v>
      </c>
      <c r="AA440" s="256" t="s">
        <v>1565</v>
      </c>
      <c r="AB440" s="256"/>
      <c r="AC440" s="256"/>
      <c r="AD440" s="256" t="s">
        <v>191</v>
      </c>
      <c r="AE440" s="256" t="s">
        <v>200</v>
      </c>
    </row>
    <row r="441" spans="1:31">
      <c r="A441" s="256" t="s">
        <v>192</v>
      </c>
      <c r="B441" s="256" t="s">
        <v>1486</v>
      </c>
      <c r="C441" s="256" t="s">
        <v>1472</v>
      </c>
      <c r="D441" s="256" t="s">
        <v>191</v>
      </c>
      <c r="E441" s="256">
        <v>4446711</v>
      </c>
      <c r="F441" s="256">
        <v>4423294</v>
      </c>
      <c r="G441" s="256" t="s">
        <v>641</v>
      </c>
      <c r="H441" s="256" t="s">
        <v>305</v>
      </c>
      <c r="I441" s="256" t="s">
        <v>199</v>
      </c>
      <c r="J441" s="256" t="s">
        <v>1501</v>
      </c>
      <c r="K441" s="259">
        <v>46125.229166666664</v>
      </c>
      <c r="L441" s="259">
        <v>46125.229166666664</v>
      </c>
      <c r="M441" s="259">
        <v>46129.229166666664</v>
      </c>
      <c r="N441" s="256"/>
      <c r="O441" s="256" t="s">
        <v>1951</v>
      </c>
      <c r="P441" s="259">
        <v>46151.229166666664</v>
      </c>
      <c r="Q441" s="256">
        <v>5</v>
      </c>
      <c r="R441" s="256"/>
      <c r="S441" s="256">
        <v>1</v>
      </c>
      <c r="T441" s="256"/>
      <c r="U441" s="256" t="s">
        <v>1</v>
      </c>
      <c r="V441" s="256" t="s">
        <v>1</v>
      </c>
      <c r="W441" s="256" t="s">
        <v>1555</v>
      </c>
      <c r="X441" s="259">
        <v>46093.647916666669</v>
      </c>
      <c r="Y441" s="256" t="s">
        <v>1564</v>
      </c>
      <c r="Z441" s="256" t="s">
        <v>2284</v>
      </c>
      <c r="AA441" s="256" t="s">
        <v>1565</v>
      </c>
      <c r="AB441" s="256"/>
      <c r="AC441" s="256"/>
      <c r="AD441" s="256" t="s">
        <v>191</v>
      </c>
      <c r="AE441" s="256" t="s">
        <v>200</v>
      </c>
    </row>
    <row r="442" spans="1:31">
      <c r="A442" s="256" t="s">
        <v>192</v>
      </c>
      <c r="B442" s="256" t="s">
        <v>1486</v>
      </c>
      <c r="C442" s="256" t="s">
        <v>1472</v>
      </c>
      <c r="D442" s="256" t="s">
        <v>191</v>
      </c>
      <c r="E442" s="256">
        <v>4446711</v>
      </c>
      <c r="F442" s="256">
        <v>4423296</v>
      </c>
      <c r="G442" s="256" t="s">
        <v>642</v>
      </c>
      <c r="H442" s="256" t="s">
        <v>305</v>
      </c>
      <c r="I442" s="256" t="s">
        <v>199</v>
      </c>
      <c r="J442" s="256" t="s">
        <v>1501</v>
      </c>
      <c r="K442" s="259">
        <v>46125.229166666664</v>
      </c>
      <c r="L442" s="259">
        <v>46125.229166666664</v>
      </c>
      <c r="M442" s="259">
        <v>46129.229166666664</v>
      </c>
      <c r="N442" s="256"/>
      <c r="O442" s="256" t="s">
        <v>1951</v>
      </c>
      <c r="P442" s="259">
        <v>46151.229166666664</v>
      </c>
      <c r="Q442" s="256">
        <v>5</v>
      </c>
      <c r="R442" s="256"/>
      <c r="S442" s="256">
        <v>1</v>
      </c>
      <c r="T442" s="256"/>
      <c r="U442" s="256" t="s">
        <v>1</v>
      </c>
      <c r="V442" s="256" t="s">
        <v>1</v>
      </c>
      <c r="W442" s="256" t="s">
        <v>1555</v>
      </c>
      <c r="X442" s="259">
        <v>46093.647916666669</v>
      </c>
      <c r="Y442" s="256" t="s">
        <v>1564</v>
      </c>
      <c r="Z442" s="256" t="s">
        <v>2284</v>
      </c>
      <c r="AA442" s="256" t="s">
        <v>1565</v>
      </c>
      <c r="AB442" s="256"/>
      <c r="AC442" s="256"/>
      <c r="AD442" s="256" t="s">
        <v>191</v>
      </c>
      <c r="AE442" s="256" t="s">
        <v>200</v>
      </c>
    </row>
    <row r="443" spans="1:31">
      <c r="A443" s="256" t="s">
        <v>192</v>
      </c>
      <c r="B443" s="256" t="s">
        <v>1486</v>
      </c>
      <c r="C443" s="256" t="s">
        <v>1472</v>
      </c>
      <c r="D443" s="256" t="s">
        <v>191</v>
      </c>
      <c r="E443" s="256">
        <v>4446711</v>
      </c>
      <c r="F443" s="256">
        <v>4423299</v>
      </c>
      <c r="G443" s="256" t="s">
        <v>643</v>
      </c>
      <c r="H443" s="256" t="s">
        <v>305</v>
      </c>
      <c r="I443" s="256" t="s">
        <v>199</v>
      </c>
      <c r="J443" s="256" t="s">
        <v>1501</v>
      </c>
      <c r="K443" s="259">
        <v>46125.229166666664</v>
      </c>
      <c r="L443" s="259">
        <v>46125.229166666664</v>
      </c>
      <c r="M443" s="259">
        <v>46129.229166666664</v>
      </c>
      <c r="N443" s="256"/>
      <c r="O443" s="256" t="s">
        <v>1951</v>
      </c>
      <c r="P443" s="259">
        <v>46151.229166666664</v>
      </c>
      <c r="Q443" s="256">
        <v>5</v>
      </c>
      <c r="R443" s="256"/>
      <c r="S443" s="256">
        <v>1</v>
      </c>
      <c r="T443" s="256"/>
      <c r="U443" s="256" t="s">
        <v>1</v>
      </c>
      <c r="V443" s="256" t="s">
        <v>1</v>
      </c>
      <c r="W443" s="256" t="s">
        <v>1555</v>
      </c>
      <c r="X443" s="259">
        <v>46093.648611111108</v>
      </c>
      <c r="Y443" s="256" t="s">
        <v>1564</v>
      </c>
      <c r="Z443" s="256" t="s">
        <v>2284</v>
      </c>
      <c r="AA443" s="256" t="s">
        <v>1565</v>
      </c>
      <c r="AB443" s="256"/>
      <c r="AC443" s="256"/>
      <c r="AD443" s="256" t="s">
        <v>191</v>
      </c>
      <c r="AE443" s="256" t="s">
        <v>200</v>
      </c>
    </row>
    <row r="444" spans="1:31">
      <c r="A444" s="256" t="s">
        <v>192</v>
      </c>
      <c r="B444" s="256" t="s">
        <v>1486</v>
      </c>
      <c r="C444" s="256" t="s">
        <v>1472</v>
      </c>
      <c r="D444" s="256" t="s">
        <v>191</v>
      </c>
      <c r="E444" s="256">
        <v>4446711</v>
      </c>
      <c r="F444" s="256">
        <v>4423301</v>
      </c>
      <c r="G444" s="256" t="s">
        <v>644</v>
      </c>
      <c r="H444" s="256" t="s">
        <v>305</v>
      </c>
      <c r="I444" s="256" t="s">
        <v>199</v>
      </c>
      <c r="J444" s="256" t="s">
        <v>1501</v>
      </c>
      <c r="K444" s="259">
        <v>46125.229166666664</v>
      </c>
      <c r="L444" s="259">
        <v>46125.229166666664</v>
      </c>
      <c r="M444" s="259">
        <v>46129.229166666664</v>
      </c>
      <c r="N444" s="256"/>
      <c r="O444" s="256" t="s">
        <v>1951</v>
      </c>
      <c r="P444" s="259">
        <v>46151.229166666664</v>
      </c>
      <c r="Q444" s="256">
        <v>5</v>
      </c>
      <c r="R444" s="256"/>
      <c r="S444" s="256">
        <v>2</v>
      </c>
      <c r="T444" s="256"/>
      <c r="U444" s="256" t="s">
        <v>1</v>
      </c>
      <c r="V444" s="256" t="s">
        <v>1</v>
      </c>
      <c r="W444" s="256" t="s">
        <v>1555</v>
      </c>
      <c r="X444" s="259">
        <v>46093.649305555555</v>
      </c>
      <c r="Y444" s="256" t="s">
        <v>1564</v>
      </c>
      <c r="Z444" s="256" t="s">
        <v>2284</v>
      </c>
      <c r="AA444" s="256" t="s">
        <v>1565</v>
      </c>
      <c r="AB444" s="256"/>
      <c r="AC444" s="256"/>
      <c r="AD444" s="256" t="s">
        <v>191</v>
      </c>
      <c r="AE444" s="256" t="s">
        <v>200</v>
      </c>
    </row>
    <row r="445" spans="1:31">
      <c r="A445" s="256" t="s">
        <v>192</v>
      </c>
      <c r="B445" s="256" t="s">
        <v>1486</v>
      </c>
      <c r="C445" s="256" t="s">
        <v>1472</v>
      </c>
      <c r="D445" s="256" t="s">
        <v>191</v>
      </c>
      <c r="E445" s="256">
        <v>4446711</v>
      </c>
      <c r="F445" s="256">
        <v>4423304</v>
      </c>
      <c r="G445" s="256" t="s">
        <v>645</v>
      </c>
      <c r="H445" s="256" t="s">
        <v>305</v>
      </c>
      <c r="I445" s="256" t="s">
        <v>199</v>
      </c>
      <c r="J445" s="256" t="s">
        <v>1501</v>
      </c>
      <c r="K445" s="259">
        <v>46125.229166666664</v>
      </c>
      <c r="L445" s="259">
        <v>46125.229166666664</v>
      </c>
      <c r="M445" s="259">
        <v>46129.229166666664</v>
      </c>
      <c r="N445" s="256"/>
      <c r="O445" s="256" t="s">
        <v>1951</v>
      </c>
      <c r="P445" s="259">
        <v>46151.229166666664</v>
      </c>
      <c r="Q445" s="256">
        <v>3</v>
      </c>
      <c r="R445" s="256"/>
      <c r="S445" s="256">
        <v>1</v>
      </c>
      <c r="T445" s="256"/>
      <c r="U445" s="256" t="s">
        <v>1</v>
      </c>
      <c r="V445" s="256" t="s">
        <v>1</v>
      </c>
      <c r="W445" s="256" t="s">
        <v>1555</v>
      </c>
      <c r="X445" s="259">
        <v>46093.649305555555</v>
      </c>
      <c r="Y445" s="256" t="s">
        <v>1564</v>
      </c>
      <c r="Z445" s="256" t="s">
        <v>2284</v>
      </c>
      <c r="AA445" s="256" t="s">
        <v>1565</v>
      </c>
      <c r="AB445" s="256"/>
      <c r="AC445" s="256"/>
      <c r="AD445" s="256" t="s">
        <v>191</v>
      </c>
      <c r="AE445" s="256" t="s">
        <v>200</v>
      </c>
    </row>
    <row r="446" spans="1:31">
      <c r="A446" s="256" t="s">
        <v>324</v>
      </c>
      <c r="B446" s="256" t="s">
        <v>1471</v>
      </c>
      <c r="C446" s="256" t="s">
        <v>1472</v>
      </c>
      <c r="D446" s="256" t="s">
        <v>191</v>
      </c>
      <c r="E446" s="256">
        <v>4446526</v>
      </c>
      <c r="F446" s="256">
        <v>4445248</v>
      </c>
      <c r="G446" s="256" t="s">
        <v>2299</v>
      </c>
      <c r="H446" s="256" t="s">
        <v>288</v>
      </c>
      <c r="I446" s="256" t="s">
        <v>199</v>
      </c>
      <c r="J446" s="256" t="s">
        <v>1501</v>
      </c>
      <c r="K446" s="259">
        <v>46132.229166666664</v>
      </c>
      <c r="L446" s="256"/>
      <c r="M446" s="259">
        <v>46134.229166666664</v>
      </c>
      <c r="N446" s="256"/>
      <c r="O446" s="256" t="s">
        <v>2300</v>
      </c>
      <c r="P446" s="259">
        <v>46151.229166666664</v>
      </c>
      <c r="Q446" s="256">
        <v>5</v>
      </c>
      <c r="R446" s="256"/>
      <c r="S446" s="256">
        <v>2</v>
      </c>
      <c r="T446" s="256"/>
      <c r="U446" s="256"/>
      <c r="V446" s="256"/>
      <c r="W446" s="256" t="s">
        <v>1555</v>
      </c>
      <c r="X446" s="259">
        <v>46107.80972222222</v>
      </c>
      <c r="Y446" s="256" t="s">
        <v>1564</v>
      </c>
      <c r="Z446" s="256" t="s">
        <v>2284</v>
      </c>
      <c r="AA446" s="256" t="s">
        <v>1565</v>
      </c>
      <c r="AB446" s="256"/>
      <c r="AC446" s="256"/>
      <c r="AD446" s="256" t="s">
        <v>191</v>
      </c>
      <c r="AE446" s="256" t="s">
        <v>200</v>
      </c>
    </row>
    <row r="447" spans="1:31">
      <c r="A447" s="256" t="s">
        <v>324</v>
      </c>
      <c r="B447" s="256" t="s">
        <v>1486</v>
      </c>
      <c r="C447" s="256" t="s">
        <v>1472</v>
      </c>
      <c r="D447" s="256" t="s">
        <v>191</v>
      </c>
      <c r="E447" s="256">
        <v>4446526</v>
      </c>
      <c r="F447" s="256">
        <v>4445986</v>
      </c>
      <c r="G447" s="256" t="s">
        <v>686</v>
      </c>
      <c r="H447" s="256" t="s">
        <v>288</v>
      </c>
      <c r="I447" s="256" t="s">
        <v>199</v>
      </c>
      <c r="J447" s="256" t="s">
        <v>1501</v>
      </c>
      <c r="K447" s="259">
        <v>46132.229166666664</v>
      </c>
      <c r="L447" s="256"/>
      <c r="M447" s="259">
        <v>46134.229166666664</v>
      </c>
      <c r="N447" s="256"/>
      <c r="O447" s="256" t="s">
        <v>2290</v>
      </c>
      <c r="P447" s="259">
        <v>46151.229166666664</v>
      </c>
      <c r="Q447" s="256">
        <v>7</v>
      </c>
      <c r="R447" s="256"/>
      <c r="S447" s="256">
        <v>2</v>
      </c>
      <c r="T447" s="256"/>
      <c r="U447" s="256"/>
      <c r="V447" s="256"/>
      <c r="W447" s="256" t="s">
        <v>1555</v>
      </c>
      <c r="X447" s="259">
        <v>46107.947222222225</v>
      </c>
      <c r="Y447" s="256" t="s">
        <v>1564</v>
      </c>
      <c r="Z447" s="256" t="s">
        <v>2284</v>
      </c>
      <c r="AA447" s="256" t="s">
        <v>1565</v>
      </c>
      <c r="AB447" s="256"/>
      <c r="AC447" s="256"/>
      <c r="AD447" s="256" t="s">
        <v>191</v>
      </c>
      <c r="AE447" s="256" t="s">
        <v>200</v>
      </c>
    </row>
    <row r="448" spans="1:31">
      <c r="A448" s="256" t="s">
        <v>324</v>
      </c>
      <c r="B448" s="256" t="s">
        <v>1486</v>
      </c>
      <c r="C448" s="256" t="s">
        <v>1472</v>
      </c>
      <c r="D448" s="256" t="s">
        <v>191</v>
      </c>
      <c r="E448" s="256">
        <v>4446526</v>
      </c>
      <c r="F448" s="256">
        <v>4445987</v>
      </c>
      <c r="G448" s="256" t="s">
        <v>687</v>
      </c>
      <c r="H448" s="256" t="s">
        <v>288</v>
      </c>
      <c r="I448" s="256" t="s">
        <v>199</v>
      </c>
      <c r="J448" s="256" t="s">
        <v>1501</v>
      </c>
      <c r="K448" s="259">
        <v>46132.229166666664</v>
      </c>
      <c r="L448" s="256"/>
      <c r="M448" s="259">
        <v>46134.229166666664</v>
      </c>
      <c r="N448" s="256"/>
      <c r="O448" s="256" t="s">
        <v>2292</v>
      </c>
      <c r="P448" s="259">
        <v>46151.229166666664</v>
      </c>
      <c r="Q448" s="256">
        <v>6</v>
      </c>
      <c r="R448" s="256"/>
      <c r="S448" s="256">
        <v>2</v>
      </c>
      <c r="T448" s="256"/>
      <c r="U448" s="256"/>
      <c r="V448" s="256"/>
      <c r="W448" s="256" t="s">
        <v>1555</v>
      </c>
      <c r="X448" s="259">
        <v>46107.948611111111</v>
      </c>
      <c r="Y448" s="256" t="s">
        <v>1564</v>
      </c>
      <c r="Z448" s="256" t="s">
        <v>2284</v>
      </c>
      <c r="AA448" s="256" t="s">
        <v>1565</v>
      </c>
      <c r="AB448" s="256"/>
      <c r="AC448" s="256"/>
      <c r="AD448" s="256" t="s">
        <v>191</v>
      </c>
      <c r="AE448" s="256" t="s">
        <v>200</v>
      </c>
    </row>
    <row r="449" spans="1:31">
      <c r="A449" s="256" t="s">
        <v>324</v>
      </c>
      <c r="B449" s="256" t="s">
        <v>1486</v>
      </c>
      <c r="C449" s="256" t="s">
        <v>1472</v>
      </c>
      <c r="D449" s="256" t="s">
        <v>191</v>
      </c>
      <c r="E449" s="256">
        <v>4446526</v>
      </c>
      <c r="F449" s="256">
        <v>4445991</v>
      </c>
      <c r="G449" s="256" t="s">
        <v>325</v>
      </c>
      <c r="H449" s="256" t="s">
        <v>288</v>
      </c>
      <c r="I449" s="256" t="s">
        <v>199</v>
      </c>
      <c r="J449" s="256" t="s">
        <v>1501</v>
      </c>
      <c r="K449" s="259">
        <v>46132.229166666664</v>
      </c>
      <c r="L449" s="256"/>
      <c r="M449" s="259">
        <v>46134.229166666664</v>
      </c>
      <c r="N449" s="256"/>
      <c r="O449" s="256" t="s">
        <v>2300</v>
      </c>
      <c r="P449" s="259">
        <v>46151.229166666664</v>
      </c>
      <c r="Q449" s="256">
        <v>5</v>
      </c>
      <c r="R449" s="256"/>
      <c r="S449" s="256">
        <v>2</v>
      </c>
      <c r="T449" s="256"/>
      <c r="U449" s="256"/>
      <c r="V449" s="256"/>
      <c r="W449" s="256" t="s">
        <v>1555</v>
      </c>
      <c r="X449" s="259">
        <v>46107.977777777778</v>
      </c>
      <c r="Y449" s="256" t="s">
        <v>1564</v>
      </c>
      <c r="Z449" s="256" t="s">
        <v>2284</v>
      </c>
      <c r="AA449" s="256" t="s">
        <v>1565</v>
      </c>
      <c r="AB449" s="256"/>
      <c r="AC449" s="256"/>
      <c r="AD449" s="256" t="s">
        <v>191</v>
      </c>
      <c r="AE449" s="256" t="s">
        <v>200</v>
      </c>
    </row>
    <row r="450" spans="1:31">
      <c r="A450" s="256" t="s">
        <v>192</v>
      </c>
      <c r="B450" s="256" t="s">
        <v>1486</v>
      </c>
      <c r="C450" s="256" t="s">
        <v>1472</v>
      </c>
      <c r="D450" s="256" t="s">
        <v>191</v>
      </c>
      <c r="E450" s="256">
        <v>4446711</v>
      </c>
      <c r="F450" s="256">
        <v>4446722</v>
      </c>
      <c r="G450" s="256" t="s">
        <v>694</v>
      </c>
      <c r="H450" s="256" t="s">
        <v>288</v>
      </c>
      <c r="I450" s="256" t="s">
        <v>199</v>
      </c>
      <c r="J450" s="256" t="s">
        <v>1501</v>
      </c>
      <c r="K450" s="259">
        <v>46132.229166666664</v>
      </c>
      <c r="L450" s="256"/>
      <c r="M450" s="259">
        <v>46134.229166666664</v>
      </c>
      <c r="N450" s="256"/>
      <c r="O450" s="256" t="s">
        <v>2301</v>
      </c>
      <c r="P450" s="259">
        <v>46151.229166666664</v>
      </c>
      <c r="Q450" s="256">
        <v>3</v>
      </c>
      <c r="R450" s="256"/>
      <c r="S450" s="256">
        <v>2</v>
      </c>
      <c r="T450" s="256"/>
      <c r="U450" s="256" t="s">
        <v>1</v>
      </c>
      <c r="V450" s="256"/>
      <c r="W450" s="256" t="s">
        <v>1555</v>
      </c>
      <c r="X450" s="259">
        <v>46108.801388888889</v>
      </c>
      <c r="Y450" s="256" t="s">
        <v>1564</v>
      </c>
      <c r="Z450" s="256" t="s">
        <v>2284</v>
      </c>
      <c r="AA450" s="256" t="s">
        <v>1565</v>
      </c>
      <c r="AB450" s="256"/>
      <c r="AC450" s="256"/>
      <c r="AD450" s="256" t="s">
        <v>191</v>
      </c>
      <c r="AE450" s="256" t="s">
        <v>200</v>
      </c>
    </row>
    <row r="451" spans="1:31">
      <c r="A451" s="256" t="s">
        <v>2302</v>
      </c>
      <c r="B451" s="256" t="s">
        <v>1486</v>
      </c>
      <c r="C451" s="256" t="s">
        <v>1472</v>
      </c>
      <c r="D451" s="256" t="s">
        <v>191</v>
      </c>
      <c r="E451" s="256">
        <v>4475299</v>
      </c>
      <c r="F451" s="256">
        <v>4479398</v>
      </c>
      <c r="G451" s="256" t="s">
        <v>2303</v>
      </c>
      <c r="H451" s="256" t="s">
        <v>198</v>
      </c>
      <c r="I451" s="256" t="s">
        <v>199</v>
      </c>
      <c r="J451" s="256" t="s">
        <v>1501</v>
      </c>
      <c r="K451" s="256"/>
      <c r="L451" s="256"/>
      <c r="M451" s="256"/>
      <c r="N451" s="256"/>
      <c r="O451" s="256" t="s">
        <v>2304</v>
      </c>
      <c r="P451" s="259">
        <v>46151.229166666664</v>
      </c>
      <c r="Q451" s="256"/>
      <c r="R451" s="256"/>
      <c r="S451" s="256">
        <v>2</v>
      </c>
      <c r="T451" s="256"/>
      <c r="U451" s="256"/>
      <c r="V451" s="256"/>
      <c r="W451" s="256" t="s">
        <v>1555</v>
      </c>
      <c r="X451" s="259">
        <v>46126.813194444447</v>
      </c>
      <c r="Y451" s="256" t="s">
        <v>2305</v>
      </c>
      <c r="Z451" s="256" t="s">
        <v>2284</v>
      </c>
      <c r="AA451" s="256" t="s">
        <v>1565</v>
      </c>
      <c r="AB451" s="256"/>
      <c r="AC451" s="256"/>
      <c r="AD451" s="256" t="s">
        <v>191</v>
      </c>
      <c r="AE451" s="256" t="s">
        <v>200</v>
      </c>
    </row>
    <row r="452" spans="1:31">
      <c r="A452" s="256" t="s">
        <v>192</v>
      </c>
      <c r="B452" s="256" t="s">
        <v>1486</v>
      </c>
      <c r="C452" s="256" t="s">
        <v>1472</v>
      </c>
      <c r="D452" s="256" t="s">
        <v>191</v>
      </c>
      <c r="E452" s="256">
        <v>4446711</v>
      </c>
      <c r="F452" s="256">
        <v>4462742</v>
      </c>
      <c r="G452" s="256" t="s">
        <v>193</v>
      </c>
      <c r="H452" s="256" t="s">
        <v>305</v>
      </c>
      <c r="I452" s="256" t="s">
        <v>199</v>
      </c>
      <c r="J452" s="256" t="s">
        <v>1501</v>
      </c>
      <c r="K452" s="259">
        <v>46132.229166666664</v>
      </c>
      <c r="L452" s="259">
        <v>46127.229166666664</v>
      </c>
      <c r="M452" s="259">
        <v>46134.229166666664</v>
      </c>
      <c r="N452" s="256"/>
      <c r="O452" s="256" t="s">
        <v>2306</v>
      </c>
      <c r="P452" s="259">
        <v>46151.229166666664</v>
      </c>
      <c r="Q452" s="256">
        <v>4</v>
      </c>
      <c r="R452" s="256"/>
      <c r="S452" s="256">
        <v>1</v>
      </c>
      <c r="T452" s="256"/>
      <c r="U452" s="256" t="s">
        <v>1</v>
      </c>
      <c r="V452" s="256" t="s">
        <v>1</v>
      </c>
      <c r="W452" s="256" t="s">
        <v>1555</v>
      </c>
      <c r="X452" s="259">
        <v>46118.768750000003</v>
      </c>
      <c r="Y452" s="256" t="s">
        <v>2307</v>
      </c>
      <c r="Z452" s="256" t="s">
        <v>2284</v>
      </c>
      <c r="AA452" s="256" t="s">
        <v>1565</v>
      </c>
      <c r="AB452" s="256"/>
      <c r="AC452" s="256"/>
      <c r="AD452" s="256" t="s">
        <v>191</v>
      </c>
      <c r="AE452" s="256" t="s">
        <v>200</v>
      </c>
    </row>
    <row r="453" spans="1:31">
      <c r="A453" s="256" t="s">
        <v>192</v>
      </c>
      <c r="B453" s="256" t="s">
        <v>1486</v>
      </c>
      <c r="C453" s="256" t="s">
        <v>1472</v>
      </c>
      <c r="D453" s="256" t="s">
        <v>191</v>
      </c>
      <c r="E453" s="256">
        <v>4446711</v>
      </c>
      <c r="F453" s="256">
        <v>4451600</v>
      </c>
      <c r="G453" s="256" t="s">
        <v>201</v>
      </c>
      <c r="H453" s="256" t="s">
        <v>288</v>
      </c>
      <c r="I453" s="256" t="s">
        <v>199</v>
      </c>
      <c r="J453" s="256" t="s">
        <v>1501</v>
      </c>
      <c r="K453" s="259">
        <v>46132.229166666664</v>
      </c>
      <c r="L453" s="256"/>
      <c r="M453" s="259">
        <v>46133.229166666664</v>
      </c>
      <c r="N453" s="256"/>
      <c r="O453" s="256" t="s">
        <v>2289</v>
      </c>
      <c r="P453" s="259">
        <v>46151.229166666664</v>
      </c>
      <c r="Q453" s="256">
        <v>5</v>
      </c>
      <c r="R453" s="256"/>
      <c r="S453" s="256">
        <v>2</v>
      </c>
      <c r="T453" s="256"/>
      <c r="U453" s="256"/>
      <c r="V453" s="256"/>
      <c r="W453" s="256" t="s">
        <v>1555</v>
      </c>
      <c r="X453" s="259">
        <v>46112.547222222223</v>
      </c>
      <c r="Y453" s="256" t="s">
        <v>2308</v>
      </c>
      <c r="Z453" s="256" t="s">
        <v>2284</v>
      </c>
      <c r="AA453" s="256" t="s">
        <v>1565</v>
      </c>
      <c r="AB453" s="256"/>
      <c r="AC453" s="256"/>
      <c r="AD453" s="256" t="s">
        <v>191</v>
      </c>
      <c r="AE453" s="256" t="s">
        <v>200</v>
      </c>
    </row>
    <row r="454" spans="1:31">
      <c r="A454" s="256" t="s">
        <v>1505</v>
      </c>
      <c r="B454" s="256" t="s">
        <v>1471</v>
      </c>
      <c r="C454" s="256" t="s">
        <v>1472</v>
      </c>
      <c r="D454" s="256" t="s">
        <v>1506</v>
      </c>
      <c r="E454" s="256">
        <v>4440976</v>
      </c>
      <c r="F454" s="256">
        <v>4447064</v>
      </c>
      <c r="G454" s="256" t="s">
        <v>1346</v>
      </c>
      <c r="H454" s="256" t="s">
        <v>242</v>
      </c>
      <c r="I454" s="256" t="s">
        <v>199</v>
      </c>
      <c r="J454" s="256" t="s">
        <v>1501</v>
      </c>
      <c r="K454" s="259">
        <v>46132.229166666664</v>
      </c>
      <c r="L454" s="256"/>
      <c r="M454" s="256"/>
      <c r="N454" s="256"/>
      <c r="O454" s="256" t="s">
        <v>2290</v>
      </c>
      <c r="P454" s="259">
        <v>46151.229166666664</v>
      </c>
      <c r="Q454" s="256">
        <v>2</v>
      </c>
      <c r="R454" s="256"/>
      <c r="S454" s="256">
        <v>2</v>
      </c>
      <c r="T454" s="256"/>
      <c r="U454" s="256"/>
      <c r="V454" s="256"/>
      <c r="W454" s="256" t="s">
        <v>1508</v>
      </c>
      <c r="X454" s="259">
        <v>46110.464583333334</v>
      </c>
      <c r="Y454" s="256" t="s">
        <v>1560</v>
      </c>
      <c r="Z454" s="256" t="s">
        <v>2284</v>
      </c>
      <c r="AA454" s="256" t="s">
        <v>1492</v>
      </c>
      <c r="AB454" s="256"/>
      <c r="AC454" s="256"/>
      <c r="AD454" s="256" t="s">
        <v>1510</v>
      </c>
      <c r="AE454" s="256" t="s">
        <v>200</v>
      </c>
    </row>
    <row r="455" spans="1:31">
      <c r="A455" s="256" t="s">
        <v>286</v>
      </c>
      <c r="B455" s="256" t="s">
        <v>1471</v>
      </c>
      <c r="C455" s="256" t="s">
        <v>1661</v>
      </c>
      <c r="D455" s="256" t="s">
        <v>285</v>
      </c>
      <c r="E455" s="256">
        <v>4422839</v>
      </c>
      <c r="F455" s="256">
        <v>4449760</v>
      </c>
      <c r="G455" s="256" t="s">
        <v>750</v>
      </c>
      <c r="H455" s="256" t="s">
        <v>288</v>
      </c>
      <c r="I455" s="256" t="s">
        <v>387</v>
      </c>
      <c r="J455" s="256" t="s">
        <v>2309</v>
      </c>
      <c r="K455" s="259">
        <v>46132.229166666664</v>
      </c>
      <c r="L455" s="256"/>
      <c r="M455" s="259">
        <v>46135.229166666664</v>
      </c>
      <c r="N455" s="256"/>
      <c r="O455" s="256" t="s">
        <v>2310</v>
      </c>
      <c r="P455" s="259">
        <v>46151.229166666664</v>
      </c>
      <c r="Q455" s="256">
        <v>5</v>
      </c>
      <c r="R455" s="256"/>
      <c r="S455" s="256">
        <v>2</v>
      </c>
      <c r="T455" s="256"/>
      <c r="U455" s="256"/>
      <c r="V455" s="256"/>
      <c r="W455" s="256" t="s">
        <v>2311</v>
      </c>
      <c r="X455" s="259">
        <v>46111.786111111112</v>
      </c>
      <c r="Y455" s="256" t="s">
        <v>1560</v>
      </c>
      <c r="Z455" s="256" t="s">
        <v>2312</v>
      </c>
      <c r="AA455" s="256" t="s">
        <v>2313</v>
      </c>
      <c r="AB455" s="256"/>
      <c r="AC455" s="256"/>
      <c r="AD455" s="256" t="s">
        <v>2314</v>
      </c>
      <c r="AE455" s="256" t="s">
        <v>218</v>
      </c>
    </row>
    <row r="456" spans="1:31">
      <c r="A456" s="256" t="s">
        <v>286</v>
      </c>
      <c r="B456" s="256" t="s">
        <v>1486</v>
      </c>
      <c r="C456" s="256" t="s">
        <v>1661</v>
      </c>
      <c r="D456" s="256" t="s">
        <v>285</v>
      </c>
      <c r="E456" s="256">
        <v>4422839</v>
      </c>
      <c r="F456" s="256">
        <v>4449779</v>
      </c>
      <c r="G456" s="256" t="s">
        <v>287</v>
      </c>
      <c r="H456" s="256" t="s">
        <v>288</v>
      </c>
      <c r="I456" s="256" t="s">
        <v>217</v>
      </c>
      <c r="J456" s="256" t="s">
        <v>2309</v>
      </c>
      <c r="K456" s="259">
        <v>46132.229166666664</v>
      </c>
      <c r="L456" s="256"/>
      <c r="M456" s="256"/>
      <c r="N456" s="256"/>
      <c r="O456" s="256" t="s">
        <v>2315</v>
      </c>
      <c r="P456" s="259">
        <v>46151.229166666664</v>
      </c>
      <c r="Q456" s="256">
        <v>5</v>
      </c>
      <c r="R456" s="256"/>
      <c r="S456" s="256">
        <v>2</v>
      </c>
      <c r="T456" s="256"/>
      <c r="U456" s="256"/>
      <c r="V456" s="256"/>
      <c r="W456" s="256" t="s">
        <v>2316</v>
      </c>
      <c r="X456" s="259">
        <v>46111.793749999997</v>
      </c>
      <c r="Y456" s="256" t="s">
        <v>1560</v>
      </c>
      <c r="Z456" s="256" t="s">
        <v>2317</v>
      </c>
      <c r="AA456" s="256" t="s">
        <v>1517</v>
      </c>
      <c r="AB456" s="256"/>
      <c r="AC456" s="256"/>
      <c r="AD456" s="256" t="s">
        <v>2318</v>
      </c>
      <c r="AE456" s="256" t="s">
        <v>218</v>
      </c>
    </row>
    <row r="457" spans="1:31">
      <c r="A457" s="256" t="s">
        <v>290</v>
      </c>
      <c r="B457" s="256" t="s">
        <v>1471</v>
      </c>
      <c r="C457" s="256" t="s">
        <v>1472</v>
      </c>
      <c r="D457" s="256" t="s">
        <v>289</v>
      </c>
      <c r="E457" s="256">
        <v>4436131</v>
      </c>
      <c r="F457" s="256">
        <v>4450157</v>
      </c>
      <c r="G457" s="256" t="s">
        <v>2319</v>
      </c>
      <c r="H457" s="256" t="s">
        <v>288</v>
      </c>
      <c r="I457" s="256" t="s">
        <v>292</v>
      </c>
      <c r="J457" s="256" t="s">
        <v>2309</v>
      </c>
      <c r="K457" s="259">
        <v>46135.104166666664</v>
      </c>
      <c r="L457" s="256"/>
      <c r="M457" s="259">
        <v>46140.229166666664</v>
      </c>
      <c r="N457" s="256"/>
      <c r="O457" s="256" t="s">
        <v>2320</v>
      </c>
      <c r="P457" s="259">
        <v>46151.229166666664</v>
      </c>
      <c r="Q457" s="256">
        <v>7</v>
      </c>
      <c r="R457" s="256"/>
      <c r="S457" s="256">
        <v>2</v>
      </c>
      <c r="T457" s="256"/>
      <c r="U457" s="256"/>
      <c r="V457" s="256"/>
      <c r="W457" s="256" t="s">
        <v>2311</v>
      </c>
      <c r="X457" s="259">
        <v>46111.870833333334</v>
      </c>
      <c r="Y457" s="256" t="s">
        <v>205</v>
      </c>
      <c r="Z457" s="256" t="s">
        <v>2321</v>
      </c>
      <c r="AA457" s="256" t="s">
        <v>1492</v>
      </c>
      <c r="AB457" s="256"/>
      <c r="AC457" s="256"/>
      <c r="AD457" s="256" t="s">
        <v>2322</v>
      </c>
      <c r="AE457" s="256" t="s">
        <v>218</v>
      </c>
    </row>
    <row r="458" spans="1:31">
      <c r="A458" s="256" t="s">
        <v>206</v>
      </c>
      <c r="B458" s="256" t="s">
        <v>1471</v>
      </c>
      <c r="C458" s="256" t="s">
        <v>280</v>
      </c>
      <c r="D458" s="256" t="s">
        <v>205</v>
      </c>
      <c r="E458" s="256">
        <v>4368214</v>
      </c>
      <c r="F458" s="256">
        <v>4467788</v>
      </c>
      <c r="G458" s="256" t="s">
        <v>210</v>
      </c>
      <c r="H458" s="256" t="s">
        <v>198</v>
      </c>
      <c r="I458" s="256" t="s">
        <v>292</v>
      </c>
      <c r="J458" s="256" t="s">
        <v>2309</v>
      </c>
      <c r="K458" s="259">
        <v>46134.229166666664</v>
      </c>
      <c r="L458" s="256"/>
      <c r="M458" s="259">
        <v>46140.229166666664</v>
      </c>
      <c r="N458" s="256"/>
      <c r="O458" s="256" t="s">
        <v>2323</v>
      </c>
      <c r="P458" s="259">
        <v>46151.229166666664</v>
      </c>
      <c r="Q458" s="256"/>
      <c r="R458" s="256"/>
      <c r="S458" s="256">
        <v>2</v>
      </c>
      <c r="T458" s="256"/>
      <c r="U458" s="256"/>
      <c r="V458" s="256"/>
      <c r="W458" s="256" t="s">
        <v>2324</v>
      </c>
      <c r="X458" s="259">
        <v>46119.805555555555</v>
      </c>
      <c r="Y458" s="256" t="s">
        <v>2325</v>
      </c>
      <c r="Z458" s="256" t="s">
        <v>2321</v>
      </c>
      <c r="AA458" s="256" t="s">
        <v>1517</v>
      </c>
      <c r="AB458" s="256"/>
      <c r="AC458" s="256"/>
      <c r="AD458" s="256" t="s">
        <v>2326</v>
      </c>
      <c r="AE458" s="256" t="s">
        <v>218</v>
      </c>
    </row>
    <row r="459" spans="1:31">
      <c r="A459" s="256" t="s">
        <v>206</v>
      </c>
      <c r="B459" s="256" t="s">
        <v>1471</v>
      </c>
      <c r="C459" s="256" t="s">
        <v>280</v>
      </c>
      <c r="D459" s="256" t="s">
        <v>205</v>
      </c>
      <c r="E459" s="256">
        <v>4368214</v>
      </c>
      <c r="F459" s="256">
        <v>4467805</v>
      </c>
      <c r="G459" s="256" t="s">
        <v>207</v>
      </c>
      <c r="H459" s="256" t="s">
        <v>242</v>
      </c>
      <c r="I459" s="256" t="s">
        <v>424</v>
      </c>
      <c r="J459" s="256" t="s">
        <v>2309</v>
      </c>
      <c r="K459" s="259">
        <v>46136.020833333336</v>
      </c>
      <c r="L459" s="256"/>
      <c r="M459" s="259">
        <v>46140.229166666664</v>
      </c>
      <c r="N459" s="256"/>
      <c r="O459" s="256" t="s">
        <v>2327</v>
      </c>
      <c r="P459" s="259">
        <v>46151.229166666664</v>
      </c>
      <c r="Q459" s="256"/>
      <c r="R459" s="256"/>
      <c r="S459" s="256">
        <v>2</v>
      </c>
      <c r="T459" s="256"/>
      <c r="U459" s="256"/>
      <c r="V459" s="256"/>
      <c r="W459" s="256" t="s">
        <v>2324</v>
      </c>
      <c r="X459" s="259">
        <v>46119.813194444447</v>
      </c>
      <c r="Y459" s="256" t="s">
        <v>2325</v>
      </c>
      <c r="Z459" s="256" t="s">
        <v>2328</v>
      </c>
      <c r="AA459" s="256" t="s">
        <v>2329</v>
      </c>
      <c r="AB459" s="256"/>
      <c r="AC459" s="256"/>
      <c r="AD459" s="256" t="s">
        <v>2326</v>
      </c>
      <c r="AE459" s="256" t="s">
        <v>218</v>
      </c>
    </row>
    <row r="460" spans="1:31">
      <c r="A460" s="256" t="s">
        <v>1505</v>
      </c>
      <c r="B460" s="256" t="s">
        <v>1471</v>
      </c>
      <c r="C460" s="256" t="s">
        <v>1472</v>
      </c>
      <c r="D460" s="256" t="s">
        <v>1506</v>
      </c>
      <c r="E460" s="256">
        <v>4440976</v>
      </c>
      <c r="F460" s="256">
        <v>4446619</v>
      </c>
      <c r="G460" s="256" t="s">
        <v>1342</v>
      </c>
      <c r="H460" s="256" t="s">
        <v>305</v>
      </c>
      <c r="I460" s="256" t="s">
        <v>217</v>
      </c>
      <c r="J460" s="256" t="s">
        <v>2309</v>
      </c>
      <c r="K460" s="259">
        <v>46134.229166666664</v>
      </c>
      <c r="L460" s="259">
        <v>46126.90902777778</v>
      </c>
      <c r="M460" s="256"/>
      <c r="N460" s="256"/>
      <c r="O460" s="256" t="s">
        <v>2330</v>
      </c>
      <c r="P460" s="259">
        <v>46151.229166666664</v>
      </c>
      <c r="Q460" s="256">
        <v>1</v>
      </c>
      <c r="R460" s="256"/>
      <c r="S460" s="256">
        <v>2</v>
      </c>
      <c r="T460" s="256"/>
      <c r="U460" s="256" t="s">
        <v>1</v>
      </c>
      <c r="V460" s="256" t="s">
        <v>1</v>
      </c>
      <c r="W460" s="256" t="s">
        <v>1508</v>
      </c>
      <c r="X460" s="259">
        <v>46108.725694444445</v>
      </c>
      <c r="Y460" s="256" t="s">
        <v>1560</v>
      </c>
      <c r="Z460" s="256" t="s">
        <v>2317</v>
      </c>
      <c r="AA460" s="256" t="s">
        <v>1492</v>
      </c>
      <c r="AB460" s="256"/>
      <c r="AC460" s="256"/>
      <c r="AD460" s="256" t="s">
        <v>1510</v>
      </c>
      <c r="AE460" s="256" t="s">
        <v>218</v>
      </c>
    </row>
    <row r="461" spans="1:31">
      <c r="A461" s="256" t="s">
        <v>421</v>
      </c>
      <c r="B461" s="256" t="s">
        <v>1471</v>
      </c>
      <c r="C461" s="256" t="s">
        <v>1661</v>
      </c>
      <c r="D461" s="256" t="s">
        <v>205</v>
      </c>
      <c r="E461" s="256">
        <v>4341363</v>
      </c>
      <c r="F461" s="256">
        <v>4439846</v>
      </c>
      <c r="G461" s="256" t="s">
        <v>432</v>
      </c>
      <c r="H461" s="256" t="s">
        <v>393</v>
      </c>
      <c r="I461" s="256" t="s">
        <v>292</v>
      </c>
      <c r="J461" s="256" t="s">
        <v>2309</v>
      </c>
      <c r="K461" s="259">
        <v>46135.104166666664</v>
      </c>
      <c r="L461" s="256"/>
      <c r="M461" s="259">
        <v>46140.229166666664</v>
      </c>
      <c r="N461" s="256"/>
      <c r="O461" s="256" t="s">
        <v>2320</v>
      </c>
      <c r="P461" s="259">
        <v>46151.229166666664</v>
      </c>
      <c r="Q461" s="256"/>
      <c r="R461" s="256"/>
      <c r="S461" s="256">
        <v>2</v>
      </c>
      <c r="T461" s="256"/>
      <c r="U461" s="256" t="s">
        <v>1</v>
      </c>
      <c r="V461" s="256" t="s">
        <v>1</v>
      </c>
      <c r="W461" s="256" t="s">
        <v>2311</v>
      </c>
      <c r="X461" s="259">
        <v>46105.521527777775</v>
      </c>
      <c r="Y461" s="256" t="s">
        <v>205</v>
      </c>
      <c r="Z461" s="256" t="s">
        <v>2321</v>
      </c>
      <c r="AA461" s="256" t="s">
        <v>1492</v>
      </c>
      <c r="AB461" s="256"/>
      <c r="AC461" s="256"/>
      <c r="AD461" s="256" t="s">
        <v>2331</v>
      </c>
      <c r="AE461" s="256" t="s">
        <v>218</v>
      </c>
    </row>
    <row r="462" spans="1:31">
      <c r="A462" s="256" t="s">
        <v>286</v>
      </c>
      <c r="B462" s="256" t="s">
        <v>1486</v>
      </c>
      <c r="C462" s="256" t="s">
        <v>1661</v>
      </c>
      <c r="D462" s="256" t="s">
        <v>378</v>
      </c>
      <c r="E462" s="256">
        <v>4422839</v>
      </c>
      <c r="F462" s="256">
        <v>4423306</v>
      </c>
      <c r="G462" s="256" t="s">
        <v>379</v>
      </c>
      <c r="H462" s="256" t="s">
        <v>288</v>
      </c>
      <c r="I462" s="256" t="s">
        <v>381</v>
      </c>
      <c r="J462" s="256" t="s">
        <v>1728</v>
      </c>
      <c r="K462" s="259">
        <v>46132.979166666664</v>
      </c>
      <c r="L462" s="256"/>
      <c r="M462" s="259">
        <v>46136.229166666664</v>
      </c>
      <c r="N462" s="256"/>
      <c r="O462" s="256" t="s">
        <v>2332</v>
      </c>
      <c r="P462" s="259">
        <v>46151.229166666664</v>
      </c>
      <c r="Q462" s="256">
        <v>5</v>
      </c>
      <c r="R462" s="256"/>
      <c r="S462" s="256">
        <v>2</v>
      </c>
      <c r="T462" s="256"/>
      <c r="U462" s="256"/>
      <c r="V462" s="256" t="s">
        <v>1</v>
      </c>
      <c r="W462" s="256" t="s">
        <v>2316</v>
      </c>
      <c r="X462" s="259">
        <v>46093.650694444441</v>
      </c>
      <c r="Y462" s="256" t="s">
        <v>1560</v>
      </c>
      <c r="Z462" s="256" t="s">
        <v>2333</v>
      </c>
      <c r="AA462" s="256" t="s">
        <v>2334</v>
      </c>
      <c r="AB462" s="256"/>
      <c r="AC462" s="256"/>
      <c r="AD462" s="256" t="s">
        <v>2335</v>
      </c>
      <c r="AE462" s="256" t="s">
        <v>218</v>
      </c>
    </row>
    <row r="463" spans="1:31">
      <c r="A463" s="256" t="s">
        <v>290</v>
      </c>
      <c r="B463" s="256" t="s">
        <v>1486</v>
      </c>
      <c r="C463" s="256" t="s">
        <v>1661</v>
      </c>
      <c r="D463" s="256" t="s">
        <v>205</v>
      </c>
      <c r="E463" s="256">
        <v>4436131</v>
      </c>
      <c r="F463" s="256">
        <v>4423815</v>
      </c>
      <c r="G463" s="256" t="s">
        <v>451</v>
      </c>
      <c r="H463" s="256" t="s">
        <v>359</v>
      </c>
      <c r="I463" s="256" t="s">
        <v>381</v>
      </c>
      <c r="J463" s="256" t="s">
        <v>2309</v>
      </c>
      <c r="K463" s="259">
        <v>46126.736111111109</v>
      </c>
      <c r="L463" s="259">
        <v>46128.636111111111</v>
      </c>
      <c r="M463" s="259">
        <v>46127.229166666664</v>
      </c>
      <c r="N463" s="256"/>
      <c r="O463" s="256" t="s">
        <v>2336</v>
      </c>
      <c r="P463" s="259">
        <v>46151.229166666664</v>
      </c>
      <c r="Q463" s="256">
        <v>1</v>
      </c>
      <c r="R463" s="256"/>
      <c r="S463" s="256">
        <v>2</v>
      </c>
      <c r="T463" s="256"/>
      <c r="U463" s="256" t="s">
        <v>1</v>
      </c>
      <c r="V463" s="256" t="s">
        <v>1</v>
      </c>
      <c r="W463" s="256" t="s">
        <v>2337</v>
      </c>
      <c r="X463" s="259">
        <v>46093.813194444447</v>
      </c>
      <c r="Y463" s="256" t="s">
        <v>205</v>
      </c>
      <c r="Z463" s="256" t="s">
        <v>2333</v>
      </c>
      <c r="AA463" s="256" t="s">
        <v>2334</v>
      </c>
      <c r="AB463" s="256"/>
      <c r="AC463" s="256"/>
      <c r="AD463" s="256" t="s">
        <v>2338</v>
      </c>
      <c r="AE463" s="256" t="s">
        <v>218</v>
      </c>
    </row>
    <row r="464" spans="1:31">
      <c r="A464" s="256" t="s">
        <v>2339</v>
      </c>
      <c r="B464" s="256" t="s">
        <v>1471</v>
      </c>
      <c r="C464" s="256" t="s">
        <v>1661</v>
      </c>
      <c r="D464" s="256" t="s">
        <v>2340</v>
      </c>
      <c r="E464" s="256">
        <v>4334542</v>
      </c>
      <c r="F464" s="256">
        <v>4430431</v>
      </c>
      <c r="G464" s="256" t="s">
        <v>571</v>
      </c>
      <c r="H464" s="256" t="s">
        <v>288</v>
      </c>
      <c r="I464" s="256" t="s">
        <v>381</v>
      </c>
      <c r="J464" s="256" t="s">
        <v>2309</v>
      </c>
      <c r="K464" s="259">
        <v>46132.229166666664</v>
      </c>
      <c r="L464" s="256"/>
      <c r="M464" s="259">
        <v>46135.229166666664</v>
      </c>
      <c r="N464" s="256"/>
      <c r="O464" s="256" t="s">
        <v>2332</v>
      </c>
      <c r="P464" s="259">
        <v>46151.229166666664</v>
      </c>
      <c r="Q464" s="256">
        <v>1</v>
      </c>
      <c r="R464" s="256"/>
      <c r="S464" s="256">
        <v>2</v>
      </c>
      <c r="T464" s="256"/>
      <c r="U464" s="256"/>
      <c r="V464" s="256" t="s">
        <v>1</v>
      </c>
      <c r="W464" s="256" t="s">
        <v>1662</v>
      </c>
      <c r="X464" s="259">
        <v>46098.470138888886</v>
      </c>
      <c r="Y464" s="256" t="s">
        <v>1560</v>
      </c>
      <c r="Z464" s="256" t="s">
        <v>2333</v>
      </c>
      <c r="AA464" s="256" t="s">
        <v>2334</v>
      </c>
      <c r="AB464" s="256"/>
      <c r="AC464" s="256"/>
      <c r="AD464" s="256" t="s">
        <v>2341</v>
      </c>
      <c r="AE464" s="256" t="s">
        <v>218</v>
      </c>
    </row>
    <row r="465" spans="1:31">
      <c r="A465" s="256" t="s">
        <v>445</v>
      </c>
      <c r="B465" s="256" t="s">
        <v>1486</v>
      </c>
      <c r="C465" s="256" t="s">
        <v>1661</v>
      </c>
      <c r="D465" s="256" t="s">
        <v>444</v>
      </c>
      <c r="E465" s="256">
        <v>4283187</v>
      </c>
      <c r="F465" s="256">
        <v>4431151</v>
      </c>
      <c r="G465" s="256" t="s">
        <v>446</v>
      </c>
      <c r="H465" s="256" t="s">
        <v>305</v>
      </c>
      <c r="I465" s="256" t="s">
        <v>387</v>
      </c>
      <c r="J465" s="256" t="s">
        <v>2309</v>
      </c>
      <c r="K465" s="259">
        <v>46132.229166666664</v>
      </c>
      <c r="L465" s="259">
        <v>46127.65902777778</v>
      </c>
      <c r="M465" s="259">
        <v>46134.229166666664</v>
      </c>
      <c r="N465" s="256"/>
      <c r="O465" s="256" t="s">
        <v>2342</v>
      </c>
      <c r="P465" s="259">
        <v>46151.229166666664</v>
      </c>
      <c r="Q465" s="256">
        <v>2</v>
      </c>
      <c r="R465" s="256"/>
      <c r="S465" s="256">
        <v>2</v>
      </c>
      <c r="T465" s="256"/>
      <c r="U465" s="256" t="s">
        <v>1</v>
      </c>
      <c r="V465" s="256" t="s">
        <v>1</v>
      </c>
      <c r="W465" s="256" t="s">
        <v>2343</v>
      </c>
      <c r="X465" s="259">
        <v>46098.544444444444</v>
      </c>
      <c r="Y465" s="256" t="s">
        <v>1560</v>
      </c>
      <c r="Z465" s="256" t="s">
        <v>2312</v>
      </c>
      <c r="AA465" s="256" t="s">
        <v>2313</v>
      </c>
      <c r="AB465" s="256"/>
      <c r="AC465" s="256"/>
      <c r="AD465" s="256" t="s">
        <v>378</v>
      </c>
      <c r="AE465" s="256" t="s">
        <v>218</v>
      </c>
    </row>
    <row r="466" spans="1:31">
      <c r="A466" s="256" t="s">
        <v>2339</v>
      </c>
      <c r="B466" s="256" t="s">
        <v>1471</v>
      </c>
      <c r="C466" s="256" t="s">
        <v>1661</v>
      </c>
      <c r="D466" s="256" t="s">
        <v>2340</v>
      </c>
      <c r="E466" s="256">
        <v>4334542</v>
      </c>
      <c r="F466" s="256">
        <v>4424935</v>
      </c>
      <c r="G466" s="256" t="s">
        <v>575</v>
      </c>
      <c r="H466" s="256" t="s">
        <v>305</v>
      </c>
      <c r="I466" s="256" t="s">
        <v>381</v>
      </c>
      <c r="J466" s="256" t="s">
        <v>2309</v>
      </c>
      <c r="K466" s="259">
        <v>46125.229166666664</v>
      </c>
      <c r="L466" s="259">
        <v>46125.229166666664</v>
      </c>
      <c r="M466" s="259">
        <v>46128.229166666664</v>
      </c>
      <c r="N466" s="256"/>
      <c r="O466" s="256" t="s">
        <v>2336</v>
      </c>
      <c r="P466" s="259">
        <v>46151.229166666664</v>
      </c>
      <c r="Q466" s="256">
        <v>1</v>
      </c>
      <c r="R466" s="256"/>
      <c r="S466" s="256">
        <v>2</v>
      </c>
      <c r="T466" s="256"/>
      <c r="U466" s="256" t="s">
        <v>1</v>
      </c>
      <c r="V466" s="256" t="s">
        <v>1</v>
      </c>
      <c r="W466" s="256" t="s">
        <v>1662</v>
      </c>
      <c r="X466" s="259">
        <v>46094.51666666667</v>
      </c>
      <c r="Y466" s="256" t="s">
        <v>1560</v>
      </c>
      <c r="Z466" s="256" t="s">
        <v>2333</v>
      </c>
      <c r="AA466" s="256" t="s">
        <v>2334</v>
      </c>
      <c r="AB466" s="256"/>
      <c r="AC466" s="256"/>
      <c r="AD466" s="256" t="s">
        <v>2344</v>
      </c>
      <c r="AE466" s="256" t="s">
        <v>218</v>
      </c>
    </row>
    <row r="467" spans="1:31">
      <c r="A467" s="256" t="s">
        <v>426</v>
      </c>
      <c r="B467" s="256" t="s">
        <v>1471</v>
      </c>
      <c r="C467" s="256" t="s">
        <v>1661</v>
      </c>
      <c r="D467" s="256" t="s">
        <v>205</v>
      </c>
      <c r="E467" s="256">
        <v>4436136</v>
      </c>
      <c r="F467" s="256">
        <v>4436093</v>
      </c>
      <c r="G467" s="256" t="s">
        <v>441</v>
      </c>
      <c r="H467" s="256" t="s">
        <v>198</v>
      </c>
      <c r="I467" s="256" t="s">
        <v>292</v>
      </c>
      <c r="J467" s="256" t="s">
        <v>2309</v>
      </c>
      <c r="K467" s="259">
        <v>46135.104166666664</v>
      </c>
      <c r="L467" s="256"/>
      <c r="M467" s="259">
        <v>46139.229166666664</v>
      </c>
      <c r="N467" s="256"/>
      <c r="O467" s="256" t="s">
        <v>2345</v>
      </c>
      <c r="P467" s="259">
        <v>46151.229166666664</v>
      </c>
      <c r="Q467" s="256"/>
      <c r="R467" s="256"/>
      <c r="S467" s="256">
        <v>2</v>
      </c>
      <c r="T467" s="256"/>
      <c r="U467" s="256"/>
      <c r="V467" s="256"/>
      <c r="W467" s="256" t="s">
        <v>2346</v>
      </c>
      <c r="X467" s="259">
        <v>46100.020138888889</v>
      </c>
      <c r="Y467" s="256" t="s">
        <v>205</v>
      </c>
      <c r="Z467" s="256" t="s">
        <v>2321</v>
      </c>
      <c r="AA467" s="256" t="s">
        <v>1517</v>
      </c>
      <c r="AB467" s="256"/>
      <c r="AC467" s="256"/>
      <c r="AD467" s="256" t="s">
        <v>2335</v>
      </c>
      <c r="AE467" s="256" t="s">
        <v>218</v>
      </c>
    </row>
    <row r="468" spans="1:31">
      <c r="A468" s="256" t="s">
        <v>442</v>
      </c>
      <c r="B468" s="256" t="s">
        <v>1471</v>
      </c>
      <c r="C468" s="256" t="s">
        <v>1661</v>
      </c>
      <c r="D468" s="256" t="s">
        <v>205</v>
      </c>
      <c r="E468" s="256">
        <v>4436144</v>
      </c>
      <c r="F468" s="256">
        <v>4435907</v>
      </c>
      <c r="G468" s="256" t="s">
        <v>443</v>
      </c>
      <c r="H468" s="256" t="s">
        <v>242</v>
      </c>
      <c r="I468" s="256" t="s">
        <v>292</v>
      </c>
      <c r="J468" s="256" t="s">
        <v>2309</v>
      </c>
      <c r="K468" s="259">
        <v>46135.104166666664</v>
      </c>
      <c r="L468" s="256"/>
      <c r="M468" s="259">
        <v>46139.229166666664</v>
      </c>
      <c r="N468" s="256"/>
      <c r="O468" s="256" t="s">
        <v>2345</v>
      </c>
      <c r="P468" s="259">
        <v>46151.229166666664</v>
      </c>
      <c r="Q468" s="256"/>
      <c r="R468" s="256"/>
      <c r="S468" s="256">
        <v>2</v>
      </c>
      <c r="T468" s="256"/>
      <c r="U468" s="256"/>
      <c r="V468" s="256"/>
      <c r="W468" s="256" t="s">
        <v>2311</v>
      </c>
      <c r="X468" s="259">
        <v>46099.88958333333</v>
      </c>
      <c r="Y468" s="256" t="s">
        <v>2347</v>
      </c>
      <c r="Z468" s="256" t="s">
        <v>2321</v>
      </c>
      <c r="AA468" s="256" t="s">
        <v>1517</v>
      </c>
      <c r="AB468" s="256"/>
      <c r="AC468" s="256"/>
      <c r="AD468" s="256" t="s">
        <v>2326</v>
      </c>
      <c r="AE468" s="256" t="s">
        <v>218</v>
      </c>
    </row>
    <row r="469" spans="1:31">
      <c r="A469" s="256" t="s">
        <v>286</v>
      </c>
      <c r="B469" s="256" t="s">
        <v>1471</v>
      </c>
      <c r="C469" s="256" t="s">
        <v>1661</v>
      </c>
      <c r="D469" s="256" t="s">
        <v>285</v>
      </c>
      <c r="E469" s="256">
        <v>4422839</v>
      </c>
      <c r="F469" s="256">
        <v>4437691</v>
      </c>
      <c r="G469" s="256" t="s">
        <v>582</v>
      </c>
      <c r="H469" s="256" t="s">
        <v>305</v>
      </c>
      <c r="I469" s="256" t="s">
        <v>381</v>
      </c>
      <c r="J469" s="256" t="s">
        <v>2309</v>
      </c>
      <c r="K469" s="259">
        <v>46134.229166666664</v>
      </c>
      <c r="L469" s="259">
        <v>46128.974999999999</v>
      </c>
      <c r="M469" s="259">
        <v>46139.229166666664</v>
      </c>
      <c r="N469" s="256"/>
      <c r="O469" s="256" t="s">
        <v>2348</v>
      </c>
      <c r="P469" s="259">
        <v>46151.229166666664</v>
      </c>
      <c r="Q469" s="256">
        <v>3</v>
      </c>
      <c r="R469" s="256"/>
      <c r="S469" s="256">
        <v>2</v>
      </c>
      <c r="T469" s="256"/>
      <c r="U469" s="256"/>
      <c r="V469" s="256" t="s">
        <v>1</v>
      </c>
      <c r="W469" s="256" t="s">
        <v>2311</v>
      </c>
      <c r="X469" s="259">
        <v>46101.586111111108</v>
      </c>
      <c r="Y469" s="256" t="s">
        <v>2349</v>
      </c>
      <c r="Z469" s="256" t="s">
        <v>2333</v>
      </c>
      <c r="AA469" s="256" t="s">
        <v>2334</v>
      </c>
      <c r="AB469" s="256"/>
      <c r="AC469" s="256"/>
      <c r="AD469" s="256" t="s">
        <v>2338</v>
      </c>
      <c r="AE469" s="256" t="s">
        <v>218</v>
      </c>
    </row>
    <row r="470" spans="1:31">
      <c r="A470" s="256" t="s">
        <v>2350</v>
      </c>
      <c r="B470" s="256" t="s">
        <v>1486</v>
      </c>
      <c r="C470" s="256" t="s">
        <v>2322</v>
      </c>
      <c r="D470" s="256" t="s">
        <v>344</v>
      </c>
      <c r="E470" s="256">
        <v>4411167</v>
      </c>
      <c r="F470" s="256">
        <v>4437647</v>
      </c>
      <c r="G470" s="256" t="s">
        <v>2351</v>
      </c>
      <c r="H470" s="256" t="s">
        <v>288</v>
      </c>
      <c r="I470" s="256" t="s">
        <v>396</v>
      </c>
      <c r="J470" s="256" t="s">
        <v>1728</v>
      </c>
      <c r="K470" s="259">
        <v>46132.229166666664</v>
      </c>
      <c r="L470" s="256"/>
      <c r="M470" s="259">
        <v>46136.9375</v>
      </c>
      <c r="N470" s="256"/>
      <c r="O470" s="256" t="s">
        <v>2352</v>
      </c>
      <c r="P470" s="259">
        <v>46151.229166666664</v>
      </c>
      <c r="Q470" s="256">
        <v>5</v>
      </c>
      <c r="R470" s="256"/>
      <c r="S470" s="256">
        <v>1</v>
      </c>
      <c r="T470" s="256"/>
      <c r="U470" s="256"/>
      <c r="V470" s="256"/>
      <c r="W470" s="256" t="s">
        <v>2353</v>
      </c>
      <c r="X470" s="259">
        <v>46101.552777777775</v>
      </c>
      <c r="Y470" s="256" t="s">
        <v>2354</v>
      </c>
      <c r="Z470" s="256" t="s">
        <v>2355</v>
      </c>
      <c r="AA470" s="256" t="s">
        <v>2356</v>
      </c>
      <c r="AB470" s="256"/>
      <c r="AC470" s="256"/>
      <c r="AD470" s="256" t="s">
        <v>344</v>
      </c>
      <c r="AE470" s="256" t="s">
        <v>218</v>
      </c>
    </row>
    <row r="471" spans="1:31">
      <c r="A471" s="256" t="s">
        <v>281</v>
      </c>
      <c r="B471" s="256" t="s">
        <v>1511</v>
      </c>
      <c r="C471" s="256" t="s">
        <v>280</v>
      </c>
      <c r="D471" s="256" t="s">
        <v>281</v>
      </c>
      <c r="E471" s="256">
        <v>4372279</v>
      </c>
      <c r="F471" s="256">
        <v>4438642</v>
      </c>
      <c r="G471" s="256" t="s">
        <v>2357</v>
      </c>
      <c r="H471" s="256" t="s">
        <v>1513</v>
      </c>
      <c r="I471" s="256" t="s">
        <v>217</v>
      </c>
      <c r="J471" s="256" t="s">
        <v>1488</v>
      </c>
      <c r="K471" s="259">
        <v>46134.229166666664</v>
      </c>
      <c r="L471" s="259">
        <v>46118.806944444441</v>
      </c>
      <c r="M471" s="259">
        <v>46135.229166666664</v>
      </c>
      <c r="N471" s="259">
        <v>46125.717361111114</v>
      </c>
      <c r="O471" s="256" t="s">
        <v>1514</v>
      </c>
      <c r="P471" s="259">
        <v>46151.229166666664</v>
      </c>
      <c r="Q471" s="256">
        <v>1</v>
      </c>
      <c r="R471" s="256"/>
      <c r="S471" s="256">
        <v>2</v>
      </c>
      <c r="T471" s="256"/>
      <c r="U471" s="256" t="s">
        <v>1</v>
      </c>
      <c r="V471" s="256" t="s">
        <v>1</v>
      </c>
      <c r="W471" s="256" t="s">
        <v>1515</v>
      </c>
      <c r="X471" s="259">
        <v>46104.443055555559</v>
      </c>
      <c r="Y471" s="256"/>
      <c r="Z471" s="256" t="s">
        <v>2317</v>
      </c>
      <c r="AA471" s="256" t="s">
        <v>1517</v>
      </c>
      <c r="AB471" s="256"/>
      <c r="AC471" s="256"/>
      <c r="AD471" s="256" t="s">
        <v>1518</v>
      </c>
      <c r="AE471" s="256" t="s">
        <v>218</v>
      </c>
    </row>
    <row r="472" spans="1:31">
      <c r="A472" s="256" t="s">
        <v>417</v>
      </c>
      <c r="B472" s="256" t="s">
        <v>1471</v>
      </c>
      <c r="C472" s="256" t="s">
        <v>1661</v>
      </c>
      <c r="D472" s="256" t="s">
        <v>2340</v>
      </c>
      <c r="E472" s="256">
        <v>4262937</v>
      </c>
      <c r="F472" s="256">
        <v>4261173</v>
      </c>
      <c r="G472" s="256" t="s">
        <v>569</v>
      </c>
      <c r="H472" s="256" t="s">
        <v>288</v>
      </c>
      <c r="I472" s="256" t="s">
        <v>381</v>
      </c>
      <c r="J472" s="256" t="s">
        <v>2309</v>
      </c>
      <c r="K472" s="259">
        <v>46129.979166666664</v>
      </c>
      <c r="L472" s="256"/>
      <c r="M472" s="256"/>
      <c r="N472" s="256"/>
      <c r="O472" s="256" t="s">
        <v>2332</v>
      </c>
      <c r="P472" s="259">
        <v>46151.229166666664</v>
      </c>
      <c r="Q472" s="256">
        <v>1</v>
      </c>
      <c r="R472" s="256"/>
      <c r="S472" s="256">
        <v>2</v>
      </c>
      <c r="T472" s="256"/>
      <c r="U472" s="256"/>
      <c r="V472" s="256" t="s">
        <v>1</v>
      </c>
      <c r="W472" s="256" t="s">
        <v>1662</v>
      </c>
      <c r="X472" s="259">
        <v>45992.565972222219</v>
      </c>
      <c r="Y472" s="256" t="s">
        <v>1560</v>
      </c>
      <c r="Z472" s="256" t="s">
        <v>2333</v>
      </c>
      <c r="AA472" s="256" t="s">
        <v>2334</v>
      </c>
      <c r="AB472" s="256"/>
      <c r="AC472" s="256"/>
      <c r="AD472" s="256" t="s">
        <v>2358</v>
      </c>
      <c r="AE472" s="256" t="s">
        <v>218</v>
      </c>
    </row>
    <row r="473" spans="1:31">
      <c r="A473" s="256" t="s">
        <v>417</v>
      </c>
      <c r="B473" s="256" t="s">
        <v>1471</v>
      </c>
      <c r="C473" s="256" t="s">
        <v>1661</v>
      </c>
      <c r="D473" s="256" t="s">
        <v>205</v>
      </c>
      <c r="E473" s="256">
        <v>4262937</v>
      </c>
      <c r="F473" s="256">
        <v>4265946</v>
      </c>
      <c r="G473" s="256" t="s">
        <v>423</v>
      </c>
      <c r="H473" s="256" t="s">
        <v>242</v>
      </c>
      <c r="I473" s="256" t="s">
        <v>424</v>
      </c>
      <c r="J473" s="256" t="s">
        <v>2309</v>
      </c>
      <c r="K473" s="259">
        <v>46135.104166666664</v>
      </c>
      <c r="L473" s="256"/>
      <c r="M473" s="259">
        <v>46139.229166666664</v>
      </c>
      <c r="N473" s="256"/>
      <c r="O473" s="256" t="s">
        <v>2359</v>
      </c>
      <c r="P473" s="259">
        <v>46151.229166666664</v>
      </c>
      <c r="Q473" s="256">
        <v>2</v>
      </c>
      <c r="R473" s="256"/>
      <c r="S473" s="256">
        <v>1</v>
      </c>
      <c r="T473" s="256"/>
      <c r="U473" s="256"/>
      <c r="V473" s="256"/>
      <c r="W473" s="256" t="s">
        <v>2346</v>
      </c>
      <c r="X473" s="259">
        <v>45992.81527777778</v>
      </c>
      <c r="Y473" s="256" t="s">
        <v>205</v>
      </c>
      <c r="Z473" s="256" t="s">
        <v>2328</v>
      </c>
      <c r="AA473" s="256" t="s">
        <v>1693</v>
      </c>
      <c r="AB473" s="256"/>
      <c r="AC473" s="256"/>
      <c r="AD473" s="256" t="s">
        <v>2326</v>
      </c>
      <c r="AE473" s="256" t="s">
        <v>218</v>
      </c>
    </row>
    <row r="474" spans="1:31">
      <c r="A474" s="256" t="s">
        <v>2360</v>
      </c>
      <c r="B474" s="256" t="s">
        <v>1471</v>
      </c>
      <c r="C474" s="256" t="s">
        <v>1472</v>
      </c>
      <c r="D474" s="256" t="s">
        <v>2361</v>
      </c>
      <c r="E474" s="256">
        <v>4282657</v>
      </c>
      <c r="F474" s="256">
        <v>4267330</v>
      </c>
      <c r="G474" s="256" t="s">
        <v>574</v>
      </c>
      <c r="H474" s="256" t="s">
        <v>305</v>
      </c>
      <c r="I474" s="256" t="s">
        <v>387</v>
      </c>
      <c r="J474" s="256" t="s">
        <v>2309</v>
      </c>
      <c r="K474" s="259">
        <v>46126.229166666664</v>
      </c>
      <c r="L474" s="259">
        <v>46126.229166666664</v>
      </c>
      <c r="M474" s="259">
        <v>46132.229166666664</v>
      </c>
      <c r="N474" s="256"/>
      <c r="O474" s="256" t="s">
        <v>2362</v>
      </c>
      <c r="P474" s="259">
        <v>46151.229166666664</v>
      </c>
      <c r="Q474" s="256">
        <v>1</v>
      </c>
      <c r="R474" s="256"/>
      <c r="S474" s="256">
        <v>2</v>
      </c>
      <c r="T474" s="256"/>
      <c r="U474" s="256" t="s">
        <v>1</v>
      </c>
      <c r="V474" s="256" t="s">
        <v>1</v>
      </c>
      <c r="W474" s="256" t="s">
        <v>1555</v>
      </c>
      <c r="X474" s="259">
        <v>45993.668749999997</v>
      </c>
      <c r="Y474" s="256" t="s">
        <v>1560</v>
      </c>
      <c r="Z474" s="256" t="s">
        <v>2312</v>
      </c>
      <c r="AA474" s="256" t="s">
        <v>2162</v>
      </c>
      <c r="AB474" s="256"/>
      <c r="AC474" s="256"/>
      <c r="AD474" s="256" t="s">
        <v>2363</v>
      </c>
      <c r="AE474" s="256" t="s">
        <v>218</v>
      </c>
    </row>
    <row r="475" spans="1:31">
      <c r="A475" s="256" t="s">
        <v>391</v>
      </c>
      <c r="B475" s="256" t="s">
        <v>1486</v>
      </c>
      <c r="C475" s="256" t="s">
        <v>1661</v>
      </c>
      <c r="D475" s="256" t="s">
        <v>378</v>
      </c>
      <c r="E475" s="256">
        <v>4165954</v>
      </c>
      <c r="F475" s="256">
        <v>4183616</v>
      </c>
      <c r="G475" s="256" t="s">
        <v>392</v>
      </c>
      <c r="H475" s="256" t="s">
        <v>305</v>
      </c>
      <c r="I475" s="256" t="s">
        <v>381</v>
      </c>
      <c r="J475" s="256" t="s">
        <v>1728</v>
      </c>
      <c r="K475" s="259">
        <v>46123.0625</v>
      </c>
      <c r="L475" s="259">
        <v>46122.664583333331</v>
      </c>
      <c r="M475" s="259">
        <v>46129.229166666664</v>
      </c>
      <c r="N475" s="256"/>
      <c r="O475" s="256" t="s">
        <v>2364</v>
      </c>
      <c r="P475" s="259">
        <v>46151.229166666664</v>
      </c>
      <c r="Q475" s="256">
        <v>1</v>
      </c>
      <c r="R475" s="256"/>
      <c r="S475" s="256">
        <v>2</v>
      </c>
      <c r="T475" s="256"/>
      <c r="U475" s="256" t="s">
        <v>1</v>
      </c>
      <c r="V475" s="256" t="s">
        <v>1</v>
      </c>
      <c r="W475" s="256" t="s">
        <v>2316</v>
      </c>
      <c r="X475" s="259">
        <v>45957.479166666664</v>
      </c>
      <c r="Y475" s="256" t="s">
        <v>1560</v>
      </c>
      <c r="Z475" s="256" t="s">
        <v>2333</v>
      </c>
      <c r="AA475" s="256" t="s">
        <v>2334</v>
      </c>
      <c r="AB475" s="256"/>
      <c r="AC475" s="256"/>
      <c r="AD475" s="256" t="s">
        <v>2335</v>
      </c>
      <c r="AE475" s="256" t="s">
        <v>218</v>
      </c>
    </row>
    <row r="476" spans="1:31">
      <c r="A476" s="256" t="s">
        <v>417</v>
      </c>
      <c r="B476" s="256" t="s">
        <v>1471</v>
      </c>
      <c r="C476" s="256" t="s">
        <v>1661</v>
      </c>
      <c r="D476" s="256" t="s">
        <v>416</v>
      </c>
      <c r="E476" s="256">
        <v>4262937</v>
      </c>
      <c r="F476" s="256">
        <v>4184295</v>
      </c>
      <c r="G476" s="256" t="s">
        <v>572</v>
      </c>
      <c r="H476" s="256" t="s">
        <v>288</v>
      </c>
      <c r="I476" s="256" t="s">
        <v>381</v>
      </c>
      <c r="J476" s="256" t="s">
        <v>2309</v>
      </c>
      <c r="K476" s="259">
        <v>46134.020833333336</v>
      </c>
      <c r="L476" s="256"/>
      <c r="M476" s="256"/>
      <c r="N476" s="256"/>
      <c r="O476" s="256" t="s">
        <v>2332</v>
      </c>
      <c r="P476" s="259">
        <v>46151.229166666664</v>
      </c>
      <c r="Q476" s="256">
        <v>7</v>
      </c>
      <c r="R476" s="256"/>
      <c r="S476" s="256">
        <v>2</v>
      </c>
      <c r="T476" s="256"/>
      <c r="U476" s="256"/>
      <c r="V476" s="256" t="s">
        <v>1</v>
      </c>
      <c r="W476" s="256" t="s">
        <v>1662</v>
      </c>
      <c r="X476" s="259">
        <v>45957.623611111114</v>
      </c>
      <c r="Y476" s="256" t="s">
        <v>1560</v>
      </c>
      <c r="Z476" s="256" t="s">
        <v>2333</v>
      </c>
      <c r="AA476" s="256" t="s">
        <v>2334</v>
      </c>
      <c r="AB476" s="256"/>
      <c r="AC476" s="256"/>
      <c r="AD476" s="256" t="s">
        <v>2365</v>
      </c>
      <c r="AE476" s="256" t="s">
        <v>218</v>
      </c>
    </row>
    <row r="477" spans="1:31">
      <c r="A477" s="256" t="s">
        <v>434</v>
      </c>
      <c r="B477" s="256" t="s">
        <v>1471</v>
      </c>
      <c r="C477" s="256" t="s">
        <v>1661</v>
      </c>
      <c r="D477" s="256" t="s">
        <v>433</v>
      </c>
      <c r="E477" s="256">
        <v>4268320</v>
      </c>
      <c r="F477" s="256">
        <v>4187514</v>
      </c>
      <c r="G477" s="256" t="s">
        <v>435</v>
      </c>
      <c r="H477" s="256" t="s">
        <v>393</v>
      </c>
      <c r="I477" s="256" t="s">
        <v>381</v>
      </c>
      <c r="J477" s="256" t="s">
        <v>2309</v>
      </c>
      <c r="K477" s="259">
        <v>46129.0625</v>
      </c>
      <c r="L477" s="256"/>
      <c r="M477" s="259">
        <v>46133.229166666664</v>
      </c>
      <c r="N477" s="256"/>
      <c r="O477" s="256" t="s">
        <v>2366</v>
      </c>
      <c r="P477" s="259">
        <v>46151.229166666664</v>
      </c>
      <c r="Q477" s="256">
        <v>5</v>
      </c>
      <c r="R477" s="256"/>
      <c r="S477" s="256">
        <v>1</v>
      </c>
      <c r="T477" s="256"/>
      <c r="U477" s="256" t="s">
        <v>1</v>
      </c>
      <c r="V477" s="256" t="s">
        <v>1</v>
      </c>
      <c r="W477" s="256" t="s">
        <v>2346</v>
      </c>
      <c r="X477" s="259">
        <v>45959.025000000001</v>
      </c>
      <c r="Y477" s="256"/>
      <c r="Z477" s="256" t="s">
        <v>2333</v>
      </c>
      <c r="AA477" s="256" t="s">
        <v>2334</v>
      </c>
      <c r="AB477" s="256"/>
      <c r="AC477" s="256"/>
      <c r="AD477" s="256" t="s">
        <v>2367</v>
      </c>
      <c r="AE477" s="256" t="s">
        <v>218</v>
      </c>
    </row>
    <row r="478" spans="1:31">
      <c r="A478" s="256" t="s">
        <v>417</v>
      </c>
      <c r="B478" s="256" t="s">
        <v>1471</v>
      </c>
      <c r="C478" s="256" t="s">
        <v>1661</v>
      </c>
      <c r="D478" s="256" t="s">
        <v>416</v>
      </c>
      <c r="E478" s="256">
        <v>4262937</v>
      </c>
      <c r="F478" s="256">
        <v>4335613</v>
      </c>
      <c r="G478" s="256" t="s">
        <v>418</v>
      </c>
      <c r="H478" s="256" t="s">
        <v>288</v>
      </c>
      <c r="I478" s="256" t="s">
        <v>381</v>
      </c>
      <c r="J478" s="256" t="s">
        <v>2309</v>
      </c>
      <c r="K478" s="259">
        <v>46130.020833333336</v>
      </c>
      <c r="L478" s="256"/>
      <c r="M478" s="256"/>
      <c r="N478" s="256"/>
      <c r="O478" s="256" t="s">
        <v>2332</v>
      </c>
      <c r="P478" s="259">
        <v>46151.229166666664</v>
      </c>
      <c r="Q478" s="256">
        <v>2</v>
      </c>
      <c r="R478" s="256"/>
      <c r="S478" s="256">
        <v>2</v>
      </c>
      <c r="T478" s="256"/>
      <c r="U478" s="256"/>
      <c r="V478" s="256" t="s">
        <v>1</v>
      </c>
      <c r="W478" s="256" t="s">
        <v>1662</v>
      </c>
      <c r="X478" s="259">
        <v>46044.406944444447</v>
      </c>
      <c r="Y478" s="256" t="s">
        <v>1560</v>
      </c>
      <c r="Z478" s="256" t="s">
        <v>2333</v>
      </c>
      <c r="AA478" s="256" t="s">
        <v>2334</v>
      </c>
      <c r="AB478" s="256"/>
      <c r="AC478" s="256"/>
      <c r="AD478" s="256" t="s">
        <v>2365</v>
      </c>
      <c r="AE478" s="256" t="s">
        <v>218</v>
      </c>
    </row>
    <row r="479" spans="1:31">
      <c r="A479" s="256" t="s">
        <v>417</v>
      </c>
      <c r="B479" s="256" t="s">
        <v>1471</v>
      </c>
      <c r="C479" s="256" t="s">
        <v>1661</v>
      </c>
      <c r="D479" s="256" t="s">
        <v>416</v>
      </c>
      <c r="E479" s="256">
        <v>4262937</v>
      </c>
      <c r="F479" s="256">
        <v>4317632</v>
      </c>
      <c r="G479" s="256" t="s">
        <v>436</v>
      </c>
      <c r="H479" s="256" t="s">
        <v>288</v>
      </c>
      <c r="I479" s="256" t="s">
        <v>381</v>
      </c>
      <c r="J479" s="256" t="s">
        <v>2309</v>
      </c>
      <c r="K479" s="259">
        <v>46130.020833333336</v>
      </c>
      <c r="L479" s="256"/>
      <c r="M479" s="256"/>
      <c r="N479" s="256"/>
      <c r="O479" s="256" t="s">
        <v>2332</v>
      </c>
      <c r="P479" s="259">
        <v>46151.229166666664</v>
      </c>
      <c r="Q479" s="256">
        <v>2</v>
      </c>
      <c r="R479" s="256"/>
      <c r="S479" s="256">
        <v>2</v>
      </c>
      <c r="T479" s="256"/>
      <c r="U479" s="256"/>
      <c r="V479" s="256" t="s">
        <v>1</v>
      </c>
      <c r="W479" s="256" t="s">
        <v>1662</v>
      </c>
      <c r="X479" s="259">
        <v>46030.782638888886</v>
      </c>
      <c r="Y479" s="256" t="s">
        <v>1560</v>
      </c>
      <c r="Z479" s="256" t="s">
        <v>2333</v>
      </c>
      <c r="AA479" s="256" t="s">
        <v>2334</v>
      </c>
      <c r="AB479" s="256"/>
      <c r="AC479" s="256"/>
      <c r="AD479" s="256" t="s">
        <v>2365</v>
      </c>
      <c r="AE479" s="256" t="s">
        <v>218</v>
      </c>
    </row>
    <row r="480" spans="1:31">
      <c r="A480" s="256" t="s">
        <v>1660</v>
      </c>
      <c r="B480" s="256" t="s">
        <v>1471</v>
      </c>
      <c r="C480" s="256" t="s">
        <v>1661</v>
      </c>
      <c r="D480" s="256" t="s">
        <v>1404</v>
      </c>
      <c r="E480" s="256">
        <v>4445141</v>
      </c>
      <c r="F480" s="256">
        <v>3967653</v>
      </c>
      <c r="G480" s="256" t="s">
        <v>564</v>
      </c>
      <c r="H480" s="256" t="s">
        <v>305</v>
      </c>
      <c r="I480" s="256" t="s">
        <v>217</v>
      </c>
      <c r="J480" s="256" t="s">
        <v>2309</v>
      </c>
      <c r="K480" s="259">
        <v>46120.229166666664</v>
      </c>
      <c r="L480" s="259">
        <v>46120.229166666664</v>
      </c>
      <c r="M480" s="256"/>
      <c r="N480" s="256"/>
      <c r="O480" s="256" t="s">
        <v>2330</v>
      </c>
      <c r="P480" s="259">
        <v>46151.229166666664</v>
      </c>
      <c r="Q480" s="256">
        <v>2</v>
      </c>
      <c r="R480" s="256"/>
      <c r="S480" s="256">
        <v>2</v>
      </c>
      <c r="T480" s="256"/>
      <c r="U480" s="256" t="s">
        <v>1</v>
      </c>
      <c r="V480" s="256" t="s">
        <v>1</v>
      </c>
      <c r="W480" s="256" t="s">
        <v>1662</v>
      </c>
      <c r="X480" s="259">
        <v>45798.475694444445</v>
      </c>
      <c r="Y480" s="256" t="s">
        <v>1560</v>
      </c>
      <c r="Z480" s="256" t="s">
        <v>2317</v>
      </c>
      <c r="AA480" s="256" t="s">
        <v>1663</v>
      </c>
      <c r="AB480" s="256"/>
      <c r="AC480" s="256"/>
      <c r="AD480" s="256" t="s">
        <v>1664</v>
      </c>
      <c r="AE480" s="256" t="s">
        <v>218</v>
      </c>
    </row>
    <row r="481" spans="1:31">
      <c r="A481" s="256" t="s">
        <v>428</v>
      </c>
      <c r="B481" s="256" t="s">
        <v>1486</v>
      </c>
      <c r="C481" s="256" t="s">
        <v>1661</v>
      </c>
      <c r="D481" s="256" t="s">
        <v>378</v>
      </c>
      <c r="E481" s="256">
        <v>4151502</v>
      </c>
      <c r="F481" s="256">
        <v>4351779</v>
      </c>
      <c r="G481" s="256" t="s">
        <v>429</v>
      </c>
      <c r="H481" s="256" t="s">
        <v>305</v>
      </c>
      <c r="I481" s="256" t="s">
        <v>387</v>
      </c>
      <c r="J481" s="256" t="s">
        <v>2309</v>
      </c>
      <c r="K481" s="259">
        <v>46120.229166666664</v>
      </c>
      <c r="L481" s="259">
        <v>46119.698611111111</v>
      </c>
      <c r="M481" s="256"/>
      <c r="N481" s="256"/>
      <c r="O481" s="256" t="s">
        <v>2330</v>
      </c>
      <c r="P481" s="259">
        <v>46151.229166666664</v>
      </c>
      <c r="Q481" s="256">
        <v>3</v>
      </c>
      <c r="R481" s="256"/>
      <c r="S481" s="256">
        <v>2</v>
      </c>
      <c r="T481" s="256"/>
      <c r="U481" s="256" t="s">
        <v>1</v>
      </c>
      <c r="V481" s="256" t="s">
        <v>1</v>
      </c>
      <c r="W481" s="256" t="s">
        <v>2343</v>
      </c>
      <c r="X481" s="259">
        <v>46056.480555555558</v>
      </c>
      <c r="Y481" s="256" t="s">
        <v>1560</v>
      </c>
      <c r="Z481" s="256" t="s">
        <v>2312</v>
      </c>
      <c r="AA481" s="256" t="s">
        <v>2313</v>
      </c>
      <c r="AB481" s="256"/>
      <c r="AC481" s="256"/>
      <c r="AD481" s="256" t="s">
        <v>2368</v>
      </c>
      <c r="AE481" s="256" t="s">
        <v>218</v>
      </c>
    </row>
    <row r="482" spans="1:31">
      <c r="A482" s="256" t="s">
        <v>2369</v>
      </c>
      <c r="B482" s="256" t="s">
        <v>1511</v>
      </c>
      <c r="C482" s="256" t="s">
        <v>280</v>
      </c>
      <c r="D482" s="256" t="s">
        <v>255</v>
      </c>
      <c r="E482" s="256">
        <v>4341338</v>
      </c>
      <c r="F482" s="256">
        <v>4357874</v>
      </c>
      <c r="G482" s="256" t="s">
        <v>580</v>
      </c>
      <c r="H482" s="256" t="s">
        <v>288</v>
      </c>
      <c r="I482" s="256" t="s">
        <v>217</v>
      </c>
      <c r="J482" s="256" t="s">
        <v>2309</v>
      </c>
      <c r="K482" s="259">
        <v>46134.229166666664</v>
      </c>
      <c r="L482" s="256"/>
      <c r="M482" s="256"/>
      <c r="N482" s="256"/>
      <c r="O482" s="256" t="s">
        <v>2315</v>
      </c>
      <c r="P482" s="259">
        <v>46151.229166666664</v>
      </c>
      <c r="Q482" s="256">
        <v>2</v>
      </c>
      <c r="R482" s="256"/>
      <c r="S482" s="256">
        <v>2</v>
      </c>
      <c r="T482" s="256"/>
      <c r="U482" s="256"/>
      <c r="V482" s="256"/>
      <c r="W482" s="256" t="s">
        <v>1515</v>
      </c>
      <c r="X482" s="259">
        <v>46062.479861111111</v>
      </c>
      <c r="Y482" s="256" t="s">
        <v>1560</v>
      </c>
      <c r="Z482" s="256" t="s">
        <v>2317</v>
      </c>
      <c r="AA482" s="256" t="s">
        <v>1517</v>
      </c>
      <c r="AB482" s="256"/>
      <c r="AC482" s="256"/>
      <c r="AD482" s="256" t="s">
        <v>2108</v>
      </c>
      <c r="AE482" s="256" t="s">
        <v>218</v>
      </c>
    </row>
    <row r="483" spans="1:31">
      <c r="A483" s="256" t="s">
        <v>281</v>
      </c>
      <c r="B483" s="256" t="s">
        <v>1511</v>
      </c>
      <c r="C483" s="256" t="s">
        <v>280</v>
      </c>
      <c r="D483" s="256" t="s">
        <v>2370</v>
      </c>
      <c r="E483" s="256">
        <v>4372279</v>
      </c>
      <c r="F483" s="256">
        <v>4358519</v>
      </c>
      <c r="G483" s="256" t="s">
        <v>2371</v>
      </c>
      <c r="H483" s="256" t="s">
        <v>288</v>
      </c>
      <c r="I483" s="256" t="s">
        <v>381</v>
      </c>
      <c r="J483" s="256" t="s">
        <v>1488</v>
      </c>
      <c r="K483" s="259">
        <v>46134.229166666664</v>
      </c>
      <c r="L483" s="256"/>
      <c r="M483" s="256"/>
      <c r="N483" s="256"/>
      <c r="O483" s="256" t="s">
        <v>2332</v>
      </c>
      <c r="P483" s="259">
        <v>46151.229166666664</v>
      </c>
      <c r="Q483" s="256">
        <v>1</v>
      </c>
      <c r="R483" s="256"/>
      <c r="S483" s="256">
        <v>2</v>
      </c>
      <c r="T483" s="256"/>
      <c r="U483" s="256"/>
      <c r="V483" s="256"/>
      <c r="W483" s="256" t="s">
        <v>1786</v>
      </c>
      <c r="X483" s="259">
        <v>46062.756249999999</v>
      </c>
      <c r="Y483" s="256" t="s">
        <v>1560</v>
      </c>
      <c r="Z483" s="256" t="s">
        <v>2333</v>
      </c>
      <c r="AA483" s="256" t="s">
        <v>1788</v>
      </c>
      <c r="AB483" s="256"/>
      <c r="AC483" s="256"/>
      <c r="AD483" s="256" t="s">
        <v>2117</v>
      </c>
      <c r="AE483" s="256" t="s">
        <v>218</v>
      </c>
    </row>
    <row r="484" spans="1:31">
      <c r="A484" s="256" t="s">
        <v>438</v>
      </c>
      <c r="B484" s="256" t="s">
        <v>1486</v>
      </c>
      <c r="C484" s="256" t="s">
        <v>1661</v>
      </c>
      <c r="D484" s="256" t="s">
        <v>205</v>
      </c>
      <c r="E484" s="256">
        <v>4389866</v>
      </c>
      <c r="F484" s="256">
        <v>4361280</v>
      </c>
      <c r="G484" s="256" t="s">
        <v>439</v>
      </c>
      <c r="H484" s="256" t="s">
        <v>1760</v>
      </c>
      <c r="I484" s="256" t="s">
        <v>381</v>
      </c>
      <c r="J484" s="256" t="s">
        <v>2309</v>
      </c>
      <c r="K484" s="259">
        <v>46121.979166666664</v>
      </c>
      <c r="L484" s="259">
        <v>46128.703472222223</v>
      </c>
      <c r="M484" s="259">
        <v>46128.229166666664</v>
      </c>
      <c r="N484" s="256"/>
      <c r="O484" s="256" t="s">
        <v>2342</v>
      </c>
      <c r="P484" s="259">
        <v>46151.229166666664</v>
      </c>
      <c r="Q484" s="256">
        <v>1</v>
      </c>
      <c r="R484" s="256"/>
      <c r="S484" s="256">
        <v>2</v>
      </c>
      <c r="T484" s="256"/>
      <c r="U484" s="256"/>
      <c r="V484" s="256" t="s">
        <v>1</v>
      </c>
      <c r="W484" s="256" t="s">
        <v>2346</v>
      </c>
      <c r="X484" s="259">
        <v>46063.69027777778</v>
      </c>
      <c r="Y484" s="256" t="s">
        <v>205</v>
      </c>
      <c r="Z484" s="256" t="s">
        <v>2333</v>
      </c>
      <c r="AA484" s="256" t="s">
        <v>2334</v>
      </c>
      <c r="AB484" s="256"/>
      <c r="AC484" s="256"/>
      <c r="AD484" s="256" t="s">
        <v>2326</v>
      </c>
      <c r="AE484" s="256" t="s">
        <v>218</v>
      </c>
    </row>
    <row r="485" spans="1:31">
      <c r="A485" s="256" t="s">
        <v>286</v>
      </c>
      <c r="B485" s="256" t="s">
        <v>1486</v>
      </c>
      <c r="C485" s="256" t="s">
        <v>1661</v>
      </c>
      <c r="D485" s="256" t="s">
        <v>388</v>
      </c>
      <c r="E485" s="256">
        <v>4422839</v>
      </c>
      <c r="F485" s="256">
        <v>4390540</v>
      </c>
      <c r="G485" s="256" t="s">
        <v>389</v>
      </c>
      <c r="H485" s="256" t="s">
        <v>288</v>
      </c>
      <c r="I485" s="256" t="s">
        <v>387</v>
      </c>
      <c r="J485" s="256" t="s">
        <v>1728</v>
      </c>
      <c r="K485" s="259">
        <v>46132.229166666664</v>
      </c>
      <c r="L485" s="256"/>
      <c r="M485" s="259">
        <v>46139.229166666664</v>
      </c>
      <c r="N485" s="256"/>
      <c r="O485" s="256" t="s">
        <v>2310</v>
      </c>
      <c r="P485" s="259">
        <v>46151.229166666664</v>
      </c>
      <c r="Q485" s="256">
        <v>5</v>
      </c>
      <c r="R485" s="256"/>
      <c r="S485" s="256">
        <v>2</v>
      </c>
      <c r="T485" s="256"/>
      <c r="U485" s="256"/>
      <c r="V485" s="256"/>
      <c r="W485" s="256" t="s">
        <v>2343</v>
      </c>
      <c r="X485" s="259">
        <v>46077.77847222222</v>
      </c>
      <c r="Y485" s="256" t="s">
        <v>1560</v>
      </c>
      <c r="Z485" s="256" t="s">
        <v>2312</v>
      </c>
      <c r="AA485" s="256" t="s">
        <v>2313</v>
      </c>
      <c r="AB485" s="256"/>
      <c r="AC485" s="256"/>
      <c r="AD485" s="256" t="s">
        <v>2372</v>
      </c>
      <c r="AE485" s="256" t="s">
        <v>218</v>
      </c>
    </row>
    <row r="486" spans="1:31">
      <c r="A486" s="256" t="s">
        <v>286</v>
      </c>
      <c r="B486" s="256" t="s">
        <v>1486</v>
      </c>
      <c r="C486" s="256" t="s">
        <v>1661</v>
      </c>
      <c r="D486" s="256" t="s">
        <v>383</v>
      </c>
      <c r="E486" s="256">
        <v>4422839</v>
      </c>
      <c r="F486" s="256">
        <v>4390542</v>
      </c>
      <c r="G486" s="256" t="s">
        <v>384</v>
      </c>
      <c r="H486" s="256" t="s">
        <v>288</v>
      </c>
      <c r="I486" s="256" t="s">
        <v>387</v>
      </c>
      <c r="J486" s="256" t="s">
        <v>1728</v>
      </c>
      <c r="K486" s="259">
        <v>46132.229166666664</v>
      </c>
      <c r="L486" s="256"/>
      <c r="M486" s="259">
        <v>46139.229166666664</v>
      </c>
      <c r="N486" s="256"/>
      <c r="O486" s="256" t="s">
        <v>2373</v>
      </c>
      <c r="P486" s="259">
        <v>46151.229166666664</v>
      </c>
      <c r="Q486" s="256">
        <v>8</v>
      </c>
      <c r="R486" s="256"/>
      <c r="S486" s="256">
        <v>2</v>
      </c>
      <c r="T486" s="256"/>
      <c r="U486" s="256"/>
      <c r="V486" s="256"/>
      <c r="W486" s="256" t="s">
        <v>2343</v>
      </c>
      <c r="X486" s="259">
        <v>46077.779166666667</v>
      </c>
      <c r="Y486" s="256" t="s">
        <v>1560</v>
      </c>
      <c r="Z486" s="256" t="s">
        <v>2312</v>
      </c>
      <c r="AA486" s="256" t="s">
        <v>2313</v>
      </c>
      <c r="AB486" s="256"/>
      <c r="AC486" s="256"/>
      <c r="AD486" s="256" t="s">
        <v>2374</v>
      </c>
      <c r="AE486" s="256" t="s">
        <v>218</v>
      </c>
    </row>
    <row r="487" spans="1:31">
      <c r="A487" s="256" t="s">
        <v>361</v>
      </c>
      <c r="B487" s="256" t="s">
        <v>1471</v>
      </c>
      <c r="C487" s="256" t="s">
        <v>280</v>
      </c>
      <c r="D487" s="256" t="s">
        <v>360</v>
      </c>
      <c r="E487" s="256">
        <v>4372017</v>
      </c>
      <c r="F487" s="256">
        <v>4372031</v>
      </c>
      <c r="G487" s="256" t="s">
        <v>2375</v>
      </c>
      <c r="H487" s="256" t="s">
        <v>305</v>
      </c>
      <c r="I487" s="256" t="s">
        <v>381</v>
      </c>
      <c r="J487" s="256" t="s">
        <v>1728</v>
      </c>
      <c r="K487" s="259">
        <v>46130.104166666664</v>
      </c>
      <c r="L487" s="259">
        <v>46128.977083333331</v>
      </c>
      <c r="M487" s="259">
        <v>46133.229166666664</v>
      </c>
      <c r="N487" s="256"/>
      <c r="O487" s="256" t="s">
        <v>2364</v>
      </c>
      <c r="P487" s="259">
        <v>46151.229166666664</v>
      </c>
      <c r="Q487" s="256">
        <v>1</v>
      </c>
      <c r="R487" s="256"/>
      <c r="S487" s="256">
        <v>2</v>
      </c>
      <c r="T487" s="256"/>
      <c r="U487" s="256" t="s">
        <v>1</v>
      </c>
      <c r="V487" s="256" t="s">
        <v>1</v>
      </c>
      <c r="W487" s="256" t="s">
        <v>1691</v>
      </c>
      <c r="X487" s="259">
        <v>46071.390277777777</v>
      </c>
      <c r="Y487" s="256"/>
      <c r="Z487" s="256" t="s">
        <v>2333</v>
      </c>
      <c r="AA487" s="256" t="s">
        <v>2334</v>
      </c>
      <c r="AB487" s="256"/>
      <c r="AC487" s="256"/>
      <c r="AD487" s="256" t="s">
        <v>2145</v>
      </c>
      <c r="AE487" s="256" t="s">
        <v>218</v>
      </c>
    </row>
    <row r="488" spans="1:31">
      <c r="A488" s="256" t="s">
        <v>256</v>
      </c>
      <c r="B488" s="256" t="s">
        <v>1511</v>
      </c>
      <c r="C488" s="256" t="s">
        <v>280</v>
      </c>
      <c r="D488" s="256" t="s">
        <v>255</v>
      </c>
      <c r="E488" s="256">
        <v>4313249</v>
      </c>
      <c r="F488" s="256">
        <v>4371247</v>
      </c>
      <c r="G488" s="256" t="s">
        <v>578</v>
      </c>
      <c r="H488" s="256" t="s">
        <v>288</v>
      </c>
      <c r="I488" s="256" t="s">
        <v>387</v>
      </c>
      <c r="J488" s="256" t="s">
        <v>2309</v>
      </c>
      <c r="K488" s="259">
        <v>46134.229166666664</v>
      </c>
      <c r="L488" s="256"/>
      <c r="M488" s="256"/>
      <c r="N488" s="256"/>
      <c r="O488" s="256" t="s">
        <v>2376</v>
      </c>
      <c r="P488" s="259">
        <v>46151.229166666664</v>
      </c>
      <c r="Q488" s="256">
        <v>2</v>
      </c>
      <c r="R488" s="256"/>
      <c r="S488" s="256">
        <v>2</v>
      </c>
      <c r="T488" s="256"/>
      <c r="U488" s="256"/>
      <c r="V488" s="256"/>
      <c r="W488" s="256" t="s">
        <v>1515</v>
      </c>
      <c r="X488" s="259">
        <v>46070.46597222222</v>
      </c>
      <c r="Y488" s="256" t="s">
        <v>1560</v>
      </c>
      <c r="Z488" s="256" t="s">
        <v>2312</v>
      </c>
      <c r="AA488" s="256" t="s">
        <v>1517</v>
      </c>
      <c r="AB488" s="256"/>
      <c r="AC488" s="256"/>
      <c r="AD488" s="256" t="s">
        <v>2074</v>
      </c>
      <c r="AE488" s="256" t="s">
        <v>218</v>
      </c>
    </row>
    <row r="489" spans="1:31">
      <c r="A489" s="256" t="s">
        <v>421</v>
      </c>
      <c r="B489" s="256" t="s">
        <v>1471</v>
      </c>
      <c r="C489" s="256" t="s">
        <v>1661</v>
      </c>
      <c r="D489" s="256" t="s">
        <v>205</v>
      </c>
      <c r="E489" s="256">
        <v>4341363</v>
      </c>
      <c r="F489" s="256">
        <v>4368214</v>
      </c>
      <c r="G489" s="256" t="s">
        <v>206</v>
      </c>
      <c r="H489" s="256" t="s">
        <v>393</v>
      </c>
      <c r="I489" s="256" t="s">
        <v>292</v>
      </c>
      <c r="J489" s="256" t="s">
        <v>2309</v>
      </c>
      <c r="K489" s="259">
        <v>46135.104166666664</v>
      </c>
      <c r="L489" s="256"/>
      <c r="M489" s="259">
        <v>46139.229166666664</v>
      </c>
      <c r="N489" s="256"/>
      <c r="O489" s="256" t="s">
        <v>2320</v>
      </c>
      <c r="P489" s="259">
        <v>46151.229166666664</v>
      </c>
      <c r="Q489" s="256"/>
      <c r="R489" s="256"/>
      <c r="S489" s="256">
        <v>2</v>
      </c>
      <c r="T489" s="256"/>
      <c r="U489" s="256" t="s">
        <v>1</v>
      </c>
      <c r="V489" s="256" t="s">
        <v>1</v>
      </c>
      <c r="W489" s="256" t="s">
        <v>2346</v>
      </c>
      <c r="X489" s="259">
        <v>46066.904861111114</v>
      </c>
      <c r="Y489" s="256" t="s">
        <v>205</v>
      </c>
      <c r="Z489" s="256" t="s">
        <v>2321</v>
      </c>
      <c r="AA489" s="256" t="s">
        <v>1492</v>
      </c>
      <c r="AB489" s="256"/>
      <c r="AC489" s="256"/>
      <c r="AD489" s="256" t="s">
        <v>2326</v>
      </c>
      <c r="AE489" s="256" t="s">
        <v>218</v>
      </c>
    </row>
    <row r="490" spans="1:31">
      <c r="A490" s="256" t="s">
        <v>421</v>
      </c>
      <c r="B490" s="256" t="s">
        <v>1486</v>
      </c>
      <c r="C490" s="256" t="s">
        <v>1661</v>
      </c>
      <c r="D490" s="256" t="s">
        <v>205</v>
      </c>
      <c r="E490" s="256">
        <v>4341363</v>
      </c>
      <c r="F490" s="256">
        <v>4368217</v>
      </c>
      <c r="G490" s="256" t="s">
        <v>437</v>
      </c>
      <c r="H490" s="256" t="s">
        <v>359</v>
      </c>
      <c r="I490" s="256" t="s">
        <v>381</v>
      </c>
      <c r="J490" s="256" t="s">
        <v>2309</v>
      </c>
      <c r="K490" s="259">
        <v>46120.020833333336</v>
      </c>
      <c r="L490" s="259">
        <v>46120.99722222222</v>
      </c>
      <c r="M490" s="259">
        <v>46134.229166666664</v>
      </c>
      <c r="N490" s="256"/>
      <c r="O490" s="256" t="s">
        <v>2348</v>
      </c>
      <c r="P490" s="259">
        <v>46151.229166666664</v>
      </c>
      <c r="Q490" s="256">
        <v>1</v>
      </c>
      <c r="R490" s="256"/>
      <c r="S490" s="256">
        <v>2</v>
      </c>
      <c r="T490" s="256"/>
      <c r="U490" s="256" t="s">
        <v>1</v>
      </c>
      <c r="V490" s="256" t="s">
        <v>1</v>
      </c>
      <c r="W490" s="256" t="s">
        <v>2346</v>
      </c>
      <c r="X490" s="259">
        <v>46066.906944444447</v>
      </c>
      <c r="Y490" s="256" t="s">
        <v>205</v>
      </c>
      <c r="Z490" s="256" t="s">
        <v>2333</v>
      </c>
      <c r="AA490" s="256" t="s">
        <v>2334</v>
      </c>
      <c r="AB490" s="256"/>
      <c r="AC490" s="256"/>
      <c r="AD490" s="256" t="s">
        <v>2326</v>
      </c>
      <c r="AE490" s="256" t="s">
        <v>218</v>
      </c>
    </row>
    <row r="491" spans="1:31">
      <c r="A491" s="256" t="s">
        <v>426</v>
      </c>
      <c r="B491" s="256" t="s">
        <v>1471</v>
      </c>
      <c r="C491" s="256" t="s">
        <v>1661</v>
      </c>
      <c r="D491" s="256" t="s">
        <v>205</v>
      </c>
      <c r="E491" s="256">
        <v>4436136</v>
      </c>
      <c r="F491" s="256">
        <v>4368139</v>
      </c>
      <c r="G491" s="256" t="s">
        <v>427</v>
      </c>
      <c r="H491" s="256" t="s">
        <v>288</v>
      </c>
      <c r="I491" s="256" t="s">
        <v>292</v>
      </c>
      <c r="J491" s="256" t="s">
        <v>2309</v>
      </c>
      <c r="K491" s="259">
        <v>46135.104166666664</v>
      </c>
      <c r="L491" s="256"/>
      <c r="M491" s="259">
        <v>46139.229166666664</v>
      </c>
      <c r="N491" s="256"/>
      <c r="O491" s="256" t="s">
        <v>2323</v>
      </c>
      <c r="P491" s="259">
        <v>46151.229166666664</v>
      </c>
      <c r="Q491" s="256">
        <v>5</v>
      </c>
      <c r="R491" s="256"/>
      <c r="S491" s="256">
        <v>2</v>
      </c>
      <c r="T491" s="256"/>
      <c r="U491" s="256" t="s">
        <v>1</v>
      </c>
      <c r="V491" s="256" t="s">
        <v>1</v>
      </c>
      <c r="W491" s="256" t="s">
        <v>2346</v>
      </c>
      <c r="X491" s="259">
        <v>46066.86041666667</v>
      </c>
      <c r="Y491" s="256" t="s">
        <v>205</v>
      </c>
      <c r="Z491" s="256" t="s">
        <v>2321</v>
      </c>
      <c r="AA491" s="256" t="s">
        <v>1693</v>
      </c>
      <c r="AB491" s="256"/>
      <c r="AC491" s="256"/>
      <c r="AD491" s="256" t="s">
        <v>2335</v>
      </c>
      <c r="AE491" s="256" t="s">
        <v>218</v>
      </c>
    </row>
    <row r="492" spans="1:31">
      <c r="A492" s="256" t="s">
        <v>361</v>
      </c>
      <c r="B492" s="256" t="s">
        <v>1471</v>
      </c>
      <c r="C492" s="256" t="s">
        <v>280</v>
      </c>
      <c r="D492" s="256" t="s">
        <v>360</v>
      </c>
      <c r="E492" s="256">
        <v>4372017</v>
      </c>
      <c r="F492" s="256">
        <v>4362070</v>
      </c>
      <c r="G492" s="256" t="s">
        <v>2377</v>
      </c>
      <c r="H492" s="256" t="s">
        <v>288</v>
      </c>
      <c r="I492" s="256" t="s">
        <v>396</v>
      </c>
      <c r="J492" s="256" t="s">
        <v>1728</v>
      </c>
      <c r="K492" s="259">
        <v>46129.229166666664</v>
      </c>
      <c r="L492" s="256"/>
      <c r="M492" s="259">
        <v>46132.979166666664</v>
      </c>
      <c r="N492" s="256"/>
      <c r="O492" s="256" t="s">
        <v>2378</v>
      </c>
      <c r="P492" s="259">
        <v>46151.229166666664</v>
      </c>
      <c r="Q492" s="256">
        <v>2</v>
      </c>
      <c r="R492" s="256"/>
      <c r="S492" s="256">
        <v>2</v>
      </c>
      <c r="T492" s="256"/>
      <c r="U492" s="256"/>
      <c r="V492" s="256"/>
      <c r="W492" s="256" t="s">
        <v>1691</v>
      </c>
      <c r="X492" s="259">
        <v>46064.470833333333</v>
      </c>
      <c r="Y492" s="256"/>
      <c r="Z492" s="256" t="s">
        <v>2355</v>
      </c>
      <c r="AA492" s="256" t="s">
        <v>2356</v>
      </c>
      <c r="AB492" s="256"/>
      <c r="AC492" s="256"/>
      <c r="AD492" s="256" t="s">
        <v>2145</v>
      </c>
      <c r="AE492" s="256" t="s">
        <v>218</v>
      </c>
    </row>
    <row r="493" spans="1:31">
      <c r="A493" s="256" t="s">
        <v>361</v>
      </c>
      <c r="B493" s="256" t="s">
        <v>1471</v>
      </c>
      <c r="C493" s="256" t="s">
        <v>280</v>
      </c>
      <c r="D493" s="256" t="s">
        <v>360</v>
      </c>
      <c r="E493" s="256">
        <v>4372017</v>
      </c>
      <c r="F493" s="256">
        <v>4362088</v>
      </c>
      <c r="G493" s="256" t="s">
        <v>2379</v>
      </c>
      <c r="H493" s="256" t="s">
        <v>305</v>
      </c>
      <c r="I493" s="256" t="s">
        <v>381</v>
      </c>
      <c r="J493" s="256" t="s">
        <v>2309</v>
      </c>
      <c r="K493" s="259">
        <v>46129.979166666664</v>
      </c>
      <c r="L493" s="259">
        <v>46128.945138888892</v>
      </c>
      <c r="M493" s="259">
        <v>46132.229166666664</v>
      </c>
      <c r="N493" s="256"/>
      <c r="O493" s="256" t="s">
        <v>2362</v>
      </c>
      <c r="P493" s="259">
        <v>46151.229166666664</v>
      </c>
      <c r="Q493" s="256">
        <v>1</v>
      </c>
      <c r="R493" s="256"/>
      <c r="S493" s="256">
        <v>2</v>
      </c>
      <c r="T493" s="256"/>
      <c r="U493" s="256" t="s">
        <v>1</v>
      </c>
      <c r="V493" s="256" t="s">
        <v>1</v>
      </c>
      <c r="W493" s="256" t="s">
        <v>1691</v>
      </c>
      <c r="X493" s="259">
        <v>46064.47152777778</v>
      </c>
      <c r="Y493" s="256"/>
      <c r="Z493" s="256" t="s">
        <v>2333</v>
      </c>
      <c r="AA493" s="256" t="s">
        <v>2334</v>
      </c>
      <c r="AB493" s="256"/>
      <c r="AC493" s="256"/>
      <c r="AD493" s="256" t="s">
        <v>2145</v>
      </c>
      <c r="AE493" s="256" t="s">
        <v>218</v>
      </c>
    </row>
    <row r="494" spans="1:31">
      <c r="A494" s="256" t="s">
        <v>2380</v>
      </c>
      <c r="B494" s="256" t="s">
        <v>1471</v>
      </c>
      <c r="C494" s="256" t="s">
        <v>1574</v>
      </c>
      <c r="D494" s="256" t="s">
        <v>2381</v>
      </c>
      <c r="E494" s="256">
        <v>4436246</v>
      </c>
      <c r="F494" s="256">
        <v>4387265</v>
      </c>
      <c r="G494" s="256" t="s">
        <v>2382</v>
      </c>
      <c r="H494" s="256" t="s">
        <v>305</v>
      </c>
      <c r="I494" s="256" t="s">
        <v>2383</v>
      </c>
      <c r="J494" s="256" t="s">
        <v>2384</v>
      </c>
      <c r="K494" s="259">
        <v>46123.1875</v>
      </c>
      <c r="L494" s="259">
        <v>46123.1875</v>
      </c>
      <c r="M494" s="259">
        <v>46137.1875</v>
      </c>
      <c r="N494" s="256"/>
      <c r="O494" s="256" t="s">
        <v>2385</v>
      </c>
      <c r="P494" s="259">
        <v>46151.229166666664</v>
      </c>
      <c r="Q494" s="256">
        <v>8</v>
      </c>
      <c r="R494" s="256"/>
      <c r="S494" s="256">
        <v>2</v>
      </c>
      <c r="T494" s="256"/>
      <c r="U494" s="256" t="s">
        <v>1</v>
      </c>
      <c r="V494" s="256" t="s">
        <v>1</v>
      </c>
      <c r="W494" s="256" t="s">
        <v>2386</v>
      </c>
      <c r="X494" s="259">
        <v>46076.502083333333</v>
      </c>
      <c r="Y494" s="256" t="s">
        <v>2387</v>
      </c>
      <c r="Z494" s="256" t="s">
        <v>2388</v>
      </c>
      <c r="AA494" s="256" t="s">
        <v>2313</v>
      </c>
      <c r="AB494" s="256"/>
      <c r="AC494" s="256"/>
      <c r="AD494" s="256" t="s">
        <v>2389</v>
      </c>
      <c r="AE494" s="256" t="s">
        <v>2390</v>
      </c>
    </row>
    <row r="495" spans="1:31">
      <c r="A495" s="256" t="s">
        <v>1573</v>
      </c>
      <c r="B495" s="256" t="s">
        <v>1471</v>
      </c>
      <c r="C495" s="256" t="s">
        <v>1574</v>
      </c>
      <c r="D495" s="256" t="s">
        <v>1575</v>
      </c>
      <c r="E495" s="256">
        <v>4440060</v>
      </c>
      <c r="F495" s="256">
        <v>4440018</v>
      </c>
      <c r="G495" s="256" t="s">
        <v>2391</v>
      </c>
      <c r="H495" s="256" t="s">
        <v>288</v>
      </c>
      <c r="I495" s="256" t="s">
        <v>2383</v>
      </c>
      <c r="J495" s="256" t="s">
        <v>1501</v>
      </c>
      <c r="K495" s="259">
        <v>46135.104166666664</v>
      </c>
      <c r="L495" s="256"/>
      <c r="M495" s="259">
        <v>46134.229166666664</v>
      </c>
      <c r="N495" s="256"/>
      <c r="O495" s="256" t="s">
        <v>2392</v>
      </c>
      <c r="P495" s="259">
        <v>46151.229166666664</v>
      </c>
      <c r="Q495" s="256">
        <v>5</v>
      </c>
      <c r="R495" s="256"/>
      <c r="S495" s="256">
        <v>1</v>
      </c>
      <c r="T495" s="256"/>
      <c r="U495" s="256"/>
      <c r="V495" s="256"/>
      <c r="W495" s="256" t="s">
        <v>1577</v>
      </c>
      <c r="X495" s="259">
        <v>46105.554861111108</v>
      </c>
      <c r="Y495" s="256" t="s">
        <v>1578</v>
      </c>
      <c r="Z495" s="256" t="s">
        <v>2388</v>
      </c>
      <c r="AA495" s="256" t="s">
        <v>2313</v>
      </c>
      <c r="AB495" s="256"/>
      <c r="AC495" s="256"/>
      <c r="AD495" s="256" t="s">
        <v>1579</v>
      </c>
      <c r="AE495" s="256" t="s">
        <v>2390</v>
      </c>
    </row>
    <row r="496" spans="1:31" ht="24">
      <c r="A496" s="256" t="s">
        <v>1351</v>
      </c>
      <c r="B496" s="256" t="s">
        <v>1471</v>
      </c>
      <c r="C496" s="256" t="s">
        <v>1574</v>
      </c>
      <c r="D496" s="256" t="s">
        <v>2393</v>
      </c>
      <c r="E496" s="256">
        <v>4436379</v>
      </c>
      <c r="F496" s="181" t="s">
        <v>1352</v>
      </c>
      <c r="G496" s="256" t="s">
        <v>1351</v>
      </c>
      <c r="H496" s="256" t="s">
        <v>2394</v>
      </c>
      <c r="I496" s="256" t="s">
        <v>2395</v>
      </c>
      <c r="J496" s="256" t="s">
        <v>2396</v>
      </c>
      <c r="K496" s="259">
        <v>46133.228472222225</v>
      </c>
      <c r="L496" s="256"/>
      <c r="M496" s="256"/>
      <c r="N496" s="256"/>
      <c r="O496" s="256" t="s">
        <v>2397</v>
      </c>
      <c r="P496" s="259">
        <v>46151.229166666664</v>
      </c>
      <c r="Q496" s="256">
        <v>8</v>
      </c>
      <c r="R496" s="256"/>
      <c r="S496" s="256">
        <v>2</v>
      </c>
      <c r="T496" s="256"/>
      <c r="U496" s="256"/>
      <c r="V496" s="256"/>
      <c r="W496" s="256" t="s">
        <v>2386</v>
      </c>
      <c r="X496" s="259">
        <v>46100.506249999999</v>
      </c>
      <c r="Y496" s="256" t="s">
        <v>2387</v>
      </c>
      <c r="Z496" s="256" t="s">
        <v>2398</v>
      </c>
      <c r="AA496" s="256" t="s">
        <v>1788</v>
      </c>
      <c r="AB496" s="256"/>
      <c r="AC496" s="256"/>
      <c r="AD496" s="256" t="s">
        <v>2389</v>
      </c>
      <c r="AE496" s="256" t="s">
        <v>2390</v>
      </c>
    </row>
    <row r="497" spans="1:31">
      <c r="A497" s="256" t="s">
        <v>2380</v>
      </c>
      <c r="B497" s="256" t="s">
        <v>1471</v>
      </c>
      <c r="C497" s="256" t="s">
        <v>1574</v>
      </c>
      <c r="D497" s="256" t="s">
        <v>2399</v>
      </c>
      <c r="E497" s="256">
        <v>4436246</v>
      </c>
      <c r="F497" s="256">
        <v>4436250</v>
      </c>
      <c r="G497" s="256" t="s">
        <v>2400</v>
      </c>
      <c r="H497" s="256" t="s">
        <v>783</v>
      </c>
      <c r="I497" s="256" t="s">
        <v>2383</v>
      </c>
      <c r="J497" s="256" t="s">
        <v>2384</v>
      </c>
      <c r="K497" s="259">
        <v>46111.229166666664</v>
      </c>
      <c r="L497" s="259">
        <v>46111.229166666664</v>
      </c>
      <c r="M497" s="259">
        <v>46137.1875</v>
      </c>
      <c r="N497" s="256"/>
      <c r="O497" s="256" t="s">
        <v>2401</v>
      </c>
      <c r="P497" s="259">
        <v>46151.229166666664</v>
      </c>
      <c r="Q497" s="256">
        <v>5</v>
      </c>
      <c r="R497" s="256"/>
      <c r="S497" s="256">
        <v>1</v>
      </c>
      <c r="T497" s="256"/>
      <c r="U497" s="256" t="s">
        <v>1</v>
      </c>
      <c r="V497" s="256" t="s">
        <v>1</v>
      </c>
      <c r="W497" s="256" t="s">
        <v>2386</v>
      </c>
      <c r="X497" s="259">
        <v>46100.433333333334</v>
      </c>
      <c r="Y497" s="256" t="s">
        <v>2387</v>
      </c>
      <c r="Z497" s="256" t="s">
        <v>2388</v>
      </c>
      <c r="AA497" s="256" t="s">
        <v>2313</v>
      </c>
      <c r="AB497" s="256"/>
      <c r="AC497" s="256"/>
      <c r="AD497" s="256" t="s">
        <v>2389</v>
      </c>
      <c r="AE497" s="256" t="s">
        <v>2390</v>
      </c>
    </row>
    <row r="498" spans="1:31">
      <c r="A498" s="256" t="s">
        <v>1363</v>
      </c>
      <c r="B498" s="256" t="s">
        <v>1471</v>
      </c>
      <c r="C498" s="256" t="s">
        <v>1574</v>
      </c>
      <c r="D498" s="256" t="s">
        <v>2402</v>
      </c>
      <c r="E498" s="256">
        <v>4482777</v>
      </c>
      <c r="F498" s="256">
        <v>4440215</v>
      </c>
      <c r="G498" s="256" t="s">
        <v>1363</v>
      </c>
      <c r="H498" s="256" t="s">
        <v>359</v>
      </c>
      <c r="I498" s="256" t="s">
        <v>2395</v>
      </c>
      <c r="J498" s="256" t="s">
        <v>2396</v>
      </c>
      <c r="K498" s="259">
        <v>46130.22152777778</v>
      </c>
      <c r="L498" s="259">
        <v>46128.904861111114</v>
      </c>
      <c r="M498" s="259">
        <v>46136.229166666664</v>
      </c>
      <c r="N498" s="256"/>
      <c r="O498" s="256" t="s">
        <v>2396</v>
      </c>
      <c r="P498" s="259">
        <v>46151.229166666664</v>
      </c>
      <c r="Q498" s="256">
        <v>1</v>
      </c>
      <c r="R498" s="256"/>
      <c r="S498" s="256">
        <v>2</v>
      </c>
      <c r="T498" s="256"/>
      <c r="U498" s="256" t="s">
        <v>1</v>
      </c>
      <c r="V498" s="256" t="s">
        <v>1</v>
      </c>
      <c r="W498" s="256" t="s">
        <v>2386</v>
      </c>
      <c r="X498" s="259">
        <v>46105.612500000003</v>
      </c>
      <c r="Y498" s="256" t="s">
        <v>2403</v>
      </c>
      <c r="Z498" s="256" t="s">
        <v>2398</v>
      </c>
      <c r="AA498" s="256" t="s">
        <v>1788</v>
      </c>
      <c r="AB498" s="256"/>
      <c r="AC498" s="256"/>
      <c r="AD498" s="256" t="s">
        <v>2389</v>
      </c>
      <c r="AE498" s="256" t="s">
        <v>2390</v>
      </c>
    </row>
    <row r="499" spans="1:31">
      <c r="A499" s="256" t="s">
        <v>1364</v>
      </c>
      <c r="B499" s="256" t="s">
        <v>1471</v>
      </c>
      <c r="C499" s="256" t="s">
        <v>1574</v>
      </c>
      <c r="D499" s="256" t="s">
        <v>2404</v>
      </c>
      <c r="E499" s="256">
        <v>4482781</v>
      </c>
      <c r="F499" s="256">
        <v>4440247</v>
      </c>
      <c r="G499" s="256" t="s">
        <v>1364</v>
      </c>
      <c r="H499" s="256" t="s">
        <v>359</v>
      </c>
      <c r="I499" s="256" t="s">
        <v>2395</v>
      </c>
      <c r="J499" s="256" t="s">
        <v>2396</v>
      </c>
      <c r="K499" s="259">
        <v>46130.22152777778</v>
      </c>
      <c r="L499" s="259">
        <v>46128.905555555553</v>
      </c>
      <c r="M499" s="259">
        <v>46136.229166666664</v>
      </c>
      <c r="N499" s="256"/>
      <c r="O499" s="256" t="s">
        <v>2396</v>
      </c>
      <c r="P499" s="259">
        <v>46151.229166666664</v>
      </c>
      <c r="Q499" s="256">
        <v>1</v>
      </c>
      <c r="R499" s="256"/>
      <c r="S499" s="256">
        <v>2</v>
      </c>
      <c r="T499" s="256"/>
      <c r="U499" s="256" t="s">
        <v>1</v>
      </c>
      <c r="V499" s="256" t="s">
        <v>1</v>
      </c>
      <c r="W499" s="256" t="s">
        <v>2386</v>
      </c>
      <c r="X499" s="259">
        <v>46105.612500000003</v>
      </c>
      <c r="Y499" s="256" t="s">
        <v>2403</v>
      </c>
      <c r="Z499" s="256" t="s">
        <v>2398</v>
      </c>
      <c r="AA499" s="256" t="s">
        <v>1788</v>
      </c>
      <c r="AB499" s="256"/>
      <c r="AC499" s="256"/>
      <c r="AD499" s="256" t="s">
        <v>2389</v>
      </c>
      <c r="AE499" s="256" t="s">
        <v>2390</v>
      </c>
    </row>
    <row r="500" spans="1:31">
      <c r="A500" s="256" t="s">
        <v>2405</v>
      </c>
      <c r="B500" s="256" t="s">
        <v>1471</v>
      </c>
      <c r="C500" s="256" t="s">
        <v>1574</v>
      </c>
      <c r="D500" s="256" t="s">
        <v>2406</v>
      </c>
      <c r="E500" s="256">
        <v>4319026</v>
      </c>
      <c r="F500" s="256">
        <v>4440537</v>
      </c>
      <c r="G500" s="256" t="s">
        <v>745</v>
      </c>
      <c r="H500" s="256" t="s">
        <v>305</v>
      </c>
      <c r="I500" s="256" t="s">
        <v>2395</v>
      </c>
      <c r="J500" s="256" t="s">
        <v>2396</v>
      </c>
      <c r="K500" s="259">
        <v>46121.228472222225</v>
      </c>
      <c r="L500" s="259">
        <v>46121.228472222225</v>
      </c>
      <c r="M500" s="259">
        <v>46129.229166666664</v>
      </c>
      <c r="N500" s="256"/>
      <c r="O500" s="256" t="s">
        <v>2407</v>
      </c>
      <c r="P500" s="259">
        <v>46151.229166666664</v>
      </c>
      <c r="Q500" s="256">
        <v>1</v>
      </c>
      <c r="R500" s="256"/>
      <c r="S500" s="256">
        <v>2</v>
      </c>
      <c r="T500" s="256"/>
      <c r="U500" s="256" t="s">
        <v>1</v>
      </c>
      <c r="V500" s="256" t="s">
        <v>1</v>
      </c>
      <c r="W500" s="256" t="s">
        <v>2386</v>
      </c>
      <c r="X500" s="259">
        <v>46105.638194444444</v>
      </c>
      <c r="Y500" s="256" t="s">
        <v>2408</v>
      </c>
      <c r="Z500" s="256" t="s">
        <v>2398</v>
      </c>
      <c r="AA500" s="256" t="s">
        <v>1788</v>
      </c>
      <c r="AB500" s="256"/>
      <c r="AC500" s="256"/>
      <c r="AD500" s="256" t="s">
        <v>2389</v>
      </c>
      <c r="AE500" s="256" t="s">
        <v>2390</v>
      </c>
    </row>
    <row r="501" spans="1:31" ht="24">
      <c r="A501" s="256" t="s">
        <v>1505</v>
      </c>
      <c r="B501" s="256" t="s">
        <v>1471</v>
      </c>
      <c r="C501" s="256" t="s">
        <v>1472</v>
      </c>
      <c r="D501" s="256" t="s">
        <v>1506</v>
      </c>
      <c r="E501" s="256">
        <v>4440976</v>
      </c>
      <c r="F501" s="181" t="s">
        <v>1348</v>
      </c>
      <c r="G501" s="256" t="s">
        <v>1347</v>
      </c>
      <c r="H501" s="256" t="s">
        <v>359</v>
      </c>
      <c r="I501" s="256" t="s">
        <v>2409</v>
      </c>
      <c r="J501" s="256" t="s">
        <v>2396</v>
      </c>
      <c r="K501" s="259">
        <v>46130.228472222225</v>
      </c>
      <c r="L501" s="259">
        <v>46127.977083333331</v>
      </c>
      <c r="M501" s="259">
        <v>46136.229166666664</v>
      </c>
      <c r="N501" s="256"/>
      <c r="O501" s="256" t="s">
        <v>2410</v>
      </c>
      <c r="P501" s="259">
        <v>46151.229166666664</v>
      </c>
      <c r="Q501" s="256">
        <v>8</v>
      </c>
      <c r="R501" s="256"/>
      <c r="S501" s="256">
        <v>2</v>
      </c>
      <c r="T501" s="256"/>
      <c r="U501" s="256" t="s">
        <v>1</v>
      </c>
      <c r="V501" s="256" t="s">
        <v>1</v>
      </c>
      <c r="W501" s="256" t="s">
        <v>1508</v>
      </c>
      <c r="X501" s="259">
        <v>46108.738194444442</v>
      </c>
      <c r="Y501" s="256" t="s">
        <v>1560</v>
      </c>
      <c r="Z501" s="256" t="s">
        <v>2411</v>
      </c>
      <c r="AA501" s="256" t="s">
        <v>2313</v>
      </c>
      <c r="AB501" s="256"/>
      <c r="AC501" s="256"/>
      <c r="AD501" s="256" t="s">
        <v>1510</v>
      </c>
      <c r="AE501" s="256" t="s">
        <v>2390</v>
      </c>
    </row>
    <row r="502" spans="1:31">
      <c r="A502" s="256" t="s">
        <v>2412</v>
      </c>
      <c r="B502" s="256" t="s">
        <v>1471</v>
      </c>
      <c r="C502" s="256" t="s">
        <v>1574</v>
      </c>
      <c r="D502" s="256" t="s">
        <v>2413</v>
      </c>
      <c r="E502" s="256">
        <v>4161205</v>
      </c>
      <c r="F502" s="256">
        <v>4446089</v>
      </c>
      <c r="G502" s="256" t="s">
        <v>748</v>
      </c>
      <c r="H502" s="256" t="s">
        <v>359</v>
      </c>
      <c r="I502" s="256" t="s">
        <v>2395</v>
      </c>
      <c r="J502" s="256" t="s">
        <v>2396</v>
      </c>
      <c r="K502" s="259">
        <v>46122.677777777775</v>
      </c>
      <c r="L502" s="259">
        <v>46122.677777777775</v>
      </c>
      <c r="M502" s="259">
        <v>46129.229166666664</v>
      </c>
      <c r="N502" s="256"/>
      <c r="O502" s="256" t="s">
        <v>2396</v>
      </c>
      <c r="P502" s="259">
        <v>46151.229166666664</v>
      </c>
      <c r="Q502" s="256">
        <v>1</v>
      </c>
      <c r="R502" s="256"/>
      <c r="S502" s="256">
        <v>2</v>
      </c>
      <c r="T502" s="256"/>
      <c r="U502" s="256" t="s">
        <v>1</v>
      </c>
      <c r="V502" s="256" t="s">
        <v>1</v>
      </c>
      <c r="W502" s="256" t="s">
        <v>2386</v>
      </c>
      <c r="X502" s="259">
        <v>46108.443055555559</v>
      </c>
      <c r="Y502" s="256" t="s">
        <v>2387</v>
      </c>
      <c r="Z502" s="256" t="s">
        <v>2398</v>
      </c>
      <c r="AA502" s="256" t="s">
        <v>1788</v>
      </c>
      <c r="AB502" s="256"/>
      <c r="AC502" s="256"/>
      <c r="AD502" s="256" t="s">
        <v>2389</v>
      </c>
      <c r="AE502" s="256" t="s">
        <v>2390</v>
      </c>
    </row>
    <row r="503" spans="1:31">
      <c r="A503" s="256" t="s">
        <v>2380</v>
      </c>
      <c r="B503" s="256" t="s">
        <v>1471</v>
      </c>
      <c r="C503" s="256" t="s">
        <v>1574</v>
      </c>
      <c r="D503" s="256" t="s">
        <v>2414</v>
      </c>
      <c r="E503" s="256">
        <v>4436246</v>
      </c>
      <c r="F503" s="256">
        <v>4444286</v>
      </c>
      <c r="G503" s="256" t="s">
        <v>2415</v>
      </c>
      <c r="H503" s="256" t="s">
        <v>305</v>
      </c>
      <c r="I503" s="256" t="s">
        <v>2383</v>
      </c>
      <c r="J503" s="256" t="s">
        <v>2384</v>
      </c>
      <c r="K503" s="259">
        <v>46123.1875</v>
      </c>
      <c r="L503" s="259">
        <v>46120.792361111111</v>
      </c>
      <c r="M503" s="259">
        <v>46137.1875</v>
      </c>
      <c r="N503" s="256"/>
      <c r="O503" s="256" t="s">
        <v>2385</v>
      </c>
      <c r="P503" s="259">
        <v>46151.229166666664</v>
      </c>
      <c r="Q503" s="256">
        <v>8</v>
      </c>
      <c r="R503" s="256"/>
      <c r="S503" s="256">
        <v>2</v>
      </c>
      <c r="T503" s="256"/>
      <c r="U503" s="256" t="s">
        <v>1</v>
      </c>
      <c r="V503" s="256" t="s">
        <v>1</v>
      </c>
      <c r="W503" s="256" t="s">
        <v>2386</v>
      </c>
      <c r="X503" s="259">
        <v>46107.549305555556</v>
      </c>
      <c r="Y503" s="256" t="s">
        <v>2387</v>
      </c>
      <c r="Z503" s="256" t="s">
        <v>2388</v>
      </c>
      <c r="AA503" s="256" t="s">
        <v>2313</v>
      </c>
      <c r="AB503" s="256"/>
      <c r="AC503" s="256"/>
      <c r="AD503" s="256" t="s">
        <v>2389</v>
      </c>
      <c r="AE503" s="256" t="s">
        <v>2390</v>
      </c>
    </row>
    <row r="504" spans="1:31">
      <c r="A504" s="256" t="s">
        <v>2380</v>
      </c>
      <c r="B504" s="256" t="s">
        <v>1471</v>
      </c>
      <c r="C504" s="256" t="s">
        <v>1574</v>
      </c>
      <c r="D504" s="256" t="s">
        <v>2416</v>
      </c>
      <c r="E504" s="256">
        <v>4436246</v>
      </c>
      <c r="F504" s="256">
        <v>4444378</v>
      </c>
      <c r="G504" s="256" t="s">
        <v>1314</v>
      </c>
      <c r="H504" s="256" t="s">
        <v>783</v>
      </c>
      <c r="I504" s="256" t="s">
        <v>2383</v>
      </c>
      <c r="J504" s="256" t="s">
        <v>2384</v>
      </c>
      <c r="K504" s="259">
        <v>46113.229166666664</v>
      </c>
      <c r="L504" s="259">
        <v>46113.229166666664</v>
      </c>
      <c r="M504" s="259">
        <v>46137.1875</v>
      </c>
      <c r="N504" s="256"/>
      <c r="O504" s="256" t="s">
        <v>2401</v>
      </c>
      <c r="P504" s="259">
        <v>46151.229166666664</v>
      </c>
      <c r="Q504" s="256">
        <v>2</v>
      </c>
      <c r="R504" s="256"/>
      <c r="S504" s="256">
        <v>2</v>
      </c>
      <c r="T504" s="256"/>
      <c r="U504" s="256" t="s">
        <v>1</v>
      </c>
      <c r="V504" s="256" t="s">
        <v>1</v>
      </c>
      <c r="W504" s="256" t="s">
        <v>2386</v>
      </c>
      <c r="X504" s="259">
        <v>46107.591666666667</v>
      </c>
      <c r="Y504" s="256" t="s">
        <v>2387</v>
      </c>
      <c r="Z504" s="256" t="s">
        <v>2388</v>
      </c>
      <c r="AA504" s="256" t="s">
        <v>2313</v>
      </c>
      <c r="AB504" s="256"/>
      <c r="AC504" s="256"/>
      <c r="AD504" s="256" t="s">
        <v>2389</v>
      </c>
      <c r="AE504" s="256" t="s">
        <v>2390</v>
      </c>
    </row>
    <row r="505" spans="1:31">
      <c r="A505" s="256" t="s">
        <v>2380</v>
      </c>
      <c r="B505" s="256" t="s">
        <v>1471</v>
      </c>
      <c r="C505" s="256" t="s">
        <v>1574</v>
      </c>
      <c r="D505" s="256" t="s">
        <v>2417</v>
      </c>
      <c r="E505" s="256">
        <v>4436246</v>
      </c>
      <c r="F505" s="256">
        <v>4444380</v>
      </c>
      <c r="G505" s="256" t="s">
        <v>1315</v>
      </c>
      <c r="H505" s="256" t="s">
        <v>783</v>
      </c>
      <c r="I505" s="256" t="s">
        <v>2383</v>
      </c>
      <c r="J505" s="256" t="s">
        <v>2384</v>
      </c>
      <c r="K505" s="259">
        <v>46114.229166666664</v>
      </c>
      <c r="L505" s="259">
        <v>46114.229166666664</v>
      </c>
      <c r="M505" s="259">
        <v>46137.1875</v>
      </c>
      <c r="N505" s="256"/>
      <c r="O505" s="256" t="s">
        <v>2401</v>
      </c>
      <c r="P505" s="259">
        <v>46151.229166666664</v>
      </c>
      <c r="Q505" s="256">
        <v>5</v>
      </c>
      <c r="R505" s="256"/>
      <c r="S505" s="256">
        <v>2</v>
      </c>
      <c r="T505" s="256"/>
      <c r="U505" s="256" t="s">
        <v>1</v>
      </c>
      <c r="V505" s="256" t="s">
        <v>1</v>
      </c>
      <c r="W505" s="256" t="s">
        <v>2386</v>
      </c>
      <c r="X505" s="259">
        <v>46107.593055555553</v>
      </c>
      <c r="Y505" s="256" t="s">
        <v>2387</v>
      </c>
      <c r="Z505" s="256" t="s">
        <v>2388</v>
      </c>
      <c r="AA505" s="256" t="s">
        <v>2313</v>
      </c>
      <c r="AB505" s="256"/>
      <c r="AC505" s="256"/>
      <c r="AD505" s="256" t="s">
        <v>2389</v>
      </c>
      <c r="AE505" s="256" t="s">
        <v>2390</v>
      </c>
    </row>
    <row r="506" spans="1:31">
      <c r="A506" s="256" t="s">
        <v>2418</v>
      </c>
      <c r="B506" s="256" t="s">
        <v>1471</v>
      </c>
      <c r="C506" s="256" t="s">
        <v>1574</v>
      </c>
      <c r="D506" s="256" t="s">
        <v>2419</v>
      </c>
      <c r="E506" s="256">
        <v>4386636</v>
      </c>
      <c r="F506" s="256">
        <v>4451501</v>
      </c>
      <c r="G506" s="256" t="s">
        <v>1310</v>
      </c>
      <c r="H506" s="256" t="s">
        <v>783</v>
      </c>
      <c r="I506" s="256" t="s">
        <v>2383</v>
      </c>
      <c r="J506" s="256" t="s">
        <v>2384</v>
      </c>
      <c r="K506" s="259">
        <v>46111.229166666664</v>
      </c>
      <c r="L506" s="259">
        <v>46111.229166666664</v>
      </c>
      <c r="M506" s="259">
        <v>46137.1875</v>
      </c>
      <c r="N506" s="256"/>
      <c r="O506" s="256" t="s">
        <v>2401</v>
      </c>
      <c r="P506" s="259">
        <v>46151.229166666664</v>
      </c>
      <c r="Q506" s="256">
        <v>1</v>
      </c>
      <c r="R506" s="256"/>
      <c r="S506" s="256">
        <v>2</v>
      </c>
      <c r="T506" s="256"/>
      <c r="U506" s="256" t="s">
        <v>1</v>
      </c>
      <c r="V506" s="256" t="s">
        <v>1</v>
      </c>
      <c r="W506" s="256" t="s">
        <v>2386</v>
      </c>
      <c r="X506" s="259">
        <v>46112.519444444442</v>
      </c>
      <c r="Y506" s="256" t="s">
        <v>2420</v>
      </c>
      <c r="Z506" s="256" t="s">
        <v>2388</v>
      </c>
      <c r="AA506" s="256" t="s">
        <v>1788</v>
      </c>
      <c r="AB506" s="256"/>
      <c r="AC506" s="256"/>
      <c r="AD506" s="256" t="s">
        <v>2389</v>
      </c>
      <c r="AE506" s="256" t="s">
        <v>2390</v>
      </c>
    </row>
    <row r="507" spans="1:31">
      <c r="A507" s="256" t="s">
        <v>2418</v>
      </c>
      <c r="B507" s="256" t="s">
        <v>1471</v>
      </c>
      <c r="C507" s="256" t="s">
        <v>1574</v>
      </c>
      <c r="D507" s="256" t="s">
        <v>1312</v>
      </c>
      <c r="E507" s="256">
        <v>4386636</v>
      </c>
      <c r="F507" s="256">
        <v>4451544</v>
      </c>
      <c r="G507" s="256" t="s">
        <v>1312</v>
      </c>
      <c r="H507" s="256" t="s">
        <v>783</v>
      </c>
      <c r="I507" s="256" t="s">
        <v>2383</v>
      </c>
      <c r="J507" s="256" t="s">
        <v>2384</v>
      </c>
      <c r="K507" s="259">
        <v>46111.229166666664</v>
      </c>
      <c r="L507" s="259">
        <v>46111.229166666664</v>
      </c>
      <c r="M507" s="259">
        <v>46137.1875</v>
      </c>
      <c r="N507" s="256"/>
      <c r="O507" s="256" t="s">
        <v>2401</v>
      </c>
      <c r="P507" s="259">
        <v>46151.229166666664</v>
      </c>
      <c r="Q507" s="256">
        <v>2</v>
      </c>
      <c r="R507" s="256"/>
      <c r="S507" s="256">
        <v>2</v>
      </c>
      <c r="T507" s="256"/>
      <c r="U507" s="256" t="s">
        <v>1</v>
      </c>
      <c r="V507" s="256" t="s">
        <v>1</v>
      </c>
      <c r="W507" s="256" t="s">
        <v>2386</v>
      </c>
      <c r="X507" s="259">
        <v>46112.522222222222</v>
      </c>
      <c r="Y507" s="256" t="s">
        <v>2420</v>
      </c>
      <c r="Z507" s="256" t="s">
        <v>2388</v>
      </c>
      <c r="AA507" s="256" t="s">
        <v>1788</v>
      </c>
      <c r="AB507" s="256"/>
      <c r="AC507" s="256"/>
      <c r="AD507" s="256" t="s">
        <v>2389</v>
      </c>
      <c r="AE507" s="256" t="s">
        <v>2390</v>
      </c>
    </row>
    <row r="508" spans="1:31">
      <c r="A508" s="256" t="s">
        <v>1505</v>
      </c>
      <c r="B508" s="256" t="s">
        <v>1471</v>
      </c>
      <c r="C508" s="256" t="s">
        <v>1472</v>
      </c>
      <c r="D508" s="256" t="s">
        <v>1506</v>
      </c>
      <c r="E508" s="256">
        <v>4440976</v>
      </c>
      <c r="F508" s="256">
        <v>4455628</v>
      </c>
      <c r="G508" s="256" t="s">
        <v>737</v>
      </c>
      <c r="H508" s="256" t="s">
        <v>305</v>
      </c>
      <c r="I508" s="256" t="s">
        <v>317</v>
      </c>
      <c r="J508" s="256" t="s">
        <v>1801</v>
      </c>
      <c r="K508" s="259">
        <v>46129.229166666664</v>
      </c>
      <c r="L508" s="259">
        <v>46126.020833333336</v>
      </c>
      <c r="M508" s="259">
        <v>46135.229166666664</v>
      </c>
      <c r="N508" s="256"/>
      <c r="O508" s="256" t="s">
        <v>2421</v>
      </c>
      <c r="P508" s="259">
        <v>46151.229166666664</v>
      </c>
      <c r="Q508" s="256">
        <v>1</v>
      </c>
      <c r="R508" s="256"/>
      <c r="S508" s="256">
        <v>2</v>
      </c>
      <c r="T508" s="256"/>
      <c r="U508" s="256" t="s">
        <v>1</v>
      </c>
      <c r="V508" s="256" t="s">
        <v>1</v>
      </c>
      <c r="W508" s="256" t="s">
        <v>1508</v>
      </c>
      <c r="X508" s="259">
        <v>46112.791666666664</v>
      </c>
      <c r="Y508" s="256" t="s">
        <v>1642</v>
      </c>
      <c r="Z508" s="256" t="s">
        <v>2422</v>
      </c>
      <c r="AA508" s="256" t="s">
        <v>1492</v>
      </c>
      <c r="AB508" s="256"/>
      <c r="AC508" s="256"/>
      <c r="AD508" s="256" t="s">
        <v>1510</v>
      </c>
      <c r="AE508" s="256" t="s">
        <v>300</v>
      </c>
    </row>
    <row r="509" spans="1:31">
      <c r="A509" s="256" t="s">
        <v>1505</v>
      </c>
      <c r="B509" s="256" t="s">
        <v>1471</v>
      </c>
      <c r="C509" s="256" t="s">
        <v>1472</v>
      </c>
      <c r="D509" s="256" t="s">
        <v>1506</v>
      </c>
      <c r="E509" s="256">
        <v>4440976</v>
      </c>
      <c r="F509" s="256">
        <v>4455728</v>
      </c>
      <c r="G509" s="256" t="s">
        <v>740</v>
      </c>
      <c r="H509" s="256" t="s">
        <v>305</v>
      </c>
      <c r="I509" s="256" t="s">
        <v>317</v>
      </c>
      <c r="J509" s="256" t="s">
        <v>1801</v>
      </c>
      <c r="K509" s="259">
        <v>46129.229166666664</v>
      </c>
      <c r="L509" s="259">
        <v>46126.020833333336</v>
      </c>
      <c r="M509" s="259">
        <v>46135.229166666664</v>
      </c>
      <c r="N509" s="256"/>
      <c r="O509" s="256" t="s">
        <v>2423</v>
      </c>
      <c r="P509" s="259">
        <v>46151.229166666664</v>
      </c>
      <c r="Q509" s="256">
        <v>1</v>
      </c>
      <c r="R509" s="256"/>
      <c r="S509" s="256">
        <v>2</v>
      </c>
      <c r="T509" s="256"/>
      <c r="U509" s="256" t="s">
        <v>1</v>
      </c>
      <c r="V509" s="256" t="s">
        <v>1</v>
      </c>
      <c r="W509" s="256" t="s">
        <v>1508</v>
      </c>
      <c r="X509" s="259">
        <v>46112.794444444444</v>
      </c>
      <c r="Y509" s="256" t="s">
        <v>1642</v>
      </c>
      <c r="Z509" s="256" t="s">
        <v>2422</v>
      </c>
      <c r="AA509" s="256" t="s">
        <v>1492</v>
      </c>
      <c r="AB509" s="256"/>
      <c r="AC509" s="256"/>
      <c r="AD509" s="256" t="s">
        <v>1510</v>
      </c>
      <c r="AE509" s="256" t="s">
        <v>300</v>
      </c>
    </row>
    <row r="510" spans="1:31">
      <c r="A510" s="256" t="s">
        <v>294</v>
      </c>
      <c r="B510" s="256" t="s">
        <v>1486</v>
      </c>
      <c r="C510" s="256" t="s">
        <v>1727</v>
      </c>
      <c r="D510" s="256" t="s">
        <v>293</v>
      </c>
      <c r="E510" s="256">
        <v>4438595</v>
      </c>
      <c r="F510" s="256">
        <v>4449948</v>
      </c>
      <c r="G510" s="256" t="s">
        <v>295</v>
      </c>
      <c r="H510" s="256" t="s">
        <v>242</v>
      </c>
      <c r="I510" s="256" t="s">
        <v>299</v>
      </c>
      <c r="J510" s="256" t="s">
        <v>1801</v>
      </c>
      <c r="K510" s="259">
        <v>46132.229166666664</v>
      </c>
      <c r="L510" s="256"/>
      <c r="M510" s="259">
        <v>46133.229166666664</v>
      </c>
      <c r="N510" s="256"/>
      <c r="O510" s="256" t="s">
        <v>2424</v>
      </c>
      <c r="P510" s="259">
        <v>46151.229166666664</v>
      </c>
      <c r="Q510" s="256"/>
      <c r="R510" s="256"/>
      <c r="S510" s="256">
        <v>2</v>
      </c>
      <c r="T510" s="256"/>
      <c r="U510" s="256"/>
      <c r="V510" s="256"/>
      <c r="W510" s="256" t="s">
        <v>1769</v>
      </c>
      <c r="X510" s="259">
        <v>46111.80972222222</v>
      </c>
      <c r="Y510" s="256" t="s">
        <v>2425</v>
      </c>
      <c r="Z510" s="256" t="s">
        <v>2426</v>
      </c>
      <c r="AA510" s="256" t="s">
        <v>2427</v>
      </c>
      <c r="AB510" s="256"/>
      <c r="AC510" s="256"/>
      <c r="AD510" s="256" t="s">
        <v>2428</v>
      </c>
      <c r="AE510" s="256" t="s">
        <v>300</v>
      </c>
    </row>
    <row r="511" spans="1:31">
      <c r="A511" s="256" t="s">
        <v>2429</v>
      </c>
      <c r="B511" s="256" t="s">
        <v>1486</v>
      </c>
      <c r="C511" s="256" t="s">
        <v>1727</v>
      </c>
      <c r="D511" s="256" t="s">
        <v>1727</v>
      </c>
      <c r="E511" s="256">
        <v>4470119</v>
      </c>
      <c r="F511" s="256">
        <v>4470085</v>
      </c>
      <c r="G511" s="256" t="s">
        <v>590</v>
      </c>
      <c r="H511" s="256" t="s">
        <v>305</v>
      </c>
      <c r="I511" s="256" t="s">
        <v>317</v>
      </c>
      <c r="J511" s="256" t="s">
        <v>1728</v>
      </c>
      <c r="K511" s="259">
        <v>46126.020833333336</v>
      </c>
      <c r="L511" s="259">
        <v>46126.654166666667</v>
      </c>
      <c r="M511" s="259">
        <v>46127.229166666664</v>
      </c>
      <c r="N511" s="256"/>
      <c r="O511" s="256" t="s">
        <v>2430</v>
      </c>
      <c r="P511" s="259">
        <v>46151.229166666664</v>
      </c>
      <c r="Q511" s="256">
        <v>7</v>
      </c>
      <c r="R511" s="256"/>
      <c r="S511" s="256">
        <v>2</v>
      </c>
      <c r="T511" s="256"/>
      <c r="U511" s="256" t="s">
        <v>1</v>
      </c>
      <c r="V511" s="256" t="s">
        <v>1</v>
      </c>
      <c r="W511" s="256" t="s">
        <v>2353</v>
      </c>
      <c r="X511" s="259">
        <v>46121.413194444445</v>
      </c>
      <c r="Y511" s="256" t="s">
        <v>2431</v>
      </c>
      <c r="Z511" s="256" t="s">
        <v>2422</v>
      </c>
      <c r="AA511" s="256" t="s">
        <v>2427</v>
      </c>
      <c r="AB511" s="256"/>
      <c r="AC511" s="256"/>
      <c r="AD511" s="256" t="s">
        <v>350</v>
      </c>
      <c r="AE511" s="256" t="s">
        <v>300</v>
      </c>
    </row>
    <row r="512" spans="1:31">
      <c r="A512" s="256" t="s">
        <v>2432</v>
      </c>
      <c r="B512" s="256" t="s">
        <v>1486</v>
      </c>
      <c r="C512" s="256" t="s">
        <v>1574</v>
      </c>
      <c r="D512" s="256" t="s">
        <v>1423</v>
      </c>
      <c r="E512" s="256">
        <v>4392134</v>
      </c>
      <c r="F512" s="256">
        <v>4390184</v>
      </c>
      <c r="G512" s="256" t="s">
        <v>698</v>
      </c>
      <c r="H512" s="256" t="s">
        <v>1760</v>
      </c>
      <c r="I512" s="256" t="s">
        <v>317</v>
      </c>
      <c r="J512" s="256" t="s">
        <v>1801</v>
      </c>
      <c r="K512" s="259">
        <v>46129.729166666664</v>
      </c>
      <c r="L512" s="259">
        <v>46128.959722222222</v>
      </c>
      <c r="M512" s="259">
        <v>46136.229166666664</v>
      </c>
      <c r="N512" s="256"/>
      <c r="O512" s="256" t="s">
        <v>2421</v>
      </c>
      <c r="P512" s="259">
        <v>46151.90625</v>
      </c>
      <c r="Q512" s="256">
        <v>3</v>
      </c>
      <c r="R512" s="256"/>
      <c r="S512" s="256">
        <v>2</v>
      </c>
      <c r="T512" s="256"/>
      <c r="U512" s="256" t="s">
        <v>1</v>
      </c>
      <c r="V512" s="256" t="s">
        <v>1</v>
      </c>
      <c r="W512" s="256" t="s">
        <v>1769</v>
      </c>
      <c r="X512" s="259">
        <v>46077.681250000001</v>
      </c>
      <c r="Y512" s="256" t="s">
        <v>2433</v>
      </c>
      <c r="Z512" s="256" t="s">
        <v>2422</v>
      </c>
      <c r="AA512" s="256" t="s">
        <v>2434</v>
      </c>
      <c r="AB512" s="256"/>
      <c r="AC512" s="256"/>
      <c r="AD512" s="256" t="s">
        <v>2322</v>
      </c>
      <c r="AE512" s="256" t="s">
        <v>300</v>
      </c>
    </row>
    <row r="513" spans="1:31">
      <c r="A513" s="256" t="s">
        <v>2432</v>
      </c>
      <c r="B513" s="256" t="s">
        <v>1486</v>
      </c>
      <c r="C513" s="256" t="s">
        <v>1574</v>
      </c>
      <c r="D513" s="256" t="s">
        <v>1423</v>
      </c>
      <c r="E513" s="256">
        <v>4392134</v>
      </c>
      <c r="F513" s="256">
        <v>4390192</v>
      </c>
      <c r="G513" s="256" t="s">
        <v>700</v>
      </c>
      <c r="H513" s="256" t="s">
        <v>305</v>
      </c>
      <c r="I513" s="256" t="s">
        <v>323</v>
      </c>
      <c r="J513" s="256" t="s">
        <v>1801</v>
      </c>
      <c r="K513" s="259">
        <v>46127.0625</v>
      </c>
      <c r="L513" s="259">
        <v>46123.005555555559</v>
      </c>
      <c r="M513" s="259">
        <v>46132.229166666664</v>
      </c>
      <c r="N513" s="256"/>
      <c r="O513" s="256" t="s">
        <v>2421</v>
      </c>
      <c r="P513" s="259">
        <v>46151.90625</v>
      </c>
      <c r="Q513" s="256">
        <v>4</v>
      </c>
      <c r="R513" s="256"/>
      <c r="S513" s="256">
        <v>2</v>
      </c>
      <c r="T513" s="256"/>
      <c r="U513" s="256" t="s">
        <v>1</v>
      </c>
      <c r="V513" s="256" t="s">
        <v>1</v>
      </c>
      <c r="W513" s="256" t="s">
        <v>1769</v>
      </c>
      <c r="X513" s="259">
        <v>46077.684027777781</v>
      </c>
      <c r="Y513" s="256" t="s">
        <v>2435</v>
      </c>
      <c r="Z513" s="256" t="s">
        <v>2436</v>
      </c>
      <c r="AA513" s="256" t="s">
        <v>2434</v>
      </c>
      <c r="AB513" s="256"/>
      <c r="AC513" s="256"/>
      <c r="AD513" s="256" t="s">
        <v>444</v>
      </c>
      <c r="AE513" s="256" t="s">
        <v>300</v>
      </c>
    </row>
    <row r="514" spans="1:31">
      <c r="A514" s="256" t="s">
        <v>302</v>
      </c>
      <c r="B514" s="256" t="s">
        <v>1486</v>
      </c>
      <c r="C514" s="256" t="s">
        <v>444</v>
      </c>
      <c r="D514" s="256" t="s">
        <v>301</v>
      </c>
      <c r="E514" s="256">
        <v>4446028</v>
      </c>
      <c r="F514" s="256">
        <v>4444316</v>
      </c>
      <c r="G514" s="256" t="s">
        <v>2437</v>
      </c>
      <c r="H514" s="256" t="s">
        <v>1513</v>
      </c>
      <c r="I514" s="256" t="s">
        <v>299</v>
      </c>
      <c r="J514" s="256" t="s">
        <v>1801</v>
      </c>
      <c r="K514" s="259">
        <v>46126.979166666664</v>
      </c>
      <c r="L514" s="259">
        <v>46119.9375</v>
      </c>
      <c r="M514" s="259">
        <v>46132.229166666664</v>
      </c>
      <c r="N514" s="259">
        <v>46127.854166666664</v>
      </c>
      <c r="O514" s="256" t="s">
        <v>1731</v>
      </c>
      <c r="P514" s="259">
        <v>46151.229166666664</v>
      </c>
      <c r="Q514" s="256">
        <v>6</v>
      </c>
      <c r="R514" s="256"/>
      <c r="S514" s="256">
        <v>2</v>
      </c>
      <c r="T514" s="256"/>
      <c r="U514" s="256" t="s">
        <v>1</v>
      </c>
      <c r="V514" s="256" t="s">
        <v>1</v>
      </c>
      <c r="W514" s="256" t="s">
        <v>2353</v>
      </c>
      <c r="X514" s="259">
        <v>46107.560416666667</v>
      </c>
      <c r="Y514" s="256"/>
      <c r="Z514" s="256" t="s">
        <v>2426</v>
      </c>
      <c r="AA514" s="256" t="s">
        <v>2427</v>
      </c>
      <c r="AB514" s="256"/>
      <c r="AC514" s="256"/>
      <c r="AD514" s="256" t="s">
        <v>301</v>
      </c>
      <c r="AE514" s="256" t="s">
        <v>300</v>
      </c>
    </row>
    <row r="515" spans="1:31">
      <c r="A515" s="256" t="s">
        <v>2438</v>
      </c>
      <c r="B515" s="256" t="s">
        <v>1486</v>
      </c>
      <c r="C515" s="256" t="s">
        <v>1472</v>
      </c>
      <c r="D515" s="256" t="s">
        <v>1776</v>
      </c>
      <c r="E515" s="256">
        <v>4446614</v>
      </c>
      <c r="F515" s="256">
        <v>4446616</v>
      </c>
      <c r="G515" s="256" t="s">
        <v>728</v>
      </c>
      <c r="H515" s="256" t="s">
        <v>305</v>
      </c>
      <c r="I515" s="256" t="s">
        <v>299</v>
      </c>
      <c r="J515" s="256" t="s">
        <v>1801</v>
      </c>
      <c r="K515" s="259">
        <v>46130.0625</v>
      </c>
      <c r="L515" s="259">
        <v>46127.926388888889</v>
      </c>
      <c r="M515" s="259">
        <v>46132.229166666664</v>
      </c>
      <c r="N515" s="256"/>
      <c r="O515" s="256" t="s">
        <v>2439</v>
      </c>
      <c r="P515" s="259">
        <v>46151.229166666664</v>
      </c>
      <c r="Q515" s="256">
        <v>3</v>
      </c>
      <c r="R515" s="256"/>
      <c r="S515" s="256">
        <v>2</v>
      </c>
      <c r="T515" s="256"/>
      <c r="U515" s="256" t="s">
        <v>1</v>
      </c>
      <c r="V515" s="256" t="s">
        <v>1</v>
      </c>
      <c r="W515" s="256" t="s">
        <v>1769</v>
      </c>
      <c r="X515" s="259">
        <v>46108.724305555559</v>
      </c>
      <c r="Y515" s="256" t="s">
        <v>2440</v>
      </c>
      <c r="Z515" s="256" t="s">
        <v>2426</v>
      </c>
      <c r="AA515" s="256" t="s">
        <v>1534</v>
      </c>
      <c r="AB515" s="256"/>
      <c r="AC515" s="256"/>
      <c r="AD515" s="256" t="s">
        <v>2441</v>
      </c>
      <c r="AE515" s="256" t="s">
        <v>300</v>
      </c>
    </row>
    <row r="516" spans="1:31">
      <c r="A516" s="256" t="s">
        <v>1505</v>
      </c>
      <c r="B516" s="256" t="s">
        <v>1471</v>
      </c>
      <c r="C516" s="256" t="s">
        <v>1472</v>
      </c>
      <c r="D516" s="256" t="s">
        <v>1506</v>
      </c>
      <c r="E516" s="256">
        <v>4440976</v>
      </c>
      <c r="F516" s="256">
        <v>4447062</v>
      </c>
      <c r="G516" s="256" t="s">
        <v>742</v>
      </c>
      <c r="H516" s="256" t="s">
        <v>305</v>
      </c>
      <c r="I516" s="256" t="s">
        <v>317</v>
      </c>
      <c r="J516" s="256" t="s">
        <v>1801</v>
      </c>
      <c r="K516" s="259">
        <v>46129.229166666664</v>
      </c>
      <c r="L516" s="259">
        <v>46126.020833333336</v>
      </c>
      <c r="M516" s="259">
        <v>46135.229166666664</v>
      </c>
      <c r="N516" s="256"/>
      <c r="O516" s="256" t="s">
        <v>2439</v>
      </c>
      <c r="P516" s="259">
        <v>46151.229166666664</v>
      </c>
      <c r="Q516" s="256">
        <v>1</v>
      </c>
      <c r="R516" s="256"/>
      <c r="S516" s="256">
        <v>2</v>
      </c>
      <c r="T516" s="256"/>
      <c r="U516" s="256" t="s">
        <v>1</v>
      </c>
      <c r="V516" s="256" t="s">
        <v>1</v>
      </c>
      <c r="W516" s="256" t="s">
        <v>1508</v>
      </c>
      <c r="X516" s="259">
        <v>46110.45208333333</v>
      </c>
      <c r="Y516" s="256" t="s">
        <v>1560</v>
      </c>
      <c r="Z516" s="256" t="s">
        <v>2422</v>
      </c>
      <c r="AA516" s="256" t="s">
        <v>1492</v>
      </c>
      <c r="AB516" s="256"/>
      <c r="AC516" s="256"/>
      <c r="AD516" s="256" t="s">
        <v>1510</v>
      </c>
      <c r="AE516" s="256" t="s">
        <v>300</v>
      </c>
    </row>
    <row r="517" spans="1:31">
      <c r="A517" s="256" t="s">
        <v>1505</v>
      </c>
      <c r="B517" s="256" t="s">
        <v>1471</v>
      </c>
      <c r="C517" s="256" t="s">
        <v>1472</v>
      </c>
      <c r="D517" s="256" t="s">
        <v>1506</v>
      </c>
      <c r="E517" s="256">
        <v>4440976</v>
      </c>
      <c r="F517" s="256">
        <v>4447063</v>
      </c>
      <c r="G517" s="256" t="s">
        <v>600</v>
      </c>
      <c r="H517" s="256" t="s">
        <v>305</v>
      </c>
      <c r="I517" s="256" t="s">
        <v>317</v>
      </c>
      <c r="J517" s="256" t="s">
        <v>1728</v>
      </c>
      <c r="K517" s="259">
        <v>46129.229166666664</v>
      </c>
      <c r="L517" s="259">
        <v>46126.65347222222</v>
      </c>
      <c r="M517" s="259">
        <v>46136.229166666664</v>
      </c>
      <c r="N517" s="256"/>
      <c r="O517" s="256" t="s">
        <v>2364</v>
      </c>
      <c r="P517" s="259">
        <v>46151.229166666664</v>
      </c>
      <c r="Q517" s="256">
        <v>1</v>
      </c>
      <c r="R517" s="256"/>
      <c r="S517" s="256">
        <v>2</v>
      </c>
      <c r="T517" s="256"/>
      <c r="U517" s="256" t="s">
        <v>1</v>
      </c>
      <c r="V517" s="256" t="s">
        <v>1</v>
      </c>
      <c r="W517" s="256" t="s">
        <v>1508</v>
      </c>
      <c r="X517" s="259">
        <v>46110.461111111108</v>
      </c>
      <c r="Y517" s="256" t="s">
        <v>1560</v>
      </c>
      <c r="Z517" s="256" t="s">
        <v>2422</v>
      </c>
      <c r="AA517" s="256" t="s">
        <v>1492</v>
      </c>
      <c r="AB517" s="256"/>
      <c r="AC517" s="256"/>
      <c r="AD517" s="256" t="s">
        <v>1510</v>
      </c>
      <c r="AE517" s="256" t="s">
        <v>300</v>
      </c>
    </row>
    <row r="518" spans="1:31">
      <c r="A518" s="256" t="s">
        <v>302</v>
      </c>
      <c r="B518" s="256" t="s">
        <v>1486</v>
      </c>
      <c r="C518" s="256" t="s">
        <v>2322</v>
      </c>
      <c r="D518" s="256" t="s">
        <v>314</v>
      </c>
      <c r="E518" s="256">
        <v>4446028</v>
      </c>
      <c r="F518" s="256">
        <v>4440929</v>
      </c>
      <c r="G518" s="256" t="s">
        <v>315</v>
      </c>
      <c r="H518" s="256" t="s">
        <v>1513</v>
      </c>
      <c r="I518" s="256" t="s">
        <v>317</v>
      </c>
      <c r="J518" s="256" t="s">
        <v>1801</v>
      </c>
      <c r="K518" s="259">
        <v>46136.229166666664</v>
      </c>
      <c r="L518" s="259">
        <v>46119.979166666664</v>
      </c>
      <c r="M518" s="259">
        <v>46140.229166666664</v>
      </c>
      <c r="N518" s="259">
        <v>46127.856249999997</v>
      </c>
      <c r="O518" s="256" t="s">
        <v>1731</v>
      </c>
      <c r="P518" s="259">
        <v>46151.229166666664</v>
      </c>
      <c r="Q518" s="256">
        <v>2</v>
      </c>
      <c r="R518" s="256"/>
      <c r="S518" s="256">
        <v>2</v>
      </c>
      <c r="T518" s="256"/>
      <c r="U518" s="256" t="s">
        <v>1</v>
      </c>
      <c r="V518" s="256" t="s">
        <v>1</v>
      </c>
      <c r="W518" s="256" t="s">
        <v>2353</v>
      </c>
      <c r="X518" s="259">
        <v>46105.711111111108</v>
      </c>
      <c r="Y518" s="256"/>
      <c r="Z518" s="256" t="s">
        <v>2422</v>
      </c>
      <c r="AA518" s="256" t="s">
        <v>2427</v>
      </c>
      <c r="AB518" s="256"/>
      <c r="AC518" s="256"/>
      <c r="AD518" s="256" t="s">
        <v>314</v>
      </c>
      <c r="AE518" s="256" t="s">
        <v>300</v>
      </c>
    </row>
    <row r="519" spans="1:31">
      <c r="A519" s="256" t="s">
        <v>345</v>
      </c>
      <c r="B519" s="256" t="s">
        <v>1486</v>
      </c>
      <c r="C519" s="256" t="s">
        <v>2322</v>
      </c>
      <c r="D519" s="256" t="s">
        <v>344</v>
      </c>
      <c r="E519" s="256">
        <v>4446026</v>
      </c>
      <c r="F519" s="256">
        <v>4435817</v>
      </c>
      <c r="G519" s="256" t="s">
        <v>346</v>
      </c>
      <c r="H519" s="256" t="s">
        <v>242</v>
      </c>
      <c r="I519" s="256" t="s">
        <v>317</v>
      </c>
      <c r="J519" s="256" t="s">
        <v>1728</v>
      </c>
      <c r="K519" s="259">
        <v>46134.229166666664</v>
      </c>
      <c r="L519" s="256"/>
      <c r="M519" s="259">
        <v>46140.229166666664</v>
      </c>
      <c r="N519" s="256"/>
      <c r="O519" s="256" t="s">
        <v>2442</v>
      </c>
      <c r="P519" s="259">
        <v>46151.229166666664</v>
      </c>
      <c r="Q519" s="256">
        <v>2</v>
      </c>
      <c r="R519" s="256"/>
      <c r="S519" s="256">
        <v>2</v>
      </c>
      <c r="T519" s="256"/>
      <c r="U519" s="256"/>
      <c r="V519" s="256"/>
      <c r="W519" s="256" t="s">
        <v>2353</v>
      </c>
      <c r="X519" s="259">
        <v>46099.796527777777</v>
      </c>
      <c r="Y519" s="256"/>
      <c r="Z519" s="256" t="s">
        <v>2422</v>
      </c>
      <c r="AA519" s="256" t="s">
        <v>2427</v>
      </c>
      <c r="AB519" s="256"/>
      <c r="AC519" s="256"/>
      <c r="AD519" s="256" t="s">
        <v>344</v>
      </c>
      <c r="AE519" s="256" t="s">
        <v>300</v>
      </c>
    </row>
    <row r="520" spans="1:31">
      <c r="A520" s="256" t="s">
        <v>2443</v>
      </c>
      <c r="B520" s="256" t="s">
        <v>1486</v>
      </c>
      <c r="C520" s="256" t="s">
        <v>1727</v>
      </c>
      <c r="D520" s="256" t="s">
        <v>2444</v>
      </c>
      <c r="E520" s="256">
        <v>4441811</v>
      </c>
      <c r="F520" s="256">
        <v>4434927</v>
      </c>
      <c r="G520" s="256" t="s">
        <v>702</v>
      </c>
      <c r="H520" s="256" t="s">
        <v>305</v>
      </c>
      <c r="I520" s="256" t="s">
        <v>317</v>
      </c>
      <c r="J520" s="256" t="s">
        <v>1801</v>
      </c>
      <c r="K520" s="259">
        <v>46129.229166666664</v>
      </c>
      <c r="L520" s="259">
        <v>46128.020833333336</v>
      </c>
      <c r="M520" s="259">
        <v>46136.229166666664</v>
      </c>
      <c r="N520" s="256"/>
      <c r="O520" s="256" t="s">
        <v>2445</v>
      </c>
      <c r="P520" s="259">
        <v>46151.229166666664</v>
      </c>
      <c r="Q520" s="256">
        <v>4</v>
      </c>
      <c r="R520" s="256"/>
      <c r="S520" s="256">
        <v>2</v>
      </c>
      <c r="T520" s="256"/>
      <c r="U520" s="256" t="s">
        <v>1</v>
      </c>
      <c r="V520" s="256" t="s">
        <v>1</v>
      </c>
      <c r="W520" s="256" t="s">
        <v>1769</v>
      </c>
      <c r="X520" s="259">
        <v>46099.552777777775</v>
      </c>
      <c r="Y520" s="256" t="s">
        <v>2446</v>
      </c>
      <c r="Z520" s="256" t="s">
        <v>2422</v>
      </c>
      <c r="AA520" s="256" t="s">
        <v>2427</v>
      </c>
      <c r="AB520" s="256"/>
      <c r="AC520" s="256"/>
      <c r="AD520" s="256" t="s">
        <v>2447</v>
      </c>
      <c r="AE520" s="256" t="s">
        <v>300</v>
      </c>
    </row>
    <row r="521" spans="1:31">
      <c r="A521" s="256" t="s">
        <v>357</v>
      </c>
      <c r="B521" s="256" t="s">
        <v>1511</v>
      </c>
      <c r="C521" s="256" t="s">
        <v>280</v>
      </c>
      <c r="D521" s="256" t="s">
        <v>255</v>
      </c>
      <c r="E521" s="256">
        <v>4428652</v>
      </c>
      <c r="F521" s="256">
        <v>4428656</v>
      </c>
      <c r="G521" s="256" t="s">
        <v>377</v>
      </c>
      <c r="H521" s="256" t="s">
        <v>305</v>
      </c>
      <c r="I521" s="256" t="s">
        <v>356</v>
      </c>
      <c r="J521" s="256" t="s">
        <v>1728</v>
      </c>
      <c r="K521" s="259">
        <v>46121.8125</v>
      </c>
      <c r="L521" s="259">
        <v>46120.799305555556</v>
      </c>
      <c r="M521" s="259">
        <v>46129.229166666664</v>
      </c>
      <c r="N521" s="256"/>
      <c r="O521" s="256" t="s">
        <v>1753</v>
      </c>
      <c r="P521" s="259">
        <v>46151.229166666664</v>
      </c>
      <c r="Q521" s="256">
        <v>3</v>
      </c>
      <c r="R521" s="256"/>
      <c r="S521" s="256">
        <v>2</v>
      </c>
      <c r="T521" s="256"/>
      <c r="U521" s="256" t="s">
        <v>1</v>
      </c>
      <c r="V521" s="256" t="s">
        <v>1</v>
      </c>
      <c r="W521" s="256" t="s">
        <v>1515</v>
      </c>
      <c r="X521" s="259">
        <v>46097.638194444444</v>
      </c>
      <c r="Y521" s="256" t="s">
        <v>1560</v>
      </c>
      <c r="Z521" s="256" t="s">
        <v>2448</v>
      </c>
      <c r="AA521" s="256" t="s">
        <v>1517</v>
      </c>
      <c r="AB521" s="256"/>
      <c r="AC521" s="256"/>
      <c r="AD521" s="256" t="s">
        <v>2449</v>
      </c>
      <c r="AE521" s="256" t="s">
        <v>300</v>
      </c>
    </row>
    <row r="522" spans="1:31">
      <c r="A522" s="256" t="s">
        <v>357</v>
      </c>
      <c r="B522" s="256" t="s">
        <v>1511</v>
      </c>
      <c r="C522" s="256" t="s">
        <v>280</v>
      </c>
      <c r="D522" s="256" t="s">
        <v>255</v>
      </c>
      <c r="E522" s="256">
        <v>4428652</v>
      </c>
      <c r="F522" s="256">
        <v>4428664</v>
      </c>
      <c r="G522" s="256" t="s">
        <v>358</v>
      </c>
      <c r="H522" s="256" t="s">
        <v>305</v>
      </c>
      <c r="I522" s="256" t="s">
        <v>356</v>
      </c>
      <c r="J522" s="256" t="s">
        <v>1728</v>
      </c>
      <c r="K522" s="259">
        <v>46121.8125</v>
      </c>
      <c r="L522" s="259">
        <v>46120.799305555556</v>
      </c>
      <c r="M522" s="259">
        <v>46129.229166666664</v>
      </c>
      <c r="N522" s="256"/>
      <c r="O522" s="256" t="s">
        <v>1753</v>
      </c>
      <c r="P522" s="259">
        <v>46151.229166666664</v>
      </c>
      <c r="Q522" s="256">
        <v>3</v>
      </c>
      <c r="R522" s="256"/>
      <c r="S522" s="256">
        <v>2</v>
      </c>
      <c r="T522" s="256"/>
      <c r="U522" s="256" t="s">
        <v>1</v>
      </c>
      <c r="V522" s="256" t="s">
        <v>1</v>
      </c>
      <c r="W522" s="256" t="s">
        <v>1515</v>
      </c>
      <c r="X522" s="259">
        <v>46097.640277777777</v>
      </c>
      <c r="Y522" s="256" t="s">
        <v>1560</v>
      </c>
      <c r="Z522" s="256" t="s">
        <v>2448</v>
      </c>
      <c r="AA522" s="256" t="s">
        <v>1517</v>
      </c>
      <c r="AB522" s="256"/>
      <c r="AC522" s="256"/>
      <c r="AD522" s="256" t="s">
        <v>2450</v>
      </c>
      <c r="AE522" s="256" t="s">
        <v>300</v>
      </c>
    </row>
    <row r="523" spans="1:31">
      <c r="A523" s="256" t="s">
        <v>351</v>
      </c>
      <c r="B523" s="256" t="s">
        <v>1486</v>
      </c>
      <c r="C523" s="256" t="s">
        <v>1727</v>
      </c>
      <c r="D523" s="256" t="s">
        <v>350</v>
      </c>
      <c r="E523" s="256">
        <v>4250760</v>
      </c>
      <c r="F523" s="256">
        <v>4429069</v>
      </c>
      <c r="G523" s="256" t="s">
        <v>352</v>
      </c>
      <c r="H523" s="256" t="s">
        <v>242</v>
      </c>
      <c r="I523" s="256" t="s">
        <v>356</v>
      </c>
      <c r="J523" s="256" t="s">
        <v>1728</v>
      </c>
      <c r="K523" s="259">
        <v>46133.020833333336</v>
      </c>
      <c r="L523" s="256"/>
      <c r="M523" s="259">
        <v>46139.229166666664</v>
      </c>
      <c r="N523" s="256"/>
      <c r="O523" s="256" t="s">
        <v>2451</v>
      </c>
      <c r="P523" s="259">
        <v>46151.229166666664</v>
      </c>
      <c r="Q523" s="256">
        <v>2</v>
      </c>
      <c r="R523" s="256"/>
      <c r="S523" s="256">
        <v>2</v>
      </c>
      <c r="T523" s="256"/>
      <c r="U523" s="256"/>
      <c r="V523" s="256"/>
      <c r="W523" s="256" t="s">
        <v>1555</v>
      </c>
      <c r="X523" s="259">
        <v>46097.709027777775</v>
      </c>
      <c r="Y523" s="256"/>
      <c r="Z523" s="256" t="s">
        <v>2448</v>
      </c>
      <c r="AA523" s="256" t="s">
        <v>1565</v>
      </c>
      <c r="AB523" s="256"/>
      <c r="AC523" s="256"/>
      <c r="AD523" s="256" t="s">
        <v>350</v>
      </c>
      <c r="AE523" s="256" t="s">
        <v>300</v>
      </c>
    </row>
    <row r="524" spans="1:31">
      <c r="A524" s="256" t="s">
        <v>351</v>
      </c>
      <c r="B524" s="256" t="s">
        <v>1486</v>
      </c>
      <c r="C524" s="256" t="s">
        <v>1727</v>
      </c>
      <c r="D524" s="256" t="s">
        <v>350</v>
      </c>
      <c r="E524" s="256">
        <v>4250760</v>
      </c>
      <c r="F524" s="256">
        <v>4416198</v>
      </c>
      <c r="G524" s="256" t="s">
        <v>373</v>
      </c>
      <c r="H524" s="256" t="s">
        <v>242</v>
      </c>
      <c r="I524" s="256" t="s">
        <v>356</v>
      </c>
      <c r="J524" s="256" t="s">
        <v>1728</v>
      </c>
      <c r="K524" s="259">
        <v>46133.020833333336</v>
      </c>
      <c r="L524" s="256"/>
      <c r="M524" s="259">
        <v>46140.229166666664</v>
      </c>
      <c r="N524" s="256"/>
      <c r="O524" s="256" t="s">
        <v>2452</v>
      </c>
      <c r="P524" s="259">
        <v>46151.229166666664</v>
      </c>
      <c r="Q524" s="256">
        <v>3</v>
      </c>
      <c r="R524" s="256"/>
      <c r="S524" s="256">
        <v>2</v>
      </c>
      <c r="T524" s="256"/>
      <c r="U524" s="256"/>
      <c r="V524" s="256"/>
      <c r="W524" s="256" t="s">
        <v>1555</v>
      </c>
      <c r="X524" s="259">
        <v>46091.46597222222</v>
      </c>
      <c r="Y524" s="256"/>
      <c r="Z524" s="256" t="s">
        <v>2448</v>
      </c>
      <c r="AA524" s="256" t="s">
        <v>1565</v>
      </c>
      <c r="AB524" s="256"/>
      <c r="AC524" s="256"/>
      <c r="AD524" s="256" t="s">
        <v>350</v>
      </c>
      <c r="AE524" s="256" t="s">
        <v>300</v>
      </c>
    </row>
    <row r="525" spans="1:31">
      <c r="A525" s="256" t="s">
        <v>351</v>
      </c>
      <c r="B525" s="256" t="s">
        <v>1486</v>
      </c>
      <c r="C525" s="256" t="s">
        <v>1727</v>
      </c>
      <c r="D525" s="256" t="s">
        <v>350</v>
      </c>
      <c r="E525" s="256">
        <v>4250760</v>
      </c>
      <c r="F525" s="256">
        <v>4416199</v>
      </c>
      <c r="G525" s="256" t="s">
        <v>372</v>
      </c>
      <c r="H525" s="256" t="s">
        <v>242</v>
      </c>
      <c r="I525" s="256" t="s">
        <v>356</v>
      </c>
      <c r="J525" s="256" t="s">
        <v>1728</v>
      </c>
      <c r="K525" s="259">
        <v>46133.020833333336</v>
      </c>
      <c r="L525" s="256"/>
      <c r="M525" s="259">
        <v>46139.229166666664</v>
      </c>
      <c r="N525" s="256"/>
      <c r="O525" s="256" t="s">
        <v>2452</v>
      </c>
      <c r="P525" s="259">
        <v>46151.229166666664</v>
      </c>
      <c r="Q525" s="256">
        <v>4</v>
      </c>
      <c r="R525" s="256"/>
      <c r="S525" s="256">
        <v>2</v>
      </c>
      <c r="T525" s="256"/>
      <c r="U525" s="256"/>
      <c r="V525" s="256"/>
      <c r="W525" s="256" t="s">
        <v>1555</v>
      </c>
      <c r="X525" s="259">
        <v>46091.466666666667</v>
      </c>
      <c r="Y525" s="256"/>
      <c r="Z525" s="256" t="s">
        <v>2448</v>
      </c>
      <c r="AA525" s="256" t="s">
        <v>1565</v>
      </c>
      <c r="AB525" s="256"/>
      <c r="AC525" s="256"/>
      <c r="AD525" s="256" t="s">
        <v>350</v>
      </c>
      <c r="AE525" s="256" t="s">
        <v>300</v>
      </c>
    </row>
    <row r="526" spans="1:31">
      <c r="A526" s="256" t="s">
        <v>351</v>
      </c>
      <c r="B526" s="256" t="s">
        <v>1486</v>
      </c>
      <c r="C526" s="256" t="s">
        <v>1727</v>
      </c>
      <c r="D526" s="256" t="s">
        <v>350</v>
      </c>
      <c r="E526" s="256">
        <v>4250760</v>
      </c>
      <c r="F526" s="256">
        <v>4416213</v>
      </c>
      <c r="G526" s="256" t="s">
        <v>371</v>
      </c>
      <c r="H526" s="256" t="s">
        <v>242</v>
      </c>
      <c r="I526" s="256" t="s">
        <v>356</v>
      </c>
      <c r="J526" s="256" t="s">
        <v>1728</v>
      </c>
      <c r="K526" s="259">
        <v>46133.020833333336</v>
      </c>
      <c r="L526" s="256"/>
      <c r="M526" s="259">
        <v>46139.229166666664</v>
      </c>
      <c r="N526" s="256"/>
      <c r="O526" s="256" t="s">
        <v>2452</v>
      </c>
      <c r="P526" s="259">
        <v>46151.229166666664</v>
      </c>
      <c r="Q526" s="256">
        <v>4</v>
      </c>
      <c r="R526" s="256"/>
      <c r="S526" s="256">
        <v>2</v>
      </c>
      <c r="T526" s="256"/>
      <c r="U526" s="256"/>
      <c r="V526" s="256"/>
      <c r="W526" s="256" t="s">
        <v>1555</v>
      </c>
      <c r="X526" s="259">
        <v>46091.472222222219</v>
      </c>
      <c r="Y526" s="256"/>
      <c r="Z526" s="256" t="s">
        <v>2448</v>
      </c>
      <c r="AA526" s="256" t="s">
        <v>1565</v>
      </c>
      <c r="AB526" s="256"/>
      <c r="AC526" s="256"/>
      <c r="AD526" s="256" t="s">
        <v>350</v>
      </c>
      <c r="AE526" s="256" t="s">
        <v>300</v>
      </c>
    </row>
    <row r="527" spans="1:31">
      <c r="A527" s="256" t="s">
        <v>2443</v>
      </c>
      <c r="B527" s="256" t="s">
        <v>1486</v>
      </c>
      <c r="C527" s="256" t="s">
        <v>1727</v>
      </c>
      <c r="D527" s="256" t="s">
        <v>1419</v>
      </c>
      <c r="E527" s="256">
        <v>4441811</v>
      </c>
      <c r="F527" s="256">
        <v>4437640</v>
      </c>
      <c r="G527" s="256" t="s">
        <v>704</v>
      </c>
      <c r="H527" s="256" t="s">
        <v>305</v>
      </c>
      <c r="I527" s="256" t="s">
        <v>317</v>
      </c>
      <c r="J527" s="256" t="s">
        <v>1801</v>
      </c>
      <c r="K527" s="259">
        <v>46134.729166666664</v>
      </c>
      <c r="L527" s="259">
        <v>46128.020833333336</v>
      </c>
      <c r="M527" s="259">
        <v>46136.229166666664</v>
      </c>
      <c r="N527" s="256"/>
      <c r="O527" s="256" t="s">
        <v>2423</v>
      </c>
      <c r="P527" s="259">
        <v>46151.229166666664</v>
      </c>
      <c r="Q527" s="256">
        <v>2</v>
      </c>
      <c r="R527" s="256"/>
      <c r="S527" s="256">
        <v>2</v>
      </c>
      <c r="T527" s="256"/>
      <c r="U527" s="256" t="s">
        <v>1</v>
      </c>
      <c r="V527" s="256" t="s">
        <v>1</v>
      </c>
      <c r="W527" s="256" t="s">
        <v>1769</v>
      </c>
      <c r="X527" s="259">
        <v>46101.544444444444</v>
      </c>
      <c r="Y527" s="256" t="s">
        <v>2453</v>
      </c>
      <c r="Z527" s="256" t="s">
        <v>2422</v>
      </c>
      <c r="AA527" s="256" t="s">
        <v>2427</v>
      </c>
      <c r="AB527" s="256"/>
      <c r="AC527" s="256"/>
      <c r="AD527" s="256" t="s">
        <v>2447</v>
      </c>
      <c r="AE527" s="256" t="s">
        <v>300</v>
      </c>
    </row>
    <row r="528" spans="1:31">
      <c r="A528" s="256" t="s">
        <v>2454</v>
      </c>
      <c r="B528" s="256" t="s">
        <v>1486</v>
      </c>
      <c r="C528" s="256" t="s">
        <v>444</v>
      </c>
      <c r="D528" s="256" t="s">
        <v>2455</v>
      </c>
      <c r="E528" s="256">
        <v>4446027</v>
      </c>
      <c r="F528" s="256">
        <v>4439547</v>
      </c>
      <c r="G528" s="256" t="s">
        <v>596</v>
      </c>
      <c r="H528" s="256" t="s">
        <v>305</v>
      </c>
      <c r="I528" s="256" t="s">
        <v>317</v>
      </c>
      <c r="J528" s="256" t="s">
        <v>1728</v>
      </c>
      <c r="K528" s="259">
        <v>46129.229166666664</v>
      </c>
      <c r="L528" s="259">
        <v>46129.688888888886</v>
      </c>
      <c r="M528" s="259">
        <v>46136.229166666664</v>
      </c>
      <c r="N528" s="256"/>
      <c r="O528" s="256" t="s">
        <v>1753</v>
      </c>
      <c r="P528" s="259">
        <v>46151.229166666664</v>
      </c>
      <c r="Q528" s="256">
        <v>2</v>
      </c>
      <c r="R528" s="256"/>
      <c r="S528" s="256">
        <v>2</v>
      </c>
      <c r="T528" s="256"/>
      <c r="U528" s="256" t="s">
        <v>1</v>
      </c>
      <c r="V528" s="256" t="s">
        <v>1</v>
      </c>
      <c r="W528" s="256" t="s">
        <v>2353</v>
      </c>
      <c r="X528" s="259">
        <v>46105.376388888886</v>
      </c>
      <c r="Y528" s="256"/>
      <c r="Z528" s="256" t="s">
        <v>2422</v>
      </c>
      <c r="AA528" s="256" t="s">
        <v>2427</v>
      </c>
      <c r="AB528" s="256"/>
      <c r="AC528" s="256"/>
      <c r="AD528" s="256" t="s">
        <v>2455</v>
      </c>
      <c r="AE528" s="256" t="s">
        <v>300</v>
      </c>
    </row>
    <row r="529" spans="1:31">
      <c r="A529" s="256" t="s">
        <v>319</v>
      </c>
      <c r="B529" s="256" t="s">
        <v>1486</v>
      </c>
      <c r="C529" s="256" t="s">
        <v>444</v>
      </c>
      <c r="D529" s="256" t="s">
        <v>2456</v>
      </c>
      <c r="E529" s="256">
        <v>4439712</v>
      </c>
      <c r="F529" s="256">
        <v>4439746</v>
      </c>
      <c r="G529" s="256" t="s">
        <v>2457</v>
      </c>
      <c r="H529" s="256" t="s">
        <v>242</v>
      </c>
      <c r="I529" s="256" t="s">
        <v>323</v>
      </c>
      <c r="J529" s="256" t="s">
        <v>1801</v>
      </c>
      <c r="K529" s="259">
        <v>46134.0625</v>
      </c>
      <c r="L529" s="256"/>
      <c r="M529" s="259">
        <v>46135.229166666664</v>
      </c>
      <c r="N529" s="256"/>
      <c r="O529" s="256" t="s">
        <v>2458</v>
      </c>
      <c r="P529" s="259">
        <v>46151.229166666664</v>
      </c>
      <c r="Q529" s="256">
        <v>6</v>
      </c>
      <c r="R529" s="256"/>
      <c r="S529" s="256">
        <v>2</v>
      </c>
      <c r="T529" s="256"/>
      <c r="U529" s="256"/>
      <c r="V529" s="256"/>
      <c r="W529" s="256" t="s">
        <v>1769</v>
      </c>
      <c r="X529" s="259">
        <v>46105.50277777778</v>
      </c>
      <c r="Y529" s="256" t="s">
        <v>2459</v>
      </c>
      <c r="Z529" s="256" t="s">
        <v>2436</v>
      </c>
      <c r="AA529" s="256" t="s">
        <v>1534</v>
      </c>
      <c r="AB529" s="256"/>
      <c r="AC529" s="256"/>
      <c r="AD529" s="256" t="s">
        <v>2460</v>
      </c>
      <c r="AE529" s="256" t="s">
        <v>300</v>
      </c>
    </row>
    <row r="530" spans="1:31">
      <c r="A530" s="256" t="s">
        <v>319</v>
      </c>
      <c r="B530" s="256" t="s">
        <v>1486</v>
      </c>
      <c r="C530" s="256" t="s">
        <v>444</v>
      </c>
      <c r="D530" s="256" t="s">
        <v>2461</v>
      </c>
      <c r="E530" s="256">
        <v>4439712</v>
      </c>
      <c r="F530" s="256">
        <v>4439806</v>
      </c>
      <c r="G530" s="256" t="s">
        <v>716</v>
      </c>
      <c r="H530" s="256" t="s">
        <v>242</v>
      </c>
      <c r="I530" s="256" t="s">
        <v>323</v>
      </c>
      <c r="J530" s="256" t="s">
        <v>1801</v>
      </c>
      <c r="K530" s="259">
        <v>46134.0625</v>
      </c>
      <c r="L530" s="256"/>
      <c r="M530" s="259">
        <v>46135.229166666664</v>
      </c>
      <c r="N530" s="256"/>
      <c r="O530" s="256" t="s">
        <v>2462</v>
      </c>
      <c r="P530" s="259">
        <v>46151.229166666664</v>
      </c>
      <c r="Q530" s="256">
        <v>6</v>
      </c>
      <c r="R530" s="256"/>
      <c r="S530" s="256">
        <v>2</v>
      </c>
      <c r="T530" s="256"/>
      <c r="U530" s="256"/>
      <c r="V530" s="256"/>
      <c r="W530" s="256" t="s">
        <v>1769</v>
      </c>
      <c r="X530" s="259">
        <v>46105.51666666667</v>
      </c>
      <c r="Y530" s="256" t="s">
        <v>2463</v>
      </c>
      <c r="Z530" s="256" t="s">
        <v>2436</v>
      </c>
      <c r="AA530" s="256" t="s">
        <v>1534</v>
      </c>
      <c r="AB530" s="256"/>
      <c r="AC530" s="256"/>
      <c r="AD530" s="256" t="s">
        <v>2464</v>
      </c>
      <c r="AE530" s="256" t="s">
        <v>300</v>
      </c>
    </row>
    <row r="531" spans="1:31">
      <c r="A531" s="256" t="s">
        <v>319</v>
      </c>
      <c r="B531" s="256" t="s">
        <v>1486</v>
      </c>
      <c r="C531" s="256" t="s">
        <v>444</v>
      </c>
      <c r="D531" s="256" t="s">
        <v>318</v>
      </c>
      <c r="E531" s="256">
        <v>4439712</v>
      </c>
      <c r="F531" s="256">
        <v>4439840</v>
      </c>
      <c r="G531" s="256" t="s">
        <v>320</v>
      </c>
      <c r="H531" s="256" t="s">
        <v>242</v>
      </c>
      <c r="I531" s="256" t="s">
        <v>323</v>
      </c>
      <c r="J531" s="256" t="s">
        <v>1801</v>
      </c>
      <c r="K531" s="259">
        <v>46134.0625</v>
      </c>
      <c r="L531" s="256"/>
      <c r="M531" s="259">
        <v>46135.229166666664</v>
      </c>
      <c r="N531" s="256"/>
      <c r="O531" s="256" t="s">
        <v>2465</v>
      </c>
      <c r="P531" s="259">
        <v>46151.229166666664</v>
      </c>
      <c r="Q531" s="256">
        <v>6</v>
      </c>
      <c r="R531" s="256"/>
      <c r="S531" s="256">
        <v>2</v>
      </c>
      <c r="T531" s="256"/>
      <c r="U531" s="256"/>
      <c r="V531" s="256"/>
      <c r="W531" s="256" t="s">
        <v>1769</v>
      </c>
      <c r="X531" s="259">
        <v>46105.518750000003</v>
      </c>
      <c r="Y531" s="256" t="s">
        <v>2466</v>
      </c>
      <c r="Z531" s="256" t="s">
        <v>2436</v>
      </c>
      <c r="AA531" s="256" t="s">
        <v>1534</v>
      </c>
      <c r="AB531" s="256"/>
      <c r="AC531" s="256"/>
      <c r="AD531" s="256" t="s">
        <v>2467</v>
      </c>
      <c r="AE531" s="256" t="s">
        <v>300</v>
      </c>
    </row>
    <row r="532" spans="1:31">
      <c r="A532" s="256" t="s">
        <v>294</v>
      </c>
      <c r="B532" s="256" t="s">
        <v>1486</v>
      </c>
      <c r="C532" s="256" t="s">
        <v>1727</v>
      </c>
      <c r="D532" s="256" t="s">
        <v>293</v>
      </c>
      <c r="E532" s="256">
        <v>4438595</v>
      </c>
      <c r="F532" s="256">
        <v>4438596</v>
      </c>
      <c r="G532" s="256" t="s">
        <v>706</v>
      </c>
      <c r="H532" s="256" t="s">
        <v>242</v>
      </c>
      <c r="I532" s="256" t="s">
        <v>299</v>
      </c>
      <c r="J532" s="256" t="s">
        <v>1801</v>
      </c>
      <c r="K532" s="259">
        <v>46132.979166666664</v>
      </c>
      <c r="L532" s="256"/>
      <c r="M532" s="259">
        <v>46133.229166666664</v>
      </c>
      <c r="N532" s="256"/>
      <c r="O532" s="256" t="s">
        <v>2468</v>
      </c>
      <c r="P532" s="259">
        <v>46151.229166666664</v>
      </c>
      <c r="Q532" s="256">
        <v>8</v>
      </c>
      <c r="R532" s="256"/>
      <c r="S532" s="256">
        <v>2</v>
      </c>
      <c r="T532" s="256"/>
      <c r="U532" s="256"/>
      <c r="V532" s="256"/>
      <c r="W532" s="256" t="s">
        <v>1769</v>
      </c>
      <c r="X532" s="259">
        <v>46104.31527777778</v>
      </c>
      <c r="Y532" s="256" t="s">
        <v>2469</v>
      </c>
      <c r="Z532" s="256" t="s">
        <v>2426</v>
      </c>
      <c r="AA532" s="256" t="s">
        <v>2427</v>
      </c>
      <c r="AB532" s="256"/>
      <c r="AC532" s="256"/>
      <c r="AD532" s="256" t="s">
        <v>2449</v>
      </c>
      <c r="AE532" s="256" t="s">
        <v>300</v>
      </c>
    </row>
    <row r="533" spans="1:31">
      <c r="A533" s="256" t="s">
        <v>351</v>
      </c>
      <c r="B533" s="256" t="s">
        <v>1486</v>
      </c>
      <c r="C533" s="256" t="s">
        <v>1727</v>
      </c>
      <c r="D533" s="256" t="s">
        <v>350</v>
      </c>
      <c r="E533" s="256">
        <v>4250760</v>
      </c>
      <c r="F533" s="256">
        <v>4413833</v>
      </c>
      <c r="G533" s="256" t="s">
        <v>375</v>
      </c>
      <c r="H533" s="256" t="s">
        <v>242</v>
      </c>
      <c r="I533" s="256" t="s">
        <v>356</v>
      </c>
      <c r="J533" s="256" t="s">
        <v>1728</v>
      </c>
      <c r="K533" s="259">
        <v>46133.020833333336</v>
      </c>
      <c r="L533" s="256"/>
      <c r="M533" s="259">
        <v>46140.229166666664</v>
      </c>
      <c r="N533" s="256"/>
      <c r="O533" s="256" t="s">
        <v>2470</v>
      </c>
      <c r="P533" s="259">
        <v>46151.229166666664</v>
      </c>
      <c r="Q533" s="256">
        <v>4</v>
      </c>
      <c r="R533" s="256"/>
      <c r="S533" s="256">
        <v>2</v>
      </c>
      <c r="T533" s="256"/>
      <c r="U533" s="256"/>
      <c r="V533" s="256"/>
      <c r="W533" s="256" t="s">
        <v>1555</v>
      </c>
      <c r="X533" s="259">
        <v>46090.509027777778</v>
      </c>
      <c r="Y533" s="256"/>
      <c r="Z533" s="256" t="s">
        <v>2448</v>
      </c>
      <c r="AA533" s="256" t="s">
        <v>1565</v>
      </c>
      <c r="AB533" s="256"/>
      <c r="AC533" s="256"/>
      <c r="AD533" s="256" t="s">
        <v>350</v>
      </c>
      <c r="AE533" s="256" t="s">
        <v>300</v>
      </c>
    </row>
    <row r="534" spans="1:31">
      <c r="A534" s="256" t="s">
        <v>351</v>
      </c>
      <c r="B534" s="256" t="s">
        <v>1486</v>
      </c>
      <c r="C534" s="256" t="s">
        <v>1727</v>
      </c>
      <c r="D534" s="256" t="s">
        <v>350</v>
      </c>
      <c r="E534" s="256">
        <v>4250760</v>
      </c>
      <c r="F534" s="256">
        <v>4413836</v>
      </c>
      <c r="G534" s="256" t="s">
        <v>374</v>
      </c>
      <c r="H534" s="256" t="s">
        <v>242</v>
      </c>
      <c r="I534" s="256" t="s">
        <v>356</v>
      </c>
      <c r="J534" s="256" t="s">
        <v>1728</v>
      </c>
      <c r="K534" s="259">
        <v>46133.020833333336</v>
      </c>
      <c r="L534" s="256"/>
      <c r="M534" s="259">
        <v>46139.229166666664</v>
      </c>
      <c r="N534" s="256"/>
      <c r="O534" s="256" t="s">
        <v>2471</v>
      </c>
      <c r="P534" s="259">
        <v>46151.229166666664</v>
      </c>
      <c r="Q534" s="256">
        <v>4</v>
      </c>
      <c r="R534" s="256"/>
      <c r="S534" s="256">
        <v>2</v>
      </c>
      <c r="T534" s="256"/>
      <c r="U534" s="256"/>
      <c r="V534" s="256"/>
      <c r="W534" s="256" t="s">
        <v>1555</v>
      </c>
      <c r="X534" s="259">
        <v>46090.511111111111</v>
      </c>
      <c r="Y534" s="256"/>
      <c r="Z534" s="256" t="s">
        <v>2448</v>
      </c>
      <c r="AA534" s="256" t="s">
        <v>1565</v>
      </c>
      <c r="AB534" s="256"/>
      <c r="AC534" s="256"/>
      <c r="AD534" s="256" t="s">
        <v>350</v>
      </c>
      <c r="AE534" s="256" t="s">
        <v>300</v>
      </c>
    </row>
    <row r="535" spans="1:31">
      <c r="A535" s="256" t="s">
        <v>2472</v>
      </c>
      <c r="B535" s="256" t="s">
        <v>1486</v>
      </c>
      <c r="C535" s="256" t="s">
        <v>1472</v>
      </c>
      <c r="D535" s="256" t="s">
        <v>191</v>
      </c>
      <c r="E535" s="256">
        <v>4278081</v>
      </c>
      <c r="F535" s="256">
        <v>4362582</v>
      </c>
      <c r="G535" s="256" t="s">
        <v>1361</v>
      </c>
      <c r="H535" s="256" t="s">
        <v>242</v>
      </c>
      <c r="I535" s="256" t="s">
        <v>356</v>
      </c>
      <c r="J535" s="256" t="s">
        <v>1501</v>
      </c>
      <c r="K535" s="256"/>
      <c r="L535" s="256"/>
      <c r="M535" s="256"/>
      <c r="N535" s="256"/>
      <c r="O535" s="256" t="s">
        <v>2473</v>
      </c>
      <c r="P535" s="259">
        <v>46151.229166666664</v>
      </c>
      <c r="Q535" s="256">
        <v>2</v>
      </c>
      <c r="R535" s="256"/>
      <c r="S535" s="256">
        <v>2</v>
      </c>
      <c r="T535" s="256"/>
      <c r="U535" s="256" t="s">
        <v>1</v>
      </c>
      <c r="V535" s="256" t="s">
        <v>1</v>
      </c>
      <c r="W535" s="256" t="s">
        <v>1555</v>
      </c>
      <c r="X535" s="259">
        <v>46064.526388888888</v>
      </c>
      <c r="Y535" s="256" t="s">
        <v>2474</v>
      </c>
      <c r="Z535" s="256" t="s">
        <v>2448</v>
      </c>
      <c r="AA535" s="256" t="s">
        <v>1565</v>
      </c>
      <c r="AB535" s="256"/>
      <c r="AC535" s="256"/>
      <c r="AD535" s="256" t="s">
        <v>191</v>
      </c>
      <c r="AE535" s="256" t="s">
        <v>300</v>
      </c>
    </row>
    <row r="536" spans="1:31">
      <c r="A536" s="256" t="s">
        <v>2472</v>
      </c>
      <c r="B536" s="256" t="s">
        <v>1486</v>
      </c>
      <c r="C536" s="256" t="s">
        <v>1472</v>
      </c>
      <c r="D536" s="256" t="s">
        <v>191</v>
      </c>
      <c r="E536" s="256">
        <v>4278081</v>
      </c>
      <c r="F536" s="256">
        <v>4362592</v>
      </c>
      <c r="G536" s="256" t="s">
        <v>1362</v>
      </c>
      <c r="H536" s="256" t="s">
        <v>242</v>
      </c>
      <c r="I536" s="256" t="s">
        <v>356</v>
      </c>
      <c r="J536" s="256" t="s">
        <v>1501</v>
      </c>
      <c r="K536" s="256"/>
      <c r="L536" s="256"/>
      <c r="M536" s="256"/>
      <c r="N536" s="256"/>
      <c r="O536" s="256" t="s">
        <v>2473</v>
      </c>
      <c r="P536" s="259">
        <v>46151.229166666664</v>
      </c>
      <c r="Q536" s="256">
        <v>2</v>
      </c>
      <c r="R536" s="256"/>
      <c r="S536" s="256">
        <v>2</v>
      </c>
      <c r="T536" s="256"/>
      <c r="U536" s="256" t="s">
        <v>1</v>
      </c>
      <c r="V536" s="256" t="s">
        <v>1</v>
      </c>
      <c r="W536" s="256" t="s">
        <v>1555</v>
      </c>
      <c r="X536" s="259">
        <v>46064.52847222222</v>
      </c>
      <c r="Y536" s="256" t="s">
        <v>2474</v>
      </c>
      <c r="Z536" s="256" t="s">
        <v>2448</v>
      </c>
      <c r="AA536" s="256" t="s">
        <v>1565</v>
      </c>
      <c r="AB536" s="256"/>
      <c r="AC536" s="256"/>
      <c r="AD536" s="256" t="s">
        <v>191</v>
      </c>
      <c r="AE536" s="256" t="s">
        <v>300</v>
      </c>
    </row>
    <row r="537" spans="1:31">
      <c r="A537" s="256" t="s">
        <v>351</v>
      </c>
      <c r="B537" s="256" t="s">
        <v>1486</v>
      </c>
      <c r="C537" s="256" t="s">
        <v>1727</v>
      </c>
      <c r="D537" s="256" t="s">
        <v>350</v>
      </c>
      <c r="E537" s="256">
        <v>4250760</v>
      </c>
      <c r="F537" s="256">
        <v>4367388</v>
      </c>
      <c r="G537" s="256" t="s">
        <v>364</v>
      </c>
      <c r="H537" s="256" t="s">
        <v>242</v>
      </c>
      <c r="I537" s="256" t="s">
        <v>356</v>
      </c>
      <c r="J537" s="256" t="s">
        <v>1728</v>
      </c>
      <c r="K537" s="259">
        <v>46134.020833333336</v>
      </c>
      <c r="L537" s="256"/>
      <c r="M537" s="259">
        <v>46140.229166666664</v>
      </c>
      <c r="N537" s="256"/>
      <c r="O537" s="256" t="s">
        <v>2471</v>
      </c>
      <c r="P537" s="259">
        <v>46151.229166666664</v>
      </c>
      <c r="Q537" s="256">
        <v>4</v>
      </c>
      <c r="R537" s="256"/>
      <c r="S537" s="256">
        <v>2</v>
      </c>
      <c r="T537" s="256"/>
      <c r="U537" s="256"/>
      <c r="V537" s="256"/>
      <c r="W537" s="256" t="s">
        <v>1555</v>
      </c>
      <c r="X537" s="259">
        <v>46066.588194444441</v>
      </c>
      <c r="Y537" s="256"/>
      <c r="Z537" s="256" t="s">
        <v>2448</v>
      </c>
      <c r="AA537" s="256" t="s">
        <v>1565</v>
      </c>
      <c r="AB537" s="256"/>
      <c r="AC537" s="256"/>
      <c r="AD537" s="256" t="s">
        <v>350</v>
      </c>
      <c r="AE537" s="256" t="s">
        <v>300</v>
      </c>
    </row>
    <row r="538" spans="1:31">
      <c r="A538" s="256" t="s">
        <v>361</v>
      </c>
      <c r="B538" s="256" t="s">
        <v>1471</v>
      </c>
      <c r="C538" s="256" t="s">
        <v>280</v>
      </c>
      <c r="D538" s="256" t="s">
        <v>360</v>
      </c>
      <c r="E538" s="256">
        <v>4372017</v>
      </c>
      <c r="F538" s="256">
        <v>4372032</v>
      </c>
      <c r="G538" s="256" t="s">
        <v>2475</v>
      </c>
      <c r="H538" s="256" t="s">
        <v>305</v>
      </c>
      <c r="I538" s="256" t="s">
        <v>317</v>
      </c>
      <c r="J538" s="256" t="s">
        <v>1801</v>
      </c>
      <c r="K538" s="259">
        <v>46132.229166666664</v>
      </c>
      <c r="L538" s="259">
        <v>46127.865972222222</v>
      </c>
      <c r="M538" s="259">
        <v>46133.229166666664</v>
      </c>
      <c r="N538" s="256"/>
      <c r="O538" s="256" t="s">
        <v>2476</v>
      </c>
      <c r="P538" s="259">
        <v>46151.229166666664</v>
      </c>
      <c r="Q538" s="256">
        <v>6</v>
      </c>
      <c r="R538" s="256"/>
      <c r="S538" s="256">
        <v>2</v>
      </c>
      <c r="T538" s="256"/>
      <c r="U538" s="256" t="s">
        <v>1</v>
      </c>
      <c r="V538" s="256" t="s">
        <v>1</v>
      </c>
      <c r="W538" s="256" t="s">
        <v>1691</v>
      </c>
      <c r="X538" s="259">
        <v>46071.390972222223</v>
      </c>
      <c r="Y538" s="256"/>
      <c r="Z538" s="256" t="s">
        <v>2422</v>
      </c>
      <c r="AA538" s="256" t="s">
        <v>1610</v>
      </c>
      <c r="AB538" s="256"/>
      <c r="AC538" s="256"/>
      <c r="AD538" s="256" t="s">
        <v>2145</v>
      </c>
      <c r="AE538" s="256" t="s">
        <v>300</v>
      </c>
    </row>
    <row r="539" spans="1:31">
      <c r="A539" s="256" t="s">
        <v>351</v>
      </c>
      <c r="B539" s="256" t="s">
        <v>1486</v>
      </c>
      <c r="C539" s="256" t="s">
        <v>1727</v>
      </c>
      <c r="D539" s="256" t="s">
        <v>350</v>
      </c>
      <c r="E539" s="256">
        <v>4250760</v>
      </c>
      <c r="F539" s="256">
        <v>4371721</v>
      </c>
      <c r="G539" s="256" t="s">
        <v>363</v>
      </c>
      <c r="H539" s="256" t="s">
        <v>242</v>
      </c>
      <c r="I539" s="256" t="s">
        <v>356</v>
      </c>
      <c r="J539" s="256" t="s">
        <v>1728</v>
      </c>
      <c r="K539" s="259">
        <v>46133.020833333336</v>
      </c>
      <c r="L539" s="256"/>
      <c r="M539" s="259">
        <v>46139.229166666664</v>
      </c>
      <c r="N539" s="256"/>
      <c r="O539" s="256" t="s">
        <v>2471</v>
      </c>
      <c r="P539" s="259">
        <v>46151.229166666664</v>
      </c>
      <c r="Q539" s="256">
        <v>5</v>
      </c>
      <c r="R539" s="256"/>
      <c r="S539" s="256">
        <v>2</v>
      </c>
      <c r="T539" s="256"/>
      <c r="U539" s="256"/>
      <c r="V539" s="256"/>
      <c r="W539" s="256" t="s">
        <v>1555</v>
      </c>
      <c r="X539" s="259">
        <v>46070.717361111114</v>
      </c>
      <c r="Y539" s="256"/>
      <c r="Z539" s="256" t="s">
        <v>2448</v>
      </c>
      <c r="AA539" s="256" t="s">
        <v>1565</v>
      </c>
      <c r="AB539" s="256"/>
      <c r="AC539" s="256"/>
      <c r="AD539" s="256" t="s">
        <v>350</v>
      </c>
      <c r="AE539" s="256" t="s">
        <v>300</v>
      </c>
    </row>
    <row r="540" spans="1:31">
      <c r="A540" s="256" t="s">
        <v>351</v>
      </c>
      <c r="B540" s="256" t="s">
        <v>1486</v>
      </c>
      <c r="C540" s="256" t="s">
        <v>1727</v>
      </c>
      <c r="D540" s="256" t="s">
        <v>350</v>
      </c>
      <c r="E540" s="256">
        <v>4250760</v>
      </c>
      <c r="F540" s="256">
        <v>4312145</v>
      </c>
      <c r="G540" s="256" t="s">
        <v>366</v>
      </c>
      <c r="H540" s="256" t="s">
        <v>2477</v>
      </c>
      <c r="I540" s="256" t="s">
        <v>356</v>
      </c>
      <c r="J540" s="256" t="s">
        <v>1728</v>
      </c>
      <c r="K540" s="259">
        <v>46133.020833333336</v>
      </c>
      <c r="L540" s="256"/>
      <c r="M540" s="259">
        <v>46139.229166666664</v>
      </c>
      <c r="N540" s="256"/>
      <c r="O540" s="256" t="s">
        <v>2451</v>
      </c>
      <c r="P540" s="259">
        <v>46151.229166666664</v>
      </c>
      <c r="Q540" s="256">
        <v>3</v>
      </c>
      <c r="R540" s="256"/>
      <c r="S540" s="256">
        <v>2</v>
      </c>
      <c r="T540" s="256"/>
      <c r="U540" s="256"/>
      <c r="V540" s="256"/>
      <c r="W540" s="256" t="s">
        <v>1555</v>
      </c>
      <c r="X540" s="259">
        <v>46027.604166666664</v>
      </c>
      <c r="Y540" s="256"/>
      <c r="Z540" s="256" t="s">
        <v>2448</v>
      </c>
      <c r="AA540" s="256" t="s">
        <v>1565</v>
      </c>
      <c r="AB540" s="256"/>
      <c r="AC540" s="256"/>
      <c r="AD540" s="256" t="s">
        <v>350</v>
      </c>
      <c r="AE540" s="256" t="s">
        <v>300</v>
      </c>
    </row>
    <row r="541" spans="1:31">
      <c r="A541" s="256" t="s">
        <v>351</v>
      </c>
      <c r="B541" s="256" t="s">
        <v>1486</v>
      </c>
      <c r="C541" s="256" t="s">
        <v>1727</v>
      </c>
      <c r="D541" s="256" t="s">
        <v>350</v>
      </c>
      <c r="E541" s="256">
        <v>4250760</v>
      </c>
      <c r="F541" s="256">
        <v>4250789</v>
      </c>
      <c r="G541" s="256" t="s">
        <v>370</v>
      </c>
      <c r="H541" s="256" t="s">
        <v>242</v>
      </c>
      <c r="I541" s="256" t="s">
        <v>356</v>
      </c>
      <c r="J541" s="256" t="s">
        <v>1728</v>
      </c>
      <c r="K541" s="259">
        <v>46133.020833333336</v>
      </c>
      <c r="L541" s="256"/>
      <c r="M541" s="259">
        <v>46140.229166666664</v>
      </c>
      <c r="N541" s="256"/>
      <c r="O541" s="256" t="s">
        <v>2452</v>
      </c>
      <c r="P541" s="259">
        <v>46151.229166666664</v>
      </c>
      <c r="Q541" s="256">
        <v>5</v>
      </c>
      <c r="R541" s="256"/>
      <c r="S541" s="256">
        <v>2</v>
      </c>
      <c r="T541" s="256"/>
      <c r="U541" s="256"/>
      <c r="V541" s="256"/>
      <c r="W541" s="256" t="s">
        <v>1555</v>
      </c>
      <c r="X541" s="259">
        <v>45986.470138888886</v>
      </c>
      <c r="Y541" s="256"/>
      <c r="Z541" s="256" t="s">
        <v>2448</v>
      </c>
      <c r="AA541" s="256" t="s">
        <v>1565</v>
      </c>
      <c r="AB541" s="256"/>
      <c r="AC541" s="256"/>
      <c r="AD541" s="256" t="s">
        <v>350</v>
      </c>
      <c r="AE541" s="256" t="s">
        <v>300</v>
      </c>
    </row>
    <row r="542" spans="1:31">
      <c r="A542" s="256" t="s">
        <v>351</v>
      </c>
      <c r="B542" s="256" t="s">
        <v>1486</v>
      </c>
      <c r="C542" s="256" t="s">
        <v>1727</v>
      </c>
      <c r="D542" s="256" t="s">
        <v>350</v>
      </c>
      <c r="E542" s="256">
        <v>4250760</v>
      </c>
      <c r="F542" s="256">
        <v>4252811</v>
      </c>
      <c r="G542" s="256" t="s">
        <v>368</v>
      </c>
      <c r="H542" s="256" t="s">
        <v>242</v>
      </c>
      <c r="I542" s="256" t="s">
        <v>356</v>
      </c>
      <c r="J542" s="256" t="s">
        <v>1728</v>
      </c>
      <c r="K542" s="259">
        <v>46133.020833333336</v>
      </c>
      <c r="L542" s="256"/>
      <c r="M542" s="259">
        <v>46140.229166666664</v>
      </c>
      <c r="N542" s="256"/>
      <c r="O542" s="256" t="s">
        <v>2452</v>
      </c>
      <c r="P542" s="259">
        <v>46151.229166666664</v>
      </c>
      <c r="Q542" s="256">
        <v>5</v>
      </c>
      <c r="R542" s="256"/>
      <c r="S542" s="256">
        <v>2</v>
      </c>
      <c r="T542" s="256"/>
      <c r="U542" s="256"/>
      <c r="V542" s="256"/>
      <c r="W542" s="256" t="s">
        <v>1555</v>
      </c>
      <c r="X542" s="259">
        <v>45986.802083333336</v>
      </c>
      <c r="Y542" s="256"/>
      <c r="Z542" s="256" t="s">
        <v>2448</v>
      </c>
      <c r="AA542" s="256" t="s">
        <v>1565</v>
      </c>
      <c r="AB542" s="256"/>
      <c r="AC542" s="256"/>
      <c r="AD542" s="256" t="s">
        <v>350</v>
      </c>
      <c r="AE542" s="256" t="s">
        <v>300</v>
      </c>
    </row>
    <row r="543" spans="1:31">
      <c r="A543" s="256" t="s">
        <v>281</v>
      </c>
      <c r="B543" s="256" t="s">
        <v>1511</v>
      </c>
      <c r="C543" s="256" t="s">
        <v>280</v>
      </c>
      <c r="D543" s="256" t="s">
        <v>280</v>
      </c>
      <c r="E543" s="256">
        <v>4372279</v>
      </c>
      <c r="F543" s="256">
        <v>4367508</v>
      </c>
      <c r="G543" s="256" t="s">
        <v>2478</v>
      </c>
      <c r="H543" s="256" t="s">
        <v>242</v>
      </c>
      <c r="I543" s="256" t="s">
        <v>312</v>
      </c>
      <c r="J543" s="256" t="s">
        <v>1488</v>
      </c>
      <c r="K543" s="259">
        <v>46133.229166666664</v>
      </c>
      <c r="L543" s="256"/>
      <c r="M543" s="259">
        <v>46134.229166666664</v>
      </c>
      <c r="N543" s="256"/>
      <c r="O543" s="256" t="s">
        <v>2479</v>
      </c>
      <c r="P543" s="259">
        <v>46151.229166666664</v>
      </c>
      <c r="Q543" s="256">
        <v>4</v>
      </c>
      <c r="R543" s="256"/>
      <c r="S543" s="256">
        <v>2</v>
      </c>
      <c r="T543" s="256"/>
      <c r="U543" s="256"/>
      <c r="V543" s="256"/>
      <c r="W543" s="256" t="s">
        <v>1786</v>
      </c>
      <c r="X543" s="259">
        <v>46066.679861111108</v>
      </c>
      <c r="Y543" s="256"/>
      <c r="Z543" s="256" t="s">
        <v>2480</v>
      </c>
      <c r="AA543" s="256" t="s">
        <v>1788</v>
      </c>
      <c r="AB543" s="256"/>
      <c r="AC543" s="256"/>
      <c r="AD543" s="256" t="s">
        <v>281</v>
      </c>
      <c r="AE543" s="256" t="s">
        <v>313</v>
      </c>
    </row>
    <row r="544" spans="1:31">
      <c r="A544" s="256" t="s">
        <v>2481</v>
      </c>
      <c r="B544" s="256" t="s">
        <v>1486</v>
      </c>
      <c r="C544" s="256" t="s">
        <v>444</v>
      </c>
      <c r="D544" s="256" t="s">
        <v>1776</v>
      </c>
      <c r="E544" s="256">
        <v>4439196</v>
      </c>
      <c r="F544" s="256">
        <v>4439199</v>
      </c>
      <c r="G544" s="256" t="s">
        <v>731</v>
      </c>
      <c r="H544" s="256" t="s">
        <v>242</v>
      </c>
      <c r="I544" s="256" t="s">
        <v>312</v>
      </c>
      <c r="J544" s="256" t="s">
        <v>1801</v>
      </c>
      <c r="K544" s="256"/>
      <c r="L544" s="256"/>
      <c r="M544" s="256"/>
      <c r="N544" s="256"/>
      <c r="O544" s="256" t="s">
        <v>2482</v>
      </c>
      <c r="P544" s="259">
        <v>46151.229166666664</v>
      </c>
      <c r="Q544" s="256">
        <v>6</v>
      </c>
      <c r="R544" s="256"/>
      <c r="S544" s="256">
        <v>2</v>
      </c>
      <c r="T544" s="256"/>
      <c r="U544" s="256" t="s">
        <v>1</v>
      </c>
      <c r="V544" s="256" t="s">
        <v>1</v>
      </c>
      <c r="W544" s="256" t="s">
        <v>1508</v>
      </c>
      <c r="X544" s="259">
        <v>46104.728472222225</v>
      </c>
      <c r="Y544" s="256" t="s">
        <v>2483</v>
      </c>
      <c r="Z544" s="256" t="s">
        <v>2480</v>
      </c>
      <c r="AA544" s="256" t="s">
        <v>1492</v>
      </c>
      <c r="AB544" s="256"/>
      <c r="AC544" s="256"/>
      <c r="AD544" s="256" t="s">
        <v>2484</v>
      </c>
      <c r="AE544" s="256" t="s">
        <v>313</v>
      </c>
    </row>
    <row r="545" spans="1:31">
      <c r="A545" s="256" t="s">
        <v>2481</v>
      </c>
      <c r="B545" s="256" t="s">
        <v>1486</v>
      </c>
      <c r="C545" s="256" t="s">
        <v>444</v>
      </c>
      <c r="D545" s="256" t="s">
        <v>1776</v>
      </c>
      <c r="E545" s="256">
        <v>4439196</v>
      </c>
      <c r="F545" s="256">
        <v>4439323</v>
      </c>
      <c r="G545" s="256" t="s">
        <v>732</v>
      </c>
      <c r="H545" s="256" t="s">
        <v>242</v>
      </c>
      <c r="I545" s="256" t="s">
        <v>2485</v>
      </c>
      <c r="J545" s="256" t="s">
        <v>1801</v>
      </c>
      <c r="K545" s="256"/>
      <c r="L545" s="256"/>
      <c r="M545" s="256"/>
      <c r="N545" s="256"/>
      <c r="O545" s="256" t="s">
        <v>2482</v>
      </c>
      <c r="P545" s="259">
        <v>46151.229166666664</v>
      </c>
      <c r="Q545" s="256">
        <v>6</v>
      </c>
      <c r="R545" s="256"/>
      <c r="S545" s="256">
        <v>2</v>
      </c>
      <c r="T545" s="256"/>
      <c r="U545" s="256" t="s">
        <v>1</v>
      </c>
      <c r="V545" s="256" t="s">
        <v>1</v>
      </c>
      <c r="W545" s="256" t="s">
        <v>1508</v>
      </c>
      <c r="X545" s="259">
        <v>46104.790972222225</v>
      </c>
      <c r="Y545" s="256" t="s">
        <v>2483</v>
      </c>
      <c r="Z545" s="256" t="s">
        <v>2486</v>
      </c>
      <c r="AA545" s="256" t="s">
        <v>1492</v>
      </c>
      <c r="AB545" s="256"/>
      <c r="AC545" s="256"/>
      <c r="AD545" s="256" t="s">
        <v>2484</v>
      </c>
      <c r="AE545" s="256" t="s">
        <v>313</v>
      </c>
    </row>
    <row r="546" spans="1:31">
      <c r="A546" s="256" t="s">
        <v>2481</v>
      </c>
      <c r="B546" s="256" t="s">
        <v>1486</v>
      </c>
      <c r="C546" s="256" t="s">
        <v>444</v>
      </c>
      <c r="D546" s="256" t="s">
        <v>1776</v>
      </c>
      <c r="E546" s="256">
        <v>4439196</v>
      </c>
      <c r="F546" s="256">
        <v>4439343</v>
      </c>
      <c r="G546" s="256" t="s">
        <v>733</v>
      </c>
      <c r="H546" s="256" t="s">
        <v>242</v>
      </c>
      <c r="I546" s="256" t="s">
        <v>2485</v>
      </c>
      <c r="J546" s="256" t="s">
        <v>1801</v>
      </c>
      <c r="K546" s="256"/>
      <c r="L546" s="256"/>
      <c r="M546" s="256"/>
      <c r="N546" s="256"/>
      <c r="O546" s="256" t="s">
        <v>2482</v>
      </c>
      <c r="P546" s="259">
        <v>46151.229166666664</v>
      </c>
      <c r="Q546" s="256">
        <v>6</v>
      </c>
      <c r="R546" s="256"/>
      <c r="S546" s="256">
        <v>2</v>
      </c>
      <c r="T546" s="256"/>
      <c r="U546" s="256" t="s">
        <v>1</v>
      </c>
      <c r="V546" s="256" t="s">
        <v>1</v>
      </c>
      <c r="W546" s="256" t="s">
        <v>1508</v>
      </c>
      <c r="X546" s="259">
        <v>46104.815972222219</v>
      </c>
      <c r="Y546" s="256" t="s">
        <v>2483</v>
      </c>
      <c r="Z546" s="256" t="s">
        <v>2486</v>
      </c>
      <c r="AA546" s="256" t="s">
        <v>1492</v>
      </c>
      <c r="AB546" s="256"/>
      <c r="AC546" s="256"/>
      <c r="AD546" s="256" t="s">
        <v>2484</v>
      </c>
      <c r="AE546" s="256" t="s">
        <v>313</v>
      </c>
    </row>
    <row r="547" spans="1:31">
      <c r="A547" s="256" t="s">
        <v>2481</v>
      </c>
      <c r="B547" s="256" t="s">
        <v>1486</v>
      </c>
      <c r="C547" s="256" t="s">
        <v>444</v>
      </c>
      <c r="D547" s="256" t="s">
        <v>1776</v>
      </c>
      <c r="E547" s="256">
        <v>4439196</v>
      </c>
      <c r="F547" s="256">
        <v>4439357</v>
      </c>
      <c r="G547" s="256" t="s">
        <v>734</v>
      </c>
      <c r="H547" s="256" t="s">
        <v>242</v>
      </c>
      <c r="I547" s="256" t="s">
        <v>312</v>
      </c>
      <c r="J547" s="256" t="s">
        <v>1801</v>
      </c>
      <c r="K547" s="256"/>
      <c r="L547" s="256"/>
      <c r="M547" s="256"/>
      <c r="N547" s="256"/>
      <c r="O547" s="256" t="s">
        <v>2482</v>
      </c>
      <c r="P547" s="259">
        <v>46151.229166666664</v>
      </c>
      <c r="Q547" s="256">
        <v>6</v>
      </c>
      <c r="R547" s="256"/>
      <c r="S547" s="256">
        <v>2</v>
      </c>
      <c r="T547" s="256"/>
      <c r="U547" s="256" t="s">
        <v>1</v>
      </c>
      <c r="V547" s="256" t="s">
        <v>1</v>
      </c>
      <c r="W547" s="256" t="s">
        <v>1508</v>
      </c>
      <c r="X547" s="259">
        <v>46104.82708333333</v>
      </c>
      <c r="Y547" s="256" t="s">
        <v>2483</v>
      </c>
      <c r="Z547" s="256" t="s">
        <v>2480</v>
      </c>
      <c r="AA547" s="256" t="s">
        <v>1492</v>
      </c>
      <c r="AB547" s="256"/>
      <c r="AC547" s="256"/>
      <c r="AD547" s="256" t="s">
        <v>2484</v>
      </c>
      <c r="AE547" s="256" t="s">
        <v>313</v>
      </c>
    </row>
    <row r="548" spans="1:31">
      <c r="A548" s="256" t="s">
        <v>2481</v>
      </c>
      <c r="B548" s="256" t="s">
        <v>1486</v>
      </c>
      <c r="C548" s="256" t="s">
        <v>444</v>
      </c>
      <c r="D548" s="256" t="s">
        <v>1776</v>
      </c>
      <c r="E548" s="256">
        <v>4439196</v>
      </c>
      <c r="F548" s="256">
        <v>4439362</v>
      </c>
      <c r="G548" s="256" t="s">
        <v>736</v>
      </c>
      <c r="H548" s="256" t="s">
        <v>242</v>
      </c>
      <c r="I548" s="256" t="s">
        <v>312</v>
      </c>
      <c r="J548" s="256" t="s">
        <v>1801</v>
      </c>
      <c r="K548" s="256"/>
      <c r="L548" s="256"/>
      <c r="M548" s="256"/>
      <c r="N548" s="256"/>
      <c r="O548" s="256" t="s">
        <v>2482</v>
      </c>
      <c r="P548" s="259">
        <v>46151.229166666664</v>
      </c>
      <c r="Q548" s="256">
        <v>6</v>
      </c>
      <c r="R548" s="256"/>
      <c r="S548" s="256">
        <v>2</v>
      </c>
      <c r="T548" s="256"/>
      <c r="U548" s="256" t="s">
        <v>1</v>
      </c>
      <c r="V548" s="256" t="s">
        <v>1</v>
      </c>
      <c r="W548" s="256" t="s">
        <v>1508</v>
      </c>
      <c r="X548" s="259">
        <v>46104.837500000001</v>
      </c>
      <c r="Y548" s="256" t="s">
        <v>2483</v>
      </c>
      <c r="Z548" s="256" t="s">
        <v>2480</v>
      </c>
      <c r="AA548" s="256" t="s">
        <v>1492</v>
      </c>
      <c r="AB548" s="256"/>
      <c r="AC548" s="256"/>
      <c r="AD548" s="256" t="s">
        <v>2484</v>
      </c>
      <c r="AE548" s="256" t="s">
        <v>313</v>
      </c>
    </row>
    <row r="549" spans="1:31">
      <c r="A549" s="256" t="s">
        <v>307</v>
      </c>
      <c r="B549" s="256" t="s">
        <v>1486</v>
      </c>
      <c r="C549" s="256" t="s">
        <v>1472</v>
      </c>
      <c r="D549" s="256" t="s">
        <v>306</v>
      </c>
      <c r="E549" s="256">
        <v>4443033</v>
      </c>
      <c r="F549" s="256">
        <v>4443034</v>
      </c>
      <c r="G549" s="256" t="s">
        <v>308</v>
      </c>
      <c r="H549" s="256" t="s">
        <v>242</v>
      </c>
      <c r="I549" s="256" t="s">
        <v>312</v>
      </c>
      <c r="J549" s="256" t="s">
        <v>1801</v>
      </c>
      <c r="K549" s="259">
        <v>46136.229166666664</v>
      </c>
      <c r="L549" s="256"/>
      <c r="M549" s="259">
        <v>46139.229166666664</v>
      </c>
      <c r="N549" s="256"/>
      <c r="O549" s="256" t="s">
        <v>2487</v>
      </c>
      <c r="P549" s="259">
        <v>46151.229166666664</v>
      </c>
      <c r="Q549" s="256">
        <v>6</v>
      </c>
      <c r="R549" s="256"/>
      <c r="S549" s="256">
        <v>2</v>
      </c>
      <c r="T549" s="256"/>
      <c r="U549" s="256"/>
      <c r="V549" s="256"/>
      <c r="W549" s="256" t="s">
        <v>1769</v>
      </c>
      <c r="X549" s="259">
        <v>46106.542361111111</v>
      </c>
      <c r="Y549" s="256" t="s">
        <v>2488</v>
      </c>
      <c r="Z549" s="256" t="s">
        <v>2480</v>
      </c>
      <c r="AA549" s="256" t="s">
        <v>1534</v>
      </c>
      <c r="AB549" s="256"/>
      <c r="AC549" s="256"/>
      <c r="AD549" s="256" t="s">
        <v>2489</v>
      </c>
      <c r="AE549" s="256" t="s">
        <v>313</v>
      </c>
    </row>
    <row r="550" spans="1:31">
      <c r="A550" s="256" t="s">
        <v>1505</v>
      </c>
      <c r="B550" s="256" t="s">
        <v>1471</v>
      </c>
      <c r="C550" s="256" t="s">
        <v>1472</v>
      </c>
      <c r="D550" s="256" t="s">
        <v>1506</v>
      </c>
      <c r="E550" s="256">
        <v>4440976</v>
      </c>
      <c r="F550" s="256">
        <v>4446596</v>
      </c>
      <c r="G550" s="256" t="s">
        <v>530</v>
      </c>
      <c r="H550" s="256" t="s">
        <v>305</v>
      </c>
      <c r="I550" s="256" t="s">
        <v>312</v>
      </c>
      <c r="J550" s="256" t="s">
        <v>1477</v>
      </c>
      <c r="K550" s="259">
        <v>46129.229166666664</v>
      </c>
      <c r="L550" s="259">
        <v>46127.229166666664</v>
      </c>
      <c r="M550" s="256"/>
      <c r="N550" s="256"/>
      <c r="O550" s="256" t="s">
        <v>1478</v>
      </c>
      <c r="P550" s="259">
        <v>46151.229166666664</v>
      </c>
      <c r="Q550" s="256">
        <v>4</v>
      </c>
      <c r="R550" s="256"/>
      <c r="S550" s="256">
        <v>2</v>
      </c>
      <c r="T550" s="256"/>
      <c r="U550" s="256" t="s">
        <v>1</v>
      </c>
      <c r="V550" s="256" t="s">
        <v>1</v>
      </c>
      <c r="W550" s="256" t="s">
        <v>1508</v>
      </c>
      <c r="X550" s="259">
        <v>46108.71597222222</v>
      </c>
      <c r="Y550" s="256" t="s">
        <v>1560</v>
      </c>
      <c r="Z550" s="256" t="s">
        <v>2480</v>
      </c>
      <c r="AA550" s="256" t="s">
        <v>1492</v>
      </c>
      <c r="AB550" s="256"/>
      <c r="AC550" s="256"/>
      <c r="AD550" s="256" t="s">
        <v>1510</v>
      </c>
      <c r="AE550" s="256" t="s">
        <v>313</v>
      </c>
    </row>
    <row r="551" spans="1:31">
      <c r="A551" s="256" t="s">
        <v>361</v>
      </c>
      <c r="B551" s="256" t="s">
        <v>1471</v>
      </c>
      <c r="C551" s="256" t="s">
        <v>280</v>
      </c>
      <c r="D551" s="256" t="s">
        <v>360</v>
      </c>
      <c r="E551" s="256">
        <v>4372017</v>
      </c>
      <c r="F551" s="256">
        <v>4445116</v>
      </c>
      <c r="G551" s="256" t="s">
        <v>2490</v>
      </c>
      <c r="H551" s="256" t="s">
        <v>242</v>
      </c>
      <c r="I551" s="256" t="s">
        <v>2485</v>
      </c>
      <c r="J551" s="256" t="s">
        <v>1488</v>
      </c>
      <c r="K551" s="259">
        <v>46133.229166666664</v>
      </c>
      <c r="L551" s="256"/>
      <c r="M551" s="259">
        <v>46134.229166666664</v>
      </c>
      <c r="N551" s="256"/>
      <c r="O551" s="256" t="s">
        <v>2479</v>
      </c>
      <c r="P551" s="259">
        <v>46151.229166666664</v>
      </c>
      <c r="Q551" s="256">
        <v>4</v>
      </c>
      <c r="R551" s="256"/>
      <c r="S551" s="256">
        <v>2</v>
      </c>
      <c r="T551" s="256"/>
      <c r="U551" s="256"/>
      <c r="V551" s="256"/>
      <c r="W551" s="256" t="s">
        <v>1515</v>
      </c>
      <c r="X551" s="259">
        <v>46107.760416666664</v>
      </c>
      <c r="Y551" s="256"/>
      <c r="Z551" s="256" t="s">
        <v>2486</v>
      </c>
      <c r="AA551" s="256" t="s">
        <v>2491</v>
      </c>
      <c r="AB551" s="256"/>
      <c r="AC551" s="256"/>
      <c r="AD551" s="256" t="s">
        <v>2145</v>
      </c>
      <c r="AE551" s="256" t="s">
        <v>313</v>
      </c>
    </row>
    <row r="552" spans="1:31">
      <c r="A552" s="256" t="s">
        <v>361</v>
      </c>
      <c r="B552" s="256" t="s">
        <v>1471</v>
      </c>
      <c r="C552" s="256" t="s">
        <v>280</v>
      </c>
      <c r="D552" s="256" t="s">
        <v>360</v>
      </c>
      <c r="E552" s="256">
        <v>4372017</v>
      </c>
      <c r="F552" s="256">
        <v>4446426</v>
      </c>
      <c r="G552" s="256" t="s">
        <v>2492</v>
      </c>
      <c r="H552" s="256" t="s">
        <v>242</v>
      </c>
      <c r="I552" s="256" t="s">
        <v>2485</v>
      </c>
      <c r="J552" s="256" t="s">
        <v>1801</v>
      </c>
      <c r="K552" s="259">
        <v>46133.229166666664</v>
      </c>
      <c r="L552" s="256"/>
      <c r="M552" s="259">
        <v>46134.229166666664</v>
      </c>
      <c r="N552" s="256"/>
      <c r="O552" s="256" t="s">
        <v>2479</v>
      </c>
      <c r="P552" s="259">
        <v>46151.229166666664</v>
      </c>
      <c r="Q552" s="256">
        <v>4</v>
      </c>
      <c r="R552" s="256"/>
      <c r="S552" s="256">
        <v>2</v>
      </c>
      <c r="T552" s="256"/>
      <c r="U552" s="256"/>
      <c r="V552" s="256"/>
      <c r="W552" s="256" t="s">
        <v>1515</v>
      </c>
      <c r="X552" s="259">
        <v>46108.652777777781</v>
      </c>
      <c r="Y552" s="256"/>
      <c r="Z552" s="256" t="s">
        <v>2486</v>
      </c>
      <c r="AA552" s="256" t="s">
        <v>1610</v>
      </c>
      <c r="AB552" s="256"/>
      <c r="AC552" s="256"/>
      <c r="AD552" s="256" t="s">
        <v>2145</v>
      </c>
      <c r="AE552" s="256" t="s">
        <v>313</v>
      </c>
    </row>
    <row r="553" spans="1:31">
      <c r="A553" s="256" t="s">
        <v>2493</v>
      </c>
      <c r="B553" s="256" t="s">
        <v>1471</v>
      </c>
      <c r="C553" s="256" t="s">
        <v>2494</v>
      </c>
      <c r="D553" s="256" t="s">
        <v>1425</v>
      </c>
      <c r="E553" s="256">
        <v>4441711</v>
      </c>
      <c r="F553" s="256">
        <v>4446565</v>
      </c>
      <c r="G553" s="256" t="s">
        <v>1002</v>
      </c>
      <c r="H553" s="256" t="s">
        <v>242</v>
      </c>
      <c r="I553" s="256" t="s">
        <v>333</v>
      </c>
      <c r="J553" s="256" t="s">
        <v>2495</v>
      </c>
      <c r="K553" s="259">
        <v>46134.979166666664</v>
      </c>
      <c r="L553" s="256"/>
      <c r="M553" s="259">
        <v>46139.229166666664</v>
      </c>
      <c r="N553" s="256"/>
      <c r="O553" s="256" t="s">
        <v>2496</v>
      </c>
      <c r="P553" s="259">
        <v>46151.229166666664</v>
      </c>
      <c r="Q553" s="256">
        <v>3</v>
      </c>
      <c r="R553" s="256"/>
      <c r="S553" s="256">
        <v>1</v>
      </c>
      <c r="T553" s="256"/>
      <c r="U553" s="256"/>
      <c r="V553" s="256"/>
      <c r="W553" s="256" t="s">
        <v>2497</v>
      </c>
      <c r="X553" s="259">
        <v>46108.700694444444</v>
      </c>
      <c r="Y553" s="256" t="s">
        <v>2498</v>
      </c>
      <c r="Z553" s="256" t="s">
        <v>2499</v>
      </c>
      <c r="AA553" s="256" t="s">
        <v>2500</v>
      </c>
      <c r="AB553" s="256"/>
      <c r="AC553" s="256"/>
      <c r="AD553" s="256" t="s">
        <v>1425</v>
      </c>
      <c r="AE553" s="256" t="s">
        <v>2501</v>
      </c>
    </row>
    <row r="554" spans="1:31">
      <c r="A554" s="256" t="s">
        <v>1505</v>
      </c>
      <c r="B554" s="256" t="s">
        <v>1471</v>
      </c>
      <c r="C554" s="256" t="s">
        <v>1472</v>
      </c>
      <c r="D554" s="256" t="s">
        <v>1506</v>
      </c>
      <c r="E554" s="256">
        <v>4440976</v>
      </c>
      <c r="F554" s="256">
        <v>4446670</v>
      </c>
      <c r="G554" s="256" t="s">
        <v>1022</v>
      </c>
      <c r="H554" s="256" t="s">
        <v>305</v>
      </c>
      <c r="I554" s="256" t="s">
        <v>333</v>
      </c>
      <c r="J554" s="256" t="s">
        <v>2495</v>
      </c>
      <c r="K554" s="259">
        <v>46133.979166666664</v>
      </c>
      <c r="L554" s="259">
        <v>46128.876388888886</v>
      </c>
      <c r="M554" s="259">
        <v>46141.020833333336</v>
      </c>
      <c r="N554" s="256"/>
      <c r="O554" s="256" t="s">
        <v>2502</v>
      </c>
      <c r="P554" s="259">
        <v>46151.229166666664</v>
      </c>
      <c r="Q554" s="256">
        <v>2</v>
      </c>
      <c r="R554" s="256"/>
      <c r="S554" s="256">
        <v>2</v>
      </c>
      <c r="T554" s="256"/>
      <c r="U554" s="256" t="s">
        <v>1</v>
      </c>
      <c r="V554" s="256" t="s">
        <v>1</v>
      </c>
      <c r="W554" s="256" t="s">
        <v>1508</v>
      </c>
      <c r="X554" s="259">
        <v>46108.745138888888</v>
      </c>
      <c r="Y554" s="256" t="s">
        <v>1560</v>
      </c>
      <c r="Z554" s="256" t="s">
        <v>2499</v>
      </c>
      <c r="AA554" s="256" t="s">
        <v>1492</v>
      </c>
      <c r="AB554" s="256"/>
      <c r="AC554" s="256"/>
      <c r="AD554" s="256" t="s">
        <v>1510</v>
      </c>
      <c r="AE554" s="256" t="s">
        <v>2501</v>
      </c>
    </row>
    <row r="555" spans="1:31">
      <c r="A555" s="256" t="s">
        <v>2493</v>
      </c>
      <c r="B555" s="256" t="s">
        <v>1471</v>
      </c>
      <c r="C555" s="256" t="s">
        <v>2494</v>
      </c>
      <c r="D555" s="256" t="s">
        <v>1425</v>
      </c>
      <c r="E555" s="256">
        <v>4441711</v>
      </c>
      <c r="F555" s="256">
        <v>4446872</v>
      </c>
      <c r="G555" s="256" t="s">
        <v>1009</v>
      </c>
      <c r="H555" s="256" t="s">
        <v>242</v>
      </c>
      <c r="I555" s="256" t="s">
        <v>333</v>
      </c>
      <c r="J555" s="256" t="s">
        <v>2495</v>
      </c>
      <c r="K555" s="259">
        <v>46129.979166666664</v>
      </c>
      <c r="L555" s="256"/>
      <c r="M555" s="259">
        <v>46134.979166666664</v>
      </c>
      <c r="N555" s="256"/>
      <c r="O555" s="256" t="s">
        <v>2496</v>
      </c>
      <c r="P555" s="259">
        <v>46151.229166666664</v>
      </c>
      <c r="Q555" s="256">
        <v>3</v>
      </c>
      <c r="R555" s="256"/>
      <c r="S555" s="256">
        <v>1</v>
      </c>
      <c r="T555" s="256"/>
      <c r="U555" s="256"/>
      <c r="V555" s="256"/>
      <c r="W555" s="256" t="s">
        <v>2497</v>
      </c>
      <c r="X555" s="259">
        <v>46109.532638888886</v>
      </c>
      <c r="Y555" s="256" t="s">
        <v>2498</v>
      </c>
      <c r="Z555" s="256" t="s">
        <v>2499</v>
      </c>
      <c r="AA555" s="256" t="s">
        <v>2500</v>
      </c>
      <c r="AB555" s="256"/>
      <c r="AC555" s="256"/>
      <c r="AD555" s="256" t="s">
        <v>1425</v>
      </c>
      <c r="AE555" s="256" t="s">
        <v>2501</v>
      </c>
    </row>
    <row r="556" spans="1:31">
      <c r="A556" s="256" t="s">
        <v>2503</v>
      </c>
      <c r="B556" s="256" t="s">
        <v>1471</v>
      </c>
      <c r="C556" s="256" t="s">
        <v>2494</v>
      </c>
      <c r="D556" s="256" t="s">
        <v>1425</v>
      </c>
      <c r="E556" s="256">
        <v>4450212</v>
      </c>
      <c r="F556" s="256">
        <v>4446873</v>
      </c>
      <c r="G556" s="256" t="s">
        <v>2504</v>
      </c>
      <c r="H556" s="256" t="s">
        <v>242</v>
      </c>
      <c r="I556" s="256" t="s">
        <v>333</v>
      </c>
      <c r="J556" s="256" t="s">
        <v>2495</v>
      </c>
      <c r="K556" s="259">
        <v>46134.979166666664</v>
      </c>
      <c r="L556" s="256"/>
      <c r="M556" s="259">
        <v>46139.229166666664</v>
      </c>
      <c r="N556" s="256"/>
      <c r="O556" s="256" t="s">
        <v>2505</v>
      </c>
      <c r="P556" s="259">
        <v>46151.229166666664</v>
      </c>
      <c r="Q556" s="256">
        <v>2</v>
      </c>
      <c r="R556" s="256"/>
      <c r="S556" s="256">
        <v>1</v>
      </c>
      <c r="T556" s="256"/>
      <c r="U556" s="256"/>
      <c r="V556" s="256"/>
      <c r="W556" s="256" t="s">
        <v>2497</v>
      </c>
      <c r="X556" s="259">
        <v>46109.532638888886</v>
      </c>
      <c r="Y556" s="256" t="s">
        <v>2498</v>
      </c>
      <c r="Z556" s="256" t="s">
        <v>2499</v>
      </c>
      <c r="AA556" s="256" t="s">
        <v>2500</v>
      </c>
      <c r="AB556" s="256"/>
      <c r="AC556" s="256"/>
      <c r="AD556" s="256" t="s">
        <v>1425</v>
      </c>
      <c r="AE556" s="256" t="s">
        <v>2501</v>
      </c>
    </row>
    <row r="557" spans="1:31">
      <c r="A557" s="256" t="s">
        <v>2503</v>
      </c>
      <c r="B557" s="256" t="s">
        <v>1471</v>
      </c>
      <c r="C557" s="256" t="s">
        <v>2494</v>
      </c>
      <c r="D557" s="256" t="s">
        <v>1425</v>
      </c>
      <c r="E557" s="256">
        <v>4450212</v>
      </c>
      <c r="F557" s="256">
        <v>4446874</v>
      </c>
      <c r="G557" s="256" t="s">
        <v>2506</v>
      </c>
      <c r="H557" s="256" t="s">
        <v>242</v>
      </c>
      <c r="I557" s="256" t="s">
        <v>333</v>
      </c>
      <c r="J557" s="256" t="s">
        <v>2495</v>
      </c>
      <c r="K557" s="259">
        <v>46134.979166666664</v>
      </c>
      <c r="L557" s="256"/>
      <c r="M557" s="259">
        <v>46139.229166666664</v>
      </c>
      <c r="N557" s="256"/>
      <c r="O557" s="256" t="s">
        <v>2505</v>
      </c>
      <c r="P557" s="259">
        <v>46151.229166666664</v>
      </c>
      <c r="Q557" s="256">
        <v>4</v>
      </c>
      <c r="R557" s="256"/>
      <c r="S557" s="256">
        <v>1</v>
      </c>
      <c r="T557" s="256"/>
      <c r="U557" s="256"/>
      <c r="V557" s="256"/>
      <c r="W557" s="256" t="s">
        <v>2497</v>
      </c>
      <c r="X557" s="259">
        <v>46109.533333333333</v>
      </c>
      <c r="Y557" s="256" t="s">
        <v>2498</v>
      </c>
      <c r="Z557" s="256" t="s">
        <v>2499</v>
      </c>
      <c r="AA557" s="256" t="s">
        <v>2500</v>
      </c>
      <c r="AB557" s="256"/>
      <c r="AC557" s="256"/>
      <c r="AD557" s="256" t="s">
        <v>1425</v>
      </c>
      <c r="AE557" s="256" t="s">
        <v>2501</v>
      </c>
    </row>
    <row r="558" spans="1:31">
      <c r="A558" s="256" t="s">
        <v>2503</v>
      </c>
      <c r="B558" s="256" t="s">
        <v>1471</v>
      </c>
      <c r="C558" s="256" t="s">
        <v>2494</v>
      </c>
      <c r="D558" s="256" t="s">
        <v>1425</v>
      </c>
      <c r="E558" s="256">
        <v>4450212</v>
      </c>
      <c r="F558" s="256">
        <v>4446875</v>
      </c>
      <c r="G558" s="256" t="s">
        <v>2507</v>
      </c>
      <c r="H558" s="256" t="s">
        <v>242</v>
      </c>
      <c r="I558" s="256" t="s">
        <v>333</v>
      </c>
      <c r="J558" s="256" t="s">
        <v>2495</v>
      </c>
      <c r="K558" s="259">
        <v>46134.979166666664</v>
      </c>
      <c r="L558" s="256"/>
      <c r="M558" s="259">
        <v>46140.020833333336</v>
      </c>
      <c r="N558" s="256"/>
      <c r="O558" s="256" t="s">
        <v>2505</v>
      </c>
      <c r="P558" s="259">
        <v>46151.229166666664</v>
      </c>
      <c r="Q558" s="256">
        <v>2</v>
      </c>
      <c r="R558" s="256"/>
      <c r="S558" s="256">
        <v>1</v>
      </c>
      <c r="T558" s="256"/>
      <c r="U558" s="256"/>
      <c r="V558" s="256"/>
      <c r="W558" s="256" t="s">
        <v>2497</v>
      </c>
      <c r="X558" s="259">
        <v>46109.533333333333</v>
      </c>
      <c r="Y558" s="256" t="s">
        <v>2498</v>
      </c>
      <c r="Z558" s="256" t="s">
        <v>2499</v>
      </c>
      <c r="AA558" s="256" t="s">
        <v>2500</v>
      </c>
      <c r="AB558" s="256"/>
      <c r="AC558" s="256"/>
      <c r="AD558" s="256" t="s">
        <v>1425</v>
      </c>
      <c r="AE558" s="256" t="s">
        <v>2501</v>
      </c>
    </row>
    <row r="559" spans="1:31">
      <c r="A559" s="256" t="s">
        <v>2503</v>
      </c>
      <c r="B559" s="256" t="s">
        <v>1471</v>
      </c>
      <c r="C559" s="256" t="s">
        <v>2494</v>
      </c>
      <c r="D559" s="256" t="s">
        <v>1425</v>
      </c>
      <c r="E559" s="256">
        <v>4450212</v>
      </c>
      <c r="F559" s="256">
        <v>4446876</v>
      </c>
      <c r="G559" s="256" t="s">
        <v>2508</v>
      </c>
      <c r="H559" s="256" t="s">
        <v>242</v>
      </c>
      <c r="I559" s="256" t="s">
        <v>333</v>
      </c>
      <c r="J559" s="256" t="s">
        <v>2495</v>
      </c>
      <c r="K559" s="259">
        <v>46134.979166666664</v>
      </c>
      <c r="L559" s="256"/>
      <c r="M559" s="259">
        <v>46140.020833333336</v>
      </c>
      <c r="N559" s="256"/>
      <c r="O559" s="256" t="s">
        <v>2505</v>
      </c>
      <c r="P559" s="259">
        <v>46151.229166666664</v>
      </c>
      <c r="Q559" s="256">
        <v>2</v>
      </c>
      <c r="R559" s="256"/>
      <c r="S559" s="256">
        <v>1</v>
      </c>
      <c r="T559" s="256"/>
      <c r="U559" s="256"/>
      <c r="V559" s="256"/>
      <c r="W559" s="256" t="s">
        <v>2497</v>
      </c>
      <c r="X559" s="259">
        <v>46109.533333333333</v>
      </c>
      <c r="Y559" s="256" t="s">
        <v>2498</v>
      </c>
      <c r="Z559" s="256" t="s">
        <v>2499</v>
      </c>
      <c r="AA559" s="256" t="s">
        <v>2500</v>
      </c>
      <c r="AB559" s="256"/>
      <c r="AC559" s="256"/>
      <c r="AD559" s="256" t="s">
        <v>1425</v>
      </c>
      <c r="AE559" s="256" t="s">
        <v>2501</v>
      </c>
    </row>
    <row r="560" spans="1:31">
      <c r="A560" s="256" t="s">
        <v>2503</v>
      </c>
      <c r="B560" s="256" t="s">
        <v>1471</v>
      </c>
      <c r="C560" s="256" t="s">
        <v>2494</v>
      </c>
      <c r="D560" s="256" t="s">
        <v>1425</v>
      </c>
      <c r="E560" s="256">
        <v>4450212</v>
      </c>
      <c r="F560" s="256">
        <v>4446877</v>
      </c>
      <c r="G560" s="256" t="s">
        <v>2509</v>
      </c>
      <c r="H560" s="256" t="s">
        <v>242</v>
      </c>
      <c r="I560" s="256" t="s">
        <v>333</v>
      </c>
      <c r="J560" s="256" t="s">
        <v>2495</v>
      </c>
      <c r="K560" s="259">
        <v>46134.979166666664</v>
      </c>
      <c r="L560" s="256"/>
      <c r="M560" s="259">
        <v>46140.020833333336</v>
      </c>
      <c r="N560" s="256"/>
      <c r="O560" s="256" t="s">
        <v>2505</v>
      </c>
      <c r="P560" s="259">
        <v>46151.229166666664</v>
      </c>
      <c r="Q560" s="256">
        <v>2</v>
      </c>
      <c r="R560" s="256"/>
      <c r="S560" s="256">
        <v>1</v>
      </c>
      <c r="T560" s="256"/>
      <c r="U560" s="256"/>
      <c r="V560" s="256"/>
      <c r="W560" s="256" t="s">
        <v>2497</v>
      </c>
      <c r="X560" s="259">
        <v>46109.533333333333</v>
      </c>
      <c r="Y560" s="256" t="s">
        <v>2498</v>
      </c>
      <c r="Z560" s="256" t="s">
        <v>2499</v>
      </c>
      <c r="AA560" s="256" t="s">
        <v>2500</v>
      </c>
      <c r="AB560" s="256"/>
      <c r="AC560" s="256"/>
      <c r="AD560" s="256" t="s">
        <v>1425</v>
      </c>
      <c r="AE560" s="256" t="s">
        <v>2501</v>
      </c>
    </row>
    <row r="561" spans="1:31">
      <c r="A561" s="256" t="s">
        <v>2503</v>
      </c>
      <c r="B561" s="256" t="s">
        <v>1471</v>
      </c>
      <c r="C561" s="256" t="s">
        <v>2494</v>
      </c>
      <c r="D561" s="256" t="s">
        <v>1425</v>
      </c>
      <c r="E561" s="256">
        <v>4450212</v>
      </c>
      <c r="F561" s="256">
        <v>4446878</v>
      </c>
      <c r="G561" s="256" t="s">
        <v>2510</v>
      </c>
      <c r="H561" s="256" t="s">
        <v>242</v>
      </c>
      <c r="I561" s="256" t="s">
        <v>333</v>
      </c>
      <c r="J561" s="256" t="s">
        <v>2495</v>
      </c>
      <c r="K561" s="259">
        <v>46134.979166666664</v>
      </c>
      <c r="L561" s="256"/>
      <c r="M561" s="259">
        <v>46140.020833333336</v>
      </c>
      <c r="N561" s="256"/>
      <c r="O561" s="256" t="s">
        <v>2505</v>
      </c>
      <c r="P561" s="259">
        <v>46151.229166666664</v>
      </c>
      <c r="Q561" s="256">
        <v>2</v>
      </c>
      <c r="R561" s="256"/>
      <c r="S561" s="256">
        <v>1</v>
      </c>
      <c r="T561" s="256"/>
      <c r="U561" s="256"/>
      <c r="V561" s="256"/>
      <c r="W561" s="256" t="s">
        <v>2497</v>
      </c>
      <c r="X561" s="259">
        <v>46109.533333333333</v>
      </c>
      <c r="Y561" s="256" t="s">
        <v>2498</v>
      </c>
      <c r="Z561" s="256" t="s">
        <v>2499</v>
      </c>
      <c r="AA561" s="256" t="s">
        <v>2500</v>
      </c>
      <c r="AB561" s="256"/>
      <c r="AC561" s="256"/>
      <c r="AD561" s="256" t="s">
        <v>1425</v>
      </c>
      <c r="AE561" s="256" t="s">
        <v>2501</v>
      </c>
    </row>
    <row r="562" spans="1:31">
      <c r="A562" s="256" t="s">
        <v>2493</v>
      </c>
      <c r="B562" s="256" t="s">
        <v>1471</v>
      </c>
      <c r="C562" s="256" t="s">
        <v>2494</v>
      </c>
      <c r="D562" s="256" t="s">
        <v>1425</v>
      </c>
      <c r="E562" s="256">
        <v>4441711</v>
      </c>
      <c r="F562" s="256">
        <v>4446881</v>
      </c>
      <c r="G562" s="256" t="s">
        <v>1010</v>
      </c>
      <c r="H562" s="256" t="s">
        <v>242</v>
      </c>
      <c r="I562" s="256" t="s">
        <v>333</v>
      </c>
      <c r="J562" s="256" t="s">
        <v>2495</v>
      </c>
      <c r="K562" s="259">
        <v>46134.895833333336</v>
      </c>
      <c r="L562" s="256"/>
      <c r="M562" s="259">
        <v>46139.229166666664</v>
      </c>
      <c r="N562" s="256"/>
      <c r="O562" s="256" t="s">
        <v>2511</v>
      </c>
      <c r="P562" s="259">
        <v>46151.229166666664</v>
      </c>
      <c r="Q562" s="256">
        <v>2</v>
      </c>
      <c r="R562" s="256"/>
      <c r="S562" s="256">
        <v>1</v>
      </c>
      <c r="T562" s="256"/>
      <c r="U562" s="256"/>
      <c r="V562" s="256"/>
      <c r="W562" s="256" t="s">
        <v>2497</v>
      </c>
      <c r="X562" s="259">
        <v>46109.53402777778</v>
      </c>
      <c r="Y562" s="256" t="s">
        <v>2498</v>
      </c>
      <c r="Z562" s="256" t="s">
        <v>2499</v>
      </c>
      <c r="AA562" s="256" t="s">
        <v>2500</v>
      </c>
      <c r="AB562" s="256"/>
      <c r="AC562" s="256"/>
      <c r="AD562" s="256" t="s">
        <v>1425</v>
      </c>
      <c r="AE562" s="256" t="s">
        <v>2501</v>
      </c>
    </row>
    <row r="563" spans="1:31">
      <c r="A563" s="256" t="s">
        <v>2493</v>
      </c>
      <c r="B563" s="256" t="s">
        <v>1471</v>
      </c>
      <c r="C563" s="256" t="s">
        <v>2494</v>
      </c>
      <c r="D563" s="256" t="s">
        <v>1425</v>
      </c>
      <c r="E563" s="256">
        <v>4441711</v>
      </c>
      <c r="F563" s="256">
        <v>4443708</v>
      </c>
      <c r="G563" s="256" t="s">
        <v>1006</v>
      </c>
      <c r="H563" s="256" t="s">
        <v>242</v>
      </c>
      <c r="I563" s="256" t="s">
        <v>333</v>
      </c>
      <c r="J563" s="256" t="s">
        <v>2495</v>
      </c>
      <c r="K563" s="259">
        <v>46134.979166666664</v>
      </c>
      <c r="L563" s="256"/>
      <c r="M563" s="259">
        <v>46139.229166666664</v>
      </c>
      <c r="N563" s="256"/>
      <c r="O563" s="256" t="s">
        <v>2511</v>
      </c>
      <c r="P563" s="259">
        <v>46151.229166666664</v>
      </c>
      <c r="Q563" s="256">
        <v>3</v>
      </c>
      <c r="R563" s="256"/>
      <c r="S563" s="256">
        <v>1</v>
      </c>
      <c r="T563" s="256"/>
      <c r="U563" s="256"/>
      <c r="V563" s="256"/>
      <c r="W563" s="256" t="s">
        <v>2497</v>
      </c>
      <c r="X563" s="259">
        <v>46106.870833333334</v>
      </c>
      <c r="Y563" s="256" t="s">
        <v>2498</v>
      </c>
      <c r="Z563" s="256" t="s">
        <v>2499</v>
      </c>
      <c r="AA563" s="256" t="s">
        <v>2500</v>
      </c>
      <c r="AB563" s="256"/>
      <c r="AC563" s="256"/>
      <c r="AD563" s="256" t="s">
        <v>1425</v>
      </c>
      <c r="AE563" s="256" t="s">
        <v>2501</v>
      </c>
    </row>
    <row r="564" spans="1:31">
      <c r="A564" s="256" t="s">
        <v>2493</v>
      </c>
      <c r="B564" s="256" t="s">
        <v>1471</v>
      </c>
      <c r="C564" s="256" t="s">
        <v>2494</v>
      </c>
      <c r="D564" s="256" t="s">
        <v>1425</v>
      </c>
      <c r="E564" s="256">
        <v>4441711</v>
      </c>
      <c r="F564" s="256">
        <v>4444273</v>
      </c>
      <c r="G564" s="256" t="s">
        <v>1007</v>
      </c>
      <c r="H564" s="256" t="s">
        <v>242</v>
      </c>
      <c r="I564" s="256" t="s">
        <v>333</v>
      </c>
      <c r="J564" s="256" t="s">
        <v>2495</v>
      </c>
      <c r="K564" s="259">
        <v>46134.979166666664</v>
      </c>
      <c r="L564" s="256"/>
      <c r="M564" s="259">
        <v>46139.229166666664</v>
      </c>
      <c r="N564" s="256"/>
      <c r="O564" s="256" t="s">
        <v>2496</v>
      </c>
      <c r="P564" s="259">
        <v>46151.229166666664</v>
      </c>
      <c r="Q564" s="256">
        <v>3</v>
      </c>
      <c r="R564" s="256"/>
      <c r="S564" s="256">
        <v>1</v>
      </c>
      <c r="T564" s="256"/>
      <c r="U564" s="256"/>
      <c r="V564" s="256"/>
      <c r="W564" s="256" t="s">
        <v>2497</v>
      </c>
      <c r="X564" s="259">
        <v>46107.545138888891</v>
      </c>
      <c r="Y564" s="256" t="s">
        <v>2498</v>
      </c>
      <c r="Z564" s="256" t="s">
        <v>2499</v>
      </c>
      <c r="AA564" s="256" t="s">
        <v>2500</v>
      </c>
      <c r="AB564" s="256"/>
      <c r="AC564" s="256"/>
      <c r="AD564" s="256" t="s">
        <v>1425</v>
      </c>
      <c r="AE564" s="256" t="s">
        <v>2501</v>
      </c>
    </row>
    <row r="565" spans="1:31">
      <c r="A565" s="256" t="s">
        <v>2512</v>
      </c>
      <c r="B565" s="256" t="s">
        <v>1471</v>
      </c>
      <c r="C565" s="256" t="s">
        <v>2494</v>
      </c>
      <c r="D565" s="256" t="s">
        <v>2513</v>
      </c>
      <c r="E565" s="256">
        <v>4373965</v>
      </c>
      <c r="F565" s="256">
        <v>4440531</v>
      </c>
      <c r="G565" s="256" t="s">
        <v>1043</v>
      </c>
      <c r="H565" s="256" t="s">
        <v>242</v>
      </c>
      <c r="I565" s="256" t="s">
        <v>333</v>
      </c>
      <c r="J565" s="256" t="s">
        <v>2495</v>
      </c>
      <c r="K565" s="259">
        <v>46134.979166666664</v>
      </c>
      <c r="L565" s="256"/>
      <c r="M565" s="259">
        <v>46136.229166666664</v>
      </c>
      <c r="N565" s="256"/>
      <c r="O565" s="256" t="s">
        <v>2514</v>
      </c>
      <c r="P565" s="259">
        <v>46151.229166666664</v>
      </c>
      <c r="Q565" s="256">
        <v>3</v>
      </c>
      <c r="R565" s="256"/>
      <c r="S565" s="256">
        <v>2</v>
      </c>
      <c r="T565" s="256"/>
      <c r="U565" s="256"/>
      <c r="V565" s="256"/>
      <c r="W565" s="256" t="s">
        <v>2497</v>
      </c>
      <c r="X565" s="259">
        <v>46105.634027777778</v>
      </c>
      <c r="Y565" s="256" t="s">
        <v>2515</v>
      </c>
      <c r="Z565" s="256" t="s">
        <v>2499</v>
      </c>
      <c r="AA565" s="256" t="s">
        <v>2500</v>
      </c>
      <c r="AB565" s="256"/>
      <c r="AC565" s="256"/>
      <c r="AD565" s="256" t="s">
        <v>1425</v>
      </c>
      <c r="AE565" s="256" t="s">
        <v>2501</v>
      </c>
    </row>
    <row r="566" spans="1:31">
      <c r="A566" s="256" t="s">
        <v>2516</v>
      </c>
      <c r="B566" s="256" t="s">
        <v>1471</v>
      </c>
      <c r="C566" s="256" t="s">
        <v>2494</v>
      </c>
      <c r="D566" s="256" t="s">
        <v>1425</v>
      </c>
      <c r="E566" s="256">
        <v>4440653</v>
      </c>
      <c r="F566" s="256">
        <v>4440539</v>
      </c>
      <c r="G566" s="256" t="s">
        <v>1044</v>
      </c>
      <c r="H566" s="256" t="s">
        <v>305</v>
      </c>
      <c r="I566" s="256" t="s">
        <v>333</v>
      </c>
      <c r="J566" s="256" t="s">
        <v>2495</v>
      </c>
      <c r="K566" s="259">
        <v>46129.895833333336</v>
      </c>
      <c r="L566" s="259">
        <v>46127.802777777775</v>
      </c>
      <c r="M566" s="259">
        <v>46134.229166666664</v>
      </c>
      <c r="N566" s="256"/>
      <c r="O566" s="256" t="s">
        <v>2517</v>
      </c>
      <c r="P566" s="259">
        <v>46151.229166666664</v>
      </c>
      <c r="Q566" s="256">
        <v>4</v>
      </c>
      <c r="R566" s="256"/>
      <c r="S566" s="256">
        <v>2</v>
      </c>
      <c r="T566" s="256"/>
      <c r="U566" s="256" t="s">
        <v>1</v>
      </c>
      <c r="V566" s="256" t="s">
        <v>1</v>
      </c>
      <c r="W566" s="256" t="s">
        <v>2497</v>
      </c>
      <c r="X566" s="259">
        <v>46105.640277777777</v>
      </c>
      <c r="Y566" s="256" t="s">
        <v>2518</v>
      </c>
      <c r="Z566" s="256" t="s">
        <v>2499</v>
      </c>
      <c r="AA566" s="256" t="s">
        <v>2500</v>
      </c>
      <c r="AB566" s="256"/>
      <c r="AC566" s="256"/>
      <c r="AD566" s="256" t="s">
        <v>1425</v>
      </c>
      <c r="AE566" s="256" t="s">
        <v>2501</v>
      </c>
    </row>
    <row r="567" spans="1:31">
      <c r="A567" s="256" t="s">
        <v>2516</v>
      </c>
      <c r="B567" s="256" t="s">
        <v>1471</v>
      </c>
      <c r="C567" s="256" t="s">
        <v>2494</v>
      </c>
      <c r="D567" s="256" t="s">
        <v>1425</v>
      </c>
      <c r="E567" s="256">
        <v>4440653</v>
      </c>
      <c r="F567" s="256">
        <v>4440660</v>
      </c>
      <c r="G567" s="256" t="s">
        <v>1045</v>
      </c>
      <c r="H567" s="256" t="s">
        <v>1760</v>
      </c>
      <c r="I567" s="256" t="s">
        <v>333</v>
      </c>
      <c r="J567" s="256" t="s">
        <v>2495</v>
      </c>
      <c r="K567" s="259">
        <v>46129.895833333336</v>
      </c>
      <c r="L567" s="259">
        <v>46127.804861111108</v>
      </c>
      <c r="M567" s="259">
        <v>46134.229166666664</v>
      </c>
      <c r="N567" s="256"/>
      <c r="O567" s="256" t="s">
        <v>2517</v>
      </c>
      <c r="P567" s="259">
        <v>46151.229166666664</v>
      </c>
      <c r="Q567" s="256">
        <v>4</v>
      </c>
      <c r="R567" s="256"/>
      <c r="S567" s="256">
        <v>2</v>
      </c>
      <c r="T567" s="256"/>
      <c r="U567" s="256" t="s">
        <v>1</v>
      </c>
      <c r="V567" s="256" t="s">
        <v>1</v>
      </c>
      <c r="W567" s="256" t="s">
        <v>2497</v>
      </c>
      <c r="X567" s="259">
        <v>46105.65347222222</v>
      </c>
      <c r="Y567" s="256" t="s">
        <v>2518</v>
      </c>
      <c r="Z567" s="256" t="s">
        <v>2499</v>
      </c>
      <c r="AA567" s="256" t="s">
        <v>2500</v>
      </c>
      <c r="AB567" s="256"/>
      <c r="AC567" s="256"/>
      <c r="AD567" s="256" t="s">
        <v>1425</v>
      </c>
      <c r="AE567" s="256" t="s">
        <v>2501</v>
      </c>
    </row>
    <row r="568" spans="1:31">
      <c r="A568" s="256" t="s">
        <v>2516</v>
      </c>
      <c r="B568" s="256" t="s">
        <v>1471</v>
      </c>
      <c r="C568" s="256" t="s">
        <v>2494</v>
      </c>
      <c r="D568" s="256" t="s">
        <v>1425</v>
      </c>
      <c r="E568" s="256">
        <v>4440653</v>
      </c>
      <c r="F568" s="256">
        <v>4440663</v>
      </c>
      <c r="G568" s="256" t="s">
        <v>1046</v>
      </c>
      <c r="H568" s="256" t="s">
        <v>305</v>
      </c>
      <c r="I568" s="256" t="s">
        <v>333</v>
      </c>
      <c r="J568" s="256" t="s">
        <v>2495</v>
      </c>
      <c r="K568" s="259">
        <v>46129.895833333336</v>
      </c>
      <c r="L568" s="259">
        <v>46127.802083333336</v>
      </c>
      <c r="M568" s="259">
        <v>46134.229166666664</v>
      </c>
      <c r="N568" s="256"/>
      <c r="O568" s="256" t="s">
        <v>2517</v>
      </c>
      <c r="P568" s="259">
        <v>46151.229166666664</v>
      </c>
      <c r="Q568" s="256">
        <v>4</v>
      </c>
      <c r="R568" s="256"/>
      <c r="S568" s="256">
        <v>2</v>
      </c>
      <c r="T568" s="256"/>
      <c r="U568" s="256" t="s">
        <v>1</v>
      </c>
      <c r="V568" s="256" t="s">
        <v>1</v>
      </c>
      <c r="W568" s="256" t="s">
        <v>2497</v>
      </c>
      <c r="X568" s="259">
        <v>46105.656944444447</v>
      </c>
      <c r="Y568" s="256" t="s">
        <v>2518</v>
      </c>
      <c r="Z568" s="256" t="s">
        <v>2499</v>
      </c>
      <c r="AA568" s="256" t="s">
        <v>2500</v>
      </c>
      <c r="AB568" s="256"/>
      <c r="AC568" s="256"/>
      <c r="AD568" s="256" t="s">
        <v>1425</v>
      </c>
      <c r="AE568" s="256" t="s">
        <v>2501</v>
      </c>
    </row>
    <row r="569" spans="1:31">
      <c r="A569" s="256" t="s">
        <v>2516</v>
      </c>
      <c r="B569" s="256" t="s">
        <v>1471</v>
      </c>
      <c r="C569" s="256" t="s">
        <v>2494</v>
      </c>
      <c r="D569" s="256" t="s">
        <v>1425</v>
      </c>
      <c r="E569" s="256">
        <v>4440653</v>
      </c>
      <c r="F569" s="256">
        <v>4440665</v>
      </c>
      <c r="G569" s="256" t="s">
        <v>1047</v>
      </c>
      <c r="H569" s="256" t="s">
        <v>305</v>
      </c>
      <c r="I569" s="256" t="s">
        <v>333</v>
      </c>
      <c r="J569" s="256" t="s">
        <v>2495</v>
      </c>
      <c r="K569" s="259">
        <v>46129.895833333336</v>
      </c>
      <c r="L569" s="259">
        <v>46127.802777777775</v>
      </c>
      <c r="M569" s="259">
        <v>46134.229166666664</v>
      </c>
      <c r="N569" s="256"/>
      <c r="O569" s="256" t="s">
        <v>2517</v>
      </c>
      <c r="P569" s="259">
        <v>46151.229166666664</v>
      </c>
      <c r="Q569" s="256">
        <v>4</v>
      </c>
      <c r="R569" s="256"/>
      <c r="S569" s="256">
        <v>2</v>
      </c>
      <c r="T569" s="256"/>
      <c r="U569" s="256" t="s">
        <v>1</v>
      </c>
      <c r="V569" s="256" t="s">
        <v>1</v>
      </c>
      <c r="W569" s="256" t="s">
        <v>2497</v>
      </c>
      <c r="X569" s="259">
        <v>46105.658333333333</v>
      </c>
      <c r="Y569" s="256" t="s">
        <v>2518</v>
      </c>
      <c r="Z569" s="256" t="s">
        <v>2499</v>
      </c>
      <c r="AA569" s="256" t="s">
        <v>2500</v>
      </c>
      <c r="AB569" s="256"/>
      <c r="AC569" s="256"/>
      <c r="AD569" s="256" t="s">
        <v>1425</v>
      </c>
      <c r="AE569" s="256" t="s">
        <v>2501</v>
      </c>
    </row>
    <row r="570" spans="1:31">
      <c r="A570" s="256" t="s">
        <v>2516</v>
      </c>
      <c r="B570" s="256" t="s">
        <v>1471</v>
      </c>
      <c r="C570" s="256" t="s">
        <v>2494</v>
      </c>
      <c r="D570" s="256" t="s">
        <v>1425</v>
      </c>
      <c r="E570" s="256">
        <v>4440653</v>
      </c>
      <c r="F570" s="256">
        <v>4440771</v>
      </c>
      <c r="G570" s="256" t="s">
        <v>2519</v>
      </c>
      <c r="H570" s="256" t="s">
        <v>305</v>
      </c>
      <c r="I570" s="256" t="s">
        <v>333</v>
      </c>
      <c r="J570" s="256" t="s">
        <v>2495</v>
      </c>
      <c r="K570" s="259">
        <v>46129.229166666664</v>
      </c>
      <c r="L570" s="259">
        <v>46127.804166666669</v>
      </c>
      <c r="M570" s="259">
        <v>46134.229166666664</v>
      </c>
      <c r="N570" s="256"/>
      <c r="O570" s="256" t="s">
        <v>2520</v>
      </c>
      <c r="P570" s="259">
        <v>46151.229166666664</v>
      </c>
      <c r="Q570" s="256">
        <v>4</v>
      </c>
      <c r="R570" s="256"/>
      <c r="S570" s="256">
        <v>2</v>
      </c>
      <c r="T570" s="256"/>
      <c r="U570" s="256" t="s">
        <v>1</v>
      </c>
      <c r="V570" s="256" t="s">
        <v>1</v>
      </c>
      <c r="W570" s="256" t="s">
        <v>2497</v>
      </c>
      <c r="X570" s="259">
        <v>46105.664583333331</v>
      </c>
      <c r="Y570" s="256" t="s">
        <v>2518</v>
      </c>
      <c r="Z570" s="256" t="s">
        <v>2499</v>
      </c>
      <c r="AA570" s="256" t="s">
        <v>2500</v>
      </c>
      <c r="AB570" s="256"/>
      <c r="AC570" s="256"/>
      <c r="AD570" s="256" t="s">
        <v>1425</v>
      </c>
      <c r="AE570" s="256" t="s">
        <v>2501</v>
      </c>
    </row>
    <row r="571" spans="1:31">
      <c r="A571" s="256" t="s">
        <v>2516</v>
      </c>
      <c r="B571" s="256" t="s">
        <v>1471</v>
      </c>
      <c r="C571" s="256" t="s">
        <v>2494</v>
      </c>
      <c r="D571" s="256" t="s">
        <v>1425</v>
      </c>
      <c r="E571" s="256">
        <v>4440653</v>
      </c>
      <c r="F571" s="256">
        <v>4440784</v>
      </c>
      <c r="G571" s="256" t="s">
        <v>2521</v>
      </c>
      <c r="H571" s="256" t="s">
        <v>305</v>
      </c>
      <c r="I571" s="256" t="s">
        <v>333</v>
      </c>
      <c r="J571" s="256" t="s">
        <v>2495</v>
      </c>
      <c r="K571" s="259">
        <v>46129.895833333336</v>
      </c>
      <c r="L571" s="259">
        <v>46127.803472222222</v>
      </c>
      <c r="M571" s="259">
        <v>46134.229166666664</v>
      </c>
      <c r="N571" s="256"/>
      <c r="O571" s="256" t="s">
        <v>2520</v>
      </c>
      <c r="P571" s="259">
        <v>46151.229166666664</v>
      </c>
      <c r="Q571" s="256">
        <v>4</v>
      </c>
      <c r="R571" s="256"/>
      <c r="S571" s="256">
        <v>2</v>
      </c>
      <c r="T571" s="256"/>
      <c r="U571" s="256" t="s">
        <v>1</v>
      </c>
      <c r="V571" s="256" t="s">
        <v>1</v>
      </c>
      <c r="W571" s="256" t="s">
        <v>2497</v>
      </c>
      <c r="X571" s="259">
        <v>46105.665277777778</v>
      </c>
      <c r="Y571" s="256" t="s">
        <v>2518</v>
      </c>
      <c r="Z571" s="256" t="s">
        <v>2499</v>
      </c>
      <c r="AA571" s="256" t="s">
        <v>2500</v>
      </c>
      <c r="AB571" s="256"/>
      <c r="AC571" s="256"/>
      <c r="AD571" s="256" t="s">
        <v>1425</v>
      </c>
      <c r="AE571" s="256" t="s">
        <v>2501</v>
      </c>
    </row>
    <row r="572" spans="1:31">
      <c r="A572" s="256" t="s">
        <v>2516</v>
      </c>
      <c r="B572" s="256" t="s">
        <v>1471</v>
      </c>
      <c r="C572" s="256" t="s">
        <v>2494</v>
      </c>
      <c r="D572" s="256" t="s">
        <v>1425</v>
      </c>
      <c r="E572" s="256">
        <v>4440653</v>
      </c>
      <c r="F572" s="256">
        <v>4440796</v>
      </c>
      <c r="G572" s="256" t="s">
        <v>1050</v>
      </c>
      <c r="H572" s="256" t="s">
        <v>305</v>
      </c>
      <c r="I572" s="256" t="s">
        <v>333</v>
      </c>
      <c r="J572" s="256" t="s">
        <v>2495</v>
      </c>
      <c r="K572" s="259">
        <v>46132.979166666664</v>
      </c>
      <c r="L572" s="259">
        <v>46127.824305555558</v>
      </c>
      <c r="M572" s="259">
        <v>46134.229166666664</v>
      </c>
      <c r="N572" s="256"/>
      <c r="O572" s="256" t="s">
        <v>2522</v>
      </c>
      <c r="P572" s="259">
        <v>46151.229166666664</v>
      </c>
      <c r="Q572" s="256">
        <v>4</v>
      </c>
      <c r="R572" s="256"/>
      <c r="S572" s="256">
        <v>2</v>
      </c>
      <c r="T572" s="256"/>
      <c r="U572" s="256" t="s">
        <v>1</v>
      </c>
      <c r="V572" s="256" t="s">
        <v>1</v>
      </c>
      <c r="W572" s="256" t="s">
        <v>2497</v>
      </c>
      <c r="X572" s="259">
        <v>46105.666666666664</v>
      </c>
      <c r="Y572" s="256" t="s">
        <v>2518</v>
      </c>
      <c r="Z572" s="256" t="s">
        <v>2499</v>
      </c>
      <c r="AA572" s="256" t="s">
        <v>2500</v>
      </c>
      <c r="AB572" s="256"/>
      <c r="AC572" s="256"/>
      <c r="AD572" s="256" t="s">
        <v>1425</v>
      </c>
      <c r="AE572" s="256" t="s">
        <v>2501</v>
      </c>
    </row>
    <row r="573" spans="1:31">
      <c r="A573" s="256" t="s">
        <v>2516</v>
      </c>
      <c r="B573" s="256" t="s">
        <v>1471</v>
      </c>
      <c r="C573" s="256" t="s">
        <v>2494</v>
      </c>
      <c r="D573" s="256" t="s">
        <v>1425</v>
      </c>
      <c r="E573" s="256">
        <v>4440653</v>
      </c>
      <c r="F573" s="256">
        <v>4440809</v>
      </c>
      <c r="G573" s="256" t="s">
        <v>1052</v>
      </c>
      <c r="H573" s="256" t="s">
        <v>305</v>
      </c>
      <c r="I573" s="256" t="s">
        <v>333</v>
      </c>
      <c r="J573" s="256" t="s">
        <v>2495</v>
      </c>
      <c r="K573" s="259">
        <v>46132.979166666664</v>
      </c>
      <c r="L573" s="259">
        <v>46127.825694444444</v>
      </c>
      <c r="M573" s="259">
        <v>46134.229166666664</v>
      </c>
      <c r="N573" s="256"/>
      <c r="O573" s="256" t="s">
        <v>2522</v>
      </c>
      <c r="P573" s="259">
        <v>46151.229166666664</v>
      </c>
      <c r="Q573" s="256">
        <v>4</v>
      </c>
      <c r="R573" s="256"/>
      <c r="S573" s="256">
        <v>2</v>
      </c>
      <c r="T573" s="256"/>
      <c r="U573" s="256" t="s">
        <v>1</v>
      </c>
      <c r="V573" s="256" t="s">
        <v>1</v>
      </c>
      <c r="W573" s="256" t="s">
        <v>2497</v>
      </c>
      <c r="X573" s="259">
        <v>46105.670138888891</v>
      </c>
      <c r="Y573" s="256" t="s">
        <v>2518</v>
      </c>
      <c r="Z573" s="256" t="s">
        <v>2499</v>
      </c>
      <c r="AA573" s="256" t="s">
        <v>2500</v>
      </c>
      <c r="AB573" s="256"/>
      <c r="AC573" s="256"/>
      <c r="AD573" s="256" t="s">
        <v>1425</v>
      </c>
      <c r="AE573" s="256" t="s">
        <v>2501</v>
      </c>
    </row>
    <row r="574" spans="1:31">
      <c r="A574" s="256" t="s">
        <v>2516</v>
      </c>
      <c r="B574" s="256" t="s">
        <v>1471</v>
      </c>
      <c r="C574" s="256" t="s">
        <v>2494</v>
      </c>
      <c r="D574" s="256" t="s">
        <v>1425</v>
      </c>
      <c r="E574" s="256">
        <v>4440653</v>
      </c>
      <c r="F574" s="256">
        <v>4440815</v>
      </c>
      <c r="G574" s="256" t="s">
        <v>1054</v>
      </c>
      <c r="H574" s="256" t="s">
        <v>305</v>
      </c>
      <c r="I574" s="256" t="s">
        <v>333</v>
      </c>
      <c r="J574" s="256" t="s">
        <v>2495</v>
      </c>
      <c r="K574" s="259">
        <v>46132.979166666664</v>
      </c>
      <c r="L574" s="259">
        <v>46127.825694444444</v>
      </c>
      <c r="M574" s="259">
        <v>46134.229166666664</v>
      </c>
      <c r="N574" s="256"/>
      <c r="O574" s="256" t="s">
        <v>2517</v>
      </c>
      <c r="P574" s="259">
        <v>46151.229166666664</v>
      </c>
      <c r="Q574" s="256">
        <v>4</v>
      </c>
      <c r="R574" s="256"/>
      <c r="S574" s="256">
        <v>2</v>
      </c>
      <c r="T574" s="256"/>
      <c r="U574" s="256" t="s">
        <v>1</v>
      </c>
      <c r="V574" s="256" t="s">
        <v>1</v>
      </c>
      <c r="W574" s="256" t="s">
        <v>2497</v>
      </c>
      <c r="X574" s="259">
        <v>46105.672222222223</v>
      </c>
      <c r="Y574" s="256" t="s">
        <v>2518</v>
      </c>
      <c r="Z574" s="256" t="s">
        <v>2499</v>
      </c>
      <c r="AA574" s="256" t="s">
        <v>2500</v>
      </c>
      <c r="AB574" s="256"/>
      <c r="AC574" s="256"/>
      <c r="AD574" s="256" t="s">
        <v>1425</v>
      </c>
      <c r="AE574" s="256" t="s">
        <v>2501</v>
      </c>
    </row>
    <row r="575" spans="1:31">
      <c r="A575" s="256" t="s">
        <v>2516</v>
      </c>
      <c r="B575" s="256" t="s">
        <v>1471</v>
      </c>
      <c r="C575" s="256" t="s">
        <v>2494</v>
      </c>
      <c r="D575" s="256" t="s">
        <v>1425</v>
      </c>
      <c r="E575" s="256">
        <v>4440653</v>
      </c>
      <c r="F575" s="256">
        <v>4440819</v>
      </c>
      <c r="G575" s="256" t="s">
        <v>1055</v>
      </c>
      <c r="H575" s="256" t="s">
        <v>305</v>
      </c>
      <c r="I575" s="256" t="s">
        <v>333</v>
      </c>
      <c r="J575" s="256" t="s">
        <v>2495</v>
      </c>
      <c r="K575" s="259">
        <v>46132.979166666664</v>
      </c>
      <c r="L575" s="259">
        <v>46127.824999999997</v>
      </c>
      <c r="M575" s="259">
        <v>46134.229166666664</v>
      </c>
      <c r="N575" s="256"/>
      <c r="O575" s="256" t="s">
        <v>2517</v>
      </c>
      <c r="P575" s="259">
        <v>46151.229166666664</v>
      </c>
      <c r="Q575" s="256">
        <v>4</v>
      </c>
      <c r="R575" s="256"/>
      <c r="S575" s="256">
        <v>2</v>
      </c>
      <c r="T575" s="256"/>
      <c r="U575" s="256" t="s">
        <v>1</v>
      </c>
      <c r="V575" s="256" t="s">
        <v>1</v>
      </c>
      <c r="W575" s="256" t="s">
        <v>2497</v>
      </c>
      <c r="X575" s="259">
        <v>46105.673611111109</v>
      </c>
      <c r="Y575" s="256" t="s">
        <v>2518</v>
      </c>
      <c r="Z575" s="256" t="s">
        <v>2499</v>
      </c>
      <c r="AA575" s="256" t="s">
        <v>2500</v>
      </c>
      <c r="AB575" s="256"/>
      <c r="AC575" s="256"/>
      <c r="AD575" s="256" t="s">
        <v>1425</v>
      </c>
      <c r="AE575" s="256" t="s">
        <v>2501</v>
      </c>
    </row>
    <row r="576" spans="1:31">
      <c r="A576" s="256" t="s">
        <v>2516</v>
      </c>
      <c r="B576" s="256" t="s">
        <v>1471</v>
      </c>
      <c r="C576" s="256" t="s">
        <v>2494</v>
      </c>
      <c r="D576" s="256" t="s">
        <v>1425</v>
      </c>
      <c r="E576" s="256">
        <v>4440653</v>
      </c>
      <c r="F576" s="256">
        <v>4440824</v>
      </c>
      <c r="G576" s="256" t="s">
        <v>2523</v>
      </c>
      <c r="H576" s="256" t="s">
        <v>305</v>
      </c>
      <c r="I576" s="256" t="s">
        <v>333</v>
      </c>
      <c r="J576" s="256" t="s">
        <v>2495</v>
      </c>
      <c r="K576" s="259">
        <v>46132.979166666664</v>
      </c>
      <c r="L576" s="259">
        <v>46127.824999999997</v>
      </c>
      <c r="M576" s="259">
        <v>46134.229166666664</v>
      </c>
      <c r="N576" s="256"/>
      <c r="O576" s="256" t="s">
        <v>2520</v>
      </c>
      <c r="P576" s="259">
        <v>46151.229166666664</v>
      </c>
      <c r="Q576" s="256">
        <v>4</v>
      </c>
      <c r="R576" s="256"/>
      <c r="S576" s="256">
        <v>2</v>
      </c>
      <c r="T576" s="256"/>
      <c r="U576" s="256" t="s">
        <v>1</v>
      </c>
      <c r="V576" s="256" t="s">
        <v>1</v>
      </c>
      <c r="W576" s="256" t="s">
        <v>2497</v>
      </c>
      <c r="X576" s="259">
        <v>46105.675000000003</v>
      </c>
      <c r="Y576" s="256" t="s">
        <v>2518</v>
      </c>
      <c r="Z576" s="256" t="s">
        <v>2499</v>
      </c>
      <c r="AA576" s="256" t="s">
        <v>2500</v>
      </c>
      <c r="AB576" s="256"/>
      <c r="AC576" s="256"/>
      <c r="AD576" s="256" t="s">
        <v>1425</v>
      </c>
      <c r="AE576" s="256" t="s">
        <v>2501</v>
      </c>
    </row>
    <row r="577" spans="1:31">
      <c r="A577" s="256" t="s">
        <v>2516</v>
      </c>
      <c r="B577" s="256" t="s">
        <v>1471</v>
      </c>
      <c r="C577" s="256" t="s">
        <v>2494</v>
      </c>
      <c r="D577" s="256" t="s">
        <v>1425</v>
      </c>
      <c r="E577" s="256">
        <v>4440653</v>
      </c>
      <c r="F577" s="256">
        <v>4440835</v>
      </c>
      <c r="G577" s="256" t="s">
        <v>2524</v>
      </c>
      <c r="H577" s="256" t="s">
        <v>305</v>
      </c>
      <c r="I577" s="256" t="s">
        <v>333</v>
      </c>
      <c r="J577" s="256" t="s">
        <v>2495</v>
      </c>
      <c r="K577" s="259">
        <v>46132.979166666664</v>
      </c>
      <c r="L577" s="259">
        <v>46127.824999999997</v>
      </c>
      <c r="M577" s="259">
        <v>46134.229166666664</v>
      </c>
      <c r="N577" s="256"/>
      <c r="O577" s="256" t="s">
        <v>2520</v>
      </c>
      <c r="P577" s="259">
        <v>46151.229166666664</v>
      </c>
      <c r="Q577" s="256">
        <v>4</v>
      </c>
      <c r="R577" s="256"/>
      <c r="S577" s="256">
        <v>2</v>
      </c>
      <c r="T577" s="256"/>
      <c r="U577" s="256" t="s">
        <v>1</v>
      </c>
      <c r="V577" s="256" t="s">
        <v>1</v>
      </c>
      <c r="W577" s="256" t="s">
        <v>2497</v>
      </c>
      <c r="X577" s="259">
        <v>46105.676388888889</v>
      </c>
      <c r="Y577" s="256" t="s">
        <v>2518</v>
      </c>
      <c r="Z577" s="256" t="s">
        <v>2499</v>
      </c>
      <c r="AA577" s="256" t="s">
        <v>2500</v>
      </c>
      <c r="AB577" s="256"/>
      <c r="AC577" s="256"/>
      <c r="AD577" s="256" t="s">
        <v>1425</v>
      </c>
      <c r="AE577" s="256" t="s">
        <v>2501</v>
      </c>
    </row>
    <row r="578" spans="1:31">
      <c r="A578" s="256" t="s">
        <v>2525</v>
      </c>
      <c r="B578" s="256" t="s">
        <v>1471</v>
      </c>
      <c r="C578" s="256" t="s">
        <v>2494</v>
      </c>
      <c r="D578" s="256" t="s">
        <v>1425</v>
      </c>
      <c r="E578" s="256">
        <v>4440901</v>
      </c>
      <c r="F578" s="256">
        <v>4440870</v>
      </c>
      <c r="G578" s="256" t="s">
        <v>1058</v>
      </c>
      <c r="H578" s="256" t="s">
        <v>242</v>
      </c>
      <c r="I578" s="256" t="s">
        <v>333</v>
      </c>
      <c r="J578" s="256" t="s">
        <v>2495</v>
      </c>
      <c r="K578" s="259">
        <v>46133.979166666664</v>
      </c>
      <c r="L578" s="256"/>
      <c r="M578" s="259">
        <v>46135.229166666664</v>
      </c>
      <c r="N578" s="256"/>
      <c r="O578" s="256" t="s">
        <v>2526</v>
      </c>
      <c r="P578" s="259">
        <v>46151.229166666664</v>
      </c>
      <c r="Q578" s="256">
        <v>8</v>
      </c>
      <c r="R578" s="256"/>
      <c r="S578" s="256">
        <v>2</v>
      </c>
      <c r="T578" s="256"/>
      <c r="U578" s="256"/>
      <c r="V578" s="256"/>
      <c r="W578" s="256" t="s">
        <v>2497</v>
      </c>
      <c r="X578" s="259">
        <v>46105.683333333334</v>
      </c>
      <c r="Y578" s="256" t="s">
        <v>2527</v>
      </c>
      <c r="Z578" s="256" t="s">
        <v>2499</v>
      </c>
      <c r="AA578" s="256" t="s">
        <v>2500</v>
      </c>
      <c r="AB578" s="256"/>
      <c r="AC578" s="256"/>
      <c r="AD578" s="256" t="s">
        <v>1425</v>
      </c>
      <c r="AE578" s="256" t="s">
        <v>2501</v>
      </c>
    </row>
    <row r="579" spans="1:31">
      <c r="A579" s="256" t="s">
        <v>2525</v>
      </c>
      <c r="B579" s="256" t="s">
        <v>1471</v>
      </c>
      <c r="C579" s="256" t="s">
        <v>2494</v>
      </c>
      <c r="D579" s="256" t="s">
        <v>1425</v>
      </c>
      <c r="E579" s="256">
        <v>4440901</v>
      </c>
      <c r="F579" s="256">
        <v>4440874</v>
      </c>
      <c r="G579" s="256" t="s">
        <v>1059</v>
      </c>
      <c r="H579" s="256" t="s">
        <v>242</v>
      </c>
      <c r="I579" s="256" t="s">
        <v>333</v>
      </c>
      <c r="J579" s="256" t="s">
        <v>2495</v>
      </c>
      <c r="K579" s="259">
        <v>46133.979166666664</v>
      </c>
      <c r="L579" s="256"/>
      <c r="M579" s="259">
        <v>46135.229166666664</v>
      </c>
      <c r="N579" s="256"/>
      <c r="O579" s="256" t="s">
        <v>2528</v>
      </c>
      <c r="P579" s="259">
        <v>46151.229166666664</v>
      </c>
      <c r="Q579" s="256">
        <v>8</v>
      </c>
      <c r="R579" s="256"/>
      <c r="S579" s="256">
        <v>2</v>
      </c>
      <c r="T579" s="256"/>
      <c r="U579" s="256"/>
      <c r="V579" s="256"/>
      <c r="W579" s="256" t="s">
        <v>2497</v>
      </c>
      <c r="X579" s="259">
        <v>46105.684027777781</v>
      </c>
      <c r="Y579" s="256" t="s">
        <v>2527</v>
      </c>
      <c r="Z579" s="256" t="s">
        <v>2499</v>
      </c>
      <c r="AA579" s="256" t="s">
        <v>2500</v>
      </c>
      <c r="AB579" s="256"/>
      <c r="AC579" s="256"/>
      <c r="AD579" s="256" t="s">
        <v>1425</v>
      </c>
      <c r="AE579" s="256" t="s">
        <v>2501</v>
      </c>
    </row>
    <row r="580" spans="1:31">
      <c r="A580" s="256" t="s">
        <v>2493</v>
      </c>
      <c r="B580" s="256" t="s">
        <v>1471</v>
      </c>
      <c r="C580" s="256" t="s">
        <v>2494</v>
      </c>
      <c r="D580" s="256" t="s">
        <v>1425</v>
      </c>
      <c r="E580" s="256">
        <v>4441711</v>
      </c>
      <c r="F580" s="256">
        <v>4441048</v>
      </c>
      <c r="G580" s="256" t="s">
        <v>2529</v>
      </c>
      <c r="H580" s="256" t="s">
        <v>242</v>
      </c>
      <c r="I580" s="256" t="s">
        <v>333</v>
      </c>
      <c r="J580" s="256" t="s">
        <v>2495</v>
      </c>
      <c r="K580" s="259">
        <v>46134.895833333336</v>
      </c>
      <c r="L580" s="256"/>
      <c r="M580" s="259">
        <v>46139.229166666664</v>
      </c>
      <c r="N580" s="256"/>
      <c r="O580" s="256" t="s">
        <v>2530</v>
      </c>
      <c r="P580" s="259">
        <v>46151.229166666664</v>
      </c>
      <c r="Q580" s="256">
        <v>2</v>
      </c>
      <c r="R580" s="256"/>
      <c r="S580" s="256">
        <v>1</v>
      </c>
      <c r="T580" s="256"/>
      <c r="U580" s="256"/>
      <c r="V580" s="256"/>
      <c r="W580" s="256" t="s">
        <v>2497</v>
      </c>
      <c r="X580" s="259">
        <v>46105.751388888886</v>
      </c>
      <c r="Y580" s="256" t="s">
        <v>2498</v>
      </c>
      <c r="Z580" s="256" t="s">
        <v>2499</v>
      </c>
      <c r="AA580" s="256" t="s">
        <v>2500</v>
      </c>
      <c r="AB580" s="256"/>
      <c r="AC580" s="256"/>
      <c r="AD580" s="256" t="s">
        <v>1425</v>
      </c>
      <c r="AE580" s="256" t="s">
        <v>2501</v>
      </c>
    </row>
    <row r="581" spans="1:31">
      <c r="A581" s="256" t="s">
        <v>2493</v>
      </c>
      <c r="B581" s="256" t="s">
        <v>1471</v>
      </c>
      <c r="C581" s="256" t="s">
        <v>2494</v>
      </c>
      <c r="D581" s="256" t="s">
        <v>1425</v>
      </c>
      <c r="E581" s="256">
        <v>4441711</v>
      </c>
      <c r="F581" s="256">
        <v>4441061</v>
      </c>
      <c r="G581" s="256" t="s">
        <v>1061</v>
      </c>
      <c r="H581" s="256" t="s">
        <v>242</v>
      </c>
      <c r="I581" s="256" t="s">
        <v>333</v>
      </c>
      <c r="J581" s="256" t="s">
        <v>2495</v>
      </c>
      <c r="K581" s="259">
        <v>46134.979166666664</v>
      </c>
      <c r="L581" s="256"/>
      <c r="M581" s="259">
        <v>46139.229166666664</v>
      </c>
      <c r="N581" s="256"/>
      <c r="O581" s="256" t="s">
        <v>2511</v>
      </c>
      <c r="P581" s="259">
        <v>46151.229166666664</v>
      </c>
      <c r="Q581" s="256">
        <v>3</v>
      </c>
      <c r="R581" s="256"/>
      <c r="S581" s="256">
        <v>1</v>
      </c>
      <c r="T581" s="256"/>
      <c r="U581" s="256"/>
      <c r="V581" s="256"/>
      <c r="W581" s="256" t="s">
        <v>2497</v>
      </c>
      <c r="X581" s="259">
        <v>46105.753472222219</v>
      </c>
      <c r="Y581" s="256" t="s">
        <v>2498</v>
      </c>
      <c r="Z581" s="256" t="s">
        <v>2499</v>
      </c>
      <c r="AA581" s="256" t="s">
        <v>2500</v>
      </c>
      <c r="AB581" s="256"/>
      <c r="AC581" s="256"/>
      <c r="AD581" s="256" t="s">
        <v>1425</v>
      </c>
      <c r="AE581" s="256" t="s">
        <v>2501</v>
      </c>
    </row>
    <row r="582" spans="1:31">
      <c r="A582" s="256" t="s">
        <v>2531</v>
      </c>
      <c r="B582" s="256" t="s">
        <v>1471</v>
      </c>
      <c r="C582" s="256" t="s">
        <v>2494</v>
      </c>
      <c r="D582" s="256" t="s">
        <v>1425</v>
      </c>
      <c r="E582" s="256">
        <v>4456095</v>
      </c>
      <c r="F582" s="256">
        <v>4441798</v>
      </c>
      <c r="G582" s="256" t="s">
        <v>1062</v>
      </c>
      <c r="H582" s="256" t="s">
        <v>1760</v>
      </c>
      <c r="I582" s="256" t="s">
        <v>333</v>
      </c>
      <c r="J582" s="256" t="s">
        <v>2495</v>
      </c>
      <c r="K582" s="259">
        <v>46129.020833333336</v>
      </c>
      <c r="L582" s="259">
        <v>46128.703472222223</v>
      </c>
      <c r="M582" s="259">
        <v>46133.229166666664</v>
      </c>
      <c r="N582" s="256"/>
      <c r="O582" s="256" t="s">
        <v>2532</v>
      </c>
      <c r="P582" s="259">
        <v>46151.229166666664</v>
      </c>
      <c r="Q582" s="256">
        <v>3</v>
      </c>
      <c r="R582" s="256"/>
      <c r="S582" s="256">
        <v>1</v>
      </c>
      <c r="T582" s="256"/>
      <c r="U582" s="256" t="s">
        <v>1</v>
      </c>
      <c r="V582" s="256" t="s">
        <v>1</v>
      </c>
      <c r="W582" s="256" t="s">
        <v>2497</v>
      </c>
      <c r="X582" s="259">
        <v>46105.78125</v>
      </c>
      <c r="Y582" s="256" t="s">
        <v>2498</v>
      </c>
      <c r="Z582" s="256" t="s">
        <v>2499</v>
      </c>
      <c r="AA582" s="256" t="s">
        <v>2500</v>
      </c>
      <c r="AB582" s="256"/>
      <c r="AC582" s="256"/>
      <c r="AD582" s="256" t="s">
        <v>1425</v>
      </c>
      <c r="AE582" s="256" t="s">
        <v>2501</v>
      </c>
    </row>
    <row r="583" spans="1:31">
      <c r="A583" s="256" t="s">
        <v>2531</v>
      </c>
      <c r="B583" s="256" t="s">
        <v>1471</v>
      </c>
      <c r="C583" s="256" t="s">
        <v>2494</v>
      </c>
      <c r="D583" s="256" t="s">
        <v>1425</v>
      </c>
      <c r="E583" s="256">
        <v>4456095</v>
      </c>
      <c r="F583" s="256">
        <v>4441806</v>
      </c>
      <c r="G583" s="256" t="s">
        <v>1063</v>
      </c>
      <c r="H583" s="256" t="s">
        <v>1760</v>
      </c>
      <c r="I583" s="256" t="s">
        <v>333</v>
      </c>
      <c r="J583" s="256" t="s">
        <v>2495</v>
      </c>
      <c r="K583" s="259">
        <v>46129.020833333336</v>
      </c>
      <c r="L583" s="259">
        <v>46128.84375</v>
      </c>
      <c r="M583" s="259">
        <v>46133.229166666664</v>
      </c>
      <c r="N583" s="256"/>
      <c r="O583" s="256" t="s">
        <v>2532</v>
      </c>
      <c r="P583" s="259">
        <v>46151.229166666664</v>
      </c>
      <c r="Q583" s="256">
        <v>3</v>
      </c>
      <c r="R583" s="256"/>
      <c r="S583" s="256">
        <v>1</v>
      </c>
      <c r="T583" s="256"/>
      <c r="U583" s="256" t="s">
        <v>1</v>
      </c>
      <c r="V583" s="256" t="s">
        <v>1</v>
      </c>
      <c r="W583" s="256" t="s">
        <v>2497</v>
      </c>
      <c r="X583" s="259">
        <v>46105.788888888892</v>
      </c>
      <c r="Y583" s="256" t="s">
        <v>2498</v>
      </c>
      <c r="Z583" s="256" t="s">
        <v>2499</v>
      </c>
      <c r="AA583" s="256" t="s">
        <v>2500</v>
      </c>
      <c r="AB583" s="256"/>
      <c r="AC583" s="256"/>
      <c r="AD583" s="256" t="s">
        <v>1425</v>
      </c>
      <c r="AE583" s="256" t="s">
        <v>2501</v>
      </c>
    </row>
    <row r="584" spans="1:31">
      <c r="A584" s="256" t="s">
        <v>2531</v>
      </c>
      <c r="B584" s="256" t="s">
        <v>1471</v>
      </c>
      <c r="C584" s="256" t="s">
        <v>2494</v>
      </c>
      <c r="D584" s="256" t="s">
        <v>1425</v>
      </c>
      <c r="E584" s="256">
        <v>4456095</v>
      </c>
      <c r="F584" s="256">
        <v>4441813</v>
      </c>
      <c r="G584" s="256" t="s">
        <v>1064</v>
      </c>
      <c r="H584" s="256" t="s">
        <v>1760</v>
      </c>
      <c r="I584" s="256" t="s">
        <v>333</v>
      </c>
      <c r="J584" s="256" t="s">
        <v>2495</v>
      </c>
      <c r="K584" s="259">
        <v>46129.020833333336</v>
      </c>
      <c r="L584" s="259">
        <v>46128.844444444447</v>
      </c>
      <c r="M584" s="259">
        <v>46133.229166666664</v>
      </c>
      <c r="N584" s="256"/>
      <c r="O584" s="256" t="s">
        <v>2532</v>
      </c>
      <c r="P584" s="259">
        <v>46151.229166666664</v>
      </c>
      <c r="Q584" s="256">
        <v>3</v>
      </c>
      <c r="R584" s="256"/>
      <c r="S584" s="256">
        <v>1</v>
      </c>
      <c r="T584" s="256"/>
      <c r="U584" s="256" t="s">
        <v>1</v>
      </c>
      <c r="V584" s="256" t="s">
        <v>1</v>
      </c>
      <c r="W584" s="256" t="s">
        <v>2497</v>
      </c>
      <c r="X584" s="259">
        <v>46105.793749999997</v>
      </c>
      <c r="Y584" s="256" t="s">
        <v>2498</v>
      </c>
      <c r="Z584" s="256" t="s">
        <v>2499</v>
      </c>
      <c r="AA584" s="256" t="s">
        <v>2500</v>
      </c>
      <c r="AB584" s="256"/>
      <c r="AC584" s="256"/>
      <c r="AD584" s="256" t="s">
        <v>1425</v>
      </c>
      <c r="AE584" s="256" t="s">
        <v>2501</v>
      </c>
    </row>
    <row r="585" spans="1:31">
      <c r="A585" s="256" t="s">
        <v>2531</v>
      </c>
      <c r="B585" s="256" t="s">
        <v>1471</v>
      </c>
      <c r="C585" s="256" t="s">
        <v>2494</v>
      </c>
      <c r="D585" s="256" t="s">
        <v>1425</v>
      </c>
      <c r="E585" s="256">
        <v>4456095</v>
      </c>
      <c r="F585" s="256">
        <v>4441820</v>
      </c>
      <c r="G585" s="256" t="s">
        <v>1065</v>
      </c>
      <c r="H585" s="256" t="s">
        <v>1760</v>
      </c>
      <c r="I585" s="256" t="s">
        <v>333</v>
      </c>
      <c r="J585" s="256" t="s">
        <v>2495</v>
      </c>
      <c r="K585" s="259">
        <v>46129.020833333336</v>
      </c>
      <c r="L585" s="259">
        <v>46128.838194444441</v>
      </c>
      <c r="M585" s="259">
        <v>46133.229166666664</v>
      </c>
      <c r="N585" s="256"/>
      <c r="O585" s="256" t="s">
        <v>2532</v>
      </c>
      <c r="P585" s="259">
        <v>46151.229166666664</v>
      </c>
      <c r="Q585" s="256">
        <v>3</v>
      </c>
      <c r="R585" s="256"/>
      <c r="S585" s="256">
        <v>1</v>
      </c>
      <c r="T585" s="256"/>
      <c r="U585" s="256" t="s">
        <v>1</v>
      </c>
      <c r="V585" s="256" t="s">
        <v>1</v>
      </c>
      <c r="W585" s="256" t="s">
        <v>2497</v>
      </c>
      <c r="X585" s="259">
        <v>46105.797222222223</v>
      </c>
      <c r="Y585" s="256" t="s">
        <v>2498</v>
      </c>
      <c r="Z585" s="256" t="s">
        <v>2499</v>
      </c>
      <c r="AA585" s="256" t="s">
        <v>2500</v>
      </c>
      <c r="AB585" s="256"/>
      <c r="AC585" s="256"/>
      <c r="AD585" s="256" t="s">
        <v>1425</v>
      </c>
      <c r="AE585" s="256" t="s">
        <v>2501</v>
      </c>
    </row>
    <row r="586" spans="1:31">
      <c r="A586" s="256" t="s">
        <v>2531</v>
      </c>
      <c r="B586" s="256" t="s">
        <v>1471</v>
      </c>
      <c r="C586" s="256" t="s">
        <v>2494</v>
      </c>
      <c r="D586" s="256" t="s">
        <v>1425</v>
      </c>
      <c r="E586" s="256">
        <v>4456095</v>
      </c>
      <c r="F586" s="256">
        <v>4441824</v>
      </c>
      <c r="G586" s="256" t="s">
        <v>1066</v>
      </c>
      <c r="H586" s="256" t="s">
        <v>1760</v>
      </c>
      <c r="I586" s="256" t="s">
        <v>333</v>
      </c>
      <c r="J586" s="256" t="s">
        <v>2495</v>
      </c>
      <c r="K586" s="259">
        <v>46129.020833333336</v>
      </c>
      <c r="L586" s="259">
        <v>46128.841666666667</v>
      </c>
      <c r="M586" s="259">
        <v>46133.229166666664</v>
      </c>
      <c r="N586" s="256"/>
      <c r="O586" s="256" t="s">
        <v>2520</v>
      </c>
      <c r="P586" s="259">
        <v>46151.229166666664</v>
      </c>
      <c r="Q586" s="256">
        <v>2</v>
      </c>
      <c r="R586" s="256"/>
      <c r="S586" s="256">
        <v>1</v>
      </c>
      <c r="T586" s="256"/>
      <c r="U586" s="256" t="s">
        <v>1</v>
      </c>
      <c r="V586" s="256" t="s">
        <v>1</v>
      </c>
      <c r="W586" s="256" t="s">
        <v>2497</v>
      </c>
      <c r="X586" s="259">
        <v>46105.800694444442</v>
      </c>
      <c r="Y586" s="256" t="s">
        <v>2498</v>
      </c>
      <c r="Z586" s="256" t="s">
        <v>2499</v>
      </c>
      <c r="AA586" s="256" t="s">
        <v>2500</v>
      </c>
      <c r="AB586" s="256"/>
      <c r="AC586" s="256"/>
      <c r="AD586" s="256" t="s">
        <v>1425</v>
      </c>
      <c r="AE586" s="256" t="s">
        <v>2501</v>
      </c>
    </row>
    <row r="587" spans="1:31">
      <c r="A587" s="256" t="s">
        <v>2531</v>
      </c>
      <c r="B587" s="256" t="s">
        <v>1471</v>
      </c>
      <c r="C587" s="256" t="s">
        <v>2494</v>
      </c>
      <c r="D587" s="256" t="s">
        <v>1425</v>
      </c>
      <c r="E587" s="256">
        <v>4456095</v>
      </c>
      <c r="F587" s="256">
        <v>4441844</v>
      </c>
      <c r="G587" s="256" t="s">
        <v>1067</v>
      </c>
      <c r="H587" s="256" t="s">
        <v>1760</v>
      </c>
      <c r="I587" s="256" t="s">
        <v>333</v>
      </c>
      <c r="J587" s="256" t="s">
        <v>2495</v>
      </c>
      <c r="K587" s="259">
        <v>46129.020833333336</v>
      </c>
      <c r="L587" s="259">
        <v>46128.842361111114</v>
      </c>
      <c r="M587" s="259">
        <v>46133.229166666664</v>
      </c>
      <c r="N587" s="256"/>
      <c r="O587" s="256" t="s">
        <v>2520</v>
      </c>
      <c r="P587" s="259">
        <v>46151.229166666664</v>
      </c>
      <c r="Q587" s="256">
        <v>2</v>
      </c>
      <c r="R587" s="256"/>
      <c r="S587" s="256">
        <v>1</v>
      </c>
      <c r="T587" s="256"/>
      <c r="U587" s="256" t="s">
        <v>1</v>
      </c>
      <c r="V587" s="256" t="s">
        <v>1</v>
      </c>
      <c r="W587" s="256" t="s">
        <v>2497</v>
      </c>
      <c r="X587" s="259">
        <v>46105.804861111108</v>
      </c>
      <c r="Y587" s="256" t="s">
        <v>2498</v>
      </c>
      <c r="Z587" s="256" t="s">
        <v>2499</v>
      </c>
      <c r="AA587" s="256" t="s">
        <v>2500</v>
      </c>
      <c r="AB587" s="256"/>
      <c r="AC587" s="256"/>
      <c r="AD587" s="256" t="s">
        <v>1425</v>
      </c>
      <c r="AE587" s="256" t="s">
        <v>2501</v>
      </c>
    </row>
    <row r="588" spans="1:31">
      <c r="A588" s="256" t="s">
        <v>2533</v>
      </c>
      <c r="B588" s="256" t="s">
        <v>1471</v>
      </c>
      <c r="C588" s="256" t="s">
        <v>2494</v>
      </c>
      <c r="D588" s="256" t="s">
        <v>1425</v>
      </c>
      <c r="E588" s="256">
        <v>4454772</v>
      </c>
      <c r="F588" s="256">
        <v>4438561</v>
      </c>
      <c r="G588" s="256" t="s">
        <v>1041</v>
      </c>
      <c r="H588" s="256" t="s">
        <v>1760</v>
      </c>
      <c r="I588" s="256" t="s">
        <v>333</v>
      </c>
      <c r="J588" s="256" t="s">
        <v>2495</v>
      </c>
      <c r="K588" s="259">
        <v>46129.979166666664</v>
      </c>
      <c r="L588" s="259">
        <v>46128.750694444447</v>
      </c>
      <c r="M588" s="259">
        <v>46135.020833333336</v>
      </c>
      <c r="N588" s="256"/>
      <c r="O588" s="256" t="s">
        <v>2534</v>
      </c>
      <c r="P588" s="259">
        <v>46151.229166666664</v>
      </c>
      <c r="Q588" s="256">
        <v>2</v>
      </c>
      <c r="R588" s="256"/>
      <c r="S588" s="256">
        <v>1</v>
      </c>
      <c r="T588" s="256"/>
      <c r="U588" s="256" t="s">
        <v>1</v>
      </c>
      <c r="V588" s="256" t="s">
        <v>1</v>
      </c>
      <c r="W588" s="256" t="s">
        <v>2497</v>
      </c>
      <c r="X588" s="259">
        <v>46103.881944444445</v>
      </c>
      <c r="Y588" s="256" t="s">
        <v>2498</v>
      </c>
      <c r="Z588" s="256" t="s">
        <v>2499</v>
      </c>
      <c r="AA588" s="256" t="s">
        <v>2500</v>
      </c>
      <c r="AB588" s="256"/>
      <c r="AC588" s="256"/>
      <c r="AD588" s="256" t="s">
        <v>1425</v>
      </c>
      <c r="AE588" s="256" t="s">
        <v>2501</v>
      </c>
    </row>
    <row r="589" spans="1:31">
      <c r="A589" s="256" t="s">
        <v>2531</v>
      </c>
      <c r="B589" s="256" t="s">
        <v>1471</v>
      </c>
      <c r="C589" s="256" t="s">
        <v>2494</v>
      </c>
      <c r="D589" s="256" t="s">
        <v>1425</v>
      </c>
      <c r="E589" s="256">
        <v>4456095</v>
      </c>
      <c r="F589" s="256">
        <v>4438582</v>
      </c>
      <c r="G589" s="256" t="s">
        <v>1042</v>
      </c>
      <c r="H589" s="256" t="s">
        <v>1760</v>
      </c>
      <c r="I589" s="256" t="s">
        <v>333</v>
      </c>
      <c r="J589" s="256" t="s">
        <v>2495</v>
      </c>
      <c r="K589" s="259">
        <v>46129.020833333336</v>
      </c>
      <c r="L589" s="259">
        <v>46128.832638888889</v>
      </c>
      <c r="M589" s="259">
        <v>46134.020833333336</v>
      </c>
      <c r="N589" s="256"/>
      <c r="O589" s="256" t="s">
        <v>2534</v>
      </c>
      <c r="P589" s="259">
        <v>46151.229166666664</v>
      </c>
      <c r="Q589" s="256">
        <v>3</v>
      </c>
      <c r="R589" s="256"/>
      <c r="S589" s="256">
        <v>2</v>
      </c>
      <c r="T589" s="256"/>
      <c r="U589" s="256" t="s">
        <v>1</v>
      </c>
      <c r="V589" s="256" t="s">
        <v>1</v>
      </c>
      <c r="W589" s="256" t="s">
        <v>2497</v>
      </c>
      <c r="X589" s="259">
        <v>46103.988194444442</v>
      </c>
      <c r="Y589" s="256" t="s">
        <v>2535</v>
      </c>
      <c r="Z589" s="256" t="s">
        <v>2499</v>
      </c>
      <c r="AA589" s="256" t="s">
        <v>2500</v>
      </c>
      <c r="AB589" s="256"/>
      <c r="AC589" s="256"/>
      <c r="AD589" s="256" t="s">
        <v>1425</v>
      </c>
      <c r="AE589" s="256" t="s">
        <v>2501</v>
      </c>
    </row>
    <row r="590" spans="1:31">
      <c r="A590" s="256" t="s">
        <v>357</v>
      </c>
      <c r="B590" s="256" t="s">
        <v>1511</v>
      </c>
      <c r="C590" s="256" t="s">
        <v>280</v>
      </c>
      <c r="D590" s="256" t="s">
        <v>1425</v>
      </c>
      <c r="E590" s="256">
        <v>4428652</v>
      </c>
      <c r="F590" s="256">
        <v>4438513</v>
      </c>
      <c r="G590" s="256" t="s">
        <v>1011</v>
      </c>
      <c r="H590" s="256" t="s">
        <v>305</v>
      </c>
      <c r="I590" s="256" t="s">
        <v>333</v>
      </c>
      <c r="J590" s="256" t="s">
        <v>2495</v>
      </c>
      <c r="K590" s="259">
        <v>46134.979166666664</v>
      </c>
      <c r="L590" s="259">
        <v>46128.768055555556</v>
      </c>
      <c r="M590" s="259">
        <v>46140.020833333336</v>
      </c>
      <c r="N590" s="256"/>
      <c r="O590" s="256" t="s">
        <v>2520</v>
      </c>
      <c r="P590" s="259">
        <v>46151.229166666664</v>
      </c>
      <c r="Q590" s="256">
        <v>4</v>
      </c>
      <c r="R590" s="256"/>
      <c r="S590" s="256">
        <v>2</v>
      </c>
      <c r="T590" s="256"/>
      <c r="U590" s="256" t="s">
        <v>1</v>
      </c>
      <c r="V590" s="256" t="s">
        <v>1</v>
      </c>
      <c r="W590" s="256" t="s">
        <v>1515</v>
      </c>
      <c r="X590" s="259">
        <v>46102.535416666666</v>
      </c>
      <c r="Y590" s="256"/>
      <c r="Z590" s="256" t="s">
        <v>2499</v>
      </c>
      <c r="AA590" s="256" t="s">
        <v>1517</v>
      </c>
      <c r="AB590" s="256"/>
      <c r="AC590" s="256"/>
      <c r="AD590" s="256" t="s">
        <v>2536</v>
      </c>
      <c r="AE590" s="256" t="s">
        <v>2501</v>
      </c>
    </row>
    <row r="591" spans="1:31">
      <c r="A591" s="256" t="s">
        <v>2533</v>
      </c>
      <c r="B591" s="256" t="s">
        <v>1471</v>
      </c>
      <c r="C591" s="256" t="s">
        <v>2494</v>
      </c>
      <c r="D591" s="256" t="s">
        <v>1425</v>
      </c>
      <c r="E591" s="256">
        <v>4454772</v>
      </c>
      <c r="F591" s="256">
        <v>4438523</v>
      </c>
      <c r="G591" s="256" t="s">
        <v>1029</v>
      </c>
      <c r="H591" s="256" t="s">
        <v>305</v>
      </c>
      <c r="I591" s="256" t="s">
        <v>333</v>
      </c>
      <c r="J591" s="256" t="s">
        <v>2495</v>
      </c>
      <c r="K591" s="259">
        <v>46129.979166666664</v>
      </c>
      <c r="L591" s="259">
        <v>46128.748611111114</v>
      </c>
      <c r="M591" s="259">
        <v>46133.229166666664</v>
      </c>
      <c r="N591" s="256"/>
      <c r="O591" s="256" t="s">
        <v>2522</v>
      </c>
      <c r="P591" s="259">
        <v>46151.229166666664</v>
      </c>
      <c r="Q591" s="256">
        <v>4</v>
      </c>
      <c r="R591" s="256"/>
      <c r="S591" s="256">
        <v>1</v>
      </c>
      <c r="T591" s="256"/>
      <c r="U591" s="256" t="s">
        <v>1</v>
      </c>
      <c r="V591" s="256" t="s">
        <v>1</v>
      </c>
      <c r="W591" s="256" t="s">
        <v>2497</v>
      </c>
      <c r="X591" s="259">
        <v>46102.772916666669</v>
      </c>
      <c r="Y591" s="256" t="s">
        <v>2498</v>
      </c>
      <c r="Z591" s="256" t="s">
        <v>2499</v>
      </c>
      <c r="AA591" s="256" t="s">
        <v>2500</v>
      </c>
      <c r="AB591" s="256"/>
      <c r="AC591" s="256"/>
      <c r="AD591" s="256" t="s">
        <v>1425</v>
      </c>
      <c r="AE591" s="256" t="s">
        <v>2501</v>
      </c>
    </row>
    <row r="592" spans="1:31">
      <c r="A592" s="256" t="s">
        <v>2533</v>
      </c>
      <c r="B592" s="256" t="s">
        <v>1471</v>
      </c>
      <c r="C592" s="256" t="s">
        <v>2494</v>
      </c>
      <c r="D592" s="256" t="s">
        <v>1425</v>
      </c>
      <c r="E592" s="256">
        <v>4454772</v>
      </c>
      <c r="F592" s="256">
        <v>4438524</v>
      </c>
      <c r="G592" s="256" t="s">
        <v>1030</v>
      </c>
      <c r="H592" s="256" t="s">
        <v>1760</v>
      </c>
      <c r="I592" s="256" t="s">
        <v>333</v>
      </c>
      <c r="J592" s="256" t="s">
        <v>2495</v>
      </c>
      <c r="K592" s="259">
        <v>46129.979166666664</v>
      </c>
      <c r="L592" s="259">
        <v>46128.748611111114</v>
      </c>
      <c r="M592" s="259">
        <v>46133.229166666664</v>
      </c>
      <c r="N592" s="256"/>
      <c r="O592" s="256" t="s">
        <v>2532</v>
      </c>
      <c r="P592" s="259">
        <v>46151.229166666664</v>
      </c>
      <c r="Q592" s="256">
        <v>4</v>
      </c>
      <c r="R592" s="256"/>
      <c r="S592" s="256">
        <v>1</v>
      </c>
      <c r="T592" s="256"/>
      <c r="U592" s="256" t="s">
        <v>1</v>
      </c>
      <c r="V592" s="256" t="s">
        <v>1</v>
      </c>
      <c r="W592" s="256" t="s">
        <v>2497</v>
      </c>
      <c r="X592" s="259">
        <v>46102.776388888888</v>
      </c>
      <c r="Y592" s="256" t="s">
        <v>2498</v>
      </c>
      <c r="Z592" s="256" t="s">
        <v>2499</v>
      </c>
      <c r="AA592" s="256" t="s">
        <v>2500</v>
      </c>
      <c r="AB592" s="256"/>
      <c r="AC592" s="256"/>
      <c r="AD592" s="256" t="s">
        <v>1425</v>
      </c>
      <c r="AE592" s="256" t="s">
        <v>2501</v>
      </c>
    </row>
    <row r="593" spans="1:31">
      <c r="A593" s="256" t="s">
        <v>2533</v>
      </c>
      <c r="B593" s="256" t="s">
        <v>1471</v>
      </c>
      <c r="C593" s="256" t="s">
        <v>2494</v>
      </c>
      <c r="D593" s="256" t="s">
        <v>1425</v>
      </c>
      <c r="E593" s="256">
        <v>4454772</v>
      </c>
      <c r="F593" s="256">
        <v>4438544</v>
      </c>
      <c r="G593" s="256" t="s">
        <v>1035</v>
      </c>
      <c r="H593" s="256" t="s">
        <v>1760</v>
      </c>
      <c r="I593" s="256" t="s">
        <v>333</v>
      </c>
      <c r="J593" s="256" t="s">
        <v>2495</v>
      </c>
      <c r="K593" s="259">
        <v>46129.979166666664</v>
      </c>
      <c r="L593" s="259">
        <v>46128.748611111114</v>
      </c>
      <c r="M593" s="259">
        <v>46133.229166666664</v>
      </c>
      <c r="N593" s="256"/>
      <c r="O593" s="256" t="s">
        <v>2520</v>
      </c>
      <c r="P593" s="259">
        <v>46151.229166666664</v>
      </c>
      <c r="Q593" s="256">
        <v>3</v>
      </c>
      <c r="R593" s="256"/>
      <c r="S593" s="256">
        <v>1</v>
      </c>
      <c r="T593" s="256"/>
      <c r="U593" s="256" t="s">
        <v>1</v>
      </c>
      <c r="V593" s="256" t="s">
        <v>1</v>
      </c>
      <c r="W593" s="256" t="s">
        <v>2497</v>
      </c>
      <c r="X593" s="259">
        <v>46102.866666666669</v>
      </c>
      <c r="Y593" s="256" t="s">
        <v>2498</v>
      </c>
      <c r="Z593" s="256" t="s">
        <v>2499</v>
      </c>
      <c r="AA593" s="256" t="s">
        <v>2500</v>
      </c>
      <c r="AB593" s="256"/>
      <c r="AC593" s="256"/>
      <c r="AD593" s="256" t="s">
        <v>1425</v>
      </c>
      <c r="AE593" s="256" t="s">
        <v>2501</v>
      </c>
    </row>
    <row r="594" spans="1:31">
      <c r="A594" s="256" t="s">
        <v>2533</v>
      </c>
      <c r="B594" s="256" t="s">
        <v>1471</v>
      </c>
      <c r="C594" s="256" t="s">
        <v>2494</v>
      </c>
      <c r="D594" s="256" t="s">
        <v>1425</v>
      </c>
      <c r="E594" s="256">
        <v>4454772</v>
      </c>
      <c r="F594" s="256">
        <v>4438545</v>
      </c>
      <c r="G594" s="256" t="s">
        <v>1037</v>
      </c>
      <c r="H594" s="256" t="s">
        <v>1760</v>
      </c>
      <c r="I594" s="256" t="s">
        <v>333</v>
      </c>
      <c r="J594" s="256" t="s">
        <v>2495</v>
      </c>
      <c r="K594" s="259">
        <v>46134.979166666664</v>
      </c>
      <c r="L594" s="259">
        <v>46128.755555555559</v>
      </c>
      <c r="M594" s="259">
        <v>46134.229166666664</v>
      </c>
      <c r="N594" s="256"/>
      <c r="O594" s="256" t="s">
        <v>2520</v>
      </c>
      <c r="P594" s="259">
        <v>46151.229166666664</v>
      </c>
      <c r="Q594" s="256">
        <v>3</v>
      </c>
      <c r="R594" s="256"/>
      <c r="S594" s="256">
        <v>1</v>
      </c>
      <c r="T594" s="256"/>
      <c r="U594" s="256" t="s">
        <v>1</v>
      </c>
      <c r="V594" s="256" t="s">
        <v>1</v>
      </c>
      <c r="W594" s="256" t="s">
        <v>2497</v>
      </c>
      <c r="X594" s="259">
        <v>46102.915277777778</v>
      </c>
      <c r="Y594" s="256" t="s">
        <v>2498</v>
      </c>
      <c r="Z594" s="256" t="s">
        <v>2499</v>
      </c>
      <c r="AA594" s="256" t="s">
        <v>2500</v>
      </c>
      <c r="AB594" s="256"/>
      <c r="AC594" s="256"/>
      <c r="AD594" s="256" t="s">
        <v>1425</v>
      </c>
      <c r="AE594" s="256" t="s">
        <v>2501</v>
      </c>
    </row>
    <row r="595" spans="1:31">
      <c r="A595" s="256" t="s">
        <v>2533</v>
      </c>
      <c r="B595" s="256" t="s">
        <v>1471</v>
      </c>
      <c r="C595" s="256" t="s">
        <v>2494</v>
      </c>
      <c r="D595" s="256" t="s">
        <v>1425</v>
      </c>
      <c r="E595" s="256">
        <v>4454772</v>
      </c>
      <c r="F595" s="256">
        <v>4438546</v>
      </c>
      <c r="G595" s="256" t="s">
        <v>1038</v>
      </c>
      <c r="H595" s="256" t="s">
        <v>1760</v>
      </c>
      <c r="I595" s="256" t="s">
        <v>333</v>
      </c>
      <c r="J595" s="256" t="s">
        <v>2495</v>
      </c>
      <c r="K595" s="259">
        <v>46129.979166666664</v>
      </c>
      <c r="L595" s="259">
        <v>46128.749305555553</v>
      </c>
      <c r="M595" s="259">
        <v>46133.229166666664</v>
      </c>
      <c r="N595" s="256"/>
      <c r="O595" s="256" t="s">
        <v>2532</v>
      </c>
      <c r="P595" s="259">
        <v>46151.229166666664</v>
      </c>
      <c r="Q595" s="256">
        <v>3</v>
      </c>
      <c r="R595" s="256"/>
      <c r="S595" s="256">
        <v>1</v>
      </c>
      <c r="T595" s="256"/>
      <c r="U595" s="256" t="s">
        <v>1</v>
      </c>
      <c r="V595" s="256" t="s">
        <v>1</v>
      </c>
      <c r="W595" s="256" t="s">
        <v>2497</v>
      </c>
      <c r="X595" s="259">
        <v>46102.915972222225</v>
      </c>
      <c r="Y595" s="256" t="s">
        <v>2498</v>
      </c>
      <c r="Z595" s="256" t="s">
        <v>2499</v>
      </c>
      <c r="AA595" s="256" t="s">
        <v>2500</v>
      </c>
      <c r="AB595" s="256"/>
      <c r="AC595" s="256"/>
      <c r="AD595" s="256" t="s">
        <v>1425</v>
      </c>
      <c r="AE595" s="256" t="s">
        <v>2501</v>
      </c>
    </row>
    <row r="596" spans="1:31">
      <c r="A596" s="256" t="s">
        <v>2533</v>
      </c>
      <c r="B596" s="256" t="s">
        <v>1471</v>
      </c>
      <c r="C596" s="256" t="s">
        <v>2494</v>
      </c>
      <c r="D596" s="256" t="s">
        <v>1425</v>
      </c>
      <c r="E596" s="256">
        <v>4454772</v>
      </c>
      <c r="F596" s="256">
        <v>4438547</v>
      </c>
      <c r="G596" s="256" t="s">
        <v>1039</v>
      </c>
      <c r="H596" s="256" t="s">
        <v>1760</v>
      </c>
      <c r="I596" s="256" t="s">
        <v>333</v>
      </c>
      <c r="J596" s="256" t="s">
        <v>2495</v>
      </c>
      <c r="K596" s="259">
        <v>46129.979166666664</v>
      </c>
      <c r="L596" s="259">
        <v>46128.75</v>
      </c>
      <c r="M596" s="259">
        <v>46133.229166666664</v>
      </c>
      <c r="N596" s="256"/>
      <c r="O596" s="256" t="s">
        <v>2502</v>
      </c>
      <c r="P596" s="259">
        <v>46151.229166666664</v>
      </c>
      <c r="Q596" s="256">
        <v>2</v>
      </c>
      <c r="R596" s="256"/>
      <c r="S596" s="256">
        <v>1</v>
      </c>
      <c r="T596" s="256"/>
      <c r="U596" s="256" t="s">
        <v>1</v>
      </c>
      <c r="V596" s="256" t="s">
        <v>1</v>
      </c>
      <c r="W596" s="256" t="s">
        <v>2497</v>
      </c>
      <c r="X596" s="259">
        <v>46102.922222222223</v>
      </c>
      <c r="Y596" s="256" t="s">
        <v>2498</v>
      </c>
      <c r="Z596" s="256" t="s">
        <v>2499</v>
      </c>
      <c r="AA596" s="256" t="s">
        <v>2500</v>
      </c>
      <c r="AB596" s="256"/>
      <c r="AC596" s="256"/>
      <c r="AD596" s="256" t="s">
        <v>1425</v>
      </c>
      <c r="AE596" s="256" t="s">
        <v>2501</v>
      </c>
    </row>
    <row r="597" spans="1:31">
      <c r="A597" s="256" t="s">
        <v>2533</v>
      </c>
      <c r="B597" s="256" t="s">
        <v>1471</v>
      </c>
      <c r="C597" s="256" t="s">
        <v>2494</v>
      </c>
      <c r="D597" s="256" t="s">
        <v>1425</v>
      </c>
      <c r="E597" s="256">
        <v>4454772</v>
      </c>
      <c r="F597" s="256">
        <v>4438548</v>
      </c>
      <c r="G597" s="256" t="s">
        <v>1040</v>
      </c>
      <c r="H597" s="256" t="s">
        <v>1760</v>
      </c>
      <c r="I597" s="256" t="s">
        <v>333</v>
      </c>
      <c r="J597" s="256" t="s">
        <v>2495</v>
      </c>
      <c r="K597" s="259">
        <v>46129.979166666664</v>
      </c>
      <c r="L597" s="259">
        <v>46128.75</v>
      </c>
      <c r="M597" s="259">
        <v>46133.229166666664</v>
      </c>
      <c r="N597" s="256"/>
      <c r="O597" s="256" t="s">
        <v>2534</v>
      </c>
      <c r="P597" s="259">
        <v>46151.229166666664</v>
      </c>
      <c r="Q597" s="256">
        <v>2</v>
      </c>
      <c r="R597" s="256"/>
      <c r="S597" s="256">
        <v>1</v>
      </c>
      <c r="T597" s="256"/>
      <c r="U597" s="256" t="s">
        <v>1</v>
      </c>
      <c r="V597" s="256" t="s">
        <v>1</v>
      </c>
      <c r="W597" s="256" t="s">
        <v>2497</v>
      </c>
      <c r="X597" s="259">
        <v>46102.924305555556</v>
      </c>
      <c r="Y597" s="256" t="s">
        <v>2498</v>
      </c>
      <c r="Z597" s="256" t="s">
        <v>2499</v>
      </c>
      <c r="AA597" s="256" t="s">
        <v>2500</v>
      </c>
      <c r="AB597" s="256"/>
      <c r="AC597" s="256"/>
      <c r="AD597" s="256" t="s">
        <v>1425</v>
      </c>
      <c r="AE597" s="256" t="s">
        <v>2501</v>
      </c>
    </row>
    <row r="598" spans="1:31">
      <c r="A598" s="256" t="s">
        <v>2537</v>
      </c>
      <c r="B598" s="256" t="s">
        <v>1471</v>
      </c>
      <c r="C598" s="256" t="s">
        <v>2494</v>
      </c>
      <c r="D598" s="256" t="s">
        <v>1425</v>
      </c>
      <c r="E598" s="256">
        <v>4455343</v>
      </c>
      <c r="F598" s="256">
        <v>4367337</v>
      </c>
      <c r="G598" s="256" t="s">
        <v>1018</v>
      </c>
      <c r="H598" s="256" t="s">
        <v>242</v>
      </c>
      <c r="I598" s="256" t="s">
        <v>333</v>
      </c>
      <c r="J598" s="256" t="s">
        <v>2495</v>
      </c>
      <c r="K598" s="259">
        <v>46132.979166666664</v>
      </c>
      <c r="L598" s="256"/>
      <c r="M598" s="259">
        <v>46136.979166666664</v>
      </c>
      <c r="N598" s="256"/>
      <c r="O598" s="256" t="s">
        <v>2538</v>
      </c>
      <c r="P598" s="259">
        <v>46151.229166666664</v>
      </c>
      <c r="Q598" s="256">
        <v>7</v>
      </c>
      <c r="R598" s="256"/>
      <c r="S598" s="256">
        <v>1</v>
      </c>
      <c r="T598" s="256"/>
      <c r="U598" s="256"/>
      <c r="V598" s="256"/>
      <c r="W598" s="256" t="s">
        <v>2497</v>
      </c>
      <c r="X598" s="259">
        <v>46066.550694444442</v>
      </c>
      <c r="Y598" s="256" t="s">
        <v>2535</v>
      </c>
      <c r="Z598" s="256" t="s">
        <v>2499</v>
      </c>
      <c r="AA598" s="256" t="s">
        <v>2500</v>
      </c>
      <c r="AB598" s="256"/>
      <c r="AC598" s="256"/>
      <c r="AD598" s="256" t="s">
        <v>1425</v>
      </c>
      <c r="AE598" s="256" t="s">
        <v>2501</v>
      </c>
    </row>
    <row r="599" spans="1:31">
      <c r="A599" s="256" t="s">
        <v>2512</v>
      </c>
      <c r="B599" s="256" t="s">
        <v>1471</v>
      </c>
      <c r="C599" s="256" t="s">
        <v>2494</v>
      </c>
      <c r="D599" s="256" t="s">
        <v>2513</v>
      </c>
      <c r="E599" s="256">
        <v>4373965</v>
      </c>
      <c r="F599" s="256">
        <v>4286470</v>
      </c>
      <c r="G599" s="256" t="s">
        <v>1016</v>
      </c>
      <c r="H599" s="256" t="s">
        <v>242</v>
      </c>
      <c r="I599" s="256" t="s">
        <v>333</v>
      </c>
      <c r="J599" s="256" t="s">
        <v>2495</v>
      </c>
      <c r="K599" s="259">
        <v>46134.979166666664</v>
      </c>
      <c r="L599" s="256"/>
      <c r="M599" s="259">
        <v>46134.229166666664</v>
      </c>
      <c r="N599" s="256"/>
      <c r="O599" s="256" t="s">
        <v>2514</v>
      </c>
      <c r="P599" s="259">
        <v>46151.229166666664</v>
      </c>
      <c r="Q599" s="256">
        <v>4</v>
      </c>
      <c r="R599" s="256"/>
      <c r="S599" s="256">
        <v>2</v>
      </c>
      <c r="T599" s="256"/>
      <c r="U599" s="256"/>
      <c r="V599" s="256"/>
      <c r="W599" s="256" t="s">
        <v>2497</v>
      </c>
      <c r="X599" s="259">
        <v>46013.529166666667</v>
      </c>
      <c r="Y599" s="256" t="s">
        <v>2515</v>
      </c>
      <c r="Z599" s="256" t="s">
        <v>2499</v>
      </c>
      <c r="AA599" s="256" t="s">
        <v>2500</v>
      </c>
      <c r="AB599" s="256"/>
      <c r="AC599" s="256"/>
      <c r="AD599" s="256" t="s">
        <v>1425</v>
      </c>
      <c r="AE599" s="256" t="s">
        <v>2501</v>
      </c>
    </row>
    <row r="600" spans="1:31">
      <c r="A600" s="256" t="s">
        <v>2539</v>
      </c>
      <c r="B600" s="256" t="s">
        <v>1471</v>
      </c>
      <c r="C600" s="256" t="s">
        <v>2494</v>
      </c>
      <c r="D600" s="256" t="s">
        <v>2536</v>
      </c>
      <c r="E600" s="256">
        <v>4454588</v>
      </c>
      <c r="F600" s="256">
        <v>4312353</v>
      </c>
      <c r="G600" s="256" t="s">
        <v>1014</v>
      </c>
      <c r="H600" s="256" t="s">
        <v>242</v>
      </c>
      <c r="I600" s="256" t="s">
        <v>333</v>
      </c>
      <c r="J600" s="256" t="s">
        <v>2495</v>
      </c>
      <c r="K600" s="259">
        <v>46132.979166666664</v>
      </c>
      <c r="L600" s="256"/>
      <c r="M600" s="259">
        <v>46135.229166666664</v>
      </c>
      <c r="N600" s="256"/>
      <c r="O600" s="256" t="s">
        <v>2526</v>
      </c>
      <c r="P600" s="259">
        <v>46151.229166666664</v>
      </c>
      <c r="Q600" s="256">
        <v>3</v>
      </c>
      <c r="R600" s="256"/>
      <c r="S600" s="256">
        <v>2</v>
      </c>
      <c r="T600" s="256"/>
      <c r="U600" s="256"/>
      <c r="V600" s="256"/>
      <c r="W600" s="256" t="s">
        <v>2497</v>
      </c>
      <c r="X600" s="259">
        <v>46027.726388888892</v>
      </c>
      <c r="Y600" s="256" t="s">
        <v>2540</v>
      </c>
      <c r="Z600" s="256" t="s">
        <v>2499</v>
      </c>
      <c r="AA600" s="256" t="s">
        <v>2500</v>
      </c>
      <c r="AB600" s="256"/>
      <c r="AC600" s="256"/>
      <c r="AD600" s="256" t="s">
        <v>2536</v>
      </c>
      <c r="AE600" s="256" t="s">
        <v>2501</v>
      </c>
    </row>
    <row r="601" spans="1:31">
      <c r="A601" s="256" t="s">
        <v>2539</v>
      </c>
      <c r="B601" s="256" t="s">
        <v>1471</v>
      </c>
      <c r="C601" s="256" t="s">
        <v>2494</v>
      </c>
      <c r="D601" s="256" t="s">
        <v>2536</v>
      </c>
      <c r="E601" s="256">
        <v>4454588</v>
      </c>
      <c r="F601" s="256">
        <v>4318766</v>
      </c>
      <c r="G601" s="256" t="s">
        <v>1015</v>
      </c>
      <c r="H601" s="256" t="s">
        <v>242</v>
      </c>
      <c r="I601" s="256" t="s">
        <v>333</v>
      </c>
      <c r="J601" s="256" t="s">
        <v>2495</v>
      </c>
      <c r="K601" s="259">
        <v>46133.9375</v>
      </c>
      <c r="L601" s="256"/>
      <c r="M601" s="259">
        <v>46136.229166666664</v>
      </c>
      <c r="N601" s="256"/>
      <c r="O601" s="256" t="s">
        <v>2541</v>
      </c>
      <c r="P601" s="259">
        <v>46151.229166666664</v>
      </c>
      <c r="Q601" s="256">
        <v>3</v>
      </c>
      <c r="R601" s="256"/>
      <c r="S601" s="256">
        <v>2</v>
      </c>
      <c r="T601" s="256"/>
      <c r="U601" s="256"/>
      <c r="V601" s="256"/>
      <c r="W601" s="256" t="s">
        <v>2497</v>
      </c>
      <c r="X601" s="259">
        <v>46031.880555555559</v>
      </c>
      <c r="Y601" s="256" t="s">
        <v>2540</v>
      </c>
      <c r="Z601" s="256" t="s">
        <v>2499</v>
      </c>
      <c r="AA601" s="256" t="s">
        <v>2500</v>
      </c>
      <c r="AB601" s="256"/>
      <c r="AC601" s="256"/>
      <c r="AD601" s="256" t="s">
        <v>2536</v>
      </c>
      <c r="AE601" s="256" t="s">
        <v>2501</v>
      </c>
    </row>
    <row r="602" spans="1:31">
      <c r="A602" s="256" t="s">
        <v>2542</v>
      </c>
      <c r="B602" s="256" t="s">
        <v>1471</v>
      </c>
      <c r="C602" s="256" t="s">
        <v>2494</v>
      </c>
      <c r="D602" s="256" t="s">
        <v>1425</v>
      </c>
      <c r="E602" s="256">
        <v>4356899</v>
      </c>
      <c r="F602" s="256">
        <v>4308730</v>
      </c>
      <c r="G602" s="256" t="s">
        <v>1017</v>
      </c>
      <c r="H602" s="256" t="s">
        <v>242</v>
      </c>
      <c r="I602" s="256" t="s">
        <v>333</v>
      </c>
      <c r="J602" s="256" t="s">
        <v>2495</v>
      </c>
      <c r="K602" s="259">
        <v>46134.979166666664</v>
      </c>
      <c r="L602" s="256"/>
      <c r="M602" s="259">
        <v>46136.229166666664</v>
      </c>
      <c r="N602" s="256"/>
      <c r="O602" s="256" t="s">
        <v>2511</v>
      </c>
      <c r="P602" s="259">
        <v>46151.229166666664</v>
      </c>
      <c r="Q602" s="256">
        <v>7</v>
      </c>
      <c r="R602" s="256"/>
      <c r="S602" s="256">
        <v>1</v>
      </c>
      <c r="T602" s="256"/>
      <c r="U602" s="256" t="s">
        <v>1</v>
      </c>
      <c r="V602" s="256" t="s">
        <v>1</v>
      </c>
      <c r="W602" s="256" t="s">
        <v>2497</v>
      </c>
      <c r="X602" s="259">
        <v>46022.702777777777</v>
      </c>
      <c r="Y602" s="256" t="s">
        <v>2543</v>
      </c>
      <c r="Z602" s="256" t="s">
        <v>2499</v>
      </c>
      <c r="AA602" s="256" t="s">
        <v>2500</v>
      </c>
      <c r="AB602" s="256"/>
      <c r="AC602" s="256"/>
      <c r="AD602" s="256" t="s">
        <v>1425</v>
      </c>
      <c r="AE602" s="256" t="s">
        <v>2501</v>
      </c>
    </row>
    <row r="603" spans="1:31">
      <c r="A603" s="256" t="s">
        <v>2531</v>
      </c>
      <c r="B603" s="256" t="s">
        <v>1471</v>
      </c>
      <c r="C603" s="256" t="s">
        <v>2494</v>
      </c>
      <c r="D603" s="256" t="s">
        <v>1425</v>
      </c>
      <c r="E603" s="256">
        <v>4456095</v>
      </c>
      <c r="F603" s="256">
        <v>4357821</v>
      </c>
      <c r="G603" s="256" t="s">
        <v>1013</v>
      </c>
      <c r="H603" s="256" t="s">
        <v>305</v>
      </c>
      <c r="I603" s="256" t="s">
        <v>333</v>
      </c>
      <c r="J603" s="256" t="s">
        <v>2495</v>
      </c>
      <c r="K603" s="259">
        <v>46129.020833333336</v>
      </c>
      <c r="L603" s="259">
        <v>46128.84097222222</v>
      </c>
      <c r="M603" s="259">
        <v>46132.229166666664</v>
      </c>
      <c r="N603" s="256"/>
      <c r="O603" s="256" t="s">
        <v>2522</v>
      </c>
      <c r="P603" s="259">
        <v>46151.229166666664</v>
      </c>
      <c r="Q603" s="256">
        <v>2</v>
      </c>
      <c r="R603" s="256"/>
      <c r="S603" s="256">
        <v>1</v>
      </c>
      <c r="T603" s="256"/>
      <c r="U603" s="256" t="s">
        <v>1</v>
      </c>
      <c r="V603" s="256" t="s">
        <v>1</v>
      </c>
      <c r="W603" s="256" t="s">
        <v>2497</v>
      </c>
      <c r="X603" s="259">
        <v>46062.472222222219</v>
      </c>
      <c r="Y603" s="256" t="s">
        <v>2518</v>
      </c>
      <c r="Z603" s="256" t="s">
        <v>2499</v>
      </c>
      <c r="AA603" s="256" t="s">
        <v>2500</v>
      </c>
      <c r="AB603" s="256"/>
      <c r="AC603" s="256"/>
      <c r="AD603" s="256" t="s">
        <v>1425</v>
      </c>
      <c r="AE603" s="256" t="s">
        <v>2501</v>
      </c>
    </row>
    <row r="604" spans="1:31">
      <c r="A604" s="256" t="s">
        <v>2512</v>
      </c>
      <c r="B604" s="256" t="s">
        <v>1471</v>
      </c>
      <c r="C604" s="256" t="s">
        <v>2494</v>
      </c>
      <c r="D604" s="256" t="s">
        <v>1425</v>
      </c>
      <c r="E604" s="256">
        <v>4373965</v>
      </c>
      <c r="F604" s="256">
        <v>4368213</v>
      </c>
      <c r="G604" s="256" t="s">
        <v>1019</v>
      </c>
      <c r="H604" s="256" t="s">
        <v>242</v>
      </c>
      <c r="I604" s="256" t="s">
        <v>333</v>
      </c>
      <c r="J604" s="256" t="s">
        <v>2495</v>
      </c>
      <c r="K604" s="259">
        <v>46134.979166666664</v>
      </c>
      <c r="L604" s="256"/>
      <c r="M604" s="259">
        <v>46139.979166666664</v>
      </c>
      <c r="N604" s="256"/>
      <c r="O604" s="256" t="s">
        <v>2544</v>
      </c>
      <c r="P604" s="259">
        <v>46151.229166666664</v>
      </c>
      <c r="Q604" s="256">
        <v>4</v>
      </c>
      <c r="R604" s="256"/>
      <c r="S604" s="256">
        <v>2</v>
      </c>
      <c r="T604" s="256"/>
      <c r="U604" s="256"/>
      <c r="V604" s="256"/>
      <c r="W604" s="256" t="s">
        <v>2497</v>
      </c>
      <c r="X604" s="259">
        <v>46066.904861111114</v>
      </c>
      <c r="Y604" s="256" t="s">
        <v>2518</v>
      </c>
      <c r="Z604" s="256" t="s">
        <v>2499</v>
      </c>
      <c r="AA604" s="256" t="s">
        <v>2500</v>
      </c>
      <c r="AB604" s="256"/>
      <c r="AC604" s="256"/>
      <c r="AD604" s="256" t="s">
        <v>1425</v>
      </c>
      <c r="AE604" s="256" t="s">
        <v>2501</v>
      </c>
    </row>
    <row r="605" spans="1:31">
      <c r="A605" s="256" t="s">
        <v>2539</v>
      </c>
      <c r="B605" s="256" t="s">
        <v>1471</v>
      </c>
      <c r="C605" s="256" t="s">
        <v>2494</v>
      </c>
      <c r="D605" s="256" t="s">
        <v>2536</v>
      </c>
      <c r="E605" s="256">
        <v>4454588</v>
      </c>
      <c r="F605" s="256">
        <v>4369392</v>
      </c>
      <c r="G605" s="256" t="s">
        <v>1020</v>
      </c>
      <c r="H605" s="256" t="s">
        <v>242</v>
      </c>
      <c r="I605" s="256" t="s">
        <v>333</v>
      </c>
      <c r="J605" s="256" t="s">
        <v>2495</v>
      </c>
      <c r="K605" s="259">
        <v>46134.979166666664</v>
      </c>
      <c r="L605" s="256"/>
      <c r="M605" s="259">
        <v>46139.229166666664</v>
      </c>
      <c r="N605" s="256"/>
      <c r="O605" s="256" t="s">
        <v>2526</v>
      </c>
      <c r="P605" s="259">
        <v>46151.229166666664</v>
      </c>
      <c r="Q605" s="256">
        <v>2</v>
      </c>
      <c r="R605" s="256"/>
      <c r="S605" s="256">
        <v>2</v>
      </c>
      <c r="T605" s="256"/>
      <c r="U605" s="256"/>
      <c r="V605" s="256"/>
      <c r="W605" s="256" t="s">
        <v>2497</v>
      </c>
      <c r="X605" s="259">
        <v>46069.520138888889</v>
      </c>
      <c r="Y605" s="256" t="s">
        <v>2540</v>
      </c>
      <c r="Z605" s="256" t="s">
        <v>2499</v>
      </c>
      <c r="AA605" s="256" t="s">
        <v>2500</v>
      </c>
      <c r="AB605" s="256"/>
      <c r="AC605" s="256"/>
      <c r="AD605" s="256" t="s">
        <v>2536</v>
      </c>
      <c r="AE605" s="256" t="s">
        <v>2501</v>
      </c>
    </row>
    <row r="606" spans="1:31">
      <c r="A606" s="256" t="s">
        <v>2539</v>
      </c>
      <c r="B606" s="256" t="s">
        <v>1471</v>
      </c>
      <c r="C606" s="256" t="s">
        <v>2494</v>
      </c>
      <c r="D606" s="256" t="s">
        <v>2536</v>
      </c>
      <c r="E606" s="256">
        <v>4454588</v>
      </c>
      <c r="F606" s="256">
        <v>4369422</v>
      </c>
      <c r="G606" s="256" t="s">
        <v>1021</v>
      </c>
      <c r="H606" s="256" t="s">
        <v>242</v>
      </c>
      <c r="I606" s="256" t="s">
        <v>333</v>
      </c>
      <c r="J606" s="256" t="s">
        <v>2495</v>
      </c>
      <c r="K606" s="259">
        <v>46133.979166666664</v>
      </c>
      <c r="L606" s="256"/>
      <c r="M606" s="259">
        <v>46136.229166666664</v>
      </c>
      <c r="N606" s="256"/>
      <c r="O606" s="256" t="s">
        <v>2541</v>
      </c>
      <c r="P606" s="259">
        <v>46151.229166666664</v>
      </c>
      <c r="Q606" s="256">
        <v>4</v>
      </c>
      <c r="R606" s="256"/>
      <c r="S606" s="256">
        <v>2</v>
      </c>
      <c r="T606" s="256"/>
      <c r="U606" s="256"/>
      <c r="V606" s="256"/>
      <c r="W606" s="256" t="s">
        <v>2497</v>
      </c>
      <c r="X606" s="259">
        <v>46069.521527777775</v>
      </c>
      <c r="Y606" s="256" t="s">
        <v>2540</v>
      </c>
      <c r="Z606" s="256" t="s">
        <v>2499</v>
      </c>
      <c r="AA606" s="256" t="s">
        <v>2500</v>
      </c>
      <c r="AB606" s="256"/>
      <c r="AC606" s="256"/>
      <c r="AD606" s="256" t="s">
        <v>2536</v>
      </c>
      <c r="AE606" s="256" t="s">
        <v>2501</v>
      </c>
    </row>
    <row r="607" spans="1:31">
      <c r="A607" s="256" t="s">
        <v>2545</v>
      </c>
      <c r="B607" s="256" t="s">
        <v>1471</v>
      </c>
      <c r="C607" s="256" t="s">
        <v>2494</v>
      </c>
      <c r="D607" s="256" t="s">
        <v>1425</v>
      </c>
      <c r="E607" s="256">
        <v>4410599</v>
      </c>
      <c r="F607" s="256">
        <v>4410430</v>
      </c>
      <c r="G607" s="256" t="s">
        <v>1028</v>
      </c>
      <c r="H607" s="256" t="s">
        <v>242</v>
      </c>
      <c r="I607" s="256" t="s">
        <v>333</v>
      </c>
      <c r="J607" s="256" t="s">
        <v>2495</v>
      </c>
      <c r="K607" s="259">
        <v>46134.979166666664</v>
      </c>
      <c r="L607" s="256"/>
      <c r="M607" s="259">
        <v>46136.229166666664</v>
      </c>
      <c r="N607" s="256"/>
      <c r="O607" s="256" t="s">
        <v>2526</v>
      </c>
      <c r="P607" s="259">
        <v>46151.229166666664</v>
      </c>
      <c r="Q607" s="256">
        <v>4</v>
      </c>
      <c r="R607" s="256"/>
      <c r="S607" s="256">
        <v>2</v>
      </c>
      <c r="T607" s="256"/>
      <c r="U607" s="256"/>
      <c r="V607" s="256"/>
      <c r="W607" s="256" t="s">
        <v>2497</v>
      </c>
      <c r="X607" s="259">
        <v>46086.495138888888</v>
      </c>
      <c r="Y607" s="256"/>
      <c r="Z607" s="256" t="s">
        <v>2499</v>
      </c>
      <c r="AA607" s="256" t="s">
        <v>1693</v>
      </c>
      <c r="AB607" s="256"/>
      <c r="AC607" s="256"/>
      <c r="AD607" s="256" t="s">
        <v>1425</v>
      </c>
      <c r="AE607" s="256" t="s">
        <v>2501</v>
      </c>
    </row>
    <row r="608" spans="1:31">
      <c r="A608" s="256" t="s">
        <v>2546</v>
      </c>
      <c r="B608" s="256" t="s">
        <v>1471</v>
      </c>
      <c r="C608" s="256" t="s">
        <v>1472</v>
      </c>
      <c r="D608" s="256" t="s">
        <v>2547</v>
      </c>
      <c r="E608" s="256">
        <v>4386527</v>
      </c>
      <c r="F608" s="256">
        <v>4393219</v>
      </c>
      <c r="G608" s="256" t="s">
        <v>1026</v>
      </c>
      <c r="H608" s="256" t="s">
        <v>305</v>
      </c>
      <c r="I608" s="256" t="s">
        <v>333</v>
      </c>
      <c r="J608" s="256" t="s">
        <v>2495</v>
      </c>
      <c r="K608" s="259">
        <v>46129.979166666664</v>
      </c>
      <c r="L608" s="259">
        <v>46127.681250000001</v>
      </c>
      <c r="M608" s="259">
        <v>46135.979166666664</v>
      </c>
      <c r="N608" s="256"/>
      <c r="O608" s="256" t="s">
        <v>2502</v>
      </c>
      <c r="P608" s="259">
        <v>46151.229166666664</v>
      </c>
      <c r="Q608" s="256">
        <v>4</v>
      </c>
      <c r="R608" s="256"/>
      <c r="S608" s="256">
        <v>2</v>
      </c>
      <c r="T608" s="256"/>
      <c r="U608" s="256" t="s">
        <v>1</v>
      </c>
      <c r="V608" s="256" t="s">
        <v>1</v>
      </c>
      <c r="W608" s="256" t="s">
        <v>2548</v>
      </c>
      <c r="X608" s="259">
        <v>46079.565972222219</v>
      </c>
      <c r="Y608" s="256" t="s">
        <v>1560</v>
      </c>
      <c r="Z608" s="256" t="s">
        <v>2499</v>
      </c>
      <c r="AA608" s="256" t="s">
        <v>1740</v>
      </c>
      <c r="AB608" s="256"/>
      <c r="AC608" s="256"/>
      <c r="AD608" s="256" t="s">
        <v>1784</v>
      </c>
      <c r="AE608" s="256" t="s">
        <v>2501</v>
      </c>
    </row>
    <row r="609" spans="1:31">
      <c r="A609" s="256" t="s">
        <v>2542</v>
      </c>
      <c r="B609" s="256" t="s">
        <v>1471</v>
      </c>
      <c r="C609" s="256" t="s">
        <v>2494</v>
      </c>
      <c r="D609" s="256" t="s">
        <v>1425</v>
      </c>
      <c r="E609" s="256">
        <v>4356899</v>
      </c>
      <c r="F609" s="256">
        <v>4391918</v>
      </c>
      <c r="G609" s="256" t="s">
        <v>1025</v>
      </c>
      <c r="H609" s="256" t="s">
        <v>242</v>
      </c>
      <c r="I609" s="256" t="s">
        <v>333</v>
      </c>
      <c r="J609" s="256" t="s">
        <v>2495</v>
      </c>
      <c r="K609" s="259">
        <v>46134.979166666664</v>
      </c>
      <c r="L609" s="256"/>
      <c r="M609" s="259">
        <v>46136.229166666664</v>
      </c>
      <c r="N609" s="256"/>
      <c r="O609" s="256" t="s">
        <v>2549</v>
      </c>
      <c r="P609" s="259">
        <v>46151.229166666664</v>
      </c>
      <c r="Q609" s="256">
        <v>7</v>
      </c>
      <c r="R609" s="256"/>
      <c r="S609" s="256">
        <v>1</v>
      </c>
      <c r="T609" s="256"/>
      <c r="U609" s="256" t="s">
        <v>1</v>
      </c>
      <c r="V609" s="256" t="s">
        <v>1</v>
      </c>
      <c r="W609" s="256" t="s">
        <v>2497</v>
      </c>
      <c r="X609" s="259">
        <v>46078.703472222223</v>
      </c>
      <c r="Y609" s="256" t="s">
        <v>2550</v>
      </c>
      <c r="Z609" s="256" t="s">
        <v>2499</v>
      </c>
      <c r="AA609" s="256" t="s">
        <v>2551</v>
      </c>
      <c r="AB609" s="256"/>
      <c r="AC609" s="256"/>
      <c r="AD609" s="256" t="s">
        <v>1425</v>
      </c>
      <c r="AE609" s="256" t="s">
        <v>2501</v>
      </c>
    </row>
    <row r="610" spans="1:31">
      <c r="A610" s="256" t="s">
        <v>351</v>
      </c>
      <c r="B610" s="256" t="s">
        <v>1486</v>
      </c>
      <c r="C610" s="256" t="s">
        <v>1727</v>
      </c>
      <c r="D610" s="256" t="s">
        <v>1427</v>
      </c>
      <c r="E610" s="256">
        <v>4250760</v>
      </c>
      <c r="F610" s="256">
        <v>4312144</v>
      </c>
      <c r="G610" s="256" t="s">
        <v>983</v>
      </c>
      <c r="H610" s="256" t="s">
        <v>242</v>
      </c>
      <c r="I610" s="256" t="s">
        <v>2552</v>
      </c>
      <c r="J610" s="256" t="s">
        <v>2495</v>
      </c>
      <c r="K610" s="259">
        <v>46135.104166666664</v>
      </c>
      <c r="L610" s="256"/>
      <c r="M610" s="259">
        <v>46139.979166666664</v>
      </c>
      <c r="N610" s="256"/>
      <c r="O610" s="256" t="s">
        <v>2553</v>
      </c>
      <c r="P610" s="259">
        <v>46151.229166666664</v>
      </c>
      <c r="Q610" s="256">
        <v>3</v>
      </c>
      <c r="R610" s="256"/>
      <c r="S610" s="256">
        <v>2</v>
      </c>
      <c r="T610" s="256"/>
      <c r="U610" s="256"/>
      <c r="V610" s="256"/>
      <c r="W610" s="256" t="s">
        <v>1555</v>
      </c>
      <c r="X610" s="259">
        <v>46027.602777777778</v>
      </c>
      <c r="Y610" s="256" t="s">
        <v>1560</v>
      </c>
      <c r="Z610" s="256" t="s">
        <v>2554</v>
      </c>
      <c r="AA610" s="256" t="s">
        <v>1492</v>
      </c>
      <c r="AB610" s="256"/>
      <c r="AC610" s="256"/>
      <c r="AD610" s="256" t="s">
        <v>350</v>
      </c>
      <c r="AE610" s="256" t="s">
        <v>2555</v>
      </c>
    </row>
    <row r="611" spans="1:31">
      <c r="A611" s="256" t="s">
        <v>2556</v>
      </c>
      <c r="B611" s="256" t="s">
        <v>1471</v>
      </c>
      <c r="C611" s="256" t="s">
        <v>1574</v>
      </c>
      <c r="D611" s="256" t="s">
        <v>1575</v>
      </c>
      <c r="E611" s="256">
        <v>4449552</v>
      </c>
      <c r="F611" s="256">
        <v>4356522</v>
      </c>
      <c r="G611" s="256" t="s">
        <v>988</v>
      </c>
      <c r="H611" s="256" t="s">
        <v>242</v>
      </c>
      <c r="I611" s="256" t="s">
        <v>2552</v>
      </c>
      <c r="J611" s="256" t="s">
        <v>2495</v>
      </c>
      <c r="K611" s="259">
        <v>46132.229166666664</v>
      </c>
      <c r="L611" s="256"/>
      <c r="M611" s="259">
        <v>46134.979166666664</v>
      </c>
      <c r="N611" s="256"/>
      <c r="O611" s="256" t="s">
        <v>2553</v>
      </c>
      <c r="P611" s="259">
        <v>46151.229166666664</v>
      </c>
      <c r="Q611" s="256">
        <v>5</v>
      </c>
      <c r="R611" s="256"/>
      <c r="S611" s="256">
        <v>2</v>
      </c>
      <c r="T611" s="256"/>
      <c r="U611" s="256"/>
      <c r="V611" s="256"/>
      <c r="W611" s="256" t="s">
        <v>1577</v>
      </c>
      <c r="X611" s="259">
        <v>46058.713888888888</v>
      </c>
      <c r="Y611" s="256" t="s">
        <v>1423</v>
      </c>
      <c r="Z611" s="256" t="s">
        <v>2554</v>
      </c>
      <c r="AA611" s="256" t="s">
        <v>2557</v>
      </c>
      <c r="AB611" s="256"/>
      <c r="AC611" s="256"/>
      <c r="AD611" s="256" t="s">
        <v>2558</v>
      </c>
      <c r="AE611" s="256" t="s">
        <v>2555</v>
      </c>
    </row>
    <row r="612" spans="1:31">
      <c r="A612" s="256" t="s">
        <v>2559</v>
      </c>
      <c r="B612" s="256" t="s">
        <v>1471</v>
      </c>
      <c r="C612" s="256" t="s">
        <v>1574</v>
      </c>
      <c r="D612" s="256" t="s">
        <v>1575</v>
      </c>
      <c r="E612" s="256">
        <v>4437421</v>
      </c>
      <c r="F612" s="256">
        <v>4437401</v>
      </c>
      <c r="G612" s="256" t="s">
        <v>990</v>
      </c>
      <c r="H612" s="256" t="s">
        <v>242</v>
      </c>
      <c r="I612" s="256" t="s">
        <v>2552</v>
      </c>
      <c r="J612" s="256" t="s">
        <v>2495</v>
      </c>
      <c r="K612" s="259">
        <v>46134.229166666664</v>
      </c>
      <c r="L612" s="256"/>
      <c r="M612" s="259">
        <v>46139.229166666664</v>
      </c>
      <c r="N612" s="256"/>
      <c r="O612" s="256" t="s">
        <v>2560</v>
      </c>
      <c r="P612" s="259">
        <v>46151.229166666664</v>
      </c>
      <c r="Q612" s="256">
        <v>8</v>
      </c>
      <c r="R612" s="256"/>
      <c r="S612" s="256">
        <v>2</v>
      </c>
      <c r="T612" s="256"/>
      <c r="U612" s="256"/>
      <c r="V612" s="256"/>
      <c r="W612" s="256" t="s">
        <v>1577</v>
      </c>
      <c r="X612" s="259">
        <v>46101.484722222223</v>
      </c>
      <c r="Y612" s="256" t="s">
        <v>1590</v>
      </c>
      <c r="Z612" s="256" t="s">
        <v>2554</v>
      </c>
      <c r="AA612" s="256" t="s">
        <v>1517</v>
      </c>
      <c r="AB612" s="256"/>
      <c r="AC612" s="256"/>
      <c r="AD612" s="256" t="s">
        <v>2561</v>
      </c>
      <c r="AE612" s="256" t="s">
        <v>2555</v>
      </c>
    </row>
    <row r="613" spans="1:31">
      <c r="A613" s="256" t="s">
        <v>2562</v>
      </c>
      <c r="B613" s="256" t="s">
        <v>1471</v>
      </c>
      <c r="C613" s="256" t="s">
        <v>1574</v>
      </c>
      <c r="D613" s="256" t="s">
        <v>1575</v>
      </c>
      <c r="E613" s="256">
        <v>4437424</v>
      </c>
      <c r="F613" s="256">
        <v>4437404</v>
      </c>
      <c r="G613" s="256" t="s">
        <v>991</v>
      </c>
      <c r="H613" s="256" t="s">
        <v>242</v>
      </c>
      <c r="I613" s="256" t="s">
        <v>2552</v>
      </c>
      <c r="J613" s="256" t="s">
        <v>2495</v>
      </c>
      <c r="K613" s="259">
        <v>46129.229166666664</v>
      </c>
      <c r="L613" s="256"/>
      <c r="M613" s="259">
        <v>46133.229166666664</v>
      </c>
      <c r="N613" s="256"/>
      <c r="O613" s="256" t="s">
        <v>2560</v>
      </c>
      <c r="P613" s="259">
        <v>46151.229166666664</v>
      </c>
      <c r="Q613" s="256">
        <v>8</v>
      </c>
      <c r="R613" s="256"/>
      <c r="S613" s="256">
        <v>2</v>
      </c>
      <c r="T613" s="256"/>
      <c r="U613" s="256"/>
      <c r="V613" s="256"/>
      <c r="W613" s="256" t="s">
        <v>1577</v>
      </c>
      <c r="X613" s="259">
        <v>46101.484722222223</v>
      </c>
      <c r="Y613" s="256" t="s">
        <v>1590</v>
      </c>
      <c r="Z613" s="256" t="s">
        <v>2554</v>
      </c>
      <c r="AA613" s="256" t="s">
        <v>1517</v>
      </c>
      <c r="AB613" s="256"/>
      <c r="AC613" s="256"/>
      <c r="AD613" s="256" t="s">
        <v>2563</v>
      </c>
      <c r="AE613" s="256" t="s">
        <v>2555</v>
      </c>
    </row>
    <row r="614" spans="1:31">
      <c r="A614" s="256" t="s">
        <v>357</v>
      </c>
      <c r="B614" s="256" t="s">
        <v>1511</v>
      </c>
      <c r="C614" s="256" t="s">
        <v>280</v>
      </c>
      <c r="D614" s="256" t="s">
        <v>255</v>
      </c>
      <c r="E614" s="256">
        <v>4428652</v>
      </c>
      <c r="F614" s="256">
        <v>4428658</v>
      </c>
      <c r="G614" s="256" t="s">
        <v>993</v>
      </c>
      <c r="H614" s="256" t="s">
        <v>242</v>
      </c>
      <c r="I614" s="256" t="s">
        <v>2552</v>
      </c>
      <c r="J614" s="256" t="s">
        <v>2495</v>
      </c>
      <c r="K614" s="259">
        <v>46132.875</v>
      </c>
      <c r="L614" s="256"/>
      <c r="M614" s="259">
        <v>46134.979166666664</v>
      </c>
      <c r="N614" s="256"/>
      <c r="O614" s="256" t="s">
        <v>2564</v>
      </c>
      <c r="P614" s="259">
        <v>46151.229166666664</v>
      </c>
      <c r="Q614" s="256">
        <v>3</v>
      </c>
      <c r="R614" s="256"/>
      <c r="S614" s="256">
        <v>2</v>
      </c>
      <c r="T614" s="256"/>
      <c r="U614" s="256"/>
      <c r="V614" s="256"/>
      <c r="W614" s="256" t="s">
        <v>1515</v>
      </c>
      <c r="X614" s="259">
        <v>46097.638194444444</v>
      </c>
      <c r="Y614" s="256" t="s">
        <v>1560</v>
      </c>
      <c r="Z614" s="256" t="s">
        <v>2554</v>
      </c>
      <c r="AA614" s="256" t="s">
        <v>1517</v>
      </c>
      <c r="AB614" s="256"/>
      <c r="AC614" s="256"/>
      <c r="AD614" s="256" t="s">
        <v>2565</v>
      </c>
      <c r="AE614" s="256" t="s">
        <v>2555</v>
      </c>
    </row>
    <row r="615" spans="1:31">
      <c r="A615" s="256" t="s">
        <v>2566</v>
      </c>
      <c r="B615" s="256" t="s">
        <v>1471</v>
      </c>
      <c r="C615" s="256" t="s">
        <v>1472</v>
      </c>
      <c r="D615" s="256" t="s">
        <v>1427</v>
      </c>
      <c r="E615" s="256">
        <v>4432738</v>
      </c>
      <c r="F615" s="256">
        <v>4432786</v>
      </c>
      <c r="G615" s="256" t="s">
        <v>611</v>
      </c>
      <c r="H615" s="256" t="s">
        <v>242</v>
      </c>
      <c r="I615" s="256" t="s">
        <v>2552</v>
      </c>
      <c r="J615" s="256" t="s">
        <v>1558</v>
      </c>
      <c r="K615" s="259">
        <v>46130.104166666664</v>
      </c>
      <c r="L615" s="256"/>
      <c r="M615" s="259">
        <v>46136.229166666664</v>
      </c>
      <c r="N615" s="256"/>
      <c r="O615" s="256" t="s">
        <v>2567</v>
      </c>
      <c r="P615" s="259">
        <v>46151.229166666664</v>
      </c>
      <c r="Q615" s="256">
        <v>4</v>
      </c>
      <c r="R615" s="256"/>
      <c r="S615" s="256">
        <v>2</v>
      </c>
      <c r="T615" s="256"/>
      <c r="U615" s="256"/>
      <c r="V615" s="256"/>
      <c r="W615" s="256" t="s">
        <v>1555</v>
      </c>
      <c r="X615" s="259">
        <v>46098.859027777777</v>
      </c>
      <c r="Y615" s="256"/>
      <c r="Z615" s="256" t="s">
        <v>2554</v>
      </c>
      <c r="AA615" s="256" t="s">
        <v>1565</v>
      </c>
      <c r="AB615" s="256"/>
      <c r="AC615" s="256"/>
      <c r="AD615" s="256" t="s">
        <v>2568</v>
      </c>
      <c r="AE615" s="256" t="s">
        <v>2555</v>
      </c>
    </row>
    <row r="616" spans="1:31">
      <c r="A616" s="256" t="s">
        <v>2569</v>
      </c>
      <c r="B616" s="256" t="s">
        <v>1471</v>
      </c>
      <c r="C616" s="256" t="s">
        <v>1427</v>
      </c>
      <c r="D616" s="256" t="s">
        <v>2570</v>
      </c>
      <c r="E616" s="256">
        <v>4485495</v>
      </c>
      <c r="F616" s="256">
        <v>4441800</v>
      </c>
      <c r="G616" s="256" t="s">
        <v>997</v>
      </c>
      <c r="H616" s="256" t="s">
        <v>2571</v>
      </c>
      <c r="I616" s="256" t="s">
        <v>2552</v>
      </c>
      <c r="J616" s="256" t="s">
        <v>2495</v>
      </c>
      <c r="K616" s="259">
        <v>46126.770833333336</v>
      </c>
      <c r="L616" s="259">
        <v>46128.730555555558</v>
      </c>
      <c r="M616" s="259">
        <v>46133.979166666664</v>
      </c>
      <c r="N616" s="256"/>
      <c r="O616" s="256" t="s">
        <v>2572</v>
      </c>
      <c r="P616" s="259">
        <v>46151.229166666664</v>
      </c>
      <c r="Q616" s="256">
        <v>3</v>
      </c>
      <c r="R616" s="256"/>
      <c r="S616" s="256">
        <v>2</v>
      </c>
      <c r="T616" s="256"/>
      <c r="U616" s="256" t="s">
        <v>1</v>
      </c>
      <c r="V616" s="256" t="s">
        <v>1498</v>
      </c>
      <c r="W616" s="256" t="s">
        <v>2573</v>
      </c>
      <c r="X616" s="259">
        <v>46105.784722222219</v>
      </c>
      <c r="Y616" s="256" t="s">
        <v>2349</v>
      </c>
      <c r="Z616" s="256" t="s">
        <v>2554</v>
      </c>
      <c r="AA616" s="256" t="s">
        <v>1517</v>
      </c>
      <c r="AB616" s="256"/>
      <c r="AC616" s="256"/>
      <c r="AD616" s="256" t="s">
        <v>1427</v>
      </c>
      <c r="AE616" s="256" t="s">
        <v>2555</v>
      </c>
    </row>
    <row r="617" spans="1:31">
      <c r="A617" s="256" t="s">
        <v>1771</v>
      </c>
      <c r="B617" s="256" t="s">
        <v>1486</v>
      </c>
      <c r="C617" s="256" t="s">
        <v>1772</v>
      </c>
      <c r="D617" s="256" t="s">
        <v>2574</v>
      </c>
      <c r="E617" s="256">
        <v>4443485</v>
      </c>
      <c r="F617" s="256">
        <v>4443524</v>
      </c>
      <c r="G617" s="256" t="s">
        <v>996</v>
      </c>
      <c r="H617" s="256" t="s">
        <v>242</v>
      </c>
      <c r="I617" s="256" t="s">
        <v>2552</v>
      </c>
      <c r="J617" s="256" t="s">
        <v>2495</v>
      </c>
      <c r="K617" s="259">
        <v>46135.104166666664</v>
      </c>
      <c r="L617" s="256"/>
      <c r="M617" s="259">
        <v>46139.979166666664</v>
      </c>
      <c r="N617" s="256"/>
      <c r="O617" s="256" t="s">
        <v>2575</v>
      </c>
      <c r="P617" s="259">
        <v>46151.229166666664</v>
      </c>
      <c r="Q617" s="256">
        <v>5</v>
      </c>
      <c r="R617" s="256"/>
      <c r="S617" s="256">
        <v>2</v>
      </c>
      <c r="T617" s="256"/>
      <c r="U617" s="256"/>
      <c r="V617" s="256"/>
      <c r="W617" s="256" t="s">
        <v>1769</v>
      </c>
      <c r="X617" s="259">
        <v>46106.705555555556</v>
      </c>
      <c r="Y617" s="256" t="s">
        <v>2576</v>
      </c>
      <c r="Z617" s="256" t="s">
        <v>2554</v>
      </c>
      <c r="AA617" s="256" t="s">
        <v>1534</v>
      </c>
      <c r="AB617" s="256"/>
      <c r="AC617" s="256"/>
      <c r="AD617" s="256" t="s">
        <v>2577</v>
      </c>
      <c r="AE617" s="256" t="s">
        <v>2555</v>
      </c>
    </row>
    <row r="618" spans="1:31">
      <c r="A618" s="256" t="s">
        <v>2578</v>
      </c>
      <c r="B618" s="256" t="s">
        <v>1471</v>
      </c>
      <c r="C618" s="256" t="s">
        <v>1427</v>
      </c>
      <c r="D618" s="256" t="s">
        <v>1427</v>
      </c>
      <c r="E618" s="256">
        <v>4446710</v>
      </c>
      <c r="F618" s="256">
        <v>4446742</v>
      </c>
      <c r="G618" s="256" t="s">
        <v>995</v>
      </c>
      <c r="H618" s="256" t="s">
        <v>2296</v>
      </c>
      <c r="I618" s="256" t="s">
        <v>2552</v>
      </c>
      <c r="J618" s="256" t="s">
        <v>2495</v>
      </c>
      <c r="K618" s="259">
        <v>46127.104166666664</v>
      </c>
      <c r="L618" s="259">
        <v>46126.678472222222</v>
      </c>
      <c r="M618" s="259">
        <v>46133.229166666664</v>
      </c>
      <c r="N618" s="256"/>
      <c r="O618" s="256" t="s">
        <v>2579</v>
      </c>
      <c r="P618" s="259">
        <v>46151.229166666664</v>
      </c>
      <c r="Q618" s="256">
        <v>2</v>
      </c>
      <c r="R618" s="256"/>
      <c r="S618" s="256">
        <v>2</v>
      </c>
      <c r="T618" s="256"/>
      <c r="U618" s="256" t="s">
        <v>1</v>
      </c>
      <c r="V618" s="256" t="s">
        <v>1</v>
      </c>
      <c r="W618" s="256" t="s">
        <v>1813</v>
      </c>
      <c r="X618" s="259">
        <v>46108.826388888891</v>
      </c>
      <c r="Y618" s="256"/>
      <c r="Z618" s="256" t="s">
        <v>2554</v>
      </c>
      <c r="AA618" s="256" t="s">
        <v>1565</v>
      </c>
      <c r="AB618" s="256"/>
      <c r="AC618" s="256"/>
      <c r="AD618" s="256" t="s">
        <v>2580</v>
      </c>
      <c r="AE618" s="256" t="s">
        <v>2555</v>
      </c>
    </row>
    <row r="619" spans="1:31">
      <c r="A619" s="256" t="s">
        <v>1573</v>
      </c>
      <c r="B619" s="256" t="s">
        <v>1471</v>
      </c>
      <c r="C619" s="256" t="s">
        <v>1574</v>
      </c>
      <c r="D619" s="256" t="s">
        <v>1575</v>
      </c>
      <c r="E619" s="256">
        <v>4440060</v>
      </c>
      <c r="F619" s="256">
        <v>4446664</v>
      </c>
      <c r="G619" s="256" t="s">
        <v>1000</v>
      </c>
      <c r="H619" s="256" t="s">
        <v>242</v>
      </c>
      <c r="I619" s="256" t="s">
        <v>2552</v>
      </c>
      <c r="J619" s="256" t="s">
        <v>2495</v>
      </c>
      <c r="K619" s="259">
        <v>46132.229166666664</v>
      </c>
      <c r="L619" s="256"/>
      <c r="M619" s="259">
        <v>46134.229166666664</v>
      </c>
      <c r="N619" s="256"/>
      <c r="O619" s="256" t="s">
        <v>2575</v>
      </c>
      <c r="P619" s="259">
        <v>46151.229166666664</v>
      </c>
      <c r="Q619" s="256">
        <v>4</v>
      </c>
      <c r="R619" s="256"/>
      <c r="S619" s="256">
        <v>1</v>
      </c>
      <c r="T619" s="256"/>
      <c r="U619" s="256"/>
      <c r="V619" s="256"/>
      <c r="W619" s="256" t="s">
        <v>1577</v>
      </c>
      <c r="X619" s="259">
        <v>46108.736111111109</v>
      </c>
      <c r="Y619" s="256" t="s">
        <v>1578</v>
      </c>
      <c r="Z619" s="256" t="s">
        <v>2554</v>
      </c>
      <c r="AA619" s="256" t="s">
        <v>1517</v>
      </c>
      <c r="AB619" s="256"/>
      <c r="AC619" s="256"/>
      <c r="AD619" s="256" t="s">
        <v>1579</v>
      </c>
      <c r="AE619" s="256" t="s">
        <v>2555</v>
      </c>
    </row>
    <row r="620" spans="1:31">
      <c r="A620" s="256" t="s">
        <v>1686</v>
      </c>
      <c r="B620" s="256" t="s">
        <v>1471</v>
      </c>
      <c r="C620" s="256" t="s">
        <v>1472</v>
      </c>
      <c r="D620" s="256" t="s">
        <v>1427</v>
      </c>
      <c r="E620" s="256">
        <v>4365826</v>
      </c>
      <c r="F620" s="256">
        <v>4446194</v>
      </c>
      <c r="G620" s="256" t="s">
        <v>2581</v>
      </c>
      <c r="H620" s="256" t="s">
        <v>2296</v>
      </c>
      <c r="I620" s="256" t="s">
        <v>2552</v>
      </c>
      <c r="J620" s="256" t="s">
        <v>2495</v>
      </c>
      <c r="K620" s="259">
        <v>46126.229166666664</v>
      </c>
      <c r="L620" s="259">
        <v>46128.65</v>
      </c>
      <c r="M620" s="259">
        <v>46133.979166666664</v>
      </c>
      <c r="N620" s="256"/>
      <c r="O620" s="256" t="s">
        <v>2582</v>
      </c>
      <c r="P620" s="259">
        <v>46151.229166666664</v>
      </c>
      <c r="Q620" s="256">
        <v>4</v>
      </c>
      <c r="R620" s="256"/>
      <c r="S620" s="256">
        <v>2</v>
      </c>
      <c r="T620" s="256"/>
      <c r="U620" s="256" t="s">
        <v>1</v>
      </c>
      <c r="V620" s="256" t="s">
        <v>1</v>
      </c>
      <c r="W620" s="256" t="s">
        <v>1555</v>
      </c>
      <c r="X620" s="259">
        <v>46108.472916666666</v>
      </c>
      <c r="Y620" s="256"/>
      <c r="Z620" s="256" t="s">
        <v>2554</v>
      </c>
      <c r="AA620" s="256" t="s">
        <v>2583</v>
      </c>
      <c r="AB620" s="256"/>
      <c r="AC620" s="256"/>
      <c r="AD620" s="256" t="s">
        <v>2584</v>
      </c>
      <c r="AE620" s="256" t="s">
        <v>2555</v>
      </c>
    </row>
    <row r="621" spans="1:31">
      <c r="A621" s="256" t="s">
        <v>1764</v>
      </c>
      <c r="B621" s="256" t="s">
        <v>1471</v>
      </c>
      <c r="C621" s="256" t="s">
        <v>1574</v>
      </c>
      <c r="D621" s="256" t="s">
        <v>1575</v>
      </c>
      <c r="E621" s="256">
        <v>4459392</v>
      </c>
      <c r="F621" s="256">
        <v>4459759</v>
      </c>
      <c r="G621" s="256" t="s">
        <v>999</v>
      </c>
      <c r="H621" s="256" t="s">
        <v>242</v>
      </c>
      <c r="I621" s="256" t="s">
        <v>2552</v>
      </c>
      <c r="J621" s="256" t="s">
        <v>2495</v>
      </c>
      <c r="K621" s="259">
        <v>46129.229166666664</v>
      </c>
      <c r="L621" s="256"/>
      <c r="M621" s="259">
        <v>46137.020833333336</v>
      </c>
      <c r="N621" s="256"/>
      <c r="O621" s="256" t="s">
        <v>2560</v>
      </c>
      <c r="P621" s="259">
        <v>46151.229166666664</v>
      </c>
      <c r="Q621" s="256">
        <v>6</v>
      </c>
      <c r="R621" s="256"/>
      <c r="S621" s="256">
        <v>2</v>
      </c>
      <c r="T621" s="256"/>
      <c r="U621" s="256"/>
      <c r="V621" s="256"/>
      <c r="W621" s="256" t="s">
        <v>1577</v>
      </c>
      <c r="X621" s="259">
        <v>46114.509722222225</v>
      </c>
      <c r="Y621" s="256" t="s">
        <v>1765</v>
      </c>
      <c r="Z621" s="256" t="s">
        <v>2554</v>
      </c>
      <c r="AA621" s="256" t="s">
        <v>1517</v>
      </c>
      <c r="AB621" s="256"/>
      <c r="AC621" s="256"/>
      <c r="AD621" s="256" t="s">
        <v>1766</v>
      </c>
      <c r="AE621" s="256" t="s">
        <v>2555</v>
      </c>
    </row>
    <row r="622" spans="1:31">
      <c r="A622" s="67"/>
      <c r="B622" s="67"/>
      <c r="C622" s="67"/>
      <c r="D622" s="67"/>
      <c r="E622" s="67"/>
      <c r="F622" s="67"/>
      <c r="G622" s="67"/>
      <c r="H622" s="67"/>
      <c r="I622" s="67"/>
      <c r="J622" s="67"/>
      <c r="K622" s="148"/>
      <c r="L622" s="67"/>
      <c r="M622" s="148"/>
      <c r="N622" s="67"/>
      <c r="O622" s="67"/>
      <c r="P622" s="148"/>
      <c r="Q622" s="67"/>
      <c r="R622" s="67"/>
      <c r="S622" s="67"/>
      <c r="T622" s="67"/>
      <c r="U622" s="67"/>
      <c r="V622" s="67"/>
      <c r="W622" s="67"/>
      <c r="X622" s="148"/>
      <c r="Y622" s="67"/>
      <c r="Z622" s="67"/>
      <c r="AA622" s="67"/>
      <c r="AB622" s="67"/>
      <c r="AC622" s="67"/>
      <c r="AD622" s="67"/>
      <c r="AE622" s="67"/>
    </row>
    <row r="623" spans="1:31">
      <c r="A623" s="67"/>
      <c r="B623" s="67"/>
      <c r="C623" s="67"/>
      <c r="D623" s="67"/>
      <c r="E623" s="67"/>
      <c r="F623" s="67"/>
      <c r="G623" s="67"/>
      <c r="H623" s="67"/>
      <c r="I623" s="67"/>
      <c r="J623" s="67"/>
      <c r="K623" s="148"/>
      <c r="L623" s="148"/>
      <c r="M623" s="148"/>
      <c r="N623" s="67"/>
      <c r="O623" s="67"/>
      <c r="P623" s="148"/>
      <c r="Q623" s="67"/>
      <c r="R623" s="67"/>
      <c r="S623" s="67"/>
      <c r="T623" s="67"/>
      <c r="U623" s="67"/>
      <c r="V623" s="67"/>
      <c r="W623" s="67"/>
      <c r="X623" s="148"/>
      <c r="Y623" s="67"/>
      <c r="Z623" s="67"/>
      <c r="AA623" s="67"/>
      <c r="AB623" s="67"/>
      <c r="AC623" s="67"/>
      <c r="AD623" s="67"/>
      <c r="AE623" s="67"/>
    </row>
    <row r="624" spans="1:31">
      <c r="A624" s="67"/>
      <c r="B624" s="67"/>
      <c r="C624" s="67"/>
      <c r="D624" s="67"/>
      <c r="E624" s="67"/>
      <c r="F624" s="67"/>
      <c r="G624" s="67"/>
      <c r="H624" s="67"/>
      <c r="I624" s="67"/>
      <c r="J624" s="67"/>
      <c r="K624" s="148"/>
      <c r="L624" s="148"/>
      <c r="M624" s="148"/>
      <c r="N624" s="67"/>
      <c r="O624" s="67"/>
      <c r="P624" s="148"/>
      <c r="Q624" s="67"/>
      <c r="R624" s="67"/>
      <c r="S624" s="67"/>
      <c r="T624" s="67"/>
      <c r="U624" s="67"/>
      <c r="V624" s="67"/>
      <c r="W624" s="67"/>
      <c r="X624" s="148"/>
      <c r="Y624" s="67"/>
      <c r="Z624" s="67"/>
      <c r="AA624" s="67"/>
      <c r="AB624" s="67"/>
      <c r="AC624" s="67"/>
      <c r="AD624" s="67"/>
      <c r="AE624" s="67"/>
    </row>
    <row r="625" spans="1:31">
      <c r="A625" s="67"/>
      <c r="B625" s="67"/>
      <c r="C625" s="67"/>
      <c r="D625" s="67"/>
      <c r="E625" s="67"/>
      <c r="F625" s="67"/>
      <c r="G625" s="67"/>
      <c r="H625" s="67"/>
      <c r="I625" s="67"/>
      <c r="J625" s="67"/>
      <c r="K625" s="148"/>
      <c r="L625" s="67"/>
      <c r="M625" s="148"/>
      <c r="N625" s="67"/>
      <c r="O625" s="67"/>
      <c r="P625" s="148"/>
      <c r="Q625" s="67"/>
      <c r="R625" s="67"/>
      <c r="S625" s="67"/>
      <c r="T625" s="67"/>
      <c r="U625" s="67"/>
      <c r="V625" s="67"/>
      <c r="W625" s="67"/>
      <c r="X625" s="148"/>
      <c r="Y625" s="67"/>
      <c r="Z625" s="67"/>
      <c r="AA625" s="67"/>
      <c r="AB625" s="67"/>
      <c r="AC625" s="67"/>
      <c r="AD625" s="67"/>
      <c r="AE625" s="67"/>
    </row>
    <row r="626" spans="1:31">
      <c r="A626" s="67"/>
      <c r="B626" s="67"/>
      <c r="C626" s="67"/>
      <c r="D626" s="67"/>
      <c r="E626" s="67"/>
      <c r="F626" s="67"/>
      <c r="G626" s="67"/>
      <c r="H626" s="67"/>
      <c r="I626" s="67"/>
      <c r="J626" s="67"/>
      <c r="K626" s="148"/>
      <c r="L626" s="67"/>
      <c r="M626" s="148"/>
      <c r="N626" s="67"/>
      <c r="O626" s="67"/>
      <c r="P626" s="148"/>
      <c r="Q626" s="67"/>
      <c r="R626" s="67"/>
      <c r="S626" s="67"/>
      <c r="T626" s="67"/>
      <c r="U626" s="67"/>
      <c r="V626" s="67"/>
      <c r="W626" s="67"/>
      <c r="X626" s="148"/>
      <c r="Y626" s="67"/>
      <c r="Z626" s="67"/>
      <c r="AA626" s="67"/>
      <c r="AB626" s="67"/>
      <c r="AC626" s="67"/>
      <c r="AD626" s="67"/>
      <c r="AE626" s="67"/>
    </row>
    <row r="627" spans="1:31">
      <c r="A627" s="67"/>
      <c r="B627" s="67"/>
      <c r="C627" s="67"/>
      <c r="D627" s="67"/>
      <c r="E627" s="67"/>
      <c r="F627" s="67"/>
      <c r="G627" s="67"/>
      <c r="H627" s="67"/>
      <c r="I627" s="67"/>
      <c r="J627" s="67"/>
      <c r="K627" s="148"/>
      <c r="L627" s="67"/>
      <c r="M627" s="148"/>
      <c r="N627" s="67"/>
      <c r="O627" s="67"/>
      <c r="P627" s="148"/>
      <c r="Q627" s="67"/>
      <c r="R627" s="67"/>
      <c r="S627" s="67"/>
      <c r="T627" s="67"/>
      <c r="U627" s="67"/>
      <c r="V627" s="67"/>
      <c r="W627" s="67"/>
      <c r="X627" s="148"/>
      <c r="Y627" s="67"/>
      <c r="Z627" s="67"/>
      <c r="AA627" s="67"/>
      <c r="AB627" s="67"/>
      <c r="AC627" s="67"/>
      <c r="AD627" s="67"/>
      <c r="AE627" s="67"/>
    </row>
    <row r="628" spans="1:31">
      <c r="A628" s="67"/>
      <c r="B628" s="67"/>
      <c r="C628" s="67"/>
      <c r="D628" s="67"/>
      <c r="E628" s="67"/>
      <c r="F628" s="67"/>
      <c r="G628" s="67"/>
      <c r="H628" s="67"/>
      <c r="I628" s="67"/>
      <c r="J628" s="67"/>
      <c r="K628" s="148"/>
      <c r="L628" s="67"/>
      <c r="M628" s="148"/>
      <c r="N628" s="67"/>
      <c r="O628" s="67"/>
      <c r="P628" s="148"/>
      <c r="Q628" s="67"/>
      <c r="R628" s="67"/>
      <c r="S628" s="67"/>
      <c r="T628" s="67"/>
      <c r="U628" s="67"/>
      <c r="V628" s="67"/>
      <c r="W628" s="67"/>
      <c r="X628" s="148"/>
      <c r="Y628" s="67"/>
      <c r="Z628" s="67"/>
      <c r="AA628" s="67"/>
      <c r="AB628" s="67"/>
      <c r="AC628" s="67"/>
      <c r="AD628" s="67"/>
      <c r="AE628" s="67"/>
    </row>
    <row r="629" spans="1:31">
      <c r="A629" s="67"/>
      <c r="B629" s="67"/>
      <c r="C629" s="67"/>
      <c r="D629" s="67"/>
      <c r="E629" s="67"/>
      <c r="F629" s="67"/>
      <c r="G629" s="67"/>
      <c r="H629" s="67"/>
      <c r="I629" s="67"/>
      <c r="J629" s="67"/>
      <c r="K629" s="148"/>
      <c r="L629" s="67"/>
      <c r="M629" s="148"/>
      <c r="N629" s="67"/>
      <c r="O629" s="67"/>
      <c r="P629" s="148"/>
      <c r="Q629" s="67"/>
      <c r="R629" s="67"/>
      <c r="S629" s="67"/>
      <c r="T629" s="67"/>
      <c r="U629" s="67"/>
      <c r="V629" s="67"/>
      <c r="W629" s="67"/>
      <c r="X629" s="148"/>
      <c r="Y629" s="67"/>
      <c r="Z629" s="67"/>
      <c r="AA629" s="67"/>
      <c r="AB629" s="67"/>
      <c r="AC629" s="67"/>
      <c r="AD629" s="67"/>
      <c r="AE629" s="67"/>
    </row>
    <row r="630" spans="1:31">
      <c r="A630" s="67"/>
      <c r="B630" s="67"/>
      <c r="C630" s="67"/>
      <c r="D630" s="67"/>
      <c r="E630" s="67"/>
      <c r="F630" s="67"/>
      <c r="G630" s="67"/>
      <c r="H630" s="67"/>
      <c r="I630" s="67"/>
      <c r="J630" s="67"/>
      <c r="K630" s="148"/>
      <c r="L630" s="67"/>
      <c r="M630" s="148"/>
      <c r="N630" s="67"/>
      <c r="O630" s="67"/>
      <c r="P630" s="148"/>
      <c r="Q630" s="67"/>
      <c r="R630" s="67"/>
      <c r="S630" s="67"/>
      <c r="T630" s="67"/>
      <c r="U630" s="67"/>
      <c r="V630" s="67"/>
      <c r="W630" s="67"/>
      <c r="X630" s="148"/>
      <c r="Y630" s="67"/>
      <c r="Z630" s="67"/>
      <c r="AA630" s="67"/>
      <c r="AB630" s="67"/>
      <c r="AC630" s="67"/>
      <c r="AD630" s="67"/>
      <c r="AE630" s="67"/>
    </row>
    <row r="631" spans="1:31">
      <c r="A631" s="67"/>
      <c r="B631" s="67"/>
      <c r="C631" s="67"/>
      <c r="D631" s="67"/>
      <c r="E631" s="67"/>
      <c r="F631" s="67"/>
      <c r="G631" s="67"/>
      <c r="H631" s="67"/>
      <c r="I631" s="67"/>
      <c r="J631" s="67"/>
      <c r="K631" s="148"/>
      <c r="L631" s="67"/>
      <c r="M631" s="148"/>
      <c r="N631" s="67"/>
      <c r="O631" s="67"/>
      <c r="P631" s="148"/>
      <c r="Q631" s="67"/>
      <c r="R631" s="67"/>
      <c r="S631" s="67"/>
      <c r="T631" s="67"/>
      <c r="U631" s="67"/>
      <c r="V631" s="67"/>
      <c r="W631" s="67"/>
      <c r="X631" s="148"/>
      <c r="Y631" s="67"/>
      <c r="Z631" s="67"/>
      <c r="AA631" s="67"/>
      <c r="AB631" s="67"/>
      <c r="AC631" s="67"/>
      <c r="AD631" s="67"/>
      <c r="AE631" s="67"/>
    </row>
    <row r="632" spans="1:31">
      <c r="A632" s="67"/>
      <c r="B632" s="67"/>
      <c r="C632" s="67"/>
      <c r="D632" s="67"/>
      <c r="E632" s="67"/>
      <c r="F632" s="67"/>
      <c r="G632" s="67"/>
      <c r="H632" s="67"/>
      <c r="I632" s="67"/>
      <c r="J632" s="67"/>
      <c r="K632" s="148"/>
      <c r="L632" s="148"/>
      <c r="M632" s="148"/>
      <c r="N632" s="67"/>
      <c r="O632" s="67"/>
      <c r="P632" s="148"/>
      <c r="Q632" s="67"/>
      <c r="R632" s="67"/>
      <c r="S632" s="67"/>
      <c r="T632" s="67"/>
      <c r="U632" s="67"/>
      <c r="V632" s="67"/>
      <c r="W632" s="67"/>
      <c r="X632" s="148"/>
      <c r="Y632" s="67"/>
      <c r="Z632" s="67"/>
      <c r="AA632" s="67"/>
      <c r="AB632" s="67"/>
      <c r="AC632" s="67"/>
      <c r="AD632" s="67"/>
      <c r="AE632" s="67"/>
    </row>
    <row r="633" spans="1:31">
      <c r="A633" s="67"/>
      <c r="B633" s="67"/>
      <c r="C633" s="67"/>
      <c r="D633" s="67"/>
      <c r="E633" s="67"/>
      <c r="F633" s="67"/>
      <c r="G633" s="67"/>
      <c r="H633" s="67"/>
      <c r="I633" s="67"/>
      <c r="J633" s="67"/>
      <c r="K633" s="148"/>
      <c r="L633" s="67"/>
      <c r="M633" s="148"/>
      <c r="N633" s="67"/>
      <c r="O633" s="67"/>
      <c r="P633" s="148"/>
      <c r="Q633" s="67"/>
      <c r="R633" s="67"/>
      <c r="S633" s="67"/>
      <c r="T633" s="67"/>
      <c r="U633" s="67"/>
      <c r="V633" s="67"/>
      <c r="W633" s="67"/>
      <c r="X633" s="148"/>
      <c r="Y633" s="67"/>
      <c r="Z633" s="67"/>
      <c r="AA633" s="67"/>
      <c r="AB633" s="67"/>
      <c r="AC633" s="67"/>
      <c r="AD633" s="67"/>
      <c r="AE633" s="67"/>
    </row>
    <row r="634" spans="1:31">
      <c r="A634" s="67"/>
      <c r="B634" s="67"/>
      <c r="C634" s="67"/>
      <c r="D634" s="67"/>
      <c r="E634" s="67"/>
      <c r="F634" s="67"/>
      <c r="G634" s="67"/>
      <c r="H634" s="67"/>
      <c r="I634" s="67"/>
      <c r="J634" s="67"/>
      <c r="K634" s="148"/>
      <c r="L634" s="67"/>
      <c r="M634" s="148"/>
      <c r="N634" s="67"/>
      <c r="O634" s="67"/>
      <c r="P634" s="148"/>
      <c r="Q634" s="67"/>
      <c r="R634" s="67"/>
      <c r="S634" s="67"/>
      <c r="T634" s="67"/>
      <c r="U634" s="67"/>
      <c r="V634" s="67"/>
      <c r="W634" s="67"/>
      <c r="X634" s="148"/>
      <c r="Y634" s="67"/>
      <c r="Z634" s="67"/>
      <c r="AA634" s="67"/>
      <c r="AB634" s="67"/>
      <c r="AC634" s="67"/>
      <c r="AD634" s="67"/>
      <c r="AE634" s="67"/>
    </row>
    <row r="635" spans="1:31">
      <c r="A635" s="67"/>
      <c r="B635" s="67"/>
      <c r="C635" s="67"/>
      <c r="D635" s="67"/>
      <c r="E635" s="67"/>
      <c r="F635" s="67"/>
      <c r="G635" s="67"/>
      <c r="H635" s="67"/>
      <c r="I635" s="67"/>
      <c r="J635" s="67"/>
      <c r="K635" s="148"/>
      <c r="L635" s="67"/>
      <c r="M635" s="148"/>
      <c r="N635" s="67"/>
      <c r="O635" s="67"/>
      <c r="P635" s="148"/>
      <c r="Q635" s="67"/>
      <c r="R635" s="67"/>
      <c r="S635" s="67"/>
      <c r="T635" s="67"/>
      <c r="U635" s="67"/>
      <c r="V635" s="67"/>
      <c r="W635" s="67"/>
      <c r="X635" s="148"/>
      <c r="Y635" s="67"/>
      <c r="Z635" s="67"/>
      <c r="AA635" s="67"/>
      <c r="AB635" s="67"/>
      <c r="AC635" s="67"/>
      <c r="AD635" s="67"/>
      <c r="AE635" s="67"/>
    </row>
    <row r="636" spans="1:31">
      <c r="A636" s="67"/>
      <c r="B636" s="67"/>
      <c r="C636" s="67"/>
      <c r="D636" s="67"/>
      <c r="E636" s="67"/>
      <c r="F636" s="67"/>
      <c r="G636" s="67"/>
      <c r="H636" s="67"/>
      <c r="I636" s="67"/>
      <c r="J636" s="67"/>
      <c r="K636" s="148"/>
      <c r="L636" s="148"/>
      <c r="M636" s="148"/>
      <c r="N636" s="67"/>
      <c r="O636" s="67"/>
      <c r="P636" s="148"/>
      <c r="Q636" s="67"/>
      <c r="R636" s="67"/>
      <c r="S636" s="67"/>
      <c r="T636" s="67"/>
      <c r="U636" s="67"/>
      <c r="V636" s="67"/>
      <c r="W636" s="67"/>
      <c r="X636" s="148"/>
      <c r="Y636" s="67"/>
      <c r="Z636" s="67"/>
      <c r="AA636" s="67"/>
      <c r="AB636" s="67"/>
      <c r="AC636" s="67"/>
      <c r="AD636" s="67"/>
      <c r="AE636" s="67"/>
    </row>
    <row r="637" spans="1:31">
      <c r="A637" s="67"/>
      <c r="B637" s="67"/>
      <c r="C637" s="67"/>
      <c r="D637" s="67"/>
      <c r="E637" s="67"/>
      <c r="F637" s="67"/>
      <c r="G637" s="67"/>
      <c r="H637" s="67"/>
      <c r="I637" s="67"/>
      <c r="J637" s="67"/>
      <c r="K637" s="148"/>
      <c r="L637" s="67"/>
      <c r="M637" s="148"/>
      <c r="N637" s="67"/>
      <c r="O637" s="67"/>
      <c r="P637" s="148"/>
      <c r="Q637" s="67"/>
      <c r="R637" s="67"/>
      <c r="S637" s="67"/>
      <c r="T637" s="67"/>
      <c r="U637" s="67"/>
      <c r="V637" s="67"/>
      <c r="W637" s="67"/>
      <c r="X637" s="148"/>
      <c r="Y637" s="67"/>
      <c r="Z637" s="67"/>
      <c r="AA637" s="67"/>
      <c r="AB637" s="67"/>
      <c r="AC637" s="67"/>
      <c r="AD637" s="67"/>
      <c r="AE637" s="67"/>
    </row>
    <row r="638" spans="1:31">
      <c r="A638" s="67"/>
      <c r="B638" s="67"/>
      <c r="C638" s="67"/>
      <c r="D638" s="67"/>
      <c r="E638" s="67"/>
      <c r="F638" s="67"/>
      <c r="G638" s="67"/>
      <c r="H638" s="67"/>
      <c r="I638" s="67"/>
      <c r="J638" s="67"/>
      <c r="K638" s="148"/>
      <c r="L638" s="67"/>
      <c r="M638" s="148"/>
      <c r="N638" s="67"/>
      <c r="O638" s="67"/>
      <c r="P638" s="148"/>
      <c r="Q638" s="67"/>
      <c r="R638" s="67"/>
      <c r="S638" s="67"/>
      <c r="T638" s="67"/>
      <c r="U638" s="67"/>
      <c r="V638" s="67"/>
      <c r="W638" s="67"/>
      <c r="X638" s="148"/>
      <c r="Y638" s="67"/>
      <c r="Z638" s="67"/>
      <c r="AA638" s="67"/>
      <c r="AB638" s="67"/>
      <c r="AC638" s="67"/>
      <c r="AD638" s="67"/>
      <c r="AE638" s="67"/>
    </row>
    <row r="639" spans="1:31">
      <c r="A639" s="67"/>
      <c r="B639" s="67"/>
      <c r="C639" s="67"/>
      <c r="D639" s="67"/>
      <c r="E639" s="67"/>
      <c r="F639" s="67"/>
      <c r="G639" s="67"/>
      <c r="H639" s="67"/>
      <c r="I639" s="67"/>
      <c r="J639" s="67"/>
      <c r="K639" s="148"/>
      <c r="L639" s="67"/>
      <c r="M639" s="148"/>
      <c r="N639" s="67"/>
      <c r="O639" s="67"/>
      <c r="P639" s="148"/>
      <c r="Q639" s="67"/>
      <c r="R639" s="67"/>
      <c r="S639" s="67"/>
      <c r="T639" s="67"/>
      <c r="U639" s="67"/>
      <c r="V639" s="67"/>
      <c r="W639" s="67"/>
      <c r="X639" s="148"/>
      <c r="Y639" s="67"/>
      <c r="Z639" s="67"/>
      <c r="AA639" s="67"/>
      <c r="AB639" s="67"/>
      <c r="AC639" s="67"/>
      <c r="AD639" s="67"/>
      <c r="AE639" s="67"/>
    </row>
    <row r="640" spans="1:31">
      <c r="A640" s="67"/>
      <c r="B640" s="67"/>
      <c r="C640" s="67"/>
      <c r="D640" s="67"/>
      <c r="E640" s="67"/>
      <c r="F640" s="67"/>
      <c r="G640" s="67"/>
      <c r="H640" s="67"/>
      <c r="I640" s="67"/>
      <c r="J640" s="67"/>
      <c r="K640" s="148"/>
      <c r="L640" s="67"/>
      <c r="M640" s="148"/>
      <c r="N640" s="67"/>
      <c r="O640" s="67"/>
      <c r="P640" s="148"/>
      <c r="Q640" s="67"/>
      <c r="R640" s="67"/>
      <c r="S640" s="67"/>
      <c r="T640" s="67"/>
      <c r="U640" s="67"/>
      <c r="V640" s="67"/>
      <c r="W640" s="67"/>
      <c r="X640" s="148"/>
      <c r="Y640" s="67"/>
      <c r="Z640" s="67"/>
      <c r="AA640" s="67"/>
      <c r="AB640" s="67"/>
      <c r="AC640" s="67"/>
      <c r="AD640" s="67"/>
      <c r="AE640" s="67"/>
    </row>
    <row r="641" spans="1:31">
      <c r="A641" s="67"/>
      <c r="B641" s="67"/>
      <c r="C641" s="67"/>
      <c r="D641" s="67"/>
      <c r="E641" s="67"/>
      <c r="F641" s="67"/>
      <c r="G641" s="67"/>
      <c r="H641" s="67"/>
      <c r="I641" s="67"/>
      <c r="J641" s="67"/>
      <c r="K641" s="148"/>
      <c r="L641" s="67"/>
      <c r="M641" s="148"/>
      <c r="N641" s="67"/>
      <c r="O641" s="67"/>
      <c r="P641" s="148"/>
      <c r="Q641" s="67"/>
      <c r="R641" s="67"/>
      <c r="S641" s="67"/>
      <c r="T641" s="67"/>
      <c r="U641" s="67"/>
      <c r="V641" s="67"/>
      <c r="W641" s="67"/>
      <c r="X641" s="148"/>
      <c r="Y641" s="67"/>
      <c r="Z641" s="67"/>
      <c r="AA641" s="67"/>
      <c r="AB641" s="67"/>
      <c r="AC641" s="67"/>
      <c r="AD641" s="67"/>
      <c r="AE641" s="67"/>
    </row>
    <row r="642" spans="1:31">
      <c r="A642" s="67"/>
      <c r="B642" s="67"/>
      <c r="C642" s="67"/>
      <c r="D642" s="67"/>
      <c r="E642" s="67"/>
      <c r="F642" s="67"/>
      <c r="G642" s="67"/>
      <c r="H642" s="67"/>
      <c r="I642" s="67"/>
      <c r="J642" s="67"/>
      <c r="K642" s="148"/>
      <c r="L642" s="67"/>
      <c r="M642" s="148"/>
      <c r="N642" s="67"/>
      <c r="O642" s="67"/>
      <c r="P642" s="148"/>
      <c r="Q642" s="67"/>
      <c r="R642" s="67"/>
      <c r="S642" s="67"/>
      <c r="T642" s="67"/>
      <c r="U642" s="67"/>
      <c r="V642" s="67"/>
      <c r="W642" s="67"/>
      <c r="X642" s="148"/>
      <c r="Y642" s="67"/>
      <c r="Z642" s="67"/>
      <c r="AA642" s="67"/>
      <c r="AB642" s="67"/>
      <c r="AC642" s="67"/>
      <c r="AD642" s="67"/>
      <c r="AE642" s="67"/>
    </row>
    <row r="643" spans="1:31">
      <c r="A643" s="67"/>
      <c r="B643" s="67"/>
      <c r="C643" s="67"/>
      <c r="D643" s="67"/>
      <c r="E643" s="67"/>
      <c r="F643" s="67"/>
      <c r="G643" s="67"/>
      <c r="H643" s="67"/>
      <c r="I643" s="67"/>
      <c r="J643" s="67"/>
      <c r="K643" s="148"/>
      <c r="L643" s="67"/>
      <c r="M643" s="148"/>
      <c r="N643" s="67"/>
      <c r="O643" s="67"/>
      <c r="P643" s="148"/>
      <c r="Q643" s="67"/>
      <c r="R643" s="67"/>
      <c r="S643" s="67"/>
      <c r="T643" s="67"/>
      <c r="U643" s="67"/>
      <c r="V643" s="67"/>
      <c r="W643" s="67"/>
      <c r="X643" s="148"/>
      <c r="Y643" s="67"/>
      <c r="Z643" s="67"/>
      <c r="AA643" s="67"/>
      <c r="AB643" s="67"/>
      <c r="AC643" s="67"/>
      <c r="AD643" s="67"/>
      <c r="AE643" s="67"/>
    </row>
    <row r="644" spans="1:31">
      <c r="A644" s="67"/>
      <c r="B644" s="67"/>
      <c r="C644" s="67"/>
      <c r="D644" s="67"/>
      <c r="E644" s="67"/>
      <c r="F644" s="67"/>
      <c r="G644" s="67"/>
      <c r="H644" s="67"/>
      <c r="I644" s="67"/>
      <c r="J644" s="67"/>
      <c r="K644" s="148"/>
      <c r="L644" s="67"/>
      <c r="M644" s="148"/>
      <c r="N644" s="67"/>
      <c r="O644" s="67"/>
      <c r="P644" s="148"/>
      <c r="Q644" s="67"/>
      <c r="R644" s="67"/>
      <c r="S644" s="67"/>
      <c r="T644" s="67"/>
      <c r="U644" s="67"/>
      <c r="V644" s="67"/>
      <c r="W644" s="67"/>
      <c r="X644" s="148"/>
      <c r="Y644" s="67"/>
      <c r="Z644" s="67"/>
      <c r="AA644" s="67"/>
      <c r="AB644" s="67"/>
      <c r="AC644" s="67"/>
      <c r="AD644" s="67"/>
      <c r="AE644" s="67"/>
    </row>
    <row r="645" spans="1:31">
      <c r="A645" s="67"/>
      <c r="B645" s="67"/>
      <c r="C645" s="67"/>
      <c r="D645" s="67"/>
      <c r="E645" s="67"/>
      <c r="F645" s="67"/>
      <c r="G645" s="67"/>
      <c r="H645" s="67"/>
      <c r="I645" s="67"/>
      <c r="J645" s="67"/>
      <c r="K645" s="148"/>
      <c r="L645" s="67"/>
      <c r="M645" s="148"/>
      <c r="N645" s="67"/>
      <c r="O645" s="67"/>
      <c r="P645" s="148"/>
      <c r="Q645" s="67"/>
      <c r="R645" s="67"/>
      <c r="S645" s="67"/>
      <c r="T645" s="67"/>
      <c r="U645" s="67"/>
      <c r="V645" s="67"/>
      <c r="W645" s="67"/>
      <c r="X645" s="148"/>
      <c r="Y645" s="67"/>
      <c r="Z645" s="67"/>
      <c r="AA645" s="67"/>
      <c r="AB645" s="67"/>
      <c r="AC645" s="67"/>
      <c r="AD645" s="67"/>
      <c r="AE645" s="67"/>
    </row>
    <row r="646" spans="1:31">
      <c r="A646" s="67"/>
      <c r="B646" s="67"/>
      <c r="C646" s="67"/>
      <c r="D646" s="67"/>
      <c r="E646" s="67"/>
      <c r="F646" s="67"/>
      <c r="G646" s="67"/>
      <c r="H646" s="67"/>
      <c r="I646" s="67"/>
      <c r="J646" s="67"/>
      <c r="K646" s="148"/>
      <c r="L646" s="67"/>
      <c r="M646" s="148"/>
      <c r="N646" s="67"/>
      <c r="O646" s="67"/>
      <c r="P646" s="148"/>
      <c r="Q646" s="67"/>
      <c r="R646" s="67"/>
      <c r="S646" s="67"/>
      <c r="T646" s="67"/>
      <c r="U646" s="67"/>
      <c r="V646" s="67"/>
      <c r="W646" s="67"/>
      <c r="X646" s="148"/>
      <c r="Y646" s="67"/>
      <c r="Z646" s="67"/>
      <c r="AA646" s="67"/>
      <c r="AB646" s="67"/>
      <c r="AC646" s="67"/>
      <c r="AD646" s="67"/>
      <c r="AE646" s="67"/>
    </row>
    <row r="647" spans="1:31">
      <c r="A647" s="67"/>
      <c r="B647" s="67"/>
      <c r="C647" s="67"/>
      <c r="D647" s="67"/>
      <c r="E647" s="67"/>
      <c r="F647" s="67"/>
      <c r="G647" s="67"/>
      <c r="H647" s="67"/>
      <c r="I647" s="67"/>
      <c r="J647" s="67"/>
      <c r="K647" s="148"/>
      <c r="L647" s="67"/>
      <c r="M647" s="148"/>
      <c r="N647" s="67"/>
      <c r="O647" s="67"/>
      <c r="P647" s="148"/>
      <c r="Q647" s="67"/>
      <c r="R647" s="67"/>
      <c r="S647" s="67"/>
      <c r="T647" s="67"/>
      <c r="U647" s="67"/>
      <c r="V647" s="67"/>
      <c r="W647" s="67"/>
      <c r="X647" s="148"/>
      <c r="Y647" s="67"/>
      <c r="Z647" s="67"/>
      <c r="AA647" s="67"/>
      <c r="AB647" s="67"/>
      <c r="AC647" s="67"/>
      <c r="AD647" s="67"/>
      <c r="AE647" s="67"/>
    </row>
    <row r="648" spans="1:31">
      <c r="A648" s="67"/>
      <c r="B648" s="67"/>
      <c r="C648" s="67"/>
      <c r="D648" s="67"/>
      <c r="E648" s="67"/>
      <c r="F648" s="67"/>
      <c r="G648" s="67"/>
      <c r="H648" s="67"/>
      <c r="I648" s="67"/>
      <c r="J648" s="67"/>
      <c r="K648" s="148"/>
      <c r="L648" s="67"/>
      <c r="M648" s="148"/>
      <c r="N648" s="67"/>
      <c r="O648" s="67"/>
      <c r="P648" s="148"/>
      <c r="Q648" s="67"/>
      <c r="R648" s="67"/>
      <c r="S648" s="67"/>
      <c r="T648" s="67"/>
      <c r="U648" s="67"/>
      <c r="V648" s="67"/>
      <c r="W648" s="67"/>
      <c r="X648" s="148"/>
      <c r="Y648" s="67"/>
      <c r="Z648" s="67"/>
      <c r="AA648" s="67"/>
      <c r="AB648" s="67"/>
      <c r="AC648" s="67"/>
      <c r="AD648" s="67"/>
      <c r="AE648" s="67"/>
    </row>
    <row r="649" spans="1:31">
      <c r="A649" s="67"/>
      <c r="B649" s="67"/>
      <c r="C649" s="67"/>
      <c r="D649" s="67"/>
      <c r="E649" s="67"/>
      <c r="F649" s="67"/>
      <c r="G649" s="67"/>
      <c r="H649" s="67"/>
      <c r="I649" s="67"/>
      <c r="J649" s="67"/>
      <c r="K649" s="148"/>
      <c r="L649" s="67"/>
      <c r="M649" s="148"/>
      <c r="N649" s="67"/>
      <c r="O649" s="67"/>
      <c r="P649" s="148"/>
      <c r="Q649" s="67"/>
      <c r="R649" s="67"/>
      <c r="S649" s="67"/>
      <c r="T649" s="67"/>
      <c r="U649" s="67"/>
      <c r="V649" s="67"/>
      <c r="W649" s="67"/>
      <c r="X649" s="148"/>
      <c r="Y649" s="67"/>
      <c r="Z649" s="67"/>
      <c r="AA649" s="67"/>
      <c r="AB649" s="67"/>
      <c r="AC649" s="67"/>
      <c r="AD649" s="67"/>
      <c r="AE649" s="67"/>
    </row>
    <row r="650" spans="1:31">
      <c r="A650" s="67"/>
      <c r="B650" s="67"/>
      <c r="C650" s="67"/>
      <c r="D650" s="67"/>
      <c r="E650" s="67"/>
      <c r="F650" s="67"/>
      <c r="G650" s="67"/>
      <c r="H650" s="67"/>
      <c r="I650" s="67"/>
      <c r="J650" s="67"/>
      <c r="K650" s="148"/>
      <c r="L650" s="67"/>
      <c r="M650" s="148"/>
      <c r="N650" s="67"/>
      <c r="O650" s="67"/>
      <c r="P650" s="148"/>
      <c r="Q650" s="67"/>
      <c r="R650" s="67"/>
      <c r="S650" s="67"/>
      <c r="T650" s="67"/>
      <c r="U650" s="67"/>
      <c r="V650" s="67"/>
      <c r="W650" s="67"/>
      <c r="X650" s="148"/>
      <c r="Y650" s="67"/>
      <c r="Z650" s="67"/>
      <c r="AA650" s="67"/>
      <c r="AB650" s="67"/>
      <c r="AC650" s="67"/>
      <c r="AD650" s="67"/>
      <c r="AE650" s="67"/>
    </row>
    <row r="651" spans="1:31">
      <c r="A651" s="67"/>
      <c r="B651" s="67"/>
      <c r="C651" s="67"/>
      <c r="D651" s="67"/>
      <c r="E651" s="67"/>
      <c r="F651" s="67"/>
      <c r="G651" s="67"/>
      <c r="H651" s="67"/>
      <c r="I651" s="67"/>
      <c r="J651" s="67"/>
      <c r="K651" s="148"/>
      <c r="L651" s="67"/>
      <c r="M651" s="148"/>
      <c r="N651" s="67"/>
      <c r="O651" s="67"/>
      <c r="P651" s="148"/>
      <c r="Q651" s="67"/>
      <c r="R651" s="67"/>
      <c r="S651" s="67"/>
      <c r="T651" s="67"/>
      <c r="U651" s="67"/>
      <c r="V651" s="67"/>
      <c r="W651" s="67"/>
      <c r="X651" s="148"/>
      <c r="Y651" s="67"/>
      <c r="Z651" s="67"/>
      <c r="AA651" s="67"/>
      <c r="AB651" s="67"/>
      <c r="AC651" s="67"/>
      <c r="AD651" s="67"/>
      <c r="AE651" s="67" t="s">
        <v>313</v>
      </c>
    </row>
    <row r="652" spans="1:31">
      <c r="A652" s="67"/>
      <c r="B652" s="67"/>
      <c r="C652" s="67"/>
      <c r="D652" s="67"/>
      <c r="E652" s="67"/>
      <c r="F652" s="67"/>
      <c r="G652" s="67"/>
      <c r="H652" s="67"/>
      <c r="I652" s="67"/>
      <c r="J652" s="67"/>
      <c r="K652" s="148"/>
      <c r="L652" s="67"/>
      <c r="M652" s="148"/>
      <c r="N652" s="67"/>
      <c r="O652" s="67"/>
      <c r="P652" s="148"/>
      <c r="Q652" s="67"/>
      <c r="R652" s="67"/>
      <c r="S652" s="67"/>
      <c r="T652" s="67"/>
      <c r="U652" s="67"/>
      <c r="V652" s="67"/>
      <c r="W652" s="67"/>
      <c r="X652" s="148"/>
      <c r="Y652" s="67"/>
      <c r="Z652" s="67"/>
      <c r="AA652" s="67"/>
      <c r="AB652" s="67"/>
      <c r="AC652" s="67"/>
      <c r="AD652" s="67"/>
      <c r="AE652" s="67" t="s">
        <v>313</v>
      </c>
    </row>
    <row r="653" spans="1:31">
      <c r="A653" s="67"/>
      <c r="B653" s="67"/>
      <c r="C653" s="67"/>
      <c r="D653" s="67"/>
      <c r="E653" s="67"/>
      <c r="F653" s="67"/>
      <c r="G653" s="67"/>
      <c r="H653" s="67"/>
      <c r="I653" s="67"/>
      <c r="J653" s="67"/>
      <c r="K653" s="148"/>
      <c r="L653" s="67"/>
      <c r="M653" s="148"/>
      <c r="N653" s="67"/>
      <c r="O653" s="67"/>
      <c r="P653" s="148"/>
      <c r="Q653" s="67"/>
      <c r="R653" s="67"/>
      <c r="S653" s="67"/>
      <c r="T653" s="67"/>
      <c r="U653" s="67"/>
      <c r="V653" s="67"/>
      <c r="W653" s="67"/>
      <c r="X653" s="148"/>
      <c r="Y653" s="67"/>
      <c r="Z653" s="67"/>
      <c r="AA653" s="67"/>
      <c r="AB653" s="67"/>
      <c r="AC653" s="67"/>
      <c r="AD653" s="67"/>
      <c r="AE653" s="67" t="s">
        <v>313</v>
      </c>
    </row>
    <row r="654" spans="1:31">
      <c r="A654" s="67"/>
      <c r="B654" s="67"/>
      <c r="C654" s="67"/>
      <c r="D654" s="67"/>
      <c r="E654" s="67"/>
      <c r="F654" s="67"/>
      <c r="G654" s="67"/>
      <c r="H654" s="67"/>
      <c r="I654" s="67"/>
      <c r="J654" s="67"/>
      <c r="K654" s="148"/>
      <c r="L654" s="67"/>
      <c r="M654" s="148"/>
      <c r="N654" s="67"/>
      <c r="O654" s="67"/>
      <c r="P654" s="148"/>
      <c r="Q654" s="67"/>
      <c r="R654" s="67"/>
      <c r="S654" s="67"/>
      <c r="T654" s="67"/>
      <c r="U654" s="67"/>
      <c r="V654" s="67"/>
      <c r="W654" s="67"/>
      <c r="X654" s="148"/>
      <c r="Y654" s="67"/>
      <c r="Z654" s="67"/>
      <c r="AA654" s="67"/>
      <c r="AB654" s="67"/>
      <c r="AC654" s="67"/>
      <c r="AD654" s="67"/>
      <c r="AE654" s="67" t="s">
        <v>313</v>
      </c>
    </row>
    <row r="655" spans="1:31">
      <c r="A655" s="67"/>
      <c r="B655" s="67"/>
      <c r="C655" s="67"/>
      <c r="D655" s="67"/>
      <c r="E655" s="67"/>
      <c r="F655" s="67"/>
      <c r="G655" s="67"/>
      <c r="H655" s="67"/>
      <c r="I655" s="67"/>
      <c r="J655" s="67"/>
      <c r="K655" s="148"/>
      <c r="L655" s="67"/>
      <c r="M655" s="148"/>
      <c r="N655" s="67"/>
      <c r="O655" s="67"/>
      <c r="P655" s="148"/>
      <c r="Q655" s="67"/>
      <c r="R655" s="67"/>
      <c r="S655" s="67"/>
      <c r="T655" s="67"/>
      <c r="U655" s="67"/>
      <c r="V655" s="67"/>
      <c r="W655" s="67"/>
      <c r="X655" s="148"/>
      <c r="Y655" s="67"/>
      <c r="Z655" s="67"/>
      <c r="AA655" s="67"/>
      <c r="AB655" s="67"/>
      <c r="AC655" s="67"/>
      <c r="AD655" s="67"/>
      <c r="AE655" s="67" t="s">
        <v>2585</v>
      </c>
    </row>
    <row r="656" spans="1:31">
      <c r="A656" s="67"/>
      <c r="B656" s="67"/>
      <c r="C656" s="67"/>
      <c r="D656" s="67"/>
      <c r="E656" s="67"/>
      <c r="F656" s="67"/>
      <c r="G656" s="67"/>
      <c r="H656" s="67"/>
      <c r="I656" s="67"/>
      <c r="J656" s="67"/>
      <c r="K656" s="148"/>
      <c r="L656" s="67"/>
      <c r="M656" s="148"/>
      <c r="N656" s="67"/>
      <c r="O656" s="67"/>
      <c r="P656" s="148"/>
      <c r="Q656" s="67"/>
      <c r="R656" s="67"/>
      <c r="S656" s="67"/>
      <c r="T656" s="67"/>
      <c r="U656" s="67"/>
      <c r="V656" s="67"/>
      <c r="W656" s="67"/>
      <c r="X656" s="148"/>
      <c r="Y656" s="67"/>
      <c r="Z656" s="67"/>
      <c r="AA656" s="67"/>
      <c r="AB656" s="67"/>
      <c r="AC656" s="67"/>
      <c r="AD656" s="67"/>
      <c r="AE656" s="67" t="s">
        <v>2585</v>
      </c>
    </row>
    <row r="657" spans="1:31">
      <c r="A657" s="67"/>
      <c r="B657" s="67"/>
      <c r="C657" s="67"/>
      <c r="D657" s="67"/>
      <c r="E657" s="67"/>
      <c r="F657" s="67"/>
      <c r="G657" s="67"/>
      <c r="H657" s="67"/>
      <c r="I657" s="67"/>
      <c r="J657" s="67"/>
      <c r="K657" s="148"/>
      <c r="L657" s="67"/>
      <c r="M657" s="148"/>
      <c r="N657" s="67"/>
      <c r="O657" s="67"/>
      <c r="P657" s="148"/>
      <c r="Q657" s="67"/>
      <c r="R657" s="67"/>
      <c r="S657" s="67"/>
      <c r="T657" s="67"/>
      <c r="U657" s="67"/>
      <c r="V657" s="67"/>
      <c r="W657" s="67"/>
      <c r="X657" s="148"/>
      <c r="Y657" s="67"/>
      <c r="Z657" s="67"/>
      <c r="AA657" s="67"/>
      <c r="AB657" s="67"/>
      <c r="AC657" s="67"/>
      <c r="AD657" s="67"/>
      <c r="AE657" s="67" t="s">
        <v>2585</v>
      </c>
    </row>
    <row r="658" spans="1:31">
      <c r="A658" s="67"/>
      <c r="B658" s="67"/>
      <c r="C658" s="67"/>
      <c r="D658" s="67"/>
      <c r="E658" s="67"/>
      <c r="F658" s="67"/>
      <c r="G658" s="67"/>
      <c r="H658" s="67"/>
      <c r="I658" s="67"/>
      <c r="J658" s="67"/>
      <c r="K658" s="148"/>
      <c r="L658" s="67"/>
      <c r="M658" s="148"/>
      <c r="N658" s="67"/>
      <c r="O658" s="67"/>
      <c r="P658" s="148"/>
      <c r="Q658" s="67"/>
      <c r="R658" s="67"/>
      <c r="S658" s="67"/>
      <c r="T658" s="67"/>
      <c r="U658" s="67"/>
      <c r="V658" s="67"/>
      <c r="W658" s="67"/>
      <c r="X658" s="148"/>
      <c r="Y658" s="67"/>
      <c r="Z658" s="67"/>
      <c r="AA658" s="67"/>
      <c r="AB658" s="67"/>
      <c r="AC658" s="67"/>
      <c r="AD658" s="67"/>
      <c r="AE658" s="67" t="s">
        <v>2585</v>
      </c>
    </row>
    <row r="659" spans="1:31">
      <c r="A659" s="67"/>
      <c r="B659" s="67"/>
      <c r="C659" s="67"/>
      <c r="D659" s="67"/>
      <c r="E659" s="67"/>
      <c r="F659" s="67"/>
      <c r="G659" s="67"/>
      <c r="H659" s="67"/>
      <c r="I659" s="67"/>
      <c r="J659" s="67"/>
      <c r="K659" s="148"/>
      <c r="L659" s="67"/>
      <c r="M659" s="148"/>
      <c r="N659" s="67"/>
      <c r="O659" s="67"/>
      <c r="P659" s="148"/>
      <c r="Q659" s="67"/>
      <c r="R659" s="67"/>
      <c r="S659" s="67"/>
      <c r="T659" s="67"/>
      <c r="U659" s="67"/>
      <c r="V659" s="67"/>
      <c r="W659" s="67"/>
      <c r="X659" s="148"/>
      <c r="Y659" s="67"/>
      <c r="Z659" s="67"/>
      <c r="AA659" s="67"/>
      <c r="AB659" s="67"/>
      <c r="AC659" s="67"/>
      <c r="AD659" s="67"/>
      <c r="AE659" s="67" t="s">
        <v>2585</v>
      </c>
    </row>
    <row r="660" spans="1:31">
      <c r="A660" s="67"/>
      <c r="B660" s="67"/>
      <c r="C660" s="67"/>
      <c r="D660" s="67"/>
      <c r="E660" s="67"/>
      <c r="F660" s="67"/>
      <c r="G660" s="67"/>
      <c r="H660" s="67"/>
      <c r="I660" s="67"/>
      <c r="J660" s="67"/>
      <c r="K660" s="148"/>
      <c r="L660" s="67"/>
      <c r="M660" s="148"/>
      <c r="N660" s="67"/>
      <c r="O660" s="67"/>
      <c r="P660" s="148"/>
      <c r="Q660" s="67"/>
      <c r="R660" s="67"/>
      <c r="S660" s="67"/>
      <c r="T660" s="67"/>
      <c r="U660" s="67"/>
      <c r="V660" s="67"/>
      <c r="W660" s="67"/>
      <c r="X660" s="148"/>
      <c r="Y660" s="67"/>
      <c r="Z660" s="67"/>
      <c r="AA660" s="67"/>
      <c r="AB660" s="67"/>
      <c r="AC660" s="67"/>
      <c r="AD660" s="67"/>
      <c r="AE660" s="67" t="s">
        <v>2585</v>
      </c>
    </row>
    <row r="661" spans="1:31">
      <c r="A661" s="67"/>
      <c r="B661" s="67"/>
      <c r="C661" s="67"/>
      <c r="D661" s="67"/>
      <c r="E661" s="67"/>
      <c r="F661" s="67"/>
      <c r="G661" s="67"/>
      <c r="H661" s="67"/>
      <c r="I661" s="67"/>
      <c r="J661" s="67"/>
      <c r="K661" s="148"/>
      <c r="L661" s="67"/>
      <c r="M661" s="148"/>
      <c r="N661" s="67"/>
      <c r="O661" s="67"/>
      <c r="P661" s="148"/>
      <c r="Q661" s="67"/>
      <c r="R661" s="67"/>
      <c r="S661" s="67"/>
      <c r="T661" s="67"/>
      <c r="U661" s="67"/>
      <c r="V661" s="67"/>
      <c r="W661" s="67"/>
      <c r="X661" s="148"/>
      <c r="Y661" s="67"/>
      <c r="Z661" s="67"/>
      <c r="AA661" s="67"/>
      <c r="AB661" s="67"/>
      <c r="AC661" s="67"/>
      <c r="AD661" s="67"/>
      <c r="AE661" s="67" t="s">
        <v>2585</v>
      </c>
    </row>
    <row r="662" spans="1:31">
      <c r="A662" s="67"/>
      <c r="B662" s="67"/>
      <c r="C662" s="67"/>
      <c r="D662" s="67"/>
      <c r="E662" s="67"/>
      <c r="F662" s="67"/>
      <c r="G662" s="67"/>
      <c r="H662" s="67"/>
      <c r="I662" s="67"/>
      <c r="J662" s="67"/>
      <c r="K662" s="148"/>
      <c r="L662" s="67"/>
      <c r="M662" s="148"/>
      <c r="N662" s="67"/>
      <c r="O662" s="67"/>
      <c r="P662" s="148"/>
      <c r="Q662" s="67"/>
      <c r="R662" s="67"/>
      <c r="S662" s="67"/>
      <c r="T662" s="67"/>
      <c r="U662" s="67"/>
      <c r="V662" s="67"/>
      <c r="W662" s="67"/>
      <c r="X662" s="148"/>
      <c r="Y662" s="67"/>
      <c r="Z662" s="67"/>
      <c r="AA662" s="67"/>
      <c r="AB662" s="67"/>
      <c r="AC662" s="67"/>
      <c r="AD662" s="67"/>
      <c r="AE662" s="67" t="s">
        <v>2585</v>
      </c>
    </row>
    <row r="663" spans="1:31">
      <c r="A663" s="67"/>
      <c r="B663" s="67"/>
      <c r="C663" s="67"/>
      <c r="D663" s="67"/>
      <c r="E663" s="67"/>
      <c r="F663" s="67"/>
      <c r="G663" s="67"/>
      <c r="H663" s="67"/>
      <c r="I663" s="67"/>
      <c r="J663" s="67"/>
      <c r="K663" s="148"/>
      <c r="L663" s="67"/>
      <c r="M663" s="148"/>
      <c r="N663" s="67"/>
      <c r="O663" s="67"/>
      <c r="P663" s="148"/>
      <c r="Q663" s="67"/>
      <c r="R663" s="67"/>
      <c r="S663" s="67"/>
      <c r="T663" s="67"/>
      <c r="U663" s="67"/>
      <c r="V663" s="67"/>
      <c r="W663" s="67"/>
      <c r="X663" s="148"/>
      <c r="Y663" s="67"/>
      <c r="Z663" s="67"/>
      <c r="AA663" s="67"/>
      <c r="AB663" s="67"/>
      <c r="AC663" s="67"/>
      <c r="AD663" s="67"/>
      <c r="AE663" s="67" t="s">
        <v>2585</v>
      </c>
    </row>
    <row r="664" spans="1:31">
      <c r="A664" s="67"/>
      <c r="B664" s="67"/>
      <c r="C664" s="67"/>
      <c r="D664" s="67"/>
      <c r="E664" s="67"/>
      <c r="F664" s="67"/>
      <c r="G664" s="67"/>
      <c r="H664" s="67"/>
      <c r="I664" s="67"/>
      <c r="J664" s="67"/>
      <c r="K664" s="148"/>
      <c r="L664" s="67"/>
      <c r="M664" s="148"/>
      <c r="N664" s="67"/>
      <c r="O664" s="67"/>
      <c r="P664" s="148"/>
      <c r="Q664" s="67"/>
      <c r="R664" s="67"/>
      <c r="S664" s="67"/>
      <c r="T664" s="67"/>
      <c r="U664" s="67"/>
      <c r="V664" s="67"/>
      <c r="W664" s="67"/>
      <c r="X664" s="148"/>
      <c r="Y664" s="67"/>
      <c r="Z664" s="67"/>
      <c r="AA664" s="67"/>
      <c r="AB664" s="67"/>
      <c r="AC664" s="67"/>
      <c r="AD664" s="67"/>
      <c r="AE664" s="67" t="s">
        <v>2585</v>
      </c>
    </row>
    <row r="665" spans="1:31">
      <c r="A665" s="67"/>
      <c r="B665" s="67"/>
      <c r="C665" s="67"/>
      <c r="D665" s="67"/>
      <c r="E665" s="67"/>
      <c r="F665" s="67"/>
      <c r="G665" s="67"/>
      <c r="H665" s="67"/>
      <c r="I665" s="67"/>
      <c r="J665" s="67"/>
      <c r="K665" s="148"/>
      <c r="L665" s="67"/>
      <c r="M665" s="148"/>
      <c r="N665" s="67"/>
      <c r="O665" s="67"/>
      <c r="P665" s="148"/>
      <c r="Q665" s="67"/>
      <c r="R665" s="67"/>
      <c r="S665" s="67"/>
      <c r="T665" s="67"/>
      <c r="U665" s="67"/>
      <c r="V665" s="67"/>
      <c r="W665" s="67"/>
      <c r="X665" s="148"/>
      <c r="Y665" s="67"/>
      <c r="Z665" s="67"/>
      <c r="AA665" s="67"/>
      <c r="AB665" s="67"/>
      <c r="AC665" s="67"/>
      <c r="AD665" s="67"/>
      <c r="AE665" s="67" t="s">
        <v>2585</v>
      </c>
    </row>
    <row r="666" spans="1:31">
      <c r="A666" s="67"/>
      <c r="B666" s="67"/>
      <c r="C666" s="67"/>
      <c r="D666" s="67"/>
      <c r="E666" s="67"/>
      <c r="F666" s="67"/>
      <c r="G666" s="67"/>
      <c r="H666" s="67"/>
      <c r="I666" s="67"/>
      <c r="J666" s="67"/>
      <c r="K666" s="148"/>
      <c r="L666" s="67"/>
      <c r="M666" s="148"/>
      <c r="N666" s="67"/>
      <c r="O666" s="67"/>
      <c r="P666" s="148"/>
      <c r="Q666" s="67"/>
      <c r="R666" s="67"/>
      <c r="S666" s="67"/>
      <c r="T666" s="67"/>
      <c r="U666" s="67"/>
      <c r="V666" s="67"/>
      <c r="W666" s="67"/>
      <c r="X666" s="148"/>
      <c r="Y666" s="67"/>
      <c r="Z666" s="67"/>
      <c r="AA666" s="67"/>
      <c r="AB666" s="67"/>
      <c r="AC666" s="67"/>
      <c r="AD666" s="67"/>
      <c r="AE666" s="67" t="s">
        <v>2585</v>
      </c>
    </row>
    <row r="667" spans="1:31">
      <c r="A667" s="67"/>
      <c r="B667" s="67"/>
      <c r="C667" s="67"/>
      <c r="D667" s="67"/>
      <c r="E667" s="67"/>
      <c r="F667" s="67"/>
      <c r="G667" s="67"/>
      <c r="H667" s="67"/>
      <c r="I667" s="67"/>
      <c r="J667" s="67"/>
      <c r="K667" s="148"/>
      <c r="L667" s="67"/>
      <c r="M667" s="148"/>
      <c r="N667" s="67"/>
      <c r="O667" s="67"/>
      <c r="P667" s="148"/>
      <c r="Q667" s="67"/>
      <c r="R667" s="67"/>
      <c r="S667" s="67"/>
      <c r="T667" s="67"/>
      <c r="U667" s="67"/>
      <c r="V667" s="67"/>
      <c r="W667" s="67"/>
      <c r="X667" s="148"/>
      <c r="Y667" s="67"/>
      <c r="Z667" s="67"/>
      <c r="AA667" s="67"/>
      <c r="AB667" s="67"/>
      <c r="AC667" s="67"/>
      <c r="AD667" s="67"/>
      <c r="AE667" s="67" t="s">
        <v>2585</v>
      </c>
    </row>
    <row r="668" spans="1:31">
      <c r="A668" s="67"/>
      <c r="B668" s="67"/>
      <c r="C668" s="67"/>
      <c r="D668" s="67"/>
      <c r="E668" s="67"/>
      <c r="F668" s="67"/>
      <c r="G668" s="67"/>
      <c r="H668" s="67"/>
      <c r="I668" s="67"/>
      <c r="J668" s="67"/>
      <c r="K668" s="148"/>
      <c r="L668" s="67"/>
      <c r="M668" s="67"/>
      <c r="N668" s="67"/>
      <c r="O668" s="67"/>
      <c r="P668" s="148"/>
      <c r="Q668" s="67"/>
      <c r="R668" s="67"/>
      <c r="S668" s="67"/>
      <c r="T668" s="67"/>
      <c r="U668" s="67"/>
      <c r="V668" s="67"/>
      <c r="W668" s="67"/>
      <c r="X668" s="148"/>
      <c r="Y668" s="67"/>
      <c r="Z668" s="67"/>
      <c r="AA668" s="67"/>
      <c r="AB668" s="67"/>
      <c r="AC668" s="67"/>
      <c r="AD668" s="67"/>
      <c r="AE668" s="67" t="s">
        <v>2585</v>
      </c>
    </row>
    <row r="669" spans="1:31">
      <c r="A669" s="67"/>
      <c r="B669" s="67"/>
      <c r="C669" s="67"/>
      <c r="D669" s="67"/>
      <c r="E669" s="67"/>
      <c r="F669" s="67"/>
      <c r="G669" s="67"/>
      <c r="H669" s="67"/>
      <c r="I669" s="67"/>
      <c r="J669" s="67"/>
      <c r="K669" s="148"/>
      <c r="L669" s="67"/>
      <c r="M669" s="148"/>
      <c r="N669" s="67"/>
      <c r="O669" s="67"/>
      <c r="P669" s="148"/>
      <c r="Q669" s="67"/>
      <c r="R669" s="67"/>
      <c r="S669" s="67"/>
      <c r="T669" s="67"/>
      <c r="U669" s="67"/>
      <c r="V669" s="67"/>
      <c r="W669" s="67"/>
      <c r="X669" s="148"/>
      <c r="Y669" s="67"/>
      <c r="Z669" s="67"/>
      <c r="AA669" s="67"/>
      <c r="AB669" s="67"/>
      <c r="AC669" s="67"/>
      <c r="AD669" s="67"/>
      <c r="AE669" s="67" t="s">
        <v>2585</v>
      </c>
    </row>
    <row r="670" spans="1:31">
      <c r="A670" s="67"/>
      <c r="B670" s="67"/>
      <c r="C670" s="67"/>
      <c r="D670" s="67"/>
      <c r="E670" s="67"/>
      <c r="F670" s="67"/>
      <c r="G670" s="67"/>
      <c r="H670" s="67"/>
      <c r="I670" s="67"/>
      <c r="J670" s="67"/>
      <c r="K670" s="148"/>
      <c r="L670" s="67"/>
      <c r="M670" s="148"/>
      <c r="N670" s="67"/>
      <c r="O670" s="67"/>
      <c r="P670" s="148"/>
      <c r="Q670" s="67"/>
      <c r="R670" s="67"/>
      <c r="S670" s="67"/>
      <c r="T670" s="67"/>
      <c r="U670" s="67"/>
      <c r="V670" s="67"/>
      <c r="W670" s="67"/>
      <c r="X670" s="148"/>
      <c r="Y670" s="67"/>
      <c r="Z670" s="67"/>
      <c r="AA670" s="67"/>
      <c r="AB670" s="67"/>
      <c r="AC670" s="67"/>
      <c r="AD670" s="67"/>
      <c r="AE670" s="67"/>
    </row>
    <row r="671" spans="1:31">
      <c r="A671" s="67"/>
      <c r="B671" s="67"/>
      <c r="C671" s="67"/>
      <c r="D671" s="67"/>
      <c r="E671" s="67"/>
      <c r="F671" s="67"/>
      <c r="G671" s="67"/>
      <c r="H671" s="67"/>
      <c r="I671" s="67"/>
      <c r="J671" s="67"/>
      <c r="K671" s="148"/>
      <c r="L671" s="67"/>
      <c r="M671" s="67"/>
      <c r="N671" s="67"/>
      <c r="O671" s="67"/>
      <c r="P671" s="148"/>
      <c r="Q671" s="67"/>
      <c r="R671" s="67"/>
      <c r="S671" s="67"/>
      <c r="T671" s="67"/>
      <c r="U671" s="67"/>
      <c r="V671" s="67"/>
      <c r="W671" s="67"/>
      <c r="X671" s="148"/>
      <c r="Y671" s="67"/>
      <c r="Z671" s="67"/>
      <c r="AA671" s="67"/>
      <c r="AB671" s="67"/>
      <c r="AC671" s="67"/>
      <c r="AD671" s="67"/>
      <c r="AE671" s="67"/>
    </row>
    <row r="672" spans="1:31">
      <c r="A672" s="67"/>
      <c r="B672" s="67"/>
      <c r="C672" s="67"/>
      <c r="D672" s="67"/>
      <c r="E672" s="67"/>
      <c r="F672" s="67"/>
      <c r="G672" s="67"/>
      <c r="H672" s="67"/>
      <c r="I672" s="67"/>
      <c r="J672" s="67"/>
      <c r="K672" s="148"/>
      <c r="L672" s="67"/>
      <c r="M672" s="148"/>
      <c r="N672" s="67"/>
      <c r="O672" s="67"/>
      <c r="P672" s="148"/>
      <c r="Q672" s="67"/>
      <c r="R672" s="67"/>
      <c r="S672" s="67"/>
      <c r="T672" s="67"/>
      <c r="U672" s="67"/>
      <c r="V672" s="67"/>
      <c r="W672" s="67"/>
      <c r="X672" s="148"/>
      <c r="Y672" s="67"/>
      <c r="Z672" s="67"/>
      <c r="AA672" s="67"/>
      <c r="AB672" s="67"/>
      <c r="AC672" s="67"/>
      <c r="AD672" s="67"/>
      <c r="AE672" s="67"/>
    </row>
    <row r="673" spans="1:31">
      <c r="A673" s="67"/>
      <c r="B673" s="67"/>
      <c r="C673" s="67"/>
      <c r="D673" s="67"/>
      <c r="E673" s="67"/>
      <c r="F673" s="67"/>
      <c r="G673" s="67"/>
      <c r="H673" s="67"/>
      <c r="I673" s="67"/>
      <c r="J673" s="67"/>
      <c r="K673" s="148"/>
      <c r="L673" s="67"/>
      <c r="M673" s="148"/>
      <c r="N673" s="67"/>
      <c r="O673" s="67"/>
      <c r="P673" s="148"/>
      <c r="Q673" s="67"/>
      <c r="R673" s="67"/>
      <c r="S673" s="67"/>
      <c r="T673" s="67"/>
      <c r="U673" s="67"/>
      <c r="V673" s="67"/>
      <c r="W673" s="67"/>
      <c r="X673" s="148"/>
      <c r="Y673" s="67"/>
      <c r="Z673" s="67"/>
      <c r="AA673" s="67"/>
      <c r="AB673" s="67"/>
      <c r="AC673" s="67"/>
      <c r="AD673" s="67"/>
      <c r="AE673" s="67"/>
    </row>
    <row r="674" spans="1:31">
      <c r="A674" s="67"/>
      <c r="B674" s="67"/>
      <c r="C674" s="67"/>
      <c r="D674" s="67"/>
      <c r="E674" s="67"/>
      <c r="F674" s="67"/>
      <c r="G674" s="67"/>
      <c r="H674" s="67"/>
      <c r="I674" s="67"/>
      <c r="J674" s="67"/>
      <c r="K674" s="148"/>
      <c r="L674" s="67"/>
      <c r="M674" s="148"/>
      <c r="N674" s="67"/>
      <c r="O674" s="67"/>
      <c r="P674" s="148"/>
      <c r="Q674" s="67"/>
      <c r="R674" s="67"/>
      <c r="S674" s="67"/>
      <c r="T674" s="67"/>
      <c r="U674" s="67"/>
      <c r="V674" s="67"/>
      <c r="W674" s="67"/>
      <c r="X674" s="148"/>
      <c r="Y674" s="67"/>
      <c r="Z674" s="67"/>
      <c r="AA674" s="67"/>
      <c r="AB674" s="67"/>
      <c r="AC674" s="67"/>
      <c r="AD674" s="67"/>
      <c r="AE674" s="67"/>
    </row>
    <row r="675" spans="1:31">
      <c r="A675" s="67"/>
      <c r="B675" s="67"/>
      <c r="C675" s="67"/>
      <c r="D675" s="67"/>
      <c r="E675" s="67"/>
      <c r="F675" s="67"/>
      <c r="G675" s="67"/>
      <c r="H675" s="67"/>
      <c r="I675" s="67"/>
      <c r="J675" s="67"/>
      <c r="K675" s="148"/>
      <c r="L675" s="67"/>
      <c r="M675" s="148"/>
      <c r="N675" s="67"/>
      <c r="O675" s="67"/>
      <c r="P675" s="148"/>
      <c r="Q675" s="67"/>
      <c r="R675" s="67"/>
      <c r="S675" s="67"/>
      <c r="T675" s="67"/>
      <c r="U675" s="67"/>
      <c r="V675" s="67"/>
      <c r="W675" s="67"/>
      <c r="X675" s="148"/>
      <c r="Y675" s="67"/>
      <c r="Z675" s="67"/>
      <c r="AA675" s="67"/>
      <c r="AB675" s="67"/>
      <c r="AC675" s="67"/>
      <c r="AD675" s="67"/>
      <c r="AE675" s="67"/>
    </row>
    <row r="676" spans="1:31">
      <c r="A676" s="67"/>
      <c r="B676" s="67"/>
      <c r="C676" s="67"/>
      <c r="D676" s="67"/>
      <c r="E676" s="67"/>
      <c r="F676" s="67"/>
      <c r="G676" s="67"/>
      <c r="H676" s="67"/>
      <c r="I676" s="67"/>
      <c r="J676" s="67"/>
      <c r="K676" s="148"/>
      <c r="L676" s="67"/>
      <c r="M676" s="67"/>
      <c r="N676" s="67"/>
      <c r="O676" s="67"/>
      <c r="P676" s="148"/>
      <c r="Q676" s="67"/>
      <c r="R676" s="67"/>
      <c r="S676" s="67"/>
      <c r="T676" s="67"/>
      <c r="U676" s="67"/>
      <c r="V676" s="67"/>
      <c r="W676" s="67"/>
      <c r="X676" s="148"/>
      <c r="Y676" s="67"/>
      <c r="Z676" s="67"/>
      <c r="AA676" s="67"/>
      <c r="AB676" s="67"/>
      <c r="AC676" s="67"/>
      <c r="AD676" s="67"/>
      <c r="AE676" s="67"/>
    </row>
    <row r="677" spans="1:31">
      <c r="A677" s="67"/>
      <c r="B677" s="67"/>
      <c r="C677" s="67"/>
      <c r="D677" s="67"/>
      <c r="E677" s="67"/>
      <c r="F677" s="67" t="str">
        <f>_xlfn.XLOOKUP(F2,'TFS Details'!F:F,'TFS Details'!H:H)</f>
        <v>Test Complete</v>
      </c>
      <c r="G677" s="67"/>
      <c r="H677" s="67"/>
      <c r="I677" s="67"/>
      <c r="J677" s="67"/>
      <c r="K677" s="148"/>
      <c r="L677" s="67"/>
      <c r="M677" s="67"/>
      <c r="N677" s="67"/>
      <c r="O677" s="67"/>
      <c r="P677" s="148"/>
      <c r="Q677" s="67"/>
      <c r="R677" s="67"/>
      <c r="S677" s="67"/>
      <c r="T677" s="67"/>
      <c r="U677" s="67"/>
      <c r="V677" s="67"/>
      <c r="W677" s="67"/>
      <c r="X677" s="148"/>
      <c r="Y677" s="67"/>
      <c r="Z677" s="67"/>
      <c r="AA677" s="67"/>
      <c r="AB677" s="67"/>
      <c r="AC677" s="67"/>
      <c r="AD677" s="67"/>
      <c r="AE677" s="67"/>
    </row>
    <row r="678" spans="1:31">
      <c r="A678" s="67"/>
      <c r="B678" s="67"/>
      <c r="C678" s="67"/>
      <c r="D678" s="67"/>
      <c r="E678" s="67"/>
      <c r="F678" s="67"/>
      <c r="G678" s="67"/>
      <c r="H678" s="67"/>
      <c r="I678" s="67"/>
      <c r="J678" s="67"/>
      <c r="K678" s="148"/>
      <c r="L678" s="67"/>
      <c r="M678" s="148"/>
      <c r="N678" s="67"/>
      <c r="O678" s="67"/>
      <c r="P678" s="148"/>
      <c r="Q678" s="67"/>
      <c r="R678" s="67"/>
      <c r="S678" s="67"/>
      <c r="T678" s="67"/>
      <c r="U678" s="67"/>
      <c r="V678" s="67"/>
      <c r="W678" s="67"/>
      <c r="X678" s="148"/>
      <c r="Y678" s="67"/>
      <c r="Z678" s="67"/>
      <c r="AA678" s="67"/>
      <c r="AB678" s="67"/>
      <c r="AC678" s="67"/>
      <c r="AD678" s="67"/>
      <c r="AE678" s="67"/>
    </row>
    <row r="679" spans="1:31">
      <c r="A679" s="67"/>
      <c r="B679" s="67"/>
      <c r="C679" s="67"/>
      <c r="D679" s="67"/>
      <c r="E679" s="67"/>
      <c r="F679" s="67"/>
      <c r="G679" s="67"/>
      <c r="H679" s="67"/>
      <c r="I679" s="67"/>
      <c r="J679" s="67"/>
      <c r="K679" s="148"/>
      <c r="L679" s="67"/>
      <c r="M679" s="148"/>
      <c r="N679" s="67"/>
      <c r="O679" s="67"/>
      <c r="P679" s="148"/>
      <c r="Q679" s="67"/>
      <c r="R679" s="67"/>
      <c r="S679" s="67"/>
      <c r="T679" s="67"/>
      <c r="U679" s="67"/>
      <c r="V679" s="67"/>
      <c r="W679" s="67"/>
      <c r="X679" s="148"/>
      <c r="Y679" s="67"/>
      <c r="Z679" s="67"/>
      <c r="AA679" s="67"/>
      <c r="AB679" s="67"/>
      <c r="AC679" s="67"/>
      <c r="AD679" s="67"/>
      <c r="AE679" s="67"/>
    </row>
    <row r="680" spans="1:31">
      <c r="A680" s="67"/>
      <c r="B680" s="67"/>
      <c r="C680" s="67"/>
      <c r="D680" s="67"/>
      <c r="E680" s="67"/>
      <c r="F680" s="67"/>
      <c r="G680" s="67"/>
      <c r="H680" s="67"/>
      <c r="I680" s="67"/>
      <c r="J680" s="67"/>
      <c r="K680" s="148"/>
      <c r="L680" s="67"/>
      <c r="M680" s="148"/>
      <c r="N680" s="67"/>
      <c r="O680" s="67"/>
      <c r="P680" s="148"/>
      <c r="Q680" s="67"/>
      <c r="R680" s="67"/>
      <c r="S680" s="67"/>
      <c r="T680" s="67"/>
      <c r="U680" s="67"/>
      <c r="V680" s="67"/>
      <c r="W680" s="67"/>
      <c r="X680" s="148"/>
      <c r="Y680" s="67"/>
      <c r="Z680" s="67"/>
      <c r="AA680" s="67"/>
      <c r="AB680" s="67"/>
      <c r="AC680" s="67"/>
      <c r="AD680" s="67"/>
      <c r="AE680" s="67"/>
    </row>
    <row r="681" spans="1:31">
      <c r="A681" s="67"/>
      <c r="B681" s="67"/>
      <c r="C681" s="67"/>
      <c r="D681" s="67"/>
      <c r="E681" s="67"/>
      <c r="F681" s="67"/>
      <c r="G681" s="67"/>
      <c r="H681" s="67"/>
      <c r="I681" s="67"/>
      <c r="J681" s="67"/>
      <c r="K681" s="148"/>
      <c r="L681" s="67"/>
      <c r="M681" s="67"/>
      <c r="N681" s="67"/>
      <c r="O681" s="67"/>
      <c r="P681" s="148"/>
      <c r="Q681" s="67"/>
      <c r="R681" s="67"/>
      <c r="S681" s="67"/>
      <c r="T681" s="67"/>
      <c r="U681" s="67"/>
      <c r="V681" s="67"/>
      <c r="W681" s="67"/>
      <c r="X681" s="148"/>
      <c r="Y681" s="67"/>
      <c r="Z681" s="67"/>
      <c r="AA681" s="67"/>
      <c r="AB681" s="67"/>
      <c r="AC681" s="67"/>
      <c r="AD681" s="67"/>
      <c r="AE681" s="67"/>
    </row>
    <row r="682" spans="1:31">
      <c r="A682" s="67"/>
      <c r="B682" s="67"/>
      <c r="C682" s="67"/>
      <c r="D682" s="67"/>
      <c r="E682" s="67"/>
      <c r="F682" s="67"/>
      <c r="G682" s="67"/>
      <c r="H682" s="67"/>
      <c r="I682" s="67"/>
      <c r="J682" s="67"/>
      <c r="K682" s="148"/>
      <c r="L682" s="67"/>
      <c r="M682" s="148"/>
      <c r="N682" s="67"/>
      <c r="O682" s="67"/>
      <c r="P682" s="148"/>
      <c r="Q682" s="67"/>
      <c r="R682" s="67"/>
      <c r="S682" s="67"/>
      <c r="T682" s="67"/>
      <c r="U682" s="67"/>
      <c r="V682" s="67"/>
      <c r="W682" s="67"/>
      <c r="X682" s="148"/>
      <c r="Y682" s="67"/>
      <c r="Z682" s="67"/>
      <c r="AA682" s="67"/>
      <c r="AB682" s="67"/>
      <c r="AC682" s="67"/>
      <c r="AD682" s="67"/>
      <c r="AE682" s="67"/>
    </row>
    <row r="683" spans="1:31">
      <c r="A683" s="67"/>
      <c r="B683" s="67"/>
      <c r="C683" s="67"/>
      <c r="D683" s="67"/>
      <c r="E683" s="67"/>
      <c r="F683" s="67"/>
      <c r="G683" s="67"/>
      <c r="H683" s="67"/>
      <c r="I683" s="67"/>
      <c r="J683" s="67"/>
      <c r="K683" s="67"/>
      <c r="L683" s="67"/>
      <c r="M683" s="67"/>
      <c r="N683" s="67"/>
      <c r="O683" s="67"/>
      <c r="P683" s="148"/>
      <c r="Q683" s="67"/>
      <c r="R683" s="67"/>
      <c r="S683" s="67"/>
      <c r="T683" s="67"/>
      <c r="U683" s="67"/>
      <c r="V683" s="67"/>
      <c r="W683" s="67"/>
      <c r="X683" s="148"/>
      <c r="Y683" s="67"/>
      <c r="Z683" s="67"/>
      <c r="AA683" s="67"/>
      <c r="AB683" s="67"/>
      <c r="AC683" s="67"/>
      <c r="AD683" s="67"/>
      <c r="AE683" s="67"/>
    </row>
    <row r="684" spans="1:31">
      <c r="A684" s="67"/>
      <c r="B684" s="67"/>
      <c r="C684" s="67"/>
      <c r="D684" s="67"/>
      <c r="E684" s="67"/>
      <c r="F684" s="67"/>
      <c r="G684" s="67"/>
      <c r="H684" s="67"/>
      <c r="I684" s="67"/>
      <c r="J684" s="67"/>
      <c r="K684" s="148"/>
      <c r="L684" s="67"/>
      <c r="M684" s="67"/>
      <c r="N684" s="67"/>
      <c r="O684" s="67"/>
      <c r="P684" s="148"/>
      <c r="Q684" s="67"/>
      <c r="R684" s="67"/>
      <c r="S684" s="67"/>
      <c r="T684" s="67"/>
      <c r="U684" s="67"/>
      <c r="V684" s="67"/>
      <c r="W684" s="67"/>
      <c r="X684" s="148"/>
      <c r="Y684" s="67"/>
      <c r="Z684" s="67"/>
      <c r="AA684" s="67"/>
      <c r="AB684" s="67"/>
      <c r="AC684" s="67"/>
      <c r="AD684" s="67"/>
      <c r="AE684" s="67"/>
    </row>
    <row r="685" spans="1:31">
      <c r="A685" s="67"/>
      <c r="B685" s="67"/>
      <c r="C685" s="67"/>
      <c r="D685" s="67"/>
      <c r="E685" s="67"/>
      <c r="F685" s="67"/>
      <c r="G685" s="67"/>
      <c r="H685" s="67"/>
      <c r="I685" s="67"/>
      <c r="J685" s="67"/>
      <c r="K685" s="148"/>
      <c r="L685" s="67"/>
      <c r="M685" s="67"/>
      <c r="N685" s="67"/>
      <c r="O685" s="67"/>
      <c r="P685" s="148"/>
      <c r="Q685" s="67"/>
      <c r="R685" s="67"/>
      <c r="S685" s="67"/>
      <c r="T685" s="67"/>
      <c r="U685" s="67"/>
      <c r="V685" s="67"/>
      <c r="W685" s="67"/>
      <c r="X685" s="148"/>
      <c r="Y685" s="67"/>
      <c r="Z685" s="67"/>
      <c r="AA685" s="67"/>
      <c r="AB685" s="67"/>
      <c r="AC685" s="67"/>
      <c r="AD685" s="67"/>
      <c r="AE685" s="67"/>
    </row>
    <row r="686" spans="1:31">
      <c r="A686" s="67"/>
      <c r="B686" s="67"/>
      <c r="C686" s="67"/>
      <c r="D686" s="67"/>
      <c r="E686" s="67"/>
      <c r="F686" s="67"/>
      <c r="G686" s="67"/>
      <c r="H686" s="67"/>
      <c r="I686" s="67"/>
      <c r="J686" s="67"/>
      <c r="K686" s="148"/>
      <c r="L686" s="67"/>
      <c r="M686" s="67"/>
      <c r="N686" s="67"/>
      <c r="O686" s="67"/>
      <c r="P686" s="148"/>
      <c r="Q686" s="67"/>
      <c r="R686" s="67"/>
      <c r="S686" s="67"/>
      <c r="T686" s="67"/>
      <c r="U686" s="67"/>
      <c r="V686" s="67"/>
      <c r="W686" s="67"/>
      <c r="X686" s="148"/>
      <c r="Y686" s="67"/>
      <c r="Z686" s="67"/>
      <c r="AA686" s="67"/>
      <c r="AB686" s="67"/>
      <c r="AC686" s="67"/>
      <c r="AD686" s="67"/>
      <c r="AE686" s="67"/>
    </row>
    <row r="687" spans="1:31">
      <c r="A687" s="67"/>
      <c r="B687" s="67"/>
      <c r="C687" s="67"/>
      <c r="D687" s="67"/>
      <c r="E687" s="67"/>
      <c r="F687" s="67"/>
      <c r="G687" s="67"/>
      <c r="H687" s="67"/>
      <c r="I687" s="67"/>
      <c r="J687" s="67"/>
      <c r="K687" s="148"/>
      <c r="L687" s="67"/>
      <c r="M687" s="148"/>
      <c r="N687" s="67"/>
      <c r="O687" s="67"/>
      <c r="P687" s="148"/>
      <c r="Q687" s="67"/>
      <c r="R687" s="67"/>
      <c r="S687" s="67"/>
      <c r="T687" s="67"/>
      <c r="U687" s="67"/>
      <c r="V687" s="67"/>
      <c r="W687" s="67"/>
      <c r="X687" s="148"/>
      <c r="Y687" s="67"/>
      <c r="Z687" s="67"/>
      <c r="AA687" s="67"/>
      <c r="AB687" s="67"/>
      <c r="AC687" s="67"/>
      <c r="AD687" s="67"/>
      <c r="AE687" s="67"/>
    </row>
    <row r="688" spans="1:31">
      <c r="A688" s="67"/>
      <c r="B688" s="67"/>
      <c r="C688" s="67"/>
      <c r="D688" s="67"/>
      <c r="E688" s="67"/>
      <c r="F688" s="67"/>
      <c r="G688" s="67"/>
      <c r="H688" s="67"/>
      <c r="I688" s="67"/>
      <c r="J688" s="67"/>
      <c r="K688" s="148"/>
      <c r="L688" s="67"/>
      <c r="M688" s="148"/>
      <c r="N688" s="67"/>
      <c r="O688" s="67"/>
      <c r="P688" s="148"/>
      <c r="Q688" s="67"/>
      <c r="R688" s="67"/>
      <c r="S688" s="67"/>
      <c r="T688" s="67"/>
      <c r="U688" s="67"/>
      <c r="V688" s="67"/>
      <c r="W688" s="67"/>
      <c r="X688" s="148"/>
      <c r="Y688" s="67"/>
      <c r="Z688" s="67"/>
      <c r="AA688" s="67"/>
      <c r="AB688" s="67"/>
      <c r="AC688" s="67"/>
      <c r="AD688" s="67"/>
      <c r="AE688" s="67"/>
    </row>
    <row r="689" spans="1:31">
      <c r="A689" s="67"/>
      <c r="B689" s="67"/>
      <c r="C689" s="67"/>
      <c r="D689" s="67"/>
      <c r="E689" s="67"/>
      <c r="F689" s="67"/>
      <c r="G689" s="67"/>
      <c r="H689" s="67"/>
      <c r="I689" s="67"/>
      <c r="J689" s="67"/>
      <c r="K689" s="148"/>
      <c r="L689" s="67"/>
      <c r="M689" s="148"/>
      <c r="N689" s="67"/>
      <c r="O689" s="67"/>
      <c r="P689" s="148"/>
      <c r="Q689" s="67"/>
      <c r="R689" s="67"/>
      <c r="S689" s="67"/>
      <c r="T689" s="67"/>
      <c r="U689" s="67"/>
      <c r="V689" s="67"/>
      <c r="W689" s="67"/>
      <c r="X689" s="148"/>
      <c r="Y689" s="67"/>
      <c r="Z689" s="67"/>
      <c r="AA689" s="67"/>
      <c r="AB689" s="67"/>
      <c r="AC689" s="67"/>
      <c r="AD689" s="67"/>
      <c r="AE689" s="67"/>
    </row>
    <row r="690" spans="1:31">
      <c r="A690" s="67"/>
      <c r="B690" s="67"/>
      <c r="C690" s="67"/>
      <c r="D690" s="67"/>
      <c r="E690" s="67"/>
      <c r="F690" s="67"/>
      <c r="G690" s="67"/>
      <c r="H690" s="67"/>
      <c r="I690" s="67"/>
      <c r="J690" s="67"/>
      <c r="K690" s="148"/>
      <c r="L690" s="67"/>
      <c r="M690" s="148"/>
      <c r="N690" s="67"/>
      <c r="O690" s="67"/>
      <c r="P690" s="148"/>
      <c r="Q690" s="67"/>
      <c r="R690" s="67"/>
      <c r="S690" s="67"/>
      <c r="T690" s="67"/>
      <c r="U690" s="67"/>
      <c r="V690" s="67"/>
      <c r="W690" s="67"/>
      <c r="X690" s="148"/>
      <c r="Y690" s="67"/>
      <c r="Z690" s="67"/>
      <c r="AA690" s="67"/>
      <c r="AB690" s="67"/>
      <c r="AC690" s="67"/>
      <c r="AD690" s="67"/>
      <c r="AE690" s="67"/>
    </row>
    <row r="691" spans="1:31">
      <c r="A691" s="67"/>
      <c r="B691" s="67"/>
      <c r="C691" s="67"/>
      <c r="D691" s="67"/>
      <c r="E691" s="67"/>
      <c r="F691" s="67"/>
      <c r="G691" s="67"/>
      <c r="H691" s="67"/>
      <c r="I691" s="67"/>
      <c r="J691" s="67"/>
      <c r="K691" s="148"/>
      <c r="L691" s="67"/>
      <c r="M691" s="148"/>
      <c r="N691" s="67"/>
      <c r="O691" s="67"/>
      <c r="P691" s="148"/>
      <c r="Q691" s="67"/>
      <c r="R691" s="67"/>
      <c r="S691" s="67"/>
      <c r="T691" s="67"/>
      <c r="U691" s="67"/>
      <c r="V691" s="67"/>
      <c r="W691" s="67"/>
      <c r="X691" s="148"/>
      <c r="Y691" s="67"/>
      <c r="Z691" s="67"/>
      <c r="AA691" s="67"/>
      <c r="AB691" s="67"/>
      <c r="AC691" s="67"/>
      <c r="AD691" s="67"/>
      <c r="AE691" s="67"/>
    </row>
    <row r="692" spans="1:31">
      <c r="A692" s="67"/>
      <c r="B692" s="67"/>
      <c r="C692" s="67"/>
      <c r="D692" s="67"/>
      <c r="E692" s="67"/>
      <c r="F692" s="67"/>
      <c r="G692" s="67"/>
      <c r="H692" s="67"/>
      <c r="I692" s="67"/>
      <c r="J692" s="67"/>
      <c r="K692" s="148"/>
      <c r="L692" s="67"/>
      <c r="M692" s="148"/>
      <c r="N692" s="67"/>
      <c r="O692" s="67"/>
      <c r="P692" s="148"/>
      <c r="Q692" s="67"/>
      <c r="R692" s="67"/>
      <c r="S692" s="67"/>
      <c r="T692" s="67"/>
      <c r="U692" s="67"/>
      <c r="V692" s="67"/>
      <c r="W692" s="67"/>
      <c r="X692" s="148"/>
      <c r="Y692" s="67"/>
      <c r="Z692" s="67"/>
      <c r="AA692" s="67"/>
      <c r="AB692" s="67"/>
      <c r="AC692" s="67"/>
      <c r="AD692" s="67"/>
      <c r="AE692" s="67"/>
    </row>
    <row r="693" spans="1:31">
      <c r="A693" s="67"/>
      <c r="B693" s="67"/>
      <c r="C693" s="67"/>
      <c r="D693" s="67"/>
      <c r="E693" s="67"/>
      <c r="F693" s="67"/>
      <c r="G693" s="67"/>
      <c r="H693" s="67"/>
      <c r="I693" s="67"/>
      <c r="J693" s="67"/>
      <c r="K693" s="148"/>
      <c r="L693" s="67"/>
      <c r="M693" s="148"/>
      <c r="N693" s="67"/>
      <c r="O693" s="67"/>
      <c r="P693" s="148"/>
      <c r="Q693" s="67"/>
      <c r="R693" s="67"/>
      <c r="S693" s="67"/>
      <c r="T693" s="67"/>
      <c r="U693" s="67"/>
      <c r="V693" s="67"/>
      <c r="W693" s="67"/>
      <c r="X693" s="148"/>
      <c r="Y693" s="67"/>
      <c r="Z693" s="67"/>
      <c r="AA693" s="67"/>
      <c r="AB693" s="67"/>
      <c r="AC693" s="67"/>
      <c r="AD693" s="67"/>
      <c r="AE693" s="67"/>
    </row>
    <row r="694" spans="1:31">
      <c r="A694" s="67"/>
      <c r="B694" s="67"/>
      <c r="C694" s="67"/>
      <c r="D694" s="67"/>
      <c r="E694" s="67"/>
      <c r="F694" s="67"/>
      <c r="G694" s="67"/>
      <c r="H694" s="67"/>
      <c r="I694" s="67"/>
      <c r="J694" s="67"/>
      <c r="K694" s="148"/>
      <c r="L694" s="67"/>
      <c r="M694" s="148"/>
      <c r="N694" s="67"/>
      <c r="O694" s="67"/>
      <c r="P694" s="148"/>
      <c r="Q694" s="67"/>
      <c r="R694" s="67"/>
      <c r="S694" s="67"/>
      <c r="T694" s="67"/>
      <c r="U694" s="67"/>
      <c r="V694" s="67"/>
      <c r="W694" s="67"/>
      <c r="X694" s="148"/>
      <c r="Y694" s="67"/>
      <c r="Z694" s="67"/>
      <c r="AA694" s="67"/>
      <c r="AB694" s="67"/>
      <c r="AC694" s="67"/>
      <c r="AD694" s="67"/>
      <c r="AE694" s="67"/>
    </row>
    <row r="695" spans="1:31">
      <c r="A695" s="67"/>
      <c r="B695" s="67"/>
      <c r="C695" s="67"/>
      <c r="D695" s="67"/>
      <c r="E695" s="67"/>
      <c r="F695" s="67"/>
      <c r="G695" s="67"/>
      <c r="H695" s="67"/>
      <c r="I695" s="67"/>
      <c r="J695" s="67"/>
      <c r="K695" s="148"/>
      <c r="L695" s="67"/>
      <c r="M695" s="148"/>
      <c r="N695" s="67"/>
      <c r="O695" s="67"/>
      <c r="P695" s="148"/>
      <c r="Q695" s="67"/>
      <c r="R695" s="67"/>
      <c r="S695" s="67"/>
      <c r="T695" s="67"/>
      <c r="U695" s="67"/>
      <c r="V695" s="67"/>
      <c r="W695" s="67"/>
      <c r="X695" s="148"/>
      <c r="Y695" s="67"/>
      <c r="Z695" s="67"/>
      <c r="AA695" s="67"/>
      <c r="AB695" s="67"/>
      <c r="AC695" s="67"/>
      <c r="AD695" s="67"/>
      <c r="AE695" s="67"/>
    </row>
    <row r="696" spans="1:31">
      <c r="A696" s="67"/>
      <c r="B696" s="67"/>
      <c r="C696" s="67"/>
      <c r="D696" s="67"/>
      <c r="E696" s="67"/>
      <c r="F696" s="67"/>
      <c r="G696" s="67"/>
      <c r="H696" s="67"/>
      <c r="I696" s="67"/>
      <c r="J696" s="67"/>
      <c r="K696" s="148"/>
      <c r="L696" s="67"/>
      <c r="M696" s="148"/>
      <c r="N696" s="67"/>
      <c r="O696" s="67"/>
      <c r="P696" s="148"/>
      <c r="Q696" s="67"/>
      <c r="R696" s="67"/>
      <c r="S696" s="67"/>
      <c r="T696" s="67"/>
      <c r="U696" s="67"/>
      <c r="V696" s="67"/>
      <c r="W696" s="67"/>
      <c r="X696" s="148"/>
      <c r="Y696" s="67"/>
      <c r="Z696" s="67"/>
      <c r="AA696" s="67"/>
      <c r="AB696" s="67"/>
      <c r="AC696" s="67"/>
      <c r="AD696" s="67"/>
      <c r="AE696" s="67"/>
    </row>
    <row r="697" spans="1:31">
      <c r="A697" s="67"/>
      <c r="B697" s="67"/>
      <c r="C697" s="67"/>
      <c r="D697" s="67"/>
      <c r="E697" s="67"/>
      <c r="F697" s="67"/>
      <c r="G697" s="67"/>
      <c r="H697" s="67"/>
      <c r="I697" s="67"/>
      <c r="J697" s="67"/>
      <c r="K697" s="67"/>
      <c r="L697" s="67"/>
      <c r="M697" s="67"/>
      <c r="N697" s="67"/>
      <c r="O697" s="67"/>
      <c r="P697" s="148"/>
      <c r="Q697" s="67"/>
      <c r="R697" s="67"/>
      <c r="S697" s="67"/>
      <c r="T697" s="67"/>
      <c r="U697" s="67"/>
      <c r="V697" s="67"/>
      <c r="W697" s="67"/>
      <c r="X697" s="148"/>
      <c r="Y697" s="67"/>
      <c r="Z697" s="67"/>
      <c r="AA697" s="67"/>
      <c r="AB697" s="67"/>
      <c r="AC697" s="67"/>
      <c r="AD697" s="67"/>
      <c r="AE697" s="67"/>
    </row>
    <row r="698" spans="1:31">
      <c r="A698" s="67"/>
      <c r="B698" s="67"/>
      <c r="C698" s="67"/>
      <c r="D698" s="67"/>
      <c r="E698" s="67"/>
      <c r="F698" s="67"/>
      <c r="G698" s="67"/>
      <c r="H698" s="67"/>
      <c r="I698" s="67"/>
      <c r="J698" s="67"/>
      <c r="K698" s="67"/>
      <c r="L698" s="67"/>
      <c r="M698" s="67"/>
      <c r="N698" s="67"/>
      <c r="O698" s="67"/>
      <c r="P698" s="148"/>
      <c r="Q698" s="67"/>
      <c r="R698" s="67"/>
      <c r="S698" s="67"/>
      <c r="T698" s="67"/>
      <c r="U698" s="67"/>
      <c r="V698" s="67"/>
      <c r="W698" s="67"/>
      <c r="X698" s="148"/>
      <c r="Y698" s="67"/>
      <c r="Z698" s="67"/>
      <c r="AA698" s="67"/>
      <c r="AB698" s="67"/>
      <c r="AC698" s="67"/>
      <c r="AD698" s="67"/>
      <c r="AE698" s="67"/>
    </row>
    <row r="699" spans="1:31">
      <c r="A699" s="67"/>
      <c r="B699" s="67"/>
      <c r="C699" s="67"/>
      <c r="D699" s="67"/>
      <c r="E699" s="67"/>
      <c r="F699" s="67"/>
      <c r="G699" s="67"/>
      <c r="H699" s="67"/>
      <c r="I699" s="67"/>
      <c r="J699" s="67"/>
      <c r="K699" s="148"/>
      <c r="L699" s="67"/>
      <c r="M699" s="67"/>
      <c r="N699" s="67"/>
      <c r="O699" s="67"/>
      <c r="P699" s="148"/>
      <c r="Q699" s="67"/>
      <c r="R699" s="67"/>
      <c r="S699" s="67"/>
      <c r="T699" s="67"/>
      <c r="U699" s="67"/>
      <c r="V699" s="67"/>
      <c r="W699" s="67"/>
      <c r="X699" s="148"/>
      <c r="Y699" s="67"/>
      <c r="Z699" s="67"/>
      <c r="AA699" s="67"/>
      <c r="AB699" s="67"/>
      <c r="AC699" s="67"/>
      <c r="AD699" s="67"/>
      <c r="AE699" s="67"/>
    </row>
    <row r="700" spans="1:31">
      <c r="A700" s="67"/>
      <c r="B700" s="67"/>
      <c r="C700" s="67"/>
      <c r="D700" s="67"/>
      <c r="E700" s="67"/>
      <c r="F700" s="67"/>
      <c r="G700" s="67"/>
      <c r="H700" s="67"/>
      <c r="I700" s="67"/>
      <c r="J700" s="67"/>
      <c r="K700" s="148"/>
      <c r="L700" s="67"/>
      <c r="M700" s="67"/>
      <c r="N700" s="67"/>
      <c r="O700" s="67"/>
      <c r="P700" s="148"/>
      <c r="Q700" s="67"/>
      <c r="R700" s="67"/>
      <c r="S700" s="67"/>
      <c r="T700" s="67"/>
      <c r="U700" s="67"/>
      <c r="V700" s="67"/>
      <c r="W700" s="67"/>
      <c r="X700" s="148"/>
      <c r="Y700" s="67"/>
      <c r="Z700" s="67"/>
      <c r="AA700" s="67"/>
      <c r="AB700" s="67"/>
      <c r="AC700" s="67"/>
      <c r="AD700" s="67"/>
      <c r="AE700" s="67"/>
    </row>
    <row r="701" spans="1:31">
      <c r="A701" s="67"/>
      <c r="B701" s="67"/>
      <c r="C701" s="67"/>
      <c r="D701" s="67"/>
      <c r="E701" s="67"/>
      <c r="F701" s="67"/>
      <c r="G701" s="67"/>
      <c r="H701" s="67"/>
      <c r="I701" s="67"/>
      <c r="J701" s="67"/>
      <c r="K701" s="148"/>
      <c r="L701" s="67"/>
      <c r="M701" s="67"/>
      <c r="N701" s="67"/>
      <c r="O701" s="67"/>
      <c r="P701" s="148"/>
      <c r="Q701" s="67"/>
      <c r="R701" s="67"/>
      <c r="S701" s="67"/>
      <c r="T701" s="67"/>
      <c r="U701" s="67"/>
      <c r="V701" s="67"/>
      <c r="W701" s="67"/>
      <c r="X701" s="148"/>
      <c r="Y701" s="67"/>
      <c r="Z701" s="67"/>
      <c r="AA701" s="67"/>
      <c r="AB701" s="67"/>
      <c r="AC701" s="67"/>
      <c r="AD701" s="67"/>
      <c r="AE701" s="67"/>
    </row>
    <row r="702" spans="1:31">
      <c r="A702" s="67"/>
      <c r="B702" s="67"/>
      <c r="C702" s="67"/>
      <c r="D702" s="67"/>
      <c r="E702" s="67"/>
      <c r="F702" s="67"/>
      <c r="G702" s="67"/>
      <c r="H702" s="67"/>
      <c r="I702" s="67"/>
      <c r="J702" s="67"/>
      <c r="K702" s="148"/>
      <c r="L702" s="67"/>
      <c r="M702" s="67"/>
      <c r="N702" s="67"/>
      <c r="O702" s="67"/>
      <c r="P702" s="148"/>
      <c r="Q702" s="67"/>
      <c r="R702" s="67"/>
      <c r="S702" s="67"/>
      <c r="T702" s="67"/>
      <c r="U702" s="67"/>
      <c r="V702" s="67"/>
      <c r="W702" s="67"/>
      <c r="X702" s="148"/>
      <c r="Y702" s="67"/>
      <c r="Z702" s="67"/>
      <c r="AA702" s="67"/>
      <c r="AB702" s="67"/>
      <c r="AC702" s="67"/>
      <c r="AD702" s="67"/>
      <c r="AE702" s="67"/>
    </row>
    <row r="703" spans="1:31">
      <c r="A703" s="67"/>
      <c r="B703" s="67"/>
      <c r="C703" s="67"/>
      <c r="D703" s="67"/>
      <c r="E703" s="67"/>
      <c r="F703" s="67"/>
      <c r="G703" s="67"/>
      <c r="H703" s="67"/>
      <c r="I703" s="67"/>
      <c r="J703" s="67"/>
      <c r="K703" s="148"/>
      <c r="L703" s="67"/>
      <c r="M703" s="67"/>
      <c r="N703" s="67"/>
      <c r="O703" s="67"/>
      <c r="P703" s="148"/>
      <c r="Q703" s="67"/>
      <c r="R703" s="67"/>
      <c r="S703" s="67"/>
      <c r="T703" s="67"/>
      <c r="U703" s="67"/>
      <c r="V703" s="67"/>
      <c r="W703" s="67"/>
      <c r="X703" s="148"/>
      <c r="Y703" s="67"/>
      <c r="Z703" s="67"/>
      <c r="AA703" s="67"/>
      <c r="AB703" s="67"/>
      <c r="AC703" s="67"/>
      <c r="AD703" s="67"/>
      <c r="AE703" s="67"/>
    </row>
    <row r="704" spans="1:31">
      <c r="A704" s="67"/>
      <c r="B704" s="67"/>
      <c r="C704" s="67"/>
      <c r="D704" s="67"/>
      <c r="E704" s="67"/>
      <c r="F704" s="67"/>
      <c r="G704" s="67"/>
      <c r="H704" s="67"/>
      <c r="I704" s="67"/>
      <c r="J704" s="67"/>
      <c r="K704" s="148"/>
      <c r="L704" s="67"/>
      <c r="M704" s="148"/>
      <c r="N704" s="67"/>
      <c r="O704" s="67"/>
      <c r="P704" s="148"/>
      <c r="Q704" s="67"/>
      <c r="R704" s="67"/>
      <c r="S704" s="67"/>
      <c r="T704" s="67"/>
      <c r="U704" s="67"/>
      <c r="V704" s="67"/>
      <c r="W704" s="67"/>
      <c r="X704" s="148"/>
      <c r="Y704" s="67"/>
      <c r="Z704" s="67"/>
      <c r="AA704" s="67"/>
      <c r="AB704" s="67"/>
      <c r="AC704" s="67"/>
      <c r="AD704" s="67"/>
      <c r="AE704" s="67"/>
    </row>
    <row r="705" spans="1:31">
      <c r="A705" s="67"/>
      <c r="B705" s="67"/>
      <c r="C705" s="67"/>
      <c r="D705" s="67"/>
      <c r="E705" s="67"/>
      <c r="F705" s="67"/>
      <c r="G705" s="67"/>
      <c r="H705" s="67"/>
      <c r="I705" s="67"/>
      <c r="J705" s="67"/>
      <c r="K705" s="148"/>
      <c r="L705" s="67"/>
      <c r="M705" s="67"/>
      <c r="N705" s="67"/>
      <c r="O705" s="67"/>
      <c r="P705" s="148"/>
      <c r="Q705" s="67"/>
      <c r="R705" s="67"/>
      <c r="S705" s="67"/>
      <c r="T705" s="67"/>
      <c r="U705" s="67"/>
      <c r="V705" s="67"/>
      <c r="W705" s="67"/>
      <c r="X705" s="148"/>
      <c r="Y705" s="67"/>
      <c r="Z705" s="67"/>
      <c r="AA705" s="67"/>
      <c r="AB705" s="67"/>
      <c r="AC705" s="67"/>
      <c r="AD705" s="67"/>
      <c r="AE705" s="67"/>
    </row>
    <row r="706" spans="1:31">
      <c r="A706" s="67"/>
      <c r="B706" s="67"/>
      <c r="C706" s="67"/>
      <c r="D706" s="67"/>
      <c r="E706" s="67"/>
      <c r="F706" s="67"/>
      <c r="G706" s="67"/>
      <c r="H706" s="67"/>
      <c r="I706" s="67"/>
      <c r="J706" s="67"/>
      <c r="K706" s="148"/>
      <c r="L706" s="67"/>
      <c r="M706" s="148"/>
      <c r="N706" s="67"/>
      <c r="O706" s="67"/>
      <c r="P706" s="148"/>
      <c r="Q706" s="67"/>
      <c r="R706" s="67"/>
      <c r="S706" s="67"/>
      <c r="T706" s="67"/>
      <c r="U706" s="67"/>
      <c r="V706" s="67"/>
      <c r="W706" s="67"/>
      <c r="X706" s="148"/>
      <c r="Y706" s="67"/>
      <c r="Z706" s="67"/>
      <c r="AA706" s="67"/>
      <c r="AB706" s="67"/>
      <c r="AC706" s="67"/>
      <c r="AD706" s="67"/>
      <c r="AE706" s="67"/>
    </row>
    <row r="707" spans="1:31">
      <c r="A707" s="67"/>
      <c r="B707" s="67"/>
      <c r="C707" s="67"/>
      <c r="D707" s="67"/>
      <c r="E707" s="67"/>
      <c r="F707" s="67"/>
      <c r="G707" s="67"/>
      <c r="H707" s="67"/>
      <c r="I707" s="67"/>
      <c r="J707" s="67"/>
      <c r="K707" s="67"/>
      <c r="L707" s="67"/>
      <c r="M707" s="67"/>
      <c r="N707" s="67"/>
      <c r="O707" s="67"/>
      <c r="P707" s="148"/>
      <c r="Q707" s="67"/>
      <c r="R707" s="67"/>
      <c r="S707" s="67"/>
      <c r="T707" s="67"/>
      <c r="U707" s="67"/>
      <c r="V707" s="67"/>
      <c r="W707" s="67"/>
      <c r="X707" s="148"/>
      <c r="Y707" s="67"/>
      <c r="Z707" s="67"/>
      <c r="AA707" s="67"/>
      <c r="AB707" s="67"/>
      <c r="AC707" s="67"/>
      <c r="AD707" s="67"/>
      <c r="AE707" s="67"/>
    </row>
    <row r="708" spans="1:31">
      <c r="A708" s="67"/>
      <c r="B708" s="67"/>
      <c r="C708" s="67"/>
      <c r="D708" s="67"/>
      <c r="E708" s="67"/>
      <c r="F708" s="67"/>
      <c r="G708" s="67"/>
      <c r="H708" s="67"/>
      <c r="I708" s="67"/>
      <c r="J708" s="67"/>
      <c r="K708" s="67"/>
      <c r="L708" s="67"/>
      <c r="M708" s="67"/>
      <c r="N708" s="67"/>
      <c r="O708" s="67"/>
      <c r="P708" s="148"/>
      <c r="Q708" s="67"/>
      <c r="R708" s="67"/>
      <c r="S708" s="67"/>
      <c r="T708" s="67"/>
      <c r="U708" s="67"/>
      <c r="V708" s="67"/>
      <c r="W708" s="67"/>
      <c r="X708" s="148"/>
      <c r="Y708" s="67"/>
      <c r="Z708" s="67"/>
      <c r="AA708" s="67"/>
      <c r="AB708" s="67"/>
      <c r="AC708" s="67"/>
      <c r="AD708" s="67"/>
      <c r="AE708" s="67"/>
    </row>
    <row r="709" spans="1:31">
      <c r="A709" s="67"/>
      <c r="B709" s="67"/>
      <c r="C709" s="67"/>
      <c r="D709" s="67"/>
      <c r="E709" s="67"/>
      <c r="F709" s="67"/>
      <c r="G709" s="67"/>
      <c r="H709" s="67"/>
      <c r="I709" s="67"/>
      <c r="J709" s="67"/>
      <c r="K709" s="67"/>
      <c r="L709" s="67"/>
      <c r="M709" s="67"/>
      <c r="N709" s="67"/>
      <c r="O709" s="67"/>
      <c r="P709" s="148"/>
      <c r="Q709" s="67"/>
      <c r="R709" s="67"/>
      <c r="S709" s="67"/>
      <c r="T709" s="67"/>
      <c r="U709" s="67"/>
      <c r="V709" s="67"/>
      <c r="W709" s="67"/>
      <c r="X709" s="148"/>
      <c r="Y709" s="67"/>
      <c r="Z709" s="67"/>
      <c r="AA709" s="67"/>
      <c r="AB709" s="67"/>
      <c r="AC709" s="67"/>
      <c r="AD709" s="67"/>
      <c r="AE709" s="67"/>
    </row>
    <row r="710" spans="1:31">
      <c r="A710" s="67"/>
      <c r="B710" s="67"/>
      <c r="C710" s="67"/>
      <c r="D710" s="67"/>
      <c r="E710" s="67"/>
      <c r="F710" s="67"/>
      <c r="G710" s="67"/>
      <c r="H710" s="67"/>
      <c r="I710" s="67"/>
      <c r="J710" s="67"/>
      <c r="K710" s="148"/>
      <c r="L710" s="67"/>
      <c r="M710" s="148"/>
      <c r="N710" s="67"/>
      <c r="O710" s="67"/>
      <c r="P710" s="148"/>
      <c r="Q710" s="67"/>
      <c r="R710" s="67"/>
      <c r="S710" s="67"/>
      <c r="T710" s="67"/>
      <c r="U710" s="67"/>
      <c r="V710" s="67"/>
      <c r="W710" s="67"/>
      <c r="X710" s="148"/>
      <c r="Y710" s="67"/>
      <c r="Z710" s="67"/>
      <c r="AA710" s="67"/>
      <c r="AB710" s="67"/>
      <c r="AC710" s="67"/>
      <c r="AD710" s="67"/>
      <c r="AE710" s="67"/>
    </row>
    <row r="711" spans="1:31">
      <c r="A711" s="67"/>
      <c r="B711" s="67"/>
      <c r="C711" s="67"/>
      <c r="D711" s="67"/>
      <c r="E711" s="67"/>
      <c r="F711" s="67"/>
      <c r="G711" s="67"/>
      <c r="H711" s="67"/>
      <c r="I711" s="67"/>
      <c r="J711" s="67"/>
      <c r="K711" s="148"/>
      <c r="L711" s="67"/>
      <c r="M711" s="148"/>
      <c r="N711" s="67"/>
      <c r="O711" s="67"/>
      <c r="P711" s="148"/>
      <c r="Q711" s="67"/>
      <c r="R711" s="67"/>
      <c r="S711" s="67"/>
      <c r="T711" s="67"/>
      <c r="U711" s="67"/>
      <c r="V711" s="67"/>
      <c r="W711" s="67"/>
      <c r="X711" s="148"/>
      <c r="Y711" s="67"/>
      <c r="Z711" s="67"/>
      <c r="AA711" s="67"/>
      <c r="AB711" s="67"/>
      <c r="AC711" s="67"/>
      <c r="AD711" s="67"/>
      <c r="AE711" s="67"/>
    </row>
    <row r="712" spans="1:31">
      <c r="A712" s="67"/>
      <c r="B712" s="67"/>
      <c r="C712" s="67"/>
      <c r="D712" s="67"/>
      <c r="E712" s="67"/>
      <c r="F712" s="67"/>
      <c r="G712" s="67"/>
      <c r="H712" s="67"/>
      <c r="I712" s="67"/>
      <c r="J712" s="67"/>
      <c r="K712" s="148"/>
      <c r="L712" s="67"/>
      <c r="M712" s="148"/>
      <c r="N712" s="67"/>
      <c r="O712" s="67"/>
      <c r="P712" s="148"/>
      <c r="Q712" s="67"/>
      <c r="R712" s="67"/>
      <c r="S712" s="67"/>
      <c r="T712" s="67"/>
      <c r="U712" s="67"/>
      <c r="V712" s="67"/>
      <c r="W712" s="67"/>
      <c r="X712" s="148"/>
      <c r="Y712" s="67"/>
      <c r="Z712" s="67"/>
      <c r="AA712" s="67"/>
      <c r="AB712" s="67"/>
      <c r="AC712" s="67"/>
      <c r="AD712" s="67"/>
      <c r="AE712" s="67"/>
    </row>
    <row r="713" spans="1:31">
      <c r="A713" s="67"/>
      <c r="B713" s="67"/>
      <c r="C713" s="67"/>
      <c r="D713" s="67"/>
      <c r="E713" s="67"/>
      <c r="F713" s="67"/>
      <c r="G713" s="67"/>
      <c r="H713" s="67"/>
      <c r="I713" s="67"/>
      <c r="J713" s="67"/>
      <c r="K713" s="148"/>
      <c r="L713" s="67"/>
      <c r="M713" s="148"/>
      <c r="N713" s="67"/>
      <c r="O713" s="67"/>
      <c r="P713" s="148"/>
      <c r="Q713" s="67"/>
      <c r="R713" s="67"/>
      <c r="S713" s="67"/>
      <c r="T713" s="67"/>
      <c r="U713" s="67"/>
      <c r="V713" s="67"/>
      <c r="W713" s="67"/>
      <c r="X713" s="148"/>
      <c r="Y713" s="67"/>
      <c r="Z713" s="67"/>
      <c r="AA713" s="67"/>
      <c r="AB713" s="67"/>
      <c r="AC713" s="67"/>
      <c r="AD713" s="67"/>
      <c r="AE713" s="67"/>
    </row>
    <row r="714" spans="1:31">
      <c r="A714" s="67"/>
      <c r="B714" s="67"/>
      <c r="C714" s="67"/>
      <c r="D714" s="67"/>
      <c r="E714" s="67"/>
      <c r="F714" s="67"/>
      <c r="G714" s="67"/>
      <c r="H714" s="67"/>
      <c r="I714" s="67"/>
      <c r="J714" s="67"/>
      <c r="K714" s="148"/>
      <c r="L714" s="67"/>
      <c r="M714" s="148"/>
      <c r="N714" s="67"/>
      <c r="O714" s="67"/>
      <c r="P714" s="148"/>
      <c r="Q714" s="67"/>
      <c r="R714" s="67"/>
      <c r="S714" s="67"/>
      <c r="T714" s="67"/>
      <c r="U714" s="67"/>
      <c r="V714" s="67"/>
      <c r="W714" s="67"/>
      <c r="X714" s="148"/>
      <c r="Y714" s="67"/>
      <c r="Z714" s="67"/>
      <c r="AA714" s="67"/>
      <c r="AB714" s="67"/>
      <c r="AC714" s="67"/>
      <c r="AD714" s="67"/>
      <c r="AE714" s="67"/>
    </row>
    <row r="715" spans="1:31">
      <c r="A715" s="67"/>
      <c r="B715" s="67"/>
      <c r="C715" s="67"/>
      <c r="D715" s="67"/>
      <c r="E715" s="67"/>
      <c r="F715" s="67"/>
      <c r="G715" s="67"/>
      <c r="H715" s="67"/>
      <c r="I715" s="67"/>
      <c r="J715" s="67"/>
      <c r="K715" s="148"/>
      <c r="L715" s="67"/>
      <c r="M715" s="148"/>
      <c r="N715" s="67"/>
      <c r="O715" s="67"/>
      <c r="P715" s="148"/>
      <c r="Q715" s="67"/>
      <c r="R715" s="67"/>
      <c r="S715" s="67"/>
      <c r="T715" s="67"/>
      <c r="U715" s="67"/>
      <c r="V715" s="67"/>
      <c r="W715" s="67"/>
      <c r="X715" s="148"/>
      <c r="Y715" s="67"/>
      <c r="Z715" s="67"/>
      <c r="AA715" s="67"/>
      <c r="AB715" s="67"/>
      <c r="AC715" s="67"/>
      <c r="AD715" s="67"/>
      <c r="AE715" s="67"/>
    </row>
    <row r="716" spans="1:31">
      <c r="A716" s="67"/>
      <c r="B716" s="67"/>
      <c r="C716" s="67"/>
      <c r="D716" s="67"/>
      <c r="E716" s="67"/>
      <c r="F716" s="67"/>
      <c r="G716" s="67"/>
      <c r="H716" s="67"/>
      <c r="I716" s="67"/>
      <c r="J716" s="67"/>
      <c r="K716" s="148"/>
      <c r="L716" s="67"/>
      <c r="M716" s="148"/>
      <c r="N716" s="67"/>
      <c r="O716" s="67"/>
      <c r="P716" s="148"/>
      <c r="Q716" s="67"/>
      <c r="R716" s="67"/>
      <c r="S716" s="67"/>
      <c r="T716" s="67"/>
      <c r="U716" s="67"/>
      <c r="V716" s="67"/>
      <c r="W716" s="67"/>
      <c r="X716" s="148"/>
      <c r="Y716" s="67"/>
      <c r="Z716" s="67"/>
      <c r="AA716" s="67"/>
      <c r="AB716" s="67"/>
      <c r="AC716" s="67"/>
      <c r="AD716" s="67"/>
      <c r="AE716" s="67"/>
    </row>
    <row r="717" spans="1:31">
      <c r="A717" s="67"/>
      <c r="B717" s="67"/>
      <c r="C717" s="67"/>
      <c r="D717" s="67"/>
      <c r="E717" s="67"/>
      <c r="F717" s="67"/>
      <c r="G717" s="67"/>
      <c r="H717" s="67"/>
      <c r="I717" s="67"/>
      <c r="J717" s="67"/>
      <c r="K717" s="148"/>
      <c r="L717" s="67"/>
      <c r="M717" s="148"/>
      <c r="N717" s="67"/>
      <c r="O717" s="67"/>
      <c r="P717" s="148"/>
      <c r="Q717" s="67"/>
      <c r="R717" s="67"/>
      <c r="S717" s="67"/>
      <c r="T717" s="67"/>
      <c r="U717" s="67"/>
      <c r="V717" s="67"/>
      <c r="W717" s="67"/>
      <c r="X717" s="148"/>
      <c r="Y717" s="67"/>
      <c r="Z717" s="67"/>
      <c r="AA717" s="67"/>
      <c r="AB717" s="67"/>
      <c r="AC717" s="67"/>
      <c r="AD717" s="67"/>
      <c r="AE717" s="67"/>
    </row>
    <row r="718" spans="1:31">
      <c r="A718" s="67"/>
      <c r="B718" s="67"/>
      <c r="C718" s="67"/>
      <c r="D718" s="67"/>
      <c r="E718" s="67"/>
      <c r="F718" s="67"/>
      <c r="G718" s="67"/>
      <c r="H718" s="67"/>
      <c r="I718" s="67"/>
      <c r="J718" s="67"/>
      <c r="K718" s="148"/>
      <c r="L718" s="67"/>
      <c r="M718" s="148"/>
      <c r="N718" s="67"/>
      <c r="O718" s="67"/>
      <c r="P718" s="148"/>
      <c r="Q718" s="67"/>
      <c r="R718" s="67"/>
      <c r="S718" s="67"/>
      <c r="T718" s="67"/>
      <c r="U718" s="67"/>
      <c r="V718" s="67"/>
      <c r="W718" s="67"/>
      <c r="X718" s="148"/>
      <c r="Y718" s="67"/>
      <c r="Z718" s="67"/>
      <c r="AA718" s="67"/>
      <c r="AB718" s="67"/>
      <c r="AC718" s="67"/>
      <c r="AD718" s="67"/>
      <c r="AE718" s="67"/>
    </row>
    <row r="719" spans="1:31">
      <c r="A719" s="67"/>
      <c r="B719" s="67"/>
      <c r="C719" s="67"/>
      <c r="D719" s="67"/>
      <c r="E719" s="67"/>
      <c r="F719" s="67"/>
      <c r="G719" s="67"/>
      <c r="H719" s="67"/>
      <c r="I719" s="67"/>
      <c r="J719" s="67"/>
      <c r="K719" s="148"/>
      <c r="L719" s="67"/>
      <c r="M719" s="148"/>
      <c r="N719" s="67"/>
      <c r="O719" s="67"/>
      <c r="P719" s="148"/>
      <c r="Q719" s="67"/>
      <c r="R719" s="67"/>
      <c r="S719" s="67"/>
      <c r="T719" s="67"/>
      <c r="U719" s="67"/>
      <c r="V719" s="67"/>
      <c r="W719" s="67"/>
      <c r="X719" s="148"/>
      <c r="Y719" s="67"/>
      <c r="Z719" s="67"/>
      <c r="AA719" s="67"/>
      <c r="AB719" s="67"/>
      <c r="AC719" s="67"/>
      <c r="AD719" s="67"/>
      <c r="AE719" s="67"/>
    </row>
    <row r="720" spans="1:31">
      <c r="A720" s="67"/>
      <c r="B720" s="67"/>
      <c r="C720" s="67"/>
      <c r="D720" s="67"/>
      <c r="E720" s="67"/>
      <c r="F720" s="67"/>
      <c r="G720" s="67"/>
      <c r="H720" s="67"/>
      <c r="I720" s="67"/>
      <c r="J720" s="67"/>
      <c r="K720" s="148"/>
      <c r="L720" s="67"/>
      <c r="M720" s="148"/>
      <c r="N720" s="67"/>
      <c r="O720" s="67"/>
      <c r="P720" s="148"/>
      <c r="Q720" s="67"/>
      <c r="R720" s="67"/>
      <c r="S720" s="67"/>
      <c r="T720" s="67"/>
      <c r="U720" s="67"/>
      <c r="V720" s="67"/>
      <c r="W720" s="67"/>
      <c r="X720" s="148"/>
      <c r="Y720" s="67"/>
      <c r="Z720" s="67"/>
      <c r="AA720" s="67"/>
      <c r="AB720" s="67"/>
      <c r="AC720" s="67"/>
      <c r="AD720" s="67"/>
      <c r="AE720" s="67"/>
    </row>
    <row r="721" spans="1:31">
      <c r="A721" s="67"/>
      <c r="B721" s="67"/>
      <c r="C721" s="67"/>
      <c r="D721" s="67"/>
      <c r="E721" s="67"/>
      <c r="F721" s="67"/>
      <c r="G721" s="67"/>
      <c r="H721" s="67"/>
      <c r="I721" s="67"/>
      <c r="J721" s="67"/>
      <c r="K721" s="148"/>
      <c r="L721" s="67"/>
      <c r="M721" s="148"/>
      <c r="N721" s="67"/>
      <c r="O721" s="67"/>
      <c r="P721" s="148"/>
      <c r="Q721" s="67"/>
      <c r="R721" s="67"/>
      <c r="S721" s="67"/>
      <c r="T721" s="67"/>
      <c r="U721" s="67"/>
      <c r="V721" s="67"/>
      <c r="W721" s="67"/>
      <c r="X721" s="148"/>
      <c r="Y721" s="67"/>
      <c r="Z721" s="67"/>
      <c r="AA721" s="67"/>
      <c r="AB721" s="67"/>
      <c r="AC721" s="67"/>
      <c r="AD721" s="67"/>
      <c r="AE721" s="67"/>
    </row>
    <row r="722" spans="1:31">
      <c r="A722" s="67"/>
      <c r="B722" s="67"/>
      <c r="C722" s="67"/>
      <c r="D722" s="67"/>
      <c r="E722" s="67"/>
      <c r="F722" s="67"/>
      <c r="G722" s="67"/>
      <c r="H722" s="67"/>
      <c r="I722" s="67"/>
      <c r="J722" s="67"/>
      <c r="K722" s="148"/>
      <c r="L722" s="67"/>
      <c r="M722" s="148"/>
      <c r="N722" s="67"/>
      <c r="O722" s="67"/>
      <c r="P722" s="148"/>
      <c r="Q722" s="67"/>
      <c r="R722" s="67"/>
      <c r="S722" s="67"/>
      <c r="T722" s="67"/>
      <c r="U722" s="67"/>
      <c r="V722" s="67"/>
      <c r="W722" s="67"/>
      <c r="X722" s="148"/>
      <c r="Y722" s="67"/>
      <c r="Z722" s="67"/>
      <c r="AA722" s="67"/>
      <c r="AB722" s="67"/>
      <c r="AC722" s="67"/>
      <c r="AD722" s="67"/>
      <c r="AE722" s="67"/>
    </row>
    <row r="723" spans="1:31">
      <c r="A723" s="67"/>
      <c r="B723" s="67"/>
      <c r="C723" s="67"/>
      <c r="D723" s="67"/>
      <c r="E723" s="67"/>
      <c r="F723" s="67"/>
      <c r="G723" s="67"/>
      <c r="H723" s="67"/>
      <c r="I723" s="67"/>
      <c r="J723" s="67"/>
      <c r="K723" s="67"/>
      <c r="L723" s="67"/>
      <c r="M723" s="67"/>
      <c r="N723" s="67"/>
      <c r="O723" s="67"/>
      <c r="P723" s="148"/>
      <c r="Q723" s="67"/>
      <c r="R723" s="67"/>
      <c r="S723" s="67"/>
      <c r="T723" s="67"/>
      <c r="U723" s="67"/>
      <c r="V723" s="67"/>
      <c r="W723" s="67"/>
      <c r="X723" s="148"/>
      <c r="Y723" s="67"/>
      <c r="Z723" s="67"/>
      <c r="AA723" s="67"/>
      <c r="AB723" s="67"/>
      <c r="AC723" s="67"/>
      <c r="AD723" s="67"/>
      <c r="AE723" s="67"/>
    </row>
    <row r="724" spans="1:31">
      <c r="A724" s="67"/>
      <c r="B724" s="67"/>
      <c r="C724" s="67"/>
      <c r="D724" s="67"/>
      <c r="E724" s="67"/>
      <c r="F724" s="67"/>
      <c r="G724" s="67"/>
      <c r="H724" s="67"/>
      <c r="I724" s="67"/>
      <c r="J724" s="67"/>
      <c r="K724" s="67"/>
      <c r="L724" s="67"/>
      <c r="M724" s="67"/>
      <c r="N724" s="67"/>
      <c r="O724" s="67"/>
      <c r="P724" s="148"/>
      <c r="Q724" s="67"/>
      <c r="R724" s="67"/>
      <c r="S724" s="67"/>
      <c r="T724" s="67"/>
      <c r="U724" s="67"/>
      <c r="V724" s="67"/>
      <c r="W724" s="67"/>
      <c r="X724" s="148"/>
      <c r="Y724" s="67"/>
      <c r="Z724" s="67"/>
      <c r="AA724" s="67"/>
      <c r="AB724" s="67"/>
      <c r="AC724" s="67"/>
      <c r="AD724" s="67"/>
      <c r="AE724" s="67"/>
    </row>
    <row r="725" spans="1:31">
      <c r="A725" s="67"/>
      <c r="B725" s="67"/>
      <c r="C725" s="67"/>
      <c r="D725" s="67"/>
      <c r="E725" s="67"/>
      <c r="F725" s="67"/>
      <c r="G725" s="67"/>
      <c r="H725" s="67"/>
      <c r="I725" s="67"/>
      <c r="J725" s="67"/>
      <c r="K725" s="67"/>
      <c r="L725" s="67"/>
      <c r="M725" s="67"/>
      <c r="N725" s="67"/>
      <c r="O725" s="67"/>
      <c r="P725" s="148"/>
      <c r="Q725" s="67"/>
      <c r="R725" s="67"/>
      <c r="S725" s="67"/>
      <c r="T725" s="67"/>
      <c r="U725" s="67"/>
      <c r="V725" s="67"/>
      <c r="W725" s="67"/>
      <c r="X725" s="148"/>
      <c r="Y725" s="67"/>
      <c r="Z725" s="67"/>
      <c r="AA725" s="67"/>
      <c r="AB725" s="67"/>
      <c r="AC725" s="67"/>
      <c r="AD725" s="67"/>
      <c r="AE725" s="67"/>
    </row>
    <row r="726" spans="1:31">
      <c r="A726" s="67"/>
      <c r="B726" s="67"/>
      <c r="C726" s="67"/>
      <c r="D726" s="67"/>
      <c r="E726" s="67"/>
      <c r="F726" s="67"/>
      <c r="G726" s="67"/>
      <c r="H726" s="67"/>
      <c r="I726" s="67"/>
      <c r="J726" s="67"/>
      <c r="K726" s="67"/>
      <c r="L726" s="67"/>
      <c r="M726" s="67"/>
      <c r="N726" s="67"/>
      <c r="O726" s="67"/>
      <c r="P726" s="148"/>
      <c r="Q726" s="67"/>
      <c r="R726" s="67"/>
      <c r="S726" s="67"/>
      <c r="T726" s="67"/>
      <c r="U726" s="67"/>
      <c r="V726" s="67"/>
      <c r="W726" s="67"/>
      <c r="X726" s="148"/>
      <c r="Y726" s="67"/>
      <c r="Z726" s="67"/>
      <c r="AA726" s="67"/>
      <c r="AB726" s="67"/>
      <c r="AC726" s="67"/>
      <c r="AD726" s="67"/>
      <c r="AE726" s="67"/>
    </row>
    <row r="727" spans="1:31">
      <c r="A727" s="67"/>
      <c r="B727" s="67"/>
      <c r="C727" s="67"/>
      <c r="D727" s="67"/>
      <c r="E727" s="67"/>
      <c r="F727" s="67"/>
      <c r="G727" s="67"/>
      <c r="H727" s="67"/>
      <c r="I727" s="67"/>
      <c r="J727" s="67"/>
      <c r="K727" s="67"/>
      <c r="L727" s="67"/>
      <c r="M727" s="67"/>
      <c r="N727" s="67"/>
      <c r="O727" s="67"/>
      <c r="P727" s="148"/>
      <c r="Q727" s="67"/>
      <c r="R727" s="67"/>
      <c r="S727" s="67"/>
      <c r="T727" s="67"/>
      <c r="U727" s="67"/>
      <c r="V727" s="67"/>
      <c r="W727" s="67"/>
      <c r="X727" s="148"/>
      <c r="Y727" s="67"/>
      <c r="Z727" s="67"/>
      <c r="AA727" s="67"/>
      <c r="AB727" s="67"/>
      <c r="AC727" s="67"/>
      <c r="AD727" s="67"/>
      <c r="AE727" s="67"/>
    </row>
    <row r="728" spans="1:31">
      <c r="A728" s="67"/>
      <c r="B728" s="67"/>
      <c r="C728" s="67"/>
      <c r="D728" s="67"/>
      <c r="E728" s="67"/>
      <c r="F728" s="67"/>
      <c r="G728" s="67"/>
      <c r="H728" s="67"/>
      <c r="I728" s="67"/>
      <c r="J728" s="67"/>
      <c r="K728" s="67"/>
      <c r="L728" s="67"/>
      <c r="M728" s="67"/>
      <c r="N728" s="67"/>
      <c r="O728" s="67"/>
      <c r="P728" s="148"/>
      <c r="Q728" s="67"/>
      <c r="R728" s="67"/>
      <c r="S728" s="67"/>
      <c r="T728" s="67"/>
      <c r="U728" s="67"/>
      <c r="V728" s="67"/>
      <c r="W728" s="67"/>
      <c r="X728" s="148"/>
      <c r="Y728" s="67"/>
      <c r="Z728" s="67"/>
      <c r="AA728" s="67"/>
      <c r="AB728" s="67"/>
      <c r="AC728" s="67"/>
      <c r="AD728" s="67"/>
      <c r="AE728" s="67"/>
    </row>
    <row r="729" spans="1:31">
      <c r="A729" s="67"/>
      <c r="B729" s="67"/>
      <c r="C729" s="67"/>
      <c r="D729" s="67"/>
      <c r="E729" s="67"/>
      <c r="F729" s="67"/>
      <c r="G729" s="67"/>
      <c r="H729" s="67"/>
      <c r="I729" s="67"/>
      <c r="J729" s="67"/>
      <c r="K729" s="67"/>
      <c r="L729" s="67"/>
      <c r="M729" s="67"/>
      <c r="N729" s="67"/>
      <c r="O729" s="67"/>
      <c r="P729" s="148"/>
      <c r="Q729" s="67"/>
      <c r="R729" s="67"/>
      <c r="S729" s="67"/>
      <c r="T729" s="67"/>
      <c r="U729" s="67"/>
      <c r="V729" s="67"/>
      <c r="W729" s="67"/>
      <c r="X729" s="148"/>
      <c r="Y729" s="67"/>
      <c r="Z729" s="67"/>
      <c r="AA729" s="67"/>
      <c r="AB729" s="67"/>
      <c r="AC729" s="67"/>
      <c r="AD729" s="67"/>
      <c r="AE729" s="67"/>
    </row>
    <row r="730" spans="1:31">
      <c r="A730" s="67"/>
      <c r="B730" s="67"/>
      <c r="C730" s="67"/>
      <c r="D730" s="67"/>
      <c r="E730" s="67"/>
      <c r="F730" s="67"/>
      <c r="G730" s="67"/>
      <c r="H730" s="67"/>
      <c r="I730" s="67"/>
      <c r="J730" s="67"/>
      <c r="K730" s="67"/>
      <c r="L730" s="67"/>
      <c r="M730" s="148"/>
      <c r="N730" s="67"/>
      <c r="O730" s="67"/>
      <c r="P730" s="148"/>
      <c r="Q730" s="67"/>
      <c r="R730" s="67"/>
      <c r="S730" s="67"/>
      <c r="T730" s="67"/>
      <c r="U730" s="67"/>
      <c r="V730" s="67"/>
      <c r="W730" s="67"/>
      <c r="X730" s="148"/>
      <c r="Y730" s="67"/>
      <c r="Z730" s="67"/>
      <c r="AA730" s="67"/>
      <c r="AB730" s="67"/>
      <c r="AC730" s="67"/>
      <c r="AD730" s="67"/>
      <c r="AE730" s="67"/>
    </row>
    <row r="731" spans="1:31">
      <c r="A731" s="67"/>
      <c r="B731" s="67"/>
      <c r="C731" s="67"/>
      <c r="D731" s="67"/>
      <c r="E731" s="67"/>
      <c r="F731" s="67"/>
      <c r="G731" s="67"/>
      <c r="H731" s="67"/>
      <c r="I731" s="67"/>
      <c r="J731" s="67"/>
      <c r="K731" s="67"/>
      <c r="L731" s="67"/>
      <c r="M731" s="67"/>
      <c r="N731" s="67"/>
      <c r="O731" s="67"/>
      <c r="P731" s="148"/>
      <c r="Q731" s="67"/>
      <c r="R731" s="67"/>
      <c r="S731" s="67"/>
      <c r="T731" s="67"/>
      <c r="U731" s="67"/>
      <c r="V731" s="67"/>
      <c r="W731" s="67"/>
      <c r="X731" s="148"/>
      <c r="Y731" s="67"/>
      <c r="Z731" s="67"/>
      <c r="AA731" s="67"/>
      <c r="AB731" s="67"/>
      <c r="AC731" s="67"/>
      <c r="AD731" s="67"/>
      <c r="AE731" s="67"/>
    </row>
    <row r="732" spans="1:31">
      <c r="A732" s="67"/>
      <c r="B732" s="67"/>
      <c r="C732" s="67"/>
      <c r="D732" s="67"/>
      <c r="E732" s="67"/>
      <c r="F732" s="67"/>
      <c r="G732" s="67"/>
      <c r="H732" s="67"/>
      <c r="I732" s="67"/>
      <c r="J732" s="67"/>
      <c r="K732" s="67"/>
      <c r="L732" s="67"/>
      <c r="M732" s="148"/>
      <c r="N732" s="67"/>
      <c r="O732" s="67"/>
      <c r="P732" s="148"/>
      <c r="Q732" s="67"/>
      <c r="R732" s="67"/>
      <c r="S732" s="67"/>
      <c r="T732" s="67"/>
      <c r="U732" s="67"/>
      <c r="V732" s="67"/>
      <c r="W732" s="67"/>
      <c r="X732" s="148"/>
      <c r="Y732" s="67"/>
      <c r="Z732" s="67"/>
      <c r="AA732" s="67"/>
      <c r="AB732" s="67"/>
      <c r="AC732" s="67"/>
      <c r="AD732" s="67"/>
      <c r="AE732" s="67"/>
    </row>
    <row r="733" spans="1:31">
      <c r="A733" s="67"/>
      <c r="B733" s="67"/>
      <c r="C733" s="67"/>
      <c r="D733" s="67"/>
      <c r="E733" s="67"/>
      <c r="F733" s="67"/>
      <c r="G733" s="67"/>
      <c r="H733" s="67"/>
      <c r="I733" s="67"/>
      <c r="J733" s="67"/>
      <c r="K733" s="67"/>
      <c r="L733" s="67"/>
      <c r="M733" s="148"/>
      <c r="N733" s="67"/>
      <c r="O733" s="67"/>
      <c r="P733" s="148"/>
      <c r="Q733" s="67"/>
      <c r="R733" s="67"/>
      <c r="S733" s="67"/>
      <c r="T733" s="67"/>
      <c r="U733" s="67"/>
      <c r="V733" s="67"/>
      <c r="W733" s="67"/>
      <c r="X733" s="148"/>
      <c r="Y733" s="67"/>
      <c r="Z733" s="67"/>
      <c r="AA733" s="67"/>
      <c r="AB733" s="67"/>
      <c r="AC733" s="67"/>
      <c r="AD733" s="67"/>
      <c r="AE733" s="67"/>
    </row>
    <row r="734" spans="1:31">
      <c r="A734" s="67"/>
      <c r="B734" s="67"/>
      <c r="C734" s="67"/>
      <c r="D734" s="67"/>
      <c r="E734" s="67"/>
      <c r="F734" s="67"/>
      <c r="G734" s="67"/>
      <c r="H734" s="67"/>
      <c r="I734" s="67"/>
      <c r="J734" s="67"/>
      <c r="K734" s="67"/>
      <c r="L734" s="67"/>
      <c r="M734" s="148"/>
      <c r="N734" s="67"/>
      <c r="O734" s="67"/>
      <c r="P734" s="148"/>
      <c r="Q734" s="67"/>
      <c r="R734" s="67"/>
      <c r="S734" s="67"/>
      <c r="T734" s="67"/>
      <c r="U734" s="67"/>
      <c r="V734" s="67"/>
      <c r="W734" s="67"/>
      <c r="X734" s="148"/>
      <c r="Y734" s="67"/>
      <c r="Z734" s="67"/>
      <c r="AA734" s="67"/>
      <c r="AB734" s="67"/>
      <c r="AC734" s="67"/>
      <c r="AD734" s="67"/>
      <c r="AE734" s="67"/>
    </row>
    <row r="735" spans="1:31">
      <c r="A735" s="67"/>
      <c r="B735" s="67"/>
      <c r="C735" s="67"/>
      <c r="D735" s="67"/>
      <c r="E735" s="67"/>
      <c r="F735" s="67"/>
      <c r="G735" s="67"/>
      <c r="H735" s="67"/>
      <c r="I735" s="67"/>
      <c r="J735" s="67"/>
      <c r="K735" s="67"/>
      <c r="L735" s="67"/>
      <c r="M735" s="148"/>
      <c r="N735" s="67"/>
      <c r="O735" s="67"/>
      <c r="P735" s="148"/>
      <c r="Q735" s="67"/>
      <c r="R735" s="67"/>
      <c r="S735" s="67"/>
      <c r="T735" s="67"/>
      <c r="U735" s="67"/>
      <c r="V735" s="67"/>
      <c r="W735" s="67"/>
      <c r="X735" s="148"/>
      <c r="Y735" s="67"/>
      <c r="Z735" s="67"/>
      <c r="AA735" s="67"/>
      <c r="AB735" s="67"/>
      <c r="AC735" s="67"/>
      <c r="AD735" s="67"/>
      <c r="AE735" s="67"/>
    </row>
    <row r="736" spans="1:31">
      <c r="A736" s="67"/>
      <c r="B736" s="67"/>
      <c r="C736" s="67"/>
      <c r="D736" s="67"/>
      <c r="E736" s="67"/>
      <c r="F736" s="67"/>
      <c r="G736" s="67"/>
      <c r="H736" s="67"/>
      <c r="I736" s="67"/>
      <c r="J736" s="67"/>
      <c r="K736" s="67"/>
      <c r="L736" s="67"/>
      <c r="M736" s="148"/>
      <c r="N736" s="67"/>
      <c r="O736" s="67"/>
      <c r="P736" s="148"/>
      <c r="Q736" s="67"/>
      <c r="R736" s="67"/>
      <c r="S736" s="67"/>
      <c r="T736" s="67"/>
      <c r="U736" s="67"/>
      <c r="V736" s="67"/>
      <c r="W736" s="67"/>
      <c r="X736" s="148"/>
      <c r="Y736" s="67"/>
      <c r="Z736" s="67"/>
      <c r="AA736" s="67"/>
      <c r="AB736" s="67"/>
      <c r="AC736" s="67"/>
      <c r="AD736" s="67"/>
      <c r="AE736" s="67"/>
    </row>
    <row r="737" spans="1:31">
      <c r="A737" s="67"/>
      <c r="B737" s="67"/>
      <c r="C737" s="67"/>
      <c r="D737" s="67"/>
      <c r="E737" s="67"/>
      <c r="F737" s="67"/>
      <c r="G737" s="67"/>
      <c r="H737" s="67"/>
      <c r="I737" s="67"/>
      <c r="J737" s="67"/>
      <c r="K737" s="67"/>
      <c r="L737" s="67"/>
      <c r="M737" s="148"/>
      <c r="N737" s="67"/>
      <c r="O737" s="67"/>
      <c r="P737" s="148"/>
      <c r="Q737" s="67"/>
      <c r="R737" s="67"/>
      <c r="S737" s="67"/>
      <c r="T737" s="67"/>
      <c r="U737" s="67"/>
      <c r="V737" s="67"/>
      <c r="W737" s="67"/>
      <c r="X737" s="148"/>
      <c r="Y737" s="67"/>
      <c r="Z737" s="67"/>
      <c r="AA737" s="67"/>
      <c r="AB737" s="67"/>
      <c r="AC737" s="67"/>
      <c r="AD737" s="67"/>
      <c r="AE737" s="67"/>
    </row>
    <row r="738" spans="1:31">
      <c r="A738" s="67"/>
      <c r="B738" s="67"/>
      <c r="C738" s="67"/>
      <c r="D738" s="67"/>
      <c r="E738" s="67"/>
      <c r="F738" s="67"/>
      <c r="G738" s="67"/>
      <c r="H738" s="67"/>
      <c r="I738" s="67"/>
      <c r="J738" s="67"/>
      <c r="K738" s="67"/>
      <c r="L738" s="67"/>
      <c r="M738" s="148"/>
      <c r="N738" s="67"/>
      <c r="O738" s="67"/>
      <c r="P738" s="148"/>
      <c r="Q738" s="67"/>
      <c r="R738" s="67"/>
      <c r="S738" s="67"/>
      <c r="T738" s="67"/>
      <c r="U738" s="67"/>
      <c r="V738" s="67"/>
      <c r="W738" s="67"/>
      <c r="X738" s="148"/>
      <c r="Y738" s="67"/>
      <c r="Z738" s="67"/>
      <c r="AA738" s="67"/>
      <c r="AB738" s="67"/>
      <c r="AC738" s="67"/>
      <c r="AD738" s="67"/>
      <c r="AE738" s="67"/>
    </row>
    <row r="739" spans="1:31">
      <c r="A739" s="67"/>
      <c r="B739" s="67"/>
      <c r="C739" s="67"/>
      <c r="D739" s="67"/>
      <c r="E739" s="67"/>
      <c r="F739" s="67"/>
      <c r="G739" s="67"/>
      <c r="H739" s="67"/>
      <c r="I739" s="67"/>
      <c r="J739" s="67"/>
      <c r="K739" s="67"/>
      <c r="L739" s="67"/>
      <c r="M739" s="148"/>
      <c r="N739" s="67"/>
      <c r="O739" s="67"/>
      <c r="P739" s="148"/>
      <c r="Q739" s="67"/>
      <c r="R739" s="67"/>
      <c r="S739" s="67"/>
      <c r="T739" s="67"/>
      <c r="U739" s="67"/>
      <c r="V739" s="67"/>
      <c r="W739" s="67"/>
      <c r="X739" s="148"/>
      <c r="Y739" s="67"/>
      <c r="Z739" s="67"/>
      <c r="AA739" s="67"/>
      <c r="AB739" s="67"/>
      <c r="AC739" s="67"/>
      <c r="AD739" s="67"/>
      <c r="AE739" s="67"/>
    </row>
    <row r="740" spans="1:31">
      <c r="A740" s="67"/>
      <c r="B740" s="67"/>
      <c r="C740" s="67"/>
      <c r="D740" s="67"/>
      <c r="E740" s="67"/>
      <c r="F740" s="67"/>
      <c r="G740" s="67"/>
      <c r="H740" s="67"/>
      <c r="I740" s="67"/>
      <c r="J740" s="67"/>
      <c r="K740" s="67"/>
      <c r="L740" s="67"/>
      <c r="M740" s="148"/>
      <c r="N740" s="67"/>
      <c r="O740" s="67"/>
      <c r="P740" s="148"/>
      <c r="Q740" s="67"/>
      <c r="R740" s="67"/>
      <c r="S740" s="67"/>
      <c r="T740" s="67"/>
      <c r="U740" s="67"/>
      <c r="V740" s="67"/>
      <c r="W740" s="67"/>
      <c r="X740" s="148"/>
      <c r="Y740" s="67"/>
      <c r="Z740" s="67"/>
      <c r="AA740" s="67"/>
      <c r="AB740" s="67"/>
      <c r="AC740" s="67"/>
      <c r="AD740" s="67"/>
      <c r="AE740" s="67"/>
    </row>
    <row r="741" spans="1:31">
      <c r="A741" s="67"/>
      <c r="B741" s="67"/>
      <c r="C741" s="67"/>
      <c r="D741" s="67"/>
      <c r="E741" s="67"/>
      <c r="F741" s="67"/>
      <c r="G741" s="67"/>
      <c r="H741" s="67"/>
      <c r="I741" s="67"/>
      <c r="J741" s="67"/>
      <c r="K741" s="67"/>
      <c r="L741" s="67"/>
      <c r="M741" s="148"/>
      <c r="N741" s="67"/>
      <c r="O741" s="67"/>
      <c r="P741" s="148"/>
      <c r="Q741" s="67"/>
      <c r="R741" s="67"/>
      <c r="S741" s="67"/>
      <c r="T741" s="67"/>
      <c r="U741" s="67"/>
      <c r="V741" s="67"/>
      <c r="W741" s="67"/>
      <c r="X741" s="148"/>
      <c r="Y741" s="67"/>
      <c r="Z741" s="67"/>
      <c r="AA741" s="67"/>
      <c r="AB741" s="67"/>
      <c r="AC741" s="67"/>
      <c r="AD741" s="67"/>
      <c r="AE741" s="67"/>
    </row>
    <row r="742" spans="1:31">
      <c r="A742" s="67"/>
      <c r="B742" s="67"/>
      <c r="C742" s="67"/>
      <c r="D742" s="67"/>
      <c r="E742" s="67"/>
      <c r="F742" s="67"/>
      <c r="G742" s="67"/>
      <c r="H742" s="67"/>
      <c r="I742" s="67"/>
      <c r="J742" s="67"/>
      <c r="K742" s="67"/>
      <c r="L742" s="67"/>
      <c r="M742" s="148"/>
      <c r="N742" s="67"/>
      <c r="O742" s="67"/>
      <c r="P742" s="148"/>
      <c r="Q742" s="67"/>
      <c r="R742" s="67"/>
      <c r="S742" s="67"/>
      <c r="T742" s="67"/>
      <c r="U742" s="67"/>
      <c r="V742" s="67"/>
      <c r="W742" s="67"/>
      <c r="X742" s="148"/>
      <c r="Y742" s="67"/>
      <c r="Z742" s="67"/>
      <c r="AA742" s="67"/>
      <c r="AB742" s="67"/>
      <c r="AC742" s="67"/>
      <c r="AD742" s="67"/>
      <c r="AE742" s="67"/>
    </row>
    <row r="743" spans="1:31">
      <c r="A743" s="67"/>
      <c r="B743" s="67"/>
      <c r="C743" s="67"/>
      <c r="D743" s="67"/>
      <c r="E743" s="67"/>
      <c r="F743" s="67"/>
      <c r="G743" s="67"/>
      <c r="H743" s="67"/>
      <c r="I743" s="67"/>
      <c r="J743" s="67"/>
      <c r="K743" s="67"/>
      <c r="L743" s="67"/>
      <c r="M743" s="148"/>
      <c r="N743" s="67"/>
      <c r="O743" s="67"/>
      <c r="P743" s="148"/>
      <c r="Q743" s="67"/>
      <c r="R743" s="67"/>
      <c r="S743" s="67"/>
      <c r="T743" s="67"/>
      <c r="U743" s="67"/>
      <c r="V743" s="67"/>
      <c r="W743" s="67"/>
      <c r="X743" s="148"/>
      <c r="Y743" s="67"/>
      <c r="Z743" s="67"/>
      <c r="AA743" s="67"/>
      <c r="AB743" s="67"/>
      <c r="AC743" s="67"/>
      <c r="AD743" s="67"/>
      <c r="AE743" s="67"/>
    </row>
    <row r="744" spans="1:31">
      <c r="A744" s="67"/>
      <c r="B744" s="67"/>
      <c r="C744" s="67"/>
      <c r="D744" s="67"/>
      <c r="E744" s="67"/>
      <c r="F744" s="67"/>
      <c r="G744" s="67"/>
      <c r="H744" s="67"/>
      <c r="I744" s="67"/>
      <c r="J744" s="67"/>
      <c r="K744" s="67"/>
      <c r="L744" s="67"/>
      <c r="M744" s="148"/>
      <c r="N744" s="67"/>
      <c r="O744" s="67"/>
      <c r="P744" s="148"/>
      <c r="Q744" s="67"/>
      <c r="R744" s="67"/>
      <c r="S744" s="67"/>
      <c r="T744" s="67"/>
      <c r="U744" s="67"/>
      <c r="V744" s="67"/>
      <c r="W744" s="67"/>
      <c r="X744" s="148"/>
      <c r="Y744" s="67"/>
      <c r="Z744" s="67"/>
      <c r="AA744" s="67"/>
      <c r="AB744" s="67"/>
      <c r="AC744" s="67"/>
      <c r="AD744" s="67"/>
      <c r="AE744" s="67"/>
    </row>
    <row r="745" spans="1:31">
      <c r="A745" s="67"/>
      <c r="B745" s="67"/>
      <c r="C745" s="67"/>
      <c r="D745" s="67"/>
      <c r="E745" s="67"/>
      <c r="F745" s="67"/>
      <c r="G745" s="67"/>
      <c r="H745" s="67"/>
      <c r="I745" s="67"/>
      <c r="J745" s="67"/>
      <c r="K745" s="67"/>
      <c r="L745" s="67"/>
      <c r="M745" s="148"/>
      <c r="N745" s="67"/>
      <c r="O745" s="67"/>
      <c r="P745" s="148"/>
      <c r="Q745" s="67"/>
      <c r="R745" s="67"/>
      <c r="S745" s="67"/>
      <c r="T745" s="67"/>
      <c r="U745" s="67"/>
      <c r="V745" s="67"/>
      <c r="W745" s="67"/>
      <c r="X745" s="148"/>
      <c r="Y745" s="67"/>
      <c r="Z745" s="67"/>
      <c r="AA745" s="67"/>
      <c r="AB745" s="67"/>
      <c r="AC745" s="67"/>
      <c r="AD745" s="67"/>
      <c r="AE745" s="67"/>
    </row>
    <row r="746" spans="1:31">
      <c r="A746" s="67"/>
      <c r="B746" s="67"/>
      <c r="C746" s="67"/>
      <c r="D746" s="67"/>
      <c r="E746" s="67"/>
      <c r="F746" s="67"/>
      <c r="G746" s="67"/>
      <c r="H746" s="67"/>
      <c r="I746" s="67"/>
      <c r="J746" s="67"/>
      <c r="K746" s="67"/>
      <c r="L746" s="67"/>
      <c r="M746" s="67"/>
      <c r="N746" s="67"/>
      <c r="O746" s="67"/>
      <c r="P746" s="148"/>
      <c r="Q746" s="67"/>
      <c r="R746" s="67"/>
      <c r="S746" s="67"/>
      <c r="T746" s="67"/>
      <c r="U746" s="67"/>
      <c r="V746" s="67"/>
      <c r="W746" s="67"/>
      <c r="X746" s="148"/>
      <c r="Y746" s="67"/>
      <c r="Z746" s="67"/>
      <c r="AA746" s="67"/>
      <c r="AB746" s="67"/>
      <c r="AC746" s="67"/>
      <c r="AD746" s="67"/>
      <c r="AE746" s="67"/>
    </row>
    <row r="747" spans="1:31">
      <c r="A747" s="67"/>
      <c r="B747" s="67"/>
      <c r="C747" s="67"/>
      <c r="D747" s="67"/>
      <c r="E747" s="67"/>
      <c r="F747" s="67"/>
      <c r="G747" s="67"/>
      <c r="H747" s="67"/>
      <c r="I747" s="67"/>
      <c r="J747" s="67"/>
      <c r="K747" s="148"/>
      <c r="L747" s="67"/>
      <c r="M747" s="148"/>
      <c r="N747" s="67"/>
      <c r="O747" s="67"/>
      <c r="P747" s="148"/>
      <c r="Q747" s="67"/>
      <c r="R747" s="67"/>
      <c r="S747" s="67"/>
      <c r="T747" s="67"/>
      <c r="U747" s="67"/>
      <c r="V747" s="67"/>
      <c r="W747" s="67"/>
      <c r="X747" s="148"/>
      <c r="Y747" s="67"/>
      <c r="Z747" s="67"/>
      <c r="AA747" s="67"/>
      <c r="AB747" s="67"/>
      <c r="AC747" s="67"/>
      <c r="AD747" s="67"/>
      <c r="AE747" s="67"/>
    </row>
    <row r="748" spans="1:31">
      <c r="A748" s="67"/>
      <c r="B748" s="67"/>
      <c r="C748" s="67"/>
      <c r="D748" s="67"/>
      <c r="E748" s="67"/>
      <c r="F748" s="67"/>
      <c r="G748" s="67"/>
      <c r="H748" s="67"/>
      <c r="I748" s="67"/>
      <c r="J748" s="67"/>
      <c r="K748" s="148"/>
      <c r="L748" s="67"/>
      <c r="M748" s="67"/>
      <c r="N748" s="67"/>
      <c r="O748" s="67"/>
      <c r="P748" s="148"/>
      <c r="Q748" s="67"/>
      <c r="R748" s="67"/>
      <c r="S748" s="67"/>
      <c r="T748" s="67"/>
      <c r="U748" s="67"/>
      <c r="V748" s="67"/>
      <c r="W748" s="67"/>
      <c r="X748" s="148"/>
      <c r="Y748" s="67"/>
      <c r="Z748" s="67"/>
      <c r="AA748" s="67"/>
      <c r="AB748" s="67"/>
      <c r="AC748" s="67"/>
      <c r="AD748" s="67"/>
      <c r="AE748" s="67"/>
    </row>
    <row r="749" spans="1:31">
      <c r="A749" s="67"/>
      <c r="B749" s="67"/>
      <c r="C749" s="67"/>
      <c r="D749" s="67"/>
      <c r="E749" s="67"/>
      <c r="F749" s="67"/>
      <c r="G749" s="67"/>
      <c r="H749" s="67"/>
      <c r="I749" s="67"/>
      <c r="J749" s="67"/>
      <c r="K749" s="148"/>
      <c r="L749" s="67"/>
      <c r="M749" s="67"/>
      <c r="N749" s="67"/>
      <c r="O749" s="67"/>
      <c r="P749" s="148"/>
      <c r="Q749" s="67"/>
      <c r="R749" s="67"/>
      <c r="S749" s="67"/>
      <c r="T749" s="67"/>
      <c r="U749" s="67"/>
      <c r="V749" s="67"/>
      <c r="W749" s="67"/>
      <c r="X749" s="148"/>
      <c r="Y749" s="67"/>
      <c r="Z749" s="67"/>
      <c r="AA749" s="67"/>
      <c r="AB749" s="67"/>
      <c r="AC749" s="67"/>
      <c r="AD749" s="67"/>
      <c r="AE749" s="67"/>
    </row>
    <row r="750" spans="1:31">
      <c r="A750" s="67"/>
      <c r="B750" s="67"/>
      <c r="C750" s="67"/>
      <c r="D750" s="67"/>
      <c r="E750" s="67"/>
      <c r="F750" s="67"/>
      <c r="G750" s="67"/>
      <c r="H750" s="67"/>
      <c r="I750" s="67"/>
      <c r="J750" s="67"/>
      <c r="K750" s="148"/>
      <c r="L750" s="67"/>
      <c r="M750" s="67"/>
      <c r="N750" s="67"/>
      <c r="O750" s="67"/>
      <c r="P750" s="148"/>
      <c r="Q750" s="67"/>
      <c r="R750" s="67"/>
      <c r="S750" s="67"/>
      <c r="T750" s="67"/>
      <c r="U750" s="67"/>
      <c r="V750" s="67"/>
      <c r="W750" s="67"/>
      <c r="X750" s="148"/>
      <c r="Y750" s="67"/>
      <c r="Z750" s="67"/>
      <c r="AA750" s="67"/>
      <c r="AB750" s="67"/>
      <c r="AC750" s="67"/>
      <c r="AD750" s="67"/>
      <c r="AE750" s="67"/>
    </row>
    <row r="751" spans="1:31">
      <c r="A751" s="67"/>
      <c r="B751" s="67"/>
      <c r="C751" s="67"/>
      <c r="D751" s="67"/>
      <c r="E751" s="67"/>
      <c r="F751" s="67"/>
      <c r="G751" s="67"/>
      <c r="H751" s="67"/>
      <c r="I751" s="67"/>
      <c r="J751" s="67"/>
      <c r="K751" s="148"/>
      <c r="L751" s="67"/>
      <c r="M751" s="67"/>
      <c r="N751" s="67"/>
      <c r="O751" s="67"/>
      <c r="P751" s="148"/>
      <c r="Q751" s="67"/>
      <c r="R751" s="67"/>
      <c r="S751" s="67"/>
      <c r="T751" s="67"/>
      <c r="U751" s="67"/>
      <c r="V751" s="67"/>
      <c r="W751" s="67"/>
      <c r="X751" s="148"/>
      <c r="Y751" s="67"/>
      <c r="Z751" s="67"/>
      <c r="AA751" s="67"/>
      <c r="AB751" s="67"/>
      <c r="AC751" s="67"/>
      <c r="AD751" s="67"/>
      <c r="AE751" s="67"/>
    </row>
    <row r="752" spans="1:31">
      <c r="A752" s="67"/>
      <c r="B752" s="67"/>
      <c r="C752" s="67"/>
      <c r="D752" s="67"/>
      <c r="E752" s="67"/>
      <c r="F752" s="67"/>
      <c r="G752" s="67"/>
      <c r="H752" s="67"/>
      <c r="I752" s="67"/>
      <c r="J752" s="67"/>
      <c r="K752" s="148"/>
      <c r="L752" s="67"/>
      <c r="M752" s="67"/>
      <c r="N752" s="67"/>
      <c r="O752" s="67"/>
      <c r="P752" s="148"/>
      <c r="Q752" s="67"/>
      <c r="R752" s="67"/>
      <c r="S752" s="67"/>
      <c r="T752" s="67"/>
      <c r="U752" s="67"/>
      <c r="V752" s="67"/>
      <c r="W752" s="67"/>
      <c r="X752" s="148"/>
      <c r="Y752" s="67"/>
      <c r="Z752" s="67"/>
      <c r="AA752" s="67"/>
      <c r="AB752" s="67"/>
      <c r="AC752" s="67"/>
      <c r="AD752" s="67"/>
      <c r="AE752" s="67"/>
    </row>
    <row r="753" spans="1:31">
      <c r="A753" s="67"/>
      <c r="B753" s="67"/>
      <c r="C753" s="67"/>
      <c r="D753" s="67"/>
      <c r="E753" s="67"/>
      <c r="F753" s="67"/>
      <c r="G753" s="67"/>
      <c r="H753" s="67"/>
      <c r="I753" s="67"/>
      <c r="J753" s="67"/>
      <c r="K753" s="148"/>
      <c r="L753" s="67"/>
      <c r="M753" s="67"/>
      <c r="N753" s="67"/>
      <c r="O753" s="67"/>
      <c r="P753" s="148"/>
      <c r="Q753" s="67"/>
      <c r="R753" s="67"/>
      <c r="S753" s="67"/>
      <c r="T753" s="67"/>
      <c r="U753" s="67"/>
      <c r="V753" s="67"/>
      <c r="W753" s="67"/>
      <c r="X753" s="148"/>
      <c r="Y753" s="67"/>
      <c r="Z753" s="67"/>
      <c r="AA753" s="67"/>
      <c r="AB753" s="67"/>
      <c r="AC753" s="67"/>
      <c r="AD753" s="67"/>
      <c r="AE753" s="67"/>
    </row>
    <row r="754" spans="1:31">
      <c r="A754" s="67"/>
      <c r="B754" s="67"/>
      <c r="C754" s="67"/>
      <c r="D754" s="67"/>
      <c r="E754" s="67"/>
      <c r="F754" s="67"/>
      <c r="G754" s="67"/>
      <c r="H754" s="67"/>
      <c r="I754" s="67"/>
      <c r="J754" s="67"/>
      <c r="K754" s="148"/>
      <c r="L754" s="67"/>
      <c r="M754" s="67"/>
      <c r="N754" s="67"/>
      <c r="O754" s="67"/>
      <c r="P754" s="148"/>
      <c r="Q754" s="67"/>
      <c r="R754" s="67"/>
      <c r="S754" s="67"/>
      <c r="T754" s="67"/>
      <c r="U754" s="67"/>
      <c r="V754" s="67"/>
      <c r="W754" s="67"/>
      <c r="X754" s="148"/>
      <c r="Y754" s="67"/>
      <c r="Z754" s="67"/>
      <c r="AA754" s="67"/>
      <c r="AB754" s="67"/>
      <c r="AC754" s="67"/>
      <c r="AD754" s="67"/>
      <c r="AE754" s="67"/>
    </row>
    <row r="755" spans="1:31">
      <c r="A755" s="67"/>
      <c r="B755" s="67"/>
      <c r="C755" s="67"/>
      <c r="D755" s="67"/>
      <c r="E755" s="67"/>
      <c r="F755" s="67"/>
      <c r="G755" s="67"/>
      <c r="H755" s="67"/>
      <c r="I755" s="67"/>
      <c r="J755" s="67"/>
      <c r="K755" s="148"/>
      <c r="L755" s="67"/>
      <c r="M755" s="67"/>
      <c r="N755" s="67"/>
      <c r="O755" s="67"/>
      <c r="P755" s="148"/>
      <c r="Q755" s="67"/>
      <c r="R755" s="67"/>
      <c r="S755" s="67"/>
      <c r="T755" s="67"/>
      <c r="U755" s="67"/>
      <c r="V755" s="67"/>
      <c r="W755" s="67"/>
      <c r="X755" s="148"/>
      <c r="Y755" s="67"/>
      <c r="Z755" s="67"/>
      <c r="AA755" s="67"/>
      <c r="AB755" s="67"/>
      <c r="AC755" s="67"/>
      <c r="AD755" s="67"/>
      <c r="AE755" s="67"/>
    </row>
    <row r="756" spans="1:31">
      <c r="A756" s="67"/>
      <c r="B756" s="67"/>
      <c r="C756" s="67"/>
      <c r="D756" s="67"/>
      <c r="E756" s="67"/>
      <c r="F756" s="67"/>
      <c r="G756" s="67"/>
      <c r="H756" s="67"/>
      <c r="I756" s="67"/>
      <c r="J756" s="67"/>
      <c r="K756" s="148"/>
      <c r="L756" s="67"/>
      <c r="M756" s="67"/>
      <c r="N756" s="67"/>
      <c r="O756" s="67"/>
      <c r="P756" s="148"/>
      <c r="Q756" s="67"/>
      <c r="R756" s="67"/>
      <c r="S756" s="67"/>
      <c r="T756" s="67"/>
      <c r="U756" s="67"/>
      <c r="V756" s="67"/>
      <c r="W756" s="67"/>
      <c r="X756" s="148"/>
      <c r="Y756" s="67"/>
      <c r="Z756" s="67"/>
      <c r="AA756" s="67"/>
      <c r="AB756" s="67"/>
      <c r="AC756" s="67"/>
      <c r="AD756" s="67"/>
      <c r="AE756" s="67"/>
    </row>
    <row r="757" spans="1:31">
      <c r="A757" s="67"/>
      <c r="B757" s="67"/>
      <c r="C757" s="67"/>
      <c r="D757" s="67"/>
      <c r="E757" s="67"/>
      <c r="F757" s="67"/>
      <c r="G757" s="67"/>
      <c r="H757" s="67"/>
      <c r="I757" s="67"/>
      <c r="J757" s="67"/>
      <c r="K757" s="148"/>
      <c r="L757" s="67"/>
      <c r="M757" s="67"/>
      <c r="N757" s="67"/>
      <c r="O757" s="67"/>
      <c r="P757" s="148"/>
      <c r="Q757" s="67"/>
      <c r="R757" s="67"/>
      <c r="S757" s="67"/>
      <c r="T757" s="67"/>
      <c r="U757" s="67"/>
      <c r="V757" s="67"/>
      <c r="W757" s="67"/>
      <c r="X757" s="148"/>
      <c r="Y757" s="67"/>
      <c r="Z757" s="67"/>
      <c r="AA757" s="67"/>
      <c r="AB757" s="67"/>
      <c r="AC757" s="67"/>
      <c r="AD757" s="67"/>
      <c r="AE757" s="67"/>
    </row>
    <row r="758" spans="1:31">
      <c r="A758" s="67"/>
      <c r="B758" s="67"/>
      <c r="C758" s="67"/>
      <c r="D758" s="67"/>
      <c r="E758" s="67"/>
      <c r="F758" s="67"/>
      <c r="G758" s="67"/>
      <c r="H758" s="67"/>
      <c r="I758" s="67"/>
      <c r="J758" s="67"/>
      <c r="K758" s="148"/>
      <c r="L758" s="67"/>
      <c r="M758" s="67"/>
      <c r="N758" s="67"/>
      <c r="O758" s="67"/>
      <c r="P758" s="148"/>
      <c r="Q758" s="67"/>
      <c r="R758" s="67"/>
      <c r="S758" s="67"/>
      <c r="T758" s="67"/>
      <c r="U758" s="67"/>
      <c r="V758" s="67"/>
      <c r="W758" s="67"/>
      <c r="X758" s="148"/>
      <c r="Y758" s="67"/>
      <c r="Z758" s="67"/>
      <c r="AA758" s="67"/>
      <c r="AB758" s="67"/>
      <c r="AC758" s="67"/>
      <c r="AD758" s="67"/>
      <c r="AE758" s="67"/>
    </row>
    <row r="759" spans="1:31">
      <c r="A759" s="67"/>
      <c r="B759" s="67"/>
      <c r="C759" s="67"/>
      <c r="D759" s="67"/>
      <c r="E759" s="67"/>
      <c r="F759" s="67"/>
      <c r="G759" s="67"/>
      <c r="H759" s="67"/>
      <c r="I759" s="67"/>
      <c r="J759" s="67"/>
      <c r="K759" s="67"/>
      <c r="L759" s="67"/>
      <c r="M759" s="67"/>
      <c r="N759" s="67"/>
      <c r="O759" s="67"/>
      <c r="P759" s="148"/>
      <c r="Q759" s="67"/>
      <c r="R759" s="67"/>
      <c r="S759" s="67"/>
      <c r="T759" s="67"/>
      <c r="U759" s="67"/>
      <c r="V759" s="67"/>
      <c r="W759" s="67"/>
      <c r="X759" s="148"/>
      <c r="Y759" s="67"/>
      <c r="Z759" s="67"/>
      <c r="AA759" s="67"/>
      <c r="AB759" s="67"/>
      <c r="AC759" s="67"/>
      <c r="AD759" s="67"/>
      <c r="AE759" s="67"/>
    </row>
    <row r="760" spans="1:31">
      <c r="A760" s="67"/>
      <c r="B760" s="67"/>
      <c r="C760" s="67"/>
      <c r="D760" s="67"/>
      <c r="E760" s="67"/>
      <c r="F760" s="67"/>
      <c r="G760" s="67"/>
      <c r="H760" s="67"/>
      <c r="I760" s="67"/>
      <c r="J760" s="67"/>
      <c r="K760" s="67"/>
      <c r="L760" s="67"/>
      <c r="M760" s="67"/>
      <c r="N760" s="67"/>
      <c r="O760" s="67"/>
      <c r="P760" s="148"/>
      <c r="Q760" s="67"/>
      <c r="R760" s="67"/>
      <c r="S760" s="67"/>
      <c r="T760" s="67"/>
      <c r="U760" s="67"/>
      <c r="V760" s="67"/>
      <c r="W760" s="67"/>
      <c r="X760" s="148"/>
      <c r="Y760" s="67"/>
      <c r="Z760" s="67"/>
      <c r="AA760" s="67"/>
      <c r="AB760" s="67"/>
      <c r="AC760" s="67"/>
      <c r="AD760" s="67"/>
      <c r="AE760" s="67"/>
    </row>
    <row r="761" spans="1:31">
      <c r="A761" s="67"/>
      <c r="B761" s="67"/>
      <c r="C761" s="67"/>
      <c r="D761" s="67"/>
      <c r="E761" s="67"/>
      <c r="F761" s="67"/>
      <c r="G761" s="67"/>
      <c r="H761" s="67"/>
      <c r="I761" s="67"/>
      <c r="J761" s="67"/>
      <c r="K761" s="67"/>
      <c r="L761" s="67"/>
      <c r="M761" s="67"/>
      <c r="N761" s="67"/>
      <c r="O761" s="67"/>
      <c r="P761" s="148"/>
      <c r="Q761" s="67"/>
      <c r="R761" s="67"/>
      <c r="S761" s="67"/>
      <c r="T761" s="67"/>
      <c r="U761" s="67"/>
      <c r="V761" s="67"/>
      <c r="W761" s="67"/>
      <c r="X761" s="148"/>
      <c r="Y761" s="67"/>
      <c r="Z761" s="67"/>
      <c r="AA761" s="67"/>
      <c r="AB761" s="67"/>
      <c r="AC761" s="67"/>
      <c r="AD761" s="67"/>
      <c r="AE761" s="67"/>
    </row>
    <row r="762" spans="1:31">
      <c r="A762" s="67"/>
      <c r="B762" s="67"/>
      <c r="C762" s="67"/>
      <c r="D762" s="67"/>
      <c r="E762" s="67"/>
      <c r="F762" s="67"/>
      <c r="G762" s="67"/>
      <c r="H762" s="67"/>
      <c r="I762" s="67"/>
      <c r="J762" s="67"/>
      <c r="K762" s="67"/>
      <c r="L762" s="67"/>
      <c r="M762" s="67"/>
      <c r="N762" s="67"/>
      <c r="O762" s="67"/>
      <c r="P762" s="148"/>
      <c r="Q762" s="67"/>
      <c r="R762" s="67"/>
      <c r="S762" s="67"/>
      <c r="T762" s="67"/>
      <c r="U762" s="67"/>
      <c r="V762" s="67"/>
      <c r="W762" s="67"/>
      <c r="X762" s="148"/>
      <c r="Y762" s="67"/>
      <c r="Z762" s="67"/>
      <c r="AA762" s="67"/>
      <c r="AB762" s="67"/>
      <c r="AC762" s="67"/>
      <c r="AD762" s="67"/>
      <c r="AE762" s="67"/>
    </row>
    <row r="763" spans="1:31">
      <c r="A763" s="67"/>
      <c r="B763" s="67"/>
      <c r="C763" s="67"/>
      <c r="D763" s="67"/>
      <c r="E763" s="67"/>
      <c r="F763" s="67"/>
      <c r="G763" s="67"/>
      <c r="H763" s="67"/>
      <c r="I763" s="67"/>
      <c r="J763" s="67"/>
      <c r="K763" s="67"/>
      <c r="L763" s="67"/>
      <c r="M763" s="67"/>
      <c r="N763" s="67"/>
      <c r="O763" s="67"/>
      <c r="P763" s="148"/>
      <c r="Q763" s="67"/>
      <c r="R763" s="67"/>
      <c r="S763" s="67"/>
      <c r="T763" s="67"/>
      <c r="U763" s="67"/>
      <c r="V763" s="67"/>
      <c r="W763" s="67"/>
      <c r="X763" s="148"/>
      <c r="Y763" s="67"/>
      <c r="Z763" s="67"/>
      <c r="AA763" s="67"/>
      <c r="AB763" s="67"/>
      <c r="AC763" s="67"/>
      <c r="AD763" s="67"/>
      <c r="AE763" s="67"/>
    </row>
    <row r="764" spans="1:31">
      <c r="A764" s="67"/>
      <c r="B764" s="67"/>
      <c r="C764" s="67"/>
      <c r="D764" s="67"/>
      <c r="E764" s="67"/>
      <c r="F764" s="67"/>
      <c r="G764" s="67"/>
      <c r="H764" s="67"/>
      <c r="I764" s="67"/>
      <c r="J764" s="67"/>
      <c r="K764" s="67"/>
      <c r="L764" s="67"/>
      <c r="M764" s="67"/>
      <c r="N764" s="67"/>
      <c r="O764" s="67"/>
      <c r="P764" s="148"/>
      <c r="Q764" s="67"/>
      <c r="R764" s="67"/>
      <c r="S764" s="67"/>
      <c r="T764" s="67"/>
      <c r="U764" s="67"/>
      <c r="V764" s="67"/>
      <c r="W764" s="67"/>
      <c r="X764" s="148"/>
      <c r="Y764" s="67"/>
      <c r="Z764" s="67"/>
      <c r="AA764" s="67"/>
      <c r="AB764" s="67"/>
      <c r="AC764" s="67"/>
      <c r="AD764" s="67"/>
      <c r="AE764" s="67"/>
    </row>
    <row r="765" spans="1:31">
      <c r="A765" s="67"/>
      <c r="B765" s="67"/>
      <c r="C765" s="67"/>
      <c r="D765" s="67"/>
      <c r="E765" s="67"/>
      <c r="F765" s="67"/>
      <c r="G765" s="67"/>
      <c r="H765" s="67"/>
      <c r="I765" s="67"/>
      <c r="J765" s="67"/>
      <c r="K765" s="67"/>
      <c r="L765" s="67"/>
      <c r="M765" s="67"/>
      <c r="N765" s="67"/>
      <c r="O765" s="67"/>
      <c r="P765" s="148"/>
      <c r="Q765" s="67"/>
      <c r="R765" s="67"/>
      <c r="S765" s="67"/>
      <c r="T765" s="67"/>
      <c r="U765" s="67"/>
      <c r="V765" s="67"/>
      <c r="W765" s="67"/>
      <c r="X765" s="148"/>
      <c r="Y765" s="67"/>
      <c r="Z765" s="67"/>
      <c r="AA765" s="67"/>
      <c r="AB765" s="67"/>
      <c r="AC765" s="67"/>
      <c r="AD765" s="67"/>
      <c r="AE765" s="67"/>
    </row>
    <row r="766" spans="1:31">
      <c r="A766" s="67"/>
      <c r="B766" s="67"/>
      <c r="C766" s="67"/>
      <c r="D766" s="67"/>
      <c r="E766" s="67"/>
      <c r="F766" s="67"/>
      <c r="G766" s="67"/>
      <c r="H766" s="67"/>
      <c r="I766" s="67"/>
      <c r="J766" s="67"/>
      <c r="K766" s="67"/>
      <c r="L766" s="67"/>
      <c r="M766" s="67"/>
      <c r="N766" s="67"/>
      <c r="O766" s="67"/>
      <c r="P766" s="148"/>
      <c r="Q766" s="67"/>
      <c r="R766" s="67"/>
      <c r="S766" s="67"/>
      <c r="T766" s="67"/>
      <c r="U766" s="67"/>
      <c r="V766" s="67"/>
      <c r="W766" s="67"/>
      <c r="X766" s="148"/>
      <c r="Y766" s="67"/>
      <c r="Z766" s="67"/>
      <c r="AA766" s="67"/>
      <c r="AB766" s="67"/>
      <c r="AC766" s="67"/>
      <c r="AD766" s="67"/>
      <c r="AE766" s="67"/>
    </row>
    <row r="767" spans="1:31">
      <c r="A767" s="67"/>
      <c r="B767" s="67"/>
      <c r="C767" s="67"/>
      <c r="D767" s="67"/>
      <c r="E767" s="67"/>
      <c r="F767" s="67"/>
      <c r="G767" s="67"/>
      <c r="H767" s="67"/>
      <c r="I767" s="67"/>
      <c r="J767" s="67"/>
      <c r="K767" s="67"/>
      <c r="L767" s="67"/>
      <c r="M767" s="67"/>
      <c r="N767" s="67"/>
      <c r="O767" s="67"/>
      <c r="P767" s="148"/>
      <c r="Q767" s="67"/>
      <c r="R767" s="67"/>
      <c r="S767" s="67"/>
      <c r="T767" s="67"/>
      <c r="U767" s="67"/>
      <c r="V767" s="67"/>
      <c r="W767" s="67"/>
      <c r="X767" s="148"/>
      <c r="Y767" s="67"/>
      <c r="Z767" s="67"/>
      <c r="AA767" s="67"/>
      <c r="AB767" s="67"/>
      <c r="AC767" s="67"/>
      <c r="AD767" s="67"/>
      <c r="AE767" s="67"/>
    </row>
    <row r="768" spans="1:31">
      <c r="A768" s="67"/>
      <c r="B768" s="67"/>
      <c r="C768" s="67"/>
      <c r="D768" s="67"/>
      <c r="E768" s="67"/>
      <c r="F768" s="67"/>
      <c r="G768" s="67"/>
      <c r="H768" s="67"/>
      <c r="I768" s="67"/>
      <c r="J768" s="67"/>
      <c r="K768" s="67"/>
      <c r="L768" s="67"/>
      <c r="M768" s="67"/>
      <c r="N768" s="67"/>
      <c r="O768" s="67"/>
      <c r="P768" s="148"/>
      <c r="Q768" s="67"/>
      <c r="R768" s="67"/>
      <c r="S768" s="67"/>
      <c r="T768" s="67"/>
      <c r="U768" s="67"/>
      <c r="V768" s="67"/>
      <c r="W768" s="67"/>
      <c r="X768" s="148"/>
      <c r="Y768" s="67"/>
      <c r="Z768" s="67"/>
      <c r="AA768" s="67"/>
      <c r="AB768" s="67"/>
      <c r="AC768" s="67"/>
      <c r="AD768" s="67"/>
      <c r="AE768" s="67"/>
    </row>
    <row r="769" spans="1:31">
      <c r="A769" s="67"/>
      <c r="B769" s="67"/>
      <c r="C769" s="67"/>
      <c r="D769" s="67"/>
      <c r="E769" s="67"/>
      <c r="F769" s="67"/>
      <c r="G769" s="67"/>
      <c r="H769" s="67"/>
      <c r="I769" s="67"/>
      <c r="J769" s="67"/>
      <c r="K769" s="148"/>
      <c r="L769" s="67"/>
      <c r="M769" s="67"/>
      <c r="N769" s="67"/>
      <c r="O769" s="67"/>
      <c r="P769" s="148"/>
      <c r="Q769" s="67"/>
      <c r="R769" s="67"/>
      <c r="S769" s="67"/>
      <c r="T769" s="67"/>
      <c r="U769" s="67"/>
      <c r="V769" s="67"/>
      <c r="W769" s="67"/>
      <c r="X769" s="148"/>
      <c r="Y769" s="67"/>
      <c r="Z769" s="67"/>
      <c r="AA769" s="67"/>
      <c r="AB769" s="67"/>
      <c r="AC769" s="67"/>
      <c r="AD769" s="67"/>
      <c r="AE769" s="67"/>
    </row>
    <row r="770" spans="1:31">
      <c r="A770" s="67"/>
      <c r="B770" s="67"/>
      <c r="C770" s="67"/>
      <c r="D770" s="67"/>
      <c r="E770" s="67"/>
      <c r="F770" s="67"/>
      <c r="G770" s="67"/>
      <c r="H770" s="67"/>
      <c r="I770" s="67"/>
      <c r="J770" s="67"/>
      <c r="K770" s="148"/>
      <c r="L770" s="67"/>
      <c r="M770" s="67"/>
      <c r="N770" s="67"/>
      <c r="O770" s="67"/>
      <c r="P770" s="148"/>
      <c r="Q770" s="67"/>
      <c r="R770" s="67"/>
      <c r="S770" s="67"/>
      <c r="T770" s="67"/>
      <c r="U770" s="67"/>
      <c r="V770" s="67"/>
      <c r="W770" s="67"/>
      <c r="X770" s="148"/>
      <c r="Y770" s="67"/>
      <c r="Z770" s="67"/>
      <c r="AA770" s="67"/>
      <c r="AB770" s="67"/>
      <c r="AC770" s="67"/>
      <c r="AD770" s="67"/>
      <c r="AE770" s="67"/>
    </row>
    <row r="771" spans="1:31">
      <c r="A771" s="67"/>
      <c r="B771" s="67"/>
      <c r="C771" s="67"/>
      <c r="D771" s="67"/>
      <c r="E771" s="67"/>
      <c r="F771" s="67"/>
      <c r="G771" s="67"/>
      <c r="H771" s="67"/>
      <c r="I771" s="67"/>
      <c r="J771" s="67"/>
      <c r="K771" s="148"/>
      <c r="L771" s="67"/>
      <c r="M771" s="67"/>
      <c r="N771" s="67"/>
      <c r="O771" s="67"/>
      <c r="P771" s="148"/>
      <c r="Q771" s="67"/>
      <c r="R771" s="67"/>
      <c r="S771" s="67"/>
      <c r="T771" s="67"/>
      <c r="U771" s="67"/>
      <c r="V771" s="67"/>
      <c r="W771" s="67"/>
      <c r="X771" s="148"/>
      <c r="Y771" s="67"/>
      <c r="Z771" s="67"/>
      <c r="AA771" s="67"/>
      <c r="AB771" s="67"/>
      <c r="AC771" s="67"/>
      <c r="AD771" s="67"/>
      <c r="AE771" s="67"/>
    </row>
    <row r="772" spans="1:31">
      <c r="A772" s="67"/>
      <c r="B772" s="67"/>
      <c r="C772" s="67"/>
      <c r="D772" s="67"/>
      <c r="E772" s="67"/>
      <c r="F772" s="67"/>
      <c r="G772" s="67"/>
      <c r="H772" s="67"/>
      <c r="I772" s="67"/>
      <c r="J772" s="67"/>
      <c r="K772" s="148"/>
      <c r="L772" s="67"/>
      <c r="M772" s="67"/>
      <c r="N772" s="67"/>
      <c r="O772" s="67"/>
      <c r="P772" s="148"/>
      <c r="Q772" s="67"/>
      <c r="R772" s="67"/>
      <c r="S772" s="67"/>
      <c r="T772" s="67"/>
      <c r="U772" s="67"/>
      <c r="V772" s="67"/>
      <c r="W772" s="67"/>
      <c r="X772" s="148"/>
      <c r="Y772" s="67"/>
      <c r="Z772" s="67"/>
      <c r="AA772" s="67"/>
      <c r="AB772" s="67"/>
      <c r="AC772" s="67"/>
      <c r="AD772" s="67"/>
      <c r="AE772" s="67"/>
    </row>
    <row r="773" spans="1:31">
      <c r="A773" s="67"/>
      <c r="B773" s="67"/>
      <c r="C773" s="67"/>
      <c r="D773" s="67"/>
      <c r="E773" s="67"/>
      <c r="F773" s="67"/>
      <c r="G773" s="67"/>
      <c r="H773" s="67"/>
      <c r="I773" s="67"/>
      <c r="J773" s="67"/>
      <c r="K773" s="148"/>
      <c r="L773" s="67"/>
      <c r="M773" s="148"/>
      <c r="N773" s="67"/>
      <c r="O773" s="67"/>
      <c r="P773" s="148"/>
      <c r="Q773" s="67"/>
      <c r="R773" s="67"/>
      <c r="S773" s="67"/>
      <c r="T773" s="67"/>
      <c r="U773" s="67"/>
      <c r="V773" s="67"/>
      <c r="W773" s="67"/>
      <c r="X773" s="148"/>
      <c r="Y773" s="67"/>
      <c r="Z773" s="67"/>
      <c r="AA773" s="67"/>
      <c r="AB773" s="67"/>
      <c r="AC773" s="67"/>
      <c r="AD773" s="67"/>
      <c r="AE773" s="67"/>
    </row>
    <row r="774" spans="1:31">
      <c r="A774" s="67"/>
      <c r="B774" s="67"/>
      <c r="C774" s="67"/>
      <c r="D774" s="67"/>
      <c r="E774" s="67"/>
      <c r="F774" s="67"/>
      <c r="G774" s="67"/>
      <c r="H774" s="67"/>
      <c r="I774" s="67"/>
      <c r="J774" s="67"/>
      <c r="K774" s="148"/>
      <c r="L774" s="67"/>
      <c r="M774" s="148"/>
      <c r="N774" s="67"/>
      <c r="O774" s="67"/>
      <c r="P774" s="148"/>
      <c r="Q774" s="67"/>
      <c r="R774" s="67"/>
      <c r="S774" s="67"/>
      <c r="T774" s="67"/>
      <c r="U774" s="67"/>
      <c r="V774" s="67"/>
      <c r="W774" s="67"/>
      <c r="X774" s="148"/>
      <c r="Y774" s="67"/>
      <c r="Z774" s="67"/>
      <c r="AA774" s="67"/>
      <c r="AB774" s="67"/>
      <c r="AC774" s="67"/>
      <c r="AD774" s="67"/>
      <c r="AE774" s="67"/>
    </row>
    <row r="775" spans="1:31">
      <c r="A775" s="67"/>
      <c r="B775" s="67"/>
      <c r="C775" s="67"/>
      <c r="D775" s="67"/>
      <c r="E775" s="67"/>
      <c r="F775" s="67"/>
      <c r="G775" s="67"/>
      <c r="H775" s="67"/>
      <c r="I775" s="67"/>
      <c r="J775" s="67"/>
      <c r="K775" s="148"/>
      <c r="L775" s="67"/>
      <c r="M775" s="67"/>
      <c r="N775" s="67"/>
      <c r="O775" s="67"/>
      <c r="P775" s="148"/>
      <c r="Q775" s="67"/>
      <c r="R775" s="67"/>
      <c r="S775" s="67"/>
      <c r="T775" s="67"/>
      <c r="U775" s="67"/>
      <c r="V775" s="67"/>
      <c r="W775" s="67"/>
      <c r="X775" s="148"/>
      <c r="Y775" s="67"/>
      <c r="Z775" s="67"/>
      <c r="AA775" s="67"/>
      <c r="AB775" s="67"/>
      <c r="AC775" s="67"/>
      <c r="AD775" s="67"/>
      <c r="AE775" s="67"/>
    </row>
    <row r="776" spans="1:31">
      <c r="A776" s="67"/>
      <c r="B776" s="67"/>
      <c r="C776" s="67"/>
      <c r="D776" s="67"/>
      <c r="E776" s="67"/>
      <c r="F776" s="67"/>
      <c r="G776" s="67"/>
      <c r="H776" s="67"/>
      <c r="I776" s="67"/>
      <c r="J776" s="67"/>
      <c r="K776" s="148"/>
      <c r="L776" s="67"/>
      <c r="M776" s="67"/>
      <c r="N776" s="67"/>
      <c r="O776" s="67"/>
      <c r="P776" s="148"/>
      <c r="Q776" s="67"/>
      <c r="R776" s="67"/>
      <c r="S776" s="67"/>
      <c r="T776" s="67"/>
      <c r="U776" s="67"/>
      <c r="V776" s="67"/>
      <c r="W776" s="67"/>
      <c r="X776" s="148"/>
      <c r="Y776" s="67"/>
      <c r="Z776" s="67"/>
      <c r="AA776" s="67"/>
      <c r="AB776" s="67"/>
      <c r="AC776" s="67"/>
      <c r="AD776" s="67"/>
      <c r="AE776" s="67"/>
    </row>
    <row r="777" spans="1:31">
      <c r="A777" s="67"/>
      <c r="B777" s="67"/>
      <c r="C777" s="67"/>
      <c r="D777" s="67"/>
      <c r="E777" s="67"/>
      <c r="F777" s="67"/>
      <c r="G777" s="67"/>
      <c r="H777" s="67"/>
      <c r="I777" s="67"/>
      <c r="J777" s="67"/>
      <c r="K777" s="148"/>
      <c r="L777" s="67"/>
      <c r="M777" s="67"/>
      <c r="N777" s="67"/>
      <c r="O777" s="67"/>
      <c r="P777" s="148"/>
      <c r="Q777" s="67"/>
      <c r="R777" s="67"/>
      <c r="S777" s="67"/>
      <c r="T777" s="67"/>
      <c r="U777" s="67"/>
      <c r="V777" s="67"/>
      <c r="W777" s="67"/>
      <c r="X777" s="148"/>
      <c r="Y777" s="67"/>
      <c r="Z777" s="67"/>
      <c r="AA777" s="67"/>
      <c r="AB777" s="67"/>
      <c r="AC777" s="67"/>
      <c r="AD777" s="67"/>
      <c r="AE777" s="67"/>
    </row>
    <row r="778" spans="1:31">
      <c r="A778" s="67"/>
      <c r="B778" s="67"/>
      <c r="C778" s="67"/>
      <c r="D778" s="67"/>
      <c r="E778" s="67"/>
      <c r="F778" s="67"/>
      <c r="G778" s="67"/>
      <c r="H778" s="67"/>
      <c r="I778" s="67"/>
      <c r="J778" s="67"/>
      <c r="K778" s="148"/>
      <c r="L778" s="67"/>
      <c r="M778" s="148"/>
      <c r="N778" s="67"/>
      <c r="O778" s="67"/>
      <c r="P778" s="148"/>
      <c r="Q778" s="67"/>
      <c r="R778" s="67"/>
      <c r="S778" s="67"/>
      <c r="T778" s="67"/>
      <c r="U778" s="67"/>
      <c r="V778" s="67"/>
      <c r="W778" s="67"/>
      <c r="X778" s="148"/>
      <c r="Y778" s="67"/>
      <c r="Z778" s="67"/>
      <c r="AA778" s="67"/>
      <c r="AB778" s="67"/>
      <c r="AC778" s="67"/>
      <c r="AD778" s="67"/>
      <c r="AE778" s="67"/>
    </row>
    <row r="779" spans="1:31">
      <c r="A779" s="67"/>
      <c r="B779" s="67"/>
      <c r="C779" s="67"/>
      <c r="D779" s="67"/>
      <c r="E779" s="67"/>
      <c r="F779" s="67"/>
      <c r="G779" s="67"/>
      <c r="H779" s="67"/>
      <c r="I779" s="67"/>
      <c r="J779" s="67"/>
      <c r="K779" s="148"/>
      <c r="L779" s="67"/>
      <c r="M779" s="67"/>
      <c r="N779" s="67"/>
      <c r="O779" s="67"/>
      <c r="P779" s="148"/>
      <c r="Q779" s="67"/>
      <c r="R779" s="67"/>
      <c r="S779" s="67"/>
      <c r="T779" s="67"/>
      <c r="U779" s="67"/>
      <c r="V779" s="67"/>
      <c r="W779" s="67"/>
      <c r="X779" s="148"/>
      <c r="Y779" s="67"/>
      <c r="Z779" s="67"/>
      <c r="AA779" s="67"/>
      <c r="AB779" s="67"/>
      <c r="AC779" s="67"/>
      <c r="AD779" s="67"/>
      <c r="AE779" s="67"/>
    </row>
    <row r="780" spans="1:31">
      <c r="A780" s="67"/>
      <c r="B780" s="67"/>
      <c r="C780" s="67"/>
      <c r="D780" s="67"/>
      <c r="E780" s="67"/>
      <c r="F780" s="67"/>
      <c r="G780" s="67"/>
      <c r="H780" s="67"/>
      <c r="I780" s="67"/>
      <c r="J780" s="67"/>
      <c r="K780" s="148"/>
      <c r="L780" s="67"/>
      <c r="M780" s="67"/>
      <c r="N780" s="67"/>
      <c r="O780" s="67"/>
      <c r="P780" s="148"/>
      <c r="Q780" s="67"/>
      <c r="R780" s="67"/>
      <c r="S780" s="67"/>
      <c r="T780" s="67"/>
      <c r="U780" s="67"/>
      <c r="V780" s="67"/>
      <c r="W780" s="67"/>
      <c r="X780" s="148"/>
      <c r="Y780" s="67"/>
      <c r="Z780" s="67"/>
      <c r="AA780" s="67"/>
      <c r="AB780" s="67"/>
      <c r="AC780" s="67"/>
      <c r="AD780" s="67"/>
      <c r="AE780" s="67"/>
    </row>
    <row r="781" spans="1:31">
      <c r="A781" s="67"/>
      <c r="B781" s="67"/>
      <c r="C781" s="67"/>
      <c r="D781" s="67"/>
      <c r="E781" s="67"/>
      <c r="F781" s="67"/>
      <c r="G781" s="67"/>
      <c r="H781" s="67"/>
      <c r="I781" s="67"/>
      <c r="J781" s="67"/>
      <c r="K781" s="148"/>
      <c r="L781" s="67"/>
      <c r="M781" s="67"/>
      <c r="N781" s="67"/>
      <c r="O781" s="67"/>
      <c r="P781" s="148"/>
      <c r="Q781" s="67"/>
      <c r="R781" s="67"/>
      <c r="S781" s="67"/>
      <c r="T781" s="67"/>
      <c r="U781" s="67"/>
      <c r="V781" s="67"/>
      <c r="W781" s="67"/>
      <c r="X781" s="148"/>
      <c r="Y781" s="67"/>
      <c r="Z781" s="67"/>
      <c r="AA781" s="67"/>
      <c r="AB781" s="67"/>
      <c r="AC781" s="67"/>
      <c r="AD781" s="67"/>
      <c r="AE781" s="67"/>
    </row>
    <row r="782" spans="1:31">
      <c r="A782" s="67"/>
      <c r="B782" s="67"/>
      <c r="C782" s="67"/>
      <c r="D782" s="67"/>
      <c r="E782" s="67"/>
      <c r="F782" s="67"/>
      <c r="G782" s="67"/>
      <c r="H782" s="67"/>
      <c r="I782" s="67"/>
      <c r="J782" s="67"/>
      <c r="K782" s="148"/>
      <c r="L782" s="67"/>
      <c r="M782" s="148"/>
      <c r="N782" s="67"/>
      <c r="O782" s="67"/>
      <c r="P782" s="148"/>
      <c r="Q782" s="67"/>
      <c r="R782" s="67"/>
      <c r="S782" s="67"/>
      <c r="T782" s="67"/>
      <c r="U782" s="67"/>
      <c r="V782" s="67"/>
      <c r="W782" s="67"/>
      <c r="X782" s="148"/>
      <c r="Y782" s="67"/>
      <c r="Z782" s="67"/>
      <c r="AA782" s="67"/>
      <c r="AB782" s="67"/>
      <c r="AC782" s="67"/>
      <c r="AD782" s="67"/>
      <c r="AE782" s="67"/>
    </row>
    <row r="783" spans="1:31">
      <c r="A783" s="67"/>
      <c r="B783" s="67"/>
      <c r="C783" s="67"/>
      <c r="D783" s="67"/>
      <c r="E783" s="67"/>
      <c r="F783" s="67"/>
      <c r="G783" s="67"/>
      <c r="H783" s="67"/>
      <c r="I783" s="67"/>
      <c r="J783" s="67"/>
      <c r="K783" s="148"/>
      <c r="L783" s="67"/>
      <c r="M783" s="67"/>
      <c r="N783" s="67"/>
      <c r="O783" s="67"/>
      <c r="P783" s="148"/>
      <c r="Q783" s="67"/>
      <c r="R783" s="67"/>
      <c r="S783" s="67"/>
      <c r="T783" s="67"/>
      <c r="U783" s="67"/>
      <c r="V783" s="67"/>
      <c r="W783" s="67"/>
      <c r="X783" s="148"/>
      <c r="Y783" s="67"/>
      <c r="Z783" s="67"/>
      <c r="AA783" s="67"/>
      <c r="AB783" s="67"/>
      <c r="AC783" s="67"/>
      <c r="AD783" s="67"/>
      <c r="AE783" s="67"/>
    </row>
    <row r="784" spans="1:31">
      <c r="A784" s="67"/>
      <c r="B784" s="67"/>
      <c r="C784" s="67"/>
      <c r="D784" s="67"/>
      <c r="E784" s="67"/>
      <c r="F784" s="67"/>
      <c r="G784" s="67"/>
      <c r="H784" s="67"/>
      <c r="I784" s="67"/>
      <c r="J784" s="67"/>
      <c r="K784" s="148"/>
      <c r="L784" s="67"/>
      <c r="M784" s="148"/>
      <c r="N784" s="67"/>
      <c r="O784" s="67"/>
      <c r="P784" s="148"/>
      <c r="Q784" s="67"/>
      <c r="R784" s="67"/>
      <c r="S784" s="67"/>
      <c r="T784" s="67"/>
      <c r="U784" s="67"/>
      <c r="V784" s="67"/>
      <c r="W784" s="67"/>
      <c r="X784" s="148"/>
      <c r="Y784" s="67"/>
      <c r="Z784" s="67"/>
      <c r="AA784" s="67"/>
      <c r="AB784" s="67"/>
      <c r="AC784" s="67"/>
      <c r="AD784" s="67"/>
      <c r="AE784" s="67"/>
    </row>
    <row r="785" spans="1:31">
      <c r="A785" s="67"/>
      <c r="B785" s="67"/>
      <c r="C785" s="67"/>
      <c r="D785" s="67"/>
      <c r="E785" s="67"/>
      <c r="F785" s="67"/>
      <c r="G785" s="67"/>
      <c r="H785" s="67"/>
      <c r="I785" s="67"/>
      <c r="J785" s="67"/>
      <c r="K785" s="148"/>
      <c r="L785" s="67"/>
      <c r="M785" s="67"/>
      <c r="N785" s="67"/>
      <c r="O785" s="67"/>
      <c r="P785" s="148"/>
      <c r="Q785" s="67"/>
      <c r="R785" s="67"/>
      <c r="S785" s="67"/>
      <c r="T785" s="67"/>
      <c r="U785" s="67"/>
      <c r="V785" s="67"/>
      <c r="W785" s="67"/>
      <c r="X785" s="148"/>
      <c r="Y785" s="67"/>
      <c r="Z785" s="67"/>
      <c r="AA785" s="67"/>
      <c r="AB785" s="67"/>
      <c r="AC785" s="67"/>
      <c r="AD785" s="67"/>
      <c r="AE785" s="67"/>
    </row>
    <row r="786" spans="1:31">
      <c r="A786" s="67"/>
      <c r="B786" s="67"/>
      <c r="C786" s="67"/>
      <c r="D786" s="67"/>
      <c r="E786" s="67"/>
      <c r="F786" s="67"/>
      <c r="G786" s="67"/>
      <c r="H786" s="67"/>
      <c r="I786" s="67"/>
      <c r="J786" s="67"/>
      <c r="K786" s="148"/>
      <c r="L786" s="67"/>
      <c r="M786" s="67"/>
      <c r="N786" s="67"/>
      <c r="O786" s="67"/>
      <c r="P786" s="148"/>
      <c r="Q786" s="67"/>
      <c r="R786" s="67"/>
      <c r="S786" s="67"/>
      <c r="T786" s="67"/>
      <c r="U786" s="67"/>
      <c r="V786" s="67"/>
      <c r="W786" s="67"/>
      <c r="X786" s="148"/>
      <c r="Y786" s="67"/>
      <c r="Z786" s="67"/>
      <c r="AA786" s="67"/>
      <c r="AB786" s="67"/>
      <c r="AC786" s="67"/>
      <c r="AD786" s="67"/>
      <c r="AE786" s="67"/>
    </row>
    <row r="787" spans="1:31">
      <c r="A787" s="67"/>
      <c r="B787" s="67"/>
      <c r="C787" s="67"/>
      <c r="D787" s="67"/>
      <c r="E787" s="67"/>
      <c r="F787" s="67"/>
      <c r="G787" s="67"/>
      <c r="H787" s="67"/>
      <c r="I787" s="67"/>
      <c r="J787" s="67"/>
      <c r="K787" s="148"/>
      <c r="L787" s="67"/>
      <c r="M787" s="148"/>
      <c r="N787" s="67"/>
      <c r="O787" s="67"/>
      <c r="P787" s="148"/>
      <c r="Q787" s="67"/>
      <c r="R787" s="67"/>
      <c r="S787" s="67"/>
      <c r="T787" s="67"/>
      <c r="U787" s="67"/>
      <c r="V787" s="67"/>
      <c r="W787" s="67"/>
      <c r="X787" s="148"/>
      <c r="Y787" s="67"/>
      <c r="Z787" s="67"/>
      <c r="AA787" s="67"/>
      <c r="AB787" s="67"/>
      <c r="AC787" s="67"/>
      <c r="AD787" s="67"/>
      <c r="AE787" s="67"/>
    </row>
    <row r="788" spans="1:31">
      <c r="A788" s="67"/>
      <c r="B788" s="67"/>
      <c r="C788" s="67"/>
      <c r="D788" s="67"/>
      <c r="E788" s="67"/>
      <c r="F788" s="67"/>
      <c r="G788" s="67"/>
      <c r="H788" s="67"/>
      <c r="I788" s="67"/>
      <c r="J788" s="67"/>
      <c r="K788" s="148"/>
      <c r="L788" s="67"/>
      <c r="M788" s="148"/>
      <c r="N788" s="67"/>
      <c r="O788" s="67"/>
      <c r="P788" s="148"/>
      <c r="Q788" s="67"/>
      <c r="R788" s="67"/>
      <c r="S788" s="67"/>
      <c r="T788" s="67"/>
      <c r="U788" s="67"/>
      <c r="V788" s="67"/>
      <c r="W788" s="67"/>
      <c r="X788" s="148"/>
      <c r="Y788" s="67"/>
      <c r="Z788" s="67"/>
      <c r="AA788" s="67"/>
      <c r="AB788" s="67"/>
      <c r="AC788" s="67"/>
      <c r="AD788" s="67"/>
      <c r="AE788" s="67"/>
    </row>
    <row r="789" spans="1:31">
      <c r="A789" s="67"/>
      <c r="B789" s="67"/>
      <c r="C789" s="67"/>
      <c r="D789" s="67"/>
      <c r="E789" s="67"/>
      <c r="F789" s="67"/>
      <c r="G789" s="67"/>
      <c r="H789" s="67"/>
      <c r="I789" s="67"/>
      <c r="J789" s="67"/>
      <c r="K789" s="148"/>
      <c r="L789" s="67"/>
      <c r="M789" s="148"/>
      <c r="N789" s="67"/>
      <c r="O789" s="67"/>
      <c r="P789" s="148"/>
      <c r="Q789" s="67"/>
      <c r="R789" s="67"/>
      <c r="S789" s="67"/>
      <c r="T789" s="67"/>
      <c r="U789" s="67"/>
      <c r="V789" s="67"/>
      <c r="W789" s="67"/>
      <c r="X789" s="148"/>
      <c r="Y789" s="67"/>
      <c r="Z789" s="67"/>
      <c r="AA789" s="67"/>
      <c r="AB789" s="67"/>
      <c r="AC789" s="67"/>
      <c r="AD789" s="67"/>
      <c r="AE789" s="67"/>
    </row>
    <row r="790" spans="1:31">
      <c r="A790" s="67"/>
      <c r="B790" s="67"/>
      <c r="C790" s="67"/>
      <c r="D790" s="67"/>
      <c r="E790" s="67"/>
      <c r="F790" s="67"/>
      <c r="G790" s="67"/>
      <c r="H790" s="67"/>
      <c r="I790" s="67"/>
      <c r="J790" s="67"/>
      <c r="K790" s="148"/>
      <c r="L790" s="67"/>
      <c r="M790" s="148"/>
      <c r="N790" s="67"/>
      <c r="O790" s="67"/>
      <c r="P790" s="148"/>
      <c r="Q790" s="67"/>
      <c r="R790" s="67"/>
      <c r="S790" s="67"/>
      <c r="T790" s="67"/>
      <c r="U790" s="67"/>
      <c r="V790" s="67"/>
      <c r="W790" s="67"/>
      <c r="X790" s="148"/>
      <c r="Y790" s="67"/>
      <c r="Z790" s="67"/>
      <c r="AA790" s="67"/>
      <c r="AB790" s="67"/>
      <c r="AC790" s="67"/>
      <c r="AD790" s="67"/>
      <c r="AE790" s="67"/>
    </row>
    <row r="791" spans="1:31">
      <c r="A791" s="67"/>
      <c r="B791" s="67"/>
      <c r="C791" s="67"/>
      <c r="D791" s="67"/>
      <c r="E791" s="67"/>
      <c r="F791" s="67"/>
      <c r="G791" s="67"/>
      <c r="H791" s="67"/>
      <c r="I791" s="67"/>
      <c r="J791" s="67"/>
      <c r="K791" s="148"/>
      <c r="L791" s="67"/>
      <c r="M791" s="67"/>
      <c r="N791" s="67"/>
      <c r="O791" s="67"/>
      <c r="P791" s="148"/>
      <c r="Q791" s="67"/>
      <c r="R791" s="67"/>
      <c r="S791" s="67"/>
      <c r="T791" s="67"/>
      <c r="U791" s="67"/>
      <c r="V791" s="67"/>
      <c r="W791" s="67"/>
      <c r="X791" s="148"/>
      <c r="Y791" s="67"/>
      <c r="Z791" s="67"/>
      <c r="AA791" s="67"/>
      <c r="AB791" s="67"/>
      <c r="AC791" s="67"/>
      <c r="AD791" s="67"/>
      <c r="AE791" s="67"/>
    </row>
    <row r="792" spans="1:31">
      <c r="A792" s="67"/>
      <c r="B792" s="67"/>
      <c r="C792" s="67"/>
      <c r="D792" s="67"/>
      <c r="E792" s="67"/>
      <c r="F792" s="67"/>
      <c r="G792" s="67"/>
      <c r="H792" s="67"/>
      <c r="I792" s="67"/>
      <c r="J792" s="67"/>
      <c r="K792" s="148"/>
      <c r="L792" s="67"/>
      <c r="M792" s="67"/>
      <c r="N792" s="67"/>
      <c r="O792" s="67"/>
      <c r="P792" s="148"/>
      <c r="Q792" s="67"/>
      <c r="R792" s="67"/>
      <c r="S792" s="67"/>
      <c r="T792" s="67"/>
      <c r="U792" s="67"/>
      <c r="V792" s="67"/>
      <c r="W792" s="67"/>
      <c r="X792" s="148"/>
      <c r="Y792" s="67"/>
      <c r="Z792" s="67"/>
      <c r="AA792" s="67"/>
      <c r="AB792" s="67"/>
      <c r="AC792" s="67"/>
      <c r="AD792" s="67"/>
      <c r="AE792" s="67"/>
    </row>
    <row r="793" spans="1:31">
      <c r="A793" s="67"/>
      <c r="B793" s="67"/>
      <c r="C793" s="67"/>
      <c r="D793" s="67"/>
      <c r="E793" s="67"/>
      <c r="F793" s="67"/>
      <c r="G793" s="67"/>
      <c r="H793" s="67"/>
      <c r="I793" s="67"/>
      <c r="J793" s="67"/>
      <c r="K793" s="148"/>
      <c r="L793" s="67"/>
      <c r="M793" s="148"/>
      <c r="N793" s="67"/>
      <c r="O793" s="67"/>
      <c r="P793" s="148"/>
      <c r="Q793" s="67"/>
      <c r="R793" s="67"/>
      <c r="S793" s="67"/>
      <c r="T793" s="67"/>
      <c r="U793" s="67"/>
      <c r="V793" s="67"/>
      <c r="W793" s="67"/>
      <c r="X793" s="148"/>
      <c r="Y793" s="67"/>
      <c r="Z793" s="67"/>
      <c r="AA793" s="67"/>
      <c r="AB793" s="67"/>
      <c r="AC793" s="67"/>
      <c r="AD793" s="67"/>
      <c r="AE793" s="67"/>
    </row>
    <row r="794" spans="1:31">
      <c r="A794" s="67"/>
      <c r="B794" s="67"/>
      <c r="C794" s="67"/>
      <c r="D794" s="67"/>
      <c r="E794" s="67"/>
      <c r="F794" s="67"/>
      <c r="G794" s="67"/>
      <c r="H794" s="67"/>
      <c r="I794" s="67"/>
      <c r="J794" s="67"/>
      <c r="K794" s="148"/>
      <c r="L794" s="67"/>
      <c r="M794" s="67"/>
      <c r="N794" s="67"/>
      <c r="O794" s="67"/>
      <c r="P794" s="148"/>
      <c r="Q794" s="67"/>
      <c r="R794" s="67"/>
      <c r="S794" s="67"/>
      <c r="T794" s="67"/>
      <c r="U794" s="67"/>
      <c r="V794" s="67"/>
      <c r="W794" s="67"/>
      <c r="X794" s="148"/>
      <c r="Y794" s="67"/>
      <c r="Z794" s="67"/>
      <c r="AA794" s="67"/>
      <c r="AB794" s="67"/>
      <c r="AC794" s="67"/>
      <c r="AD794" s="67"/>
      <c r="AE794" s="67"/>
    </row>
    <row r="795" spans="1:31">
      <c r="A795" s="67"/>
      <c r="B795" s="67"/>
      <c r="C795" s="67"/>
      <c r="D795" s="67"/>
      <c r="E795" s="67"/>
      <c r="F795" s="67"/>
      <c r="G795" s="67"/>
      <c r="H795" s="67"/>
      <c r="I795" s="67"/>
      <c r="J795" s="67"/>
      <c r="K795" s="148"/>
      <c r="L795" s="67"/>
      <c r="M795" s="148"/>
      <c r="N795" s="67"/>
      <c r="O795" s="67"/>
      <c r="P795" s="148"/>
      <c r="Q795" s="67"/>
      <c r="R795" s="67"/>
      <c r="S795" s="67"/>
      <c r="T795" s="67"/>
      <c r="U795" s="67"/>
      <c r="V795" s="67"/>
      <c r="W795" s="67"/>
      <c r="X795" s="148"/>
      <c r="Y795" s="67"/>
      <c r="Z795" s="67"/>
      <c r="AA795" s="67"/>
      <c r="AB795" s="67"/>
      <c r="AC795" s="67"/>
      <c r="AD795" s="67"/>
      <c r="AE795" s="67"/>
    </row>
    <row r="796" spans="1:31">
      <c r="A796" s="67"/>
      <c r="B796" s="67"/>
      <c r="C796" s="67"/>
      <c r="D796" s="67"/>
      <c r="E796" s="67"/>
      <c r="F796" s="67"/>
      <c r="G796" s="67"/>
      <c r="H796" s="67"/>
      <c r="I796" s="67"/>
      <c r="J796" s="67"/>
      <c r="K796" s="148"/>
      <c r="L796" s="67"/>
      <c r="M796" s="67"/>
      <c r="N796" s="67"/>
      <c r="O796" s="67"/>
      <c r="P796" s="148"/>
      <c r="Q796" s="67"/>
      <c r="R796" s="67"/>
      <c r="S796" s="67"/>
      <c r="T796" s="67"/>
      <c r="U796" s="67"/>
      <c r="V796" s="67"/>
      <c r="W796" s="67"/>
      <c r="X796" s="148"/>
      <c r="Y796" s="67"/>
      <c r="Z796" s="67"/>
      <c r="AA796" s="67"/>
      <c r="AB796" s="67"/>
      <c r="AC796" s="67"/>
      <c r="AD796" s="67"/>
      <c r="AE796" s="67"/>
    </row>
    <row r="797" spans="1:31">
      <c r="A797" s="67"/>
      <c r="B797" s="67"/>
      <c r="C797" s="67"/>
      <c r="D797" s="67"/>
      <c r="E797" s="67"/>
      <c r="F797" s="67"/>
      <c r="G797" s="67"/>
      <c r="H797" s="67"/>
      <c r="I797" s="67"/>
      <c r="J797" s="67"/>
      <c r="K797" s="148"/>
      <c r="L797" s="67"/>
      <c r="M797" s="148"/>
      <c r="N797" s="67"/>
      <c r="O797" s="67"/>
      <c r="P797" s="148"/>
      <c r="Q797" s="67"/>
      <c r="R797" s="67"/>
      <c r="S797" s="67"/>
      <c r="T797" s="67"/>
      <c r="U797" s="67"/>
      <c r="V797" s="67"/>
      <c r="W797" s="67"/>
      <c r="X797" s="148"/>
      <c r="Y797" s="67"/>
      <c r="Z797" s="67"/>
      <c r="AA797" s="67"/>
      <c r="AB797" s="67"/>
      <c r="AC797" s="67"/>
      <c r="AD797" s="67"/>
      <c r="AE797" s="67"/>
    </row>
    <row r="798" spans="1:31">
      <c r="A798" s="67"/>
      <c r="B798" s="67"/>
      <c r="C798" s="67"/>
      <c r="D798" s="67"/>
      <c r="E798" s="67"/>
      <c r="F798" s="67"/>
      <c r="G798" s="67"/>
      <c r="H798" s="67"/>
      <c r="I798" s="67"/>
      <c r="J798" s="67"/>
      <c r="K798" s="148"/>
      <c r="L798" s="67"/>
      <c r="M798" s="67"/>
      <c r="N798" s="67"/>
      <c r="O798" s="67"/>
      <c r="P798" s="148"/>
      <c r="Q798" s="67"/>
      <c r="R798" s="67"/>
      <c r="S798" s="67"/>
      <c r="T798" s="67"/>
      <c r="U798" s="67"/>
      <c r="V798" s="67"/>
      <c r="W798" s="67"/>
      <c r="X798" s="148"/>
      <c r="Y798" s="67"/>
      <c r="Z798" s="67"/>
      <c r="AA798" s="67"/>
      <c r="AB798" s="67"/>
      <c r="AC798" s="67"/>
      <c r="AD798" s="67"/>
      <c r="AE798" s="67"/>
    </row>
    <row r="799" spans="1:31">
      <c r="A799" s="67"/>
      <c r="B799" s="67"/>
      <c r="C799" s="67"/>
      <c r="D799" s="67"/>
      <c r="E799" s="67"/>
      <c r="F799" s="67"/>
      <c r="G799" s="67"/>
      <c r="H799" s="67"/>
      <c r="I799" s="67"/>
      <c r="J799" s="67"/>
      <c r="K799" s="148"/>
      <c r="L799" s="67"/>
      <c r="M799" s="67"/>
      <c r="N799" s="67"/>
      <c r="O799" s="67"/>
      <c r="P799" s="148"/>
      <c r="Q799" s="67"/>
      <c r="R799" s="67"/>
      <c r="S799" s="67"/>
      <c r="T799" s="67"/>
      <c r="U799" s="67"/>
      <c r="V799" s="67"/>
      <c r="W799" s="67"/>
      <c r="X799" s="148"/>
      <c r="Y799" s="67"/>
      <c r="Z799" s="67"/>
      <c r="AA799" s="67"/>
      <c r="AB799" s="67"/>
      <c r="AC799" s="67"/>
      <c r="AD799" s="67"/>
      <c r="AE799" s="67"/>
    </row>
    <row r="800" spans="1:31">
      <c r="A800" s="67"/>
      <c r="B800" s="67"/>
      <c r="C800" s="67"/>
      <c r="D800" s="67"/>
      <c r="E800" s="67"/>
      <c r="F800" s="67"/>
      <c r="G800" s="67"/>
      <c r="H800" s="67"/>
      <c r="I800" s="67"/>
      <c r="J800" s="67"/>
      <c r="K800" s="148"/>
      <c r="L800" s="67"/>
      <c r="M800" s="67"/>
      <c r="N800" s="67"/>
      <c r="O800" s="67"/>
      <c r="P800" s="148"/>
      <c r="Q800" s="67"/>
      <c r="R800" s="67"/>
      <c r="S800" s="67"/>
      <c r="T800" s="67"/>
      <c r="U800" s="67"/>
      <c r="V800" s="67"/>
      <c r="W800" s="67"/>
      <c r="X800" s="148"/>
      <c r="Y800" s="67"/>
      <c r="Z800" s="67"/>
      <c r="AA800" s="67"/>
      <c r="AB800" s="67"/>
      <c r="AC800" s="67"/>
      <c r="AD800" s="67"/>
      <c r="AE800" s="67"/>
    </row>
    <row r="801" spans="1:31">
      <c r="A801" s="67"/>
      <c r="B801" s="67"/>
      <c r="C801" s="67"/>
      <c r="D801" s="67"/>
      <c r="E801" s="67"/>
      <c r="F801" s="67"/>
      <c r="G801" s="67"/>
      <c r="H801" s="67"/>
      <c r="I801" s="67"/>
      <c r="J801" s="67"/>
      <c r="K801" s="67"/>
      <c r="L801" s="67"/>
      <c r="M801" s="67"/>
      <c r="N801" s="67"/>
      <c r="O801" s="67"/>
      <c r="P801" s="148"/>
      <c r="Q801" s="67"/>
      <c r="R801" s="67"/>
      <c r="S801" s="67"/>
      <c r="T801" s="67"/>
      <c r="U801" s="67"/>
      <c r="V801" s="67"/>
      <c r="W801" s="67"/>
      <c r="X801" s="148"/>
      <c r="Y801" s="67"/>
      <c r="Z801" s="67"/>
      <c r="AA801" s="67"/>
      <c r="AB801" s="67"/>
      <c r="AC801" s="67"/>
      <c r="AD801" s="67"/>
      <c r="AE801" s="67"/>
    </row>
    <row r="802" spans="1:31">
      <c r="A802" s="67"/>
      <c r="B802" s="67"/>
      <c r="C802" s="67"/>
      <c r="D802" s="67"/>
      <c r="E802" s="67"/>
      <c r="F802" s="67"/>
      <c r="G802" s="67"/>
      <c r="H802" s="67"/>
      <c r="I802" s="67"/>
      <c r="J802" s="67"/>
      <c r="K802" s="67"/>
      <c r="L802" s="67"/>
      <c r="M802" s="67"/>
      <c r="N802" s="67"/>
      <c r="O802" s="67"/>
      <c r="P802" s="148"/>
      <c r="Q802" s="67"/>
      <c r="R802" s="67"/>
      <c r="S802" s="67"/>
      <c r="T802" s="67"/>
      <c r="U802" s="67"/>
      <c r="V802" s="67"/>
      <c r="W802" s="67"/>
      <c r="X802" s="148"/>
      <c r="Y802" s="67"/>
      <c r="Z802" s="67"/>
      <c r="AA802" s="67"/>
      <c r="AB802" s="67"/>
      <c r="AC802" s="67"/>
      <c r="AD802" s="67"/>
      <c r="AE802" s="67"/>
    </row>
    <row r="803" spans="1:31">
      <c r="A803" s="67"/>
      <c r="B803" s="67"/>
      <c r="C803" s="67"/>
      <c r="D803" s="67"/>
      <c r="E803" s="67"/>
      <c r="F803" s="67"/>
      <c r="G803" s="67"/>
      <c r="H803" s="67"/>
      <c r="I803" s="67"/>
      <c r="J803" s="67"/>
      <c r="K803" s="67"/>
      <c r="L803" s="67"/>
      <c r="M803" s="67"/>
      <c r="N803" s="67"/>
      <c r="O803" s="67"/>
      <c r="P803" s="148"/>
      <c r="Q803" s="67"/>
      <c r="R803" s="67"/>
      <c r="S803" s="67"/>
      <c r="T803" s="67"/>
      <c r="U803" s="67"/>
      <c r="V803" s="67"/>
      <c r="W803" s="67"/>
      <c r="X803" s="148"/>
      <c r="Y803" s="67"/>
      <c r="Z803" s="67"/>
      <c r="AA803" s="67"/>
      <c r="AB803" s="67"/>
      <c r="AC803" s="67"/>
      <c r="AD803" s="67"/>
      <c r="AE803" s="67"/>
    </row>
    <row r="804" spans="1:31">
      <c r="A804" s="67"/>
      <c r="B804" s="67"/>
      <c r="C804" s="67"/>
      <c r="D804" s="67"/>
      <c r="E804" s="67"/>
      <c r="F804" s="67"/>
      <c r="G804" s="67"/>
      <c r="H804" s="67"/>
      <c r="I804" s="67"/>
      <c r="J804" s="67"/>
      <c r="K804" s="67"/>
      <c r="L804" s="67"/>
      <c r="M804" s="67"/>
      <c r="N804" s="67"/>
      <c r="O804" s="67"/>
      <c r="P804" s="148"/>
      <c r="Q804" s="67"/>
      <c r="R804" s="67"/>
      <c r="S804" s="67"/>
      <c r="T804" s="67"/>
      <c r="U804" s="67"/>
      <c r="V804" s="67"/>
      <c r="W804" s="67"/>
      <c r="X804" s="148"/>
      <c r="Y804" s="67"/>
      <c r="Z804" s="67"/>
      <c r="AA804" s="67"/>
      <c r="AB804" s="67"/>
      <c r="AC804" s="67"/>
      <c r="AD804" s="67"/>
      <c r="AE804" s="67"/>
    </row>
    <row r="805" spans="1:31">
      <c r="A805" s="67"/>
      <c r="B805" s="67"/>
      <c r="C805" s="67"/>
      <c r="D805" s="67"/>
      <c r="E805" s="67"/>
      <c r="F805" s="67"/>
      <c r="G805" s="67"/>
      <c r="H805" s="67"/>
      <c r="I805" s="67"/>
      <c r="J805" s="67"/>
      <c r="K805" s="67"/>
      <c r="L805" s="67"/>
      <c r="M805" s="67"/>
      <c r="N805" s="67"/>
      <c r="O805" s="67"/>
      <c r="P805" s="148"/>
      <c r="Q805" s="67"/>
      <c r="R805" s="67"/>
      <c r="S805" s="67"/>
      <c r="T805" s="67"/>
      <c r="U805" s="67"/>
      <c r="V805" s="67"/>
      <c r="W805" s="67"/>
      <c r="X805" s="148"/>
      <c r="Y805" s="67"/>
      <c r="Z805" s="67"/>
      <c r="AA805" s="67"/>
      <c r="AB805" s="67"/>
      <c r="AC805" s="67"/>
      <c r="AD805" s="67"/>
      <c r="AE805" s="67"/>
    </row>
    <row r="806" spans="1:31">
      <c r="A806" s="67"/>
      <c r="B806" s="67"/>
      <c r="C806" s="67"/>
      <c r="D806" s="67"/>
      <c r="E806" s="67"/>
      <c r="F806" s="67"/>
      <c r="G806" s="67"/>
      <c r="H806" s="67"/>
      <c r="I806" s="67"/>
      <c r="J806" s="67"/>
      <c r="K806" s="67"/>
      <c r="L806" s="67"/>
      <c r="M806" s="67"/>
      <c r="N806" s="67"/>
      <c r="O806" s="67"/>
      <c r="P806" s="148"/>
      <c r="Q806" s="67"/>
      <c r="R806" s="67"/>
      <c r="S806" s="67"/>
      <c r="T806" s="67"/>
      <c r="U806" s="67"/>
      <c r="V806" s="67"/>
      <c r="W806" s="67"/>
      <c r="X806" s="148"/>
      <c r="Y806" s="67"/>
      <c r="Z806" s="67"/>
      <c r="AA806" s="67"/>
      <c r="AB806" s="67"/>
      <c r="AC806" s="67"/>
      <c r="AD806" s="67"/>
      <c r="AE806" s="67"/>
    </row>
    <row r="807" spans="1:31">
      <c r="A807" s="67"/>
      <c r="B807" s="67"/>
      <c r="C807" s="67"/>
      <c r="D807" s="67"/>
      <c r="E807" s="67"/>
      <c r="F807" s="67"/>
      <c r="G807" s="67"/>
      <c r="H807" s="67"/>
      <c r="I807" s="67"/>
      <c r="J807" s="67"/>
      <c r="K807" s="67"/>
      <c r="L807" s="67"/>
      <c r="M807" s="67"/>
      <c r="N807" s="67"/>
      <c r="O807" s="67"/>
      <c r="P807" s="148"/>
      <c r="Q807" s="67"/>
      <c r="R807" s="67"/>
      <c r="S807" s="67"/>
      <c r="T807" s="67"/>
      <c r="U807" s="67"/>
      <c r="V807" s="67"/>
      <c r="W807" s="67"/>
      <c r="X807" s="148"/>
      <c r="Y807" s="67"/>
      <c r="Z807" s="67"/>
      <c r="AA807" s="67"/>
      <c r="AB807" s="67"/>
      <c r="AC807" s="67"/>
      <c r="AD807" s="67"/>
      <c r="AE807" s="67"/>
    </row>
    <row r="808" spans="1:31">
      <c r="A808" s="67"/>
      <c r="B808" s="67"/>
      <c r="C808" s="67"/>
      <c r="D808" s="67"/>
      <c r="E808" s="67"/>
      <c r="F808" s="67"/>
      <c r="G808" s="67"/>
      <c r="H808" s="67"/>
      <c r="I808" s="67"/>
      <c r="J808" s="67"/>
      <c r="K808" s="67"/>
      <c r="L808" s="67"/>
      <c r="M808" s="67"/>
      <c r="N808" s="67"/>
      <c r="O808" s="67"/>
      <c r="P808" s="148"/>
      <c r="Q808" s="67"/>
      <c r="R808" s="67"/>
      <c r="S808" s="67"/>
      <c r="T808" s="67"/>
      <c r="U808" s="67"/>
      <c r="V808" s="67"/>
      <c r="W808" s="67"/>
      <c r="X808" s="148"/>
      <c r="Y808" s="67"/>
      <c r="Z808" s="67"/>
      <c r="AA808" s="67"/>
      <c r="AB808" s="67"/>
      <c r="AC808" s="67"/>
      <c r="AD808" s="67"/>
      <c r="AE808" s="67"/>
    </row>
    <row r="809" spans="1:31">
      <c r="A809" s="67"/>
      <c r="B809" s="67"/>
      <c r="C809" s="67"/>
      <c r="D809" s="67"/>
      <c r="E809" s="67"/>
      <c r="F809" s="67"/>
      <c r="G809" s="67"/>
      <c r="H809" s="67"/>
      <c r="I809" s="67"/>
      <c r="J809" s="67"/>
      <c r="K809" s="67"/>
      <c r="L809" s="67"/>
      <c r="M809" s="67"/>
      <c r="N809" s="67"/>
      <c r="O809" s="67"/>
      <c r="P809" s="148"/>
      <c r="Q809" s="67"/>
      <c r="R809" s="67"/>
      <c r="S809" s="67"/>
      <c r="T809" s="67"/>
      <c r="U809" s="67"/>
      <c r="V809" s="67"/>
      <c r="W809" s="67"/>
      <c r="X809" s="148"/>
      <c r="Y809" s="67"/>
      <c r="Z809" s="67"/>
      <c r="AA809" s="67"/>
      <c r="AB809" s="67"/>
      <c r="AC809" s="67"/>
      <c r="AD809" s="67"/>
      <c r="AE809" s="67"/>
    </row>
    <row r="810" spans="1:31">
      <c r="A810" s="67"/>
      <c r="B810" s="67"/>
      <c r="C810" s="67"/>
      <c r="D810" s="67"/>
      <c r="E810" s="67"/>
      <c r="F810" s="67"/>
      <c r="G810" s="67"/>
      <c r="H810" s="67"/>
      <c r="I810" s="67"/>
      <c r="J810" s="67"/>
      <c r="K810" s="67"/>
      <c r="L810" s="67"/>
      <c r="M810" s="67"/>
      <c r="N810" s="67"/>
      <c r="O810" s="67"/>
      <c r="P810" s="148"/>
      <c r="Q810" s="67"/>
      <c r="R810" s="67"/>
      <c r="S810" s="67"/>
      <c r="T810" s="67"/>
      <c r="U810" s="67"/>
      <c r="V810" s="67"/>
      <c r="W810" s="67"/>
      <c r="X810" s="148"/>
      <c r="Y810" s="67"/>
      <c r="Z810" s="67"/>
      <c r="AA810" s="67"/>
      <c r="AB810" s="67"/>
      <c r="AC810" s="67"/>
      <c r="AD810" s="67"/>
      <c r="AE810" s="67"/>
    </row>
    <row r="811" spans="1:31">
      <c r="A811" s="67"/>
      <c r="B811" s="67"/>
      <c r="C811" s="67"/>
      <c r="D811" s="67"/>
      <c r="E811" s="67"/>
      <c r="F811" s="67"/>
      <c r="G811" s="67"/>
      <c r="H811" s="67"/>
      <c r="I811" s="67"/>
      <c r="J811" s="67"/>
      <c r="K811" s="67"/>
      <c r="L811" s="67"/>
      <c r="M811" s="67"/>
      <c r="N811" s="67"/>
      <c r="O811" s="67"/>
      <c r="P811" s="148"/>
      <c r="Q811" s="67"/>
      <c r="R811" s="67"/>
      <c r="S811" s="67"/>
      <c r="T811" s="67"/>
      <c r="U811" s="67"/>
      <c r="V811" s="67"/>
      <c r="W811" s="67"/>
      <c r="X811" s="148"/>
      <c r="Y811" s="67"/>
      <c r="Z811" s="67"/>
      <c r="AA811" s="67"/>
      <c r="AB811" s="67"/>
      <c r="AC811" s="67"/>
      <c r="AD811" s="67"/>
      <c r="AE811" s="67"/>
    </row>
    <row r="812" spans="1:31">
      <c r="A812" s="67"/>
      <c r="B812" s="67"/>
      <c r="C812" s="67"/>
      <c r="D812" s="67"/>
      <c r="E812" s="67"/>
      <c r="F812" s="67"/>
      <c r="G812" s="67"/>
      <c r="H812" s="67"/>
      <c r="I812" s="67"/>
      <c r="J812" s="67"/>
      <c r="K812" s="67"/>
      <c r="L812" s="67"/>
      <c r="M812" s="67"/>
      <c r="N812" s="67"/>
      <c r="O812" s="67"/>
      <c r="P812" s="148"/>
      <c r="Q812" s="67"/>
      <c r="R812" s="67"/>
      <c r="S812" s="67"/>
      <c r="T812" s="67"/>
      <c r="U812" s="67"/>
      <c r="V812" s="67"/>
      <c r="W812" s="67"/>
      <c r="X812" s="148"/>
      <c r="Y812" s="67"/>
      <c r="Z812" s="67"/>
      <c r="AA812" s="67"/>
      <c r="AB812" s="67"/>
      <c r="AC812" s="67"/>
      <c r="AD812" s="67"/>
      <c r="AE812" s="67"/>
    </row>
    <row r="813" spans="1:31">
      <c r="A813" s="67"/>
      <c r="B813" s="67"/>
      <c r="C813" s="67"/>
      <c r="D813" s="67"/>
      <c r="E813" s="67"/>
      <c r="F813" s="67"/>
      <c r="G813" s="67"/>
      <c r="H813" s="67"/>
      <c r="I813" s="67"/>
      <c r="J813" s="67"/>
      <c r="K813" s="67"/>
      <c r="L813" s="67"/>
      <c r="M813" s="67"/>
      <c r="N813" s="67"/>
      <c r="O813" s="67"/>
      <c r="P813" s="148"/>
      <c r="Q813" s="67"/>
      <c r="R813" s="67"/>
      <c r="S813" s="67"/>
      <c r="T813" s="67"/>
      <c r="U813" s="67"/>
      <c r="V813" s="67"/>
      <c r="W813" s="67"/>
      <c r="X813" s="148"/>
      <c r="Y813" s="67"/>
      <c r="Z813" s="67"/>
      <c r="AA813" s="67"/>
      <c r="AB813" s="67"/>
      <c r="AC813" s="67"/>
      <c r="AD813" s="67"/>
      <c r="AE813" s="67"/>
    </row>
    <row r="814" spans="1:31">
      <c r="A814" s="67"/>
      <c r="B814" s="67"/>
      <c r="C814" s="67"/>
      <c r="D814" s="67"/>
      <c r="E814" s="67"/>
      <c r="F814" s="67"/>
      <c r="G814" s="67"/>
      <c r="H814" s="67"/>
      <c r="I814" s="67"/>
      <c r="J814" s="67"/>
      <c r="K814" s="67"/>
      <c r="L814" s="67"/>
      <c r="M814" s="67"/>
      <c r="N814" s="67"/>
      <c r="O814" s="67"/>
      <c r="P814" s="148"/>
      <c r="Q814" s="67"/>
      <c r="R814" s="67"/>
      <c r="S814" s="67"/>
      <c r="T814" s="67"/>
      <c r="U814" s="67"/>
      <c r="V814" s="67"/>
      <c r="W814" s="67"/>
      <c r="X814" s="148"/>
      <c r="Y814" s="67"/>
      <c r="Z814" s="67"/>
      <c r="AA814" s="67"/>
      <c r="AB814" s="67"/>
      <c r="AC814" s="67"/>
      <c r="AD814" s="67"/>
      <c r="AE814" s="67"/>
    </row>
    <row r="815" spans="1:31">
      <c r="A815" s="67"/>
      <c r="B815" s="67"/>
      <c r="C815" s="67"/>
      <c r="D815" s="67"/>
      <c r="E815" s="67"/>
      <c r="F815" s="67"/>
      <c r="G815" s="67"/>
      <c r="H815" s="67"/>
      <c r="I815" s="67"/>
      <c r="J815" s="67"/>
      <c r="K815" s="148"/>
      <c r="L815" s="67"/>
      <c r="M815" s="67"/>
      <c r="N815" s="67"/>
      <c r="O815" s="67"/>
      <c r="P815" s="148"/>
      <c r="Q815" s="67"/>
      <c r="R815" s="67"/>
      <c r="S815" s="67"/>
      <c r="T815" s="67"/>
      <c r="U815" s="67"/>
      <c r="V815" s="67"/>
      <c r="W815" s="67"/>
      <c r="X815" s="148"/>
      <c r="Y815" s="67"/>
      <c r="Z815" s="67"/>
      <c r="AA815" s="67"/>
      <c r="AB815" s="67"/>
      <c r="AC815" s="67"/>
      <c r="AD815" s="67"/>
      <c r="AE815" s="67"/>
    </row>
    <row r="816" spans="1:31">
      <c r="A816" s="67"/>
      <c r="B816" s="67"/>
      <c r="C816" s="67"/>
      <c r="D816" s="67"/>
      <c r="E816" s="67"/>
      <c r="F816" s="67"/>
      <c r="G816" s="67"/>
      <c r="H816" s="67"/>
      <c r="I816" s="67"/>
      <c r="J816" s="67"/>
      <c r="K816" s="148"/>
      <c r="L816" s="67"/>
      <c r="M816" s="67"/>
      <c r="N816" s="67"/>
      <c r="O816" s="67"/>
      <c r="P816" s="148"/>
      <c r="Q816" s="67"/>
      <c r="R816" s="67"/>
      <c r="S816" s="67"/>
      <c r="T816" s="67"/>
      <c r="U816" s="67"/>
      <c r="V816" s="67"/>
      <c r="W816" s="67"/>
      <c r="X816" s="148"/>
      <c r="Y816" s="67"/>
      <c r="Z816" s="67"/>
      <c r="AA816" s="67"/>
      <c r="AB816" s="67"/>
      <c r="AC816" s="67"/>
      <c r="AD816" s="67"/>
      <c r="AE816" s="67"/>
    </row>
    <row r="817" spans="1:31">
      <c r="A817" s="67"/>
      <c r="B817" s="67"/>
      <c r="C817" s="67"/>
      <c r="D817" s="67"/>
      <c r="E817" s="67"/>
      <c r="F817" s="67"/>
      <c r="G817" s="67"/>
      <c r="H817" s="67"/>
      <c r="I817" s="67"/>
      <c r="J817" s="67"/>
      <c r="K817" s="67"/>
      <c r="L817" s="67"/>
      <c r="M817" s="67"/>
      <c r="N817" s="67"/>
      <c r="O817" s="67"/>
      <c r="P817" s="148"/>
      <c r="Q817" s="67"/>
      <c r="R817" s="67"/>
      <c r="S817" s="67"/>
      <c r="T817" s="67"/>
      <c r="U817" s="67"/>
      <c r="V817" s="67"/>
      <c r="W817" s="67"/>
      <c r="X817" s="148"/>
      <c r="Y817" s="67"/>
      <c r="Z817" s="67"/>
      <c r="AA817" s="67"/>
      <c r="AB817" s="67"/>
      <c r="AC817" s="67"/>
      <c r="AD817" s="67"/>
      <c r="AE817" s="67"/>
    </row>
    <row r="818" spans="1:31">
      <c r="A818" s="67"/>
      <c r="B818" s="67"/>
      <c r="C818" s="67"/>
      <c r="D818" s="67"/>
      <c r="E818" s="67"/>
      <c r="F818" s="67"/>
      <c r="G818" s="67"/>
      <c r="H818" s="67"/>
      <c r="I818" s="67"/>
      <c r="J818" s="67"/>
      <c r="K818" s="148"/>
      <c r="L818" s="67"/>
      <c r="M818" s="67"/>
      <c r="N818" s="67"/>
      <c r="O818" s="67"/>
      <c r="P818" s="148"/>
      <c r="Q818" s="67"/>
      <c r="R818" s="67"/>
      <c r="S818" s="67"/>
      <c r="T818" s="67"/>
      <c r="U818" s="67"/>
      <c r="V818" s="67"/>
      <c r="W818" s="67"/>
      <c r="X818" s="148"/>
      <c r="Y818" s="67"/>
      <c r="Z818" s="67"/>
      <c r="AA818" s="67"/>
      <c r="AB818" s="67"/>
      <c r="AC818" s="67"/>
      <c r="AD818" s="67"/>
      <c r="AE818" s="67"/>
    </row>
    <row r="819" spans="1:31">
      <c r="A819" s="67"/>
      <c r="B819" s="67"/>
      <c r="C819" s="67"/>
      <c r="D819" s="67"/>
      <c r="E819" s="67"/>
      <c r="F819" s="67"/>
      <c r="G819" s="67"/>
      <c r="H819" s="67"/>
      <c r="I819" s="67"/>
      <c r="J819" s="67"/>
      <c r="K819" s="67"/>
      <c r="L819" s="67"/>
      <c r="M819" s="67"/>
      <c r="N819" s="67"/>
      <c r="O819" s="67"/>
      <c r="P819" s="148"/>
      <c r="Q819" s="67"/>
      <c r="R819" s="67"/>
      <c r="S819" s="67"/>
      <c r="T819" s="67"/>
      <c r="U819" s="67"/>
      <c r="V819" s="67"/>
      <c r="W819" s="67"/>
      <c r="X819" s="148"/>
      <c r="Y819" s="67"/>
      <c r="Z819" s="67"/>
      <c r="AA819" s="67"/>
      <c r="AB819" s="67"/>
      <c r="AC819" s="67"/>
      <c r="AD819" s="67"/>
      <c r="AE819" s="67"/>
    </row>
    <row r="820" spans="1:31">
      <c r="A820" s="67"/>
      <c r="B820" s="67"/>
      <c r="C820" s="67"/>
      <c r="D820" s="67"/>
      <c r="E820" s="67"/>
      <c r="F820" s="67"/>
      <c r="G820" s="67"/>
      <c r="H820" s="67"/>
      <c r="I820" s="67"/>
      <c r="J820" s="67"/>
      <c r="K820" s="67"/>
      <c r="L820" s="67"/>
      <c r="M820" s="67"/>
      <c r="N820" s="67"/>
      <c r="O820" s="67"/>
      <c r="P820" s="148"/>
      <c r="Q820" s="67"/>
      <c r="R820" s="67"/>
      <c r="S820" s="67"/>
      <c r="T820" s="67"/>
      <c r="U820" s="67"/>
      <c r="V820" s="67"/>
      <c r="W820" s="67"/>
      <c r="X820" s="148"/>
      <c r="Y820" s="67"/>
      <c r="Z820" s="67"/>
      <c r="AA820" s="67"/>
      <c r="AB820" s="67"/>
      <c r="AC820" s="67"/>
      <c r="AD820" s="67"/>
      <c r="AE820" s="67"/>
    </row>
    <row r="821" spans="1:31">
      <c r="A821" s="67"/>
      <c r="B821" s="67"/>
      <c r="C821" s="67"/>
      <c r="D821" s="67"/>
      <c r="E821" s="67"/>
      <c r="F821" s="67"/>
      <c r="G821" s="67"/>
      <c r="H821" s="67"/>
      <c r="I821" s="67"/>
      <c r="J821" s="67"/>
      <c r="K821" s="67"/>
      <c r="L821" s="67"/>
      <c r="M821" s="67"/>
      <c r="N821" s="67"/>
      <c r="O821" s="67"/>
      <c r="P821" s="148"/>
      <c r="Q821" s="67"/>
      <c r="R821" s="67"/>
      <c r="S821" s="67"/>
      <c r="T821" s="67"/>
      <c r="U821" s="67"/>
      <c r="V821" s="67"/>
      <c r="W821" s="67"/>
      <c r="X821" s="148"/>
      <c r="Y821" s="67"/>
      <c r="Z821" s="67"/>
      <c r="AA821" s="67"/>
      <c r="AB821" s="67"/>
      <c r="AC821" s="67"/>
      <c r="AD821" s="67"/>
      <c r="AE821" s="67"/>
    </row>
    <row r="822" spans="1:31">
      <c r="A822" s="67"/>
      <c r="B822" s="67"/>
      <c r="C822" s="67"/>
      <c r="D822" s="67"/>
      <c r="E822" s="67"/>
      <c r="F822" s="67"/>
      <c r="G822" s="67"/>
      <c r="H822" s="67"/>
      <c r="I822" s="67"/>
      <c r="J822" s="67"/>
      <c r="K822" s="148"/>
      <c r="L822" s="67"/>
      <c r="M822" s="67"/>
      <c r="N822" s="67"/>
      <c r="O822" s="67"/>
      <c r="P822" s="148"/>
      <c r="Q822" s="67"/>
      <c r="R822" s="67"/>
      <c r="S822" s="67"/>
      <c r="T822" s="67"/>
      <c r="U822" s="67"/>
      <c r="V822" s="67"/>
      <c r="W822" s="67"/>
      <c r="X822" s="148"/>
      <c r="Y822" s="67"/>
      <c r="Z822" s="67"/>
      <c r="AA822" s="67"/>
      <c r="AB822" s="67"/>
      <c r="AC822" s="67"/>
      <c r="AD822" s="67"/>
      <c r="AE822" s="67"/>
    </row>
    <row r="823" spans="1:31">
      <c r="A823" s="67"/>
      <c r="B823" s="67"/>
      <c r="C823" s="67"/>
      <c r="D823" s="67"/>
      <c r="E823" s="67"/>
      <c r="F823" s="67"/>
      <c r="G823" s="67"/>
      <c r="H823" s="67"/>
      <c r="I823" s="67"/>
      <c r="J823" s="67"/>
      <c r="K823" s="148"/>
      <c r="L823" s="67"/>
      <c r="M823" s="67"/>
      <c r="N823" s="67"/>
      <c r="O823" s="67"/>
      <c r="P823" s="148"/>
      <c r="Q823" s="67"/>
      <c r="R823" s="67"/>
      <c r="S823" s="67"/>
      <c r="T823" s="67"/>
      <c r="U823" s="67"/>
      <c r="V823" s="67"/>
      <c r="W823" s="67"/>
      <c r="X823" s="148"/>
      <c r="Y823" s="67"/>
      <c r="Z823" s="67"/>
      <c r="AA823" s="67"/>
      <c r="AB823" s="67"/>
      <c r="AC823" s="67"/>
      <c r="AD823" s="67"/>
      <c r="AE823" s="67"/>
    </row>
    <row r="824" spans="1:31">
      <c r="A824" s="67"/>
      <c r="B824" s="67"/>
      <c r="C824" s="67"/>
      <c r="D824" s="67"/>
      <c r="E824" s="67"/>
      <c r="F824" s="67"/>
      <c r="G824" s="67"/>
      <c r="H824" s="67"/>
      <c r="I824" s="67"/>
      <c r="J824" s="67"/>
      <c r="K824" s="148"/>
      <c r="L824" s="67"/>
      <c r="M824" s="67"/>
      <c r="N824" s="67"/>
      <c r="O824" s="67"/>
      <c r="P824" s="148"/>
      <c r="Q824" s="67"/>
      <c r="R824" s="67"/>
      <c r="S824" s="67"/>
      <c r="T824" s="67"/>
      <c r="U824" s="67"/>
      <c r="V824" s="67"/>
      <c r="W824" s="67"/>
      <c r="X824" s="148"/>
      <c r="Y824" s="67"/>
      <c r="Z824" s="67"/>
      <c r="AA824" s="67"/>
      <c r="AB824" s="67"/>
      <c r="AC824" s="67"/>
      <c r="AD824" s="67"/>
      <c r="AE824" s="67"/>
    </row>
    <row r="825" spans="1:31">
      <c r="A825" s="67"/>
      <c r="B825" s="67"/>
      <c r="C825" s="67"/>
      <c r="D825" s="67"/>
      <c r="E825" s="67"/>
      <c r="F825" s="67"/>
      <c r="G825" s="67"/>
      <c r="H825" s="67"/>
      <c r="I825" s="67"/>
      <c r="J825" s="67"/>
      <c r="K825" s="148"/>
      <c r="L825" s="67"/>
      <c r="M825" s="148"/>
      <c r="N825" s="67"/>
      <c r="O825" s="67"/>
      <c r="P825" s="148"/>
      <c r="Q825" s="67"/>
      <c r="R825" s="67"/>
      <c r="S825" s="67"/>
      <c r="T825" s="67"/>
      <c r="U825" s="67"/>
      <c r="V825" s="67"/>
      <c r="W825" s="67"/>
      <c r="X825" s="148"/>
      <c r="Y825" s="67"/>
      <c r="Z825" s="67"/>
      <c r="AA825" s="67"/>
      <c r="AB825" s="67"/>
      <c r="AC825" s="67"/>
      <c r="AD825" s="67"/>
      <c r="AE825" s="67"/>
    </row>
    <row r="826" spans="1:31">
      <c r="A826" s="67"/>
      <c r="B826" s="67"/>
      <c r="C826" s="67"/>
      <c r="D826" s="67"/>
      <c r="E826" s="67"/>
      <c r="F826" s="67"/>
      <c r="G826" s="67"/>
      <c r="H826" s="67"/>
      <c r="I826" s="67"/>
      <c r="J826" s="67"/>
      <c r="K826" s="148"/>
      <c r="L826" s="67"/>
      <c r="M826" s="148"/>
      <c r="N826" s="67"/>
      <c r="O826" s="67"/>
      <c r="P826" s="148"/>
      <c r="Q826" s="67"/>
      <c r="R826" s="67"/>
      <c r="S826" s="67"/>
      <c r="T826" s="67"/>
      <c r="U826" s="67"/>
      <c r="V826" s="67"/>
      <c r="W826" s="67"/>
      <c r="X826" s="148"/>
      <c r="Y826" s="67"/>
      <c r="Z826" s="67"/>
      <c r="AA826" s="67"/>
      <c r="AB826" s="67"/>
      <c r="AC826" s="67"/>
      <c r="AD826" s="67"/>
      <c r="AE826" s="67"/>
    </row>
    <row r="827" spans="1:31">
      <c r="A827" s="67"/>
      <c r="B827" s="67"/>
      <c r="C827" s="67"/>
      <c r="D827" s="67"/>
      <c r="E827" s="67"/>
      <c r="F827" s="67"/>
      <c r="G827" s="67"/>
      <c r="H827" s="67"/>
      <c r="I827" s="67"/>
      <c r="J827" s="67"/>
      <c r="K827" s="148"/>
      <c r="L827" s="67"/>
      <c r="M827" s="67"/>
      <c r="N827" s="67"/>
      <c r="O827" s="67"/>
      <c r="P827" s="148"/>
      <c r="Q827" s="67"/>
      <c r="R827" s="67"/>
      <c r="S827" s="67"/>
      <c r="T827" s="67"/>
      <c r="U827" s="67"/>
      <c r="V827" s="67"/>
      <c r="W827" s="67"/>
      <c r="X827" s="148"/>
      <c r="Y827" s="67"/>
      <c r="Z827" s="67"/>
      <c r="AA827" s="67"/>
      <c r="AB827" s="67"/>
      <c r="AC827" s="67"/>
      <c r="AD827" s="67"/>
      <c r="AE827" s="67"/>
    </row>
  </sheetData>
  <autoFilter ref="A1:AE622" xr:uid="{A7D1C79B-F496-4ECF-AD17-705D3D2757CB}"/>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8AF69-5C9F-46C3-8723-07208F68740A}">
  <sheetPr>
    <tabColor rgb="FFFF0000"/>
  </sheetPr>
  <dimension ref="A1:DS923"/>
  <sheetViews>
    <sheetView topLeftCell="B44" workbookViewId="0">
      <selection activeCell="C4" sqref="C4"/>
    </sheetView>
  </sheetViews>
  <sheetFormatPr defaultColWidth="9.140625" defaultRowHeight="12"/>
  <cols>
    <col min="1" max="1" width="9" style="40" customWidth="1"/>
    <col min="2" max="2" width="144.5703125" style="40" bestFit="1" customWidth="1"/>
    <col min="3" max="3" width="10.85546875" style="40" bestFit="1" customWidth="1"/>
    <col min="4" max="4" width="17.42578125" style="40" bestFit="1" customWidth="1"/>
    <col min="5" max="5" width="15.5703125" style="40" bestFit="1" customWidth="1"/>
    <col min="6" max="6" width="11.5703125" style="40" bestFit="1" customWidth="1"/>
    <col min="7" max="7" width="10.7109375" style="40" bestFit="1" customWidth="1"/>
    <col min="8" max="8" width="12.28515625" style="40" bestFit="1" customWidth="1"/>
    <col min="9" max="9" width="12.42578125" style="40" bestFit="1" customWidth="1"/>
    <col min="10" max="10" width="10.140625" style="40" bestFit="1" customWidth="1"/>
    <col min="11" max="120" width="8.42578125" style="40" bestFit="1" customWidth="1"/>
    <col min="121" max="121" width="5.42578125" style="40" bestFit="1" customWidth="1"/>
    <col min="122" max="122" width="7.42578125" style="40" bestFit="1" customWidth="1"/>
    <col min="123" max="123" width="11.42578125" style="40" bestFit="1" customWidth="1"/>
    <col min="124" max="16384" width="9.140625" style="40"/>
  </cols>
  <sheetData>
    <row r="1" spans="1:12">
      <c r="A1" s="266" t="s">
        <v>189</v>
      </c>
      <c r="B1" s="267" t="s">
        <v>5</v>
      </c>
      <c r="C1" s="43"/>
      <c r="D1" s="43"/>
      <c r="E1" s="43"/>
      <c r="F1" s="43"/>
      <c r="G1" s="43"/>
      <c r="H1" s="43"/>
      <c r="I1" s="43"/>
      <c r="J1" s="43"/>
      <c r="K1" s="43"/>
      <c r="L1" s="43"/>
    </row>
    <row r="2" spans="1:12">
      <c r="A2" s="266" t="s">
        <v>190</v>
      </c>
      <c r="B2" s="267" t="s">
        <v>5</v>
      </c>
      <c r="C2" s="43"/>
      <c r="D2" s="43"/>
      <c r="E2" s="43"/>
      <c r="F2" s="43"/>
      <c r="G2" s="43"/>
      <c r="H2" s="43"/>
      <c r="I2" s="43"/>
      <c r="J2" s="43"/>
      <c r="K2" s="43"/>
      <c r="L2" s="43"/>
    </row>
    <row r="4" spans="1:12">
      <c r="A4" s="268" t="s">
        <v>155</v>
      </c>
      <c r="B4" s="268" t="s">
        <v>154</v>
      </c>
      <c r="C4" s="268" t="s">
        <v>136</v>
      </c>
      <c r="D4" s="268" t="s">
        <v>2586</v>
      </c>
      <c r="E4" s="268" t="s">
        <v>2587</v>
      </c>
      <c r="F4" s="268" t="s">
        <v>1368</v>
      </c>
      <c r="G4" s="268" t="s">
        <v>1369</v>
      </c>
      <c r="H4" s="268" t="s">
        <v>1370</v>
      </c>
      <c r="I4" s="268" t="s">
        <v>1371</v>
      </c>
      <c r="J4" s="268" t="s">
        <v>1372</v>
      </c>
      <c r="K4" s="41" t="s">
        <v>186</v>
      </c>
      <c r="L4" s="41" t="s">
        <v>187</v>
      </c>
    </row>
    <row r="5" spans="1:12">
      <c r="A5" s="267">
        <v>4151502</v>
      </c>
      <c r="B5" s="267" t="s">
        <v>428</v>
      </c>
      <c r="C5" s="269">
        <v>1</v>
      </c>
      <c r="D5" s="269">
        <v>1</v>
      </c>
      <c r="E5" s="269">
        <v>1</v>
      </c>
      <c r="F5" s="269">
        <v>30</v>
      </c>
      <c r="G5" s="269">
        <v>3</v>
      </c>
      <c r="H5" s="269">
        <v>0</v>
      </c>
      <c r="I5" s="269">
        <v>0</v>
      </c>
      <c r="J5" s="269">
        <v>33</v>
      </c>
      <c r="K5" s="44">
        <f t="shared" ref="K5:K36" si="0">IF(G5+F5=0,0,SUM(F5:H5)/J5)</f>
        <v>1</v>
      </c>
      <c r="L5" s="44">
        <f t="shared" ref="L5:L36" si="1">IF(F5=0,0,F5/(SUM(F5:H5)))</f>
        <v>0.90909090909090906</v>
      </c>
    </row>
    <row r="6" spans="1:12">
      <c r="A6" s="267">
        <v>4223629</v>
      </c>
      <c r="B6" s="267" t="s">
        <v>1882</v>
      </c>
      <c r="C6" s="269">
        <v>3</v>
      </c>
      <c r="D6" s="269">
        <v>3</v>
      </c>
      <c r="E6" s="269">
        <v>3</v>
      </c>
      <c r="F6" s="269">
        <v>0</v>
      </c>
      <c r="G6" s="269">
        <v>0</v>
      </c>
      <c r="H6" s="269">
        <v>0</v>
      </c>
      <c r="I6" s="269">
        <v>0</v>
      </c>
      <c r="J6" s="269">
        <v>0</v>
      </c>
      <c r="K6" s="44">
        <f t="shared" si="0"/>
        <v>0</v>
      </c>
      <c r="L6" s="44">
        <f t="shared" si="1"/>
        <v>0</v>
      </c>
    </row>
    <row r="7" spans="1:12">
      <c r="A7" s="267">
        <v>4232673</v>
      </c>
      <c r="B7" s="267" t="s">
        <v>264</v>
      </c>
      <c r="C7" s="269">
        <v>3</v>
      </c>
      <c r="D7" s="269">
        <v>3</v>
      </c>
      <c r="E7" s="269">
        <v>3</v>
      </c>
      <c r="F7" s="269">
        <v>18</v>
      </c>
      <c r="G7" s="269">
        <v>0</v>
      </c>
      <c r="H7" s="269">
        <v>0</v>
      </c>
      <c r="I7" s="269">
        <v>57</v>
      </c>
      <c r="J7" s="269">
        <v>75</v>
      </c>
      <c r="K7" s="44">
        <f t="shared" si="0"/>
        <v>0.24</v>
      </c>
      <c r="L7" s="44">
        <f t="shared" si="1"/>
        <v>1</v>
      </c>
    </row>
    <row r="8" spans="1:12">
      <c r="A8" s="267">
        <v>4249003</v>
      </c>
      <c r="B8" s="267" t="s">
        <v>2247</v>
      </c>
      <c r="C8" s="269">
        <v>1</v>
      </c>
      <c r="D8" s="269">
        <v>1</v>
      </c>
      <c r="E8" s="269">
        <v>1</v>
      </c>
      <c r="F8" s="269">
        <v>0</v>
      </c>
      <c r="G8" s="269">
        <v>0</v>
      </c>
      <c r="H8" s="269">
        <v>0</v>
      </c>
      <c r="I8" s="269">
        <v>0</v>
      </c>
      <c r="J8" s="269">
        <v>0</v>
      </c>
      <c r="K8" s="44">
        <f t="shared" si="0"/>
        <v>0</v>
      </c>
      <c r="L8" s="44">
        <f t="shared" si="1"/>
        <v>0</v>
      </c>
    </row>
    <row r="9" spans="1:12">
      <c r="A9" s="267">
        <v>4317300</v>
      </c>
      <c r="B9" s="267" t="s">
        <v>1553</v>
      </c>
      <c r="C9" s="269">
        <v>5</v>
      </c>
      <c r="D9" s="269">
        <v>5</v>
      </c>
      <c r="E9" s="269">
        <v>5</v>
      </c>
      <c r="F9" s="269">
        <v>0</v>
      </c>
      <c r="G9" s="269">
        <v>0</v>
      </c>
      <c r="H9" s="269">
        <v>0</v>
      </c>
      <c r="I9" s="269">
        <v>0</v>
      </c>
      <c r="J9" s="269">
        <v>0</v>
      </c>
      <c r="K9" s="44">
        <f t="shared" si="0"/>
        <v>0</v>
      </c>
      <c r="L9" s="44">
        <f t="shared" si="1"/>
        <v>0</v>
      </c>
    </row>
    <row r="10" spans="1:12">
      <c r="A10" s="267">
        <v>4319026</v>
      </c>
      <c r="B10" s="267" t="s">
        <v>2405</v>
      </c>
      <c r="C10" s="269">
        <v>1</v>
      </c>
      <c r="D10" s="269">
        <v>1</v>
      </c>
      <c r="E10" s="269">
        <v>1</v>
      </c>
      <c r="F10" s="269">
        <v>2</v>
      </c>
      <c r="G10" s="269">
        <v>2</v>
      </c>
      <c r="H10" s="269">
        <v>0</v>
      </c>
      <c r="I10" s="269">
        <v>0</v>
      </c>
      <c r="J10" s="269">
        <v>4</v>
      </c>
      <c r="K10" s="44">
        <f t="shared" si="0"/>
        <v>1</v>
      </c>
      <c r="L10" s="44">
        <f t="shared" si="1"/>
        <v>0.5</v>
      </c>
    </row>
    <row r="11" spans="1:12">
      <c r="A11" s="267">
        <v>4330994</v>
      </c>
      <c r="B11" s="267" t="s">
        <v>272</v>
      </c>
      <c r="C11" s="269">
        <v>9</v>
      </c>
      <c r="D11" s="269">
        <v>9</v>
      </c>
      <c r="E11" s="269">
        <v>9</v>
      </c>
      <c r="F11" s="269">
        <v>7</v>
      </c>
      <c r="G11" s="269">
        <v>0</v>
      </c>
      <c r="H11" s="269">
        <v>0</v>
      </c>
      <c r="I11" s="269">
        <v>218</v>
      </c>
      <c r="J11" s="269">
        <v>225</v>
      </c>
      <c r="K11" s="44">
        <f t="shared" si="0"/>
        <v>3.111111111111111E-2</v>
      </c>
      <c r="L11" s="44">
        <f t="shared" si="1"/>
        <v>1</v>
      </c>
    </row>
    <row r="12" spans="1:12">
      <c r="A12" s="267" t="s">
        <v>19</v>
      </c>
      <c r="B12" s="267" t="s">
        <v>19</v>
      </c>
      <c r="C12" s="269">
        <v>3</v>
      </c>
      <c r="D12" s="269">
        <v>1</v>
      </c>
      <c r="E12" s="269">
        <v>1</v>
      </c>
      <c r="F12" s="269">
        <v>10</v>
      </c>
      <c r="G12" s="269">
        <v>0</v>
      </c>
      <c r="H12" s="269">
        <v>0</v>
      </c>
      <c r="I12" s="269">
        <v>8</v>
      </c>
      <c r="J12" s="269">
        <v>18</v>
      </c>
      <c r="K12" s="44">
        <f t="shared" si="0"/>
        <v>0.55555555555555558</v>
      </c>
      <c r="L12" s="44">
        <f t="shared" si="1"/>
        <v>1</v>
      </c>
    </row>
    <row r="13" spans="1:12">
      <c r="A13" s="267">
        <v>4365826</v>
      </c>
      <c r="B13" s="267" t="s">
        <v>1686</v>
      </c>
      <c r="C13" s="269">
        <v>5</v>
      </c>
      <c r="D13" s="269">
        <v>5</v>
      </c>
      <c r="E13" s="269">
        <v>5</v>
      </c>
      <c r="F13" s="269">
        <v>16</v>
      </c>
      <c r="G13" s="269">
        <v>0</v>
      </c>
      <c r="H13" s="269">
        <v>0</v>
      </c>
      <c r="I13" s="269">
        <v>57</v>
      </c>
      <c r="J13" s="269">
        <v>73</v>
      </c>
      <c r="K13" s="44">
        <f t="shared" si="0"/>
        <v>0.21917808219178081</v>
      </c>
      <c r="L13" s="44">
        <f t="shared" si="1"/>
        <v>1</v>
      </c>
    </row>
    <row r="14" spans="1:12">
      <c r="A14" s="267">
        <v>0</v>
      </c>
      <c r="B14" s="267">
        <v>0</v>
      </c>
      <c r="C14" s="269">
        <v>2</v>
      </c>
      <c r="D14" s="269">
        <v>2</v>
      </c>
      <c r="E14" s="269">
        <v>2</v>
      </c>
      <c r="F14" s="269">
        <v>0</v>
      </c>
      <c r="G14" s="269">
        <v>0</v>
      </c>
      <c r="H14" s="269">
        <v>0</v>
      </c>
      <c r="I14" s="269">
        <v>0</v>
      </c>
      <c r="J14" s="269">
        <v>0</v>
      </c>
      <c r="K14" s="44">
        <f t="shared" si="0"/>
        <v>0</v>
      </c>
      <c r="L14" s="44">
        <f t="shared" si="1"/>
        <v>0</v>
      </c>
    </row>
    <row r="15" spans="1:12">
      <c r="A15" s="267">
        <v>4366167</v>
      </c>
      <c r="B15" s="267" t="s">
        <v>1703</v>
      </c>
      <c r="C15" s="269">
        <v>1</v>
      </c>
      <c r="D15" s="269">
        <v>1</v>
      </c>
      <c r="E15" s="269">
        <v>1</v>
      </c>
      <c r="F15" s="269">
        <v>0</v>
      </c>
      <c r="G15" s="269">
        <v>0</v>
      </c>
      <c r="H15" s="269">
        <v>0</v>
      </c>
      <c r="I15" s="269">
        <v>9</v>
      </c>
      <c r="J15" s="269">
        <v>9</v>
      </c>
      <c r="K15" s="44">
        <f t="shared" si="0"/>
        <v>0</v>
      </c>
      <c r="L15" s="44">
        <f t="shared" si="1"/>
        <v>0</v>
      </c>
    </row>
    <row r="16" spans="1:12">
      <c r="A16" s="267">
        <v>4174547</v>
      </c>
      <c r="B16" s="267" t="s">
        <v>1681</v>
      </c>
      <c r="C16" s="269">
        <v>1</v>
      </c>
      <c r="D16" s="269">
        <v>1</v>
      </c>
      <c r="E16" s="269">
        <v>1</v>
      </c>
      <c r="F16" s="269">
        <v>0</v>
      </c>
      <c r="G16" s="269">
        <v>0</v>
      </c>
      <c r="H16" s="269">
        <v>0</v>
      </c>
      <c r="I16" s="269">
        <v>10</v>
      </c>
      <c r="J16" s="269">
        <v>10</v>
      </c>
      <c r="K16" s="44">
        <f t="shared" si="0"/>
        <v>0</v>
      </c>
      <c r="L16" s="44">
        <f t="shared" si="1"/>
        <v>0</v>
      </c>
    </row>
    <row r="17" spans="1:12">
      <c r="A17" s="267">
        <v>4327715</v>
      </c>
      <c r="B17" s="267" t="s">
        <v>2013</v>
      </c>
      <c r="C17" s="269">
        <v>5</v>
      </c>
      <c r="D17" s="269">
        <v>5</v>
      </c>
      <c r="E17" s="269">
        <v>5</v>
      </c>
      <c r="F17" s="269">
        <v>36</v>
      </c>
      <c r="G17" s="269">
        <v>0</v>
      </c>
      <c r="H17" s="269">
        <v>0</v>
      </c>
      <c r="I17" s="269">
        <v>25</v>
      </c>
      <c r="J17" s="269">
        <v>61</v>
      </c>
      <c r="K17" s="44">
        <f t="shared" si="0"/>
        <v>0.5901639344262295</v>
      </c>
      <c r="L17" s="44">
        <f t="shared" si="1"/>
        <v>1</v>
      </c>
    </row>
    <row r="18" spans="1:12">
      <c r="A18" s="267">
        <v>4313249</v>
      </c>
      <c r="B18" s="267" t="s">
        <v>256</v>
      </c>
      <c r="C18" s="269">
        <v>7</v>
      </c>
      <c r="D18" s="269">
        <v>7</v>
      </c>
      <c r="E18" s="269">
        <v>7</v>
      </c>
      <c r="F18" s="269">
        <v>10</v>
      </c>
      <c r="G18" s="269">
        <v>0</v>
      </c>
      <c r="H18" s="269">
        <v>0</v>
      </c>
      <c r="I18" s="269">
        <v>109</v>
      </c>
      <c r="J18" s="269">
        <v>119</v>
      </c>
      <c r="K18" s="44">
        <f t="shared" si="0"/>
        <v>8.4033613445378158E-2</v>
      </c>
      <c r="L18" s="44">
        <f t="shared" si="1"/>
        <v>1</v>
      </c>
    </row>
    <row r="19" spans="1:12">
      <c r="A19" s="267">
        <v>4372279</v>
      </c>
      <c r="B19" s="267" t="s">
        <v>281</v>
      </c>
      <c r="C19" s="269">
        <v>53</v>
      </c>
      <c r="D19" s="269">
        <v>53</v>
      </c>
      <c r="E19" s="269">
        <v>53</v>
      </c>
      <c r="F19" s="269">
        <v>647</v>
      </c>
      <c r="G19" s="269">
        <v>11</v>
      </c>
      <c r="H19" s="269">
        <v>5</v>
      </c>
      <c r="I19" s="269">
        <v>696</v>
      </c>
      <c r="J19" s="269">
        <v>1359</v>
      </c>
      <c r="K19" s="44">
        <f t="shared" si="0"/>
        <v>0.48785871964679911</v>
      </c>
      <c r="L19" s="44">
        <f t="shared" si="1"/>
        <v>0.97586726998491702</v>
      </c>
    </row>
    <row r="20" spans="1:12">
      <c r="A20" s="267">
        <v>4341363</v>
      </c>
      <c r="B20" s="267" t="s">
        <v>421</v>
      </c>
      <c r="C20" s="269">
        <v>5</v>
      </c>
      <c r="D20" s="269">
        <v>5</v>
      </c>
      <c r="E20" s="269">
        <v>5</v>
      </c>
      <c r="F20" s="269">
        <v>15</v>
      </c>
      <c r="G20" s="269">
        <v>1</v>
      </c>
      <c r="H20" s="269">
        <v>0</v>
      </c>
      <c r="I20" s="269">
        <v>75</v>
      </c>
      <c r="J20" s="269">
        <v>91</v>
      </c>
      <c r="K20" s="44">
        <f t="shared" si="0"/>
        <v>0.17582417582417584</v>
      </c>
      <c r="L20" s="44">
        <f t="shared" si="1"/>
        <v>0.9375</v>
      </c>
    </row>
    <row r="21" spans="1:12">
      <c r="A21" s="267">
        <v>4372017</v>
      </c>
      <c r="B21" s="267" t="s">
        <v>361</v>
      </c>
      <c r="C21" s="269">
        <v>6</v>
      </c>
      <c r="D21" s="269">
        <v>6</v>
      </c>
      <c r="E21" s="269">
        <v>6</v>
      </c>
      <c r="F21" s="269">
        <v>16</v>
      </c>
      <c r="G21" s="269">
        <v>1</v>
      </c>
      <c r="H21" s="269">
        <v>0</v>
      </c>
      <c r="I21" s="269">
        <v>83</v>
      </c>
      <c r="J21" s="269">
        <v>100</v>
      </c>
      <c r="K21" s="44">
        <f t="shared" si="0"/>
        <v>0.17</v>
      </c>
      <c r="L21" s="44">
        <f t="shared" si="1"/>
        <v>0.94117647058823528</v>
      </c>
    </row>
    <row r="22" spans="1:12">
      <c r="A22" s="267">
        <v>4311794</v>
      </c>
      <c r="B22" s="267" t="s">
        <v>2132</v>
      </c>
      <c r="C22" s="269">
        <v>7</v>
      </c>
      <c r="D22" s="269">
        <v>7</v>
      </c>
      <c r="E22" s="269">
        <v>7</v>
      </c>
      <c r="F22" s="269">
        <v>35</v>
      </c>
      <c r="G22" s="269">
        <v>0</v>
      </c>
      <c r="H22" s="269">
        <v>0</v>
      </c>
      <c r="I22" s="269">
        <v>195</v>
      </c>
      <c r="J22" s="269">
        <v>230</v>
      </c>
      <c r="K22" s="44">
        <f t="shared" si="0"/>
        <v>0.15217391304347827</v>
      </c>
      <c r="L22" s="44">
        <f t="shared" si="1"/>
        <v>1</v>
      </c>
    </row>
    <row r="23" spans="1:12">
      <c r="A23" s="267">
        <v>4366166</v>
      </c>
      <c r="B23" s="267" t="s">
        <v>2042</v>
      </c>
      <c r="C23" s="269">
        <v>1</v>
      </c>
      <c r="D23" s="269">
        <v>1</v>
      </c>
      <c r="E23" s="269">
        <v>1</v>
      </c>
      <c r="F23" s="269">
        <v>0</v>
      </c>
      <c r="G23" s="269">
        <v>0</v>
      </c>
      <c r="H23" s="269">
        <v>0</v>
      </c>
      <c r="I23" s="269">
        <v>12</v>
      </c>
      <c r="J23" s="269">
        <v>12</v>
      </c>
      <c r="K23" s="44">
        <f t="shared" si="0"/>
        <v>0</v>
      </c>
      <c r="L23" s="44">
        <f t="shared" si="1"/>
        <v>0</v>
      </c>
    </row>
    <row r="24" spans="1:12">
      <c r="A24" s="267">
        <v>4331001</v>
      </c>
      <c r="B24" s="267" t="s">
        <v>2110</v>
      </c>
      <c r="C24" s="269">
        <v>1</v>
      </c>
      <c r="D24" s="269">
        <v>1</v>
      </c>
      <c r="E24" s="269">
        <v>1</v>
      </c>
      <c r="F24" s="269">
        <v>0</v>
      </c>
      <c r="G24" s="269">
        <v>0</v>
      </c>
      <c r="H24" s="269">
        <v>0</v>
      </c>
      <c r="I24" s="269">
        <v>53</v>
      </c>
      <c r="J24" s="269">
        <v>53</v>
      </c>
      <c r="K24" s="44">
        <f t="shared" si="0"/>
        <v>0</v>
      </c>
      <c r="L24" s="44">
        <f t="shared" si="1"/>
        <v>0</v>
      </c>
    </row>
    <row r="25" spans="1:12">
      <c r="A25" s="267">
        <v>4387285</v>
      </c>
      <c r="B25" s="267" t="s">
        <v>2092</v>
      </c>
      <c r="C25" s="269">
        <v>12</v>
      </c>
      <c r="D25" s="269">
        <v>11</v>
      </c>
      <c r="E25" s="269">
        <v>11</v>
      </c>
      <c r="F25" s="269">
        <v>10</v>
      </c>
      <c r="G25" s="269">
        <v>10</v>
      </c>
      <c r="H25" s="269">
        <v>101</v>
      </c>
      <c r="I25" s="269">
        <v>176</v>
      </c>
      <c r="J25" s="269">
        <v>297</v>
      </c>
      <c r="K25" s="44">
        <f t="shared" si="0"/>
        <v>0.40740740740740738</v>
      </c>
      <c r="L25" s="44">
        <f t="shared" si="1"/>
        <v>8.2644628099173556E-2</v>
      </c>
    </row>
    <row r="26" spans="1:12">
      <c r="A26" s="267">
        <v>4017211</v>
      </c>
      <c r="B26" s="267" t="s">
        <v>1689</v>
      </c>
      <c r="C26" s="269">
        <v>1</v>
      </c>
      <c r="D26" s="269">
        <v>1</v>
      </c>
      <c r="E26" s="269">
        <v>1</v>
      </c>
      <c r="F26" s="269">
        <v>0</v>
      </c>
      <c r="G26" s="269">
        <v>0</v>
      </c>
      <c r="H26" s="269">
        <v>0</v>
      </c>
      <c r="I26" s="269">
        <v>10</v>
      </c>
      <c r="J26" s="269">
        <v>10</v>
      </c>
      <c r="K26" s="44">
        <f t="shared" si="0"/>
        <v>0</v>
      </c>
      <c r="L26" s="44">
        <f t="shared" si="1"/>
        <v>0</v>
      </c>
    </row>
    <row r="27" spans="1:12">
      <c r="A27" s="267">
        <v>4349307</v>
      </c>
      <c r="B27" s="267" t="s">
        <v>1604</v>
      </c>
      <c r="C27" s="269">
        <v>8</v>
      </c>
      <c r="D27" s="269">
        <v>8</v>
      </c>
      <c r="E27" s="269">
        <v>8</v>
      </c>
      <c r="F27" s="269">
        <v>0</v>
      </c>
      <c r="G27" s="269">
        <v>0</v>
      </c>
      <c r="H27" s="269">
        <v>0</v>
      </c>
      <c r="I27" s="269">
        <v>312</v>
      </c>
      <c r="J27" s="269">
        <v>312</v>
      </c>
      <c r="K27" s="44">
        <f t="shared" si="0"/>
        <v>0</v>
      </c>
      <c r="L27" s="44">
        <f t="shared" si="1"/>
        <v>0</v>
      </c>
    </row>
    <row r="28" spans="1:12">
      <c r="A28" s="267">
        <v>4386527</v>
      </c>
      <c r="B28" s="267" t="s">
        <v>2546</v>
      </c>
      <c r="C28" s="269">
        <v>1</v>
      </c>
      <c r="D28" s="269">
        <v>1</v>
      </c>
      <c r="E28" s="269">
        <v>1</v>
      </c>
      <c r="F28" s="269">
        <v>10</v>
      </c>
      <c r="G28" s="269">
        <v>1</v>
      </c>
      <c r="H28" s="269">
        <v>0</v>
      </c>
      <c r="I28" s="269">
        <v>4</v>
      </c>
      <c r="J28" s="269">
        <v>15</v>
      </c>
      <c r="K28" s="44">
        <f t="shared" si="0"/>
        <v>0.73333333333333328</v>
      </c>
      <c r="L28" s="44">
        <f t="shared" si="1"/>
        <v>0.90909090909090906</v>
      </c>
    </row>
    <row r="29" spans="1:12">
      <c r="A29" s="267">
        <v>4358170</v>
      </c>
      <c r="B29" s="267" t="s">
        <v>1903</v>
      </c>
      <c r="C29" s="269">
        <v>2</v>
      </c>
      <c r="D29" s="269">
        <v>2</v>
      </c>
      <c r="E29" s="269">
        <v>2</v>
      </c>
      <c r="F29" s="269">
        <v>34</v>
      </c>
      <c r="G29" s="269">
        <v>0</v>
      </c>
      <c r="H29" s="269">
        <v>0</v>
      </c>
      <c r="I29" s="269">
        <v>3</v>
      </c>
      <c r="J29" s="269">
        <v>37</v>
      </c>
      <c r="K29" s="44">
        <f t="shared" si="0"/>
        <v>0.91891891891891897</v>
      </c>
      <c r="L29" s="44">
        <f t="shared" si="1"/>
        <v>1</v>
      </c>
    </row>
    <row r="30" spans="1:12">
      <c r="A30" s="267">
        <v>4373584</v>
      </c>
      <c r="B30" s="267" t="s">
        <v>1834</v>
      </c>
      <c r="C30" s="269">
        <v>7</v>
      </c>
      <c r="D30" s="269">
        <v>7</v>
      </c>
      <c r="E30" s="269">
        <v>7</v>
      </c>
      <c r="F30" s="269">
        <v>51</v>
      </c>
      <c r="G30" s="269">
        <v>1</v>
      </c>
      <c r="H30" s="269">
        <v>0</v>
      </c>
      <c r="I30" s="269">
        <v>8</v>
      </c>
      <c r="J30" s="269">
        <v>60</v>
      </c>
      <c r="K30" s="44">
        <f t="shared" si="0"/>
        <v>0.8666666666666667</v>
      </c>
      <c r="L30" s="44">
        <f t="shared" si="1"/>
        <v>0.98076923076923073</v>
      </c>
    </row>
    <row r="31" spans="1:12">
      <c r="A31" s="267">
        <v>4317766</v>
      </c>
      <c r="B31" s="267" t="s">
        <v>2281</v>
      </c>
      <c r="C31" s="269">
        <v>1</v>
      </c>
      <c r="D31" s="269">
        <v>1</v>
      </c>
      <c r="E31" s="269">
        <v>1</v>
      </c>
      <c r="F31" s="269">
        <v>0</v>
      </c>
      <c r="G31" s="269">
        <v>0</v>
      </c>
      <c r="H31" s="269">
        <v>0</v>
      </c>
      <c r="I31" s="269">
        <v>9</v>
      </c>
      <c r="J31" s="269">
        <v>9</v>
      </c>
      <c r="K31" s="44">
        <f t="shared" si="0"/>
        <v>0</v>
      </c>
      <c r="L31" s="44">
        <f t="shared" si="1"/>
        <v>0</v>
      </c>
    </row>
    <row r="32" spans="1:12">
      <c r="A32" s="267">
        <v>4341338</v>
      </c>
      <c r="B32" s="267" t="s">
        <v>2369</v>
      </c>
      <c r="C32" s="269">
        <v>1</v>
      </c>
      <c r="D32" s="269">
        <v>1</v>
      </c>
      <c r="E32" s="269">
        <v>1</v>
      </c>
      <c r="F32" s="269">
        <v>0</v>
      </c>
      <c r="G32" s="269">
        <v>0</v>
      </c>
      <c r="H32" s="269">
        <v>0</v>
      </c>
      <c r="I32" s="269">
        <v>8</v>
      </c>
      <c r="J32" s="269">
        <v>8</v>
      </c>
      <c r="K32" s="44">
        <f t="shared" si="0"/>
        <v>0</v>
      </c>
      <c r="L32" s="44">
        <f t="shared" si="1"/>
        <v>0</v>
      </c>
    </row>
    <row r="33" spans="1:12">
      <c r="A33" s="267">
        <v>4356899</v>
      </c>
      <c r="B33" s="267"/>
      <c r="C33" s="269">
        <v>2</v>
      </c>
      <c r="D33" s="269">
        <v>2</v>
      </c>
      <c r="E33" s="269">
        <v>2</v>
      </c>
      <c r="F33" s="269">
        <v>0</v>
      </c>
      <c r="G33" s="269">
        <v>0</v>
      </c>
      <c r="H33" s="269">
        <v>0</v>
      </c>
      <c r="I33" s="269">
        <v>53</v>
      </c>
      <c r="J33" s="269">
        <v>53</v>
      </c>
      <c r="K33" s="44">
        <f t="shared" si="0"/>
        <v>0</v>
      </c>
      <c r="L33" s="44">
        <f t="shared" si="1"/>
        <v>0</v>
      </c>
    </row>
    <row r="34" spans="1:12">
      <c r="A34" s="267">
        <v>4250760</v>
      </c>
      <c r="B34" s="267" t="s">
        <v>351</v>
      </c>
      <c r="C34" s="269">
        <v>13</v>
      </c>
      <c r="D34" s="269">
        <v>13</v>
      </c>
      <c r="E34" s="269">
        <v>13</v>
      </c>
      <c r="F34" s="269">
        <v>0</v>
      </c>
      <c r="G34" s="269">
        <v>0</v>
      </c>
      <c r="H34" s="269">
        <v>0</v>
      </c>
      <c r="I34" s="269">
        <v>193</v>
      </c>
      <c r="J34" s="269">
        <v>205</v>
      </c>
      <c r="K34" s="44">
        <f t="shared" si="0"/>
        <v>0</v>
      </c>
      <c r="L34" s="44">
        <f t="shared" si="1"/>
        <v>0</v>
      </c>
    </row>
    <row r="35" spans="1:12">
      <c r="A35" s="267">
        <v>4373965</v>
      </c>
      <c r="B35" s="267" t="s">
        <v>2512</v>
      </c>
      <c r="C35" s="269">
        <v>3</v>
      </c>
      <c r="D35" s="269">
        <v>3</v>
      </c>
      <c r="E35" s="269">
        <v>3</v>
      </c>
      <c r="F35" s="269">
        <v>0</v>
      </c>
      <c r="G35" s="269">
        <v>0</v>
      </c>
      <c r="H35" s="269">
        <v>0</v>
      </c>
      <c r="I35" s="269">
        <v>61</v>
      </c>
      <c r="J35" s="269">
        <v>61</v>
      </c>
      <c r="K35" s="44">
        <f t="shared" si="0"/>
        <v>0</v>
      </c>
      <c r="L35" s="44">
        <f t="shared" si="1"/>
        <v>0</v>
      </c>
    </row>
    <row r="36" spans="1:12">
      <c r="A36" s="267">
        <v>4392317</v>
      </c>
      <c r="B36" s="267" t="s">
        <v>1699</v>
      </c>
      <c r="C36" s="269">
        <v>1</v>
      </c>
      <c r="D36" s="269">
        <v>1</v>
      </c>
      <c r="E36" s="269">
        <v>1</v>
      </c>
      <c r="F36" s="269">
        <v>0</v>
      </c>
      <c r="G36" s="269">
        <v>0</v>
      </c>
      <c r="H36" s="269">
        <v>0</v>
      </c>
      <c r="I36" s="269">
        <v>21</v>
      </c>
      <c r="J36" s="269">
        <v>21</v>
      </c>
      <c r="K36" s="44">
        <f t="shared" si="0"/>
        <v>0</v>
      </c>
      <c r="L36" s="44">
        <f t="shared" si="1"/>
        <v>0</v>
      </c>
    </row>
    <row r="37" spans="1:12">
      <c r="A37" s="267">
        <v>4393834</v>
      </c>
      <c r="B37" s="267" t="s">
        <v>220</v>
      </c>
      <c r="C37" s="269">
        <v>1</v>
      </c>
      <c r="D37" s="269">
        <v>1</v>
      </c>
      <c r="E37" s="269">
        <v>1</v>
      </c>
      <c r="F37" s="269">
        <v>2</v>
      </c>
      <c r="G37" s="269">
        <v>1</v>
      </c>
      <c r="H37" s="269">
        <v>0</v>
      </c>
      <c r="I37" s="269">
        <v>2</v>
      </c>
      <c r="J37" s="269">
        <v>5</v>
      </c>
      <c r="K37" s="44">
        <f t="shared" ref="K37:K68" si="2">IF(G37+F37=0,0,SUM(F37:H37)/J37)</f>
        <v>0.6</v>
      </c>
      <c r="L37" s="44">
        <f t="shared" ref="L37:L68" si="3">IF(F37=0,0,F37/(SUM(F37:H37)))</f>
        <v>0.66666666666666663</v>
      </c>
    </row>
    <row r="38" spans="1:12">
      <c r="A38" s="267">
        <v>4389866</v>
      </c>
      <c r="B38" s="267" t="s">
        <v>438</v>
      </c>
      <c r="C38" s="269">
        <v>1</v>
      </c>
      <c r="D38" s="269">
        <v>1</v>
      </c>
      <c r="E38" s="269">
        <v>1</v>
      </c>
      <c r="F38" s="269">
        <v>1</v>
      </c>
      <c r="G38" s="269">
        <v>0</v>
      </c>
      <c r="H38" s="269">
        <v>0</v>
      </c>
      <c r="I38" s="269">
        <v>5</v>
      </c>
      <c r="J38" s="269">
        <v>6</v>
      </c>
      <c r="K38" s="44">
        <f t="shared" si="2"/>
        <v>0.16666666666666666</v>
      </c>
      <c r="L38" s="44">
        <f t="shared" si="3"/>
        <v>1</v>
      </c>
    </row>
    <row r="39" spans="1:12">
      <c r="A39" s="267">
        <v>4392134</v>
      </c>
      <c r="B39" s="267" t="s">
        <v>2432</v>
      </c>
      <c r="C39" s="269">
        <v>2</v>
      </c>
      <c r="D39" s="269">
        <v>2</v>
      </c>
      <c r="E39" s="269">
        <v>2</v>
      </c>
      <c r="F39" s="269">
        <v>10</v>
      </c>
      <c r="G39" s="269">
        <v>1</v>
      </c>
      <c r="H39" s="269">
        <v>0</v>
      </c>
      <c r="I39" s="269">
        <v>27</v>
      </c>
      <c r="J39" s="269">
        <v>38</v>
      </c>
      <c r="K39" s="44">
        <f t="shared" si="2"/>
        <v>0.28947368421052633</v>
      </c>
      <c r="L39" s="44">
        <f t="shared" si="3"/>
        <v>0.90909090909090906</v>
      </c>
    </row>
    <row r="40" spans="1:12">
      <c r="A40" s="267">
        <v>4161205</v>
      </c>
      <c r="B40" s="267" t="s">
        <v>2412</v>
      </c>
      <c r="C40" s="269">
        <v>1</v>
      </c>
      <c r="D40" s="269">
        <v>1</v>
      </c>
      <c r="E40" s="269">
        <v>1</v>
      </c>
      <c r="F40" s="269">
        <v>6</v>
      </c>
      <c r="G40" s="269">
        <v>0</v>
      </c>
      <c r="H40" s="269">
        <v>0</v>
      </c>
      <c r="I40" s="269">
        <v>10</v>
      </c>
      <c r="J40" s="269">
        <v>16</v>
      </c>
      <c r="K40" s="44">
        <f t="shared" si="2"/>
        <v>0.375</v>
      </c>
      <c r="L40" s="44">
        <f t="shared" si="3"/>
        <v>1</v>
      </c>
    </row>
    <row r="41" spans="1:12">
      <c r="A41" s="267">
        <v>4275871</v>
      </c>
      <c r="B41" s="267" t="s">
        <v>1331</v>
      </c>
      <c r="C41" s="269">
        <v>1</v>
      </c>
      <c r="D41" s="269">
        <v>1</v>
      </c>
      <c r="E41" s="269">
        <v>1</v>
      </c>
      <c r="F41" s="269">
        <v>0</v>
      </c>
      <c r="G41" s="269">
        <v>0</v>
      </c>
      <c r="H41" s="269">
        <v>0</v>
      </c>
      <c r="I41" s="269">
        <v>0</v>
      </c>
      <c r="J41" s="269">
        <v>0</v>
      </c>
      <c r="K41" s="44">
        <f t="shared" si="2"/>
        <v>0</v>
      </c>
      <c r="L41" s="44">
        <f t="shared" si="3"/>
        <v>0</v>
      </c>
    </row>
    <row r="42" spans="1:12">
      <c r="A42" s="267">
        <v>4278295</v>
      </c>
      <c r="B42" s="267" t="s">
        <v>1547</v>
      </c>
      <c r="C42" s="269">
        <v>1</v>
      </c>
      <c r="D42" s="269">
        <v>1</v>
      </c>
      <c r="E42" s="269">
        <v>1</v>
      </c>
      <c r="F42" s="269">
        <v>0</v>
      </c>
      <c r="G42" s="269">
        <v>0</v>
      </c>
      <c r="H42" s="269">
        <v>0</v>
      </c>
      <c r="I42" s="269">
        <v>0</v>
      </c>
      <c r="J42" s="269">
        <v>0</v>
      </c>
      <c r="K42" s="44">
        <f t="shared" si="2"/>
        <v>0</v>
      </c>
      <c r="L42" s="44">
        <f t="shared" si="3"/>
        <v>0</v>
      </c>
    </row>
    <row r="43" spans="1:12">
      <c r="A43" s="267">
        <v>4386333</v>
      </c>
      <c r="B43" s="267" t="s">
        <v>1552</v>
      </c>
      <c r="C43" s="269">
        <v>1</v>
      </c>
      <c r="D43" s="269">
        <v>1</v>
      </c>
      <c r="E43" s="269">
        <v>1</v>
      </c>
      <c r="F43" s="269">
        <v>0</v>
      </c>
      <c r="G43" s="269">
        <v>0</v>
      </c>
      <c r="H43" s="269">
        <v>0</v>
      </c>
      <c r="I43" s="269">
        <v>0</v>
      </c>
      <c r="J43" s="269">
        <v>0</v>
      </c>
      <c r="K43" s="44">
        <f t="shared" si="2"/>
        <v>0</v>
      </c>
      <c r="L43" s="44">
        <f t="shared" si="3"/>
        <v>0</v>
      </c>
    </row>
    <row r="44" spans="1:12">
      <c r="A44" s="267">
        <v>4386339</v>
      </c>
      <c r="B44" s="267" t="s">
        <v>1549</v>
      </c>
      <c r="C44" s="269">
        <v>1</v>
      </c>
      <c r="D44" s="269">
        <v>1</v>
      </c>
      <c r="E44" s="269">
        <v>1</v>
      </c>
      <c r="F44" s="269">
        <v>0</v>
      </c>
      <c r="G44" s="269">
        <v>0</v>
      </c>
      <c r="H44" s="269">
        <v>0</v>
      </c>
      <c r="I44" s="269">
        <v>0</v>
      </c>
      <c r="J44" s="269">
        <v>0</v>
      </c>
      <c r="K44" s="44">
        <f t="shared" si="2"/>
        <v>0</v>
      </c>
      <c r="L44" s="44">
        <f t="shared" si="3"/>
        <v>0</v>
      </c>
    </row>
    <row r="45" spans="1:12">
      <c r="A45" s="267">
        <v>4386636</v>
      </c>
      <c r="B45" s="267" t="s">
        <v>2418</v>
      </c>
      <c r="C45" s="269">
        <v>2</v>
      </c>
      <c r="D45" s="269">
        <v>2</v>
      </c>
      <c r="E45" s="269">
        <v>2</v>
      </c>
      <c r="F45" s="269">
        <v>0</v>
      </c>
      <c r="G45" s="269">
        <v>0</v>
      </c>
      <c r="H45" s="269">
        <v>0</v>
      </c>
      <c r="I45" s="269">
        <v>0</v>
      </c>
      <c r="J45" s="269">
        <v>0</v>
      </c>
      <c r="K45" s="44">
        <f t="shared" si="2"/>
        <v>0</v>
      </c>
      <c r="L45" s="44">
        <f t="shared" si="3"/>
        <v>0</v>
      </c>
    </row>
    <row r="46" spans="1:12">
      <c r="A46" s="267">
        <v>4386335</v>
      </c>
      <c r="B46" s="267" t="s">
        <v>1551</v>
      </c>
      <c r="C46" s="269">
        <v>1</v>
      </c>
      <c r="D46" s="269">
        <v>1</v>
      </c>
      <c r="E46" s="269">
        <v>1</v>
      </c>
      <c r="F46" s="269">
        <v>0</v>
      </c>
      <c r="G46" s="269">
        <v>0</v>
      </c>
      <c r="H46" s="269">
        <v>0</v>
      </c>
      <c r="I46" s="269">
        <v>0</v>
      </c>
      <c r="J46" s="269">
        <v>0</v>
      </c>
      <c r="K46" s="44">
        <f t="shared" si="2"/>
        <v>0</v>
      </c>
      <c r="L46" s="44">
        <f t="shared" si="3"/>
        <v>0</v>
      </c>
    </row>
    <row r="47" spans="1:12">
      <c r="A47" s="267">
        <v>4443474</v>
      </c>
      <c r="B47" s="267" t="s">
        <v>1470</v>
      </c>
      <c r="C47" s="269">
        <v>1</v>
      </c>
      <c r="D47" s="269">
        <v>1</v>
      </c>
      <c r="E47" s="269">
        <v>1</v>
      </c>
      <c r="F47" s="269">
        <v>11</v>
      </c>
      <c r="G47" s="269">
        <v>0</v>
      </c>
      <c r="H47" s="269">
        <v>0</v>
      </c>
      <c r="I47" s="269">
        <v>0</v>
      </c>
      <c r="J47" s="269">
        <v>11</v>
      </c>
      <c r="K47" s="44">
        <f t="shared" si="2"/>
        <v>1</v>
      </c>
      <c r="L47" s="44">
        <f t="shared" si="3"/>
        <v>1</v>
      </c>
    </row>
    <row r="48" spans="1:12">
      <c r="A48" s="267">
        <v>4443757</v>
      </c>
      <c r="B48" s="267" t="s">
        <v>1613</v>
      </c>
      <c r="C48" s="269">
        <v>1</v>
      </c>
      <c r="D48" s="269">
        <v>1</v>
      </c>
      <c r="E48" s="269">
        <v>1</v>
      </c>
      <c r="F48" s="269">
        <v>0</v>
      </c>
      <c r="G48" s="269">
        <v>0</v>
      </c>
      <c r="H48" s="269">
        <v>0</v>
      </c>
      <c r="I48" s="269">
        <v>10</v>
      </c>
      <c r="J48" s="269">
        <v>10</v>
      </c>
      <c r="K48" s="44">
        <f t="shared" si="2"/>
        <v>0</v>
      </c>
      <c r="L48" s="44">
        <f t="shared" si="3"/>
        <v>0</v>
      </c>
    </row>
    <row r="49" spans="1:12">
      <c r="A49" s="267">
        <v>4443779</v>
      </c>
      <c r="B49" s="267" t="s">
        <v>1617</v>
      </c>
      <c r="C49" s="269">
        <v>1</v>
      </c>
      <c r="D49" s="269">
        <v>1</v>
      </c>
      <c r="E49" s="269">
        <v>1</v>
      </c>
      <c r="F49" s="269">
        <v>7</v>
      </c>
      <c r="G49" s="269">
        <v>0</v>
      </c>
      <c r="H49" s="269">
        <v>0</v>
      </c>
      <c r="I49" s="269">
        <v>0</v>
      </c>
      <c r="J49" s="269">
        <v>7</v>
      </c>
      <c r="K49" s="44">
        <f t="shared" si="2"/>
        <v>1</v>
      </c>
      <c r="L49" s="44">
        <f t="shared" si="3"/>
        <v>1</v>
      </c>
    </row>
    <row r="50" spans="1:12">
      <c r="A50" s="267">
        <v>4440976</v>
      </c>
      <c r="B50" s="267" t="s">
        <v>1505</v>
      </c>
      <c r="C50" s="269">
        <v>27</v>
      </c>
      <c r="D50" s="269">
        <v>27</v>
      </c>
      <c r="E50" s="269">
        <v>27</v>
      </c>
      <c r="F50" s="269">
        <v>75</v>
      </c>
      <c r="G50" s="269">
        <v>4</v>
      </c>
      <c r="H50" s="269">
        <v>3</v>
      </c>
      <c r="I50" s="269">
        <v>233</v>
      </c>
      <c r="J50" s="269">
        <v>315</v>
      </c>
      <c r="K50" s="44">
        <f t="shared" si="2"/>
        <v>0.26031746031746034</v>
      </c>
      <c r="L50" s="44">
        <f t="shared" si="3"/>
        <v>0.91463414634146345</v>
      </c>
    </row>
    <row r="51" spans="1:12">
      <c r="A51" s="267">
        <v>4441965</v>
      </c>
      <c r="B51" s="267" t="s">
        <v>1588</v>
      </c>
      <c r="C51" s="269">
        <v>1</v>
      </c>
      <c r="D51" s="269">
        <v>1</v>
      </c>
      <c r="E51" s="269">
        <v>1</v>
      </c>
      <c r="F51" s="269">
        <v>5</v>
      </c>
      <c r="G51" s="269">
        <v>0</v>
      </c>
      <c r="H51" s="269">
        <v>0</v>
      </c>
      <c r="I51" s="269">
        <v>2</v>
      </c>
      <c r="J51" s="269">
        <v>7</v>
      </c>
      <c r="K51" s="44">
        <f t="shared" si="2"/>
        <v>0.7142857142857143</v>
      </c>
      <c r="L51" s="44">
        <f t="shared" si="3"/>
        <v>1</v>
      </c>
    </row>
    <row r="52" spans="1:12">
      <c r="A52" s="267">
        <v>4441971</v>
      </c>
      <c r="B52" s="267" t="s">
        <v>1592</v>
      </c>
      <c r="C52" s="269">
        <v>1</v>
      </c>
      <c r="D52" s="269">
        <v>1</v>
      </c>
      <c r="E52" s="269">
        <v>1</v>
      </c>
      <c r="F52" s="269">
        <v>0</v>
      </c>
      <c r="G52" s="269">
        <v>0</v>
      </c>
      <c r="H52" s="269">
        <v>0</v>
      </c>
      <c r="I52" s="269">
        <v>7</v>
      </c>
      <c r="J52" s="269">
        <v>7</v>
      </c>
      <c r="K52" s="44">
        <f t="shared" si="2"/>
        <v>0</v>
      </c>
      <c r="L52" s="44">
        <f t="shared" si="3"/>
        <v>0</v>
      </c>
    </row>
    <row r="53" spans="1:12">
      <c r="A53" s="267">
        <v>4441973</v>
      </c>
      <c r="B53" s="267" t="s">
        <v>1596</v>
      </c>
      <c r="C53" s="269">
        <v>1</v>
      </c>
      <c r="D53" s="269">
        <v>1</v>
      </c>
      <c r="E53" s="269">
        <v>1</v>
      </c>
      <c r="F53" s="269">
        <v>7</v>
      </c>
      <c r="G53" s="269">
        <v>0</v>
      </c>
      <c r="H53" s="269">
        <v>0</v>
      </c>
      <c r="I53" s="269">
        <v>0</v>
      </c>
      <c r="J53" s="269">
        <v>7</v>
      </c>
      <c r="K53" s="44">
        <f t="shared" si="2"/>
        <v>1</v>
      </c>
      <c r="L53" s="44">
        <f t="shared" si="3"/>
        <v>1</v>
      </c>
    </row>
    <row r="54" spans="1:12">
      <c r="A54" s="267">
        <v>4441977</v>
      </c>
      <c r="B54" s="267" t="s">
        <v>1600</v>
      </c>
      <c r="C54" s="269">
        <v>1</v>
      </c>
      <c r="D54" s="269">
        <v>1</v>
      </c>
      <c r="E54" s="269">
        <v>1</v>
      </c>
      <c r="F54" s="269">
        <v>14</v>
      </c>
      <c r="G54" s="269">
        <v>0</v>
      </c>
      <c r="H54" s="269">
        <v>0</v>
      </c>
      <c r="I54" s="269">
        <v>0</v>
      </c>
      <c r="J54" s="269">
        <v>14</v>
      </c>
      <c r="K54" s="44">
        <f t="shared" si="2"/>
        <v>1</v>
      </c>
      <c r="L54" s="44">
        <f t="shared" si="3"/>
        <v>1</v>
      </c>
    </row>
    <row r="55" spans="1:12">
      <c r="A55" s="267">
        <v>4441867</v>
      </c>
      <c r="B55" s="267" t="s">
        <v>1583</v>
      </c>
      <c r="C55" s="269">
        <v>9</v>
      </c>
      <c r="D55" s="269">
        <v>9</v>
      </c>
      <c r="E55" s="269">
        <v>9</v>
      </c>
      <c r="F55" s="269">
        <v>36</v>
      </c>
      <c r="G55" s="269">
        <v>0</v>
      </c>
      <c r="H55" s="269">
        <v>0</v>
      </c>
      <c r="I55" s="269">
        <v>72</v>
      </c>
      <c r="J55" s="269">
        <v>108</v>
      </c>
      <c r="K55" s="44">
        <f t="shared" si="2"/>
        <v>0.33333333333333331</v>
      </c>
      <c r="L55" s="44">
        <f t="shared" si="3"/>
        <v>1</v>
      </c>
    </row>
    <row r="56" spans="1:12">
      <c r="A56" s="267">
        <v>4445141</v>
      </c>
      <c r="B56" s="267" t="s">
        <v>1660</v>
      </c>
      <c r="C56" s="269">
        <v>2</v>
      </c>
      <c r="D56" s="269">
        <v>2</v>
      </c>
      <c r="E56" s="269">
        <v>2</v>
      </c>
      <c r="F56" s="269">
        <v>12</v>
      </c>
      <c r="G56" s="269">
        <v>0</v>
      </c>
      <c r="H56" s="269">
        <v>0</v>
      </c>
      <c r="I56" s="269">
        <v>0</v>
      </c>
      <c r="J56" s="269">
        <v>12</v>
      </c>
      <c r="K56" s="44">
        <f t="shared" si="2"/>
        <v>1</v>
      </c>
      <c r="L56" s="44">
        <f t="shared" si="3"/>
        <v>1</v>
      </c>
    </row>
    <row r="57" spans="1:12">
      <c r="A57" s="267">
        <v>4425959</v>
      </c>
      <c r="B57" s="267" t="s">
        <v>1657</v>
      </c>
      <c r="C57" s="269">
        <v>2</v>
      </c>
      <c r="D57" s="269">
        <v>2</v>
      </c>
      <c r="E57" s="269">
        <v>2</v>
      </c>
      <c r="F57" s="269">
        <v>0</v>
      </c>
      <c r="G57" s="269">
        <v>0</v>
      </c>
      <c r="H57" s="269">
        <v>0</v>
      </c>
      <c r="I57" s="269">
        <v>20</v>
      </c>
      <c r="J57" s="269">
        <v>20</v>
      </c>
      <c r="K57" s="44">
        <f t="shared" si="2"/>
        <v>0</v>
      </c>
      <c r="L57" s="44">
        <f t="shared" si="3"/>
        <v>0</v>
      </c>
    </row>
    <row r="58" spans="1:12">
      <c r="A58" s="267">
        <v>4443471</v>
      </c>
      <c r="B58" s="267" t="s">
        <v>1523</v>
      </c>
      <c r="C58" s="269">
        <v>2</v>
      </c>
      <c r="D58" s="269">
        <v>2</v>
      </c>
      <c r="E58" s="269">
        <v>2</v>
      </c>
      <c r="F58" s="269">
        <v>0</v>
      </c>
      <c r="G58" s="269">
        <v>0</v>
      </c>
      <c r="H58" s="269">
        <v>0</v>
      </c>
      <c r="I58" s="269">
        <v>0</v>
      </c>
      <c r="J58" s="269">
        <v>0</v>
      </c>
      <c r="K58" s="44">
        <f t="shared" si="2"/>
        <v>0</v>
      </c>
      <c r="L58" s="44">
        <f t="shared" si="3"/>
        <v>0</v>
      </c>
    </row>
    <row r="59" spans="1:12">
      <c r="A59" s="267">
        <v>4446210</v>
      </c>
      <c r="B59" s="267" t="s">
        <v>1783</v>
      </c>
      <c r="C59" s="269">
        <v>3</v>
      </c>
      <c r="D59" s="269">
        <v>3</v>
      </c>
      <c r="E59" s="269">
        <v>3</v>
      </c>
      <c r="F59" s="269">
        <v>20</v>
      </c>
      <c r="G59" s="269">
        <v>1</v>
      </c>
      <c r="H59" s="269">
        <v>0</v>
      </c>
      <c r="I59" s="269">
        <v>27</v>
      </c>
      <c r="J59" s="269">
        <v>48</v>
      </c>
      <c r="K59" s="44">
        <f t="shared" si="2"/>
        <v>0.4375</v>
      </c>
      <c r="L59" s="44">
        <f t="shared" si="3"/>
        <v>0.95238095238095233</v>
      </c>
    </row>
    <row r="60" spans="1:12">
      <c r="A60" s="267">
        <v>4443485</v>
      </c>
      <c r="B60" s="267" t="s">
        <v>1771</v>
      </c>
      <c r="C60" s="269">
        <v>4</v>
      </c>
      <c r="D60" s="269">
        <v>4</v>
      </c>
      <c r="E60" s="269">
        <v>4</v>
      </c>
      <c r="F60" s="269">
        <v>44</v>
      </c>
      <c r="G60" s="269">
        <v>0</v>
      </c>
      <c r="H60" s="269">
        <v>0</v>
      </c>
      <c r="I60" s="269">
        <v>0</v>
      </c>
      <c r="J60" s="269">
        <v>76</v>
      </c>
      <c r="K60" s="44">
        <f t="shared" si="2"/>
        <v>0.57894736842105265</v>
      </c>
      <c r="L60" s="44">
        <f t="shared" si="3"/>
        <v>1</v>
      </c>
    </row>
    <row r="61" spans="1:12">
      <c r="A61" s="267">
        <v>4437646</v>
      </c>
      <c r="B61" s="267" t="s">
        <v>1734</v>
      </c>
      <c r="C61" s="269">
        <v>2</v>
      </c>
      <c r="D61" s="269">
        <v>2</v>
      </c>
      <c r="E61" s="269">
        <v>2</v>
      </c>
      <c r="F61" s="269">
        <v>0</v>
      </c>
      <c r="G61" s="269">
        <v>0</v>
      </c>
      <c r="H61" s="269">
        <v>0</v>
      </c>
      <c r="I61" s="269">
        <v>15</v>
      </c>
      <c r="J61" s="269">
        <v>15</v>
      </c>
      <c r="K61" s="44">
        <f t="shared" si="2"/>
        <v>0</v>
      </c>
      <c r="L61" s="44">
        <f t="shared" si="3"/>
        <v>0</v>
      </c>
    </row>
    <row r="62" spans="1:12">
      <c r="A62" s="267">
        <v>4446526</v>
      </c>
      <c r="B62" s="267" t="s">
        <v>324</v>
      </c>
      <c r="C62" s="269">
        <v>17</v>
      </c>
      <c r="D62" s="269">
        <v>17</v>
      </c>
      <c r="E62" s="269">
        <v>17</v>
      </c>
      <c r="F62" s="269">
        <v>0</v>
      </c>
      <c r="G62" s="269">
        <v>0</v>
      </c>
      <c r="H62" s="269">
        <v>0</v>
      </c>
      <c r="I62" s="269">
        <v>175</v>
      </c>
      <c r="J62" s="269">
        <v>175</v>
      </c>
      <c r="K62" s="44">
        <f t="shared" si="2"/>
        <v>0</v>
      </c>
      <c r="L62" s="44">
        <f t="shared" si="3"/>
        <v>0</v>
      </c>
    </row>
    <row r="63" spans="1:12">
      <c r="A63" s="267">
        <v>4436131</v>
      </c>
      <c r="B63" s="267" t="s">
        <v>290</v>
      </c>
      <c r="C63" s="269">
        <v>2</v>
      </c>
      <c r="D63" s="269">
        <v>2</v>
      </c>
      <c r="E63" s="269">
        <v>2</v>
      </c>
      <c r="F63" s="269">
        <v>12</v>
      </c>
      <c r="G63" s="269">
        <v>0</v>
      </c>
      <c r="H63" s="269">
        <v>0</v>
      </c>
      <c r="I63" s="269">
        <v>47</v>
      </c>
      <c r="J63" s="269">
        <v>59</v>
      </c>
      <c r="K63" s="44">
        <f t="shared" si="2"/>
        <v>0.20338983050847459</v>
      </c>
      <c r="L63" s="44">
        <f t="shared" si="3"/>
        <v>1</v>
      </c>
    </row>
    <row r="64" spans="1:12">
      <c r="A64" s="267">
        <v>4283187</v>
      </c>
      <c r="B64" s="267" t="s">
        <v>445</v>
      </c>
      <c r="C64" s="269">
        <v>1</v>
      </c>
      <c r="D64" s="269">
        <v>1</v>
      </c>
      <c r="E64" s="269">
        <v>1</v>
      </c>
      <c r="F64" s="269">
        <v>5</v>
      </c>
      <c r="G64" s="269">
        <v>0</v>
      </c>
      <c r="H64" s="269">
        <v>12</v>
      </c>
      <c r="I64" s="269">
        <v>0</v>
      </c>
      <c r="J64" s="269">
        <v>17</v>
      </c>
      <c r="K64" s="44">
        <f t="shared" si="2"/>
        <v>1</v>
      </c>
      <c r="L64" s="44">
        <f t="shared" si="3"/>
        <v>0.29411764705882354</v>
      </c>
    </row>
    <row r="65" spans="1:12">
      <c r="A65" s="267">
        <v>4436144</v>
      </c>
      <c r="B65" s="267" t="s">
        <v>442</v>
      </c>
      <c r="C65" s="269">
        <v>1</v>
      </c>
      <c r="D65" s="269">
        <v>1</v>
      </c>
      <c r="E65" s="269">
        <v>1</v>
      </c>
      <c r="F65" s="269">
        <v>0</v>
      </c>
      <c r="G65" s="269">
        <v>0</v>
      </c>
      <c r="H65" s="269">
        <v>0</v>
      </c>
      <c r="I65" s="269">
        <v>8</v>
      </c>
      <c r="J65" s="269">
        <v>8</v>
      </c>
      <c r="K65" s="44">
        <f t="shared" si="2"/>
        <v>0</v>
      </c>
      <c r="L65" s="44">
        <f t="shared" si="3"/>
        <v>0</v>
      </c>
    </row>
    <row r="66" spans="1:12">
      <c r="A66" s="267">
        <v>4436136</v>
      </c>
      <c r="B66" s="267" t="s">
        <v>426</v>
      </c>
      <c r="C66" s="269">
        <v>2</v>
      </c>
      <c r="D66" s="269">
        <v>2</v>
      </c>
      <c r="E66" s="269">
        <v>2</v>
      </c>
      <c r="F66" s="269">
        <v>0</v>
      </c>
      <c r="G66" s="269">
        <v>0</v>
      </c>
      <c r="H66" s="269">
        <v>0</v>
      </c>
      <c r="I66" s="269">
        <v>23</v>
      </c>
      <c r="J66" s="269">
        <v>23</v>
      </c>
      <c r="K66" s="44">
        <f t="shared" si="2"/>
        <v>0</v>
      </c>
      <c r="L66" s="44">
        <f t="shared" si="3"/>
        <v>0</v>
      </c>
    </row>
    <row r="67" spans="1:12">
      <c r="A67" s="267">
        <v>4262937</v>
      </c>
      <c r="B67" s="267" t="s">
        <v>417</v>
      </c>
      <c r="C67" s="269">
        <v>5</v>
      </c>
      <c r="D67" s="269">
        <v>5</v>
      </c>
      <c r="E67" s="269">
        <v>5</v>
      </c>
      <c r="F67" s="269">
        <v>0</v>
      </c>
      <c r="G67" s="269">
        <v>0</v>
      </c>
      <c r="H67" s="269">
        <v>0</v>
      </c>
      <c r="I67" s="269">
        <v>78</v>
      </c>
      <c r="J67" s="269">
        <v>78</v>
      </c>
      <c r="K67" s="44">
        <f t="shared" si="2"/>
        <v>0</v>
      </c>
      <c r="L67" s="44">
        <f t="shared" si="3"/>
        <v>0</v>
      </c>
    </row>
    <row r="68" spans="1:12">
      <c r="A68" s="267">
        <v>4268320</v>
      </c>
      <c r="B68" s="267" t="s">
        <v>434</v>
      </c>
      <c r="C68" s="269">
        <v>1</v>
      </c>
      <c r="D68" s="269">
        <v>1</v>
      </c>
      <c r="E68" s="269">
        <v>1</v>
      </c>
      <c r="F68" s="269">
        <v>2</v>
      </c>
      <c r="G68" s="269">
        <v>0</v>
      </c>
      <c r="H68" s="269">
        <v>0</v>
      </c>
      <c r="I68" s="269">
        <v>13</v>
      </c>
      <c r="J68" s="269">
        <v>15</v>
      </c>
      <c r="K68" s="44">
        <f t="shared" si="2"/>
        <v>0.13333333333333333</v>
      </c>
      <c r="L68" s="44">
        <f t="shared" si="3"/>
        <v>1</v>
      </c>
    </row>
    <row r="69" spans="1:12">
      <c r="A69" s="267">
        <v>4334542</v>
      </c>
      <c r="B69" s="267" t="s">
        <v>2339</v>
      </c>
      <c r="C69" s="269">
        <v>2</v>
      </c>
      <c r="D69" s="269">
        <v>2</v>
      </c>
      <c r="E69" s="269">
        <v>2</v>
      </c>
      <c r="F69" s="269">
        <v>2</v>
      </c>
      <c r="G69" s="269">
        <v>0</v>
      </c>
      <c r="H69" s="269">
        <v>0</v>
      </c>
      <c r="I69" s="269">
        <v>31</v>
      </c>
      <c r="J69" s="269">
        <v>33</v>
      </c>
      <c r="K69" s="44">
        <f t="shared" ref="K69:K100" si="4">IF(G69+F69=0,0,SUM(F69:H69)/J69)</f>
        <v>6.0606060606060608E-2</v>
      </c>
      <c r="L69" s="44">
        <f t="shared" ref="L69:L100" si="5">IF(F69=0,0,F69/(SUM(F69:H69)))</f>
        <v>1</v>
      </c>
    </row>
    <row r="70" spans="1:12">
      <c r="A70" s="267">
        <v>4282657</v>
      </c>
      <c r="B70" s="267" t="s">
        <v>2360</v>
      </c>
      <c r="C70" s="269">
        <v>1</v>
      </c>
      <c r="D70" s="269">
        <v>1</v>
      </c>
      <c r="E70" s="269">
        <v>1</v>
      </c>
      <c r="F70" s="269">
        <v>2</v>
      </c>
      <c r="G70" s="269">
        <v>0</v>
      </c>
      <c r="H70" s="269">
        <v>0</v>
      </c>
      <c r="I70" s="269">
        <v>1</v>
      </c>
      <c r="J70" s="269">
        <v>3</v>
      </c>
      <c r="K70" s="44">
        <f t="shared" si="4"/>
        <v>0.66666666666666663</v>
      </c>
      <c r="L70" s="44">
        <f t="shared" si="5"/>
        <v>1</v>
      </c>
    </row>
    <row r="71" spans="1:12">
      <c r="A71" s="267">
        <v>4428652</v>
      </c>
      <c r="B71" s="267" t="s">
        <v>357</v>
      </c>
      <c r="C71" s="269">
        <v>7</v>
      </c>
      <c r="D71" s="269">
        <v>7</v>
      </c>
      <c r="E71" s="269">
        <v>7</v>
      </c>
      <c r="F71" s="269">
        <v>19</v>
      </c>
      <c r="G71" s="269">
        <v>0</v>
      </c>
      <c r="H71" s="269">
        <v>0</v>
      </c>
      <c r="I71" s="269">
        <v>80</v>
      </c>
      <c r="J71" s="269">
        <v>99</v>
      </c>
      <c r="K71" s="44">
        <f t="shared" si="4"/>
        <v>0.19191919191919191</v>
      </c>
      <c r="L71" s="44">
        <f t="shared" si="5"/>
        <v>1</v>
      </c>
    </row>
    <row r="72" spans="1:12">
      <c r="A72" s="267">
        <v>4165954</v>
      </c>
      <c r="B72" s="267" t="s">
        <v>391</v>
      </c>
      <c r="C72" s="269">
        <v>1</v>
      </c>
      <c r="D72" s="269">
        <v>1</v>
      </c>
      <c r="E72" s="269">
        <v>1</v>
      </c>
      <c r="F72" s="269">
        <v>6</v>
      </c>
      <c r="G72" s="269">
        <v>0</v>
      </c>
      <c r="H72" s="269">
        <v>0</v>
      </c>
      <c r="I72" s="269">
        <v>9</v>
      </c>
      <c r="J72" s="269">
        <v>15</v>
      </c>
      <c r="K72" s="44">
        <f t="shared" si="4"/>
        <v>0.4</v>
      </c>
      <c r="L72" s="44">
        <f t="shared" si="5"/>
        <v>1</v>
      </c>
    </row>
    <row r="73" spans="1:12">
      <c r="A73" s="267">
        <v>4422839</v>
      </c>
      <c r="B73" s="267" t="s">
        <v>19</v>
      </c>
      <c r="C73" s="269">
        <v>1</v>
      </c>
      <c r="D73" s="269">
        <v>1</v>
      </c>
      <c r="E73" s="269">
        <v>1</v>
      </c>
      <c r="F73" s="269">
        <v>0</v>
      </c>
      <c r="G73" s="269">
        <v>0</v>
      </c>
      <c r="H73" s="269">
        <v>0</v>
      </c>
      <c r="I73" s="269">
        <v>2</v>
      </c>
      <c r="J73" s="269">
        <v>2</v>
      </c>
      <c r="K73" s="44">
        <f t="shared" si="4"/>
        <v>0</v>
      </c>
      <c r="L73" s="44">
        <f t="shared" si="5"/>
        <v>0</v>
      </c>
    </row>
    <row r="74" spans="1:12">
      <c r="A74" s="267"/>
      <c r="B74" s="267" t="s">
        <v>286</v>
      </c>
      <c r="C74" s="269">
        <v>6</v>
      </c>
      <c r="D74" s="269">
        <v>6</v>
      </c>
      <c r="E74" s="269">
        <v>6</v>
      </c>
      <c r="F74" s="269">
        <v>1</v>
      </c>
      <c r="G74" s="269">
        <v>0</v>
      </c>
      <c r="H74" s="269">
        <v>0</v>
      </c>
      <c r="I74" s="269">
        <v>125</v>
      </c>
      <c r="J74" s="269">
        <v>126</v>
      </c>
      <c r="K74" s="44">
        <f t="shared" si="4"/>
        <v>7.9365079365079361E-3</v>
      </c>
      <c r="L74" s="44">
        <f t="shared" si="5"/>
        <v>1</v>
      </c>
    </row>
    <row r="75" spans="1:12">
      <c r="A75" s="267">
        <v>4446027</v>
      </c>
      <c r="B75" s="267" t="s">
        <v>2454</v>
      </c>
      <c r="C75" s="269">
        <v>1</v>
      </c>
      <c r="D75" s="269">
        <v>1</v>
      </c>
      <c r="E75" s="269">
        <v>1</v>
      </c>
      <c r="F75" s="269">
        <v>0</v>
      </c>
      <c r="G75" s="269">
        <v>0</v>
      </c>
      <c r="H75" s="269">
        <v>0</v>
      </c>
      <c r="I75" s="269">
        <v>14</v>
      </c>
      <c r="J75" s="269">
        <v>14</v>
      </c>
      <c r="K75" s="44">
        <f t="shared" si="4"/>
        <v>0</v>
      </c>
      <c r="L75" s="44">
        <f t="shared" si="5"/>
        <v>0</v>
      </c>
    </row>
    <row r="76" spans="1:12">
      <c r="A76" s="267">
        <v>4446026</v>
      </c>
      <c r="B76" s="267" t="s">
        <v>345</v>
      </c>
      <c r="C76" s="269">
        <v>1</v>
      </c>
      <c r="D76" s="269">
        <v>1</v>
      </c>
      <c r="E76" s="269">
        <v>1</v>
      </c>
      <c r="F76" s="269">
        <v>0</v>
      </c>
      <c r="G76" s="269">
        <v>0</v>
      </c>
      <c r="H76" s="269">
        <v>0</v>
      </c>
      <c r="I76" s="269">
        <v>29</v>
      </c>
      <c r="J76" s="269">
        <v>29</v>
      </c>
      <c r="K76" s="44">
        <f t="shared" si="4"/>
        <v>0</v>
      </c>
      <c r="L76" s="44">
        <f t="shared" si="5"/>
        <v>0</v>
      </c>
    </row>
    <row r="77" spans="1:12">
      <c r="A77" s="267">
        <v>4429551</v>
      </c>
      <c r="B77" s="267" t="s">
        <v>1746</v>
      </c>
      <c r="C77" s="269">
        <v>4</v>
      </c>
      <c r="D77" s="269">
        <v>4</v>
      </c>
      <c r="E77" s="269">
        <v>4</v>
      </c>
      <c r="F77" s="269">
        <v>0</v>
      </c>
      <c r="G77" s="269">
        <v>0</v>
      </c>
      <c r="H77" s="269">
        <v>0</v>
      </c>
      <c r="I77" s="269">
        <v>83</v>
      </c>
      <c r="J77" s="269">
        <v>83</v>
      </c>
      <c r="K77" s="44">
        <f t="shared" si="4"/>
        <v>0</v>
      </c>
      <c r="L77" s="44">
        <f t="shared" si="5"/>
        <v>0</v>
      </c>
    </row>
    <row r="78" spans="1:12">
      <c r="A78" s="267">
        <v>4432738</v>
      </c>
      <c r="B78" s="267" t="s">
        <v>2566</v>
      </c>
      <c r="C78" s="269">
        <v>1</v>
      </c>
      <c r="D78" s="269">
        <v>1</v>
      </c>
      <c r="E78" s="269">
        <v>1</v>
      </c>
      <c r="F78" s="269">
        <v>0</v>
      </c>
      <c r="G78" s="269">
        <v>0</v>
      </c>
      <c r="H78" s="269">
        <v>0</v>
      </c>
      <c r="I78" s="269">
        <v>0</v>
      </c>
      <c r="J78" s="269">
        <v>0</v>
      </c>
      <c r="K78" s="44">
        <f t="shared" si="4"/>
        <v>0</v>
      </c>
      <c r="L78" s="44">
        <f t="shared" si="5"/>
        <v>0</v>
      </c>
    </row>
    <row r="79" spans="1:12">
      <c r="A79" s="267">
        <v>4420374</v>
      </c>
      <c r="B79" s="267" t="s">
        <v>337</v>
      </c>
      <c r="C79" s="269">
        <v>9</v>
      </c>
      <c r="D79" s="269">
        <v>9</v>
      </c>
      <c r="E79" s="269">
        <v>9</v>
      </c>
      <c r="F79" s="269">
        <v>4</v>
      </c>
      <c r="G79" s="269">
        <v>4</v>
      </c>
      <c r="H79" s="269">
        <v>1</v>
      </c>
      <c r="I79" s="269">
        <v>57</v>
      </c>
      <c r="J79" s="269">
        <v>66</v>
      </c>
      <c r="K79" s="44">
        <f t="shared" si="4"/>
        <v>0.13636363636363635</v>
      </c>
      <c r="L79" s="44">
        <f t="shared" si="5"/>
        <v>0.44444444444444442</v>
      </c>
    </row>
    <row r="80" spans="1:12">
      <c r="A80" s="267">
        <v>4437425</v>
      </c>
      <c r="B80" s="267" t="s">
        <v>1720</v>
      </c>
      <c r="C80" s="269">
        <v>2</v>
      </c>
      <c r="D80" s="269">
        <v>2</v>
      </c>
      <c r="E80" s="269">
        <v>2</v>
      </c>
      <c r="F80" s="269">
        <v>7</v>
      </c>
      <c r="G80" s="269">
        <v>0</v>
      </c>
      <c r="H80" s="269">
        <v>0</v>
      </c>
      <c r="I80" s="269">
        <v>0</v>
      </c>
      <c r="J80" s="269">
        <v>33</v>
      </c>
      <c r="K80" s="44">
        <f t="shared" si="4"/>
        <v>0.21212121212121213</v>
      </c>
      <c r="L80" s="44">
        <f t="shared" si="5"/>
        <v>1</v>
      </c>
    </row>
    <row r="81" spans="1:12">
      <c r="A81" s="267">
        <v>4446711</v>
      </c>
      <c r="B81" s="267" t="s">
        <v>192</v>
      </c>
      <c r="C81" s="269">
        <v>14</v>
      </c>
      <c r="D81" s="269">
        <v>14</v>
      </c>
      <c r="E81" s="269">
        <v>14</v>
      </c>
      <c r="F81" s="269">
        <v>29</v>
      </c>
      <c r="G81" s="269">
        <v>4</v>
      </c>
      <c r="H81" s="269">
        <v>0</v>
      </c>
      <c r="I81" s="269">
        <v>93</v>
      </c>
      <c r="J81" s="269">
        <v>126</v>
      </c>
      <c r="K81" s="44">
        <f t="shared" si="4"/>
        <v>0.26190476190476192</v>
      </c>
      <c r="L81" s="44">
        <f t="shared" si="5"/>
        <v>0.87878787878787878</v>
      </c>
    </row>
    <row r="82" spans="1:12">
      <c r="A82" s="267">
        <v>4434343</v>
      </c>
      <c r="B82" s="267" t="s">
        <v>2127</v>
      </c>
      <c r="C82" s="269">
        <v>3</v>
      </c>
      <c r="D82" s="269">
        <v>3</v>
      </c>
      <c r="E82" s="269">
        <v>3</v>
      </c>
      <c r="F82" s="269">
        <v>0</v>
      </c>
      <c r="G82" s="269">
        <v>0</v>
      </c>
      <c r="H82" s="269">
        <v>0</v>
      </c>
      <c r="I82" s="269">
        <v>13</v>
      </c>
      <c r="J82" s="269">
        <v>13</v>
      </c>
      <c r="K82" s="44">
        <f t="shared" si="4"/>
        <v>0</v>
      </c>
      <c r="L82" s="44">
        <f t="shared" si="5"/>
        <v>0</v>
      </c>
    </row>
    <row r="83" spans="1:12">
      <c r="A83" s="267">
        <v>4437418</v>
      </c>
      <c r="B83" s="267" t="s">
        <v>1667</v>
      </c>
      <c r="C83" s="269">
        <v>3</v>
      </c>
      <c r="D83" s="269">
        <v>3</v>
      </c>
      <c r="E83" s="269">
        <v>3</v>
      </c>
      <c r="F83" s="269">
        <v>0</v>
      </c>
      <c r="G83" s="269">
        <v>0</v>
      </c>
      <c r="H83" s="269">
        <v>0</v>
      </c>
      <c r="I83" s="269">
        <v>21</v>
      </c>
      <c r="J83" s="269">
        <v>21</v>
      </c>
      <c r="K83" s="44">
        <f t="shared" si="4"/>
        <v>0</v>
      </c>
      <c r="L83" s="44">
        <f t="shared" si="5"/>
        <v>0</v>
      </c>
    </row>
    <row r="84" spans="1:12">
      <c r="A84" s="267">
        <v>4437420</v>
      </c>
      <c r="B84" s="267" t="s">
        <v>1670</v>
      </c>
      <c r="C84" s="269">
        <v>1</v>
      </c>
      <c r="D84" s="269">
        <v>1</v>
      </c>
      <c r="E84" s="269">
        <v>1</v>
      </c>
      <c r="F84" s="269">
        <v>10</v>
      </c>
      <c r="G84" s="269">
        <v>0</v>
      </c>
      <c r="H84" s="269">
        <v>0</v>
      </c>
      <c r="I84" s="269">
        <v>0</v>
      </c>
      <c r="J84" s="269">
        <v>10</v>
      </c>
      <c r="K84" s="44">
        <f t="shared" si="4"/>
        <v>1</v>
      </c>
      <c r="L84" s="44">
        <f t="shared" si="5"/>
        <v>1</v>
      </c>
    </row>
    <row r="85" spans="1:12">
      <c r="A85" s="267">
        <v>4437421</v>
      </c>
      <c r="B85" s="267" t="s">
        <v>2559</v>
      </c>
      <c r="C85" s="269">
        <v>1</v>
      </c>
      <c r="D85" s="269">
        <v>1</v>
      </c>
      <c r="E85" s="269">
        <v>1</v>
      </c>
      <c r="F85" s="269">
        <v>0</v>
      </c>
      <c r="G85" s="269">
        <v>0</v>
      </c>
      <c r="H85" s="269">
        <v>0</v>
      </c>
      <c r="I85" s="269">
        <v>29</v>
      </c>
      <c r="J85" s="269">
        <v>29</v>
      </c>
      <c r="K85" s="44">
        <f t="shared" si="4"/>
        <v>0</v>
      </c>
      <c r="L85" s="44">
        <f t="shared" si="5"/>
        <v>0</v>
      </c>
    </row>
    <row r="86" spans="1:12">
      <c r="A86" s="267">
        <v>4437424</v>
      </c>
      <c r="B86" s="267" t="s">
        <v>2562</v>
      </c>
      <c r="C86" s="269">
        <v>1</v>
      </c>
      <c r="D86" s="269">
        <v>1</v>
      </c>
      <c r="E86" s="269">
        <v>1</v>
      </c>
      <c r="F86" s="269">
        <v>10</v>
      </c>
      <c r="G86" s="269">
        <v>0</v>
      </c>
      <c r="H86" s="269">
        <v>0</v>
      </c>
      <c r="I86" s="269">
        <v>9</v>
      </c>
      <c r="J86" s="269">
        <v>19</v>
      </c>
      <c r="K86" s="44">
        <f t="shared" si="4"/>
        <v>0.52631578947368418</v>
      </c>
      <c r="L86" s="44">
        <f t="shared" si="5"/>
        <v>1</v>
      </c>
    </row>
    <row r="87" spans="1:12">
      <c r="A87" s="267">
        <v>4437428</v>
      </c>
      <c r="B87" s="267" t="s">
        <v>1742</v>
      </c>
      <c r="C87" s="269">
        <v>1</v>
      </c>
      <c r="D87" s="269">
        <v>1</v>
      </c>
      <c r="E87" s="269">
        <v>1</v>
      </c>
      <c r="F87" s="269">
        <v>0</v>
      </c>
      <c r="G87" s="269">
        <v>0</v>
      </c>
      <c r="H87" s="269">
        <v>0</v>
      </c>
      <c r="I87" s="269">
        <v>0</v>
      </c>
      <c r="J87" s="269">
        <v>0</v>
      </c>
      <c r="K87" s="44">
        <f t="shared" si="4"/>
        <v>0</v>
      </c>
      <c r="L87" s="44">
        <f t="shared" si="5"/>
        <v>0</v>
      </c>
    </row>
    <row r="88" spans="1:12">
      <c r="A88" s="267">
        <v>4439528</v>
      </c>
      <c r="B88" s="267" t="s">
        <v>1678</v>
      </c>
      <c r="C88" s="269">
        <v>1</v>
      </c>
      <c r="D88" s="269">
        <v>1</v>
      </c>
      <c r="E88" s="269">
        <v>1</v>
      </c>
      <c r="F88" s="269">
        <v>3</v>
      </c>
      <c r="G88" s="269">
        <v>0</v>
      </c>
      <c r="H88" s="269">
        <v>0</v>
      </c>
      <c r="I88" s="269">
        <v>0</v>
      </c>
      <c r="J88" s="269">
        <v>3</v>
      </c>
      <c r="K88" s="44">
        <f t="shared" si="4"/>
        <v>1</v>
      </c>
      <c r="L88" s="44">
        <f t="shared" si="5"/>
        <v>1</v>
      </c>
    </row>
    <row r="89" spans="1:12">
      <c r="A89" s="267">
        <v>4440060</v>
      </c>
      <c r="B89" s="267" t="s">
        <v>1573</v>
      </c>
      <c r="C89" s="269">
        <v>7</v>
      </c>
      <c r="D89" s="269">
        <v>7</v>
      </c>
      <c r="E89" s="269">
        <v>7</v>
      </c>
      <c r="F89" s="269">
        <v>13</v>
      </c>
      <c r="G89" s="269">
        <v>0</v>
      </c>
      <c r="H89" s="269">
        <v>16</v>
      </c>
      <c r="I89" s="269">
        <v>12</v>
      </c>
      <c r="J89" s="269">
        <v>62</v>
      </c>
      <c r="K89" s="44">
        <f t="shared" si="4"/>
        <v>0.46774193548387094</v>
      </c>
      <c r="L89" s="44">
        <f t="shared" si="5"/>
        <v>0.44827586206896552</v>
      </c>
    </row>
    <row r="90" spans="1:12">
      <c r="A90" s="267">
        <v>4439786</v>
      </c>
      <c r="B90" s="267" t="s">
        <v>1797</v>
      </c>
      <c r="C90" s="269">
        <v>9</v>
      </c>
      <c r="D90" s="269">
        <v>9</v>
      </c>
      <c r="E90" s="269">
        <v>9</v>
      </c>
      <c r="F90" s="269">
        <v>17</v>
      </c>
      <c r="G90" s="269">
        <v>8</v>
      </c>
      <c r="H90" s="269">
        <v>0</v>
      </c>
      <c r="I90" s="269">
        <v>181</v>
      </c>
      <c r="J90" s="269">
        <v>206</v>
      </c>
      <c r="K90" s="44">
        <f t="shared" si="4"/>
        <v>0.12135922330097088</v>
      </c>
      <c r="L90" s="44">
        <f t="shared" si="5"/>
        <v>0.68</v>
      </c>
    </row>
    <row r="91" spans="1:12">
      <c r="A91" s="267">
        <v>4441811</v>
      </c>
      <c r="B91" s="267" t="s">
        <v>2443</v>
      </c>
      <c r="C91" s="269">
        <v>2</v>
      </c>
      <c r="D91" s="269">
        <v>2</v>
      </c>
      <c r="E91" s="269">
        <v>2</v>
      </c>
      <c r="F91" s="269">
        <v>0</v>
      </c>
      <c r="G91" s="269">
        <v>0</v>
      </c>
      <c r="H91" s="269">
        <v>0</v>
      </c>
      <c r="I91" s="269">
        <v>61</v>
      </c>
      <c r="J91" s="269">
        <v>61</v>
      </c>
      <c r="K91" s="44">
        <f t="shared" si="4"/>
        <v>0</v>
      </c>
      <c r="L91" s="44">
        <f t="shared" si="5"/>
        <v>0</v>
      </c>
    </row>
    <row r="92" spans="1:12">
      <c r="A92" s="267">
        <v>4438595</v>
      </c>
      <c r="B92" s="267" t="s">
        <v>294</v>
      </c>
      <c r="C92" s="269">
        <v>2</v>
      </c>
      <c r="D92" s="269">
        <v>2</v>
      </c>
      <c r="E92" s="269">
        <v>2</v>
      </c>
      <c r="F92" s="269">
        <v>0</v>
      </c>
      <c r="G92" s="269">
        <v>0</v>
      </c>
      <c r="H92" s="269">
        <v>0</v>
      </c>
      <c r="I92" s="269">
        <v>74</v>
      </c>
      <c r="J92" s="269">
        <v>74</v>
      </c>
      <c r="K92" s="44">
        <f t="shared" si="4"/>
        <v>0</v>
      </c>
      <c r="L92" s="44">
        <f t="shared" si="5"/>
        <v>0</v>
      </c>
    </row>
    <row r="93" spans="1:12">
      <c r="A93" s="267">
        <v>4439712</v>
      </c>
      <c r="B93" s="267" t="s">
        <v>319</v>
      </c>
      <c r="C93" s="269">
        <v>3</v>
      </c>
      <c r="D93" s="269">
        <v>3</v>
      </c>
      <c r="E93" s="269">
        <v>3</v>
      </c>
      <c r="F93" s="269">
        <v>0</v>
      </c>
      <c r="G93" s="269">
        <v>0</v>
      </c>
      <c r="H93" s="269">
        <v>0</v>
      </c>
      <c r="I93" s="269">
        <v>162</v>
      </c>
      <c r="J93" s="269">
        <v>162</v>
      </c>
      <c r="K93" s="44">
        <f t="shared" si="4"/>
        <v>0</v>
      </c>
      <c r="L93" s="44">
        <f t="shared" si="5"/>
        <v>0</v>
      </c>
    </row>
    <row r="94" spans="1:12">
      <c r="A94" s="267">
        <v>4446028</v>
      </c>
      <c r="B94" s="267" t="s">
        <v>302</v>
      </c>
      <c r="C94" s="269">
        <v>2</v>
      </c>
      <c r="D94" s="269">
        <v>2</v>
      </c>
      <c r="E94" s="269">
        <v>2</v>
      </c>
      <c r="F94" s="269">
        <v>33</v>
      </c>
      <c r="G94" s="269">
        <v>6</v>
      </c>
      <c r="H94" s="269">
        <v>0</v>
      </c>
      <c r="I94" s="269">
        <v>0</v>
      </c>
      <c r="J94" s="269">
        <v>39</v>
      </c>
      <c r="K94" s="44">
        <f t="shared" si="4"/>
        <v>1</v>
      </c>
      <c r="L94" s="44">
        <f t="shared" si="5"/>
        <v>0.84615384615384615</v>
      </c>
    </row>
    <row r="95" spans="1:12">
      <c r="A95" s="267">
        <v>4443033</v>
      </c>
      <c r="B95" s="267" t="s">
        <v>307</v>
      </c>
      <c r="C95" s="269">
        <v>1</v>
      </c>
      <c r="D95" s="269">
        <v>1</v>
      </c>
      <c r="E95" s="269">
        <v>1</v>
      </c>
      <c r="F95" s="269">
        <v>0</v>
      </c>
      <c r="G95" s="269">
        <v>0</v>
      </c>
      <c r="H95" s="269">
        <v>0</v>
      </c>
      <c r="I95" s="269">
        <v>9</v>
      </c>
      <c r="J95" s="269">
        <v>9</v>
      </c>
      <c r="K95" s="44">
        <f t="shared" si="4"/>
        <v>0</v>
      </c>
      <c r="L95" s="44">
        <f t="shared" si="5"/>
        <v>0</v>
      </c>
    </row>
    <row r="96" spans="1:12">
      <c r="A96" s="267">
        <v>4446614</v>
      </c>
      <c r="B96" s="267" t="s">
        <v>2438</v>
      </c>
      <c r="C96" s="269">
        <v>1</v>
      </c>
      <c r="D96" s="269">
        <v>1</v>
      </c>
      <c r="E96" s="269">
        <v>1</v>
      </c>
      <c r="F96" s="269">
        <v>0</v>
      </c>
      <c r="G96" s="269">
        <v>0</v>
      </c>
      <c r="H96" s="269">
        <v>0</v>
      </c>
      <c r="I96" s="269">
        <v>21</v>
      </c>
      <c r="J96" s="269">
        <v>21</v>
      </c>
      <c r="K96" s="44">
        <f t="shared" si="4"/>
        <v>0</v>
      </c>
      <c r="L96" s="44">
        <f t="shared" si="5"/>
        <v>0</v>
      </c>
    </row>
    <row r="97" spans="1:12">
      <c r="A97" s="267">
        <v>4447848</v>
      </c>
      <c r="B97" s="267" t="s">
        <v>1623</v>
      </c>
      <c r="C97" s="269">
        <v>12</v>
      </c>
      <c r="D97" s="269">
        <v>12</v>
      </c>
      <c r="E97" s="269">
        <v>12</v>
      </c>
      <c r="F97" s="269">
        <v>0</v>
      </c>
      <c r="G97" s="269">
        <v>0</v>
      </c>
      <c r="H97" s="269">
        <v>0</v>
      </c>
      <c r="I97" s="269">
        <v>237</v>
      </c>
      <c r="J97" s="269">
        <v>237</v>
      </c>
      <c r="K97" s="44">
        <f t="shared" si="4"/>
        <v>0</v>
      </c>
      <c r="L97" s="44">
        <f t="shared" si="5"/>
        <v>0</v>
      </c>
    </row>
    <row r="98" spans="1:12">
      <c r="A98" s="267">
        <v>4459051</v>
      </c>
      <c r="B98" s="267" t="s">
        <v>403</v>
      </c>
      <c r="C98" s="269">
        <v>14</v>
      </c>
      <c r="D98" s="269">
        <v>14</v>
      </c>
      <c r="E98" s="269">
        <v>14</v>
      </c>
      <c r="F98" s="269">
        <v>44</v>
      </c>
      <c r="G98" s="269">
        <v>0</v>
      </c>
      <c r="H98" s="269">
        <v>0</v>
      </c>
      <c r="I98" s="269">
        <v>503</v>
      </c>
      <c r="J98" s="269">
        <v>547</v>
      </c>
      <c r="K98" s="44">
        <f t="shared" si="4"/>
        <v>8.0438756855575874E-2</v>
      </c>
      <c r="L98" s="44">
        <f t="shared" si="5"/>
        <v>1</v>
      </c>
    </row>
    <row r="99" spans="1:12">
      <c r="A99" s="267">
        <v>4441807</v>
      </c>
      <c r="B99" s="267" t="s">
        <v>398</v>
      </c>
      <c r="C99" s="269">
        <v>2</v>
      </c>
      <c r="D99" s="269">
        <v>2</v>
      </c>
      <c r="E99" s="269">
        <v>2</v>
      </c>
      <c r="F99" s="269">
        <v>12</v>
      </c>
      <c r="G99" s="269">
        <v>0</v>
      </c>
      <c r="H99" s="269">
        <v>0</v>
      </c>
      <c r="I99" s="269">
        <v>16</v>
      </c>
      <c r="J99" s="269">
        <v>28</v>
      </c>
      <c r="K99" s="44">
        <f t="shared" si="4"/>
        <v>0.42857142857142855</v>
      </c>
      <c r="L99" s="44">
        <f t="shared" si="5"/>
        <v>1</v>
      </c>
    </row>
    <row r="100" spans="1:12">
      <c r="A100" s="267">
        <v>4386528</v>
      </c>
      <c r="B100" s="267" t="s">
        <v>1714</v>
      </c>
      <c r="C100" s="269">
        <v>16</v>
      </c>
      <c r="D100" s="269">
        <v>16</v>
      </c>
      <c r="E100" s="269">
        <v>16</v>
      </c>
      <c r="F100" s="269">
        <v>3</v>
      </c>
      <c r="G100" s="269">
        <v>0</v>
      </c>
      <c r="H100" s="269">
        <v>0</v>
      </c>
      <c r="I100" s="269">
        <v>421</v>
      </c>
      <c r="J100" s="269">
        <v>424</v>
      </c>
      <c r="K100" s="44">
        <f t="shared" si="4"/>
        <v>7.0754716981132077E-3</v>
      </c>
      <c r="L100" s="44">
        <f t="shared" si="5"/>
        <v>1</v>
      </c>
    </row>
    <row r="101" spans="1:12">
      <c r="A101" s="267">
        <v>4341384</v>
      </c>
      <c r="B101" s="267" t="s">
        <v>1694</v>
      </c>
      <c r="C101" s="269">
        <v>5</v>
      </c>
      <c r="D101" s="269">
        <v>5</v>
      </c>
      <c r="E101" s="269">
        <v>5</v>
      </c>
      <c r="F101" s="269">
        <v>32</v>
      </c>
      <c r="G101" s="269">
        <v>0</v>
      </c>
      <c r="H101" s="269">
        <v>0</v>
      </c>
      <c r="I101" s="269">
        <v>32</v>
      </c>
      <c r="J101" s="269">
        <v>64</v>
      </c>
      <c r="K101" s="44">
        <f t="shared" ref="K101:K132" si="6">IF(G101+F101=0,0,SUM(F101:H101)/J101)</f>
        <v>0.5</v>
      </c>
      <c r="L101" s="44">
        <f t="shared" ref="L101:L132" si="7">IF(F101=0,0,F101/(SUM(F101:H101)))</f>
        <v>1</v>
      </c>
    </row>
    <row r="102" spans="1:12">
      <c r="A102" s="267">
        <v>4446213</v>
      </c>
      <c r="B102" s="267" t="s">
        <v>245</v>
      </c>
      <c r="C102" s="269">
        <v>5</v>
      </c>
      <c r="D102" s="269">
        <v>5</v>
      </c>
      <c r="E102" s="269">
        <v>5</v>
      </c>
      <c r="F102" s="269">
        <v>32</v>
      </c>
      <c r="G102" s="269">
        <v>0</v>
      </c>
      <c r="H102" s="269">
        <v>0</v>
      </c>
      <c r="I102" s="269">
        <v>71</v>
      </c>
      <c r="J102" s="269">
        <v>103</v>
      </c>
      <c r="K102" s="44">
        <f t="shared" si="6"/>
        <v>0.31067961165048541</v>
      </c>
      <c r="L102" s="44">
        <f t="shared" si="7"/>
        <v>1</v>
      </c>
    </row>
    <row r="103" spans="1:12">
      <c r="A103" s="267">
        <v>4446215</v>
      </c>
      <c r="B103" s="267" t="s">
        <v>2116</v>
      </c>
      <c r="C103" s="269">
        <v>2</v>
      </c>
      <c r="D103" s="269">
        <v>2</v>
      </c>
      <c r="E103" s="269">
        <v>2</v>
      </c>
      <c r="F103" s="269">
        <v>4</v>
      </c>
      <c r="G103" s="269">
        <v>0</v>
      </c>
      <c r="H103" s="269">
        <v>0</v>
      </c>
      <c r="I103" s="269">
        <v>32</v>
      </c>
      <c r="J103" s="269">
        <v>36</v>
      </c>
      <c r="K103" s="44">
        <f t="shared" si="6"/>
        <v>0.1111111111111111</v>
      </c>
      <c r="L103" s="44">
        <f t="shared" si="7"/>
        <v>1</v>
      </c>
    </row>
    <row r="104" spans="1:12">
      <c r="A104" s="267">
        <v>4452034</v>
      </c>
      <c r="B104" s="267" t="s">
        <v>2139</v>
      </c>
      <c r="C104" s="269">
        <v>1</v>
      </c>
      <c r="D104" s="269">
        <v>1</v>
      </c>
      <c r="E104" s="269">
        <v>1</v>
      </c>
      <c r="F104" s="269">
        <v>0</v>
      </c>
      <c r="G104" s="269">
        <v>0</v>
      </c>
      <c r="H104" s="269">
        <v>0</v>
      </c>
      <c r="I104" s="269">
        <v>30</v>
      </c>
      <c r="J104" s="269">
        <v>30</v>
      </c>
      <c r="K104" s="44">
        <f t="shared" si="6"/>
        <v>0</v>
      </c>
      <c r="L104" s="44">
        <f t="shared" si="7"/>
        <v>0</v>
      </c>
    </row>
    <row r="105" spans="1:12">
      <c r="A105" s="267">
        <v>4444328</v>
      </c>
      <c r="B105" s="267" t="s">
        <v>1485</v>
      </c>
      <c r="C105" s="269">
        <v>5</v>
      </c>
      <c r="D105" s="269">
        <v>5</v>
      </c>
      <c r="E105" s="269">
        <v>5</v>
      </c>
      <c r="F105" s="269">
        <v>5</v>
      </c>
      <c r="G105" s="269">
        <v>0</v>
      </c>
      <c r="H105" s="269">
        <v>0</v>
      </c>
      <c r="I105" s="269">
        <v>25</v>
      </c>
      <c r="J105" s="269">
        <v>30</v>
      </c>
      <c r="K105" s="44">
        <f t="shared" si="6"/>
        <v>0.16666666666666666</v>
      </c>
      <c r="L105" s="44">
        <f t="shared" si="7"/>
        <v>1</v>
      </c>
    </row>
    <row r="106" spans="1:12">
      <c r="A106" s="267">
        <v>4449552</v>
      </c>
      <c r="B106" s="267" t="s">
        <v>2556</v>
      </c>
      <c r="C106" s="269">
        <v>1</v>
      </c>
      <c r="D106" s="269">
        <v>1</v>
      </c>
      <c r="E106" s="269">
        <v>1</v>
      </c>
      <c r="F106" s="269">
        <v>0</v>
      </c>
      <c r="G106" s="269">
        <v>0</v>
      </c>
      <c r="H106" s="269">
        <v>0</v>
      </c>
      <c r="I106" s="269">
        <v>4</v>
      </c>
      <c r="J106" s="269">
        <v>4</v>
      </c>
      <c r="K106" s="44">
        <f t="shared" si="6"/>
        <v>0</v>
      </c>
      <c r="L106" s="44">
        <f t="shared" si="7"/>
        <v>0</v>
      </c>
    </row>
    <row r="107" spans="1:12">
      <c r="A107" s="267">
        <v>4446710</v>
      </c>
      <c r="B107" s="267" t="s">
        <v>2578</v>
      </c>
      <c r="C107" s="269">
        <v>1</v>
      </c>
      <c r="D107" s="269">
        <v>1</v>
      </c>
      <c r="E107" s="269">
        <v>1</v>
      </c>
      <c r="F107" s="269">
        <v>0</v>
      </c>
      <c r="G107" s="269">
        <v>0</v>
      </c>
      <c r="H107" s="269">
        <v>0</v>
      </c>
      <c r="I107" s="269">
        <v>0</v>
      </c>
      <c r="J107" s="269">
        <v>14</v>
      </c>
      <c r="K107" s="44">
        <f t="shared" si="6"/>
        <v>0</v>
      </c>
      <c r="L107" s="44">
        <f t="shared" si="7"/>
        <v>0</v>
      </c>
    </row>
    <row r="108" spans="1:12">
      <c r="A108" s="267">
        <v>4441711</v>
      </c>
      <c r="B108" s="267" t="s">
        <v>2493</v>
      </c>
      <c r="C108" s="269">
        <v>7</v>
      </c>
      <c r="D108" s="269">
        <v>7</v>
      </c>
      <c r="E108" s="269">
        <v>7</v>
      </c>
      <c r="F108" s="269">
        <v>0</v>
      </c>
      <c r="G108" s="269">
        <v>0</v>
      </c>
      <c r="H108" s="269">
        <v>0</v>
      </c>
      <c r="I108" s="269">
        <v>197</v>
      </c>
      <c r="J108" s="269">
        <v>197</v>
      </c>
      <c r="K108" s="44">
        <f t="shared" si="6"/>
        <v>0</v>
      </c>
      <c r="L108" s="44">
        <f t="shared" si="7"/>
        <v>0</v>
      </c>
    </row>
    <row r="109" spans="1:12">
      <c r="A109" s="267">
        <v>4454588</v>
      </c>
      <c r="B109" s="267" t="s">
        <v>2539</v>
      </c>
      <c r="C109" s="269">
        <v>4</v>
      </c>
      <c r="D109" s="269">
        <v>4</v>
      </c>
      <c r="E109" s="269">
        <v>4</v>
      </c>
      <c r="F109" s="269">
        <v>0</v>
      </c>
      <c r="G109" s="269">
        <v>0</v>
      </c>
      <c r="H109" s="269">
        <v>0</v>
      </c>
      <c r="I109" s="269">
        <v>106</v>
      </c>
      <c r="J109" s="269">
        <v>106</v>
      </c>
      <c r="K109" s="44">
        <f t="shared" si="6"/>
        <v>0</v>
      </c>
      <c r="L109" s="44">
        <f t="shared" si="7"/>
        <v>0</v>
      </c>
    </row>
    <row r="110" spans="1:12">
      <c r="A110" s="267">
        <v>4455343</v>
      </c>
      <c r="B110" s="267" t="s">
        <v>2537</v>
      </c>
      <c r="C110" s="269">
        <v>1</v>
      </c>
      <c r="D110" s="269">
        <v>1</v>
      </c>
      <c r="E110" s="269">
        <v>1</v>
      </c>
      <c r="F110" s="269">
        <v>0</v>
      </c>
      <c r="G110" s="269">
        <v>0</v>
      </c>
      <c r="H110" s="269">
        <v>0</v>
      </c>
      <c r="I110" s="269">
        <v>26</v>
      </c>
      <c r="J110" s="269">
        <v>26</v>
      </c>
      <c r="K110" s="44">
        <f t="shared" si="6"/>
        <v>0</v>
      </c>
      <c r="L110" s="44">
        <f t="shared" si="7"/>
        <v>0</v>
      </c>
    </row>
    <row r="111" spans="1:12">
      <c r="A111" s="267">
        <v>4410599</v>
      </c>
      <c r="B111" s="267" t="s">
        <v>2545</v>
      </c>
      <c r="C111" s="269">
        <v>1</v>
      </c>
      <c r="D111" s="269">
        <v>1</v>
      </c>
      <c r="E111" s="269">
        <v>1</v>
      </c>
      <c r="F111" s="269">
        <v>0</v>
      </c>
      <c r="G111" s="269">
        <v>0</v>
      </c>
      <c r="H111" s="269">
        <v>0</v>
      </c>
      <c r="I111" s="269">
        <v>18</v>
      </c>
      <c r="J111" s="269">
        <v>18</v>
      </c>
      <c r="K111" s="44">
        <f t="shared" si="6"/>
        <v>0</v>
      </c>
      <c r="L111" s="44">
        <f t="shared" si="7"/>
        <v>0</v>
      </c>
    </row>
    <row r="112" spans="1:12">
      <c r="A112" s="267">
        <v>4454772</v>
      </c>
      <c r="B112" s="267" t="s">
        <v>2533</v>
      </c>
      <c r="C112" s="269">
        <v>8</v>
      </c>
      <c r="D112" s="269">
        <v>8</v>
      </c>
      <c r="E112" s="269">
        <v>8</v>
      </c>
      <c r="F112" s="269">
        <v>0</v>
      </c>
      <c r="G112" s="269">
        <v>0</v>
      </c>
      <c r="H112" s="269">
        <v>82</v>
      </c>
      <c r="I112" s="269">
        <v>104</v>
      </c>
      <c r="J112" s="269">
        <v>186</v>
      </c>
      <c r="K112" s="44">
        <f t="shared" si="6"/>
        <v>0</v>
      </c>
      <c r="L112" s="44">
        <f t="shared" si="7"/>
        <v>0</v>
      </c>
    </row>
    <row r="113" spans="1:12">
      <c r="A113" s="267">
        <v>4456095</v>
      </c>
      <c r="B113" s="267" t="s">
        <v>2531</v>
      </c>
      <c r="C113" s="269">
        <v>8</v>
      </c>
      <c r="D113" s="269">
        <v>8</v>
      </c>
      <c r="E113" s="269">
        <v>8</v>
      </c>
      <c r="F113" s="269">
        <v>0</v>
      </c>
      <c r="G113" s="269">
        <v>0</v>
      </c>
      <c r="H113" s="269">
        <v>68</v>
      </c>
      <c r="I113" s="269">
        <v>156</v>
      </c>
      <c r="J113" s="269">
        <v>224</v>
      </c>
      <c r="K113" s="44">
        <f t="shared" si="6"/>
        <v>0</v>
      </c>
      <c r="L113" s="44">
        <f t="shared" si="7"/>
        <v>0</v>
      </c>
    </row>
    <row r="114" spans="1:12">
      <c r="A114" s="267">
        <v>4440653</v>
      </c>
      <c r="B114" s="267" t="s">
        <v>2516</v>
      </c>
      <c r="C114" s="269">
        <v>12</v>
      </c>
      <c r="D114" s="269">
        <v>12</v>
      </c>
      <c r="E114" s="269">
        <v>12</v>
      </c>
      <c r="F114" s="269">
        <v>28</v>
      </c>
      <c r="G114" s="269">
        <v>2</v>
      </c>
      <c r="H114" s="269">
        <v>58</v>
      </c>
      <c r="I114" s="269">
        <v>158</v>
      </c>
      <c r="J114" s="269">
        <v>246</v>
      </c>
      <c r="K114" s="44">
        <f t="shared" si="6"/>
        <v>0.35772357723577236</v>
      </c>
      <c r="L114" s="44">
        <f t="shared" si="7"/>
        <v>0.31818181818181818</v>
      </c>
    </row>
    <row r="115" spans="1:12">
      <c r="A115" s="267">
        <v>4440901</v>
      </c>
      <c r="B115" s="267" t="s">
        <v>2525</v>
      </c>
      <c r="C115" s="269">
        <v>2</v>
      </c>
      <c r="D115" s="269">
        <v>2</v>
      </c>
      <c r="E115" s="269">
        <v>2</v>
      </c>
      <c r="F115" s="269">
        <v>0</v>
      </c>
      <c r="G115" s="269">
        <v>0</v>
      </c>
      <c r="H115" s="269">
        <v>0</v>
      </c>
      <c r="I115" s="269">
        <v>49</v>
      </c>
      <c r="J115" s="269">
        <v>49</v>
      </c>
      <c r="K115" s="44">
        <f t="shared" si="6"/>
        <v>0</v>
      </c>
      <c r="L115" s="44">
        <f t="shared" si="7"/>
        <v>0</v>
      </c>
    </row>
    <row r="116" spans="1:12">
      <c r="A116" s="267">
        <v>4437844</v>
      </c>
      <c r="B116" s="267" t="s">
        <v>1855</v>
      </c>
      <c r="C116" s="269">
        <v>32</v>
      </c>
      <c r="D116" s="269">
        <v>32</v>
      </c>
      <c r="E116" s="269">
        <v>32</v>
      </c>
      <c r="F116" s="269">
        <v>125</v>
      </c>
      <c r="G116" s="269">
        <v>5</v>
      </c>
      <c r="H116" s="269">
        <v>0</v>
      </c>
      <c r="I116" s="269">
        <v>148</v>
      </c>
      <c r="J116" s="269">
        <v>290</v>
      </c>
      <c r="K116" s="44">
        <f t="shared" si="6"/>
        <v>0.44827586206896552</v>
      </c>
      <c r="L116" s="44">
        <f t="shared" si="7"/>
        <v>0.96153846153846156</v>
      </c>
    </row>
    <row r="117" spans="1:12">
      <c r="A117" s="267">
        <v>4437200</v>
      </c>
      <c r="B117" s="267" t="s">
        <v>1954</v>
      </c>
      <c r="C117" s="269">
        <v>4</v>
      </c>
      <c r="D117" s="269">
        <v>4</v>
      </c>
      <c r="E117" s="269">
        <v>4</v>
      </c>
      <c r="F117" s="269">
        <v>0</v>
      </c>
      <c r="G117" s="269">
        <v>0</v>
      </c>
      <c r="H117" s="269">
        <v>0</v>
      </c>
      <c r="I117" s="269">
        <v>82</v>
      </c>
      <c r="J117" s="269">
        <v>82</v>
      </c>
      <c r="K117" s="44">
        <f t="shared" si="6"/>
        <v>0</v>
      </c>
      <c r="L117" s="44">
        <f t="shared" si="7"/>
        <v>0</v>
      </c>
    </row>
    <row r="118" spans="1:12">
      <c r="A118" s="267">
        <v>4436327</v>
      </c>
      <c r="B118" s="267" t="s">
        <v>1960</v>
      </c>
      <c r="C118" s="269">
        <v>1</v>
      </c>
      <c r="D118" s="269">
        <v>1</v>
      </c>
      <c r="E118" s="269">
        <v>1</v>
      </c>
      <c r="F118" s="269">
        <v>0</v>
      </c>
      <c r="G118" s="269">
        <v>0</v>
      </c>
      <c r="H118" s="269">
        <v>0</v>
      </c>
      <c r="I118" s="269">
        <v>0</v>
      </c>
      <c r="J118" s="269">
        <v>0</v>
      </c>
      <c r="K118" s="44">
        <f t="shared" si="6"/>
        <v>0</v>
      </c>
      <c r="L118" s="44">
        <f t="shared" si="7"/>
        <v>0</v>
      </c>
    </row>
    <row r="119" spans="1:12">
      <c r="A119" s="267">
        <v>4287584</v>
      </c>
      <c r="B119" s="267" t="s">
        <v>1944</v>
      </c>
      <c r="C119" s="269">
        <v>6</v>
      </c>
      <c r="D119" s="269">
        <v>6</v>
      </c>
      <c r="E119" s="269">
        <v>6</v>
      </c>
      <c r="F119" s="269">
        <v>15</v>
      </c>
      <c r="G119" s="269">
        <v>1</v>
      </c>
      <c r="H119" s="269">
        <v>0</v>
      </c>
      <c r="I119" s="269">
        <v>100</v>
      </c>
      <c r="J119" s="269">
        <v>117</v>
      </c>
      <c r="K119" s="44">
        <f t="shared" si="6"/>
        <v>0.13675213675213677</v>
      </c>
      <c r="L119" s="44">
        <f t="shared" si="7"/>
        <v>0.9375</v>
      </c>
    </row>
    <row r="120" spans="1:12">
      <c r="A120" s="267">
        <v>4447241</v>
      </c>
      <c r="B120" s="267" t="s">
        <v>1922</v>
      </c>
      <c r="C120" s="269">
        <v>1</v>
      </c>
      <c r="D120" s="269">
        <v>1</v>
      </c>
      <c r="E120" s="269">
        <v>1</v>
      </c>
      <c r="F120" s="269">
        <v>0</v>
      </c>
      <c r="G120" s="269">
        <v>0</v>
      </c>
      <c r="H120" s="269">
        <v>0</v>
      </c>
      <c r="I120" s="269">
        <v>5</v>
      </c>
      <c r="J120" s="269">
        <v>5</v>
      </c>
      <c r="K120" s="44">
        <f t="shared" si="6"/>
        <v>0</v>
      </c>
      <c r="L120" s="44">
        <f t="shared" si="7"/>
        <v>0</v>
      </c>
    </row>
    <row r="121" spans="1:12">
      <c r="A121" s="267">
        <v>4420090</v>
      </c>
      <c r="B121" s="267" t="s">
        <v>1939</v>
      </c>
      <c r="C121" s="269">
        <v>1</v>
      </c>
      <c r="D121" s="269">
        <v>1</v>
      </c>
      <c r="E121" s="269">
        <v>1</v>
      </c>
      <c r="F121" s="269">
        <v>10</v>
      </c>
      <c r="G121" s="269">
        <v>1</v>
      </c>
      <c r="H121" s="269">
        <v>0</v>
      </c>
      <c r="I121" s="269">
        <v>0</v>
      </c>
      <c r="J121" s="269">
        <v>11</v>
      </c>
      <c r="K121" s="44">
        <f t="shared" si="6"/>
        <v>1</v>
      </c>
      <c r="L121" s="44">
        <f t="shared" si="7"/>
        <v>0.90909090909090906</v>
      </c>
    </row>
    <row r="122" spans="1:12">
      <c r="A122" s="267">
        <v>4446398</v>
      </c>
      <c r="B122" s="267" t="s">
        <v>1934</v>
      </c>
      <c r="C122" s="269">
        <v>2</v>
      </c>
      <c r="D122" s="269">
        <v>2</v>
      </c>
      <c r="E122" s="269">
        <v>2</v>
      </c>
      <c r="F122" s="269">
        <v>0</v>
      </c>
      <c r="G122" s="269">
        <v>0</v>
      </c>
      <c r="H122" s="269">
        <v>0</v>
      </c>
      <c r="I122" s="269">
        <v>15</v>
      </c>
      <c r="J122" s="269">
        <v>15</v>
      </c>
      <c r="K122" s="44">
        <f t="shared" si="6"/>
        <v>0</v>
      </c>
      <c r="L122" s="44">
        <f t="shared" si="7"/>
        <v>0</v>
      </c>
    </row>
    <row r="123" spans="1:12">
      <c r="A123" s="267">
        <v>4447234</v>
      </c>
      <c r="B123" s="267" t="s">
        <v>1932</v>
      </c>
      <c r="C123" s="269">
        <v>1</v>
      </c>
      <c r="D123" s="269">
        <v>1</v>
      </c>
      <c r="E123" s="269">
        <v>1</v>
      </c>
      <c r="F123" s="269">
        <v>7</v>
      </c>
      <c r="G123" s="269">
        <v>1</v>
      </c>
      <c r="H123" s="269">
        <v>0</v>
      </c>
      <c r="I123" s="269">
        <v>1</v>
      </c>
      <c r="J123" s="269">
        <v>9</v>
      </c>
      <c r="K123" s="44">
        <f t="shared" si="6"/>
        <v>0.88888888888888884</v>
      </c>
      <c r="L123" s="44">
        <f t="shared" si="7"/>
        <v>0.875</v>
      </c>
    </row>
    <row r="124" spans="1:12">
      <c r="A124" s="267">
        <v>4447238</v>
      </c>
      <c r="B124" s="267" t="s">
        <v>1919</v>
      </c>
      <c r="C124" s="269">
        <v>1</v>
      </c>
      <c r="D124" s="269">
        <v>1</v>
      </c>
      <c r="E124" s="269">
        <v>1</v>
      </c>
      <c r="F124" s="269">
        <v>2</v>
      </c>
      <c r="G124" s="269">
        <v>0</v>
      </c>
      <c r="H124" s="269">
        <v>0</v>
      </c>
      <c r="I124" s="269">
        <v>5</v>
      </c>
      <c r="J124" s="269">
        <v>7</v>
      </c>
      <c r="K124" s="44">
        <f t="shared" si="6"/>
        <v>0.2857142857142857</v>
      </c>
      <c r="L124" s="44">
        <f t="shared" si="7"/>
        <v>1</v>
      </c>
    </row>
    <row r="125" spans="1:12">
      <c r="A125" s="267">
        <v>4434675</v>
      </c>
      <c r="B125" s="267" t="s">
        <v>1819</v>
      </c>
      <c r="C125" s="269">
        <v>6</v>
      </c>
      <c r="D125" s="269">
        <v>6</v>
      </c>
      <c r="E125" s="269">
        <v>6</v>
      </c>
      <c r="F125" s="269">
        <v>0</v>
      </c>
      <c r="G125" s="269">
        <v>0</v>
      </c>
      <c r="H125" s="269">
        <v>0</v>
      </c>
      <c r="I125" s="269">
        <v>94</v>
      </c>
      <c r="J125" s="269">
        <v>94</v>
      </c>
      <c r="K125" s="44">
        <f t="shared" si="6"/>
        <v>0</v>
      </c>
      <c r="L125" s="44">
        <f t="shared" si="7"/>
        <v>0</v>
      </c>
    </row>
    <row r="126" spans="1:12">
      <c r="A126" s="267">
        <v>4450308</v>
      </c>
      <c r="B126" s="267" t="s">
        <v>1829</v>
      </c>
      <c r="C126" s="269">
        <v>3</v>
      </c>
      <c r="D126" s="269">
        <v>3</v>
      </c>
      <c r="E126" s="269">
        <v>3</v>
      </c>
      <c r="F126" s="269">
        <v>0</v>
      </c>
      <c r="G126" s="269">
        <v>0</v>
      </c>
      <c r="H126" s="269">
        <v>0</v>
      </c>
      <c r="I126" s="269">
        <v>89</v>
      </c>
      <c r="J126" s="269">
        <v>89</v>
      </c>
      <c r="K126" s="44">
        <f t="shared" si="6"/>
        <v>0</v>
      </c>
      <c r="L126" s="44">
        <f t="shared" si="7"/>
        <v>0</v>
      </c>
    </row>
    <row r="127" spans="1:12">
      <c r="A127" s="267">
        <v>4443461</v>
      </c>
      <c r="B127" s="267" t="s">
        <v>236</v>
      </c>
      <c r="C127" s="269">
        <v>3</v>
      </c>
      <c r="D127" s="269">
        <v>3</v>
      </c>
      <c r="E127" s="269">
        <v>3</v>
      </c>
      <c r="F127" s="269">
        <v>0</v>
      </c>
      <c r="G127" s="269">
        <v>1</v>
      </c>
      <c r="H127" s="269">
        <v>0</v>
      </c>
      <c r="I127" s="269">
        <v>21</v>
      </c>
      <c r="J127" s="269">
        <v>22</v>
      </c>
      <c r="K127" s="44">
        <f t="shared" si="6"/>
        <v>4.5454545454545456E-2</v>
      </c>
      <c r="L127" s="44">
        <f t="shared" si="7"/>
        <v>0</v>
      </c>
    </row>
    <row r="128" spans="1:12">
      <c r="A128" s="267">
        <v>4443465</v>
      </c>
      <c r="B128" s="267" t="s">
        <v>2196</v>
      </c>
      <c r="C128" s="269">
        <v>1</v>
      </c>
      <c r="D128" s="269">
        <v>1</v>
      </c>
      <c r="E128" s="269">
        <v>1</v>
      </c>
      <c r="F128" s="269">
        <v>3</v>
      </c>
      <c r="G128" s="269">
        <v>0</v>
      </c>
      <c r="H128" s="269">
        <v>0</v>
      </c>
      <c r="I128" s="269">
        <v>8</v>
      </c>
      <c r="J128" s="269">
        <v>11</v>
      </c>
      <c r="K128" s="44">
        <f t="shared" si="6"/>
        <v>0.27272727272727271</v>
      </c>
      <c r="L128" s="44">
        <f t="shared" si="7"/>
        <v>1</v>
      </c>
    </row>
    <row r="129" spans="1:12">
      <c r="A129" s="267">
        <v>4438558</v>
      </c>
      <c r="B129" s="267" t="s">
        <v>2170</v>
      </c>
      <c r="C129" s="269">
        <v>2</v>
      </c>
      <c r="D129" s="269">
        <v>2</v>
      </c>
      <c r="E129" s="269">
        <v>2</v>
      </c>
      <c r="F129" s="269">
        <v>15</v>
      </c>
      <c r="G129" s="269">
        <v>2</v>
      </c>
      <c r="H129" s="269">
        <v>0</v>
      </c>
      <c r="I129" s="269">
        <v>0</v>
      </c>
      <c r="J129" s="269">
        <v>17</v>
      </c>
      <c r="K129" s="44">
        <f t="shared" si="6"/>
        <v>1</v>
      </c>
      <c r="L129" s="44">
        <f t="shared" si="7"/>
        <v>0.88235294117647056</v>
      </c>
    </row>
    <row r="130" spans="1:12">
      <c r="A130" s="267">
        <v>4450105</v>
      </c>
      <c r="B130" s="267" t="s">
        <v>2210</v>
      </c>
      <c r="C130" s="269">
        <v>4</v>
      </c>
      <c r="D130" s="269">
        <v>4</v>
      </c>
      <c r="E130" s="269">
        <v>4</v>
      </c>
      <c r="F130" s="269">
        <v>0</v>
      </c>
      <c r="G130" s="269">
        <v>0</v>
      </c>
      <c r="H130" s="269">
        <v>0</v>
      </c>
      <c r="I130" s="269">
        <v>84</v>
      </c>
      <c r="J130" s="269">
        <v>84</v>
      </c>
      <c r="K130" s="44">
        <f t="shared" si="6"/>
        <v>0</v>
      </c>
      <c r="L130" s="44">
        <f t="shared" si="7"/>
        <v>0</v>
      </c>
    </row>
    <row r="131" spans="1:12">
      <c r="A131" s="267">
        <v>4437199</v>
      </c>
      <c r="B131" s="267" t="s">
        <v>2254</v>
      </c>
      <c r="C131" s="269">
        <v>2</v>
      </c>
      <c r="D131" s="269">
        <v>2</v>
      </c>
      <c r="E131" s="269">
        <v>2</v>
      </c>
      <c r="F131" s="269">
        <v>0</v>
      </c>
      <c r="G131" s="269">
        <v>0</v>
      </c>
      <c r="H131" s="269">
        <v>0</v>
      </c>
      <c r="I131" s="269">
        <v>0</v>
      </c>
      <c r="J131" s="269">
        <v>0</v>
      </c>
      <c r="K131" s="44">
        <f t="shared" si="6"/>
        <v>0</v>
      </c>
      <c r="L131" s="44">
        <f t="shared" si="7"/>
        <v>0</v>
      </c>
    </row>
    <row r="132" spans="1:12">
      <c r="A132" s="267">
        <v>4434514</v>
      </c>
      <c r="B132" s="267" t="s">
        <v>2218</v>
      </c>
      <c r="C132" s="269">
        <v>5</v>
      </c>
      <c r="D132" s="269">
        <v>5</v>
      </c>
      <c r="E132" s="269">
        <v>5</v>
      </c>
      <c r="F132" s="269">
        <v>0</v>
      </c>
      <c r="G132" s="269">
        <v>0</v>
      </c>
      <c r="H132" s="269">
        <v>0</v>
      </c>
      <c r="I132" s="269">
        <v>0</v>
      </c>
      <c r="J132" s="269">
        <v>0</v>
      </c>
      <c r="K132" s="44">
        <f t="shared" si="6"/>
        <v>0</v>
      </c>
      <c r="L132" s="44">
        <f t="shared" si="7"/>
        <v>0</v>
      </c>
    </row>
    <row r="133" spans="1:12">
      <c r="A133" s="267">
        <v>4418789</v>
      </c>
      <c r="B133" s="267" t="s">
        <v>2236</v>
      </c>
      <c r="C133" s="269">
        <v>2</v>
      </c>
      <c r="D133" s="269">
        <v>2</v>
      </c>
      <c r="E133" s="269">
        <v>2</v>
      </c>
      <c r="F133" s="269">
        <v>17</v>
      </c>
      <c r="G133" s="269">
        <v>2</v>
      </c>
      <c r="H133" s="269">
        <v>0</v>
      </c>
      <c r="I133" s="269">
        <v>24</v>
      </c>
      <c r="J133" s="269">
        <v>43</v>
      </c>
      <c r="K133" s="44">
        <f t="shared" ref="K133:K153" si="8">IF(G133+F133=0,0,SUM(F133:H133)/J133)</f>
        <v>0.44186046511627908</v>
      </c>
      <c r="L133" s="44">
        <f t="shared" ref="L133:L153" si="9">IF(F133=0,0,F133/(SUM(F133:H133)))</f>
        <v>0.89473684210526316</v>
      </c>
    </row>
    <row r="134" spans="1:12">
      <c r="A134" s="267">
        <v>4459031</v>
      </c>
      <c r="B134" s="267" t="s">
        <v>2192</v>
      </c>
      <c r="C134" s="269">
        <v>2</v>
      </c>
      <c r="D134" s="269">
        <v>2</v>
      </c>
      <c r="E134" s="269">
        <v>2</v>
      </c>
      <c r="F134" s="269">
        <v>6</v>
      </c>
      <c r="G134" s="269">
        <v>0</v>
      </c>
      <c r="H134" s="269">
        <v>0</v>
      </c>
      <c r="I134" s="269">
        <v>7</v>
      </c>
      <c r="J134" s="269">
        <v>13</v>
      </c>
      <c r="K134" s="44">
        <f t="shared" si="8"/>
        <v>0.46153846153846156</v>
      </c>
      <c r="L134" s="44">
        <f t="shared" si="9"/>
        <v>1</v>
      </c>
    </row>
    <row r="135" spans="1:12">
      <c r="A135" s="267">
        <v>4420088</v>
      </c>
      <c r="B135" s="267" t="s">
        <v>2187</v>
      </c>
      <c r="C135" s="269">
        <v>2</v>
      </c>
      <c r="D135" s="269">
        <v>2</v>
      </c>
      <c r="E135" s="269">
        <v>2</v>
      </c>
      <c r="F135" s="269">
        <v>10</v>
      </c>
      <c r="G135" s="269">
        <v>0</v>
      </c>
      <c r="H135" s="269">
        <v>0</v>
      </c>
      <c r="I135" s="269">
        <v>31</v>
      </c>
      <c r="J135" s="269">
        <v>41</v>
      </c>
      <c r="K135" s="44">
        <f t="shared" si="8"/>
        <v>0.24390243902439024</v>
      </c>
      <c r="L135" s="44">
        <f t="shared" si="9"/>
        <v>1</v>
      </c>
    </row>
    <row r="136" spans="1:12">
      <c r="A136" s="267">
        <v>4420081</v>
      </c>
      <c r="B136" s="267" t="s">
        <v>2199</v>
      </c>
      <c r="C136" s="269">
        <v>3</v>
      </c>
      <c r="D136" s="269">
        <v>3</v>
      </c>
      <c r="E136" s="269">
        <v>3</v>
      </c>
      <c r="F136" s="269">
        <v>10</v>
      </c>
      <c r="G136" s="269">
        <v>1</v>
      </c>
      <c r="H136" s="269">
        <v>0</v>
      </c>
      <c r="I136" s="269">
        <v>16</v>
      </c>
      <c r="J136" s="269">
        <v>27</v>
      </c>
      <c r="K136" s="44">
        <f t="shared" si="8"/>
        <v>0.40740740740740738</v>
      </c>
      <c r="L136" s="44">
        <f t="shared" si="9"/>
        <v>0.90909090909090906</v>
      </c>
    </row>
    <row r="137" spans="1:12">
      <c r="A137" s="267">
        <v>4447242</v>
      </c>
      <c r="B137" s="267" t="s">
        <v>229</v>
      </c>
      <c r="C137" s="269">
        <v>1</v>
      </c>
      <c r="D137" s="269">
        <v>1</v>
      </c>
      <c r="E137" s="269">
        <v>1</v>
      </c>
      <c r="F137" s="269">
        <v>0</v>
      </c>
      <c r="G137" s="269">
        <v>0</v>
      </c>
      <c r="H137" s="269">
        <v>0</v>
      </c>
      <c r="I137" s="269">
        <v>22</v>
      </c>
      <c r="J137" s="269">
        <v>22</v>
      </c>
      <c r="K137" s="44">
        <f t="shared" si="8"/>
        <v>0</v>
      </c>
      <c r="L137" s="44">
        <f t="shared" si="9"/>
        <v>0</v>
      </c>
    </row>
    <row r="138" spans="1:12">
      <c r="A138" s="267">
        <v>4420814</v>
      </c>
      <c r="B138" s="267" t="s">
        <v>2206</v>
      </c>
      <c r="C138" s="269">
        <v>3</v>
      </c>
      <c r="D138" s="269">
        <v>3</v>
      </c>
      <c r="E138" s="269">
        <v>3</v>
      </c>
      <c r="F138" s="269">
        <v>0</v>
      </c>
      <c r="G138" s="269">
        <v>0</v>
      </c>
      <c r="H138" s="269">
        <v>0</v>
      </c>
      <c r="I138" s="269">
        <v>51</v>
      </c>
      <c r="J138" s="269">
        <v>51</v>
      </c>
      <c r="K138" s="44">
        <f t="shared" si="8"/>
        <v>0</v>
      </c>
      <c r="L138" s="44">
        <f t="shared" si="9"/>
        <v>0</v>
      </c>
    </row>
    <row r="139" spans="1:12">
      <c r="A139" s="267">
        <v>4420086</v>
      </c>
      <c r="B139" s="267" t="s">
        <v>2164</v>
      </c>
      <c r="C139" s="269">
        <v>4</v>
      </c>
      <c r="D139" s="269">
        <v>4</v>
      </c>
      <c r="E139" s="269">
        <v>4</v>
      </c>
      <c r="F139" s="269">
        <v>33</v>
      </c>
      <c r="G139" s="269">
        <v>2</v>
      </c>
      <c r="H139" s="269">
        <v>0</v>
      </c>
      <c r="I139" s="269">
        <v>26</v>
      </c>
      <c r="J139" s="269">
        <v>61</v>
      </c>
      <c r="K139" s="44">
        <f t="shared" si="8"/>
        <v>0.57377049180327866</v>
      </c>
      <c r="L139" s="44">
        <f t="shared" si="9"/>
        <v>0.94285714285714284</v>
      </c>
    </row>
    <row r="140" spans="1:12">
      <c r="A140" s="267">
        <v>4436246</v>
      </c>
      <c r="B140" s="267" t="s">
        <v>2380</v>
      </c>
      <c r="C140" s="269">
        <v>5</v>
      </c>
      <c r="D140" s="269">
        <v>5</v>
      </c>
      <c r="E140" s="269">
        <v>5</v>
      </c>
      <c r="F140" s="269">
        <v>0</v>
      </c>
      <c r="G140" s="269">
        <v>0</v>
      </c>
      <c r="H140" s="269">
        <v>0</v>
      </c>
      <c r="I140" s="269">
        <v>0</v>
      </c>
      <c r="J140" s="269">
        <v>0</v>
      </c>
      <c r="K140" s="44">
        <f t="shared" si="8"/>
        <v>0</v>
      </c>
      <c r="L140" s="44">
        <f t="shared" si="9"/>
        <v>0</v>
      </c>
    </row>
    <row r="141" spans="1:12">
      <c r="A141" s="267">
        <v>4459024</v>
      </c>
      <c r="B141" s="267" t="s">
        <v>1545</v>
      </c>
      <c r="C141" s="269">
        <v>8</v>
      </c>
      <c r="D141" s="269">
        <v>8</v>
      </c>
      <c r="E141" s="269">
        <v>8</v>
      </c>
      <c r="F141" s="269">
        <v>0</v>
      </c>
      <c r="G141" s="269">
        <v>0</v>
      </c>
      <c r="H141" s="269">
        <v>0</v>
      </c>
      <c r="I141" s="269">
        <v>0</v>
      </c>
      <c r="J141" s="269">
        <v>0</v>
      </c>
      <c r="K141" s="44">
        <f t="shared" si="8"/>
        <v>0</v>
      </c>
      <c r="L141" s="44">
        <f t="shared" si="9"/>
        <v>0</v>
      </c>
    </row>
    <row r="142" spans="1:12">
      <c r="A142" s="267">
        <v>4448487</v>
      </c>
      <c r="B142" s="267" t="s">
        <v>1759</v>
      </c>
      <c r="C142" s="269">
        <v>2</v>
      </c>
      <c r="D142" s="269">
        <v>2</v>
      </c>
      <c r="E142" s="269">
        <v>2</v>
      </c>
      <c r="F142" s="269">
        <v>26</v>
      </c>
      <c r="G142" s="269">
        <v>0</v>
      </c>
      <c r="H142" s="269">
        <v>28</v>
      </c>
      <c r="I142" s="269">
        <v>0</v>
      </c>
      <c r="J142" s="269">
        <v>54</v>
      </c>
      <c r="K142" s="44">
        <f t="shared" si="8"/>
        <v>1</v>
      </c>
      <c r="L142" s="44">
        <f t="shared" si="9"/>
        <v>0.48148148148148145</v>
      </c>
    </row>
    <row r="143" spans="1:12">
      <c r="A143" s="267">
        <v>4456146</v>
      </c>
      <c r="B143" s="267" t="s">
        <v>1847</v>
      </c>
      <c r="C143" s="269">
        <v>13</v>
      </c>
      <c r="D143" s="269">
        <v>13</v>
      </c>
      <c r="E143" s="269">
        <v>13</v>
      </c>
      <c r="F143" s="269">
        <v>0</v>
      </c>
      <c r="G143" s="269">
        <v>0</v>
      </c>
      <c r="H143" s="269">
        <v>0</v>
      </c>
      <c r="I143" s="269">
        <v>0</v>
      </c>
      <c r="J143" s="269">
        <v>0</v>
      </c>
      <c r="K143" s="44">
        <f t="shared" si="8"/>
        <v>0</v>
      </c>
      <c r="L143" s="44">
        <f t="shared" si="9"/>
        <v>0</v>
      </c>
    </row>
    <row r="144" spans="1:12">
      <c r="A144" s="267">
        <v>4459392</v>
      </c>
      <c r="B144" s="267" t="s">
        <v>1764</v>
      </c>
      <c r="C144" s="269">
        <v>2</v>
      </c>
      <c r="D144" s="269">
        <v>2</v>
      </c>
      <c r="E144" s="269">
        <v>2</v>
      </c>
      <c r="F144" s="269">
        <v>31</v>
      </c>
      <c r="G144" s="269">
        <v>3</v>
      </c>
      <c r="H144" s="269">
        <v>0</v>
      </c>
      <c r="I144" s="269">
        <v>0</v>
      </c>
      <c r="J144" s="269">
        <v>34</v>
      </c>
      <c r="K144" s="44">
        <f t="shared" si="8"/>
        <v>1</v>
      </c>
      <c r="L144" s="44">
        <f t="shared" si="9"/>
        <v>0.91176470588235292</v>
      </c>
    </row>
    <row r="145" spans="1:12">
      <c r="A145" s="267">
        <v>4368214</v>
      </c>
      <c r="B145" s="267" t="s">
        <v>206</v>
      </c>
      <c r="C145" s="269">
        <v>2</v>
      </c>
      <c r="D145" s="269">
        <v>2</v>
      </c>
      <c r="E145" s="269">
        <v>2</v>
      </c>
      <c r="F145" s="269">
        <v>0</v>
      </c>
      <c r="G145" s="269">
        <v>0</v>
      </c>
      <c r="H145" s="269">
        <v>0</v>
      </c>
      <c r="I145" s="269">
        <v>27</v>
      </c>
      <c r="J145" s="269">
        <v>27</v>
      </c>
      <c r="K145" s="44">
        <f t="shared" si="8"/>
        <v>0</v>
      </c>
      <c r="L145" s="44">
        <f t="shared" si="9"/>
        <v>0</v>
      </c>
    </row>
    <row r="146" spans="1:12">
      <c r="A146" s="267">
        <v>4436379</v>
      </c>
      <c r="B146" s="267" t="s">
        <v>1351</v>
      </c>
      <c r="C146" s="269">
        <v>1</v>
      </c>
      <c r="D146" s="269">
        <v>1</v>
      </c>
      <c r="E146" s="269">
        <v>1</v>
      </c>
      <c r="F146" s="269">
        <v>0</v>
      </c>
      <c r="G146" s="269">
        <v>0</v>
      </c>
      <c r="H146" s="269">
        <v>0</v>
      </c>
      <c r="I146" s="269">
        <v>10</v>
      </c>
      <c r="J146" s="269">
        <v>10</v>
      </c>
      <c r="K146" s="44">
        <f t="shared" si="8"/>
        <v>0</v>
      </c>
      <c r="L146" s="44">
        <f t="shared" si="9"/>
        <v>0</v>
      </c>
    </row>
    <row r="147" spans="1:12">
      <c r="A147" s="267">
        <v>4471096</v>
      </c>
      <c r="B147" s="267" t="s">
        <v>2158</v>
      </c>
      <c r="C147" s="269">
        <v>1</v>
      </c>
      <c r="D147" s="269">
        <v>1</v>
      </c>
      <c r="E147" s="269">
        <v>1</v>
      </c>
      <c r="F147" s="269">
        <v>7</v>
      </c>
      <c r="G147" s="269">
        <v>0</v>
      </c>
      <c r="H147" s="269">
        <v>1</v>
      </c>
      <c r="I147" s="269">
        <v>27</v>
      </c>
      <c r="J147" s="269">
        <v>35</v>
      </c>
      <c r="K147" s="44">
        <f t="shared" si="8"/>
        <v>0.22857142857142856</v>
      </c>
      <c r="L147" s="44">
        <f t="shared" si="9"/>
        <v>0.875</v>
      </c>
    </row>
    <row r="148" spans="1:12">
      <c r="A148" s="267">
        <v>4472827</v>
      </c>
      <c r="B148" s="267" t="s">
        <v>1888</v>
      </c>
      <c r="C148" s="269">
        <v>10</v>
      </c>
      <c r="D148" s="269">
        <v>10</v>
      </c>
      <c r="E148" s="269">
        <v>10</v>
      </c>
      <c r="F148" s="269">
        <v>0</v>
      </c>
      <c r="G148" s="269">
        <v>0</v>
      </c>
      <c r="H148" s="269">
        <v>0</v>
      </c>
      <c r="I148" s="269">
        <v>134</v>
      </c>
      <c r="J148" s="269">
        <v>113</v>
      </c>
      <c r="K148" s="44">
        <f t="shared" si="8"/>
        <v>0</v>
      </c>
      <c r="L148" s="44">
        <f t="shared" si="9"/>
        <v>0</v>
      </c>
    </row>
    <row r="149" spans="1:12">
      <c r="A149" s="267">
        <v>4476840</v>
      </c>
      <c r="B149" s="267" t="s">
        <v>2182</v>
      </c>
      <c r="C149" s="269">
        <v>2</v>
      </c>
      <c r="D149" s="269">
        <v>2</v>
      </c>
      <c r="E149" s="269">
        <v>2</v>
      </c>
      <c r="F149" s="269">
        <v>0</v>
      </c>
      <c r="G149" s="269">
        <v>0</v>
      </c>
      <c r="H149" s="269">
        <v>0</v>
      </c>
      <c r="I149" s="269">
        <v>0</v>
      </c>
      <c r="J149" s="269">
        <v>0</v>
      </c>
      <c r="K149" s="44">
        <f t="shared" si="8"/>
        <v>0</v>
      </c>
      <c r="L149" s="44">
        <f t="shared" si="9"/>
        <v>0</v>
      </c>
    </row>
    <row r="150" spans="1:12">
      <c r="A150" s="267">
        <v>4413810</v>
      </c>
      <c r="B150" s="267" t="s">
        <v>1537</v>
      </c>
      <c r="C150" s="269">
        <v>1</v>
      </c>
      <c r="D150" s="269">
        <v>1</v>
      </c>
      <c r="E150" s="269">
        <v>1</v>
      </c>
      <c r="F150" s="269">
        <v>2</v>
      </c>
      <c r="G150" s="269">
        <v>0</v>
      </c>
      <c r="H150" s="269">
        <v>0</v>
      </c>
      <c r="I150" s="269">
        <v>13</v>
      </c>
      <c r="J150" s="269">
        <v>15</v>
      </c>
      <c r="K150" s="44">
        <f t="shared" si="8"/>
        <v>0.13333333333333333</v>
      </c>
      <c r="L150" s="44">
        <f t="shared" si="9"/>
        <v>1</v>
      </c>
    </row>
    <row r="151" spans="1:12">
      <c r="A151" s="267">
        <v>4485495</v>
      </c>
      <c r="B151" s="267" t="s">
        <v>2569</v>
      </c>
      <c r="C151" s="269">
        <v>1</v>
      </c>
      <c r="D151" s="269">
        <v>1</v>
      </c>
      <c r="E151" s="269">
        <v>1</v>
      </c>
      <c r="F151" s="269">
        <v>6</v>
      </c>
      <c r="G151" s="269">
        <v>0</v>
      </c>
      <c r="H151" s="269">
        <v>0</v>
      </c>
      <c r="I151" s="269">
        <v>0</v>
      </c>
      <c r="J151" s="269">
        <v>6</v>
      </c>
      <c r="K151" s="44">
        <f t="shared" si="8"/>
        <v>1</v>
      </c>
      <c r="L151" s="44">
        <f t="shared" si="9"/>
        <v>1</v>
      </c>
    </row>
    <row r="152" spans="1:12">
      <c r="A152" s="267">
        <v>4482777</v>
      </c>
      <c r="B152" s="267" t="s">
        <v>1363</v>
      </c>
      <c r="C152" s="269">
        <v>1</v>
      </c>
      <c r="D152" s="269"/>
      <c r="E152" s="269"/>
      <c r="F152" s="269"/>
      <c r="G152" s="269"/>
      <c r="H152" s="269"/>
      <c r="I152" s="269"/>
      <c r="J152" s="269"/>
      <c r="K152" s="44">
        <f t="shared" si="8"/>
        <v>0</v>
      </c>
      <c r="L152" s="44">
        <f t="shared" si="9"/>
        <v>0</v>
      </c>
    </row>
    <row r="153" spans="1:12">
      <c r="A153" s="267">
        <v>4482781</v>
      </c>
      <c r="B153" s="267" t="s">
        <v>1364</v>
      </c>
      <c r="C153" s="269">
        <v>1</v>
      </c>
      <c r="D153" s="269"/>
      <c r="E153" s="269"/>
      <c r="F153" s="269"/>
      <c r="G153" s="269"/>
      <c r="H153" s="269"/>
      <c r="I153" s="269"/>
      <c r="J153" s="269"/>
      <c r="K153" s="44">
        <f t="shared" si="8"/>
        <v>0</v>
      </c>
      <c r="L153" s="44">
        <f t="shared" si="9"/>
        <v>0</v>
      </c>
    </row>
    <row r="154" spans="1:12">
      <c r="A154" s="267" t="s">
        <v>2588</v>
      </c>
      <c r="B154" s="267" t="s">
        <v>2588</v>
      </c>
      <c r="C154" s="269">
        <v>1</v>
      </c>
      <c r="D154" s="269">
        <v>1</v>
      </c>
      <c r="E154" s="269">
        <v>1</v>
      </c>
      <c r="F154" s="269">
        <v>20</v>
      </c>
      <c r="G154" s="269">
        <v>0</v>
      </c>
      <c r="H154" s="269">
        <v>0</v>
      </c>
      <c r="I154" s="269">
        <v>9</v>
      </c>
      <c r="J154" s="269">
        <v>29</v>
      </c>
      <c r="K154" s="44">
        <f>IF(G154+F154=0,0,SUM(F154:H154)/J154)</f>
        <v>0.68965517241379315</v>
      </c>
      <c r="L154" s="44">
        <f>IF(F154=0,0,F154/(SUM(F154:H154)))</f>
        <v>1</v>
      </c>
    </row>
    <row r="155" spans="1:12">
      <c r="A155" s="267">
        <v>4439196</v>
      </c>
      <c r="B155" s="267" t="s">
        <v>2481</v>
      </c>
      <c r="C155" s="269">
        <v>5</v>
      </c>
      <c r="D155" s="269">
        <v>5</v>
      </c>
      <c r="E155" s="269">
        <v>5</v>
      </c>
      <c r="F155" s="269"/>
      <c r="G155" s="269"/>
      <c r="H155" s="269"/>
      <c r="I155" s="269"/>
      <c r="J155" s="269"/>
      <c r="K155" s="44">
        <f>IF(G155+F155=0,0,SUM(F155:H155)/J155)</f>
        <v>0</v>
      </c>
      <c r="L155" s="44">
        <f>IF(F155=0,0,F155/(SUM(F155:H155)))</f>
        <v>0</v>
      </c>
    </row>
    <row r="156" spans="1:12">
      <c r="A156" s="268" t="s">
        <v>21</v>
      </c>
      <c r="B156" s="268"/>
      <c r="C156" s="270">
        <v>614</v>
      </c>
      <c r="D156" s="270">
        <v>609</v>
      </c>
      <c r="E156" s="270">
        <v>609</v>
      </c>
      <c r="F156" s="270">
        <v>1877</v>
      </c>
      <c r="G156" s="270">
        <v>80</v>
      </c>
      <c r="H156" s="270">
        <v>375</v>
      </c>
      <c r="I156" s="270">
        <v>7589</v>
      </c>
      <c r="J156" s="270">
        <v>10018</v>
      </c>
      <c r="K156" s="44">
        <f>IF(G156+F156=0,0,SUM(F156:H156)/J156)</f>
        <v>0.23278099421042125</v>
      </c>
      <c r="L156" s="44">
        <f>IF(F156=0,0,F156/(SUM(F156:H156)))</f>
        <v>0.80488850771869636</v>
      </c>
    </row>
    <row r="157" spans="1:12" ht="14.45">
      <c r="A157"/>
      <c r="B157"/>
      <c r="C157"/>
      <c r="D157"/>
      <c r="E157"/>
      <c r="F157"/>
      <c r="G157"/>
      <c r="H157"/>
      <c r="I157"/>
      <c r="J157"/>
      <c r="K157" s="44">
        <f>IF(G157+F157=0,0,SUM(F157:H157)/J157)</f>
        <v>0</v>
      </c>
      <c r="L157" s="44">
        <f t="shared" ref="L154:L164" si="10">IF(G157=0,0,G157/(SUM(G157:I157)))</f>
        <v>0</v>
      </c>
    </row>
    <row r="158" spans="1:12" ht="14.45">
      <c r="A158"/>
      <c r="B158"/>
      <c r="C158"/>
      <c r="D158"/>
      <c r="E158"/>
      <c r="F158"/>
      <c r="G158"/>
      <c r="H158"/>
      <c r="I158"/>
      <c r="J158"/>
      <c r="K158" s="44">
        <f>IF(G158+H158=0,0,SUM(G158:H158)/#REF!)</f>
        <v>0</v>
      </c>
      <c r="L158" s="44">
        <f t="shared" si="10"/>
        <v>0</v>
      </c>
    </row>
    <row r="159" spans="1:12" ht="14.45">
      <c r="A159"/>
      <c r="B159"/>
      <c r="C159"/>
      <c r="D159"/>
      <c r="E159"/>
      <c r="F159"/>
      <c r="G159"/>
      <c r="H159"/>
      <c r="I159"/>
      <c r="J159"/>
      <c r="K159" s="44">
        <f>IF(G159+H159=0,0,SUM(G159:H159)/#REF!)</f>
        <v>0</v>
      </c>
      <c r="L159" s="44">
        <f t="shared" si="10"/>
        <v>0</v>
      </c>
    </row>
    <row r="160" spans="1:12" ht="14.45">
      <c r="A160"/>
      <c r="B160"/>
      <c r="C160"/>
      <c r="D160"/>
      <c r="E160"/>
      <c r="F160"/>
      <c r="G160"/>
      <c r="H160"/>
      <c r="I160"/>
      <c r="J160"/>
      <c r="K160" s="44">
        <f>IF(G160+H160=0,0,SUM(G160:H160)/#REF!)</f>
        <v>0</v>
      </c>
      <c r="L160" s="44">
        <f t="shared" si="10"/>
        <v>0</v>
      </c>
    </row>
    <row r="161" spans="1:12" ht="14.45">
      <c r="A161"/>
      <c r="B161"/>
      <c r="C161"/>
      <c r="D161"/>
      <c r="E161"/>
      <c r="F161"/>
      <c r="G161"/>
      <c r="H161"/>
      <c r="I161"/>
      <c r="J161"/>
      <c r="K161" s="44">
        <f>IF(G161+H161=0,0,SUM(G161:H161)/#REF!)</f>
        <v>0</v>
      </c>
      <c r="L161" s="44">
        <f t="shared" si="10"/>
        <v>0</v>
      </c>
    </row>
    <row r="162" spans="1:12" ht="14.45">
      <c r="A162"/>
      <c r="B162"/>
      <c r="C162"/>
      <c r="D162"/>
      <c r="E162"/>
      <c r="F162"/>
      <c r="G162"/>
      <c r="H162"/>
      <c r="I162"/>
      <c r="J162"/>
      <c r="K162" s="44">
        <f>IF(G162+H162=0,0,SUM(G162:H162)/#REF!)</f>
        <v>0</v>
      </c>
      <c r="L162" s="44">
        <f t="shared" si="10"/>
        <v>0</v>
      </c>
    </row>
    <row r="163" spans="1:12" ht="14.45">
      <c r="A163"/>
      <c r="B163"/>
      <c r="C163"/>
      <c r="D163"/>
      <c r="E163"/>
      <c r="F163"/>
      <c r="G163"/>
      <c r="H163"/>
      <c r="I163"/>
      <c r="J163"/>
      <c r="K163" s="44">
        <f>IF(G163+H163=0,0,SUM(G163:H163)/#REF!)</f>
        <v>0</v>
      </c>
      <c r="L163" s="44">
        <f t="shared" si="10"/>
        <v>0</v>
      </c>
    </row>
    <row r="164" spans="1:12" ht="14.45">
      <c r="A164"/>
      <c r="B164"/>
      <c r="C164"/>
      <c r="D164"/>
      <c r="E164"/>
      <c r="F164"/>
      <c r="G164"/>
      <c r="H164"/>
      <c r="I164"/>
      <c r="J164"/>
      <c r="K164" s="44">
        <f>IF(G164+H164=0,0,SUM(G164:H164)/#REF!)</f>
        <v>0</v>
      </c>
      <c r="L164" s="44">
        <f t="shared" si="10"/>
        <v>0</v>
      </c>
    </row>
    <row r="165" spans="1:12" ht="14.45">
      <c r="A165"/>
      <c r="B165"/>
      <c r="C165"/>
      <c r="D165"/>
      <c r="E165"/>
      <c r="F165"/>
      <c r="G165"/>
      <c r="H165"/>
      <c r="I165"/>
      <c r="J165"/>
      <c r="K165" s="44">
        <f>IF(G165+H165=0,0,SUM(G165:H165)/#REF!)</f>
        <v>0</v>
      </c>
      <c r="L165" s="44">
        <f t="shared" ref="L165:L190" si="11">IF(G165=0,0,G165/(SUM(G165:I165)))</f>
        <v>0</v>
      </c>
    </row>
    <row r="166" spans="1:12" ht="14.45">
      <c r="A166"/>
      <c r="B166"/>
      <c r="C166"/>
      <c r="D166"/>
      <c r="E166"/>
      <c r="F166"/>
      <c r="G166"/>
      <c r="H166"/>
      <c r="I166"/>
      <c r="J166"/>
      <c r="K166" s="44">
        <f>IF(G166+H166=0,0,SUM(G166:H166)/#REF!)</f>
        <v>0</v>
      </c>
      <c r="L166" s="44">
        <f t="shared" si="11"/>
        <v>0</v>
      </c>
    </row>
    <row r="167" spans="1:12" ht="14.45">
      <c r="A167"/>
      <c r="B167"/>
      <c r="C167"/>
      <c r="D167"/>
      <c r="E167"/>
      <c r="F167"/>
      <c r="G167"/>
      <c r="H167"/>
      <c r="I167"/>
      <c r="J167"/>
      <c r="K167" s="44">
        <f>IF(G167+H167=0,0,SUM(G167:H167)/#REF!)</f>
        <v>0</v>
      </c>
      <c r="L167" s="44">
        <f t="shared" si="11"/>
        <v>0</v>
      </c>
    </row>
    <row r="168" spans="1:12" ht="14.45">
      <c r="A168"/>
      <c r="B168"/>
      <c r="C168"/>
      <c r="D168"/>
      <c r="E168"/>
      <c r="F168"/>
      <c r="G168"/>
      <c r="H168"/>
      <c r="I168"/>
      <c r="J168"/>
      <c r="K168" s="44">
        <f>IF(G168+H168=0,0,SUM(G168:H168)/#REF!)</f>
        <v>0</v>
      </c>
      <c r="L168" s="44">
        <f t="shared" si="11"/>
        <v>0</v>
      </c>
    </row>
    <row r="169" spans="1:12" ht="14.45">
      <c r="A169"/>
      <c r="B169"/>
      <c r="C169"/>
      <c r="D169"/>
      <c r="E169"/>
      <c r="F169"/>
      <c r="G169"/>
      <c r="H169"/>
      <c r="I169"/>
      <c r="J169"/>
      <c r="K169" s="44">
        <f>IF(G169+H169=0,0,SUM(G169:H169)/#REF!)</f>
        <v>0</v>
      </c>
      <c r="L169" s="44">
        <f t="shared" si="11"/>
        <v>0</v>
      </c>
    </row>
    <row r="170" spans="1:12" ht="14.45">
      <c r="A170"/>
      <c r="B170"/>
      <c r="C170"/>
      <c r="D170"/>
      <c r="E170"/>
      <c r="F170"/>
      <c r="G170"/>
      <c r="H170"/>
      <c r="I170"/>
      <c r="J170"/>
      <c r="K170" s="44">
        <f>IF(G170+H170=0,0,SUM(G170:H170)/#REF!)</f>
        <v>0</v>
      </c>
      <c r="L170" s="44">
        <f t="shared" si="11"/>
        <v>0</v>
      </c>
    </row>
    <row r="171" spans="1:12" ht="14.45">
      <c r="A171"/>
      <c r="B171"/>
      <c r="C171"/>
      <c r="D171"/>
      <c r="E171"/>
      <c r="F171"/>
      <c r="G171"/>
      <c r="H171"/>
      <c r="I171"/>
      <c r="J171"/>
      <c r="K171" s="44">
        <f>IF(G171+H171=0,0,SUM(G171:H171)/#REF!)</f>
        <v>0</v>
      </c>
      <c r="L171" s="44">
        <f t="shared" si="11"/>
        <v>0</v>
      </c>
    </row>
    <row r="172" spans="1:12" ht="14.45">
      <c r="A172"/>
      <c r="B172"/>
      <c r="C172"/>
      <c r="D172"/>
      <c r="E172"/>
      <c r="F172"/>
      <c r="G172"/>
      <c r="H172"/>
      <c r="I172"/>
      <c r="J172"/>
      <c r="K172" s="44">
        <f>IF(G172+H172=0,0,SUM(G172:H172)/#REF!)</f>
        <v>0</v>
      </c>
      <c r="L172" s="44">
        <f t="shared" si="11"/>
        <v>0</v>
      </c>
    </row>
    <row r="173" spans="1:12" ht="14.45">
      <c r="A173"/>
      <c r="B173"/>
      <c r="C173"/>
      <c r="D173"/>
      <c r="E173"/>
      <c r="F173"/>
      <c r="G173"/>
      <c r="H173"/>
      <c r="I173"/>
      <c r="J173"/>
      <c r="K173" s="44">
        <f>IF(G173+H173=0,0,SUM(G173:H173)/#REF!)</f>
        <v>0</v>
      </c>
      <c r="L173" s="44">
        <f t="shared" si="11"/>
        <v>0</v>
      </c>
    </row>
    <row r="174" spans="1:12" ht="14.45">
      <c r="A174"/>
      <c r="B174"/>
      <c r="C174"/>
      <c r="D174"/>
      <c r="E174"/>
      <c r="F174"/>
      <c r="G174"/>
      <c r="H174"/>
      <c r="I174"/>
      <c r="J174"/>
      <c r="K174" s="44">
        <f>IF(G174+H174=0,0,SUM(G174:H174)/#REF!)</f>
        <v>0</v>
      </c>
      <c r="L174" s="44">
        <f t="shared" si="11"/>
        <v>0</v>
      </c>
    </row>
    <row r="175" spans="1:12" ht="14.45">
      <c r="A175"/>
      <c r="B175"/>
      <c r="C175"/>
      <c r="D175"/>
      <c r="E175"/>
      <c r="F175"/>
      <c r="G175"/>
      <c r="H175"/>
      <c r="I175"/>
      <c r="J175"/>
      <c r="K175" s="44">
        <f>IF(G175+H175=0,0,SUM(G175:H175)/#REF!)</f>
        <v>0</v>
      </c>
      <c r="L175" s="44">
        <f t="shared" si="11"/>
        <v>0</v>
      </c>
    </row>
    <row r="176" spans="1:12" ht="14.45">
      <c r="A176"/>
      <c r="B176"/>
      <c r="C176"/>
      <c r="D176"/>
      <c r="E176"/>
      <c r="F176"/>
      <c r="G176"/>
      <c r="H176"/>
      <c r="I176"/>
      <c r="J176"/>
      <c r="K176" s="44">
        <f>IF(G176+H176=0,0,SUM(G176:H176)/#REF!)</f>
        <v>0</v>
      </c>
      <c r="L176" s="44">
        <f t="shared" si="11"/>
        <v>0</v>
      </c>
    </row>
    <row r="177" spans="1:123" ht="14.45">
      <c r="A177"/>
      <c r="B177"/>
      <c r="C177"/>
      <c r="D177"/>
      <c r="E177"/>
      <c r="F177"/>
      <c r="G177"/>
      <c r="H177"/>
      <c r="I177"/>
      <c r="J177"/>
      <c r="K177" s="44">
        <f>IF(G177+H177=0,0,SUM(G177:H177)/#REF!)</f>
        <v>0</v>
      </c>
      <c r="L177" s="44">
        <f t="shared" si="11"/>
        <v>0</v>
      </c>
      <c r="M177" s="43"/>
      <c r="N177" s="43"/>
      <c r="O177" s="43"/>
      <c r="P177" s="43"/>
      <c r="Q177" s="43"/>
      <c r="R177" s="43"/>
      <c r="S177" s="43"/>
      <c r="T177" s="43"/>
      <c r="U177" s="43"/>
      <c r="V177" s="43"/>
      <c r="W177" s="43"/>
      <c r="X177" s="43"/>
      <c r="Y177" s="43"/>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c r="BF177" s="43"/>
      <c r="BG177" s="43"/>
      <c r="BH177" s="43"/>
      <c r="BI177" s="43"/>
      <c r="BJ177" s="43"/>
      <c r="BK177" s="43"/>
      <c r="BL177" s="43"/>
      <c r="BM177" s="43"/>
      <c r="BN177" s="43"/>
      <c r="BO177" s="43"/>
      <c r="BP177" s="43"/>
      <c r="BQ177" s="43"/>
      <c r="BR177" s="43"/>
      <c r="BS177" s="43"/>
      <c r="BT177" s="43"/>
      <c r="BU177" s="43"/>
      <c r="BV177" s="43"/>
      <c r="BW177" s="43"/>
      <c r="BX177" s="43"/>
      <c r="BY177" s="43"/>
      <c r="BZ177" s="43"/>
      <c r="CA177" s="43"/>
      <c r="CB177" s="43"/>
      <c r="CC177" s="43"/>
      <c r="CD177" s="43"/>
      <c r="CE177" s="43"/>
      <c r="CF177" s="43"/>
      <c r="CG177" s="43"/>
      <c r="CH177" s="43"/>
      <c r="CI177" s="43"/>
      <c r="CJ177" s="43"/>
      <c r="CK177" s="43"/>
      <c r="CL177" s="43"/>
      <c r="CM177" s="43"/>
      <c r="CN177" s="43"/>
      <c r="CO177" s="43"/>
      <c r="CP177" s="43"/>
      <c r="CQ177" s="43"/>
      <c r="CR177" s="43"/>
      <c r="CS177" s="43"/>
      <c r="CT177" s="43"/>
      <c r="CU177" s="43"/>
      <c r="CV177" s="43"/>
      <c r="CW177" s="43"/>
      <c r="CX177" s="43"/>
      <c r="CY177" s="43"/>
      <c r="CZ177" s="43"/>
      <c r="DA177" s="43"/>
      <c r="DB177" s="43"/>
      <c r="DC177" s="43"/>
      <c r="DD177" s="43"/>
      <c r="DE177" s="43"/>
      <c r="DF177" s="43"/>
      <c r="DG177" s="43"/>
      <c r="DH177" s="43"/>
      <c r="DI177" s="43"/>
      <c r="DJ177" s="43"/>
      <c r="DK177" s="43"/>
      <c r="DL177" s="43"/>
      <c r="DM177" s="43"/>
      <c r="DN177" s="43"/>
      <c r="DO177" s="43"/>
      <c r="DP177" s="43"/>
      <c r="DQ177" s="43"/>
      <c r="DR177" s="43"/>
      <c r="DS177" s="43"/>
    </row>
    <row r="178" spans="1:123" ht="14.45">
      <c r="A178"/>
      <c r="B178"/>
      <c r="C178"/>
      <c r="D178"/>
      <c r="E178"/>
      <c r="F178"/>
      <c r="G178"/>
      <c r="H178"/>
      <c r="I178"/>
      <c r="J178"/>
      <c r="K178" s="44">
        <f>IF(G178+H178=0,0,SUM(G178:H178)/#REF!)</f>
        <v>0</v>
      </c>
      <c r="L178" s="44">
        <f t="shared" si="11"/>
        <v>0</v>
      </c>
      <c r="M178" s="43"/>
      <c r="N178" s="43"/>
      <c r="O178" s="43"/>
      <c r="P178" s="43"/>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3"/>
      <c r="BY178" s="43"/>
      <c r="BZ178" s="43"/>
      <c r="CA178" s="43"/>
      <c r="CB178" s="43"/>
      <c r="CC178" s="43"/>
      <c r="CD178" s="43"/>
      <c r="CE178" s="43"/>
      <c r="CF178" s="43"/>
      <c r="CG178" s="43"/>
      <c r="CH178" s="43"/>
      <c r="CI178" s="43"/>
      <c r="CJ178" s="43"/>
      <c r="CK178" s="43"/>
      <c r="CL178" s="43"/>
      <c r="CM178" s="43"/>
      <c r="CN178" s="43"/>
      <c r="CO178" s="43"/>
      <c r="CP178" s="43"/>
      <c r="CQ178" s="43"/>
      <c r="CR178" s="43"/>
      <c r="CS178" s="43"/>
      <c r="CT178" s="43"/>
      <c r="CU178" s="43"/>
      <c r="CV178" s="43"/>
      <c r="CW178" s="43"/>
      <c r="CX178" s="43"/>
      <c r="CY178" s="43"/>
      <c r="CZ178" s="43"/>
      <c r="DA178" s="43"/>
      <c r="DB178" s="43"/>
      <c r="DC178" s="43"/>
      <c r="DD178" s="43"/>
      <c r="DE178" s="43"/>
      <c r="DF178" s="43"/>
      <c r="DG178" s="43"/>
      <c r="DH178" s="43"/>
      <c r="DI178" s="43"/>
      <c r="DJ178" s="43"/>
      <c r="DK178" s="43"/>
      <c r="DL178" s="43"/>
      <c r="DM178" s="43"/>
      <c r="DN178" s="43"/>
      <c r="DO178" s="43"/>
      <c r="DP178" s="43"/>
      <c r="DQ178" s="43"/>
      <c r="DR178" s="43"/>
      <c r="DS178" s="43"/>
    </row>
    <row r="179" spans="1:123" ht="14.45">
      <c r="A179"/>
      <c r="B179"/>
      <c r="C179"/>
      <c r="D179"/>
      <c r="E179"/>
      <c r="F179"/>
      <c r="G179"/>
      <c r="H179"/>
      <c r="I179"/>
      <c r="J179"/>
      <c r="K179" s="44">
        <f>IF(G179+H179=0,0,SUM(G179:H179)/#REF!)</f>
        <v>0</v>
      </c>
      <c r="L179" s="44">
        <f t="shared" si="11"/>
        <v>0</v>
      </c>
      <c r="M179" s="43"/>
      <c r="N179" s="43"/>
      <c r="O179" s="43"/>
      <c r="P179" s="43"/>
      <c r="Q179" s="43"/>
      <c r="R179" s="43"/>
      <c r="S179" s="43"/>
      <c r="T179" s="43"/>
      <c r="U179" s="43"/>
      <c r="V179" s="43"/>
      <c r="W179" s="43"/>
      <c r="X179" s="43"/>
      <c r="Y179" s="43"/>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c r="BF179" s="43"/>
      <c r="BG179" s="43"/>
      <c r="BH179" s="43"/>
      <c r="BI179" s="43"/>
      <c r="BJ179" s="43"/>
      <c r="BK179" s="43"/>
      <c r="BL179" s="43"/>
      <c r="BM179" s="43"/>
      <c r="BN179" s="43"/>
      <c r="BO179" s="43"/>
      <c r="BP179" s="43"/>
      <c r="BQ179" s="43"/>
      <c r="BR179" s="43"/>
      <c r="BS179" s="43"/>
      <c r="BT179" s="43"/>
      <c r="BU179" s="43"/>
      <c r="BV179" s="43"/>
      <c r="BW179" s="43"/>
      <c r="BX179" s="43"/>
      <c r="BY179" s="43"/>
      <c r="BZ179" s="43"/>
      <c r="CA179" s="43"/>
      <c r="CB179" s="43"/>
      <c r="CC179" s="43"/>
      <c r="CD179" s="43"/>
      <c r="CE179" s="43"/>
      <c r="CF179" s="43"/>
      <c r="CG179" s="43"/>
      <c r="CH179" s="43"/>
      <c r="CI179" s="43"/>
      <c r="CJ179" s="43"/>
      <c r="CK179" s="43"/>
      <c r="CL179" s="43"/>
      <c r="CM179" s="43"/>
      <c r="CN179" s="43"/>
      <c r="CO179" s="43"/>
      <c r="CP179" s="43"/>
      <c r="CQ179" s="43"/>
      <c r="CR179" s="43"/>
      <c r="CS179" s="43"/>
      <c r="CT179" s="43"/>
      <c r="CU179" s="43"/>
      <c r="CV179" s="43"/>
      <c r="CW179" s="43"/>
      <c r="CX179" s="43"/>
      <c r="CY179" s="43"/>
      <c r="CZ179" s="43"/>
      <c r="DA179" s="43"/>
      <c r="DB179" s="43"/>
      <c r="DC179" s="43"/>
      <c r="DD179" s="43"/>
      <c r="DE179" s="43"/>
      <c r="DF179" s="43"/>
      <c r="DG179" s="43"/>
      <c r="DH179" s="43"/>
      <c r="DI179" s="43"/>
      <c r="DJ179" s="43"/>
      <c r="DK179" s="43"/>
      <c r="DL179" s="43"/>
      <c r="DM179" s="43"/>
      <c r="DN179" s="43"/>
      <c r="DO179" s="43"/>
      <c r="DP179" s="43"/>
      <c r="DQ179" s="43"/>
      <c r="DR179" s="43"/>
      <c r="DS179" s="43"/>
    </row>
    <row r="180" spans="1:123" ht="14.45">
      <c r="A180"/>
      <c r="B180"/>
      <c r="C180"/>
      <c r="D180"/>
      <c r="E180"/>
      <c r="F180"/>
      <c r="G180"/>
      <c r="H180"/>
      <c r="I180"/>
      <c r="J180"/>
      <c r="K180" s="44">
        <f>IF(G180+H180=0,0,SUM(G180:H180)/#REF!)</f>
        <v>0</v>
      </c>
      <c r="L180" s="44">
        <f t="shared" si="11"/>
        <v>0</v>
      </c>
      <c r="M180" s="43"/>
      <c r="N180" s="43"/>
      <c r="O180" s="43"/>
      <c r="P180" s="43"/>
      <c r="Q180" s="43"/>
      <c r="R180" s="43"/>
      <c r="S180" s="43"/>
      <c r="T180" s="43"/>
      <c r="U180" s="43"/>
      <c r="V180" s="43"/>
      <c r="W180" s="43"/>
      <c r="X180" s="43"/>
      <c r="Y180" s="43"/>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c r="BF180" s="43"/>
      <c r="BG180" s="43"/>
      <c r="BH180" s="43"/>
      <c r="BI180" s="43"/>
      <c r="BJ180" s="43"/>
      <c r="BK180" s="43"/>
      <c r="BL180" s="43"/>
      <c r="BM180" s="43"/>
      <c r="BN180" s="43"/>
      <c r="BO180" s="43"/>
      <c r="BP180" s="43"/>
      <c r="BQ180" s="43"/>
      <c r="BR180" s="43"/>
      <c r="BS180" s="43"/>
      <c r="BT180" s="43"/>
      <c r="BU180" s="43"/>
      <c r="BV180" s="43"/>
      <c r="BW180" s="43"/>
      <c r="BX180" s="43"/>
      <c r="BY180" s="43"/>
      <c r="BZ180" s="43"/>
      <c r="CA180" s="43"/>
      <c r="CB180" s="43"/>
      <c r="CC180" s="43"/>
      <c r="CD180" s="43"/>
      <c r="CE180" s="43"/>
      <c r="CF180" s="43"/>
      <c r="CG180" s="43"/>
      <c r="CH180" s="43"/>
      <c r="CI180" s="43"/>
      <c r="CJ180" s="43"/>
      <c r="CK180" s="43"/>
      <c r="CL180" s="43"/>
      <c r="CM180" s="43"/>
      <c r="CN180" s="43"/>
      <c r="CO180" s="43"/>
      <c r="CP180" s="43"/>
      <c r="CQ180" s="43"/>
      <c r="CR180" s="43"/>
      <c r="CS180" s="43"/>
      <c r="CT180" s="43"/>
      <c r="CU180" s="43"/>
      <c r="CV180" s="43"/>
      <c r="CW180" s="43"/>
      <c r="CX180" s="43"/>
      <c r="CY180" s="43"/>
      <c r="CZ180" s="43"/>
      <c r="DA180" s="43"/>
      <c r="DB180" s="43"/>
      <c r="DC180" s="43"/>
      <c r="DD180" s="43"/>
      <c r="DE180" s="43"/>
      <c r="DF180" s="43"/>
      <c r="DG180" s="43"/>
      <c r="DH180" s="43"/>
      <c r="DI180" s="43"/>
      <c r="DJ180" s="43"/>
      <c r="DK180" s="43"/>
      <c r="DL180" s="43"/>
      <c r="DM180" s="43"/>
      <c r="DN180" s="43"/>
      <c r="DO180" s="43"/>
      <c r="DP180" s="43"/>
      <c r="DQ180" s="43"/>
      <c r="DR180" s="43"/>
      <c r="DS180" s="43"/>
    </row>
    <row r="181" spans="1:123" ht="14.45">
      <c r="A181"/>
      <c r="B181"/>
      <c r="C181"/>
      <c r="D181"/>
      <c r="E181"/>
      <c r="F181"/>
      <c r="G181"/>
      <c r="H181"/>
      <c r="I181"/>
      <c r="J181"/>
      <c r="K181" s="44">
        <f>IF(G181+H181=0,0,SUM(G181:H181)/#REF!)</f>
        <v>0</v>
      </c>
      <c r="L181" s="44">
        <f t="shared" si="11"/>
        <v>0</v>
      </c>
      <c r="M181" s="43"/>
      <c r="N181" s="43"/>
      <c r="O181" s="43"/>
      <c r="P181" s="43"/>
      <c r="Q181" s="43"/>
      <c r="R181" s="43"/>
      <c r="S181" s="43"/>
      <c r="T181" s="43"/>
      <c r="U181" s="43"/>
      <c r="V181" s="43"/>
      <c r="W181" s="43"/>
      <c r="X181" s="43"/>
      <c r="Y181" s="43"/>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c r="BF181" s="43"/>
      <c r="BG181" s="43"/>
      <c r="BH181" s="43"/>
      <c r="BI181" s="43"/>
      <c r="BJ181" s="43"/>
      <c r="BK181" s="43"/>
      <c r="BL181" s="43"/>
      <c r="BM181" s="43"/>
      <c r="BN181" s="43"/>
      <c r="BO181" s="43"/>
      <c r="BP181" s="43"/>
      <c r="BQ181" s="43"/>
      <c r="BR181" s="43"/>
      <c r="BS181" s="43"/>
      <c r="BT181" s="43"/>
      <c r="BU181" s="43"/>
      <c r="BV181" s="43"/>
      <c r="BW181" s="43"/>
      <c r="BX181" s="43"/>
      <c r="BY181" s="43"/>
      <c r="BZ181" s="43"/>
      <c r="CA181" s="43"/>
      <c r="CB181" s="43"/>
      <c r="CC181" s="43"/>
      <c r="CD181" s="43"/>
      <c r="CE181" s="43"/>
      <c r="CF181" s="43"/>
      <c r="CG181" s="43"/>
      <c r="CH181" s="43"/>
      <c r="CI181" s="43"/>
      <c r="CJ181" s="43"/>
      <c r="CK181" s="43"/>
      <c r="CL181" s="43"/>
      <c r="CM181" s="43"/>
      <c r="CN181" s="43"/>
      <c r="CO181" s="43"/>
      <c r="CP181" s="43"/>
      <c r="CQ181" s="43"/>
      <c r="CR181" s="43"/>
      <c r="CS181" s="43"/>
      <c r="CT181" s="43"/>
      <c r="CU181" s="43"/>
      <c r="CV181" s="43"/>
      <c r="CW181" s="43"/>
      <c r="CX181" s="43"/>
      <c r="CY181" s="43"/>
      <c r="CZ181" s="43"/>
      <c r="DA181" s="43"/>
      <c r="DB181" s="43"/>
      <c r="DC181" s="43"/>
      <c r="DD181" s="43"/>
      <c r="DE181" s="43"/>
      <c r="DF181" s="43"/>
      <c r="DG181" s="43"/>
      <c r="DH181" s="43"/>
      <c r="DI181" s="43"/>
      <c r="DJ181" s="43"/>
      <c r="DK181" s="43"/>
      <c r="DL181" s="43"/>
      <c r="DM181" s="43"/>
      <c r="DN181" s="43"/>
      <c r="DO181" s="43"/>
      <c r="DP181" s="43"/>
      <c r="DQ181" s="43"/>
      <c r="DR181" s="43"/>
      <c r="DS181" s="43"/>
    </row>
    <row r="182" spans="1:123" ht="14.45">
      <c r="A182"/>
      <c r="B182"/>
      <c r="C182"/>
      <c r="D182"/>
      <c r="E182"/>
      <c r="F182"/>
      <c r="G182"/>
      <c r="H182"/>
      <c r="I182"/>
      <c r="J182"/>
      <c r="K182" s="44">
        <f>IF(G182+H182=0,0,SUM(G182:H182)/#REF!)</f>
        <v>0</v>
      </c>
      <c r="L182" s="44">
        <f t="shared" si="11"/>
        <v>0</v>
      </c>
      <c r="M182" s="43"/>
      <c r="N182" s="43"/>
      <c r="O182" s="43"/>
      <c r="P182" s="43"/>
      <c r="Q182" s="43"/>
      <c r="R182" s="43"/>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c r="BF182" s="43"/>
      <c r="BG182" s="43"/>
      <c r="BH182" s="43"/>
      <c r="BI182" s="43"/>
      <c r="BJ182" s="43"/>
      <c r="BK182" s="43"/>
      <c r="BL182" s="43"/>
      <c r="BM182" s="43"/>
      <c r="BN182" s="43"/>
      <c r="BO182" s="43"/>
      <c r="BP182" s="43"/>
      <c r="BQ182" s="43"/>
      <c r="BR182" s="43"/>
      <c r="BS182" s="43"/>
      <c r="BT182" s="43"/>
      <c r="BU182" s="43"/>
      <c r="BV182" s="43"/>
      <c r="BW182" s="43"/>
      <c r="BX182" s="43"/>
      <c r="BY182" s="43"/>
      <c r="BZ182" s="43"/>
      <c r="CA182" s="43"/>
      <c r="CB182" s="43"/>
      <c r="CC182" s="43"/>
      <c r="CD182" s="43"/>
      <c r="CE182" s="43"/>
      <c r="CF182" s="43"/>
      <c r="CG182" s="43"/>
      <c r="CH182" s="43"/>
      <c r="CI182" s="43"/>
      <c r="CJ182" s="43"/>
      <c r="CK182" s="43"/>
      <c r="CL182" s="43"/>
      <c r="CM182" s="43"/>
      <c r="CN182" s="43"/>
      <c r="CO182" s="43"/>
      <c r="CP182" s="43"/>
      <c r="CQ182" s="43"/>
      <c r="CR182" s="43"/>
      <c r="CS182" s="43"/>
      <c r="CT182" s="43"/>
      <c r="CU182" s="43"/>
      <c r="CV182" s="43"/>
      <c r="CW182" s="43"/>
      <c r="CX182" s="43"/>
      <c r="CY182" s="43"/>
      <c r="CZ182" s="43"/>
      <c r="DA182" s="43"/>
      <c r="DB182" s="43"/>
      <c r="DC182" s="43"/>
      <c r="DD182" s="43"/>
      <c r="DE182" s="43"/>
      <c r="DF182" s="43"/>
      <c r="DG182" s="43"/>
      <c r="DH182" s="43"/>
      <c r="DI182" s="43"/>
      <c r="DJ182" s="43"/>
      <c r="DK182" s="43"/>
      <c r="DL182" s="43"/>
      <c r="DM182" s="43"/>
      <c r="DN182" s="43"/>
      <c r="DO182" s="43"/>
      <c r="DP182" s="43"/>
      <c r="DQ182" s="43"/>
      <c r="DR182" s="43"/>
      <c r="DS182" s="43"/>
    </row>
    <row r="183" spans="1:123" ht="14.45">
      <c r="A183"/>
      <c r="B183"/>
      <c r="C183"/>
      <c r="D183"/>
      <c r="E183"/>
      <c r="F183"/>
      <c r="G183"/>
      <c r="H183"/>
      <c r="I183"/>
      <c r="J183"/>
      <c r="K183" s="44">
        <f>IF(G183+H183=0,0,SUM(G183:H183)/#REF!)</f>
        <v>0</v>
      </c>
      <c r="L183" s="44">
        <f t="shared" si="11"/>
        <v>0</v>
      </c>
      <c r="M183" s="43"/>
      <c r="N183" s="43"/>
      <c r="O183" s="43"/>
      <c r="P183" s="43"/>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c r="BF183" s="43"/>
      <c r="BG183" s="43"/>
      <c r="BH183" s="43"/>
      <c r="BI183" s="43"/>
      <c r="BJ183" s="43"/>
      <c r="BK183" s="43"/>
      <c r="BL183" s="43"/>
      <c r="BM183" s="43"/>
      <c r="BN183" s="43"/>
      <c r="BO183" s="43"/>
      <c r="BP183" s="43"/>
      <c r="BQ183" s="43"/>
      <c r="BR183" s="43"/>
      <c r="BS183" s="43"/>
      <c r="BT183" s="43"/>
      <c r="BU183" s="43"/>
      <c r="BV183" s="43"/>
      <c r="BW183" s="43"/>
      <c r="BX183" s="43"/>
      <c r="BY183" s="43"/>
      <c r="BZ183" s="43"/>
      <c r="CA183" s="43"/>
      <c r="CB183" s="43"/>
      <c r="CC183" s="43"/>
      <c r="CD183" s="43"/>
      <c r="CE183" s="43"/>
      <c r="CF183" s="43"/>
      <c r="CG183" s="43"/>
      <c r="CH183" s="43"/>
      <c r="CI183" s="43"/>
      <c r="CJ183" s="43"/>
      <c r="CK183" s="43"/>
      <c r="CL183" s="43"/>
      <c r="CM183" s="43"/>
      <c r="CN183" s="43"/>
      <c r="CO183" s="43"/>
      <c r="CP183" s="43"/>
      <c r="CQ183" s="43"/>
      <c r="CR183" s="43"/>
      <c r="CS183" s="43"/>
      <c r="CT183" s="43"/>
      <c r="CU183" s="43"/>
      <c r="CV183" s="43"/>
      <c r="CW183" s="43"/>
      <c r="CX183" s="43"/>
      <c r="CY183" s="43"/>
      <c r="CZ183" s="43"/>
      <c r="DA183" s="43"/>
      <c r="DB183" s="43"/>
      <c r="DC183" s="43"/>
      <c r="DD183" s="43"/>
      <c r="DE183" s="43"/>
      <c r="DF183" s="43"/>
      <c r="DG183" s="43"/>
      <c r="DH183" s="43"/>
      <c r="DI183" s="43"/>
      <c r="DJ183" s="43"/>
      <c r="DK183" s="43"/>
      <c r="DL183" s="43"/>
      <c r="DM183" s="43"/>
      <c r="DN183" s="43"/>
      <c r="DO183" s="43"/>
      <c r="DP183" s="43"/>
      <c r="DQ183" s="43"/>
      <c r="DR183" s="43"/>
      <c r="DS183" s="43"/>
    </row>
    <row r="184" spans="1:123" ht="14.45">
      <c r="A184"/>
      <c r="B184"/>
      <c r="C184"/>
      <c r="D184"/>
      <c r="E184"/>
      <c r="F184"/>
      <c r="G184"/>
      <c r="H184"/>
      <c r="I184"/>
      <c r="J184"/>
      <c r="K184" s="44">
        <f>IF(G184+H184=0,0,SUM(G184:H184)/#REF!)</f>
        <v>0</v>
      </c>
      <c r="L184" s="44">
        <f t="shared" si="11"/>
        <v>0</v>
      </c>
      <c r="M184" s="43"/>
      <c r="N184" s="43"/>
      <c r="O184" s="43"/>
      <c r="P184" s="43"/>
      <c r="Q184" s="43"/>
      <c r="R184" s="43"/>
      <c r="S184" s="43"/>
      <c r="T184" s="43"/>
      <c r="U184" s="43"/>
      <c r="V184" s="43"/>
      <c r="W184" s="43"/>
      <c r="X184" s="43"/>
      <c r="Y184" s="43"/>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c r="BF184" s="43"/>
      <c r="BG184" s="43"/>
      <c r="BH184" s="43"/>
      <c r="BI184" s="43"/>
      <c r="BJ184" s="43"/>
      <c r="BK184" s="43"/>
      <c r="BL184" s="43"/>
      <c r="BM184" s="43"/>
      <c r="BN184" s="43"/>
      <c r="BO184" s="43"/>
      <c r="BP184" s="43"/>
      <c r="BQ184" s="43"/>
      <c r="BR184" s="43"/>
      <c r="BS184" s="43"/>
      <c r="BT184" s="43"/>
      <c r="BU184" s="43"/>
      <c r="BV184" s="43"/>
      <c r="BW184" s="43"/>
      <c r="BX184" s="43"/>
      <c r="BY184" s="43"/>
      <c r="BZ184" s="43"/>
      <c r="CA184" s="43"/>
      <c r="CB184" s="43"/>
      <c r="CC184" s="43"/>
      <c r="CD184" s="43"/>
      <c r="CE184" s="43"/>
      <c r="CF184" s="43"/>
      <c r="CG184" s="43"/>
      <c r="CH184" s="43"/>
      <c r="CI184" s="43"/>
      <c r="CJ184" s="43"/>
      <c r="CK184" s="43"/>
      <c r="CL184" s="43"/>
      <c r="CM184" s="43"/>
      <c r="CN184" s="43"/>
      <c r="CO184" s="43"/>
      <c r="CP184" s="43"/>
      <c r="CQ184" s="43"/>
      <c r="CR184" s="43"/>
      <c r="CS184" s="43"/>
      <c r="CT184" s="43"/>
      <c r="CU184" s="43"/>
      <c r="CV184" s="43"/>
      <c r="CW184" s="43"/>
      <c r="CX184" s="43"/>
      <c r="CY184" s="43"/>
      <c r="CZ184" s="43"/>
      <c r="DA184" s="43"/>
      <c r="DB184" s="43"/>
      <c r="DC184" s="43"/>
      <c r="DD184" s="43"/>
      <c r="DE184" s="43"/>
      <c r="DF184" s="43"/>
      <c r="DG184" s="43"/>
      <c r="DH184" s="43"/>
      <c r="DI184" s="43"/>
      <c r="DJ184" s="43"/>
      <c r="DK184" s="43"/>
      <c r="DL184" s="43"/>
      <c r="DM184" s="43"/>
      <c r="DN184" s="43"/>
      <c r="DO184" s="43"/>
      <c r="DP184" s="43"/>
      <c r="DQ184" s="43"/>
      <c r="DR184" s="43"/>
      <c r="DS184" s="43"/>
    </row>
    <row r="185" spans="1:123" ht="14.45">
      <c r="A185"/>
      <c r="B185"/>
      <c r="C185"/>
      <c r="D185"/>
      <c r="E185"/>
      <c r="F185"/>
      <c r="G185"/>
      <c r="H185"/>
      <c r="I185"/>
      <c r="J185"/>
      <c r="K185" s="44">
        <f>IF(G185+H185=0,0,SUM(G185:H185)/#REF!)</f>
        <v>0</v>
      </c>
      <c r="L185" s="44">
        <f t="shared" si="11"/>
        <v>0</v>
      </c>
      <c r="M185" s="43"/>
      <c r="N185" s="43"/>
      <c r="O185" s="43"/>
      <c r="P185" s="43"/>
      <c r="Q185" s="43"/>
      <c r="R185" s="43"/>
      <c r="S185" s="43"/>
      <c r="T185" s="43"/>
      <c r="U185" s="43"/>
      <c r="V185" s="43"/>
      <c r="W185" s="43"/>
      <c r="X185" s="43"/>
      <c r="Y185" s="43"/>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c r="BF185" s="43"/>
      <c r="BG185" s="43"/>
      <c r="BH185" s="43"/>
      <c r="BI185" s="43"/>
      <c r="BJ185" s="43"/>
      <c r="BK185" s="43"/>
      <c r="BL185" s="43"/>
      <c r="BM185" s="43"/>
      <c r="BN185" s="43"/>
      <c r="BO185" s="43"/>
      <c r="BP185" s="43"/>
      <c r="BQ185" s="43"/>
      <c r="BR185" s="43"/>
      <c r="BS185" s="43"/>
      <c r="BT185" s="43"/>
      <c r="BU185" s="43"/>
      <c r="BV185" s="43"/>
      <c r="BW185" s="43"/>
      <c r="BX185" s="43"/>
      <c r="BY185" s="43"/>
      <c r="BZ185" s="43"/>
      <c r="CA185" s="43"/>
      <c r="CB185" s="43"/>
      <c r="CC185" s="43"/>
      <c r="CD185" s="43"/>
      <c r="CE185" s="43"/>
      <c r="CF185" s="43"/>
      <c r="CG185" s="43"/>
      <c r="CH185" s="43"/>
      <c r="CI185" s="43"/>
      <c r="CJ185" s="43"/>
      <c r="CK185" s="43"/>
      <c r="CL185" s="43"/>
      <c r="CM185" s="43"/>
      <c r="CN185" s="43"/>
      <c r="CO185" s="43"/>
      <c r="CP185" s="43"/>
      <c r="CQ185" s="43"/>
      <c r="CR185" s="43"/>
      <c r="CS185" s="43"/>
      <c r="CT185" s="43"/>
      <c r="CU185" s="43"/>
      <c r="CV185" s="43"/>
      <c r="CW185" s="43"/>
      <c r="CX185" s="43"/>
      <c r="CY185" s="43"/>
      <c r="CZ185" s="43"/>
      <c r="DA185" s="43"/>
      <c r="DB185" s="43"/>
      <c r="DC185" s="43"/>
      <c r="DD185" s="43"/>
      <c r="DE185" s="43"/>
      <c r="DF185" s="43"/>
      <c r="DG185" s="43"/>
      <c r="DH185" s="43"/>
      <c r="DI185" s="43"/>
      <c r="DJ185" s="43"/>
      <c r="DK185" s="43"/>
      <c r="DL185" s="43"/>
      <c r="DM185" s="43"/>
      <c r="DN185" s="43"/>
      <c r="DO185" s="43"/>
      <c r="DP185" s="43"/>
      <c r="DQ185" s="43"/>
      <c r="DR185" s="43"/>
      <c r="DS185" s="43"/>
    </row>
    <row r="186" spans="1:123" ht="14.45">
      <c r="A186"/>
      <c r="B186"/>
      <c r="C186"/>
      <c r="D186"/>
      <c r="E186"/>
      <c r="F186"/>
      <c r="G186"/>
      <c r="H186"/>
      <c r="I186"/>
      <c r="J186"/>
      <c r="K186" s="44">
        <f>IF(G186+H186=0,0,SUM(G186:H186)/#REF!)</f>
        <v>0</v>
      </c>
      <c r="L186" s="44">
        <f t="shared" si="11"/>
        <v>0</v>
      </c>
      <c r="M186" s="43"/>
      <c r="N186" s="43"/>
      <c r="O186" s="43"/>
      <c r="P186" s="43"/>
      <c r="Q186" s="43"/>
      <c r="R186" s="43"/>
      <c r="S186" s="43"/>
      <c r="T186" s="43"/>
      <c r="U186" s="43"/>
      <c r="V186" s="43"/>
      <c r="W186" s="43"/>
      <c r="X186" s="43"/>
      <c r="Y186" s="43"/>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c r="BF186" s="43"/>
      <c r="BG186" s="43"/>
      <c r="BH186" s="43"/>
      <c r="BI186" s="43"/>
      <c r="BJ186" s="43"/>
      <c r="BK186" s="43"/>
      <c r="BL186" s="43"/>
      <c r="BM186" s="43"/>
      <c r="BN186" s="43"/>
      <c r="BO186" s="43"/>
      <c r="BP186" s="43"/>
      <c r="BQ186" s="43"/>
      <c r="BR186" s="43"/>
      <c r="BS186" s="43"/>
      <c r="BT186" s="43"/>
      <c r="BU186" s="43"/>
      <c r="BV186" s="43"/>
      <c r="BW186" s="43"/>
      <c r="BX186" s="43"/>
      <c r="BY186" s="43"/>
      <c r="BZ186" s="43"/>
      <c r="CA186" s="43"/>
      <c r="CB186" s="43"/>
      <c r="CC186" s="43"/>
      <c r="CD186" s="43"/>
      <c r="CE186" s="43"/>
      <c r="CF186" s="43"/>
      <c r="CG186" s="43"/>
      <c r="CH186" s="43"/>
      <c r="CI186" s="43"/>
      <c r="CJ186" s="43"/>
      <c r="CK186" s="43"/>
      <c r="CL186" s="43"/>
      <c r="CM186" s="43"/>
      <c r="CN186" s="43"/>
      <c r="CO186" s="43"/>
      <c r="CP186" s="43"/>
      <c r="CQ186" s="43"/>
      <c r="CR186" s="43"/>
      <c r="CS186" s="43"/>
      <c r="CT186" s="43"/>
      <c r="CU186" s="43"/>
      <c r="CV186" s="43"/>
      <c r="CW186" s="43"/>
      <c r="CX186" s="43"/>
      <c r="CY186" s="43"/>
      <c r="CZ186" s="43"/>
      <c r="DA186" s="43"/>
      <c r="DB186" s="43"/>
      <c r="DC186" s="43"/>
      <c r="DD186" s="43"/>
      <c r="DE186" s="43"/>
      <c r="DF186" s="43"/>
      <c r="DG186" s="43"/>
      <c r="DH186" s="43"/>
      <c r="DI186" s="43"/>
      <c r="DJ186" s="43"/>
      <c r="DK186" s="43"/>
      <c r="DL186" s="43"/>
      <c r="DM186" s="43"/>
      <c r="DN186" s="43"/>
      <c r="DO186" s="43"/>
      <c r="DP186" s="43"/>
      <c r="DQ186" s="43"/>
      <c r="DR186" s="43"/>
      <c r="DS186" s="43"/>
    </row>
    <row r="187" spans="1:123" ht="14.45">
      <c r="A187"/>
      <c r="B187"/>
      <c r="C187"/>
      <c r="D187"/>
      <c r="E187"/>
      <c r="F187"/>
      <c r="G187"/>
      <c r="H187"/>
      <c r="I187"/>
      <c r="J187"/>
      <c r="K187" s="44">
        <f>IF(G187+H187=0,0,SUM(G187:H187)/#REF!)</f>
        <v>0</v>
      </c>
      <c r="L187" s="44">
        <f t="shared" si="11"/>
        <v>0</v>
      </c>
      <c r="M187" s="43"/>
      <c r="N187" s="43"/>
      <c r="O187" s="43"/>
      <c r="P187" s="43"/>
      <c r="Q187" s="43"/>
      <c r="R187" s="43"/>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c r="BF187" s="43"/>
      <c r="BG187" s="43"/>
      <c r="BH187" s="43"/>
      <c r="BI187" s="43"/>
      <c r="BJ187" s="43"/>
      <c r="BK187" s="43"/>
      <c r="BL187" s="43"/>
      <c r="BM187" s="43"/>
      <c r="BN187" s="43"/>
      <c r="BO187" s="43"/>
      <c r="BP187" s="43"/>
      <c r="BQ187" s="43"/>
      <c r="BR187" s="43"/>
      <c r="BS187" s="43"/>
      <c r="BT187" s="43"/>
      <c r="BU187" s="43"/>
      <c r="BV187" s="43"/>
      <c r="BW187" s="43"/>
      <c r="BX187" s="43"/>
      <c r="BY187" s="43"/>
      <c r="BZ187" s="43"/>
      <c r="CA187" s="43"/>
      <c r="CB187" s="43"/>
      <c r="CC187" s="43"/>
      <c r="CD187" s="43"/>
      <c r="CE187" s="43"/>
      <c r="CF187" s="43"/>
      <c r="CG187" s="43"/>
      <c r="CH187" s="43"/>
      <c r="CI187" s="43"/>
      <c r="CJ187" s="43"/>
      <c r="CK187" s="43"/>
      <c r="CL187" s="43"/>
      <c r="CM187" s="43"/>
      <c r="CN187" s="43"/>
      <c r="CO187" s="43"/>
      <c r="CP187" s="43"/>
      <c r="CQ187" s="43"/>
      <c r="CR187" s="43"/>
      <c r="CS187" s="43"/>
      <c r="CT187" s="43"/>
      <c r="CU187" s="43"/>
      <c r="CV187" s="43"/>
      <c r="CW187" s="43"/>
      <c r="CX187" s="43"/>
      <c r="CY187" s="43"/>
      <c r="CZ187" s="43"/>
      <c r="DA187" s="43"/>
      <c r="DB187" s="43"/>
      <c r="DC187" s="43"/>
      <c r="DD187" s="43"/>
      <c r="DE187" s="43"/>
      <c r="DF187" s="43"/>
      <c r="DG187" s="43"/>
      <c r="DH187" s="43"/>
      <c r="DI187" s="43"/>
      <c r="DJ187" s="43"/>
      <c r="DK187" s="43"/>
      <c r="DL187" s="43"/>
      <c r="DM187" s="43"/>
      <c r="DN187" s="43"/>
      <c r="DO187" s="43"/>
      <c r="DP187" s="43"/>
      <c r="DQ187" s="43"/>
      <c r="DR187" s="43"/>
      <c r="DS187" s="43"/>
    </row>
    <row r="188" spans="1:123" ht="14.45">
      <c r="A188"/>
      <c r="B188"/>
      <c r="C188"/>
      <c r="D188"/>
      <c r="E188"/>
      <c r="F188"/>
      <c r="G188"/>
      <c r="H188"/>
      <c r="I188"/>
      <c r="J188"/>
      <c r="K188" s="44">
        <f>IF(G188+H188=0,0,SUM(G188:H188)/#REF!)</f>
        <v>0</v>
      </c>
      <c r="L188" s="44">
        <f t="shared" si="11"/>
        <v>0</v>
      </c>
      <c r="M188" s="43"/>
      <c r="N188" s="43"/>
      <c r="O188" s="43"/>
      <c r="P188" s="43"/>
      <c r="Q188" s="43"/>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c r="BF188" s="43"/>
      <c r="BG188" s="43"/>
      <c r="BH188" s="43"/>
      <c r="BI188" s="43"/>
      <c r="BJ188" s="43"/>
      <c r="BK188" s="43"/>
      <c r="BL188" s="43"/>
      <c r="BM188" s="43"/>
      <c r="BN188" s="43"/>
      <c r="BO188" s="43"/>
      <c r="BP188" s="43"/>
      <c r="BQ188" s="43"/>
      <c r="BR188" s="43"/>
      <c r="BS188" s="43"/>
      <c r="BT188" s="43"/>
      <c r="BU188" s="43"/>
      <c r="BV188" s="43"/>
      <c r="BW188" s="43"/>
      <c r="BX188" s="43"/>
      <c r="BY188" s="43"/>
      <c r="BZ188" s="43"/>
      <c r="CA188" s="43"/>
      <c r="CB188" s="43"/>
      <c r="CC188" s="43"/>
      <c r="CD188" s="43"/>
      <c r="CE188" s="43"/>
      <c r="CF188" s="43"/>
      <c r="CG188" s="43"/>
      <c r="CH188" s="43"/>
      <c r="CI188" s="43"/>
      <c r="CJ188" s="43"/>
      <c r="CK188" s="43"/>
      <c r="CL188" s="43"/>
      <c r="CM188" s="43"/>
      <c r="CN188" s="43"/>
      <c r="CO188" s="43"/>
      <c r="CP188" s="43"/>
      <c r="CQ188" s="43"/>
      <c r="CR188" s="43"/>
      <c r="CS188" s="43"/>
      <c r="CT188" s="43"/>
      <c r="CU188" s="43"/>
      <c r="CV188" s="43"/>
      <c r="CW188" s="43"/>
      <c r="CX188" s="43"/>
      <c r="CY188" s="43"/>
      <c r="CZ188" s="43"/>
      <c r="DA188" s="43"/>
      <c r="DB188" s="43"/>
      <c r="DC188" s="43"/>
      <c r="DD188" s="43"/>
      <c r="DE188" s="43"/>
      <c r="DF188" s="43"/>
      <c r="DG188" s="43"/>
      <c r="DH188" s="43"/>
      <c r="DI188" s="43"/>
      <c r="DJ188" s="43"/>
      <c r="DK188" s="43"/>
      <c r="DL188" s="43"/>
      <c r="DM188" s="43"/>
      <c r="DN188" s="43"/>
      <c r="DO188" s="43"/>
      <c r="DP188" s="43"/>
      <c r="DQ188" s="43"/>
      <c r="DR188" s="43"/>
      <c r="DS188" s="43"/>
    </row>
    <row r="189" spans="1:123" ht="14.45">
      <c r="A189"/>
      <c r="B189"/>
      <c r="C189"/>
      <c r="D189"/>
      <c r="E189"/>
      <c r="F189"/>
      <c r="G189"/>
      <c r="H189"/>
      <c r="I189"/>
      <c r="J189"/>
      <c r="K189" s="44">
        <f>IF(G189+H189=0,0,SUM(G189:H189)/#REF!)</f>
        <v>0</v>
      </c>
      <c r="L189" s="44">
        <f t="shared" si="11"/>
        <v>0</v>
      </c>
      <c r="M189" s="43"/>
      <c r="N189" s="43"/>
      <c r="O189" s="43"/>
      <c r="P189" s="43"/>
      <c r="Q189" s="43"/>
      <c r="R189" s="43"/>
      <c r="S189" s="43"/>
      <c r="T189" s="43"/>
      <c r="U189" s="43"/>
      <c r="V189" s="43"/>
      <c r="W189" s="43"/>
      <c r="X189" s="43"/>
      <c r="Y189" s="43"/>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c r="BF189" s="43"/>
      <c r="BG189" s="43"/>
      <c r="BH189" s="43"/>
      <c r="BI189" s="43"/>
      <c r="BJ189" s="43"/>
      <c r="BK189" s="43"/>
      <c r="BL189" s="43"/>
      <c r="BM189" s="43"/>
      <c r="BN189" s="43"/>
      <c r="BO189" s="43"/>
      <c r="BP189" s="43"/>
      <c r="BQ189" s="43"/>
      <c r="BR189" s="43"/>
      <c r="BS189" s="43"/>
      <c r="BT189" s="43"/>
      <c r="BU189" s="43"/>
      <c r="BV189" s="43"/>
      <c r="BW189" s="43"/>
      <c r="BX189" s="43"/>
      <c r="BY189" s="43"/>
      <c r="BZ189" s="43"/>
      <c r="CA189" s="43"/>
      <c r="CB189" s="43"/>
      <c r="CC189" s="43"/>
      <c r="CD189" s="43"/>
      <c r="CE189" s="43"/>
      <c r="CF189" s="43"/>
      <c r="CG189" s="43"/>
      <c r="CH189" s="43"/>
      <c r="CI189" s="43"/>
      <c r="CJ189" s="43"/>
      <c r="CK189" s="43"/>
      <c r="CL189" s="43"/>
      <c r="CM189" s="43"/>
      <c r="CN189" s="43"/>
      <c r="CO189" s="43"/>
      <c r="CP189" s="43"/>
      <c r="CQ189" s="43"/>
      <c r="CR189" s="43"/>
      <c r="CS189" s="43"/>
      <c r="CT189" s="43"/>
      <c r="CU189" s="43"/>
      <c r="CV189" s="43"/>
      <c r="CW189" s="43"/>
      <c r="CX189" s="43"/>
      <c r="CY189" s="43"/>
      <c r="CZ189" s="43"/>
      <c r="DA189" s="43"/>
      <c r="DB189" s="43"/>
      <c r="DC189" s="43"/>
      <c r="DD189" s="43"/>
      <c r="DE189" s="43"/>
      <c r="DF189" s="43"/>
      <c r="DG189" s="43"/>
      <c r="DH189" s="43"/>
      <c r="DI189" s="43"/>
      <c r="DJ189" s="43"/>
      <c r="DK189" s="43"/>
      <c r="DL189" s="43"/>
      <c r="DM189" s="43"/>
      <c r="DN189" s="43"/>
      <c r="DO189" s="43"/>
      <c r="DP189" s="43"/>
      <c r="DQ189" s="43"/>
      <c r="DR189" s="43"/>
      <c r="DS189" s="43"/>
    </row>
    <row r="190" spans="1:123" ht="14.45">
      <c r="A190"/>
      <c r="B190"/>
      <c r="C190"/>
      <c r="D190"/>
      <c r="E190"/>
      <c r="F190"/>
      <c r="G190"/>
      <c r="H190"/>
      <c r="I190"/>
      <c r="J190"/>
      <c r="K190" s="44">
        <f>IF(G190+H190=0,0,SUM(G190:H190)/#REF!)</f>
        <v>0</v>
      </c>
      <c r="L190" s="44">
        <f t="shared" si="11"/>
        <v>0</v>
      </c>
      <c r="M190" s="43"/>
      <c r="N190" s="43"/>
      <c r="O190" s="43"/>
      <c r="P190" s="43"/>
      <c r="Q190" s="43"/>
      <c r="R190" s="43"/>
      <c r="S190" s="43"/>
      <c r="T190" s="43"/>
      <c r="U190" s="43"/>
      <c r="V190" s="43"/>
      <c r="W190" s="43"/>
      <c r="X190" s="43"/>
      <c r="Y190" s="43"/>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c r="BF190" s="43"/>
      <c r="BG190" s="43"/>
      <c r="BH190" s="43"/>
      <c r="BI190" s="43"/>
      <c r="BJ190" s="43"/>
      <c r="BK190" s="43"/>
      <c r="BL190" s="43"/>
      <c r="BM190" s="43"/>
      <c r="BN190" s="43"/>
      <c r="BO190" s="43"/>
      <c r="BP190" s="43"/>
      <c r="BQ190" s="43"/>
      <c r="BR190" s="43"/>
      <c r="BS190" s="43"/>
      <c r="BT190" s="43"/>
      <c r="BU190" s="43"/>
      <c r="BV190" s="43"/>
      <c r="BW190" s="43"/>
      <c r="BX190" s="43"/>
      <c r="BY190" s="43"/>
      <c r="BZ190" s="43"/>
      <c r="CA190" s="43"/>
      <c r="CB190" s="43"/>
      <c r="CC190" s="43"/>
      <c r="CD190" s="43"/>
      <c r="CE190" s="43"/>
      <c r="CF190" s="43"/>
      <c r="CG190" s="43"/>
      <c r="CH190" s="43"/>
      <c r="CI190" s="43"/>
      <c r="CJ190" s="43"/>
      <c r="CK190" s="43"/>
      <c r="CL190" s="43"/>
      <c r="CM190" s="43"/>
      <c r="CN190" s="43"/>
      <c r="CO190" s="43"/>
      <c r="CP190" s="43"/>
      <c r="CQ190" s="43"/>
      <c r="CR190" s="43"/>
      <c r="CS190" s="43"/>
      <c r="CT190" s="43"/>
      <c r="CU190" s="43"/>
      <c r="CV190" s="43"/>
      <c r="CW190" s="43"/>
      <c r="CX190" s="43"/>
      <c r="CY190" s="43"/>
      <c r="CZ190" s="43"/>
      <c r="DA190" s="43"/>
      <c r="DB190" s="43"/>
      <c r="DC190" s="43"/>
      <c r="DD190" s="43"/>
      <c r="DE190" s="43"/>
      <c r="DF190" s="43"/>
      <c r="DG190" s="43"/>
      <c r="DH190" s="43"/>
      <c r="DI190" s="43"/>
      <c r="DJ190" s="43"/>
      <c r="DK190" s="43"/>
      <c r="DL190" s="43"/>
      <c r="DM190" s="43"/>
      <c r="DN190" s="43"/>
      <c r="DO190" s="43"/>
      <c r="DP190" s="43"/>
      <c r="DQ190" s="43"/>
      <c r="DR190" s="43"/>
      <c r="DS190" s="43"/>
    </row>
    <row r="191" spans="1:123" ht="14.45">
      <c r="A191"/>
      <c r="B191"/>
      <c r="C191"/>
      <c r="D191"/>
      <c r="E191"/>
      <c r="F191"/>
      <c r="G191"/>
      <c r="H191"/>
      <c r="I191"/>
      <c r="J191"/>
      <c r="K191" s="43"/>
      <c r="L191" s="43"/>
      <c r="M191" s="43"/>
      <c r="N191" s="43"/>
      <c r="O191" s="43"/>
      <c r="P191" s="43"/>
      <c r="Q191" s="43"/>
      <c r="R191" s="43"/>
      <c r="S191" s="43"/>
      <c r="T191" s="43"/>
      <c r="U191" s="43"/>
      <c r="V191" s="43"/>
      <c r="W191" s="43"/>
      <c r="X191" s="43"/>
      <c r="Y191" s="43"/>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c r="BF191" s="43"/>
      <c r="BG191" s="43"/>
      <c r="BH191" s="43"/>
      <c r="BI191" s="43"/>
      <c r="BJ191" s="43"/>
      <c r="BK191" s="43"/>
      <c r="BL191" s="43"/>
      <c r="BM191" s="43"/>
      <c r="BN191" s="43"/>
      <c r="BO191" s="43"/>
      <c r="BP191" s="43"/>
      <c r="BQ191" s="43"/>
      <c r="BR191" s="43"/>
      <c r="BS191" s="43"/>
      <c r="BT191" s="43"/>
      <c r="BU191" s="43"/>
      <c r="BV191" s="43"/>
      <c r="BW191" s="43"/>
      <c r="BX191" s="43"/>
      <c r="BY191" s="43"/>
      <c r="BZ191" s="43"/>
      <c r="CA191" s="43"/>
      <c r="CB191" s="43"/>
      <c r="CC191" s="43"/>
      <c r="CD191" s="43"/>
      <c r="CE191" s="43"/>
      <c r="CF191" s="43"/>
      <c r="CG191" s="43"/>
      <c r="CH191" s="43"/>
      <c r="CI191" s="43"/>
      <c r="CJ191" s="43"/>
      <c r="CK191" s="43"/>
      <c r="CL191" s="43"/>
      <c r="CM191" s="43"/>
      <c r="CN191" s="43"/>
      <c r="CO191" s="43"/>
      <c r="CP191" s="43"/>
      <c r="CQ191" s="43"/>
      <c r="CR191" s="43"/>
      <c r="CS191" s="43"/>
      <c r="CT191" s="43"/>
      <c r="CU191" s="43"/>
      <c r="CV191" s="43"/>
      <c r="CW191" s="43"/>
      <c r="CX191" s="43"/>
      <c r="CY191" s="43"/>
      <c r="CZ191" s="43"/>
      <c r="DA191" s="43"/>
      <c r="DB191" s="43"/>
      <c r="DC191" s="43"/>
      <c r="DD191" s="43"/>
      <c r="DE191" s="43"/>
      <c r="DF191" s="43"/>
      <c r="DG191" s="43"/>
      <c r="DH191" s="43"/>
      <c r="DI191" s="43"/>
      <c r="DJ191" s="43"/>
      <c r="DK191" s="43"/>
      <c r="DL191" s="43"/>
      <c r="DM191" s="43"/>
      <c r="DN191" s="43"/>
      <c r="DO191" s="43"/>
      <c r="DP191" s="43"/>
      <c r="DQ191" s="43"/>
      <c r="DR191" s="43"/>
      <c r="DS191" s="43"/>
    </row>
    <row r="192" spans="1:123" ht="14.45">
      <c r="A192"/>
      <c r="B192"/>
      <c r="C192"/>
      <c r="D192"/>
      <c r="E192"/>
      <c r="F192"/>
      <c r="G192"/>
      <c r="H192"/>
      <c r="I192"/>
      <c r="J192"/>
      <c r="K192" s="43"/>
      <c r="L192" s="43"/>
      <c r="M192" s="43"/>
      <c r="N192" s="43"/>
      <c r="O192" s="43"/>
      <c r="P192" s="43"/>
      <c r="Q192" s="43"/>
      <c r="R192" s="43"/>
      <c r="S192" s="43"/>
      <c r="T192" s="43"/>
      <c r="U192" s="43"/>
      <c r="V192" s="43"/>
      <c r="W192" s="43"/>
      <c r="X192" s="43"/>
      <c r="Y192" s="43"/>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c r="BF192" s="43"/>
      <c r="BG192" s="43"/>
      <c r="BH192" s="43"/>
      <c r="BI192" s="43"/>
      <c r="BJ192" s="43"/>
      <c r="BK192" s="43"/>
      <c r="BL192" s="43"/>
      <c r="BM192" s="43"/>
      <c r="BN192" s="43"/>
      <c r="BO192" s="43"/>
      <c r="BP192" s="43"/>
      <c r="BQ192" s="43"/>
      <c r="BR192" s="43"/>
      <c r="BS192" s="43"/>
      <c r="BT192" s="43"/>
      <c r="BU192" s="43"/>
      <c r="BV192" s="43"/>
      <c r="BW192" s="43"/>
      <c r="BX192" s="43"/>
      <c r="BY192" s="43"/>
      <c r="BZ192" s="43"/>
      <c r="CA192" s="43"/>
      <c r="CB192" s="43"/>
      <c r="CC192" s="43"/>
      <c r="CD192" s="43"/>
      <c r="CE192" s="43"/>
      <c r="CF192" s="43"/>
      <c r="CG192" s="43"/>
      <c r="CH192" s="43"/>
      <c r="CI192" s="43"/>
      <c r="CJ192" s="43"/>
      <c r="CK192" s="43"/>
      <c r="CL192" s="43"/>
      <c r="CM192" s="43"/>
      <c r="CN192" s="43"/>
      <c r="CO192" s="43"/>
      <c r="CP192" s="43"/>
      <c r="CQ192" s="43"/>
      <c r="CR192" s="43"/>
      <c r="CS192" s="43"/>
      <c r="CT192" s="43"/>
      <c r="CU192" s="43"/>
      <c r="CV192" s="43"/>
      <c r="CW192" s="43"/>
      <c r="CX192" s="43"/>
      <c r="CY192" s="43"/>
      <c r="CZ192" s="43"/>
      <c r="DA192" s="43"/>
      <c r="DB192" s="43"/>
      <c r="DC192" s="43"/>
      <c r="DD192" s="43"/>
      <c r="DE192" s="43"/>
      <c r="DF192" s="43"/>
      <c r="DG192" s="43"/>
      <c r="DH192" s="43"/>
      <c r="DI192" s="43"/>
      <c r="DJ192" s="43"/>
      <c r="DK192" s="43"/>
      <c r="DL192" s="43"/>
      <c r="DM192" s="43"/>
      <c r="DN192" s="43"/>
      <c r="DO192" s="43"/>
      <c r="DP192" s="43"/>
      <c r="DQ192" s="43"/>
      <c r="DR192" s="43"/>
      <c r="DS192" s="43"/>
    </row>
    <row r="193" spans="1:123" ht="14.45">
      <c r="A193"/>
      <c r="B193"/>
      <c r="C193"/>
      <c r="D193"/>
      <c r="E193"/>
      <c r="F193"/>
      <c r="G193"/>
      <c r="H193"/>
      <c r="I193"/>
      <c r="J193"/>
      <c r="K193" s="43"/>
      <c r="L193" s="43"/>
      <c r="M193" s="43"/>
      <c r="N193" s="43"/>
      <c r="O193" s="43"/>
      <c r="P193" s="43"/>
      <c r="Q193" s="43"/>
      <c r="R193" s="43"/>
      <c r="S193" s="43"/>
      <c r="T193" s="43"/>
      <c r="U193" s="43"/>
      <c r="V193" s="43"/>
      <c r="W193" s="43"/>
      <c r="X193" s="43"/>
      <c r="Y193" s="43"/>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c r="BF193" s="43"/>
      <c r="BG193" s="43"/>
      <c r="BH193" s="43"/>
      <c r="BI193" s="43"/>
      <c r="BJ193" s="43"/>
      <c r="BK193" s="43"/>
      <c r="BL193" s="43"/>
      <c r="BM193" s="43"/>
      <c r="BN193" s="43"/>
      <c r="BO193" s="43"/>
      <c r="BP193" s="43"/>
      <c r="BQ193" s="43"/>
      <c r="BR193" s="43"/>
      <c r="BS193" s="43"/>
      <c r="BT193" s="43"/>
      <c r="BU193" s="43"/>
      <c r="BV193" s="43"/>
      <c r="BW193" s="43"/>
      <c r="BX193" s="43"/>
      <c r="BY193" s="43"/>
      <c r="BZ193" s="43"/>
      <c r="CA193" s="43"/>
      <c r="CB193" s="43"/>
      <c r="CC193" s="43"/>
      <c r="CD193" s="43"/>
      <c r="CE193" s="43"/>
      <c r="CF193" s="43"/>
      <c r="CG193" s="43"/>
      <c r="CH193" s="43"/>
      <c r="CI193" s="43"/>
      <c r="CJ193" s="43"/>
      <c r="CK193" s="43"/>
      <c r="CL193" s="43"/>
      <c r="CM193" s="43"/>
      <c r="CN193" s="43"/>
      <c r="CO193" s="43"/>
      <c r="CP193" s="43"/>
      <c r="CQ193" s="43"/>
      <c r="CR193" s="43"/>
      <c r="CS193" s="43"/>
      <c r="CT193" s="43"/>
      <c r="CU193" s="43"/>
      <c r="CV193" s="43"/>
      <c r="CW193" s="43"/>
      <c r="CX193" s="43"/>
      <c r="CY193" s="43"/>
      <c r="CZ193" s="43"/>
      <c r="DA193" s="43"/>
      <c r="DB193" s="43"/>
      <c r="DC193" s="43"/>
      <c r="DD193" s="43"/>
      <c r="DE193" s="43"/>
      <c r="DF193" s="43"/>
      <c r="DG193" s="43"/>
      <c r="DH193" s="43"/>
      <c r="DI193" s="43"/>
      <c r="DJ193" s="43"/>
      <c r="DK193" s="43"/>
      <c r="DL193" s="43"/>
      <c r="DM193" s="43"/>
      <c r="DN193" s="43"/>
      <c r="DO193" s="43"/>
      <c r="DP193" s="43"/>
      <c r="DQ193" s="43"/>
      <c r="DR193" s="43"/>
      <c r="DS193" s="43"/>
    </row>
    <row r="194" spans="1:123" ht="14.45">
      <c r="A194"/>
      <c r="B194"/>
      <c r="C194"/>
      <c r="D194"/>
      <c r="E194"/>
      <c r="F194"/>
      <c r="G194"/>
      <c r="H194"/>
      <c r="I194"/>
      <c r="J194"/>
      <c r="K194" s="43"/>
      <c r="L194" s="43"/>
      <c r="M194" s="43"/>
      <c r="N194" s="43"/>
      <c r="O194" s="43"/>
      <c r="P194" s="43"/>
      <c r="Q194" s="43"/>
      <c r="R194" s="43"/>
      <c r="S194" s="43"/>
      <c r="T194" s="43"/>
      <c r="U194" s="43"/>
      <c r="V194" s="43"/>
      <c r="W194" s="43"/>
      <c r="X194" s="43"/>
      <c r="Y194" s="43"/>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c r="BF194" s="43"/>
      <c r="BG194" s="43"/>
      <c r="BH194" s="43"/>
      <c r="BI194" s="43"/>
      <c r="BJ194" s="43"/>
      <c r="BK194" s="43"/>
      <c r="BL194" s="43"/>
      <c r="BM194" s="43"/>
      <c r="BN194" s="43"/>
      <c r="BO194" s="43"/>
      <c r="BP194" s="43"/>
      <c r="BQ194" s="43"/>
      <c r="BR194" s="43"/>
      <c r="BS194" s="43"/>
      <c r="BT194" s="43"/>
      <c r="BU194" s="43"/>
      <c r="BV194" s="43"/>
      <c r="BW194" s="43"/>
      <c r="BX194" s="43"/>
      <c r="BY194" s="43"/>
      <c r="BZ194" s="43"/>
      <c r="CA194" s="43"/>
      <c r="CB194" s="43"/>
      <c r="CC194" s="43"/>
      <c r="CD194" s="43"/>
      <c r="CE194" s="43"/>
      <c r="CF194" s="43"/>
      <c r="CG194" s="43"/>
      <c r="CH194" s="43"/>
      <c r="CI194" s="43"/>
      <c r="CJ194" s="43"/>
      <c r="CK194" s="43"/>
      <c r="CL194" s="43"/>
      <c r="CM194" s="43"/>
      <c r="CN194" s="43"/>
      <c r="CO194" s="43"/>
      <c r="CP194" s="43"/>
      <c r="CQ194" s="43"/>
      <c r="CR194" s="43"/>
      <c r="CS194" s="43"/>
      <c r="CT194" s="43"/>
      <c r="CU194" s="43"/>
      <c r="CV194" s="43"/>
      <c r="CW194" s="43"/>
      <c r="CX194" s="43"/>
      <c r="CY194" s="43"/>
      <c r="CZ194" s="43"/>
      <c r="DA194" s="43"/>
      <c r="DB194" s="43"/>
      <c r="DC194" s="43"/>
      <c r="DD194" s="43"/>
      <c r="DE194" s="43"/>
      <c r="DF194" s="43"/>
      <c r="DG194" s="43"/>
      <c r="DH194" s="43"/>
      <c r="DI194" s="43"/>
      <c r="DJ194" s="43"/>
      <c r="DK194" s="43"/>
      <c r="DL194" s="43"/>
      <c r="DM194" s="43"/>
      <c r="DN194" s="43"/>
      <c r="DO194" s="43"/>
      <c r="DP194" s="43"/>
      <c r="DQ194" s="43"/>
      <c r="DR194" s="43"/>
      <c r="DS194" s="43"/>
    </row>
    <row r="195" spans="1:123" ht="14.45">
      <c r="A195"/>
      <c r="B195"/>
      <c r="C195"/>
      <c r="D195"/>
      <c r="E195"/>
      <c r="F195"/>
      <c r="G195"/>
      <c r="H195"/>
      <c r="I195"/>
      <c r="J195"/>
      <c r="K195" s="43"/>
      <c r="L195" s="43"/>
      <c r="M195" s="43"/>
      <c r="N195" s="43"/>
      <c r="O195" s="43"/>
      <c r="P195" s="43"/>
      <c r="Q195" s="43"/>
      <c r="R195" s="43"/>
      <c r="S195" s="43"/>
      <c r="T195" s="43"/>
      <c r="U195" s="43"/>
      <c r="V195" s="43"/>
      <c r="W195" s="43"/>
      <c r="X195" s="43"/>
      <c r="Y195" s="43"/>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c r="BF195" s="43"/>
      <c r="BG195" s="43"/>
      <c r="BH195" s="43"/>
      <c r="BI195" s="43"/>
      <c r="BJ195" s="43"/>
      <c r="BK195" s="43"/>
      <c r="BL195" s="43"/>
      <c r="BM195" s="43"/>
      <c r="BN195" s="43"/>
      <c r="BO195" s="43"/>
      <c r="BP195" s="43"/>
      <c r="BQ195" s="43"/>
      <c r="BR195" s="43"/>
      <c r="BS195" s="43"/>
      <c r="BT195" s="43"/>
      <c r="BU195" s="43"/>
      <c r="BV195" s="43"/>
      <c r="BW195" s="43"/>
      <c r="BX195" s="43"/>
      <c r="BY195" s="43"/>
      <c r="BZ195" s="43"/>
      <c r="CA195" s="43"/>
      <c r="CB195" s="43"/>
      <c r="CC195" s="43"/>
      <c r="CD195" s="43"/>
      <c r="CE195" s="43"/>
      <c r="CF195" s="43"/>
      <c r="CG195" s="43"/>
      <c r="CH195" s="43"/>
      <c r="CI195" s="43"/>
      <c r="CJ195" s="43"/>
      <c r="CK195" s="43"/>
      <c r="CL195" s="43"/>
      <c r="CM195" s="43"/>
      <c r="CN195" s="43"/>
      <c r="CO195" s="43"/>
      <c r="CP195" s="43"/>
      <c r="CQ195" s="43"/>
      <c r="CR195" s="43"/>
      <c r="CS195" s="43"/>
      <c r="CT195" s="43"/>
      <c r="CU195" s="43"/>
      <c r="CV195" s="43"/>
      <c r="CW195" s="43"/>
      <c r="CX195" s="43"/>
      <c r="CY195" s="43"/>
      <c r="CZ195" s="43"/>
      <c r="DA195" s="43"/>
      <c r="DB195" s="43"/>
      <c r="DC195" s="43"/>
      <c r="DD195" s="43"/>
      <c r="DE195" s="43"/>
      <c r="DF195" s="43"/>
      <c r="DG195" s="43"/>
      <c r="DH195" s="43"/>
      <c r="DI195" s="43"/>
      <c r="DJ195" s="43"/>
      <c r="DK195" s="43"/>
      <c r="DL195" s="43"/>
      <c r="DM195" s="43"/>
      <c r="DN195" s="43"/>
      <c r="DO195" s="43"/>
      <c r="DP195" s="43"/>
      <c r="DQ195" s="43"/>
      <c r="DR195" s="43"/>
      <c r="DS195" s="43"/>
    </row>
    <row r="196" spans="1:123" ht="14.45">
      <c r="A196"/>
      <c r="B196"/>
      <c r="C196"/>
      <c r="D196"/>
      <c r="E196"/>
      <c r="F196"/>
      <c r="G196"/>
      <c r="H196"/>
      <c r="I196"/>
      <c r="J196"/>
      <c r="K196" s="43"/>
      <c r="L196" s="43"/>
      <c r="M196" s="43"/>
      <c r="N196" s="43"/>
      <c r="O196" s="43"/>
      <c r="P196" s="43"/>
      <c r="Q196" s="43"/>
      <c r="R196" s="43"/>
      <c r="S196" s="43"/>
      <c r="T196" s="43"/>
      <c r="U196" s="43"/>
      <c r="V196" s="43"/>
      <c r="W196" s="43"/>
      <c r="X196" s="43"/>
      <c r="Y196" s="43"/>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c r="BF196" s="43"/>
      <c r="BG196" s="43"/>
      <c r="BH196" s="43"/>
      <c r="BI196" s="43"/>
      <c r="BJ196" s="43"/>
      <c r="BK196" s="43"/>
      <c r="BL196" s="43"/>
      <c r="BM196" s="43"/>
      <c r="BN196" s="43"/>
      <c r="BO196" s="43"/>
      <c r="BP196" s="43"/>
      <c r="BQ196" s="43"/>
      <c r="BR196" s="43"/>
      <c r="BS196" s="43"/>
      <c r="BT196" s="43"/>
      <c r="BU196" s="43"/>
      <c r="BV196" s="43"/>
      <c r="BW196" s="43"/>
      <c r="BX196" s="43"/>
      <c r="BY196" s="43"/>
      <c r="BZ196" s="43"/>
      <c r="CA196" s="43"/>
      <c r="CB196" s="43"/>
      <c r="CC196" s="43"/>
      <c r="CD196" s="43"/>
      <c r="CE196" s="43"/>
      <c r="CF196" s="43"/>
      <c r="CG196" s="43"/>
      <c r="CH196" s="43"/>
      <c r="CI196" s="43"/>
      <c r="CJ196" s="43"/>
      <c r="CK196" s="43"/>
      <c r="CL196" s="43"/>
      <c r="CM196" s="43"/>
      <c r="CN196" s="43"/>
      <c r="CO196" s="43"/>
      <c r="CP196" s="43"/>
      <c r="CQ196" s="43"/>
      <c r="CR196" s="43"/>
      <c r="CS196" s="43"/>
      <c r="CT196" s="43"/>
      <c r="CU196" s="43"/>
      <c r="CV196" s="43"/>
      <c r="CW196" s="43"/>
      <c r="CX196" s="43"/>
      <c r="CY196" s="43"/>
      <c r="CZ196" s="43"/>
      <c r="DA196" s="43"/>
      <c r="DB196" s="43"/>
      <c r="DC196" s="43"/>
      <c r="DD196" s="43"/>
      <c r="DE196" s="43"/>
      <c r="DF196" s="43"/>
      <c r="DG196" s="43"/>
      <c r="DH196" s="43"/>
      <c r="DI196" s="43"/>
      <c r="DJ196" s="43"/>
      <c r="DK196" s="43"/>
      <c r="DL196" s="43"/>
      <c r="DM196" s="43"/>
      <c r="DN196" s="43"/>
      <c r="DO196" s="43"/>
      <c r="DP196" s="43"/>
      <c r="DQ196" s="43"/>
      <c r="DR196" s="43"/>
      <c r="DS196" s="43"/>
    </row>
    <row r="197" spans="1:123" ht="14.45">
      <c r="A197"/>
      <c r="B197"/>
      <c r="C197"/>
      <c r="D197"/>
      <c r="E197"/>
      <c r="F197"/>
      <c r="G197"/>
      <c r="H197"/>
      <c r="I197"/>
      <c r="J197"/>
      <c r="K197" s="43"/>
      <c r="L197" s="43"/>
      <c r="M197" s="43"/>
      <c r="N197" s="43"/>
      <c r="O197" s="43"/>
      <c r="P197" s="43"/>
      <c r="Q197" s="43"/>
      <c r="R197" s="43"/>
      <c r="S197" s="43"/>
      <c r="T197" s="43"/>
      <c r="U197" s="43"/>
      <c r="V197" s="43"/>
      <c r="W197" s="43"/>
      <c r="X197" s="43"/>
      <c r="Y197" s="43"/>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c r="BF197" s="43"/>
      <c r="BG197" s="43"/>
      <c r="BH197" s="43"/>
      <c r="BI197" s="43"/>
      <c r="BJ197" s="43"/>
      <c r="BK197" s="43"/>
      <c r="BL197" s="43"/>
      <c r="BM197" s="43"/>
      <c r="BN197" s="43"/>
      <c r="BO197" s="43"/>
      <c r="BP197" s="43"/>
      <c r="BQ197" s="43"/>
      <c r="BR197" s="43"/>
      <c r="BS197" s="43"/>
      <c r="BT197" s="43"/>
      <c r="BU197" s="43"/>
      <c r="BV197" s="43"/>
      <c r="BW197" s="43"/>
      <c r="BX197" s="43"/>
      <c r="BY197" s="43"/>
      <c r="BZ197" s="43"/>
      <c r="CA197" s="43"/>
      <c r="CB197" s="43"/>
      <c r="CC197" s="43"/>
      <c r="CD197" s="43"/>
      <c r="CE197" s="43"/>
      <c r="CF197" s="43"/>
      <c r="CG197" s="43"/>
      <c r="CH197" s="43"/>
      <c r="CI197" s="43"/>
      <c r="CJ197" s="43"/>
      <c r="CK197" s="43"/>
      <c r="CL197" s="43"/>
      <c r="CM197" s="43"/>
      <c r="CN197" s="43"/>
      <c r="CO197" s="43"/>
      <c r="CP197" s="43"/>
      <c r="CQ197" s="43"/>
      <c r="CR197" s="43"/>
      <c r="CS197" s="43"/>
      <c r="CT197" s="43"/>
      <c r="CU197" s="43"/>
      <c r="CV197" s="43"/>
      <c r="CW197" s="43"/>
      <c r="CX197" s="43"/>
      <c r="CY197" s="43"/>
      <c r="CZ197" s="43"/>
      <c r="DA197" s="43"/>
      <c r="DB197" s="43"/>
      <c r="DC197" s="43"/>
      <c r="DD197" s="43"/>
      <c r="DE197" s="43"/>
      <c r="DF197" s="43"/>
      <c r="DG197" s="43"/>
      <c r="DH197" s="43"/>
      <c r="DI197" s="43"/>
      <c r="DJ197" s="43"/>
      <c r="DK197" s="43"/>
      <c r="DL197" s="43"/>
      <c r="DM197" s="43"/>
      <c r="DN197" s="43"/>
      <c r="DO197" s="43"/>
      <c r="DP197" s="43"/>
      <c r="DQ197" s="43"/>
      <c r="DR197" s="43"/>
      <c r="DS197" s="43"/>
    </row>
    <row r="198" spans="1:123" ht="14.45">
      <c r="A198"/>
      <c r="B198"/>
      <c r="C198"/>
      <c r="D198"/>
      <c r="E198"/>
      <c r="F198"/>
      <c r="G198"/>
      <c r="H198"/>
      <c r="I198"/>
      <c r="J198"/>
      <c r="K198" s="43"/>
      <c r="L198" s="43"/>
      <c r="M198" s="43"/>
      <c r="N198" s="43"/>
      <c r="O198" s="43"/>
      <c r="P198" s="43"/>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c r="BF198" s="43"/>
      <c r="BG198" s="43"/>
      <c r="BH198" s="43"/>
      <c r="BI198" s="43"/>
      <c r="BJ198" s="43"/>
      <c r="BK198" s="43"/>
      <c r="BL198" s="43"/>
      <c r="BM198" s="43"/>
      <c r="BN198" s="43"/>
      <c r="BO198" s="43"/>
      <c r="BP198" s="43"/>
      <c r="BQ198" s="43"/>
      <c r="BR198" s="43"/>
      <c r="BS198" s="43"/>
      <c r="BT198" s="43"/>
      <c r="BU198" s="43"/>
      <c r="BV198" s="43"/>
      <c r="BW198" s="43"/>
      <c r="BX198" s="43"/>
      <c r="BY198" s="43"/>
      <c r="BZ198" s="43"/>
      <c r="CA198" s="43"/>
      <c r="CB198" s="43"/>
      <c r="CC198" s="43"/>
      <c r="CD198" s="43"/>
      <c r="CE198" s="43"/>
      <c r="CF198" s="43"/>
      <c r="CG198" s="43"/>
      <c r="CH198" s="43"/>
      <c r="CI198" s="43"/>
      <c r="CJ198" s="43"/>
      <c r="CK198" s="43"/>
      <c r="CL198" s="43"/>
      <c r="CM198" s="43"/>
      <c r="CN198" s="43"/>
      <c r="CO198" s="43"/>
      <c r="CP198" s="43"/>
      <c r="CQ198" s="43"/>
      <c r="CR198" s="43"/>
      <c r="CS198" s="43"/>
      <c r="CT198" s="43"/>
      <c r="CU198" s="43"/>
      <c r="CV198" s="43"/>
      <c r="CW198" s="43"/>
      <c r="CX198" s="43"/>
      <c r="CY198" s="43"/>
      <c r="CZ198" s="43"/>
      <c r="DA198" s="43"/>
      <c r="DB198" s="43"/>
      <c r="DC198" s="43"/>
      <c r="DD198" s="43"/>
      <c r="DE198" s="43"/>
      <c r="DF198" s="43"/>
      <c r="DG198" s="43"/>
      <c r="DH198" s="43"/>
      <c r="DI198" s="43"/>
      <c r="DJ198" s="43"/>
      <c r="DK198" s="43"/>
      <c r="DL198" s="43"/>
      <c r="DM198" s="43"/>
      <c r="DN198" s="43"/>
      <c r="DO198" s="43"/>
      <c r="DP198" s="43"/>
      <c r="DQ198" s="43"/>
      <c r="DR198" s="43"/>
      <c r="DS198" s="43"/>
    </row>
    <row r="199" spans="1:123" ht="14.45">
      <c r="A199"/>
      <c r="B199"/>
      <c r="C199"/>
      <c r="D199"/>
      <c r="E199"/>
      <c r="F199"/>
      <c r="G199"/>
      <c r="H199"/>
      <c r="I199"/>
      <c r="J199"/>
      <c r="K199" s="43"/>
      <c r="L199" s="43"/>
      <c r="M199" s="43"/>
      <c r="N199" s="43"/>
      <c r="O199" s="43"/>
      <c r="P199" s="43"/>
      <c r="Q199" s="43"/>
      <c r="R199" s="43"/>
      <c r="S199" s="43"/>
      <c r="T199" s="43"/>
      <c r="U199" s="43"/>
      <c r="V199" s="43"/>
      <c r="W199" s="43"/>
      <c r="X199" s="43"/>
      <c r="Y199" s="43"/>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c r="BF199" s="43"/>
      <c r="BG199" s="43"/>
      <c r="BH199" s="43"/>
      <c r="BI199" s="43"/>
      <c r="BJ199" s="43"/>
      <c r="BK199" s="43"/>
      <c r="BL199" s="43"/>
      <c r="BM199" s="43"/>
      <c r="BN199" s="43"/>
      <c r="BO199" s="43"/>
      <c r="BP199" s="43"/>
      <c r="BQ199" s="43"/>
      <c r="BR199" s="43"/>
      <c r="BS199" s="43"/>
      <c r="BT199" s="43"/>
      <c r="BU199" s="43"/>
      <c r="BV199" s="43"/>
      <c r="BW199" s="43"/>
      <c r="BX199" s="43"/>
      <c r="BY199" s="43"/>
      <c r="BZ199" s="43"/>
      <c r="CA199" s="43"/>
      <c r="CB199" s="43"/>
      <c r="CC199" s="43"/>
      <c r="CD199" s="43"/>
      <c r="CE199" s="43"/>
      <c r="CF199" s="43"/>
      <c r="CG199" s="43"/>
      <c r="CH199" s="43"/>
      <c r="CI199" s="43"/>
      <c r="CJ199" s="43"/>
      <c r="CK199" s="43"/>
      <c r="CL199" s="43"/>
      <c r="CM199" s="43"/>
      <c r="CN199" s="43"/>
      <c r="CO199" s="43"/>
      <c r="CP199" s="43"/>
      <c r="CQ199" s="43"/>
      <c r="CR199" s="43"/>
      <c r="CS199" s="43"/>
      <c r="CT199" s="43"/>
      <c r="CU199" s="43"/>
      <c r="CV199" s="43"/>
      <c r="CW199" s="43"/>
      <c r="CX199" s="43"/>
      <c r="CY199" s="43"/>
      <c r="CZ199" s="43"/>
      <c r="DA199" s="43"/>
      <c r="DB199" s="43"/>
      <c r="DC199" s="43"/>
      <c r="DD199" s="43"/>
      <c r="DE199" s="43"/>
      <c r="DF199" s="43"/>
      <c r="DG199" s="43"/>
      <c r="DH199" s="43"/>
      <c r="DI199" s="43"/>
      <c r="DJ199" s="43"/>
      <c r="DK199" s="43"/>
      <c r="DL199" s="43"/>
      <c r="DM199" s="43"/>
      <c r="DN199" s="43"/>
      <c r="DO199" s="43"/>
      <c r="DP199" s="43"/>
      <c r="DQ199" s="43"/>
      <c r="DR199" s="43"/>
      <c r="DS199" s="43"/>
    </row>
    <row r="200" spans="1:123" ht="14.45">
      <c r="A200"/>
      <c r="B200"/>
      <c r="C200"/>
      <c r="D200"/>
      <c r="E200"/>
      <c r="F200"/>
      <c r="G200"/>
      <c r="H200"/>
      <c r="I200"/>
      <c r="J200"/>
      <c r="K200" s="43"/>
      <c r="L200" s="43"/>
      <c r="M200" s="43"/>
      <c r="N200" s="43"/>
      <c r="O200" s="43"/>
      <c r="P200" s="43"/>
      <c r="Q200" s="43"/>
      <c r="R200" s="43"/>
      <c r="S200" s="43"/>
      <c r="T200" s="43"/>
      <c r="U200" s="43"/>
      <c r="V200" s="43"/>
      <c r="W200" s="43"/>
      <c r="X200" s="43"/>
      <c r="Y200" s="43"/>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c r="BF200" s="43"/>
      <c r="BG200" s="43"/>
      <c r="BH200" s="43"/>
      <c r="BI200" s="43"/>
      <c r="BJ200" s="43"/>
      <c r="BK200" s="43"/>
      <c r="BL200" s="43"/>
      <c r="BM200" s="43"/>
      <c r="BN200" s="43"/>
      <c r="BO200" s="43"/>
      <c r="BP200" s="43"/>
      <c r="BQ200" s="43"/>
      <c r="BR200" s="43"/>
      <c r="BS200" s="43"/>
      <c r="BT200" s="43"/>
      <c r="BU200" s="43"/>
      <c r="BV200" s="43"/>
      <c r="BW200" s="43"/>
      <c r="BX200" s="43"/>
      <c r="BY200" s="43"/>
      <c r="BZ200" s="43"/>
      <c r="CA200" s="43"/>
      <c r="CB200" s="43"/>
      <c r="CC200" s="43"/>
      <c r="CD200" s="43"/>
      <c r="CE200" s="43"/>
      <c r="CF200" s="43"/>
      <c r="CG200" s="43"/>
      <c r="CH200" s="43"/>
      <c r="CI200" s="43"/>
      <c r="CJ200" s="43"/>
      <c r="CK200" s="43"/>
      <c r="CL200" s="43"/>
      <c r="CM200" s="43"/>
      <c r="CN200" s="43"/>
      <c r="CO200" s="43"/>
      <c r="CP200" s="43"/>
      <c r="CQ200" s="43"/>
      <c r="CR200" s="43"/>
      <c r="CS200" s="43"/>
      <c r="CT200" s="43"/>
      <c r="CU200" s="43"/>
      <c r="CV200" s="43"/>
      <c r="CW200" s="43"/>
      <c r="CX200" s="43"/>
      <c r="CY200" s="43"/>
      <c r="CZ200" s="43"/>
      <c r="DA200" s="43"/>
      <c r="DB200" s="43"/>
      <c r="DC200" s="43"/>
      <c r="DD200" s="43"/>
      <c r="DE200" s="43"/>
      <c r="DF200" s="43"/>
      <c r="DG200" s="43"/>
      <c r="DH200" s="43"/>
      <c r="DI200" s="43"/>
      <c r="DJ200" s="43"/>
      <c r="DK200" s="43"/>
      <c r="DL200" s="43"/>
      <c r="DM200" s="43"/>
      <c r="DN200" s="43"/>
      <c r="DO200" s="43"/>
      <c r="DP200" s="43"/>
      <c r="DQ200" s="43"/>
      <c r="DR200" s="43"/>
      <c r="DS200" s="43"/>
    </row>
    <row r="201" spans="1:123" ht="14.45">
      <c r="A201"/>
      <c r="B201"/>
      <c r="C201"/>
      <c r="D201"/>
      <c r="E201"/>
      <c r="F201"/>
      <c r="G201"/>
      <c r="H201"/>
      <c r="I201"/>
      <c r="J201"/>
      <c r="K201" s="43"/>
      <c r="L201" s="43"/>
      <c r="M201" s="43"/>
      <c r="N201" s="43"/>
      <c r="O201" s="43"/>
      <c r="P201" s="43"/>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43"/>
      <c r="BK201" s="43"/>
      <c r="BL201" s="43"/>
      <c r="BM201" s="43"/>
      <c r="BN201" s="43"/>
      <c r="BO201" s="43"/>
      <c r="BP201" s="43"/>
      <c r="BQ201" s="43"/>
      <c r="BR201" s="43"/>
      <c r="BS201" s="43"/>
      <c r="BT201" s="43"/>
      <c r="BU201" s="43"/>
      <c r="BV201" s="43"/>
      <c r="BW201" s="43"/>
      <c r="BX201" s="43"/>
      <c r="BY201" s="43"/>
      <c r="BZ201" s="43"/>
      <c r="CA201" s="43"/>
      <c r="CB201" s="43"/>
      <c r="CC201" s="43"/>
      <c r="CD201" s="43"/>
      <c r="CE201" s="43"/>
      <c r="CF201" s="43"/>
      <c r="CG201" s="43"/>
      <c r="CH201" s="43"/>
      <c r="CI201" s="43"/>
      <c r="CJ201" s="43"/>
      <c r="CK201" s="43"/>
      <c r="CL201" s="43"/>
      <c r="CM201" s="43"/>
      <c r="CN201" s="43"/>
      <c r="CO201" s="43"/>
      <c r="CP201" s="43"/>
      <c r="CQ201" s="43"/>
      <c r="CR201" s="43"/>
      <c r="CS201" s="43"/>
      <c r="CT201" s="43"/>
      <c r="CU201" s="43"/>
      <c r="CV201" s="43"/>
      <c r="CW201" s="43"/>
      <c r="CX201" s="43"/>
      <c r="CY201" s="43"/>
      <c r="CZ201" s="43"/>
      <c r="DA201" s="43"/>
      <c r="DB201" s="43"/>
      <c r="DC201" s="43"/>
      <c r="DD201" s="43"/>
      <c r="DE201" s="43"/>
      <c r="DF201" s="43"/>
      <c r="DG201" s="43"/>
      <c r="DH201" s="43"/>
      <c r="DI201" s="43"/>
      <c r="DJ201" s="43"/>
      <c r="DK201" s="43"/>
      <c r="DL201" s="43"/>
      <c r="DM201" s="43"/>
      <c r="DN201" s="43"/>
      <c r="DO201" s="43"/>
      <c r="DP201" s="43"/>
      <c r="DQ201" s="43"/>
      <c r="DR201" s="43"/>
      <c r="DS201" s="43"/>
    </row>
    <row r="202" spans="1:123" ht="14.45">
      <c r="A202"/>
      <c r="B202"/>
      <c r="C202"/>
      <c r="D202"/>
      <c r="E202"/>
      <c r="F202"/>
      <c r="G202"/>
      <c r="H202"/>
      <c r="I202"/>
      <c r="J202"/>
      <c r="K202" s="43"/>
      <c r="L202" s="43"/>
      <c r="M202" s="43"/>
      <c r="N202" s="43"/>
      <c r="O202" s="43"/>
      <c r="P202" s="43"/>
      <c r="Q202" s="43"/>
      <c r="R202" s="43"/>
      <c r="S202" s="43"/>
      <c r="T202" s="43"/>
      <c r="U202" s="43"/>
      <c r="V202" s="43"/>
      <c r="W202" s="43"/>
      <c r="X202" s="43"/>
      <c r="Y202" s="43"/>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c r="BF202" s="43"/>
      <c r="BG202" s="43"/>
      <c r="BH202" s="43"/>
      <c r="BI202" s="43"/>
      <c r="BJ202" s="43"/>
      <c r="BK202" s="43"/>
      <c r="BL202" s="43"/>
      <c r="BM202" s="43"/>
      <c r="BN202" s="43"/>
      <c r="BO202" s="43"/>
      <c r="BP202" s="43"/>
      <c r="BQ202" s="43"/>
      <c r="BR202" s="43"/>
      <c r="BS202" s="43"/>
      <c r="BT202" s="43"/>
      <c r="BU202" s="43"/>
      <c r="BV202" s="43"/>
      <c r="BW202" s="43"/>
      <c r="BX202" s="43"/>
      <c r="BY202" s="43"/>
      <c r="BZ202" s="43"/>
      <c r="CA202" s="43"/>
      <c r="CB202" s="43"/>
      <c r="CC202" s="43"/>
      <c r="CD202" s="43"/>
      <c r="CE202" s="43"/>
      <c r="CF202" s="43"/>
      <c r="CG202" s="43"/>
      <c r="CH202" s="43"/>
      <c r="CI202" s="43"/>
      <c r="CJ202" s="43"/>
      <c r="CK202" s="43"/>
      <c r="CL202" s="43"/>
      <c r="CM202" s="43"/>
      <c r="CN202" s="43"/>
      <c r="CO202" s="43"/>
      <c r="CP202" s="43"/>
      <c r="CQ202" s="43"/>
      <c r="CR202" s="43"/>
      <c r="CS202" s="43"/>
      <c r="CT202" s="43"/>
      <c r="CU202" s="43"/>
      <c r="CV202" s="43"/>
      <c r="CW202" s="43"/>
      <c r="CX202" s="43"/>
      <c r="CY202" s="43"/>
      <c r="CZ202" s="43"/>
      <c r="DA202" s="43"/>
      <c r="DB202" s="43"/>
      <c r="DC202" s="43"/>
      <c r="DD202" s="43"/>
      <c r="DE202" s="43"/>
      <c r="DF202" s="43"/>
      <c r="DG202" s="43"/>
      <c r="DH202" s="43"/>
      <c r="DI202" s="43"/>
      <c r="DJ202" s="43"/>
      <c r="DK202" s="43"/>
      <c r="DL202" s="43"/>
      <c r="DM202" s="43"/>
      <c r="DN202" s="43"/>
      <c r="DO202" s="43"/>
      <c r="DP202" s="43"/>
      <c r="DQ202" s="43"/>
      <c r="DR202" s="43"/>
      <c r="DS202" s="43"/>
    </row>
    <row r="203" spans="1:123" ht="14.45">
      <c r="A203"/>
      <c r="B203"/>
      <c r="C203"/>
      <c r="D203"/>
      <c r="E203"/>
      <c r="F203"/>
      <c r="G203"/>
      <c r="H203"/>
      <c r="I203"/>
      <c r="J203"/>
      <c r="K203" s="43"/>
      <c r="L203" s="43"/>
      <c r="M203" s="43"/>
      <c r="N203" s="43"/>
      <c r="O203" s="43"/>
      <c r="P203" s="43"/>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c r="BF203" s="43"/>
      <c r="BG203" s="43"/>
      <c r="BH203" s="43"/>
      <c r="BI203" s="43"/>
      <c r="BJ203" s="43"/>
      <c r="BK203" s="43"/>
      <c r="BL203" s="43"/>
      <c r="BM203" s="43"/>
      <c r="BN203" s="43"/>
      <c r="BO203" s="43"/>
      <c r="BP203" s="43"/>
      <c r="BQ203" s="43"/>
      <c r="BR203" s="43"/>
      <c r="BS203" s="43"/>
      <c r="BT203" s="43"/>
      <c r="BU203" s="43"/>
      <c r="BV203" s="43"/>
      <c r="BW203" s="43"/>
      <c r="BX203" s="43"/>
      <c r="BY203" s="43"/>
      <c r="BZ203" s="43"/>
      <c r="CA203" s="43"/>
      <c r="CB203" s="43"/>
      <c r="CC203" s="43"/>
      <c r="CD203" s="43"/>
      <c r="CE203" s="43"/>
      <c r="CF203" s="43"/>
      <c r="CG203" s="43"/>
      <c r="CH203" s="43"/>
      <c r="CI203" s="43"/>
      <c r="CJ203" s="43"/>
      <c r="CK203" s="43"/>
      <c r="CL203" s="43"/>
      <c r="CM203" s="43"/>
      <c r="CN203" s="43"/>
      <c r="CO203" s="43"/>
      <c r="CP203" s="43"/>
      <c r="CQ203" s="43"/>
      <c r="CR203" s="43"/>
      <c r="CS203" s="43"/>
      <c r="CT203" s="43"/>
      <c r="CU203" s="43"/>
      <c r="CV203" s="43"/>
      <c r="CW203" s="43"/>
      <c r="CX203" s="43"/>
      <c r="CY203" s="43"/>
      <c r="CZ203" s="43"/>
      <c r="DA203" s="43"/>
      <c r="DB203" s="43"/>
      <c r="DC203" s="43"/>
      <c r="DD203" s="43"/>
      <c r="DE203" s="43"/>
      <c r="DF203" s="43"/>
      <c r="DG203" s="43"/>
      <c r="DH203" s="43"/>
      <c r="DI203" s="43"/>
      <c r="DJ203" s="43"/>
      <c r="DK203" s="43"/>
      <c r="DL203" s="43"/>
      <c r="DM203" s="43"/>
      <c r="DN203" s="43"/>
      <c r="DO203" s="43"/>
      <c r="DP203" s="43"/>
      <c r="DQ203" s="43"/>
      <c r="DR203" s="43"/>
      <c r="DS203" s="43"/>
    </row>
    <row r="204" spans="1:123" ht="14.45">
      <c r="A204"/>
      <c r="B204"/>
      <c r="C204"/>
      <c r="D204"/>
      <c r="E204"/>
      <c r="F204"/>
      <c r="G204"/>
      <c r="H204"/>
      <c r="I204"/>
      <c r="J204"/>
      <c r="K204" s="43"/>
      <c r="L204" s="43"/>
      <c r="M204" s="43"/>
      <c r="N204" s="43"/>
      <c r="O204" s="43"/>
      <c r="P204" s="43"/>
      <c r="Q204" s="43"/>
      <c r="R204" s="43"/>
      <c r="S204" s="43"/>
      <c r="T204" s="43"/>
      <c r="U204" s="43"/>
      <c r="V204" s="43"/>
      <c r="W204" s="43"/>
      <c r="X204" s="43"/>
      <c r="Y204" s="43"/>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c r="BF204" s="43"/>
      <c r="BG204" s="43"/>
      <c r="BH204" s="43"/>
      <c r="BI204" s="43"/>
      <c r="BJ204" s="43"/>
      <c r="BK204" s="43"/>
      <c r="BL204" s="43"/>
      <c r="BM204" s="43"/>
      <c r="BN204" s="43"/>
      <c r="BO204" s="43"/>
      <c r="BP204" s="43"/>
      <c r="BQ204" s="43"/>
      <c r="BR204" s="43"/>
      <c r="BS204" s="43"/>
      <c r="BT204" s="43"/>
      <c r="BU204" s="43"/>
      <c r="BV204" s="43"/>
      <c r="BW204" s="43"/>
      <c r="BX204" s="43"/>
      <c r="BY204" s="43"/>
      <c r="BZ204" s="43"/>
      <c r="CA204" s="43"/>
      <c r="CB204" s="43"/>
      <c r="CC204" s="43"/>
      <c r="CD204" s="43"/>
      <c r="CE204" s="43"/>
      <c r="CF204" s="43"/>
      <c r="CG204" s="43"/>
      <c r="CH204" s="43"/>
      <c r="CI204" s="43"/>
      <c r="CJ204" s="43"/>
      <c r="CK204" s="43"/>
      <c r="CL204" s="43"/>
      <c r="CM204" s="43"/>
      <c r="CN204" s="43"/>
      <c r="CO204" s="43"/>
      <c r="CP204" s="43"/>
      <c r="CQ204" s="43"/>
      <c r="CR204" s="43"/>
      <c r="CS204" s="43"/>
      <c r="CT204" s="43"/>
      <c r="CU204" s="43"/>
      <c r="CV204" s="43"/>
      <c r="CW204" s="43"/>
      <c r="CX204" s="43"/>
      <c r="CY204" s="43"/>
      <c r="CZ204" s="43"/>
      <c r="DA204" s="43"/>
      <c r="DB204" s="43"/>
      <c r="DC204" s="43"/>
      <c r="DD204" s="43"/>
      <c r="DE204" s="43"/>
      <c r="DF204" s="43"/>
      <c r="DG204" s="43"/>
      <c r="DH204" s="43"/>
      <c r="DI204" s="43"/>
      <c r="DJ204" s="43"/>
      <c r="DK204" s="43"/>
      <c r="DL204" s="43"/>
      <c r="DM204" s="43"/>
      <c r="DN204" s="43"/>
      <c r="DO204" s="43"/>
      <c r="DP204" s="43"/>
      <c r="DQ204" s="43"/>
      <c r="DR204" s="43"/>
      <c r="DS204" s="43"/>
    </row>
    <row r="205" spans="1:123" ht="14.45">
      <c r="A205"/>
      <c r="B205"/>
      <c r="C205"/>
      <c r="D205"/>
      <c r="E205"/>
      <c r="F205"/>
      <c r="G205"/>
      <c r="H205"/>
      <c r="I205"/>
      <c r="J205"/>
      <c r="K205" s="43"/>
      <c r="L205" s="43"/>
      <c r="M205" s="43"/>
      <c r="N205" s="43"/>
      <c r="O205" s="43"/>
      <c r="P205" s="43"/>
      <c r="Q205" s="43"/>
      <c r="R205" s="43"/>
      <c r="S205" s="43"/>
      <c r="T205" s="43"/>
      <c r="U205" s="43"/>
      <c r="V205" s="43"/>
      <c r="W205" s="43"/>
      <c r="X205" s="43"/>
      <c r="Y205" s="43"/>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c r="BF205" s="43"/>
      <c r="BG205" s="43"/>
      <c r="BH205" s="43"/>
      <c r="BI205" s="43"/>
      <c r="BJ205" s="43"/>
      <c r="BK205" s="43"/>
      <c r="BL205" s="43"/>
      <c r="BM205" s="43"/>
      <c r="BN205" s="43"/>
      <c r="BO205" s="43"/>
      <c r="BP205" s="43"/>
      <c r="BQ205" s="43"/>
      <c r="BR205" s="43"/>
      <c r="BS205" s="43"/>
      <c r="BT205" s="43"/>
      <c r="BU205" s="43"/>
      <c r="BV205" s="43"/>
      <c r="BW205" s="43"/>
      <c r="BX205" s="43"/>
      <c r="BY205" s="43"/>
      <c r="BZ205" s="43"/>
      <c r="CA205" s="43"/>
      <c r="CB205" s="43"/>
      <c r="CC205" s="43"/>
      <c r="CD205" s="43"/>
      <c r="CE205" s="43"/>
      <c r="CF205" s="43"/>
      <c r="CG205" s="43"/>
      <c r="CH205" s="43"/>
      <c r="CI205" s="43"/>
      <c r="CJ205" s="43"/>
      <c r="CK205" s="43"/>
      <c r="CL205" s="43"/>
      <c r="CM205" s="43"/>
      <c r="CN205" s="43"/>
      <c r="CO205" s="43"/>
      <c r="CP205" s="43"/>
      <c r="CQ205" s="43"/>
      <c r="CR205" s="43"/>
      <c r="CS205" s="43"/>
      <c r="CT205" s="43"/>
      <c r="CU205" s="43"/>
      <c r="CV205" s="43"/>
      <c r="CW205" s="43"/>
      <c r="CX205" s="43"/>
      <c r="CY205" s="43"/>
      <c r="CZ205" s="43"/>
      <c r="DA205" s="43"/>
      <c r="DB205" s="43"/>
      <c r="DC205" s="43"/>
      <c r="DD205" s="43"/>
      <c r="DE205" s="43"/>
      <c r="DF205" s="43"/>
      <c r="DG205" s="43"/>
      <c r="DH205" s="43"/>
      <c r="DI205" s="43"/>
      <c r="DJ205" s="43"/>
      <c r="DK205" s="43"/>
      <c r="DL205" s="43"/>
      <c r="DM205" s="43"/>
      <c r="DN205" s="43"/>
      <c r="DO205" s="43"/>
      <c r="DP205" s="43"/>
      <c r="DQ205" s="43"/>
      <c r="DR205" s="43"/>
      <c r="DS205" s="43"/>
    </row>
    <row r="206" spans="1:123" ht="14.45">
      <c r="A206"/>
      <c r="B206"/>
      <c r="C206"/>
      <c r="D206"/>
      <c r="E206"/>
      <c r="F206"/>
      <c r="G206"/>
      <c r="H206"/>
      <c r="I206"/>
      <c r="J206"/>
      <c r="K206" s="43"/>
      <c r="L206" s="43"/>
      <c r="M206" s="43"/>
      <c r="N206" s="43"/>
      <c r="O206" s="43"/>
      <c r="P206" s="43"/>
      <c r="Q206" s="43"/>
      <c r="R206" s="43"/>
      <c r="S206" s="43"/>
      <c r="T206" s="43"/>
      <c r="U206" s="43"/>
      <c r="V206" s="43"/>
      <c r="W206" s="43"/>
      <c r="X206" s="43"/>
      <c r="Y206" s="43"/>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c r="BF206" s="43"/>
      <c r="BG206" s="43"/>
      <c r="BH206" s="43"/>
      <c r="BI206" s="43"/>
      <c r="BJ206" s="43"/>
      <c r="BK206" s="43"/>
      <c r="BL206" s="43"/>
      <c r="BM206" s="43"/>
      <c r="BN206" s="43"/>
      <c r="BO206" s="43"/>
      <c r="BP206" s="43"/>
      <c r="BQ206" s="43"/>
      <c r="BR206" s="43"/>
      <c r="BS206" s="43"/>
      <c r="BT206" s="43"/>
      <c r="BU206" s="43"/>
      <c r="BV206" s="43"/>
      <c r="BW206" s="43"/>
      <c r="BX206" s="43"/>
      <c r="BY206" s="43"/>
      <c r="BZ206" s="43"/>
      <c r="CA206" s="43"/>
      <c r="CB206" s="43"/>
      <c r="CC206" s="43"/>
      <c r="CD206" s="43"/>
      <c r="CE206" s="43"/>
      <c r="CF206" s="43"/>
      <c r="CG206" s="43"/>
      <c r="CH206" s="43"/>
      <c r="CI206" s="43"/>
      <c r="CJ206" s="43"/>
      <c r="CK206" s="43"/>
      <c r="CL206" s="43"/>
      <c r="CM206" s="43"/>
      <c r="CN206" s="43"/>
      <c r="CO206" s="43"/>
      <c r="CP206" s="43"/>
      <c r="CQ206" s="43"/>
      <c r="CR206" s="43"/>
      <c r="CS206" s="43"/>
      <c r="CT206" s="43"/>
      <c r="CU206" s="43"/>
      <c r="CV206" s="43"/>
      <c r="CW206" s="43"/>
      <c r="CX206" s="43"/>
      <c r="CY206" s="43"/>
      <c r="CZ206" s="43"/>
      <c r="DA206" s="43"/>
      <c r="DB206" s="43"/>
      <c r="DC206" s="43"/>
      <c r="DD206" s="43"/>
      <c r="DE206" s="43"/>
      <c r="DF206" s="43"/>
      <c r="DG206" s="43"/>
      <c r="DH206" s="43"/>
      <c r="DI206" s="43"/>
      <c r="DJ206" s="43"/>
      <c r="DK206" s="43"/>
      <c r="DL206" s="43"/>
      <c r="DM206" s="43"/>
      <c r="DN206" s="43"/>
      <c r="DO206" s="43"/>
      <c r="DP206" s="43"/>
      <c r="DQ206" s="43"/>
      <c r="DR206" s="43"/>
      <c r="DS206" s="43"/>
    </row>
    <row r="207" spans="1:123" ht="14.45">
      <c r="A207"/>
      <c r="B207"/>
      <c r="C207"/>
      <c r="D207"/>
      <c r="E207"/>
      <c r="F207"/>
      <c r="G207"/>
      <c r="H207"/>
      <c r="I207"/>
      <c r="J207"/>
      <c r="K207" s="43"/>
      <c r="L207" s="43"/>
      <c r="M207" s="43"/>
      <c r="N207" s="43"/>
      <c r="O207" s="43"/>
      <c r="P207" s="43"/>
      <c r="Q207" s="43"/>
      <c r="R207" s="43"/>
      <c r="S207" s="43"/>
      <c r="T207" s="43"/>
      <c r="U207" s="43"/>
      <c r="V207" s="43"/>
      <c r="W207" s="43"/>
      <c r="X207" s="43"/>
      <c r="Y207" s="43"/>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c r="BF207" s="43"/>
      <c r="BG207" s="43"/>
      <c r="BH207" s="43"/>
      <c r="BI207" s="43"/>
      <c r="BJ207" s="43"/>
      <c r="BK207" s="43"/>
      <c r="BL207" s="43"/>
      <c r="BM207" s="43"/>
      <c r="BN207" s="43"/>
      <c r="BO207" s="43"/>
      <c r="BP207" s="43"/>
      <c r="BQ207" s="43"/>
      <c r="BR207" s="43"/>
      <c r="BS207" s="43"/>
      <c r="BT207" s="43"/>
      <c r="BU207" s="43"/>
      <c r="BV207" s="43"/>
      <c r="BW207" s="43"/>
      <c r="BX207" s="43"/>
      <c r="BY207" s="43"/>
      <c r="BZ207" s="43"/>
      <c r="CA207" s="43"/>
      <c r="CB207" s="43"/>
      <c r="CC207" s="43"/>
      <c r="CD207" s="43"/>
      <c r="CE207" s="43"/>
      <c r="CF207" s="43"/>
      <c r="CG207" s="43"/>
      <c r="CH207" s="43"/>
      <c r="CI207" s="43"/>
      <c r="CJ207" s="43"/>
      <c r="CK207" s="43"/>
      <c r="CL207" s="43"/>
      <c r="CM207" s="43"/>
      <c r="CN207" s="43"/>
      <c r="CO207" s="43"/>
      <c r="CP207" s="43"/>
      <c r="CQ207" s="43"/>
      <c r="CR207" s="43"/>
      <c r="CS207" s="43"/>
      <c r="CT207" s="43"/>
      <c r="CU207" s="43"/>
      <c r="CV207" s="43"/>
      <c r="CW207" s="43"/>
      <c r="CX207" s="43"/>
      <c r="CY207" s="43"/>
      <c r="CZ207" s="43"/>
      <c r="DA207" s="43"/>
      <c r="DB207" s="43"/>
      <c r="DC207" s="43"/>
      <c r="DD207" s="43"/>
      <c r="DE207" s="43"/>
      <c r="DF207" s="43"/>
      <c r="DG207" s="43"/>
      <c r="DH207" s="43"/>
      <c r="DI207" s="43"/>
      <c r="DJ207" s="43"/>
      <c r="DK207" s="43"/>
      <c r="DL207" s="43"/>
      <c r="DM207" s="43"/>
      <c r="DN207" s="43"/>
      <c r="DO207" s="43"/>
      <c r="DP207" s="43"/>
      <c r="DQ207" s="43"/>
      <c r="DR207" s="43"/>
      <c r="DS207" s="43"/>
    </row>
    <row r="208" spans="1:123" ht="14.45">
      <c r="A208"/>
      <c r="B208"/>
      <c r="C208"/>
      <c r="D208"/>
      <c r="E208"/>
      <c r="F208"/>
      <c r="G208"/>
      <c r="H208"/>
      <c r="I208"/>
      <c r="J208"/>
      <c r="K208" s="43"/>
      <c r="L208" s="43"/>
      <c r="M208" s="43"/>
      <c r="N208" s="43"/>
      <c r="O208" s="43"/>
      <c r="P208" s="43"/>
      <c r="Q208" s="43"/>
      <c r="R208" s="43"/>
      <c r="S208" s="43"/>
      <c r="T208" s="43"/>
      <c r="U208" s="43"/>
      <c r="V208" s="43"/>
      <c r="W208" s="43"/>
      <c r="X208" s="43"/>
      <c r="Y208" s="43"/>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c r="BF208" s="43"/>
      <c r="BG208" s="43"/>
      <c r="BH208" s="43"/>
      <c r="BI208" s="43"/>
      <c r="BJ208" s="43"/>
      <c r="BK208" s="43"/>
      <c r="BL208" s="43"/>
      <c r="BM208" s="43"/>
      <c r="BN208" s="43"/>
      <c r="BO208" s="43"/>
      <c r="BP208" s="43"/>
      <c r="BQ208" s="43"/>
      <c r="BR208" s="43"/>
      <c r="BS208" s="43"/>
      <c r="BT208" s="43"/>
      <c r="BU208" s="43"/>
      <c r="BV208" s="43"/>
      <c r="BW208" s="43"/>
      <c r="BX208" s="43"/>
      <c r="BY208" s="43"/>
      <c r="BZ208" s="43"/>
      <c r="CA208" s="43"/>
      <c r="CB208" s="43"/>
      <c r="CC208" s="43"/>
      <c r="CD208" s="43"/>
      <c r="CE208" s="43"/>
      <c r="CF208" s="43"/>
      <c r="CG208" s="43"/>
      <c r="CH208" s="43"/>
      <c r="CI208" s="43"/>
      <c r="CJ208" s="43"/>
      <c r="CK208" s="43"/>
      <c r="CL208" s="43"/>
      <c r="CM208" s="43"/>
      <c r="CN208" s="43"/>
      <c r="CO208" s="43"/>
      <c r="CP208" s="43"/>
      <c r="CQ208" s="43"/>
      <c r="CR208" s="43"/>
      <c r="CS208" s="43"/>
      <c r="CT208" s="43"/>
      <c r="CU208" s="43"/>
      <c r="CV208" s="43"/>
      <c r="CW208" s="43"/>
      <c r="CX208" s="43"/>
      <c r="CY208" s="43"/>
      <c r="CZ208" s="43"/>
      <c r="DA208" s="43"/>
      <c r="DB208" s="43"/>
      <c r="DC208" s="43"/>
      <c r="DD208" s="43"/>
      <c r="DE208" s="43"/>
      <c r="DF208" s="43"/>
      <c r="DG208" s="43"/>
      <c r="DH208" s="43"/>
      <c r="DI208" s="43"/>
      <c r="DJ208" s="43"/>
      <c r="DK208" s="43"/>
      <c r="DL208" s="43"/>
      <c r="DM208" s="43"/>
      <c r="DN208" s="43"/>
      <c r="DO208" s="43"/>
      <c r="DP208" s="43"/>
      <c r="DQ208" s="43"/>
      <c r="DR208" s="43"/>
      <c r="DS208" s="43"/>
    </row>
    <row r="209" spans="1:123" ht="14.45">
      <c r="A209"/>
      <c r="B209"/>
      <c r="C209"/>
      <c r="D209"/>
      <c r="E209"/>
      <c r="F209"/>
      <c r="G209"/>
      <c r="H209"/>
      <c r="I209"/>
      <c r="J209"/>
      <c r="K209" s="43"/>
      <c r="L209" s="43"/>
      <c r="M209" s="43"/>
      <c r="N209" s="43"/>
      <c r="O209" s="43"/>
      <c r="P209" s="43"/>
      <c r="Q209" s="43"/>
      <c r="R209" s="43"/>
      <c r="S209" s="43"/>
      <c r="T209" s="43"/>
      <c r="U209" s="43"/>
      <c r="V209" s="43"/>
      <c r="W209" s="43"/>
      <c r="X209" s="43"/>
      <c r="Y209" s="43"/>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c r="BF209" s="43"/>
      <c r="BG209" s="43"/>
      <c r="BH209" s="43"/>
      <c r="BI209" s="43"/>
      <c r="BJ209" s="43"/>
      <c r="BK209" s="43"/>
      <c r="BL209" s="43"/>
      <c r="BM209" s="43"/>
      <c r="BN209" s="43"/>
      <c r="BO209" s="43"/>
      <c r="BP209" s="43"/>
      <c r="BQ209" s="43"/>
      <c r="BR209" s="43"/>
      <c r="BS209" s="43"/>
      <c r="BT209" s="43"/>
      <c r="BU209" s="43"/>
      <c r="BV209" s="43"/>
      <c r="BW209" s="43"/>
      <c r="BX209" s="43"/>
      <c r="BY209" s="43"/>
      <c r="BZ209" s="43"/>
      <c r="CA209" s="43"/>
      <c r="CB209" s="43"/>
      <c r="CC209" s="43"/>
      <c r="CD209" s="43"/>
      <c r="CE209" s="43"/>
      <c r="CF209" s="43"/>
      <c r="CG209" s="43"/>
      <c r="CH209" s="43"/>
      <c r="CI209" s="43"/>
      <c r="CJ209" s="43"/>
      <c r="CK209" s="43"/>
      <c r="CL209" s="43"/>
      <c r="CM209" s="43"/>
      <c r="CN209" s="43"/>
      <c r="CO209" s="43"/>
      <c r="CP209" s="43"/>
      <c r="CQ209" s="43"/>
      <c r="CR209" s="43"/>
      <c r="CS209" s="43"/>
      <c r="CT209" s="43"/>
      <c r="CU209" s="43"/>
      <c r="CV209" s="43"/>
      <c r="CW209" s="43"/>
      <c r="CX209" s="43"/>
      <c r="CY209" s="43"/>
      <c r="CZ209" s="43"/>
      <c r="DA209" s="43"/>
      <c r="DB209" s="43"/>
      <c r="DC209" s="43"/>
      <c r="DD209" s="43"/>
      <c r="DE209" s="43"/>
      <c r="DF209" s="43"/>
      <c r="DG209" s="43"/>
      <c r="DH209" s="43"/>
      <c r="DI209" s="43"/>
      <c r="DJ209" s="43"/>
      <c r="DK209" s="43"/>
      <c r="DL209" s="43"/>
      <c r="DM209" s="43"/>
      <c r="DN209" s="43"/>
      <c r="DO209" s="43"/>
      <c r="DP209" s="43"/>
      <c r="DQ209" s="43"/>
      <c r="DR209" s="43"/>
      <c r="DS209" s="43"/>
    </row>
    <row r="210" spans="1:123" ht="14.45">
      <c r="A210"/>
      <c r="B210"/>
      <c r="C210"/>
      <c r="D210"/>
      <c r="E210"/>
      <c r="F210"/>
      <c r="G210"/>
      <c r="H210"/>
      <c r="I210"/>
      <c r="J210"/>
      <c r="K210" s="43"/>
      <c r="L210" s="43"/>
      <c r="M210" s="43"/>
      <c r="N210" s="43"/>
      <c r="O210" s="43"/>
      <c r="P210" s="43"/>
      <c r="Q210" s="43"/>
      <c r="R210" s="43"/>
      <c r="S210" s="43"/>
      <c r="T210" s="43"/>
      <c r="U210" s="43"/>
      <c r="V210" s="43"/>
      <c r="W210" s="43"/>
      <c r="X210" s="43"/>
      <c r="Y210" s="43"/>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c r="BF210" s="43"/>
      <c r="BG210" s="43"/>
      <c r="BH210" s="43"/>
      <c r="BI210" s="43"/>
      <c r="BJ210" s="43"/>
      <c r="BK210" s="43"/>
      <c r="BL210" s="43"/>
      <c r="BM210" s="43"/>
      <c r="BN210" s="43"/>
      <c r="BO210" s="43"/>
      <c r="BP210" s="43"/>
      <c r="BQ210" s="43"/>
      <c r="BR210" s="43"/>
      <c r="BS210" s="43"/>
      <c r="BT210" s="43"/>
      <c r="BU210" s="43"/>
      <c r="BV210" s="43"/>
      <c r="BW210" s="43"/>
      <c r="BX210" s="43"/>
      <c r="BY210" s="43"/>
      <c r="BZ210" s="43"/>
      <c r="CA210" s="43"/>
      <c r="CB210" s="43"/>
      <c r="CC210" s="43"/>
      <c r="CD210" s="43"/>
      <c r="CE210" s="43"/>
      <c r="CF210" s="43"/>
      <c r="CG210" s="43"/>
      <c r="CH210" s="43"/>
      <c r="CI210" s="43"/>
      <c r="CJ210" s="43"/>
      <c r="CK210" s="43"/>
      <c r="CL210" s="43"/>
      <c r="CM210" s="43"/>
      <c r="CN210" s="43"/>
      <c r="CO210" s="43"/>
      <c r="CP210" s="43"/>
      <c r="CQ210" s="43"/>
      <c r="CR210" s="43"/>
      <c r="CS210" s="43"/>
      <c r="CT210" s="43"/>
      <c r="CU210" s="43"/>
      <c r="CV210" s="43"/>
      <c r="CW210" s="43"/>
      <c r="CX210" s="43"/>
      <c r="CY210" s="43"/>
      <c r="CZ210" s="43"/>
      <c r="DA210" s="43"/>
      <c r="DB210" s="43"/>
      <c r="DC210" s="43"/>
      <c r="DD210" s="43"/>
      <c r="DE210" s="43"/>
      <c r="DF210" s="43"/>
      <c r="DG210" s="43"/>
      <c r="DH210" s="43"/>
      <c r="DI210" s="43"/>
      <c r="DJ210" s="43"/>
      <c r="DK210" s="43"/>
      <c r="DL210" s="43"/>
      <c r="DM210" s="43"/>
      <c r="DN210" s="43"/>
      <c r="DO210" s="43"/>
      <c r="DP210" s="43"/>
      <c r="DQ210" s="43"/>
      <c r="DR210" s="43"/>
      <c r="DS210" s="43"/>
    </row>
    <row r="211" spans="1:123" ht="14.45">
      <c r="A211"/>
      <c r="B211"/>
      <c r="C211"/>
      <c r="D211"/>
      <c r="E211"/>
      <c r="F211"/>
      <c r="G211"/>
      <c r="H211"/>
      <c r="I211"/>
      <c r="J211"/>
      <c r="K211" s="43"/>
      <c r="L211" s="43"/>
      <c r="M211" s="43"/>
      <c r="N211" s="43"/>
      <c r="O211" s="43"/>
      <c r="P211" s="43"/>
      <c r="Q211" s="43"/>
      <c r="R211" s="43"/>
      <c r="S211" s="43"/>
      <c r="T211" s="43"/>
      <c r="U211" s="43"/>
      <c r="V211" s="43"/>
      <c r="W211" s="43"/>
      <c r="X211" s="43"/>
      <c r="Y211" s="43"/>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c r="BF211" s="43"/>
      <c r="BG211" s="43"/>
      <c r="BH211" s="43"/>
      <c r="BI211" s="43"/>
      <c r="BJ211" s="43"/>
      <c r="BK211" s="43"/>
      <c r="BL211" s="43"/>
      <c r="BM211" s="43"/>
      <c r="BN211" s="43"/>
      <c r="BO211" s="43"/>
      <c r="BP211" s="43"/>
      <c r="BQ211" s="43"/>
      <c r="BR211" s="43"/>
      <c r="BS211" s="43"/>
      <c r="BT211" s="43"/>
      <c r="BU211" s="43"/>
      <c r="BV211" s="43"/>
      <c r="BW211" s="43"/>
      <c r="BX211" s="43"/>
      <c r="BY211" s="43"/>
      <c r="BZ211" s="43"/>
      <c r="CA211" s="43"/>
      <c r="CB211" s="43"/>
      <c r="CC211" s="43"/>
      <c r="CD211" s="43"/>
      <c r="CE211" s="43"/>
      <c r="CF211" s="43"/>
      <c r="CG211" s="43"/>
      <c r="CH211" s="43"/>
      <c r="CI211" s="43"/>
      <c r="CJ211" s="43"/>
      <c r="CK211" s="43"/>
      <c r="CL211" s="43"/>
      <c r="CM211" s="43"/>
      <c r="CN211" s="43"/>
      <c r="CO211" s="43"/>
      <c r="CP211" s="43"/>
      <c r="CQ211" s="43"/>
      <c r="CR211" s="43"/>
      <c r="CS211" s="43"/>
      <c r="CT211" s="43"/>
      <c r="CU211" s="43"/>
      <c r="CV211" s="43"/>
      <c r="CW211" s="43"/>
      <c r="CX211" s="43"/>
      <c r="CY211" s="43"/>
      <c r="CZ211" s="43"/>
      <c r="DA211" s="43"/>
      <c r="DB211" s="43"/>
      <c r="DC211" s="43"/>
      <c r="DD211" s="43"/>
      <c r="DE211" s="43"/>
      <c r="DF211" s="43"/>
      <c r="DG211" s="43"/>
      <c r="DH211" s="43"/>
      <c r="DI211" s="43"/>
      <c r="DJ211" s="43"/>
      <c r="DK211" s="43"/>
      <c r="DL211" s="43"/>
      <c r="DM211" s="43"/>
      <c r="DN211" s="43"/>
      <c r="DO211" s="43"/>
      <c r="DP211" s="43"/>
      <c r="DQ211" s="43"/>
      <c r="DR211" s="43"/>
      <c r="DS211" s="43"/>
    </row>
    <row r="212" spans="1:123" ht="14.45">
      <c r="A212"/>
      <c r="B212"/>
      <c r="C212"/>
      <c r="D212"/>
      <c r="E212"/>
      <c r="F212"/>
      <c r="G212"/>
      <c r="H212"/>
      <c r="I212"/>
      <c r="J212"/>
      <c r="K212" s="43"/>
      <c r="L212" s="43"/>
      <c r="M212" s="43"/>
      <c r="N212" s="43"/>
      <c r="O212" s="43"/>
      <c r="P212" s="43"/>
      <c r="Q212" s="43"/>
      <c r="R212" s="43"/>
      <c r="S212" s="43"/>
      <c r="T212" s="43"/>
      <c r="U212" s="43"/>
      <c r="V212" s="43"/>
      <c r="W212" s="43"/>
      <c r="X212" s="43"/>
      <c r="Y212" s="43"/>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c r="BF212" s="43"/>
      <c r="BG212" s="43"/>
      <c r="BH212" s="43"/>
      <c r="BI212" s="43"/>
      <c r="BJ212" s="43"/>
      <c r="BK212" s="43"/>
      <c r="BL212" s="43"/>
      <c r="BM212" s="43"/>
      <c r="BN212" s="43"/>
      <c r="BO212" s="43"/>
      <c r="BP212" s="43"/>
      <c r="BQ212" s="43"/>
      <c r="BR212" s="43"/>
      <c r="BS212" s="43"/>
      <c r="BT212" s="43"/>
      <c r="BU212" s="43"/>
      <c r="BV212" s="43"/>
      <c r="BW212" s="43"/>
      <c r="BX212" s="43"/>
      <c r="BY212" s="43"/>
      <c r="BZ212" s="43"/>
      <c r="CA212" s="43"/>
      <c r="CB212" s="43"/>
      <c r="CC212" s="43"/>
      <c r="CD212" s="43"/>
      <c r="CE212" s="43"/>
      <c r="CF212" s="43"/>
      <c r="CG212" s="43"/>
      <c r="CH212" s="43"/>
      <c r="CI212" s="43"/>
      <c r="CJ212" s="43"/>
      <c r="CK212" s="43"/>
      <c r="CL212" s="43"/>
      <c r="CM212" s="43"/>
      <c r="CN212" s="43"/>
      <c r="CO212" s="43"/>
      <c r="CP212" s="43"/>
      <c r="CQ212" s="43"/>
      <c r="CR212" s="43"/>
      <c r="CS212" s="43"/>
      <c r="CT212" s="43"/>
      <c r="CU212" s="43"/>
      <c r="CV212" s="43"/>
      <c r="CW212" s="43"/>
      <c r="CX212" s="43"/>
      <c r="CY212" s="43"/>
      <c r="CZ212" s="43"/>
      <c r="DA212" s="43"/>
      <c r="DB212" s="43"/>
      <c r="DC212" s="43"/>
      <c r="DD212" s="43"/>
      <c r="DE212" s="43"/>
      <c r="DF212" s="43"/>
      <c r="DG212" s="43"/>
      <c r="DH212" s="43"/>
      <c r="DI212" s="43"/>
      <c r="DJ212" s="43"/>
      <c r="DK212" s="43"/>
      <c r="DL212" s="43"/>
      <c r="DM212" s="43"/>
      <c r="DN212" s="43"/>
      <c r="DO212" s="43"/>
      <c r="DP212" s="43"/>
      <c r="DQ212" s="43"/>
      <c r="DR212" s="43"/>
      <c r="DS212" s="43"/>
    </row>
    <row r="213" spans="1:123" ht="14.45">
      <c r="A213"/>
      <c r="B213"/>
      <c r="C213"/>
      <c r="D213"/>
      <c r="E213"/>
      <c r="F213"/>
      <c r="G213"/>
      <c r="H213"/>
      <c r="I213"/>
      <c r="J213"/>
      <c r="K213" s="43"/>
      <c r="L213" s="43"/>
      <c r="M213" s="43"/>
      <c r="N213" s="43"/>
      <c r="O213" s="43"/>
      <c r="P213" s="43"/>
      <c r="Q213" s="43"/>
      <c r="R213" s="43"/>
      <c r="S213" s="43"/>
      <c r="T213" s="43"/>
      <c r="U213" s="43"/>
      <c r="V213" s="43"/>
      <c r="W213" s="43"/>
      <c r="X213" s="43"/>
      <c r="Y213" s="43"/>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c r="BF213" s="43"/>
      <c r="BG213" s="43"/>
      <c r="BH213" s="43"/>
      <c r="BI213" s="43"/>
      <c r="BJ213" s="43"/>
      <c r="BK213" s="43"/>
      <c r="BL213" s="43"/>
      <c r="BM213" s="43"/>
      <c r="BN213" s="43"/>
      <c r="BO213" s="43"/>
      <c r="BP213" s="43"/>
      <c r="BQ213" s="43"/>
      <c r="BR213" s="43"/>
      <c r="BS213" s="43"/>
      <c r="BT213" s="43"/>
      <c r="BU213" s="43"/>
      <c r="BV213" s="43"/>
      <c r="BW213" s="43"/>
      <c r="BX213" s="43"/>
      <c r="BY213" s="43"/>
      <c r="BZ213" s="43"/>
      <c r="CA213" s="43"/>
      <c r="CB213" s="43"/>
      <c r="CC213" s="43"/>
      <c r="CD213" s="43"/>
      <c r="CE213" s="43"/>
      <c r="CF213" s="43"/>
      <c r="CG213" s="43"/>
      <c r="CH213" s="43"/>
      <c r="CI213" s="43"/>
      <c r="CJ213" s="43"/>
      <c r="CK213" s="43"/>
      <c r="CL213" s="43"/>
      <c r="CM213" s="43"/>
      <c r="CN213" s="43"/>
      <c r="CO213" s="43"/>
      <c r="CP213" s="43"/>
      <c r="CQ213" s="43"/>
      <c r="CR213" s="43"/>
      <c r="CS213" s="43"/>
      <c r="CT213" s="43"/>
      <c r="CU213" s="43"/>
      <c r="CV213" s="43"/>
      <c r="CW213" s="43"/>
      <c r="CX213" s="43"/>
      <c r="CY213" s="43"/>
      <c r="CZ213" s="43"/>
      <c r="DA213" s="43"/>
      <c r="DB213" s="43"/>
      <c r="DC213" s="43"/>
      <c r="DD213" s="43"/>
      <c r="DE213" s="43"/>
      <c r="DF213" s="43"/>
      <c r="DG213" s="43"/>
      <c r="DH213" s="43"/>
      <c r="DI213" s="43"/>
      <c r="DJ213" s="43"/>
      <c r="DK213" s="43"/>
      <c r="DL213" s="43"/>
      <c r="DM213" s="43"/>
      <c r="DN213" s="43"/>
      <c r="DO213" s="43"/>
      <c r="DP213" s="43"/>
      <c r="DQ213" s="43"/>
      <c r="DR213" s="43"/>
      <c r="DS213" s="43"/>
    </row>
    <row r="214" spans="1:123" ht="14.45">
      <c r="A214"/>
      <c r="B214"/>
      <c r="C214"/>
      <c r="D214"/>
      <c r="E214"/>
      <c r="F214"/>
      <c r="G214"/>
      <c r="H214"/>
      <c r="I214"/>
      <c r="J214"/>
      <c r="K214" s="43"/>
      <c r="L214" s="43"/>
      <c r="M214" s="43"/>
      <c r="N214" s="43"/>
      <c r="O214" s="43"/>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43"/>
      <c r="BK214" s="43"/>
      <c r="BL214" s="43"/>
      <c r="BM214" s="43"/>
      <c r="BN214" s="43"/>
      <c r="BO214" s="43"/>
      <c r="BP214" s="43"/>
      <c r="BQ214" s="43"/>
      <c r="BR214" s="43"/>
      <c r="BS214" s="43"/>
      <c r="BT214" s="43"/>
      <c r="BU214" s="43"/>
      <c r="BV214" s="43"/>
      <c r="BW214" s="43"/>
      <c r="BX214" s="43"/>
      <c r="BY214" s="43"/>
      <c r="BZ214" s="43"/>
      <c r="CA214" s="43"/>
      <c r="CB214" s="43"/>
      <c r="CC214" s="43"/>
      <c r="CD214" s="43"/>
      <c r="CE214" s="43"/>
      <c r="CF214" s="43"/>
      <c r="CG214" s="43"/>
      <c r="CH214" s="43"/>
      <c r="CI214" s="43"/>
      <c r="CJ214" s="43"/>
      <c r="CK214" s="43"/>
      <c r="CL214" s="43"/>
      <c r="CM214" s="43"/>
      <c r="CN214" s="43"/>
      <c r="CO214" s="43"/>
      <c r="CP214" s="43"/>
      <c r="CQ214" s="43"/>
      <c r="CR214" s="43"/>
      <c r="CS214" s="43"/>
      <c r="CT214" s="43"/>
      <c r="CU214" s="43"/>
      <c r="CV214" s="43"/>
      <c r="CW214" s="43"/>
      <c r="CX214" s="43"/>
      <c r="CY214" s="43"/>
      <c r="CZ214" s="43"/>
      <c r="DA214" s="43"/>
      <c r="DB214" s="43"/>
      <c r="DC214" s="43"/>
      <c r="DD214" s="43"/>
      <c r="DE214" s="43"/>
      <c r="DF214" s="43"/>
      <c r="DG214" s="43"/>
      <c r="DH214" s="43"/>
      <c r="DI214" s="43"/>
      <c r="DJ214" s="43"/>
      <c r="DK214" s="43"/>
      <c r="DL214" s="43"/>
      <c r="DM214" s="43"/>
      <c r="DN214" s="43"/>
      <c r="DO214" s="43"/>
      <c r="DP214" s="43"/>
      <c r="DQ214" s="43"/>
      <c r="DR214" s="43"/>
      <c r="DS214" s="43"/>
    </row>
    <row r="215" spans="1:123" ht="14.45">
      <c r="A215"/>
      <c r="B215"/>
      <c r="C215"/>
      <c r="D215"/>
      <c r="E215"/>
      <c r="F215"/>
      <c r="G215"/>
      <c r="H215"/>
      <c r="I215"/>
      <c r="J215"/>
      <c r="K215" s="43"/>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3"/>
      <c r="BM215" s="43"/>
      <c r="BN215" s="43"/>
      <c r="BO215" s="43"/>
      <c r="BP215" s="43"/>
      <c r="BQ215" s="43"/>
      <c r="BR215" s="43"/>
      <c r="BS215" s="43"/>
      <c r="BT215" s="43"/>
      <c r="BU215" s="43"/>
      <c r="BV215" s="43"/>
      <c r="BW215" s="43"/>
      <c r="BX215" s="43"/>
      <c r="BY215" s="43"/>
      <c r="BZ215" s="43"/>
      <c r="CA215" s="43"/>
      <c r="CB215" s="43"/>
      <c r="CC215" s="43"/>
      <c r="CD215" s="43"/>
      <c r="CE215" s="43"/>
      <c r="CF215" s="43"/>
      <c r="CG215" s="43"/>
      <c r="CH215" s="43"/>
      <c r="CI215" s="43"/>
      <c r="CJ215" s="43"/>
      <c r="CK215" s="43"/>
      <c r="CL215" s="43"/>
      <c r="CM215" s="43"/>
      <c r="CN215" s="43"/>
      <c r="CO215" s="43"/>
      <c r="CP215" s="43"/>
      <c r="CQ215" s="43"/>
      <c r="CR215" s="43"/>
      <c r="CS215" s="43"/>
      <c r="CT215" s="43"/>
      <c r="CU215" s="43"/>
      <c r="CV215" s="43"/>
      <c r="CW215" s="43"/>
      <c r="CX215" s="43"/>
      <c r="CY215" s="43"/>
      <c r="CZ215" s="43"/>
      <c r="DA215" s="43"/>
      <c r="DB215" s="43"/>
      <c r="DC215" s="43"/>
      <c r="DD215" s="43"/>
      <c r="DE215" s="43"/>
      <c r="DF215" s="43"/>
      <c r="DG215" s="43"/>
      <c r="DH215" s="43"/>
      <c r="DI215" s="43"/>
      <c r="DJ215" s="43"/>
      <c r="DK215" s="43"/>
      <c r="DL215" s="43"/>
      <c r="DM215" s="43"/>
      <c r="DN215" s="43"/>
      <c r="DO215" s="43"/>
      <c r="DP215" s="43"/>
      <c r="DQ215" s="43"/>
      <c r="DR215" s="43"/>
      <c r="DS215" s="43"/>
    </row>
    <row r="216" spans="1:123" ht="14.45">
      <c r="A216"/>
      <c r="B216"/>
      <c r="C216"/>
      <c r="D216"/>
      <c r="E216"/>
      <c r="F216"/>
      <c r="G216"/>
      <c r="H216"/>
      <c r="I216"/>
      <c r="J216"/>
      <c r="K216" s="43"/>
      <c r="L216" s="43"/>
      <c r="M216" s="43"/>
      <c r="N216" s="43"/>
      <c r="O216" s="43"/>
      <c r="P216" s="43"/>
      <c r="Q216" s="43"/>
      <c r="R216" s="43"/>
      <c r="S216" s="43"/>
      <c r="T216" s="43"/>
      <c r="U216" s="43"/>
      <c r="V216" s="43"/>
      <c r="W216" s="43"/>
      <c r="X216" s="43"/>
      <c r="Y216" s="43"/>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c r="BF216" s="43"/>
      <c r="BG216" s="43"/>
      <c r="BH216" s="43"/>
      <c r="BI216" s="43"/>
      <c r="BJ216" s="43"/>
      <c r="BK216" s="43"/>
      <c r="BL216" s="43"/>
      <c r="BM216" s="43"/>
      <c r="BN216" s="43"/>
      <c r="BO216" s="43"/>
      <c r="BP216" s="43"/>
      <c r="BQ216" s="43"/>
      <c r="BR216" s="43"/>
      <c r="BS216" s="43"/>
      <c r="BT216" s="43"/>
      <c r="BU216" s="43"/>
      <c r="BV216" s="43"/>
      <c r="BW216" s="43"/>
      <c r="BX216" s="43"/>
      <c r="BY216" s="43"/>
      <c r="BZ216" s="43"/>
      <c r="CA216" s="43"/>
      <c r="CB216" s="43"/>
      <c r="CC216" s="43"/>
      <c r="CD216" s="43"/>
      <c r="CE216" s="43"/>
      <c r="CF216" s="43"/>
      <c r="CG216" s="43"/>
      <c r="CH216" s="43"/>
      <c r="CI216" s="43"/>
      <c r="CJ216" s="43"/>
      <c r="CK216" s="43"/>
      <c r="CL216" s="43"/>
      <c r="CM216" s="43"/>
      <c r="CN216" s="43"/>
      <c r="CO216" s="43"/>
      <c r="CP216" s="43"/>
      <c r="CQ216" s="43"/>
      <c r="CR216" s="43"/>
      <c r="CS216" s="43"/>
      <c r="CT216" s="43"/>
      <c r="CU216" s="43"/>
      <c r="CV216" s="43"/>
      <c r="CW216" s="43"/>
      <c r="CX216" s="43"/>
      <c r="CY216" s="43"/>
      <c r="CZ216" s="43"/>
      <c r="DA216" s="43"/>
      <c r="DB216" s="43"/>
      <c r="DC216" s="43"/>
      <c r="DD216" s="43"/>
      <c r="DE216" s="43"/>
      <c r="DF216" s="43"/>
      <c r="DG216" s="43"/>
      <c r="DH216" s="43"/>
      <c r="DI216" s="43"/>
      <c r="DJ216" s="43"/>
      <c r="DK216" s="43"/>
      <c r="DL216" s="43"/>
      <c r="DM216" s="43"/>
      <c r="DN216" s="43"/>
      <c r="DO216" s="43"/>
      <c r="DP216" s="43"/>
      <c r="DQ216" s="43"/>
      <c r="DR216" s="43"/>
      <c r="DS216" s="43"/>
    </row>
    <row r="217" spans="1:123" ht="14.45">
      <c r="A217"/>
      <c r="B217"/>
      <c r="C217"/>
      <c r="D217"/>
      <c r="E217"/>
      <c r="F217"/>
      <c r="G217"/>
      <c r="H217"/>
      <c r="I217"/>
      <c r="J217"/>
      <c r="K217" s="43"/>
      <c r="L217" s="43"/>
      <c r="M217" s="43"/>
      <c r="N217" s="43"/>
      <c r="O217" s="43"/>
      <c r="P217" s="43"/>
      <c r="Q217" s="43"/>
      <c r="R217" s="43"/>
      <c r="S217" s="43"/>
      <c r="T217" s="43"/>
      <c r="U217" s="43"/>
      <c r="V217" s="43"/>
      <c r="W217" s="43"/>
      <c r="X217" s="43"/>
      <c r="Y217" s="43"/>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c r="BF217" s="43"/>
      <c r="BG217" s="43"/>
      <c r="BH217" s="43"/>
      <c r="BI217" s="43"/>
      <c r="BJ217" s="43"/>
      <c r="BK217" s="43"/>
      <c r="BL217" s="43"/>
      <c r="BM217" s="43"/>
      <c r="BN217" s="43"/>
      <c r="BO217" s="43"/>
      <c r="BP217" s="43"/>
      <c r="BQ217" s="43"/>
      <c r="BR217" s="43"/>
      <c r="BS217" s="43"/>
      <c r="BT217" s="43"/>
      <c r="BU217" s="43"/>
      <c r="BV217" s="43"/>
      <c r="BW217" s="43"/>
      <c r="BX217" s="43"/>
      <c r="BY217" s="43"/>
      <c r="BZ217" s="43"/>
      <c r="CA217" s="43"/>
      <c r="CB217" s="43"/>
      <c r="CC217" s="43"/>
      <c r="CD217" s="43"/>
      <c r="CE217" s="43"/>
      <c r="CF217" s="43"/>
      <c r="CG217" s="43"/>
      <c r="CH217" s="43"/>
      <c r="CI217" s="43"/>
      <c r="CJ217" s="43"/>
      <c r="CK217" s="43"/>
      <c r="CL217" s="43"/>
      <c r="CM217" s="43"/>
      <c r="CN217" s="43"/>
      <c r="CO217" s="43"/>
      <c r="CP217" s="43"/>
      <c r="CQ217" s="43"/>
      <c r="CR217" s="43"/>
      <c r="CS217" s="43"/>
      <c r="CT217" s="43"/>
      <c r="CU217" s="43"/>
      <c r="CV217" s="43"/>
      <c r="CW217" s="43"/>
      <c r="CX217" s="43"/>
      <c r="CY217" s="43"/>
      <c r="CZ217" s="43"/>
      <c r="DA217" s="43"/>
      <c r="DB217" s="43"/>
      <c r="DC217" s="43"/>
      <c r="DD217" s="43"/>
      <c r="DE217" s="43"/>
      <c r="DF217" s="43"/>
      <c r="DG217" s="43"/>
      <c r="DH217" s="43"/>
      <c r="DI217" s="43"/>
      <c r="DJ217" s="43"/>
      <c r="DK217" s="43"/>
      <c r="DL217" s="43"/>
      <c r="DM217" s="43"/>
      <c r="DN217" s="43"/>
      <c r="DO217" s="43"/>
      <c r="DP217" s="43"/>
      <c r="DQ217" s="43"/>
      <c r="DR217" s="43"/>
      <c r="DS217" s="43"/>
    </row>
    <row r="218" spans="1:123" ht="14.45">
      <c r="A218"/>
      <c r="B218"/>
      <c r="C218"/>
      <c r="D218"/>
      <c r="E218"/>
      <c r="F218"/>
      <c r="G218"/>
      <c r="H218"/>
      <c r="I218"/>
      <c r="J218"/>
      <c r="K218" s="43"/>
      <c r="L218" s="43"/>
      <c r="M218" s="43"/>
      <c r="N218" s="43"/>
      <c r="O218" s="43"/>
      <c r="P218" s="43"/>
      <c r="Q218" s="43"/>
      <c r="R218" s="43"/>
      <c r="S218" s="43"/>
      <c r="T218" s="43"/>
      <c r="U218" s="43"/>
      <c r="V218" s="43"/>
      <c r="W218" s="43"/>
      <c r="X218" s="43"/>
      <c r="Y218" s="43"/>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c r="BF218" s="43"/>
      <c r="BG218" s="43"/>
      <c r="BH218" s="43"/>
      <c r="BI218" s="43"/>
      <c r="BJ218" s="43"/>
      <c r="BK218" s="43"/>
      <c r="BL218" s="43"/>
      <c r="BM218" s="43"/>
      <c r="BN218" s="43"/>
      <c r="BO218" s="43"/>
      <c r="BP218" s="43"/>
      <c r="BQ218" s="43"/>
      <c r="BR218" s="43"/>
      <c r="BS218" s="43"/>
      <c r="BT218" s="43"/>
      <c r="BU218" s="43"/>
      <c r="BV218" s="43"/>
      <c r="BW218" s="43"/>
      <c r="BX218" s="43"/>
      <c r="BY218" s="43"/>
      <c r="BZ218" s="43"/>
      <c r="CA218" s="43"/>
      <c r="CB218" s="43"/>
      <c r="CC218" s="43"/>
      <c r="CD218" s="43"/>
      <c r="CE218" s="43"/>
      <c r="CF218" s="43"/>
      <c r="CG218" s="43"/>
      <c r="CH218" s="43"/>
      <c r="CI218" s="43"/>
      <c r="CJ218" s="43"/>
      <c r="CK218" s="43"/>
      <c r="CL218" s="43"/>
      <c r="CM218" s="43"/>
      <c r="CN218" s="43"/>
      <c r="CO218" s="43"/>
      <c r="CP218" s="43"/>
      <c r="CQ218" s="43"/>
      <c r="CR218" s="43"/>
      <c r="CS218" s="43"/>
      <c r="CT218" s="43"/>
      <c r="CU218" s="43"/>
      <c r="CV218" s="43"/>
      <c r="CW218" s="43"/>
      <c r="CX218" s="43"/>
      <c r="CY218" s="43"/>
      <c r="CZ218" s="43"/>
      <c r="DA218" s="43"/>
      <c r="DB218" s="43"/>
      <c r="DC218" s="43"/>
      <c r="DD218" s="43"/>
      <c r="DE218" s="43"/>
      <c r="DF218" s="43"/>
      <c r="DG218" s="43"/>
      <c r="DH218" s="43"/>
      <c r="DI218" s="43"/>
      <c r="DJ218" s="43"/>
      <c r="DK218" s="43"/>
      <c r="DL218" s="43"/>
      <c r="DM218" s="43"/>
      <c r="DN218" s="43"/>
      <c r="DO218" s="43"/>
      <c r="DP218" s="43"/>
      <c r="DQ218" s="43"/>
      <c r="DR218" s="43"/>
      <c r="DS218" s="43"/>
    </row>
    <row r="219" spans="1:123" ht="14.45">
      <c r="A219"/>
      <c r="B219"/>
      <c r="C219"/>
      <c r="D219"/>
      <c r="E219"/>
      <c r="F219"/>
      <c r="G219"/>
      <c r="H219"/>
      <c r="I219"/>
      <c r="J219"/>
      <c r="K219" s="43"/>
      <c r="L219" s="43"/>
      <c r="M219" s="43"/>
      <c r="N219" s="43"/>
      <c r="O219" s="43"/>
      <c r="P219" s="43"/>
      <c r="Q219" s="43"/>
      <c r="R219" s="43"/>
      <c r="S219" s="43"/>
      <c r="T219" s="43"/>
      <c r="U219" s="43"/>
      <c r="V219" s="43"/>
      <c r="W219" s="43"/>
      <c r="X219" s="43"/>
      <c r="Y219" s="43"/>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c r="BF219" s="43"/>
      <c r="BG219" s="43"/>
      <c r="BH219" s="43"/>
      <c r="BI219" s="43"/>
      <c r="BJ219" s="43"/>
      <c r="BK219" s="43"/>
      <c r="BL219" s="43"/>
      <c r="BM219" s="43"/>
      <c r="BN219" s="43"/>
      <c r="BO219" s="43"/>
      <c r="BP219" s="43"/>
      <c r="BQ219" s="43"/>
      <c r="BR219" s="43"/>
      <c r="BS219" s="43"/>
      <c r="BT219" s="43"/>
      <c r="BU219" s="43"/>
      <c r="BV219" s="43"/>
      <c r="BW219" s="43"/>
      <c r="BX219" s="43"/>
      <c r="BY219" s="43"/>
      <c r="BZ219" s="43"/>
      <c r="CA219" s="43"/>
      <c r="CB219" s="43"/>
      <c r="CC219" s="43"/>
      <c r="CD219" s="43"/>
      <c r="CE219" s="43"/>
      <c r="CF219" s="43"/>
      <c r="CG219" s="43"/>
      <c r="CH219" s="43"/>
      <c r="CI219" s="43"/>
      <c r="CJ219" s="43"/>
      <c r="CK219" s="43"/>
      <c r="CL219" s="43"/>
      <c r="CM219" s="43"/>
      <c r="CN219" s="43"/>
      <c r="CO219" s="43"/>
      <c r="CP219" s="43"/>
      <c r="CQ219" s="43"/>
      <c r="CR219" s="43"/>
      <c r="CS219" s="43"/>
      <c r="CT219" s="43"/>
      <c r="CU219" s="43"/>
      <c r="CV219" s="43"/>
      <c r="CW219" s="43"/>
      <c r="CX219" s="43"/>
      <c r="CY219" s="43"/>
      <c r="CZ219" s="43"/>
      <c r="DA219" s="43"/>
      <c r="DB219" s="43"/>
      <c r="DC219" s="43"/>
      <c r="DD219" s="43"/>
      <c r="DE219" s="43"/>
      <c r="DF219" s="43"/>
      <c r="DG219" s="43"/>
      <c r="DH219" s="43"/>
      <c r="DI219" s="43"/>
      <c r="DJ219" s="43"/>
      <c r="DK219" s="43"/>
      <c r="DL219" s="43"/>
      <c r="DM219" s="43"/>
      <c r="DN219" s="43"/>
      <c r="DO219" s="43"/>
      <c r="DP219" s="43"/>
      <c r="DQ219" s="43"/>
      <c r="DR219" s="43"/>
      <c r="DS219" s="43"/>
    </row>
    <row r="220" spans="1:123" ht="14.45">
      <c r="A220"/>
      <c r="B220"/>
      <c r="C220"/>
      <c r="D220"/>
      <c r="E220"/>
      <c r="F220"/>
      <c r="G220"/>
      <c r="H220"/>
      <c r="I220"/>
      <c r="J220"/>
      <c r="K220" s="43"/>
      <c r="L220" s="43"/>
      <c r="M220" s="43"/>
      <c r="N220" s="43"/>
      <c r="O220" s="43"/>
      <c r="P220" s="43"/>
      <c r="Q220" s="43"/>
      <c r="R220" s="43"/>
      <c r="S220" s="43"/>
      <c r="T220" s="43"/>
      <c r="U220" s="43"/>
      <c r="V220" s="43"/>
      <c r="W220" s="43"/>
      <c r="X220" s="43"/>
      <c r="Y220" s="43"/>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c r="BF220" s="43"/>
      <c r="BG220" s="43"/>
      <c r="BH220" s="43"/>
      <c r="BI220" s="43"/>
      <c r="BJ220" s="43"/>
      <c r="BK220" s="43"/>
      <c r="BL220" s="43"/>
      <c r="BM220" s="43"/>
      <c r="BN220" s="43"/>
      <c r="BO220" s="43"/>
      <c r="BP220" s="43"/>
      <c r="BQ220" s="43"/>
      <c r="BR220" s="43"/>
      <c r="BS220" s="43"/>
      <c r="BT220" s="43"/>
      <c r="BU220" s="43"/>
      <c r="BV220" s="43"/>
      <c r="BW220" s="43"/>
      <c r="BX220" s="43"/>
      <c r="BY220" s="43"/>
      <c r="BZ220" s="43"/>
      <c r="CA220" s="43"/>
      <c r="CB220" s="43"/>
      <c r="CC220" s="43"/>
      <c r="CD220" s="43"/>
      <c r="CE220" s="43"/>
      <c r="CF220" s="43"/>
      <c r="CG220" s="43"/>
      <c r="CH220" s="43"/>
      <c r="CI220" s="43"/>
      <c r="CJ220" s="43"/>
      <c r="CK220" s="43"/>
      <c r="CL220" s="43"/>
      <c r="CM220" s="43"/>
      <c r="CN220" s="43"/>
      <c r="CO220" s="43"/>
      <c r="CP220" s="43"/>
      <c r="CQ220" s="43"/>
      <c r="CR220" s="43"/>
      <c r="CS220" s="43"/>
      <c r="CT220" s="43"/>
      <c r="CU220" s="43"/>
      <c r="CV220" s="43"/>
      <c r="CW220" s="43"/>
      <c r="CX220" s="43"/>
      <c r="CY220" s="43"/>
      <c r="CZ220" s="43"/>
      <c r="DA220" s="43"/>
      <c r="DB220" s="43"/>
      <c r="DC220" s="43"/>
      <c r="DD220" s="43"/>
      <c r="DE220" s="43"/>
      <c r="DF220" s="43"/>
      <c r="DG220" s="43"/>
      <c r="DH220" s="43"/>
      <c r="DI220" s="43"/>
      <c r="DJ220" s="43"/>
      <c r="DK220" s="43"/>
      <c r="DL220" s="43"/>
      <c r="DM220" s="43"/>
      <c r="DN220" s="43"/>
      <c r="DO220" s="43"/>
      <c r="DP220" s="43"/>
      <c r="DQ220" s="43"/>
      <c r="DR220" s="43"/>
      <c r="DS220" s="43"/>
    </row>
    <row r="221" spans="1:123" ht="14.45">
      <c r="A221"/>
      <c r="B221"/>
      <c r="C221"/>
      <c r="D221"/>
      <c r="E221"/>
      <c r="F221"/>
      <c r="G221"/>
      <c r="H221"/>
      <c r="I221"/>
      <c r="J221"/>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43"/>
      <c r="CF221" s="43"/>
      <c r="CG221" s="43"/>
      <c r="CH221" s="43"/>
      <c r="CI221" s="43"/>
      <c r="CJ221" s="43"/>
      <c r="CK221" s="43"/>
      <c r="CL221" s="43"/>
      <c r="CM221" s="43"/>
      <c r="CN221" s="43"/>
      <c r="CO221" s="43"/>
      <c r="CP221" s="43"/>
      <c r="CQ221" s="43"/>
      <c r="CR221" s="43"/>
      <c r="CS221" s="43"/>
      <c r="CT221" s="43"/>
      <c r="CU221" s="43"/>
      <c r="CV221" s="43"/>
      <c r="CW221" s="43"/>
      <c r="CX221" s="43"/>
      <c r="CY221" s="43"/>
      <c r="CZ221" s="43"/>
      <c r="DA221" s="43"/>
      <c r="DB221" s="43"/>
      <c r="DC221" s="43"/>
      <c r="DD221" s="43"/>
      <c r="DE221" s="43"/>
      <c r="DF221" s="43"/>
      <c r="DG221" s="43"/>
      <c r="DH221" s="43"/>
      <c r="DI221" s="43"/>
      <c r="DJ221" s="43"/>
      <c r="DK221" s="43"/>
      <c r="DL221" s="43"/>
      <c r="DM221" s="43"/>
      <c r="DN221" s="43"/>
      <c r="DO221" s="43"/>
      <c r="DP221" s="43"/>
      <c r="DQ221" s="43"/>
      <c r="DR221" s="43"/>
      <c r="DS221" s="43"/>
    </row>
    <row r="222" spans="1:123" ht="14.45">
      <c r="A222"/>
      <c r="B222"/>
      <c r="C222"/>
      <c r="D222"/>
      <c r="E222"/>
      <c r="F222"/>
      <c r="G222"/>
      <c r="H222"/>
      <c r="I222"/>
      <c r="J222"/>
      <c r="K222" s="43"/>
      <c r="L222" s="43"/>
      <c r="M222" s="43"/>
      <c r="N222" s="43"/>
      <c r="O222" s="43"/>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c r="AM222" s="43"/>
      <c r="AN222" s="43"/>
      <c r="AO222" s="43"/>
      <c r="AP222" s="43"/>
      <c r="AQ222" s="43"/>
      <c r="AR222" s="43"/>
      <c r="AS222" s="43"/>
      <c r="AT222" s="43"/>
      <c r="AU222" s="43"/>
      <c r="AV222" s="43"/>
      <c r="AW222" s="43"/>
      <c r="AX222" s="43"/>
      <c r="AY222" s="43"/>
      <c r="AZ222" s="43"/>
      <c r="BA222" s="43"/>
      <c r="BB222" s="43"/>
      <c r="BC222" s="43"/>
      <c r="BD222" s="43"/>
      <c r="BE222" s="43"/>
      <c r="BF222" s="43"/>
      <c r="BG222" s="43"/>
      <c r="BH222" s="43"/>
      <c r="BI222" s="43"/>
      <c r="BJ222" s="43"/>
      <c r="BK222" s="43"/>
      <c r="BL222" s="43"/>
      <c r="BM222" s="43"/>
      <c r="BN222" s="43"/>
      <c r="BO222" s="43"/>
      <c r="BP222" s="43"/>
      <c r="BQ222" s="43"/>
      <c r="BR222" s="43"/>
      <c r="BS222" s="43"/>
      <c r="BT222" s="43"/>
      <c r="BU222" s="43"/>
      <c r="BV222" s="43"/>
      <c r="BW222" s="43"/>
      <c r="BX222" s="43"/>
      <c r="BY222" s="43"/>
      <c r="BZ222" s="43"/>
      <c r="CA222" s="43"/>
      <c r="CB222" s="43"/>
      <c r="CC222" s="43"/>
      <c r="CD222" s="43"/>
      <c r="CE222" s="43"/>
      <c r="CF222" s="43"/>
      <c r="CG222" s="43"/>
      <c r="CH222" s="43"/>
      <c r="CI222" s="43"/>
      <c r="CJ222" s="43"/>
      <c r="CK222" s="43"/>
      <c r="CL222" s="43"/>
      <c r="CM222" s="43"/>
      <c r="CN222" s="43"/>
      <c r="CO222" s="43"/>
      <c r="CP222" s="43"/>
      <c r="CQ222" s="43"/>
      <c r="CR222" s="43"/>
      <c r="CS222" s="43"/>
      <c r="CT222" s="43"/>
      <c r="CU222" s="43"/>
      <c r="CV222" s="43"/>
      <c r="CW222" s="43"/>
      <c r="CX222" s="43"/>
      <c r="CY222" s="43"/>
      <c r="CZ222" s="43"/>
      <c r="DA222" s="43"/>
      <c r="DB222" s="43"/>
      <c r="DC222" s="43"/>
      <c r="DD222" s="43"/>
      <c r="DE222" s="43"/>
      <c r="DF222" s="43"/>
      <c r="DG222" s="43"/>
      <c r="DH222" s="43"/>
      <c r="DI222" s="43"/>
      <c r="DJ222" s="43"/>
      <c r="DK222" s="43"/>
      <c r="DL222" s="43"/>
      <c r="DM222" s="43"/>
      <c r="DN222" s="43"/>
      <c r="DO222" s="43"/>
      <c r="DP222" s="43"/>
      <c r="DQ222" s="43"/>
      <c r="DR222" s="43"/>
      <c r="DS222" s="43"/>
    </row>
    <row r="223" spans="1:123" ht="14.45">
      <c r="A223"/>
      <c r="B223"/>
      <c r="C223"/>
      <c r="D223"/>
      <c r="E223"/>
      <c r="F223"/>
      <c r="G223"/>
      <c r="H223"/>
      <c r="I223"/>
      <c r="J223"/>
      <c r="K223" s="43"/>
      <c r="L223" s="43"/>
      <c r="M223" s="43"/>
      <c r="N223" s="43"/>
      <c r="O223" s="43"/>
      <c r="P223" s="43"/>
      <c r="Q223" s="43"/>
      <c r="R223" s="43"/>
      <c r="S223" s="43"/>
      <c r="T223" s="43"/>
      <c r="U223" s="43"/>
      <c r="V223" s="43"/>
      <c r="W223" s="43"/>
      <c r="X223" s="43"/>
      <c r="Y223" s="43"/>
      <c r="Z223" s="43"/>
      <c r="AA223" s="43"/>
      <c r="AB223" s="43"/>
      <c r="AC223" s="43"/>
      <c r="AD223" s="43"/>
      <c r="AE223" s="43"/>
      <c r="AF223" s="43"/>
      <c r="AG223" s="43"/>
      <c r="AH223" s="43"/>
      <c r="AI223" s="43"/>
      <c r="AJ223" s="43"/>
      <c r="AK223" s="43"/>
      <c r="AL223" s="43"/>
      <c r="AM223" s="43"/>
      <c r="AN223" s="43"/>
      <c r="AO223" s="43"/>
      <c r="AP223" s="43"/>
      <c r="AQ223" s="43"/>
      <c r="AR223" s="43"/>
      <c r="AS223" s="43"/>
      <c r="AT223" s="43"/>
      <c r="AU223" s="43"/>
      <c r="AV223" s="43"/>
      <c r="AW223" s="43"/>
      <c r="AX223" s="43"/>
      <c r="AY223" s="43"/>
      <c r="AZ223" s="43"/>
      <c r="BA223" s="43"/>
      <c r="BB223" s="43"/>
      <c r="BC223" s="43"/>
      <c r="BD223" s="43"/>
      <c r="BE223" s="43"/>
      <c r="BF223" s="43"/>
      <c r="BG223" s="43"/>
      <c r="BH223" s="43"/>
      <c r="BI223" s="43"/>
      <c r="BJ223" s="43"/>
      <c r="BK223" s="43"/>
      <c r="BL223" s="43"/>
      <c r="BM223" s="43"/>
      <c r="BN223" s="43"/>
      <c r="BO223" s="43"/>
      <c r="BP223" s="43"/>
      <c r="BQ223" s="43"/>
      <c r="BR223" s="43"/>
      <c r="BS223" s="43"/>
      <c r="BT223" s="43"/>
      <c r="BU223" s="43"/>
      <c r="BV223" s="43"/>
      <c r="BW223" s="43"/>
      <c r="BX223" s="43"/>
      <c r="BY223" s="43"/>
      <c r="BZ223" s="43"/>
      <c r="CA223" s="43"/>
      <c r="CB223" s="43"/>
      <c r="CC223" s="43"/>
      <c r="CD223" s="43"/>
      <c r="CE223" s="43"/>
      <c r="CF223" s="43"/>
      <c r="CG223" s="43"/>
      <c r="CH223" s="43"/>
      <c r="CI223" s="43"/>
      <c r="CJ223" s="43"/>
      <c r="CK223" s="43"/>
      <c r="CL223" s="43"/>
      <c r="CM223" s="43"/>
      <c r="CN223" s="43"/>
      <c r="CO223" s="43"/>
      <c r="CP223" s="43"/>
      <c r="CQ223" s="43"/>
      <c r="CR223" s="43"/>
      <c r="CS223" s="43"/>
      <c r="CT223" s="43"/>
      <c r="CU223" s="43"/>
      <c r="CV223" s="43"/>
      <c r="CW223" s="43"/>
      <c r="CX223" s="43"/>
      <c r="CY223" s="43"/>
      <c r="CZ223" s="43"/>
      <c r="DA223" s="43"/>
      <c r="DB223" s="43"/>
      <c r="DC223" s="43"/>
      <c r="DD223" s="43"/>
      <c r="DE223" s="43"/>
      <c r="DF223" s="43"/>
      <c r="DG223" s="43"/>
      <c r="DH223" s="43"/>
      <c r="DI223" s="43"/>
      <c r="DJ223" s="43"/>
      <c r="DK223" s="43"/>
      <c r="DL223" s="43"/>
      <c r="DM223" s="43"/>
      <c r="DN223" s="43"/>
      <c r="DO223" s="43"/>
      <c r="DP223" s="43"/>
      <c r="DQ223" s="43"/>
      <c r="DR223" s="43"/>
      <c r="DS223" s="43"/>
    </row>
    <row r="224" spans="1:123" ht="14.45">
      <c r="A224"/>
      <c r="B224"/>
      <c r="C224"/>
      <c r="D224"/>
      <c r="E224"/>
      <c r="F224"/>
      <c r="G224"/>
      <c r="H224"/>
      <c r="I224"/>
      <c r="J224"/>
      <c r="K224" s="43"/>
      <c r="L224" s="43"/>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c r="BC224" s="43"/>
      <c r="BD224" s="43"/>
      <c r="BE224" s="43"/>
      <c r="BF224" s="43"/>
      <c r="BG224" s="43"/>
      <c r="BH224" s="43"/>
      <c r="BI224" s="43"/>
      <c r="BJ224" s="43"/>
      <c r="BK224" s="43"/>
      <c r="BL224" s="43"/>
      <c r="BM224" s="43"/>
      <c r="BN224" s="43"/>
      <c r="BO224" s="43"/>
      <c r="BP224" s="43"/>
      <c r="BQ224" s="43"/>
      <c r="BR224" s="43"/>
      <c r="BS224" s="43"/>
      <c r="BT224" s="43"/>
      <c r="BU224" s="43"/>
      <c r="BV224" s="43"/>
      <c r="BW224" s="43"/>
      <c r="BX224" s="43"/>
      <c r="BY224" s="43"/>
      <c r="BZ224" s="43"/>
      <c r="CA224" s="43"/>
      <c r="CB224" s="43"/>
      <c r="CC224" s="43"/>
      <c r="CD224" s="43"/>
      <c r="CE224" s="43"/>
      <c r="CF224" s="43"/>
      <c r="CG224" s="43"/>
      <c r="CH224" s="43"/>
      <c r="CI224" s="43"/>
      <c r="CJ224" s="43"/>
      <c r="CK224" s="43"/>
      <c r="CL224" s="43"/>
      <c r="CM224" s="43"/>
      <c r="CN224" s="43"/>
      <c r="CO224" s="43"/>
      <c r="CP224" s="43"/>
      <c r="CQ224" s="43"/>
      <c r="CR224" s="43"/>
      <c r="CS224" s="43"/>
      <c r="CT224" s="43"/>
      <c r="CU224" s="43"/>
      <c r="CV224" s="43"/>
      <c r="CW224" s="43"/>
      <c r="CX224" s="43"/>
      <c r="CY224" s="43"/>
      <c r="CZ224" s="43"/>
      <c r="DA224" s="43"/>
      <c r="DB224" s="43"/>
      <c r="DC224" s="43"/>
      <c r="DD224" s="43"/>
      <c r="DE224" s="43"/>
      <c r="DF224" s="43"/>
      <c r="DG224" s="43"/>
      <c r="DH224" s="43"/>
      <c r="DI224" s="43"/>
      <c r="DJ224" s="43"/>
      <c r="DK224" s="43"/>
      <c r="DL224" s="43"/>
      <c r="DM224" s="43"/>
      <c r="DN224" s="43"/>
      <c r="DO224" s="43"/>
      <c r="DP224" s="43"/>
      <c r="DQ224" s="43"/>
      <c r="DR224" s="43"/>
      <c r="DS224" s="43"/>
    </row>
    <row r="225" spans="1:123" ht="14.45">
      <c r="A225"/>
      <c r="B225"/>
      <c r="C225"/>
      <c r="D225"/>
      <c r="E225"/>
      <c r="F225"/>
      <c r="G225"/>
      <c r="H225"/>
      <c r="I225"/>
      <c r="J225"/>
      <c r="K225" s="43"/>
      <c r="L225" s="43"/>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3"/>
      <c r="BM225" s="43"/>
      <c r="BN225" s="43"/>
      <c r="BO225" s="43"/>
      <c r="BP225" s="43"/>
      <c r="BQ225" s="43"/>
      <c r="BR225" s="43"/>
      <c r="BS225" s="43"/>
      <c r="BT225" s="43"/>
      <c r="BU225" s="43"/>
      <c r="BV225" s="43"/>
      <c r="BW225" s="43"/>
      <c r="BX225" s="43"/>
      <c r="BY225" s="43"/>
      <c r="BZ225" s="43"/>
      <c r="CA225" s="43"/>
      <c r="CB225" s="43"/>
      <c r="CC225" s="43"/>
      <c r="CD225" s="43"/>
      <c r="CE225" s="43"/>
      <c r="CF225" s="43"/>
      <c r="CG225" s="43"/>
      <c r="CH225" s="43"/>
      <c r="CI225" s="43"/>
      <c r="CJ225" s="43"/>
      <c r="CK225" s="43"/>
      <c r="CL225" s="43"/>
      <c r="CM225" s="43"/>
      <c r="CN225" s="43"/>
      <c r="CO225" s="43"/>
      <c r="CP225" s="43"/>
      <c r="CQ225" s="43"/>
      <c r="CR225" s="43"/>
      <c r="CS225" s="43"/>
      <c r="CT225" s="43"/>
      <c r="CU225" s="43"/>
      <c r="CV225" s="43"/>
      <c r="CW225" s="43"/>
      <c r="CX225" s="43"/>
      <c r="CY225" s="43"/>
      <c r="CZ225" s="43"/>
      <c r="DA225" s="43"/>
      <c r="DB225" s="43"/>
      <c r="DC225" s="43"/>
      <c r="DD225" s="43"/>
      <c r="DE225" s="43"/>
      <c r="DF225" s="43"/>
      <c r="DG225" s="43"/>
      <c r="DH225" s="43"/>
      <c r="DI225" s="43"/>
      <c r="DJ225" s="43"/>
      <c r="DK225" s="43"/>
      <c r="DL225" s="43"/>
      <c r="DM225" s="43"/>
      <c r="DN225" s="43"/>
      <c r="DO225" s="43"/>
      <c r="DP225" s="43"/>
      <c r="DQ225" s="43"/>
      <c r="DR225" s="43"/>
      <c r="DS225" s="43"/>
    </row>
    <row r="226" spans="1:123" ht="14.45">
      <c r="A226"/>
      <c r="B226"/>
      <c r="C226"/>
      <c r="D226"/>
      <c r="E226"/>
      <c r="F226"/>
      <c r="G226"/>
      <c r="H226"/>
      <c r="I226"/>
      <c r="J226"/>
      <c r="K226" s="43"/>
      <c r="L226" s="43"/>
      <c r="M226" s="43"/>
      <c r="N226" s="43"/>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c r="AR226" s="43"/>
      <c r="AS226" s="43"/>
      <c r="AT226" s="43"/>
      <c r="AU226" s="43"/>
      <c r="AV226" s="43"/>
      <c r="AW226" s="43"/>
      <c r="AX226" s="43"/>
      <c r="AY226" s="43"/>
      <c r="AZ226" s="43"/>
      <c r="BA226" s="43"/>
      <c r="BB226" s="43"/>
      <c r="BC226" s="43"/>
      <c r="BD226" s="43"/>
      <c r="BE226" s="43"/>
      <c r="BF226" s="43"/>
      <c r="BG226" s="43"/>
      <c r="BH226" s="43"/>
      <c r="BI226" s="43"/>
      <c r="BJ226" s="43"/>
      <c r="BK226" s="43"/>
      <c r="BL226" s="43"/>
      <c r="BM226" s="43"/>
      <c r="BN226" s="43"/>
      <c r="BO226" s="43"/>
      <c r="BP226" s="43"/>
      <c r="BQ226" s="43"/>
      <c r="BR226" s="43"/>
      <c r="BS226" s="43"/>
      <c r="BT226" s="43"/>
      <c r="BU226" s="43"/>
      <c r="BV226" s="43"/>
      <c r="BW226" s="43"/>
      <c r="BX226" s="43"/>
      <c r="BY226" s="43"/>
      <c r="BZ226" s="43"/>
      <c r="CA226" s="43"/>
      <c r="CB226" s="43"/>
      <c r="CC226" s="43"/>
      <c r="CD226" s="43"/>
      <c r="CE226" s="43"/>
      <c r="CF226" s="43"/>
      <c r="CG226" s="43"/>
      <c r="CH226" s="43"/>
      <c r="CI226" s="43"/>
      <c r="CJ226" s="43"/>
      <c r="CK226" s="43"/>
      <c r="CL226" s="43"/>
      <c r="CM226" s="43"/>
      <c r="CN226" s="43"/>
      <c r="CO226" s="43"/>
      <c r="CP226" s="43"/>
      <c r="CQ226" s="43"/>
      <c r="CR226" s="43"/>
      <c r="CS226" s="43"/>
      <c r="CT226" s="43"/>
      <c r="CU226" s="43"/>
      <c r="CV226" s="43"/>
      <c r="CW226" s="43"/>
      <c r="CX226" s="43"/>
      <c r="CY226" s="43"/>
      <c r="CZ226" s="43"/>
      <c r="DA226" s="43"/>
      <c r="DB226" s="43"/>
      <c r="DC226" s="43"/>
      <c r="DD226" s="43"/>
      <c r="DE226" s="43"/>
      <c r="DF226" s="43"/>
      <c r="DG226" s="43"/>
      <c r="DH226" s="43"/>
      <c r="DI226" s="43"/>
      <c r="DJ226" s="43"/>
      <c r="DK226" s="43"/>
      <c r="DL226" s="43"/>
      <c r="DM226" s="43"/>
      <c r="DN226" s="43"/>
      <c r="DO226" s="43"/>
      <c r="DP226" s="43"/>
      <c r="DQ226" s="43"/>
      <c r="DR226" s="43"/>
      <c r="DS226" s="43"/>
    </row>
    <row r="227" spans="1:123" ht="14.45">
      <c r="A227"/>
      <c r="B227"/>
      <c r="C227"/>
      <c r="D227"/>
      <c r="E227"/>
      <c r="F227"/>
      <c r="G227"/>
      <c r="H227"/>
      <c r="I227"/>
      <c r="J227"/>
      <c r="K227" s="43"/>
      <c r="L227" s="43"/>
      <c r="M227" s="43"/>
      <c r="N227" s="43"/>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c r="AR227" s="43"/>
      <c r="AS227" s="43"/>
      <c r="AT227" s="43"/>
      <c r="AU227" s="43"/>
      <c r="AV227" s="43"/>
      <c r="AW227" s="43"/>
      <c r="AX227" s="43"/>
      <c r="AY227" s="43"/>
      <c r="AZ227" s="43"/>
      <c r="BA227" s="43"/>
      <c r="BB227" s="43"/>
      <c r="BC227" s="43"/>
      <c r="BD227" s="43"/>
      <c r="BE227" s="43"/>
      <c r="BF227" s="43"/>
      <c r="BG227" s="43"/>
      <c r="BH227" s="43"/>
      <c r="BI227" s="43"/>
      <c r="BJ227" s="43"/>
      <c r="BK227" s="43"/>
      <c r="BL227" s="43"/>
      <c r="BM227" s="43"/>
      <c r="BN227" s="43"/>
      <c r="BO227" s="43"/>
      <c r="BP227" s="43"/>
      <c r="BQ227" s="43"/>
      <c r="BR227" s="43"/>
      <c r="BS227" s="43"/>
      <c r="BT227" s="43"/>
      <c r="BU227" s="43"/>
      <c r="BV227" s="43"/>
      <c r="BW227" s="43"/>
      <c r="BX227" s="43"/>
      <c r="BY227" s="43"/>
      <c r="BZ227" s="43"/>
      <c r="CA227" s="43"/>
      <c r="CB227" s="43"/>
      <c r="CC227" s="43"/>
      <c r="CD227" s="43"/>
      <c r="CE227" s="43"/>
      <c r="CF227" s="43"/>
      <c r="CG227" s="43"/>
      <c r="CH227" s="43"/>
      <c r="CI227" s="43"/>
      <c r="CJ227" s="43"/>
      <c r="CK227" s="43"/>
      <c r="CL227" s="43"/>
      <c r="CM227" s="43"/>
      <c r="CN227" s="43"/>
      <c r="CO227" s="43"/>
      <c r="CP227" s="43"/>
      <c r="CQ227" s="43"/>
      <c r="CR227" s="43"/>
      <c r="CS227" s="43"/>
      <c r="CT227" s="43"/>
      <c r="CU227" s="43"/>
      <c r="CV227" s="43"/>
      <c r="CW227" s="43"/>
      <c r="CX227" s="43"/>
      <c r="CY227" s="43"/>
      <c r="CZ227" s="43"/>
      <c r="DA227" s="43"/>
      <c r="DB227" s="43"/>
      <c r="DC227" s="43"/>
      <c r="DD227" s="43"/>
      <c r="DE227" s="43"/>
      <c r="DF227" s="43"/>
      <c r="DG227" s="43"/>
      <c r="DH227" s="43"/>
      <c r="DI227" s="43"/>
      <c r="DJ227" s="43"/>
      <c r="DK227" s="43"/>
      <c r="DL227" s="43"/>
      <c r="DM227" s="43"/>
      <c r="DN227" s="43"/>
      <c r="DO227" s="43"/>
      <c r="DP227" s="43"/>
      <c r="DQ227" s="43"/>
      <c r="DR227" s="43"/>
      <c r="DS227" s="43"/>
    </row>
    <row r="228" spans="1:123" ht="14.45">
      <c r="A228"/>
      <c r="B228"/>
      <c r="C228"/>
      <c r="D228"/>
      <c r="E228"/>
      <c r="F228"/>
      <c r="G228"/>
      <c r="H228"/>
      <c r="I228"/>
      <c r="J228"/>
      <c r="K228" s="43"/>
      <c r="L228" s="43"/>
      <c r="M228" s="43"/>
      <c r="N228" s="43"/>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c r="AR228" s="43"/>
      <c r="AS228" s="43"/>
      <c r="AT228" s="43"/>
      <c r="AU228" s="43"/>
      <c r="AV228" s="43"/>
      <c r="AW228" s="43"/>
      <c r="AX228" s="43"/>
      <c r="AY228" s="43"/>
      <c r="AZ228" s="43"/>
      <c r="BA228" s="43"/>
      <c r="BB228" s="43"/>
      <c r="BC228" s="43"/>
      <c r="BD228" s="43"/>
      <c r="BE228" s="43"/>
      <c r="BF228" s="43"/>
      <c r="BG228" s="43"/>
      <c r="BH228" s="43"/>
      <c r="BI228" s="43"/>
      <c r="BJ228" s="43"/>
      <c r="BK228" s="43"/>
      <c r="BL228" s="43"/>
      <c r="BM228" s="43"/>
      <c r="BN228" s="43"/>
      <c r="BO228" s="43"/>
      <c r="BP228" s="43"/>
      <c r="BQ228" s="43"/>
      <c r="BR228" s="43"/>
      <c r="BS228" s="43"/>
      <c r="BT228" s="43"/>
      <c r="BU228" s="43"/>
      <c r="BV228" s="43"/>
      <c r="BW228" s="43"/>
      <c r="BX228" s="43"/>
      <c r="BY228" s="43"/>
      <c r="BZ228" s="43"/>
      <c r="CA228" s="43"/>
      <c r="CB228" s="43"/>
      <c r="CC228" s="43"/>
      <c r="CD228" s="43"/>
      <c r="CE228" s="43"/>
      <c r="CF228" s="43"/>
      <c r="CG228" s="43"/>
      <c r="CH228" s="43"/>
      <c r="CI228" s="43"/>
      <c r="CJ228" s="43"/>
      <c r="CK228" s="43"/>
      <c r="CL228" s="43"/>
      <c r="CM228" s="43"/>
      <c r="CN228" s="43"/>
      <c r="CO228" s="43"/>
      <c r="CP228" s="43"/>
      <c r="CQ228" s="43"/>
      <c r="CR228" s="43"/>
      <c r="CS228" s="43"/>
      <c r="CT228" s="43"/>
      <c r="CU228" s="43"/>
      <c r="CV228" s="43"/>
      <c r="CW228" s="43"/>
      <c r="CX228" s="43"/>
      <c r="CY228" s="43"/>
      <c r="CZ228" s="43"/>
      <c r="DA228" s="43"/>
      <c r="DB228" s="43"/>
      <c r="DC228" s="43"/>
      <c r="DD228" s="43"/>
      <c r="DE228" s="43"/>
      <c r="DF228" s="43"/>
      <c r="DG228" s="43"/>
      <c r="DH228" s="43"/>
      <c r="DI228" s="43"/>
      <c r="DJ228" s="43"/>
      <c r="DK228" s="43"/>
      <c r="DL228" s="43"/>
      <c r="DM228" s="43"/>
      <c r="DN228" s="43"/>
      <c r="DO228" s="43"/>
      <c r="DP228" s="43"/>
      <c r="DQ228" s="43"/>
      <c r="DR228" s="43"/>
      <c r="DS228" s="43"/>
    </row>
    <row r="229" spans="1:123" ht="14.45">
      <c r="A229"/>
      <c r="B229"/>
      <c r="C229"/>
      <c r="D229"/>
      <c r="E229"/>
      <c r="F229"/>
      <c r="G229"/>
      <c r="H229"/>
      <c r="I229"/>
      <c r="J229"/>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c r="BO229" s="43"/>
      <c r="BP229" s="43"/>
      <c r="BQ229" s="43"/>
      <c r="BR229" s="43"/>
      <c r="BS229" s="43"/>
      <c r="BT229" s="43"/>
      <c r="BU229" s="43"/>
      <c r="BV229" s="43"/>
      <c r="BW229" s="43"/>
      <c r="BX229" s="43"/>
      <c r="BY229" s="43"/>
      <c r="BZ229" s="43"/>
      <c r="CA229" s="43"/>
      <c r="CB229" s="43"/>
      <c r="CC229" s="43"/>
      <c r="CD229" s="43"/>
      <c r="CE229" s="43"/>
      <c r="CF229" s="43"/>
      <c r="CG229" s="43"/>
      <c r="CH229" s="43"/>
      <c r="CI229" s="43"/>
      <c r="CJ229" s="43"/>
      <c r="CK229" s="43"/>
      <c r="CL229" s="43"/>
      <c r="CM229" s="43"/>
      <c r="CN229" s="43"/>
      <c r="CO229" s="43"/>
      <c r="CP229" s="43"/>
      <c r="CQ229" s="43"/>
      <c r="CR229" s="43"/>
      <c r="CS229" s="43"/>
      <c r="CT229" s="43"/>
      <c r="CU229" s="43"/>
      <c r="CV229" s="43"/>
      <c r="CW229" s="43"/>
      <c r="CX229" s="43"/>
      <c r="CY229" s="43"/>
      <c r="CZ229" s="43"/>
      <c r="DA229" s="43"/>
      <c r="DB229" s="43"/>
      <c r="DC229" s="43"/>
      <c r="DD229" s="43"/>
      <c r="DE229" s="43"/>
      <c r="DF229" s="43"/>
      <c r="DG229" s="43"/>
      <c r="DH229" s="43"/>
      <c r="DI229" s="43"/>
      <c r="DJ229" s="43"/>
      <c r="DK229" s="43"/>
      <c r="DL229" s="43"/>
      <c r="DM229" s="43"/>
      <c r="DN229" s="43"/>
      <c r="DO229" s="43"/>
      <c r="DP229" s="43"/>
      <c r="DQ229" s="43"/>
      <c r="DR229" s="43"/>
      <c r="DS229" s="43"/>
    </row>
    <row r="230" spans="1:123" ht="14.45">
      <c r="A230"/>
      <c r="B230"/>
      <c r="C230"/>
      <c r="D230"/>
      <c r="E230"/>
      <c r="F230"/>
      <c r="G230"/>
      <c r="H230"/>
      <c r="I230"/>
      <c r="J230"/>
      <c r="K230" s="43"/>
      <c r="L230" s="43"/>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c r="AZ230" s="43"/>
      <c r="BA230" s="43"/>
      <c r="BB230" s="43"/>
      <c r="BC230" s="43"/>
      <c r="BD230" s="43"/>
      <c r="BE230" s="43"/>
      <c r="BF230" s="43"/>
      <c r="BG230" s="43"/>
      <c r="BH230" s="43"/>
      <c r="BI230" s="43"/>
      <c r="BJ230" s="43"/>
      <c r="BK230" s="43"/>
      <c r="BL230" s="43"/>
      <c r="BM230" s="43"/>
      <c r="BN230" s="43"/>
      <c r="BO230" s="43"/>
      <c r="BP230" s="43"/>
      <c r="BQ230" s="43"/>
      <c r="BR230" s="43"/>
      <c r="BS230" s="43"/>
      <c r="BT230" s="43"/>
      <c r="BU230" s="43"/>
      <c r="BV230" s="43"/>
      <c r="BW230" s="43"/>
      <c r="BX230" s="43"/>
      <c r="BY230" s="43"/>
      <c r="BZ230" s="43"/>
      <c r="CA230" s="43"/>
      <c r="CB230" s="43"/>
      <c r="CC230" s="43"/>
      <c r="CD230" s="43"/>
      <c r="CE230" s="43"/>
      <c r="CF230" s="43"/>
      <c r="CG230" s="43"/>
      <c r="CH230" s="43"/>
      <c r="CI230" s="43"/>
      <c r="CJ230" s="43"/>
      <c r="CK230" s="43"/>
      <c r="CL230" s="43"/>
      <c r="CM230" s="43"/>
      <c r="CN230" s="43"/>
      <c r="CO230" s="43"/>
      <c r="CP230" s="43"/>
      <c r="CQ230" s="43"/>
      <c r="CR230" s="43"/>
      <c r="CS230" s="43"/>
      <c r="CT230" s="43"/>
      <c r="CU230" s="43"/>
      <c r="CV230" s="43"/>
      <c r="CW230" s="43"/>
      <c r="CX230" s="43"/>
      <c r="CY230" s="43"/>
      <c r="CZ230" s="43"/>
      <c r="DA230" s="43"/>
      <c r="DB230" s="43"/>
      <c r="DC230" s="43"/>
      <c r="DD230" s="43"/>
      <c r="DE230" s="43"/>
      <c r="DF230" s="43"/>
      <c r="DG230" s="43"/>
      <c r="DH230" s="43"/>
      <c r="DI230" s="43"/>
      <c r="DJ230" s="43"/>
      <c r="DK230" s="43"/>
      <c r="DL230" s="43"/>
      <c r="DM230" s="43"/>
      <c r="DN230" s="43"/>
      <c r="DO230" s="43"/>
      <c r="DP230" s="43"/>
      <c r="DQ230" s="43"/>
      <c r="DR230" s="43"/>
      <c r="DS230" s="43"/>
    </row>
    <row r="231" spans="1:123" ht="14.45">
      <c r="A231"/>
      <c r="B231"/>
      <c r="C231"/>
      <c r="D231"/>
      <c r="E231"/>
      <c r="F231"/>
      <c r="G231"/>
      <c r="H231"/>
      <c r="I231"/>
      <c r="J231"/>
      <c r="K231" s="43"/>
      <c r="L231" s="43"/>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c r="AR231" s="43"/>
      <c r="AS231" s="43"/>
      <c r="AT231" s="43"/>
      <c r="AU231" s="43"/>
      <c r="AV231" s="43"/>
      <c r="AW231" s="43"/>
      <c r="AX231" s="43"/>
      <c r="AY231" s="43"/>
      <c r="AZ231" s="43"/>
      <c r="BA231" s="43"/>
      <c r="BB231" s="43"/>
      <c r="BC231" s="43"/>
      <c r="BD231" s="43"/>
      <c r="BE231" s="43"/>
      <c r="BF231" s="43"/>
      <c r="BG231" s="43"/>
      <c r="BH231" s="43"/>
      <c r="BI231" s="43"/>
      <c r="BJ231" s="43"/>
      <c r="BK231" s="43"/>
      <c r="BL231" s="43"/>
      <c r="BM231" s="43"/>
      <c r="BN231" s="43"/>
      <c r="BO231" s="43"/>
      <c r="BP231" s="43"/>
      <c r="BQ231" s="43"/>
      <c r="BR231" s="43"/>
      <c r="BS231" s="43"/>
      <c r="BT231" s="43"/>
      <c r="BU231" s="43"/>
      <c r="BV231" s="43"/>
      <c r="BW231" s="43"/>
      <c r="BX231" s="43"/>
      <c r="BY231" s="43"/>
      <c r="BZ231" s="43"/>
      <c r="CA231" s="43"/>
      <c r="CB231" s="43"/>
      <c r="CC231" s="43"/>
      <c r="CD231" s="43"/>
      <c r="CE231" s="43"/>
      <c r="CF231" s="43"/>
      <c r="CG231" s="43"/>
      <c r="CH231" s="43"/>
      <c r="CI231" s="43"/>
      <c r="CJ231" s="43"/>
      <c r="CK231" s="43"/>
      <c r="CL231" s="43"/>
      <c r="CM231" s="43"/>
      <c r="CN231" s="43"/>
      <c r="CO231" s="43"/>
      <c r="CP231" s="43"/>
      <c r="CQ231" s="43"/>
      <c r="CR231" s="43"/>
      <c r="CS231" s="43"/>
      <c r="CT231" s="43"/>
      <c r="CU231" s="43"/>
      <c r="CV231" s="43"/>
      <c r="CW231" s="43"/>
      <c r="CX231" s="43"/>
      <c r="CY231" s="43"/>
      <c r="CZ231" s="43"/>
      <c r="DA231" s="43"/>
      <c r="DB231" s="43"/>
      <c r="DC231" s="43"/>
      <c r="DD231" s="43"/>
      <c r="DE231" s="43"/>
      <c r="DF231" s="43"/>
      <c r="DG231" s="43"/>
      <c r="DH231" s="43"/>
      <c r="DI231" s="43"/>
      <c r="DJ231" s="43"/>
      <c r="DK231" s="43"/>
      <c r="DL231" s="43"/>
      <c r="DM231" s="43"/>
      <c r="DN231" s="43"/>
      <c r="DO231" s="43"/>
      <c r="DP231" s="43"/>
      <c r="DQ231" s="43"/>
      <c r="DR231" s="43"/>
      <c r="DS231" s="43"/>
    </row>
    <row r="232" spans="1:123" ht="14.45">
      <c r="A232"/>
      <c r="B232"/>
      <c r="C232"/>
      <c r="D232"/>
      <c r="E232"/>
      <c r="F232"/>
      <c r="G232"/>
      <c r="H232"/>
      <c r="I232"/>
      <c r="J232"/>
      <c r="K232" s="43"/>
      <c r="L232" s="43"/>
      <c r="M232" s="43"/>
      <c r="N232" s="43"/>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c r="AR232" s="43"/>
      <c r="AS232" s="43"/>
      <c r="AT232" s="43"/>
      <c r="AU232" s="43"/>
      <c r="AV232" s="43"/>
      <c r="AW232" s="43"/>
      <c r="AX232" s="43"/>
      <c r="AY232" s="43"/>
      <c r="AZ232" s="43"/>
      <c r="BA232" s="43"/>
      <c r="BB232" s="43"/>
      <c r="BC232" s="43"/>
      <c r="BD232" s="43"/>
      <c r="BE232" s="43"/>
      <c r="BF232" s="43"/>
      <c r="BG232" s="43"/>
      <c r="BH232" s="43"/>
      <c r="BI232" s="43"/>
      <c r="BJ232" s="43"/>
      <c r="BK232" s="43"/>
      <c r="BL232" s="43"/>
      <c r="BM232" s="43"/>
      <c r="BN232" s="43"/>
      <c r="BO232" s="43"/>
      <c r="BP232" s="43"/>
      <c r="BQ232" s="43"/>
      <c r="BR232" s="43"/>
      <c r="BS232" s="43"/>
      <c r="BT232" s="43"/>
      <c r="BU232" s="43"/>
      <c r="BV232" s="43"/>
      <c r="BW232" s="43"/>
      <c r="BX232" s="43"/>
      <c r="BY232" s="43"/>
      <c r="BZ232" s="43"/>
      <c r="CA232" s="43"/>
      <c r="CB232" s="43"/>
      <c r="CC232" s="43"/>
      <c r="CD232" s="43"/>
      <c r="CE232" s="43"/>
      <c r="CF232" s="43"/>
      <c r="CG232" s="43"/>
      <c r="CH232" s="43"/>
      <c r="CI232" s="43"/>
      <c r="CJ232" s="43"/>
      <c r="CK232" s="43"/>
      <c r="CL232" s="43"/>
      <c r="CM232" s="43"/>
      <c r="CN232" s="43"/>
      <c r="CO232" s="43"/>
      <c r="CP232" s="43"/>
      <c r="CQ232" s="43"/>
      <c r="CR232" s="43"/>
      <c r="CS232" s="43"/>
      <c r="CT232" s="43"/>
      <c r="CU232" s="43"/>
      <c r="CV232" s="43"/>
      <c r="CW232" s="43"/>
      <c r="CX232" s="43"/>
      <c r="CY232" s="43"/>
      <c r="CZ232" s="43"/>
      <c r="DA232" s="43"/>
      <c r="DB232" s="43"/>
      <c r="DC232" s="43"/>
      <c r="DD232" s="43"/>
      <c r="DE232" s="43"/>
      <c r="DF232" s="43"/>
      <c r="DG232" s="43"/>
      <c r="DH232" s="43"/>
      <c r="DI232" s="43"/>
      <c r="DJ232" s="43"/>
      <c r="DK232" s="43"/>
      <c r="DL232" s="43"/>
      <c r="DM232" s="43"/>
      <c r="DN232" s="43"/>
      <c r="DO232" s="43"/>
      <c r="DP232" s="43"/>
      <c r="DQ232" s="43"/>
      <c r="DR232" s="43"/>
      <c r="DS232" s="43"/>
    </row>
    <row r="233" spans="1:123" ht="14.45">
      <c r="A233"/>
      <c r="B233"/>
      <c r="C233"/>
      <c r="D233"/>
      <c r="E233"/>
      <c r="F233"/>
      <c r="G233"/>
      <c r="H233"/>
      <c r="I233"/>
      <c r="J233"/>
      <c r="K233" s="43"/>
      <c r="L233" s="43"/>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3"/>
      <c r="BM233" s="43"/>
      <c r="BN233" s="43"/>
      <c r="BO233" s="43"/>
      <c r="BP233" s="43"/>
      <c r="BQ233" s="43"/>
      <c r="BR233" s="43"/>
      <c r="BS233" s="43"/>
      <c r="BT233" s="43"/>
      <c r="BU233" s="43"/>
      <c r="BV233" s="43"/>
      <c r="BW233" s="43"/>
      <c r="BX233" s="43"/>
      <c r="BY233" s="43"/>
      <c r="BZ233" s="43"/>
      <c r="CA233" s="43"/>
      <c r="CB233" s="43"/>
      <c r="CC233" s="43"/>
      <c r="CD233" s="43"/>
      <c r="CE233" s="43"/>
      <c r="CF233" s="43"/>
      <c r="CG233" s="43"/>
      <c r="CH233" s="43"/>
      <c r="CI233" s="43"/>
      <c r="CJ233" s="43"/>
      <c r="CK233" s="43"/>
      <c r="CL233" s="43"/>
      <c r="CM233" s="43"/>
      <c r="CN233" s="43"/>
      <c r="CO233" s="43"/>
      <c r="CP233" s="43"/>
      <c r="CQ233" s="43"/>
      <c r="CR233" s="43"/>
      <c r="CS233" s="43"/>
      <c r="CT233" s="43"/>
      <c r="CU233" s="43"/>
      <c r="CV233" s="43"/>
      <c r="CW233" s="43"/>
      <c r="CX233" s="43"/>
      <c r="CY233" s="43"/>
      <c r="CZ233" s="43"/>
      <c r="DA233" s="43"/>
      <c r="DB233" s="43"/>
      <c r="DC233" s="43"/>
      <c r="DD233" s="43"/>
      <c r="DE233" s="43"/>
      <c r="DF233" s="43"/>
      <c r="DG233" s="43"/>
      <c r="DH233" s="43"/>
      <c r="DI233" s="43"/>
      <c r="DJ233" s="43"/>
      <c r="DK233" s="43"/>
      <c r="DL233" s="43"/>
      <c r="DM233" s="43"/>
      <c r="DN233" s="43"/>
      <c r="DO233" s="43"/>
      <c r="DP233" s="43"/>
      <c r="DQ233" s="43"/>
      <c r="DR233" s="43"/>
      <c r="DS233" s="43"/>
    </row>
    <row r="234" spans="1:123" ht="14.45">
      <c r="A234"/>
      <c r="B234"/>
      <c r="C234"/>
      <c r="D234"/>
      <c r="E234"/>
      <c r="F234"/>
      <c r="G234"/>
      <c r="H234"/>
      <c r="I234"/>
      <c r="J234"/>
      <c r="K234" s="43"/>
      <c r="L234" s="43"/>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3"/>
      <c r="BM234" s="43"/>
      <c r="BN234" s="43"/>
      <c r="BO234" s="43"/>
      <c r="BP234" s="43"/>
      <c r="BQ234" s="43"/>
      <c r="BR234" s="43"/>
      <c r="BS234" s="43"/>
      <c r="BT234" s="43"/>
      <c r="BU234" s="43"/>
      <c r="BV234" s="43"/>
      <c r="BW234" s="43"/>
      <c r="BX234" s="43"/>
      <c r="BY234" s="43"/>
      <c r="BZ234" s="43"/>
      <c r="CA234" s="43"/>
      <c r="CB234" s="43"/>
      <c r="CC234" s="43"/>
      <c r="CD234" s="43"/>
      <c r="CE234" s="43"/>
      <c r="CF234" s="43"/>
      <c r="CG234" s="43"/>
      <c r="CH234" s="43"/>
      <c r="CI234" s="43"/>
      <c r="CJ234" s="43"/>
      <c r="CK234" s="43"/>
      <c r="CL234" s="43"/>
      <c r="CM234" s="43"/>
      <c r="CN234" s="43"/>
      <c r="CO234" s="43"/>
      <c r="CP234" s="43"/>
      <c r="CQ234" s="43"/>
      <c r="CR234" s="43"/>
      <c r="CS234" s="43"/>
      <c r="CT234" s="43"/>
      <c r="CU234" s="43"/>
      <c r="CV234" s="43"/>
      <c r="CW234" s="43"/>
      <c r="CX234" s="43"/>
      <c r="CY234" s="43"/>
      <c r="CZ234" s="43"/>
      <c r="DA234" s="43"/>
      <c r="DB234" s="43"/>
      <c r="DC234" s="43"/>
      <c r="DD234" s="43"/>
      <c r="DE234" s="43"/>
      <c r="DF234" s="43"/>
      <c r="DG234" s="43"/>
      <c r="DH234" s="43"/>
      <c r="DI234" s="43"/>
      <c r="DJ234" s="43"/>
      <c r="DK234" s="43"/>
      <c r="DL234" s="43"/>
      <c r="DM234" s="43"/>
      <c r="DN234" s="43"/>
      <c r="DO234" s="43"/>
      <c r="DP234" s="43"/>
      <c r="DQ234" s="43"/>
      <c r="DR234" s="43"/>
      <c r="DS234" s="43"/>
    </row>
    <row r="235" spans="1:123" ht="14.45">
      <c r="A235"/>
      <c r="B235"/>
      <c r="C235"/>
      <c r="D235"/>
      <c r="E235"/>
      <c r="F235"/>
      <c r="G235"/>
      <c r="H235"/>
      <c r="I235"/>
      <c r="J235"/>
      <c r="K235" s="43"/>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c r="BO235" s="43"/>
      <c r="BP235" s="43"/>
      <c r="BQ235" s="43"/>
      <c r="BR235" s="43"/>
      <c r="BS235" s="43"/>
      <c r="BT235" s="43"/>
      <c r="BU235" s="43"/>
      <c r="BV235" s="43"/>
      <c r="BW235" s="43"/>
      <c r="BX235" s="43"/>
      <c r="BY235" s="43"/>
      <c r="BZ235" s="43"/>
      <c r="CA235" s="43"/>
      <c r="CB235" s="43"/>
      <c r="CC235" s="43"/>
      <c r="CD235" s="43"/>
      <c r="CE235" s="43"/>
      <c r="CF235" s="43"/>
      <c r="CG235" s="43"/>
      <c r="CH235" s="43"/>
      <c r="CI235" s="43"/>
      <c r="CJ235" s="43"/>
      <c r="CK235" s="43"/>
      <c r="CL235" s="43"/>
      <c r="CM235" s="43"/>
      <c r="CN235" s="43"/>
      <c r="CO235" s="43"/>
      <c r="CP235" s="43"/>
      <c r="CQ235" s="43"/>
      <c r="CR235" s="43"/>
      <c r="CS235" s="43"/>
      <c r="CT235" s="43"/>
      <c r="CU235" s="43"/>
      <c r="CV235" s="43"/>
      <c r="CW235" s="43"/>
      <c r="CX235" s="43"/>
      <c r="CY235" s="43"/>
      <c r="CZ235" s="43"/>
      <c r="DA235" s="43"/>
      <c r="DB235" s="43"/>
      <c r="DC235" s="43"/>
      <c r="DD235" s="43"/>
      <c r="DE235" s="43"/>
      <c r="DF235" s="43"/>
      <c r="DG235" s="43"/>
      <c r="DH235" s="43"/>
      <c r="DI235" s="43"/>
      <c r="DJ235" s="43"/>
      <c r="DK235" s="43"/>
      <c r="DL235" s="43"/>
      <c r="DM235" s="43"/>
      <c r="DN235" s="43"/>
      <c r="DO235" s="43"/>
      <c r="DP235" s="43"/>
      <c r="DQ235" s="43"/>
      <c r="DR235" s="43"/>
      <c r="DS235" s="43"/>
    </row>
    <row r="236" spans="1:123" ht="14.45">
      <c r="A236"/>
      <c r="B236"/>
      <c r="C236"/>
      <c r="D236"/>
      <c r="E236"/>
      <c r="F236"/>
      <c r="G236"/>
      <c r="H236"/>
      <c r="I236"/>
      <c r="J236"/>
      <c r="K236" s="43"/>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3"/>
      <c r="BM236" s="43"/>
      <c r="BN236" s="43"/>
      <c r="BO236" s="43"/>
      <c r="BP236" s="43"/>
      <c r="BQ236" s="43"/>
      <c r="BR236" s="43"/>
      <c r="BS236" s="43"/>
      <c r="BT236" s="43"/>
      <c r="BU236" s="43"/>
      <c r="BV236" s="43"/>
      <c r="BW236" s="43"/>
      <c r="BX236" s="43"/>
      <c r="BY236" s="43"/>
      <c r="BZ236" s="43"/>
      <c r="CA236" s="43"/>
      <c r="CB236" s="43"/>
      <c r="CC236" s="43"/>
      <c r="CD236" s="43"/>
      <c r="CE236" s="43"/>
      <c r="CF236" s="43"/>
      <c r="CG236" s="43"/>
      <c r="CH236" s="43"/>
      <c r="CI236" s="43"/>
      <c r="CJ236" s="43"/>
      <c r="CK236" s="43"/>
      <c r="CL236" s="43"/>
      <c r="CM236" s="43"/>
      <c r="CN236" s="43"/>
      <c r="CO236" s="43"/>
      <c r="CP236" s="43"/>
      <c r="CQ236" s="43"/>
      <c r="CR236" s="43"/>
      <c r="CS236" s="43"/>
      <c r="CT236" s="43"/>
      <c r="CU236" s="43"/>
      <c r="CV236" s="43"/>
      <c r="CW236" s="43"/>
      <c r="CX236" s="43"/>
      <c r="CY236" s="43"/>
      <c r="CZ236" s="43"/>
      <c r="DA236" s="43"/>
      <c r="DB236" s="43"/>
      <c r="DC236" s="43"/>
      <c r="DD236" s="43"/>
      <c r="DE236" s="43"/>
      <c r="DF236" s="43"/>
      <c r="DG236" s="43"/>
      <c r="DH236" s="43"/>
      <c r="DI236" s="43"/>
      <c r="DJ236" s="43"/>
      <c r="DK236" s="43"/>
      <c r="DL236" s="43"/>
      <c r="DM236" s="43"/>
      <c r="DN236" s="43"/>
      <c r="DO236" s="43"/>
      <c r="DP236" s="43"/>
      <c r="DQ236" s="43"/>
      <c r="DR236" s="43"/>
      <c r="DS236" s="43"/>
    </row>
    <row r="237" spans="1:123" ht="14.45">
      <c r="A237"/>
      <c r="B237"/>
      <c r="C237"/>
      <c r="D237"/>
      <c r="E237"/>
      <c r="F237"/>
      <c r="G237"/>
      <c r="H237"/>
      <c r="I237"/>
      <c r="J237"/>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c r="BO237" s="43"/>
      <c r="BP237" s="43"/>
      <c r="BQ237" s="43"/>
      <c r="BR237" s="43"/>
      <c r="BS237" s="43"/>
      <c r="BT237" s="43"/>
      <c r="BU237" s="43"/>
      <c r="BV237" s="43"/>
      <c r="BW237" s="43"/>
      <c r="BX237" s="43"/>
      <c r="BY237" s="43"/>
      <c r="BZ237" s="43"/>
      <c r="CA237" s="43"/>
      <c r="CB237" s="43"/>
      <c r="CC237" s="43"/>
      <c r="CD237" s="43"/>
      <c r="CE237" s="43"/>
      <c r="CF237" s="43"/>
      <c r="CG237" s="43"/>
      <c r="CH237" s="43"/>
      <c r="CI237" s="43"/>
      <c r="CJ237" s="43"/>
      <c r="CK237" s="43"/>
      <c r="CL237" s="43"/>
      <c r="CM237" s="43"/>
      <c r="CN237" s="43"/>
      <c r="CO237" s="43"/>
      <c r="CP237" s="43"/>
      <c r="CQ237" s="43"/>
      <c r="CR237" s="43"/>
      <c r="CS237" s="43"/>
      <c r="CT237" s="43"/>
      <c r="CU237" s="43"/>
      <c r="CV237" s="43"/>
      <c r="CW237" s="43"/>
      <c r="CX237" s="43"/>
      <c r="CY237" s="43"/>
      <c r="CZ237" s="43"/>
      <c r="DA237" s="43"/>
      <c r="DB237" s="43"/>
      <c r="DC237" s="43"/>
      <c r="DD237" s="43"/>
      <c r="DE237" s="43"/>
      <c r="DF237" s="43"/>
      <c r="DG237" s="43"/>
      <c r="DH237" s="43"/>
      <c r="DI237" s="43"/>
      <c r="DJ237" s="43"/>
      <c r="DK237" s="43"/>
      <c r="DL237" s="43"/>
      <c r="DM237" s="43"/>
      <c r="DN237" s="43"/>
      <c r="DO237" s="43"/>
      <c r="DP237" s="43"/>
      <c r="DQ237" s="43"/>
      <c r="DR237" s="43"/>
      <c r="DS237" s="43"/>
    </row>
    <row r="238" spans="1:123" ht="14.45">
      <c r="A238"/>
      <c r="B238"/>
      <c r="C238"/>
      <c r="D238"/>
      <c r="E238"/>
      <c r="F238"/>
      <c r="G238"/>
      <c r="H238"/>
      <c r="I238"/>
      <c r="J238"/>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3"/>
      <c r="BM238" s="43"/>
      <c r="BN238" s="43"/>
      <c r="BO238" s="43"/>
      <c r="BP238" s="43"/>
      <c r="BQ238" s="43"/>
      <c r="BR238" s="43"/>
      <c r="BS238" s="43"/>
      <c r="BT238" s="43"/>
      <c r="BU238" s="43"/>
      <c r="BV238" s="43"/>
      <c r="BW238" s="43"/>
      <c r="BX238" s="43"/>
      <c r="BY238" s="43"/>
      <c r="BZ238" s="43"/>
      <c r="CA238" s="43"/>
      <c r="CB238" s="43"/>
      <c r="CC238" s="43"/>
      <c r="CD238" s="43"/>
      <c r="CE238" s="43"/>
      <c r="CF238" s="43"/>
      <c r="CG238" s="43"/>
      <c r="CH238" s="43"/>
      <c r="CI238" s="43"/>
      <c r="CJ238" s="43"/>
      <c r="CK238" s="43"/>
      <c r="CL238" s="43"/>
      <c r="CM238" s="43"/>
      <c r="CN238" s="43"/>
      <c r="CO238" s="43"/>
      <c r="CP238" s="43"/>
      <c r="CQ238" s="43"/>
      <c r="CR238" s="43"/>
      <c r="CS238" s="43"/>
      <c r="CT238" s="43"/>
      <c r="CU238" s="43"/>
      <c r="CV238" s="43"/>
      <c r="CW238" s="43"/>
      <c r="CX238" s="43"/>
      <c r="CY238" s="43"/>
      <c r="CZ238" s="43"/>
      <c r="DA238" s="43"/>
      <c r="DB238" s="43"/>
      <c r="DC238" s="43"/>
      <c r="DD238" s="43"/>
      <c r="DE238" s="43"/>
      <c r="DF238" s="43"/>
      <c r="DG238" s="43"/>
      <c r="DH238" s="43"/>
      <c r="DI238" s="43"/>
      <c r="DJ238" s="43"/>
      <c r="DK238" s="43"/>
      <c r="DL238" s="43"/>
      <c r="DM238" s="43"/>
      <c r="DN238" s="43"/>
      <c r="DO238" s="43"/>
      <c r="DP238" s="43"/>
      <c r="DQ238" s="43"/>
      <c r="DR238" s="43"/>
      <c r="DS238" s="43"/>
    </row>
    <row r="239" spans="1:123" ht="14.45">
      <c r="A239"/>
      <c r="B239"/>
      <c r="C239"/>
      <c r="D239"/>
      <c r="E239"/>
      <c r="F239"/>
      <c r="G239"/>
      <c r="H239"/>
      <c r="I239"/>
      <c r="J239"/>
      <c r="K239" s="43"/>
      <c r="L239" s="43"/>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3"/>
      <c r="BM239" s="43"/>
      <c r="BN239" s="43"/>
      <c r="BO239" s="43"/>
      <c r="BP239" s="43"/>
      <c r="BQ239" s="43"/>
      <c r="BR239" s="43"/>
      <c r="BS239" s="43"/>
      <c r="BT239" s="43"/>
      <c r="BU239" s="43"/>
      <c r="BV239" s="43"/>
      <c r="BW239" s="43"/>
      <c r="BX239" s="43"/>
      <c r="BY239" s="43"/>
      <c r="BZ239" s="43"/>
      <c r="CA239" s="43"/>
      <c r="CB239" s="43"/>
      <c r="CC239" s="43"/>
      <c r="CD239" s="43"/>
      <c r="CE239" s="43"/>
      <c r="CF239" s="43"/>
      <c r="CG239" s="43"/>
      <c r="CH239" s="43"/>
      <c r="CI239" s="43"/>
      <c r="CJ239" s="43"/>
      <c r="CK239" s="43"/>
      <c r="CL239" s="43"/>
      <c r="CM239" s="43"/>
      <c r="CN239" s="43"/>
      <c r="CO239" s="43"/>
      <c r="CP239" s="43"/>
      <c r="CQ239" s="43"/>
      <c r="CR239" s="43"/>
      <c r="CS239" s="43"/>
      <c r="CT239" s="43"/>
      <c r="CU239" s="43"/>
      <c r="CV239" s="43"/>
      <c r="CW239" s="43"/>
      <c r="CX239" s="43"/>
      <c r="CY239" s="43"/>
      <c r="CZ239" s="43"/>
      <c r="DA239" s="43"/>
      <c r="DB239" s="43"/>
      <c r="DC239" s="43"/>
      <c r="DD239" s="43"/>
      <c r="DE239" s="43"/>
      <c r="DF239" s="43"/>
      <c r="DG239" s="43"/>
      <c r="DH239" s="43"/>
      <c r="DI239" s="43"/>
      <c r="DJ239" s="43"/>
      <c r="DK239" s="43"/>
      <c r="DL239" s="43"/>
      <c r="DM239" s="43"/>
      <c r="DN239" s="43"/>
      <c r="DO239" s="43"/>
      <c r="DP239" s="43"/>
      <c r="DQ239" s="43"/>
      <c r="DR239" s="43"/>
      <c r="DS239" s="43"/>
    </row>
    <row r="240" spans="1:123" ht="14.45">
      <c r="A240"/>
      <c r="B240"/>
      <c r="C240"/>
      <c r="D240"/>
      <c r="E240"/>
      <c r="F240"/>
      <c r="G240"/>
      <c r="H240"/>
      <c r="I240"/>
      <c r="J240"/>
      <c r="K240" s="43"/>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3"/>
      <c r="BM240" s="43"/>
      <c r="BN240" s="43"/>
      <c r="BO240" s="43"/>
      <c r="BP240" s="43"/>
      <c r="BQ240" s="43"/>
      <c r="BR240" s="43"/>
      <c r="BS240" s="43"/>
      <c r="BT240" s="43"/>
      <c r="BU240" s="43"/>
      <c r="BV240" s="43"/>
      <c r="BW240" s="43"/>
      <c r="BX240" s="43"/>
      <c r="BY240" s="43"/>
      <c r="BZ240" s="43"/>
      <c r="CA240" s="43"/>
      <c r="CB240" s="43"/>
      <c r="CC240" s="43"/>
      <c r="CD240" s="43"/>
      <c r="CE240" s="43"/>
      <c r="CF240" s="43"/>
      <c r="CG240" s="43"/>
      <c r="CH240" s="43"/>
      <c r="CI240" s="43"/>
      <c r="CJ240" s="43"/>
      <c r="CK240" s="43"/>
      <c r="CL240" s="43"/>
      <c r="CM240" s="43"/>
      <c r="CN240" s="43"/>
      <c r="CO240" s="43"/>
      <c r="CP240" s="43"/>
      <c r="CQ240" s="43"/>
      <c r="CR240" s="43"/>
      <c r="CS240" s="43"/>
      <c r="CT240" s="43"/>
      <c r="CU240" s="43"/>
      <c r="CV240" s="43"/>
      <c r="CW240" s="43"/>
      <c r="CX240" s="43"/>
      <c r="CY240" s="43"/>
      <c r="CZ240" s="43"/>
      <c r="DA240" s="43"/>
      <c r="DB240" s="43"/>
      <c r="DC240" s="43"/>
      <c r="DD240" s="43"/>
      <c r="DE240" s="43"/>
      <c r="DF240" s="43"/>
      <c r="DG240" s="43"/>
      <c r="DH240" s="43"/>
      <c r="DI240" s="43"/>
      <c r="DJ240" s="43"/>
      <c r="DK240" s="43"/>
      <c r="DL240" s="43"/>
      <c r="DM240" s="43"/>
      <c r="DN240" s="43"/>
      <c r="DO240" s="43"/>
      <c r="DP240" s="43"/>
      <c r="DQ240" s="43"/>
      <c r="DR240" s="43"/>
      <c r="DS240" s="43"/>
    </row>
    <row r="241" spans="1:123" ht="14.45">
      <c r="A241"/>
      <c r="B241"/>
      <c r="C241"/>
      <c r="D241"/>
      <c r="E241"/>
      <c r="F241"/>
      <c r="G241"/>
      <c r="H241"/>
      <c r="I241"/>
      <c r="J241"/>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c r="BO241" s="43"/>
      <c r="BP241" s="43"/>
      <c r="BQ241" s="43"/>
      <c r="BR241" s="43"/>
      <c r="BS241" s="43"/>
      <c r="BT241" s="43"/>
      <c r="BU241" s="43"/>
      <c r="BV241" s="43"/>
      <c r="BW241" s="43"/>
      <c r="BX241" s="43"/>
      <c r="BY241" s="43"/>
      <c r="BZ241" s="43"/>
      <c r="CA241" s="43"/>
      <c r="CB241" s="43"/>
      <c r="CC241" s="43"/>
      <c r="CD241" s="43"/>
      <c r="CE241" s="43"/>
      <c r="CF241" s="43"/>
      <c r="CG241" s="43"/>
      <c r="CH241" s="43"/>
      <c r="CI241" s="43"/>
      <c r="CJ241" s="43"/>
      <c r="CK241" s="43"/>
      <c r="CL241" s="43"/>
      <c r="CM241" s="43"/>
      <c r="CN241" s="43"/>
      <c r="CO241" s="43"/>
      <c r="CP241" s="43"/>
      <c r="CQ241" s="43"/>
      <c r="CR241" s="43"/>
      <c r="CS241" s="43"/>
      <c r="CT241" s="43"/>
      <c r="CU241" s="43"/>
      <c r="CV241" s="43"/>
      <c r="CW241" s="43"/>
      <c r="CX241" s="43"/>
      <c r="CY241" s="43"/>
      <c r="CZ241" s="43"/>
      <c r="DA241" s="43"/>
      <c r="DB241" s="43"/>
      <c r="DC241" s="43"/>
      <c r="DD241" s="43"/>
      <c r="DE241" s="43"/>
      <c r="DF241" s="43"/>
      <c r="DG241" s="43"/>
      <c r="DH241" s="43"/>
      <c r="DI241" s="43"/>
      <c r="DJ241" s="43"/>
      <c r="DK241" s="43"/>
      <c r="DL241" s="43"/>
      <c r="DM241" s="43"/>
      <c r="DN241" s="43"/>
      <c r="DO241" s="43"/>
      <c r="DP241" s="43"/>
      <c r="DQ241" s="43"/>
      <c r="DR241" s="43"/>
      <c r="DS241" s="43"/>
    </row>
    <row r="242" spans="1:123" ht="14.45">
      <c r="A242"/>
      <c r="B242"/>
      <c r="C242"/>
      <c r="D242"/>
      <c r="E242"/>
      <c r="F242"/>
      <c r="G242"/>
      <c r="H242"/>
      <c r="I242"/>
      <c r="J242"/>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43"/>
      <c r="BM242" s="43"/>
      <c r="BN242" s="43"/>
      <c r="BO242" s="43"/>
      <c r="BP242" s="43"/>
      <c r="BQ242" s="43"/>
      <c r="BR242" s="43"/>
      <c r="BS242" s="43"/>
      <c r="BT242" s="43"/>
      <c r="BU242" s="43"/>
      <c r="BV242" s="43"/>
      <c r="BW242" s="43"/>
      <c r="BX242" s="43"/>
      <c r="BY242" s="43"/>
      <c r="BZ242" s="43"/>
      <c r="CA242" s="43"/>
      <c r="CB242" s="43"/>
      <c r="CC242" s="43"/>
      <c r="CD242" s="43"/>
      <c r="CE242" s="43"/>
      <c r="CF242" s="43"/>
      <c r="CG242" s="43"/>
      <c r="CH242" s="43"/>
      <c r="CI242" s="43"/>
      <c r="CJ242" s="43"/>
      <c r="CK242" s="43"/>
      <c r="CL242" s="43"/>
      <c r="CM242" s="43"/>
      <c r="CN242" s="43"/>
      <c r="CO242" s="43"/>
      <c r="CP242" s="43"/>
      <c r="CQ242" s="43"/>
      <c r="CR242" s="43"/>
      <c r="CS242" s="43"/>
      <c r="CT242" s="43"/>
      <c r="CU242" s="43"/>
      <c r="CV242" s="43"/>
      <c r="CW242" s="43"/>
      <c r="CX242" s="43"/>
      <c r="CY242" s="43"/>
      <c r="CZ242" s="43"/>
      <c r="DA242" s="43"/>
      <c r="DB242" s="43"/>
      <c r="DC242" s="43"/>
      <c r="DD242" s="43"/>
      <c r="DE242" s="43"/>
      <c r="DF242" s="43"/>
      <c r="DG242" s="43"/>
      <c r="DH242" s="43"/>
      <c r="DI242" s="43"/>
      <c r="DJ242" s="43"/>
      <c r="DK242" s="43"/>
      <c r="DL242" s="43"/>
      <c r="DM242" s="43"/>
      <c r="DN242" s="43"/>
      <c r="DO242" s="43"/>
      <c r="DP242" s="43"/>
      <c r="DQ242" s="43"/>
      <c r="DR242" s="43"/>
      <c r="DS242" s="43"/>
    </row>
    <row r="243" spans="1:123" ht="14.45">
      <c r="A243"/>
      <c r="B243"/>
      <c r="C243"/>
      <c r="D243"/>
      <c r="E243"/>
      <c r="F243"/>
      <c r="G243"/>
      <c r="H243"/>
      <c r="I243"/>
      <c r="J2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43"/>
      <c r="BM243" s="43"/>
      <c r="BN243" s="43"/>
      <c r="BO243" s="43"/>
      <c r="BP243" s="43"/>
      <c r="BQ243" s="43"/>
      <c r="BR243" s="43"/>
      <c r="BS243" s="43"/>
      <c r="BT243" s="43"/>
      <c r="BU243" s="43"/>
      <c r="BV243" s="43"/>
      <c r="BW243" s="43"/>
      <c r="BX243" s="43"/>
      <c r="BY243" s="43"/>
      <c r="BZ243" s="43"/>
      <c r="CA243" s="43"/>
      <c r="CB243" s="43"/>
      <c r="CC243" s="43"/>
      <c r="CD243" s="43"/>
      <c r="CE243" s="43"/>
      <c r="CF243" s="43"/>
      <c r="CG243" s="43"/>
      <c r="CH243" s="43"/>
      <c r="CI243" s="43"/>
      <c r="CJ243" s="43"/>
      <c r="CK243" s="43"/>
      <c r="CL243" s="43"/>
      <c r="CM243" s="43"/>
      <c r="CN243" s="43"/>
      <c r="CO243" s="43"/>
      <c r="CP243" s="43"/>
      <c r="CQ243" s="43"/>
      <c r="CR243" s="43"/>
      <c r="CS243" s="43"/>
      <c r="CT243" s="43"/>
      <c r="CU243" s="43"/>
      <c r="CV243" s="43"/>
      <c r="CW243" s="43"/>
      <c r="CX243" s="43"/>
      <c r="CY243" s="43"/>
      <c r="CZ243" s="43"/>
      <c r="DA243" s="43"/>
      <c r="DB243" s="43"/>
      <c r="DC243" s="43"/>
      <c r="DD243" s="43"/>
      <c r="DE243" s="43"/>
      <c r="DF243" s="43"/>
      <c r="DG243" s="43"/>
      <c r="DH243" s="43"/>
      <c r="DI243" s="43"/>
      <c r="DJ243" s="43"/>
      <c r="DK243" s="43"/>
      <c r="DL243" s="43"/>
      <c r="DM243" s="43"/>
      <c r="DN243" s="43"/>
      <c r="DO243" s="43"/>
      <c r="DP243" s="43"/>
      <c r="DQ243" s="43"/>
      <c r="DR243" s="43"/>
      <c r="DS243" s="43"/>
    </row>
    <row r="244" spans="1:123" ht="14.45">
      <c r="A244"/>
      <c r="B244"/>
      <c r="C244"/>
      <c r="D244"/>
      <c r="E244"/>
      <c r="F244"/>
      <c r="G244"/>
      <c r="H244"/>
      <c r="I244"/>
      <c r="J244"/>
      <c r="K244" s="43"/>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43"/>
      <c r="BM244" s="43"/>
      <c r="BN244" s="43"/>
      <c r="BO244" s="43"/>
      <c r="BP244" s="43"/>
      <c r="BQ244" s="43"/>
      <c r="BR244" s="43"/>
      <c r="BS244" s="43"/>
      <c r="BT244" s="43"/>
      <c r="BU244" s="43"/>
      <c r="BV244" s="43"/>
      <c r="BW244" s="43"/>
      <c r="BX244" s="43"/>
      <c r="BY244" s="43"/>
      <c r="BZ244" s="43"/>
      <c r="CA244" s="43"/>
      <c r="CB244" s="43"/>
      <c r="CC244" s="43"/>
      <c r="CD244" s="43"/>
      <c r="CE244" s="43"/>
      <c r="CF244" s="43"/>
      <c r="CG244" s="43"/>
      <c r="CH244" s="43"/>
      <c r="CI244" s="43"/>
      <c r="CJ244" s="43"/>
      <c r="CK244" s="43"/>
      <c r="CL244" s="43"/>
      <c r="CM244" s="43"/>
      <c r="CN244" s="43"/>
      <c r="CO244" s="43"/>
      <c r="CP244" s="43"/>
      <c r="CQ244" s="43"/>
      <c r="CR244" s="43"/>
      <c r="CS244" s="43"/>
      <c r="CT244" s="43"/>
      <c r="CU244" s="43"/>
      <c r="CV244" s="43"/>
      <c r="CW244" s="43"/>
      <c r="CX244" s="43"/>
      <c r="CY244" s="43"/>
      <c r="CZ244" s="43"/>
      <c r="DA244" s="43"/>
      <c r="DB244" s="43"/>
      <c r="DC244" s="43"/>
      <c r="DD244" s="43"/>
      <c r="DE244" s="43"/>
      <c r="DF244" s="43"/>
      <c r="DG244" s="43"/>
      <c r="DH244" s="43"/>
      <c r="DI244" s="43"/>
      <c r="DJ244" s="43"/>
      <c r="DK244" s="43"/>
      <c r="DL244" s="43"/>
      <c r="DM244" s="43"/>
      <c r="DN244" s="43"/>
      <c r="DO244" s="43"/>
      <c r="DP244" s="43"/>
      <c r="DQ244" s="43"/>
      <c r="DR244" s="43"/>
      <c r="DS244" s="43"/>
    </row>
    <row r="245" spans="1:123" ht="14.45">
      <c r="A245"/>
      <c r="B245"/>
      <c r="C245"/>
      <c r="D245"/>
      <c r="E245"/>
      <c r="F245"/>
      <c r="G245"/>
      <c r="H245"/>
      <c r="I245"/>
      <c r="J245"/>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c r="BO245" s="43"/>
      <c r="BP245" s="43"/>
      <c r="BQ245" s="43"/>
      <c r="BR245" s="43"/>
      <c r="BS245" s="43"/>
      <c r="BT245" s="43"/>
      <c r="BU245" s="43"/>
      <c r="BV245" s="43"/>
      <c r="BW245" s="43"/>
      <c r="BX245" s="43"/>
      <c r="BY245" s="43"/>
      <c r="BZ245" s="43"/>
      <c r="CA245" s="43"/>
      <c r="CB245" s="43"/>
      <c r="CC245" s="43"/>
      <c r="CD245" s="43"/>
      <c r="CE245" s="43"/>
      <c r="CF245" s="43"/>
      <c r="CG245" s="43"/>
      <c r="CH245" s="43"/>
      <c r="CI245" s="43"/>
      <c r="CJ245" s="43"/>
      <c r="CK245" s="43"/>
      <c r="CL245" s="43"/>
      <c r="CM245" s="43"/>
      <c r="CN245" s="43"/>
      <c r="CO245" s="43"/>
      <c r="CP245" s="43"/>
      <c r="CQ245" s="43"/>
      <c r="CR245" s="43"/>
      <c r="CS245" s="43"/>
      <c r="CT245" s="43"/>
      <c r="CU245" s="43"/>
      <c r="CV245" s="43"/>
      <c r="CW245" s="43"/>
      <c r="CX245" s="43"/>
      <c r="CY245" s="43"/>
      <c r="CZ245" s="43"/>
      <c r="DA245" s="43"/>
      <c r="DB245" s="43"/>
      <c r="DC245" s="43"/>
      <c r="DD245" s="43"/>
      <c r="DE245" s="43"/>
      <c r="DF245" s="43"/>
      <c r="DG245" s="43"/>
      <c r="DH245" s="43"/>
      <c r="DI245" s="43"/>
      <c r="DJ245" s="43"/>
      <c r="DK245" s="43"/>
      <c r="DL245" s="43"/>
      <c r="DM245" s="43"/>
      <c r="DN245" s="43"/>
      <c r="DO245" s="43"/>
      <c r="DP245" s="43"/>
      <c r="DQ245" s="43"/>
      <c r="DR245" s="43"/>
      <c r="DS245" s="43"/>
    </row>
    <row r="246" spans="1:123" ht="14.45">
      <c r="A246"/>
      <c r="B246"/>
      <c r="C246"/>
      <c r="D246"/>
      <c r="E246"/>
      <c r="F246"/>
      <c r="G246"/>
      <c r="H246"/>
      <c r="I246"/>
      <c r="J246"/>
      <c r="K246" s="43"/>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43"/>
      <c r="BM246" s="43"/>
      <c r="BN246" s="43"/>
      <c r="BO246" s="43"/>
      <c r="BP246" s="43"/>
      <c r="BQ246" s="43"/>
      <c r="BR246" s="43"/>
      <c r="BS246" s="43"/>
      <c r="BT246" s="43"/>
      <c r="BU246" s="43"/>
      <c r="BV246" s="43"/>
      <c r="BW246" s="43"/>
      <c r="BX246" s="43"/>
      <c r="BY246" s="43"/>
      <c r="BZ246" s="43"/>
      <c r="CA246" s="43"/>
      <c r="CB246" s="43"/>
      <c r="CC246" s="43"/>
      <c r="CD246" s="43"/>
      <c r="CE246" s="43"/>
      <c r="CF246" s="43"/>
      <c r="CG246" s="43"/>
      <c r="CH246" s="43"/>
      <c r="CI246" s="43"/>
      <c r="CJ246" s="43"/>
      <c r="CK246" s="43"/>
      <c r="CL246" s="43"/>
      <c r="CM246" s="43"/>
      <c r="CN246" s="43"/>
      <c r="CO246" s="43"/>
      <c r="CP246" s="43"/>
      <c r="CQ246" s="43"/>
      <c r="CR246" s="43"/>
      <c r="CS246" s="43"/>
      <c r="CT246" s="43"/>
      <c r="CU246" s="43"/>
      <c r="CV246" s="43"/>
      <c r="CW246" s="43"/>
      <c r="CX246" s="43"/>
      <c r="CY246" s="43"/>
      <c r="CZ246" s="43"/>
      <c r="DA246" s="43"/>
      <c r="DB246" s="43"/>
      <c r="DC246" s="43"/>
      <c r="DD246" s="43"/>
      <c r="DE246" s="43"/>
      <c r="DF246" s="43"/>
      <c r="DG246" s="43"/>
      <c r="DH246" s="43"/>
      <c r="DI246" s="43"/>
      <c r="DJ246" s="43"/>
      <c r="DK246" s="43"/>
      <c r="DL246" s="43"/>
      <c r="DM246" s="43"/>
      <c r="DN246" s="43"/>
      <c r="DO246" s="43"/>
      <c r="DP246" s="43"/>
      <c r="DQ246" s="43"/>
      <c r="DR246" s="43"/>
      <c r="DS246" s="43"/>
    </row>
    <row r="247" spans="1:123" ht="14.45">
      <c r="A247"/>
      <c r="B247"/>
      <c r="C247"/>
      <c r="D247"/>
      <c r="E247"/>
      <c r="F247"/>
      <c r="G247"/>
      <c r="H247"/>
      <c r="I247"/>
      <c r="J247"/>
      <c r="K247" s="43"/>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c r="BO247" s="43"/>
      <c r="BP247" s="43"/>
      <c r="BQ247" s="43"/>
      <c r="BR247" s="43"/>
      <c r="BS247" s="43"/>
      <c r="BT247" s="43"/>
      <c r="BU247" s="43"/>
      <c r="BV247" s="43"/>
      <c r="BW247" s="43"/>
      <c r="BX247" s="43"/>
      <c r="BY247" s="43"/>
      <c r="BZ247" s="43"/>
      <c r="CA247" s="43"/>
      <c r="CB247" s="43"/>
      <c r="CC247" s="43"/>
      <c r="CD247" s="43"/>
      <c r="CE247" s="43"/>
      <c r="CF247" s="43"/>
      <c r="CG247" s="43"/>
      <c r="CH247" s="43"/>
      <c r="CI247" s="43"/>
      <c r="CJ247" s="43"/>
      <c r="CK247" s="43"/>
      <c r="CL247" s="43"/>
      <c r="CM247" s="43"/>
      <c r="CN247" s="43"/>
      <c r="CO247" s="43"/>
      <c r="CP247" s="43"/>
      <c r="CQ247" s="43"/>
      <c r="CR247" s="43"/>
      <c r="CS247" s="43"/>
      <c r="CT247" s="43"/>
      <c r="CU247" s="43"/>
      <c r="CV247" s="43"/>
      <c r="CW247" s="43"/>
      <c r="CX247" s="43"/>
      <c r="CY247" s="43"/>
      <c r="CZ247" s="43"/>
      <c r="DA247" s="43"/>
      <c r="DB247" s="43"/>
      <c r="DC247" s="43"/>
      <c r="DD247" s="43"/>
      <c r="DE247" s="43"/>
      <c r="DF247" s="43"/>
      <c r="DG247" s="43"/>
      <c r="DH247" s="43"/>
      <c r="DI247" s="43"/>
      <c r="DJ247" s="43"/>
      <c r="DK247" s="43"/>
      <c r="DL247" s="43"/>
      <c r="DM247" s="43"/>
      <c r="DN247" s="43"/>
      <c r="DO247" s="43"/>
      <c r="DP247" s="43"/>
      <c r="DQ247" s="43"/>
      <c r="DR247" s="43"/>
      <c r="DS247" s="43"/>
    </row>
    <row r="248" spans="1:123" ht="14.45">
      <c r="A248"/>
      <c r="B248"/>
      <c r="C248"/>
      <c r="D248"/>
      <c r="E248"/>
      <c r="F248"/>
      <c r="G248"/>
      <c r="H248"/>
      <c r="I248"/>
      <c r="J248"/>
      <c r="K248" s="43"/>
      <c r="L248" s="43"/>
      <c r="M248" s="43"/>
      <c r="N248" s="43"/>
      <c r="O248" s="43"/>
      <c r="P248" s="43"/>
      <c r="Q248" s="43"/>
      <c r="R248" s="43"/>
      <c r="S248" s="43"/>
      <c r="T248" s="43"/>
      <c r="U248" s="43"/>
      <c r="V248" s="43"/>
      <c r="W248" s="43"/>
      <c r="X248" s="43"/>
      <c r="Y248" s="43"/>
      <c r="Z248" s="43"/>
      <c r="AA248" s="43"/>
      <c r="AB248" s="43"/>
      <c r="AC248" s="43"/>
      <c r="AD248" s="43"/>
      <c r="AE248" s="43"/>
      <c r="AF248" s="43"/>
      <c r="AG248" s="43"/>
      <c r="AH248" s="43"/>
      <c r="AI248" s="43"/>
      <c r="AJ248" s="43"/>
      <c r="AK248" s="43"/>
      <c r="AL248" s="43"/>
      <c r="AM248" s="43"/>
      <c r="AN248" s="43"/>
      <c r="AO248" s="43"/>
      <c r="AP248" s="43"/>
      <c r="AQ248" s="43"/>
      <c r="AR248" s="43"/>
      <c r="AS248" s="43"/>
      <c r="AT248" s="43"/>
      <c r="AU248" s="43"/>
      <c r="AV248" s="43"/>
      <c r="AW248" s="43"/>
      <c r="AX248" s="43"/>
      <c r="AY248" s="43"/>
      <c r="AZ248" s="43"/>
      <c r="BA248" s="43"/>
      <c r="BB248" s="43"/>
      <c r="BC248" s="43"/>
      <c r="BD248" s="43"/>
      <c r="BE248" s="43"/>
      <c r="BF248" s="43"/>
      <c r="BG248" s="43"/>
      <c r="BH248" s="43"/>
      <c r="BI248" s="43"/>
      <c r="BJ248" s="43"/>
      <c r="BK248" s="43"/>
      <c r="BL248" s="43"/>
      <c r="BM248" s="43"/>
      <c r="BN248" s="43"/>
      <c r="BO248" s="43"/>
      <c r="BP248" s="43"/>
      <c r="BQ248" s="43"/>
      <c r="BR248" s="43"/>
      <c r="BS248" s="43"/>
      <c r="BT248" s="43"/>
      <c r="BU248" s="43"/>
      <c r="BV248" s="43"/>
      <c r="BW248" s="43"/>
      <c r="BX248" s="43"/>
      <c r="BY248" s="43"/>
      <c r="BZ248" s="43"/>
      <c r="CA248" s="43"/>
      <c r="CB248" s="43"/>
      <c r="CC248" s="43"/>
      <c r="CD248" s="43"/>
      <c r="CE248" s="43"/>
      <c r="CF248" s="43"/>
      <c r="CG248" s="43"/>
      <c r="CH248" s="43"/>
      <c r="CI248" s="43"/>
      <c r="CJ248" s="43"/>
      <c r="CK248" s="43"/>
      <c r="CL248" s="43"/>
      <c r="CM248" s="43"/>
      <c r="CN248" s="43"/>
      <c r="CO248" s="43"/>
      <c r="CP248" s="43"/>
      <c r="CQ248" s="43"/>
      <c r="CR248" s="43"/>
      <c r="CS248" s="43"/>
      <c r="CT248" s="43"/>
      <c r="CU248" s="43"/>
      <c r="CV248" s="43"/>
      <c r="CW248" s="43"/>
      <c r="CX248" s="43"/>
      <c r="CY248" s="43"/>
      <c r="CZ248" s="43"/>
      <c r="DA248" s="43"/>
      <c r="DB248" s="43"/>
      <c r="DC248" s="43"/>
      <c r="DD248" s="43"/>
      <c r="DE248" s="43"/>
      <c r="DF248" s="43"/>
      <c r="DG248" s="43"/>
      <c r="DH248" s="43"/>
      <c r="DI248" s="43"/>
      <c r="DJ248" s="43"/>
      <c r="DK248" s="43"/>
      <c r="DL248" s="43"/>
      <c r="DM248" s="43"/>
      <c r="DN248" s="43"/>
      <c r="DO248" s="43"/>
      <c r="DP248" s="43"/>
      <c r="DQ248" s="43"/>
      <c r="DR248" s="43"/>
      <c r="DS248" s="43"/>
    </row>
    <row r="249" spans="1:123" ht="14.45">
      <c r="A249"/>
      <c r="B249"/>
      <c r="C249"/>
      <c r="D249"/>
      <c r="E249"/>
      <c r="F249"/>
      <c r="G249"/>
      <c r="H249"/>
      <c r="I249"/>
      <c r="J249"/>
      <c r="K249" s="43"/>
      <c r="L249" s="43"/>
      <c r="M249" s="43"/>
      <c r="N249" s="43"/>
      <c r="O249" s="43"/>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c r="AM249" s="43"/>
      <c r="AN249" s="43"/>
      <c r="AO249" s="43"/>
      <c r="AP249" s="43"/>
      <c r="AQ249" s="43"/>
      <c r="AR249" s="43"/>
      <c r="AS249" s="43"/>
      <c r="AT249" s="43"/>
      <c r="AU249" s="43"/>
      <c r="AV249" s="43"/>
      <c r="AW249" s="43"/>
      <c r="AX249" s="43"/>
      <c r="AY249" s="43"/>
      <c r="AZ249" s="43"/>
      <c r="BA249" s="43"/>
      <c r="BB249" s="43"/>
      <c r="BC249" s="43"/>
      <c r="BD249" s="43"/>
      <c r="BE249" s="43"/>
      <c r="BF249" s="43"/>
      <c r="BG249" s="43"/>
      <c r="BH249" s="43"/>
      <c r="BI249" s="43"/>
      <c r="BJ249" s="43"/>
      <c r="BK249" s="43"/>
      <c r="BL249" s="43"/>
      <c r="BM249" s="43"/>
      <c r="BN249" s="43"/>
      <c r="BO249" s="43"/>
      <c r="BP249" s="43"/>
      <c r="BQ249" s="43"/>
      <c r="BR249" s="43"/>
      <c r="BS249" s="43"/>
      <c r="BT249" s="43"/>
      <c r="BU249" s="43"/>
      <c r="BV249" s="43"/>
      <c r="BW249" s="43"/>
      <c r="BX249" s="43"/>
      <c r="BY249" s="43"/>
      <c r="BZ249" s="43"/>
      <c r="CA249" s="43"/>
      <c r="CB249" s="43"/>
      <c r="CC249" s="43"/>
      <c r="CD249" s="43"/>
      <c r="CE249" s="43"/>
      <c r="CF249" s="43"/>
      <c r="CG249" s="43"/>
      <c r="CH249" s="43"/>
      <c r="CI249" s="43"/>
      <c r="CJ249" s="43"/>
      <c r="CK249" s="43"/>
      <c r="CL249" s="43"/>
      <c r="CM249" s="43"/>
      <c r="CN249" s="43"/>
      <c r="CO249" s="43"/>
      <c r="CP249" s="43"/>
      <c r="CQ249" s="43"/>
      <c r="CR249" s="43"/>
      <c r="CS249" s="43"/>
      <c r="CT249" s="43"/>
      <c r="CU249" s="43"/>
      <c r="CV249" s="43"/>
      <c r="CW249" s="43"/>
      <c r="CX249" s="43"/>
      <c r="CY249" s="43"/>
      <c r="CZ249" s="43"/>
      <c r="DA249" s="43"/>
      <c r="DB249" s="43"/>
      <c r="DC249" s="43"/>
      <c r="DD249" s="43"/>
      <c r="DE249" s="43"/>
      <c r="DF249" s="43"/>
      <c r="DG249" s="43"/>
      <c r="DH249" s="43"/>
      <c r="DI249" s="43"/>
      <c r="DJ249" s="43"/>
      <c r="DK249" s="43"/>
      <c r="DL249" s="43"/>
      <c r="DM249" s="43"/>
      <c r="DN249" s="43"/>
      <c r="DO249" s="43"/>
      <c r="DP249" s="43"/>
      <c r="DQ249" s="43"/>
      <c r="DR249" s="43"/>
      <c r="DS249" s="43"/>
    </row>
    <row r="250" spans="1:123" ht="14.45">
      <c r="A250"/>
      <c r="B250"/>
      <c r="C250"/>
      <c r="D250"/>
      <c r="E250"/>
      <c r="F250"/>
      <c r="G250"/>
      <c r="H250"/>
      <c r="I250"/>
      <c r="J250"/>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43"/>
      <c r="BE250" s="43"/>
      <c r="BF250" s="43"/>
      <c r="BG250" s="43"/>
      <c r="BH250" s="43"/>
      <c r="BI250" s="43"/>
      <c r="BJ250" s="43"/>
      <c r="BK250" s="43"/>
      <c r="BL250" s="43"/>
      <c r="BM250" s="43"/>
      <c r="BN250" s="43"/>
      <c r="BO250" s="43"/>
      <c r="BP250" s="43"/>
      <c r="BQ250" s="43"/>
      <c r="BR250" s="43"/>
      <c r="BS250" s="43"/>
      <c r="BT250" s="43"/>
      <c r="BU250" s="43"/>
      <c r="BV250" s="43"/>
      <c r="BW250" s="43"/>
      <c r="BX250" s="43"/>
      <c r="BY250" s="43"/>
      <c r="BZ250" s="43"/>
      <c r="CA250" s="43"/>
      <c r="CB250" s="43"/>
      <c r="CC250" s="43"/>
      <c r="CD250" s="43"/>
      <c r="CE250" s="43"/>
      <c r="CF250" s="43"/>
      <c r="CG250" s="43"/>
      <c r="CH250" s="43"/>
      <c r="CI250" s="43"/>
      <c r="CJ250" s="43"/>
      <c r="CK250" s="43"/>
      <c r="CL250" s="43"/>
      <c r="CM250" s="43"/>
      <c r="CN250" s="43"/>
      <c r="CO250" s="43"/>
      <c r="CP250" s="43"/>
      <c r="CQ250" s="43"/>
      <c r="CR250" s="43"/>
      <c r="CS250" s="43"/>
      <c r="CT250" s="43"/>
      <c r="CU250" s="43"/>
      <c r="CV250" s="43"/>
      <c r="CW250" s="43"/>
      <c r="CX250" s="43"/>
      <c r="CY250" s="43"/>
      <c r="CZ250" s="43"/>
      <c r="DA250" s="43"/>
      <c r="DB250" s="43"/>
      <c r="DC250" s="43"/>
      <c r="DD250" s="43"/>
      <c r="DE250" s="43"/>
      <c r="DF250" s="43"/>
      <c r="DG250" s="43"/>
      <c r="DH250" s="43"/>
      <c r="DI250" s="43"/>
      <c r="DJ250" s="43"/>
      <c r="DK250" s="43"/>
      <c r="DL250" s="43"/>
      <c r="DM250" s="43"/>
      <c r="DN250" s="43"/>
      <c r="DO250" s="43"/>
      <c r="DP250" s="43"/>
      <c r="DQ250" s="43"/>
      <c r="DR250" s="43"/>
      <c r="DS250" s="43"/>
    </row>
    <row r="251" spans="1:123" ht="14.45">
      <c r="A251"/>
      <c r="B251"/>
      <c r="C251"/>
      <c r="D251"/>
      <c r="E251"/>
      <c r="F251"/>
      <c r="G251"/>
      <c r="H251"/>
      <c r="I251"/>
      <c r="J251"/>
      <c r="K251" s="43"/>
      <c r="L251" s="43"/>
      <c r="M251" s="43"/>
      <c r="N251" s="43"/>
      <c r="O251" s="43"/>
      <c r="P251" s="43"/>
      <c r="Q251" s="43"/>
      <c r="R251" s="43"/>
      <c r="S251" s="43"/>
      <c r="T251" s="43"/>
      <c r="U251" s="43"/>
      <c r="V251" s="43"/>
      <c r="W251" s="43"/>
      <c r="X251" s="43"/>
      <c r="Y251" s="43"/>
      <c r="Z251" s="43"/>
      <c r="AA251" s="43"/>
      <c r="AB251" s="43"/>
      <c r="AC251" s="43"/>
      <c r="AD251" s="43"/>
      <c r="AE251" s="43"/>
      <c r="AF251" s="43"/>
      <c r="AG251" s="43"/>
      <c r="AH251" s="43"/>
      <c r="AI251" s="43"/>
      <c r="AJ251" s="43"/>
      <c r="AK251" s="43"/>
      <c r="AL251" s="43"/>
      <c r="AM251" s="43"/>
      <c r="AN251" s="43"/>
      <c r="AO251" s="43"/>
      <c r="AP251" s="43"/>
      <c r="AQ251" s="43"/>
      <c r="AR251" s="43"/>
      <c r="AS251" s="43"/>
      <c r="AT251" s="43"/>
      <c r="AU251" s="43"/>
      <c r="AV251" s="43"/>
      <c r="AW251" s="43"/>
      <c r="AX251" s="43"/>
      <c r="AY251" s="43"/>
      <c r="AZ251" s="43"/>
      <c r="BA251" s="43"/>
      <c r="BB251" s="43"/>
      <c r="BC251" s="43"/>
      <c r="BD251" s="43"/>
      <c r="BE251" s="43"/>
      <c r="BF251" s="43"/>
      <c r="BG251" s="43"/>
      <c r="BH251" s="43"/>
      <c r="BI251" s="43"/>
      <c r="BJ251" s="43"/>
      <c r="BK251" s="43"/>
      <c r="BL251" s="43"/>
      <c r="BM251" s="43"/>
      <c r="BN251" s="43"/>
      <c r="BO251" s="43"/>
      <c r="BP251" s="43"/>
      <c r="BQ251" s="43"/>
      <c r="BR251" s="43"/>
      <c r="BS251" s="43"/>
      <c r="BT251" s="43"/>
      <c r="BU251" s="43"/>
      <c r="BV251" s="43"/>
      <c r="BW251" s="43"/>
      <c r="BX251" s="43"/>
      <c r="BY251" s="43"/>
      <c r="BZ251" s="43"/>
      <c r="CA251" s="43"/>
      <c r="CB251" s="43"/>
      <c r="CC251" s="43"/>
      <c r="CD251" s="43"/>
      <c r="CE251" s="43"/>
      <c r="CF251" s="43"/>
      <c r="CG251" s="43"/>
      <c r="CH251" s="43"/>
      <c r="CI251" s="43"/>
      <c r="CJ251" s="43"/>
      <c r="CK251" s="43"/>
      <c r="CL251" s="43"/>
      <c r="CM251" s="43"/>
      <c r="CN251" s="43"/>
      <c r="CO251" s="43"/>
      <c r="CP251" s="43"/>
      <c r="CQ251" s="43"/>
      <c r="CR251" s="43"/>
      <c r="CS251" s="43"/>
      <c r="CT251" s="43"/>
      <c r="CU251" s="43"/>
      <c r="CV251" s="43"/>
      <c r="CW251" s="43"/>
      <c r="CX251" s="43"/>
      <c r="CY251" s="43"/>
      <c r="CZ251" s="43"/>
      <c r="DA251" s="43"/>
      <c r="DB251" s="43"/>
      <c r="DC251" s="43"/>
      <c r="DD251" s="43"/>
      <c r="DE251" s="43"/>
      <c r="DF251" s="43"/>
      <c r="DG251" s="43"/>
      <c r="DH251" s="43"/>
      <c r="DI251" s="43"/>
      <c r="DJ251" s="43"/>
      <c r="DK251" s="43"/>
      <c r="DL251" s="43"/>
      <c r="DM251" s="43"/>
      <c r="DN251" s="43"/>
      <c r="DO251" s="43"/>
      <c r="DP251" s="43"/>
      <c r="DQ251" s="43"/>
      <c r="DR251" s="43"/>
      <c r="DS251" s="43"/>
    </row>
    <row r="252" spans="1:123" ht="14.45">
      <c r="A252"/>
      <c r="B252"/>
      <c r="C252"/>
      <c r="D252"/>
      <c r="E252"/>
      <c r="F252"/>
      <c r="G252"/>
      <c r="H252"/>
      <c r="I252"/>
      <c r="J252"/>
      <c r="K252" s="43"/>
      <c r="L252" s="43"/>
      <c r="M252" s="43"/>
      <c r="N252" s="43"/>
      <c r="O252" s="43"/>
      <c r="P252" s="43"/>
      <c r="Q252" s="43"/>
      <c r="R252" s="43"/>
      <c r="S252" s="43"/>
      <c r="T252" s="43"/>
      <c r="U252" s="43"/>
      <c r="V252" s="43"/>
      <c r="W252" s="43"/>
      <c r="X252" s="43"/>
      <c r="Y252" s="43"/>
      <c r="Z252" s="43"/>
      <c r="AA252" s="43"/>
      <c r="AB252" s="43"/>
      <c r="AC252" s="43"/>
      <c r="AD252" s="43"/>
      <c r="AE252" s="43"/>
      <c r="AF252" s="43"/>
      <c r="AG252" s="43"/>
      <c r="AH252" s="43"/>
      <c r="AI252" s="43"/>
      <c r="AJ252" s="43"/>
      <c r="AK252" s="43"/>
      <c r="AL252" s="43"/>
      <c r="AM252" s="43"/>
      <c r="AN252" s="43"/>
      <c r="AO252" s="43"/>
      <c r="AP252" s="43"/>
      <c r="AQ252" s="43"/>
      <c r="AR252" s="43"/>
      <c r="AS252" s="43"/>
      <c r="AT252" s="43"/>
      <c r="AU252" s="43"/>
      <c r="AV252" s="43"/>
      <c r="AW252" s="43"/>
      <c r="AX252" s="43"/>
      <c r="AY252" s="43"/>
      <c r="AZ252" s="43"/>
      <c r="BA252" s="43"/>
      <c r="BB252" s="43"/>
      <c r="BC252" s="43"/>
      <c r="BD252" s="43"/>
      <c r="BE252" s="43"/>
      <c r="BF252" s="43"/>
      <c r="BG252" s="43"/>
      <c r="BH252" s="43"/>
      <c r="BI252" s="43"/>
      <c r="BJ252" s="43"/>
      <c r="BK252" s="43"/>
      <c r="BL252" s="43"/>
      <c r="BM252" s="43"/>
      <c r="BN252" s="43"/>
      <c r="BO252" s="43"/>
      <c r="BP252" s="43"/>
      <c r="BQ252" s="43"/>
      <c r="BR252" s="43"/>
      <c r="BS252" s="43"/>
      <c r="BT252" s="43"/>
      <c r="BU252" s="43"/>
      <c r="BV252" s="43"/>
      <c r="BW252" s="43"/>
      <c r="BX252" s="43"/>
      <c r="BY252" s="43"/>
      <c r="BZ252" s="43"/>
      <c r="CA252" s="43"/>
      <c r="CB252" s="43"/>
      <c r="CC252" s="43"/>
      <c r="CD252" s="43"/>
      <c r="CE252" s="43"/>
      <c r="CF252" s="43"/>
      <c r="CG252" s="43"/>
      <c r="CH252" s="43"/>
      <c r="CI252" s="43"/>
      <c r="CJ252" s="43"/>
      <c r="CK252" s="43"/>
      <c r="CL252" s="43"/>
      <c r="CM252" s="43"/>
      <c r="CN252" s="43"/>
      <c r="CO252" s="43"/>
      <c r="CP252" s="43"/>
      <c r="CQ252" s="43"/>
      <c r="CR252" s="43"/>
      <c r="CS252" s="43"/>
      <c r="CT252" s="43"/>
      <c r="CU252" s="43"/>
      <c r="CV252" s="43"/>
      <c r="CW252" s="43"/>
      <c r="CX252" s="43"/>
      <c r="CY252" s="43"/>
      <c r="CZ252" s="43"/>
      <c r="DA252" s="43"/>
      <c r="DB252" s="43"/>
      <c r="DC252" s="43"/>
      <c r="DD252" s="43"/>
      <c r="DE252" s="43"/>
      <c r="DF252" s="43"/>
      <c r="DG252" s="43"/>
      <c r="DH252" s="43"/>
      <c r="DI252" s="43"/>
      <c r="DJ252" s="43"/>
      <c r="DK252" s="43"/>
      <c r="DL252" s="43"/>
      <c r="DM252" s="43"/>
      <c r="DN252" s="43"/>
      <c r="DO252" s="43"/>
      <c r="DP252" s="43"/>
      <c r="DQ252" s="43"/>
      <c r="DR252" s="43"/>
      <c r="DS252" s="43"/>
    </row>
    <row r="253" spans="1:123" ht="14.45">
      <c r="A253"/>
      <c r="B253"/>
      <c r="C253"/>
      <c r="D253"/>
      <c r="E253"/>
      <c r="F253"/>
      <c r="G253"/>
      <c r="H253"/>
      <c r="I253"/>
      <c r="J253"/>
      <c r="K253" s="43"/>
      <c r="L253" s="43"/>
      <c r="M253" s="43"/>
      <c r="N253" s="43"/>
      <c r="O253" s="43"/>
      <c r="P253" s="43"/>
      <c r="Q253" s="43"/>
      <c r="R253" s="43"/>
      <c r="S253" s="43"/>
      <c r="T253" s="43"/>
      <c r="U253" s="43"/>
      <c r="V253" s="43"/>
      <c r="W253" s="43"/>
      <c r="X253" s="43"/>
      <c r="Y253" s="43"/>
      <c r="Z253" s="43"/>
      <c r="AA253" s="43"/>
      <c r="AB253" s="43"/>
      <c r="AC253" s="43"/>
      <c r="AD253" s="43"/>
      <c r="AE253" s="43"/>
      <c r="AF253" s="43"/>
      <c r="AG253" s="43"/>
      <c r="AH253" s="43"/>
      <c r="AI253" s="43"/>
      <c r="AJ253" s="43"/>
      <c r="AK253" s="43"/>
      <c r="AL253" s="43"/>
      <c r="AM253" s="43"/>
      <c r="AN253" s="43"/>
      <c r="AO253" s="43"/>
      <c r="AP253" s="43"/>
      <c r="AQ253" s="43"/>
      <c r="AR253" s="43"/>
      <c r="AS253" s="43"/>
      <c r="AT253" s="43"/>
      <c r="AU253" s="43"/>
      <c r="AV253" s="43"/>
      <c r="AW253" s="43"/>
      <c r="AX253" s="43"/>
      <c r="AY253" s="43"/>
      <c r="AZ253" s="43"/>
      <c r="BA253" s="43"/>
      <c r="BB253" s="43"/>
      <c r="BC253" s="43"/>
      <c r="BD253" s="43"/>
      <c r="BE253" s="43"/>
      <c r="BF253" s="43"/>
      <c r="BG253" s="43"/>
      <c r="BH253" s="43"/>
      <c r="BI253" s="43"/>
      <c r="BJ253" s="43"/>
      <c r="BK253" s="43"/>
      <c r="BL253" s="43"/>
      <c r="BM253" s="43"/>
      <c r="BN253" s="43"/>
      <c r="BO253" s="43"/>
      <c r="BP253" s="43"/>
      <c r="BQ253" s="43"/>
      <c r="BR253" s="43"/>
      <c r="BS253" s="43"/>
      <c r="BT253" s="43"/>
      <c r="BU253" s="43"/>
      <c r="BV253" s="43"/>
      <c r="BW253" s="43"/>
      <c r="BX253" s="43"/>
      <c r="BY253" s="43"/>
      <c r="BZ253" s="43"/>
      <c r="CA253" s="43"/>
      <c r="CB253" s="43"/>
      <c r="CC253" s="43"/>
      <c r="CD253" s="43"/>
      <c r="CE253" s="43"/>
      <c r="CF253" s="43"/>
      <c r="CG253" s="43"/>
      <c r="CH253" s="43"/>
      <c r="CI253" s="43"/>
      <c r="CJ253" s="43"/>
      <c r="CK253" s="43"/>
      <c r="CL253" s="43"/>
      <c r="CM253" s="43"/>
      <c r="CN253" s="43"/>
      <c r="CO253" s="43"/>
      <c r="CP253" s="43"/>
      <c r="CQ253" s="43"/>
      <c r="CR253" s="43"/>
      <c r="CS253" s="43"/>
      <c r="CT253" s="43"/>
      <c r="CU253" s="43"/>
      <c r="CV253" s="43"/>
      <c r="CW253" s="43"/>
      <c r="CX253" s="43"/>
      <c r="CY253" s="43"/>
      <c r="CZ253" s="43"/>
      <c r="DA253" s="43"/>
      <c r="DB253" s="43"/>
      <c r="DC253" s="43"/>
      <c r="DD253" s="43"/>
      <c r="DE253" s="43"/>
      <c r="DF253" s="43"/>
      <c r="DG253" s="43"/>
      <c r="DH253" s="43"/>
      <c r="DI253" s="43"/>
      <c r="DJ253" s="43"/>
      <c r="DK253" s="43"/>
      <c r="DL253" s="43"/>
      <c r="DM253" s="43"/>
      <c r="DN253" s="43"/>
      <c r="DO253" s="43"/>
      <c r="DP253" s="43"/>
      <c r="DQ253" s="43"/>
      <c r="DR253" s="43"/>
      <c r="DS253" s="43"/>
    </row>
    <row r="254" spans="1:123" ht="14.45">
      <c r="A254"/>
      <c r="B254"/>
      <c r="C254"/>
      <c r="D254"/>
      <c r="E254"/>
      <c r="F254"/>
      <c r="G254"/>
      <c r="H254"/>
      <c r="I254"/>
      <c r="J254"/>
      <c r="K254" s="43"/>
      <c r="L254" s="43"/>
      <c r="M254" s="43"/>
      <c r="N254" s="43"/>
      <c r="O254" s="43"/>
      <c r="P254" s="43"/>
      <c r="Q254" s="43"/>
      <c r="R254" s="43"/>
      <c r="S254" s="43"/>
      <c r="T254" s="43"/>
      <c r="U254" s="43"/>
      <c r="V254" s="43"/>
      <c r="W254" s="43"/>
      <c r="X254" s="43"/>
      <c r="Y254" s="43"/>
      <c r="Z254" s="43"/>
      <c r="AA254" s="43"/>
      <c r="AB254" s="43"/>
      <c r="AC254" s="43"/>
      <c r="AD254" s="43"/>
      <c r="AE254" s="43"/>
      <c r="AF254" s="43"/>
      <c r="AG254" s="43"/>
      <c r="AH254" s="43"/>
      <c r="AI254" s="43"/>
      <c r="AJ254" s="43"/>
      <c r="AK254" s="43"/>
      <c r="AL254" s="43"/>
      <c r="AM254" s="43"/>
      <c r="AN254" s="43"/>
      <c r="AO254" s="43"/>
      <c r="AP254" s="43"/>
      <c r="AQ254" s="43"/>
      <c r="AR254" s="43"/>
      <c r="AS254" s="43"/>
      <c r="AT254" s="43"/>
      <c r="AU254" s="43"/>
      <c r="AV254" s="43"/>
      <c r="AW254" s="43"/>
      <c r="AX254" s="43"/>
      <c r="AY254" s="43"/>
      <c r="AZ254" s="43"/>
      <c r="BA254" s="43"/>
      <c r="BB254" s="43"/>
      <c r="BC254" s="43"/>
      <c r="BD254" s="43"/>
      <c r="BE254" s="43"/>
      <c r="BF254" s="43"/>
      <c r="BG254" s="43"/>
      <c r="BH254" s="43"/>
      <c r="BI254" s="43"/>
      <c r="BJ254" s="43"/>
      <c r="BK254" s="43"/>
      <c r="BL254" s="43"/>
      <c r="BM254" s="43"/>
      <c r="BN254" s="43"/>
      <c r="BO254" s="43"/>
      <c r="BP254" s="43"/>
      <c r="BQ254" s="43"/>
      <c r="BR254" s="43"/>
      <c r="BS254" s="43"/>
      <c r="BT254" s="43"/>
      <c r="BU254" s="43"/>
      <c r="BV254" s="43"/>
      <c r="BW254" s="43"/>
      <c r="BX254" s="43"/>
      <c r="BY254" s="43"/>
      <c r="BZ254" s="43"/>
      <c r="CA254" s="43"/>
      <c r="CB254" s="43"/>
      <c r="CC254" s="43"/>
      <c r="CD254" s="43"/>
      <c r="CE254" s="43"/>
      <c r="CF254" s="43"/>
      <c r="CG254" s="43"/>
      <c r="CH254" s="43"/>
      <c r="CI254" s="43"/>
      <c r="CJ254" s="43"/>
      <c r="CK254" s="43"/>
      <c r="CL254" s="43"/>
      <c r="CM254" s="43"/>
      <c r="CN254" s="43"/>
      <c r="CO254" s="43"/>
      <c r="CP254" s="43"/>
      <c r="CQ254" s="43"/>
      <c r="CR254" s="43"/>
      <c r="CS254" s="43"/>
      <c r="CT254" s="43"/>
      <c r="CU254" s="43"/>
      <c r="CV254" s="43"/>
      <c r="CW254" s="43"/>
      <c r="CX254" s="43"/>
      <c r="CY254" s="43"/>
      <c r="CZ254" s="43"/>
      <c r="DA254" s="43"/>
      <c r="DB254" s="43"/>
      <c r="DC254" s="43"/>
      <c r="DD254" s="43"/>
      <c r="DE254" s="43"/>
      <c r="DF254" s="43"/>
      <c r="DG254" s="43"/>
      <c r="DH254" s="43"/>
      <c r="DI254" s="43"/>
      <c r="DJ254" s="43"/>
      <c r="DK254" s="43"/>
      <c r="DL254" s="43"/>
      <c r="DM254" s="43"/>
      <c r="DN254" s="43"/>
      <c r="DO254" s="43"/>
      <c r="DP254" s="43"/>
      <c r="DQ254" s="43"/>
      <c r="DR254" s="43"/>
      <c r="DS254" s="43"/>
    </row>
    <row r="255" spans="1:123" ht="14.45">
      <c r="A255"/>
      <c r="B255"/>
      <c r="C255"/>
      <c r="D255"/>
      <c r="E255"/>
      <c r="F255"/>
      <c r="G255"/>
      <c r="H255"/>
      <c r="I255"/>
      <c r="J255"/>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3"/>
      <c r="BM255" s="43"/>
      <c r="BN255" s="43"/>
      <c r="BO255" s="43"/>
      <c r="BP255" s="43"/>
      <c r="BQ255" s="43"/>
      <c r="BR255" s="43"/>
      <c r="BS255" s="43"/>
      <c r="BT255" s="43"/>
      <c r="BU255" s="43"/>
      <c r="BV255" s="43"/>
      <c r="BW255" s="43"/>
      <c r="BX255" s="43"/>
      <c r="BY255" s="43"/>
      <c r="BZ255" s="43"/>
      <c r="CA255" s="43"/>
      <c r="CB255" s="43"/>
      <c r="CC255" s="43"/>
      <c r="CD255" s="43"/>
      <c r="CE255" s="43"/>
      <c r="CF255" s="43"/>
      <c r="CG255" s="43"/>
      <c r="CH255" s="43"/>
      <c r="CI255" s="43"/>
      <c r="CJ255" s="43"/>
      <c r="CK255" s="43"/>
      <c r="CL255" s="43"/>
      <c r="CM255" s="43"/>
      <c r="CN255" s="43"/>
      <c r="CO255" s="43"/>
      <c r="CP255" s="43"/>
      <c r="CQ255" s="43"/>
      <c r="CR255" s="43"/>
      <c r="CS255" s="43"/>
      <c r="CT255" s="43"/>
      <c r="CU255" s="43"/>
      <c r="CV255" s="43"/>
      <c r="CW255" s="43"/>
      <c r="CX255" s="43"/>
      <c r="CY255" s="43"/>
      <c r="CZ255" s="43"/>
      <c r="DA255" s="43"/>
      <c r="DB255" s="43"/>
      <c r="DC255" s="43"/>
      <c r="DD255" s="43"/>
      <c r="DE255" s="43"/>
      <c r="DF255" s="43"/>
      <c r="DG255" s="43"/>
      <c r="DH255" s="43"/>
      <c r="DI255" s="43"/>
      <c r="DJ255" s="43"/>
      <c r="DK255" s="43"/>
      <c r="DL255" s="43"/>
      <c r="DM255" s="43"/>
      <c r="DN255" s="43"/>
      <c r="DO255" s="43"/>
      <c r="DP255" s="43"/>
      <c r="DQ255" s="43"/>
      <c r="DR255" s="43"/>
      <c r="DS255" s="43"/>
    </row>
    <row r="256" spans="1:123" ht="14.45">
      <c r="A256"/>
      <c r="B256"/>
      <c r="C256"/>
      <c r="D256"/>
      <c r="E256"/>
      <c r="F256"/>
      <c r="G256"/>
      <c r="H256"/>
      <c r="I256"/>
      <c r="J256"/>
      <c r="K256" s="43"/>
      <c r="L256" s="43"/>
      <c r="M256" s="43"/>
      <c r="N256" s="43"/>
      <c r="O256" s="43"/>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c r="AM256" s="43"/>
      <c r="AN256" s="43"/>
      <c r="AO256" s="43"/>
      <c r="AP256" s="43"/>
      <c r="AQ256" s="43"/>
      <c r="AR256" s="43"/>
      <c r="AS256" s="43"/>
      <c r="AT256" s="43"/>
      <c r="AU256" s="43"/>
      <c r="AV256" s="43"/>
      <c r="AW256" s="43"/>
      <c r="AX256" s="43"/>
      <c r="AY256" s="43"/>
      <c r="AZ256" s="43"/>
      <c r="BA256" s="43"/>
      <c r="BB256" s="43"/>
      <c r="BC256" s="43"/>
      <c r="BD256" s="43"/>
      <c r="BE256" s="43"/>
      <c r="BF256" s="43"/>
      <c r="BG256" s="43"/>
      <c r="BH256" s="43"/>
      <c r="BI256" s="43"/>
      <c r="BJ256" s="43"/>
      <c r="BK256" s="43"/>
      <c r="BL256" s="43"/>
      <c r="BM256" s="43"/>
      <c r="BN256" s="43"/>
      <c r="BO256" s="43"/>
      <c r="BP256" s="43"/>
      <c r="BQ256" s="43"/>
      <c r="BR256" s="43"/>
      <c r="BS256" s="43"/>
      <c r="BT256" s="43"/>
      <c r="BU256" s="43"/>
      <c r="BV256" s="43"/>
      <c r="BW256" s="43"/>
      <c r="BX256" s="43"/>
      <c r="BY256" s="43"/>
      <c r="BZ256" s="43"/>
      <c r="CA256" s="43"/>
      <c r="CB256" s="43"/>
      <c r="CC256" s="43"/>
      <c r="CD256" s="43"/>
      <c r="CE256" s="43"/>
      <c r="CF256" s="43"/>
      <c r="CG256" s="43"/>
      <c r="CH256" s="43"/>
      <c r="CI256" s="43"/>
      <c r="CJ256" s="43"/>
      <c r="CK256" s="43"/>
      <c r="CL256" s="43"/>
      <c r="CM256" s="43"/>
      <c r="CN256" s="43"/>
      <c r="CO256" s="43"/>
      <c r="CP256" s="43"/>
      <c r="CQ256" s="43"/>
      <c r="CR256" s="43"/>
      <c r="CS256" s="43"/>
      <c r="CT256" s="43"/>
      <c r="CU256" s="43"/>
      <c r="CV256" s="43"/>
      <c r="CW256" s="43"/>
      <c r="CX256" s="43"/>
      <c r="CY256" s="43"/>
      <c r="CZ256" s="43"/>
      <c r="DA256" s="43"/>
      <c r="DB256" s="43"/>
      <c r="DC256" s="43"/>
      <c r="DD256" s="43"/>
      <c r="DE256" s="43"/>
      <c r="DF256" s="43"/>
      <c r="DG256" s="43"/>
      <c r="DH256" s="43"/>
      <c r="DI256" s="43"/>
      <c r="DJ256" s="43"/>
      <c r="DK256" s="43"/>
      <c r="DL256" s="43"/>
      <c r="DM256" s="43"/>
      <c r="DN256" s="43"/>
      <c r="DO256" s="43"/>
      <c r="DP256" s="43"/>
      <c r="DQ256" s="43"/>
      <c r="DR256" s="43"/>
      <c r="DS256" s="43"/>
    </row>
    <row r="257" spans="1:123" ht="14.45">
      <c r="A257"/>
      <c r="B257"/>
      <c r="C257"/>
      <c r="D257"/>
      <c r="E257"/>
      <c r="F257"/>
      <c r="G257"/>
      <c r="H257"/>
      <c r="I257"/>
      <c r="J257"/>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c r="BO257" s="43"/>
      <c r="BP257" s="43"/>
      <c r="BQ257" s="43"/>
      <c r="BR257" s="43"/>
      <c r="BS257" s="43"/>
      <c r="BT257" s="43"/>
      <c r="BU257" s="43"/>
      <c r="BV257" s="43"/>
      <c r="BW257" s="43"/>
      <c r="BX257" s="43"/>
      <c r="BY257" s="43"/>
      <c r="BZ257" s="43"/>
      <c r="CA257" s="43"/>
      <c r="CB257" s="43"/>
      <c r="CC257" s="43"/>
      <c r="CD257" s="43"/>
      <c r="CE257" s="43"/>
      <c r="CF257" s="43"/>
      <c r="CG257" s="43"/>
      <c r="CH257" s="43"/>
      <c r="CI257" s="43"/>
      <c r="CJ257" s="43"/>
      <c r="CK257" s="43"/>
      <c r="CL257" s="43"/>
      <c r="CM257" s="43"/>
      <c r="CN257" s="43"/>
      <c r="CO257" s="43"/>
      <c r="CP257" s="43"/>
      <c r="CQ257" s="43"/>
      <c r="CR257" s="43"/>
      <c r="CS257" s="43"/>
      <c r="CT257" s="43"/>
      <c r="CU257" s="43"/>
      <c r="CV257" s="43"/>
      <c r="CW257" s="43"/>
      <c r="CX257" s="43"/>
      <c r="CY257" s="43"/>
      <c r="CZ257" s="43"/>
      <c r="DA257" s="43"/>
      <c r="DB257" s="43"/>
      <c r="DC257" s="43"/>
      <c r="DD257" s="43"/>
      <c r="DE257" s="43"/>
      <c r="DF257" s="43"/>
      <c r="DG257" s="43"/>
      <c r="DH257" s="43"/>
      <c r="DI257" s="43"/>
      <c r="DJ257" s="43"/>
      <c r="DK257" s="43"/>
      <c r="DL257" s="43"/>
      <c r="DM257" s="43"/>
      <c r="DN257" s="43"/>
      <c r="DO257" s="43"/>
      <c r="DP257" s="43"/>
      <c r="DQ257" s="43"/>
      <c r="DR257" s="43"/>
      <c r="DS257" s="43"/>
    </row>
    <row r="258" spans="1:123" ht="14.45">
      <c r="A258"/>
      <c r="B258"/>
      <c r="C258"/>
      <c r="D258"/>
      <c r="E258"/>
      <c r="F258"/>
      <c r="G258"/>
      <c r="H258"/>
      <c r="I258"/>
      <c r="J258"/>
      <c r="K258" s="43"/>
      <c r="L258" s="43"/>
      <c r="M258" s="43"/>
      <c r="N258" s="43"/>
      <c r="O258" s="43"/>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c r="AM258" s="43"/>
      <c r="AN258" s="43"/>
      <c r="AO258" s="43"/>
      <c r="AP258" s="43"/>
      <c r="AQ258" s="43"/>
      <c r="AR258" s="43"/>
      <c r="AS258" s="43"/>
      <c r="AT258" s="43"/>
      <c r="AU258" s="43"/>
      <c r="AV258" s="43"/>
      <c r="AW258" s="43"/>
      <c r="AX258" s="43"/>
      <c r="AY258" s="43"/>
      <c r="AZ258" s="43"/>
      <c r="BA258" s="43"/>
      <c r="BB258" s="43"/>
      <c r="BC258" s="43"/>
      <c r="BD258" s="43"/>
      <c r="BE258" s="43"/>
      <c r="BF258" s="43"/>
      <c r="BG258" s="43"/>
      <c r="BH258" s="43"/>
      <c r="BI258" s="43"/>
      <c r="BJ258" s="43"/>
      <c r="BK258" s="43"/>
      <c r="BL258" s="43"/>
      <c r="BM258" s="43"/>
      <c r="BN258" s="43"/>
      <c r="BO258" s="43"/>
      <c r="BP258" s="43"/>
      <c r="BQ258" s="43"/>
      <c r="BR258" s="43"/>
      <c r="BS258" s="43"/>
      <c r="BT258" s="43"/>
      <c r="BU258" s="43"/>
      <c r="BV258" s="43"/>
      <c r="BW258" s="43"/>
      <c r="BX258" s="43"/>
      <c r="BY258" s="43"/>
      <c r="BZ258" s="43"/>
      <c r="CA258" s="43"/>
      <c r="CB258" s="43"/>
      <c r="CC258" s="43"/>
      <c r="CD258" s="43"/>
      <c r="CE258" s="43"/>
      <c r="CF258" s="43"/>
      <c r="CG258" s="43"/>
      <c r="CH258" s="43"/>
      <c r="CI258" s="43"/>
      <c r="CJ258" s="43"/>
      <c r="CK258" s="43"/>
      <c r="CL258" s="43"/>
      <c r="CM258" s="43"/>
      <c r="CN258" s="43"/>
      <c r="CO258" s="43"/>
      <c r="CP258" s="43"/>
      <c r="CQ258" s="43"/>
      <c r="CR258" s="43"/>
      <c r="CS258" s="43"/>
      <c r="CT258" s="43"/>
      <c r="CU258" s="43"/>
      <c r="CV258" s="43"/>
      <c r="CW258" s="43"/>
      <c r="CX258" s="43"/>
      <c r="CY258" s="43"/>
      <c r="CZ258" s="43"/>
      <c r="DA258" s="43"/>
      <c r="DB258" s="43"/>
      <c r="DC258" s="43"/>
      <c r="DD258" s="43"/>
      <c r="DE258" s="43"/>
      <c r="DF258" s="43"/>
      <c r="DG258" s="43"/>
      <c r="DH258" s="43"/>
      <c r="DI258" s="43"/>
      <c r="DJ258" s="43"/>
      <c r="DK258" s="43"/>
      <c r="DL258" s="43"/>
      <c r="DM258" s="43"/>
      <c r="DN258" s="43"/>
      <c r="DO258" s="43"/>
      <c r="DP258" s="43"/>
      <c r="DQ258" s="43"/>
      <c r="DR258" s="43"/>
      <c r="DS258" s="43"/>
    </row>
    <row r="259" spans="1:123" ht="14.45">
      <c r="A259"/>
      <c r="B259"/>
      <c r="C259"/>
      <c r="D259"/>
      <c r="E259"/>
      <c r="F259"/>
      <c r="G259"/>
      <c r="H259"/>
      <c r="I259"/>
      <c r="J259"/>
      <c r="K259" s="43"/>
      <c r="L259" s="43"/>
      <c r="M259" s="43"/>
      <c r="N259" s="43"/>
      <c r="O259" s="43"/>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c r="AM259" s="43"/>
      <c r="AN259" s="43"/>
      <c r="AO259" s="43"/>
      <c r="AP259" s="43"/>
      <c r="AQ259" s="43"/>
      <c r="AR259" s="43"/>
      <c r="AS259" s="43"/>
      <c r="AT259" s="43"/>
      <c r="AU259" s="43"/>
      <c r="AV259" s="43"/>
      <c r="AW259" s="43"/>
      <c r="AX259" s="43"/>
      <c r="AY259" s="43"/>
      <c r="AZ259" s="43"/>
      <c r="BA259" s="43"/>
      <c r="BB259" s="43"/>
      <c r="BC259" s="43"/>
      <c r="BD259" s="43"/>
      <c r="BE259" s="43"/>
      <c r="BF259" s="43"/>
      <c r="BG259" s="43"/>
      <c r="BH259" s="43"/>
      <c r="BI259" s="43"/>
      <c r="BJ259" s="43"/>
      <c r="BK259" s="43"/>
      <c r="BL259" s="43"/>
      <c r="BM259" s="43"/>
      <c r="BN259" s="43"/>
      <c r="BO259" s="43"/>
      <c r="BP259" s="43"/>
      <c r="BQ259" s="43"/>
      <c r="BR259" s="43"/>
      <c r="BS259" s="43"/>
      <c r="BT259" s="43"/>
      <c r="BU259" s="43"/>
      <c r="BV259" s="43"/>
      <c r="BW259" s="43"/>
      <c r="BX259" s="43"/>
      <c r="BY259" s="43"/>
      <c r="BZ259" s="43"/>
      <c r="CA259" s="43"/>
      <c r="CB259" s="43"/>
      <c r="CC259" s="43"/>
      <c r="CD259" s="43"/>
      <c r="CE259" s="43"/>
      <c r="CF259" s="43"/>
      <c r="CG259" s="43"/>
      <c r="CH259" s="43"/>
      <c r="CI259" s="43"/>
      <c r="CJ259" s="43"/>
      <c r="CK259" s="43"/>
      <c r="CL259" s="43"/>
      <c r="CM259" s="43"/>
      <c r="CN259" s="43"/>
      <c r="CO259" s="43"/>
      <c r="CP259" s="43"/>
      <c r="CQ259" s="43"/>
      <c r="CR259" s="43"/>
      <c r="CS259" s="43"/>
      <c r="CT259" s="43"/>
      <c r="CU259" s="43"/>
      <c r="CV259" s="43"/>
      <c r="CW259" s="43"/>
      <c r="CX259" s="43"/>
      <c r="CY259" s="43"/>
      <c r="CZ259" s="43"/>
      <c r="DA259" s="43"/>
      <c r="DB259" s="43"/>
      <c r="DC259" s="43"/>
      <c r="DD259" s="43"/>
      <c r="DE259" s="43"/>
      <c r="DF259" s="43"/>
      <c r="DG259" s="43"/>
      <c r="DH259" s="43"/>
      <c r="DI259" s="43"/>
      <c r="DJ259" s="43"/>
      <c r="DK259" s="43"/>
      <c r="DL259" s="43"/>
      <c r="DM259" s="43"/>
      <c r="DN259" s="43"/>
      <c r="DO259" s="43"/>
      <c r="DP259" s="43"/>
      <c r="DQ259" s="43"/>
      <c r="DR259" s="43"/>
      <c r="DS259" s="43"/>
    </row>
    <row r="260" spans="1:123" ht="14.45">
      <c r="A260"/>
      <c r="B260"/>
      <c r="C260"/>
      <c r="D260"/>
      <c r="E260"/>
      <c r="F260"/>
      <c r="G260"/>
      <c r="H260"/>
      <c r="I260"/>
      <c r="J260"/>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43"/>
      <c r="AQ260" s="43"/>
      <c r="AR260" s="43"/>
      <c r="AS260" s="43"/>
      <c r="AT260" s="43"/>
      <c r="AU260" s="43"/>
      <c r="AV260" s="43"/>
      <c r="AW260" s="43"/>
      <c r="AX260" s="43"/>
      <c r="AY260" s="43"/>
      <c r="AZ260" s="43"/>
      <c r="BA260" s="43"/>
      <c r="BB260" s="43"/>
      <c r="BC260" s="43"/>
      <c r="BD260" s="43"/>
      <c r="BE260" s="43"/>
      <c r="BF260" s="43"/>
      <c r="BG260" s="43"/>
      <c r="BH260" s="43"/>
      <c r="BI260" s="43"/>
      <c r="BJ260" s="43"/>
      <c r="BK260" s="43"/>
      <c r="BL260" s="43"/>
      <c r="BM260" s="43"/>
      <c r="BN260" s="43"/>
      <c r="BO260" s="43"/>
      <c r="BP260" s="43"/>
      <c r="BQ260" s="43"/>
      <c r="BR260" s="43"/>
      <c r="BS260" s="43"/>
      <c r="BT260" s="43"/>
      <c r="BU260" s="43"/>
      <c r="BV260" s="43"/>
      <c r="BW260" s="43"/>
      <c r="BX260" s="43"/>
      <c r="BY260" s="43"/>
      <c r="BZ260" s="43"/>
      <c r="CA260" s="43"/>
      <c r="CB260" s="43"/>
      <c r="CC260" s="43"/>
      <c r="CD260" s="43"/>
      <c r="CE260" s="43"/>
      <c r="CF260" s="43"/>
      <c r="CG260" s="43"/>
      <c r="CH260" s="43"/>
      <c r="CI260" s="43"/>
      <c r="CJ260" s="43"/>
      <c r="CK260" s="43"/>
      <c r="CL260" s="43"/>
      <c r="CM260" s="43"/>
      <c r="CN260" s="43"/>
      <c r="CO260" s="43"/>
      <c r="CP260" s="43"/>
      <c r="CQ260" s="43"/>
      <c r="CR260" s="43"/>
      <c r="CS260" s="43"/>
      <c r="CT260" s="43"/>
      <c r="CU260" s="43"/>
      <c r="CV260" s="43"/>
      <c r="CW260" s="43"/>
      <c r="CX260" s="43"/>
      <c r="CY260" s="43"/>
      <c r="CZ260" s="43"/>
      <c r="DA260" s="43"/>
      <c r="DB260" s="43"/>
      <c r="DC260" s="43"/>
      <c r="DD260" s="43"/>
      <c r="DE260" s="43"/>
      <c r="DF260" s="43"/>
      <c r="DG260" s="43"/>
      <c r="DH260" s="43"/>
      <c r="DI260" s="43"/>
      <c r="DJ260" s="43"/>
      <c r="DK260" s="43"/>
      <c r="DL260" s="43"/>
      <c r="DM260" s="43"/>
      <c r="DN260" s="43"/>
      <c r="DO260" s="43"/>
      <c r="DP260" s="43"/>
      <c r="DQ260" s="43"/>
      <c r="DR260" s="43"/>
      <c r="DS260" s="43"/>
    </row>
    <row r="261" spans="1:123" ht="14.45">
      <c r="A261"/>
      <c r="B261"/>
      <c r="C261"/>
      <c r="D261"/>
      <c r="E261"/>
      <c r="F261"/>
      <c r="G261"/>
      <c r="H261"/>
      <c r="I261"/>
      <c r="J261"/>
      <c r="K261" s="43"/>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c r="BO261" s="43"/>
      <c r="BP261" s="43"/>
      <c r="BQ261" s="43"/>
      <c r="BR261" s="43"/>
      <c r="BS261" s="43"/>
      <c r="BT261" s="43"/>
      <c r="BU261" s="43"/>
      <c r="BV261" s="43"/>
      <c r="BW261" s="43"/>
      <c r="BX261" s="43"/>
      <c r="BY261" s="43"/>
      <c r="BZ261" s="43"/>
      <c r="CA261" s="43"/>
      <c r="CB261" s="43"/>
      <c r="CC261" s="43"/>
      <c r="CD261" s="43"/>
      <c r="CE261" s="43"/>
      <c r="CF261" s="43"/>
      <c r="CG261" s="43"/>
      <c r="CH261" s="43"/>
      <c r="CI261" s="43"/>
      <c r="CJ261" s="43"/>
      <c r="CK261" s="43"/>
      <c r="CL261" s="43"/>
      <c r="CM261" s="43"/>
      <c r="CN261" s="43"/>
      <c r="CO261" s="43"/>
      <c r="CP261" s="43"/>
      <c r="CQ261" s="43"/>
      <c r="CR261" s="43"/>
      <c r="CS261" s="43"/>
      <c r="CT261" s="43"/>
      <c r="CU261" s="43"/>
      <c r="CV261" s="43"/>
      <c r="CW261" s="43"/>
      <c r="CX261" s="43"/>
      <c r="CY261" s="43"/>
      <c r="CZ261" s="43"/>
      <c r="DA261" s="43"/>
      <c r="DB261" s="43"/>
      <c r="DC261" s="43"/>
      <c r="DD261" s="43"/>
      <c r="DE261" s="43"/>
      <c r="DF261" s="43"/>
      <c r="DG261" s="43"/>
      <c r="DH261" s="43"/>
      <c r="DI261" s="43"/>
      <c r="DJ261" s="43"/>
      <c r="DK261" s="43"/>
      <c r="DL261" s="43"/>
      <c r="DM261" s="43"/>
      <c r="DN261" s="43"/>
      <c r="DO261" s="43"/>
      <c r="DP261" s="43"/>
      <c r="DQ261" s="43"/>
      <c r="DR261" s="43"/>
      <c r="DS261" s="43"/>
    </row>
    <row r="262" spans="1:123" ht="14.45">
      <c r="A262"/>
      <c r="B262"/>
      <c r="C262"/>
      <c r="D262"/>
      <c r="E262"/>
      <c r="F262"/>
      <c r="G262"/>
      <c r="H262"/>
      <c r="I262"/>
      <c r="J262"/>
      <c r="K262" s="43"/>
      <c r="L262" s="43"/>
      <c r="M262" s="43"/>
      <c r="N262" s="43"/>
      <c r="O262" s="43"/>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c r="AM262" s="43"/>
      <c r="AN262" s="43"/>
      <c r="AO262" s="43"/>
      <c r="AP262" s="43"/>
      <c r="AQ262" s="43"/>
      <c r="AR262" s="43"/>
      <c r="AS262" s="43"/>
      <c r="AT262" s="43"/>
      <c r="AU262" s="43"/>
      <c r="AV262" s="43"/>
      <c r="AW262" s="43"/>
      <c r="AX262" s="43"/>
      <c r="AY262" s="43"/>
      <c r="AZ262" s="43"/>
      <c r="BA262" s="43"/>
      <c r="BB262" s="43"/>
      <c r="BC262" s="43"/>
      <c r="BD262" s="43"/>
      <c r="BE262" s="43"/>
      <c r="BF262" s="43"/>
      <c r="BG262" s="43"/>
      <c r="BH262" s="43"/>
      <c r="BI262" s="43"/>
      <c r="BJ262" s="43"/>
      <c r="BK262" s="43"/>
      <c r="BL262" s="43"/>
      <c r="BM262" s="43"/>
      <c r="BN262" s="43"/>
      <c r="BO262" s="43"/>
      <c r="BP262" s="43"/>
      <c r="BQ262" s="43"/>
      <c r="BR262" s="43"/>
      <c r="BS262" s="43"/>
      <c r="BT262" s="43"/>
      <c r="BU262" s="43"/>
      <c r="BV262" s="43"/>
      <c r="BW262" s="43"/>
      <c r="BX262" s="43"/>
      <c r="BY262" s="43"/>
      <c r="BZ262" s="43"/>
      <c r="CA262" s="43"/>
      <c r="CB262" s="43"/>
      <c r="CC262" s="43"/>
      <c r="CD262" s="43"/>
      <c r="CE262" s="43"/>
      <c r="CF262" s="43"/>
      <c r="CG262" s="43"/>
      <c r="CH262" s="43"/>
      <c r="CI262" s="43"/>
      <c r="CJ262" s="43"/>
      <c r="CK262" s="43"/>
      <c r="CL262" s="43"/>
      <c r="CM262" s="43"/>
      <c r="CN262" s="43"/>
      <c r="CO262" s="43"/>
      <c r="CP262" s="43"/>
      <c r="CQ262" s="43"/>
      <c r="CR262" s="43"/>
      <c r="CS262" s="43"/>
      <c r="CT262" s="43"/>
      <c r="CU262" s="43"/>
      <c r="CV262" s="43"/>
      <c r="CW262" s="43"/>
      <c r="CX262" s="43"/>
      <c r="CY262" s="43"/>
      <c r="CZ262" s="43"/>
      <c r="DA262" s="43"/>
      <c r="DB262" s="43"/>
      <c r="DC262" s="43"/>
      <c r="DD262" s="43"/>
      <c r="DE262" s="43"/>
      <c r="DF262" s="43"/>
      <c r="DG262" s="43"/>
      <c r="DH262" s="43"/>
      <c r="DI262" s="43"/>
      <c r="DJ262" s="43"/>
      <c r="DK262" s="43"/>
      <c r="DL262" s="43"/>
      <c r="DM262" s="43"/>
      <c r="DN262" s="43"/>
      <c r="DO262" s="43"/>
      <c r="DP262" s="43"/>
      <c r="DQ262" s="43"/>
      <c r="DR262" s="43"/>
      <c r="DS262" s="43"/>
    </row>
    <row r="263" spans="1:123" ht="14.45">
      <c r="A263"/>
      <c r="B263"/>
      <c r="C263"/>
      <c r="D263"/>
      <c r="E263"/>
      <c r="F263"/>
      <c r="G263"/>
      <c r="H263"/>
      <c r="I263"/>
      <c r="J26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c r="AW263" s="43"/>
      <c r="AX263" s="43"/>
      <c r="AY263" s="43"/>
      <c r="AZ263" s="43"/>
      <c r="BA263" s="43"/>
      <c r="BB263" s="43"/>
      <c r="BC263" s="43"/>
      <c r="BD263" s="43"/>
      <c r="BE263" s="43"/>
      <c r="BF263" s="43"/>
      <c r="BG263" s="43"/>
      <c r="BH263" s="43"/>
      <c r="BI263" s="43"/>
      <c r="BJ263" s="43"/>
      <c r="BK263" s="43"/>
      <c r="BL263" s="43"/>
      <c r="BM263" s="43"/>
      <c r="BN263" s="43"/>
      <c r="BO263" s="43"/>
      <c r="BP263" s="43"/>
      <c r="BQ263" s="43"/>
      <c r="BR263" s="43"/>
      <c r="BS263" s="43"/>
      <c r="BT263" s="43"/>
      <c r="BU263" s="43"/>
      <c r="BV263" s="43"/>
      <c r="BW263" s="43"/>
      <c r="BX263" s="43"/>
      <c r="BY263" s="43"/>
      <c r="BZ263" s="43"/>
      <c r="CA263" s="43"/>
      <c r="CB263" s="43"/>
      <c r="CC263" s="43"/>
      <c r="CD263" s="43"/>
      <c r="CE263" s="43"/>
      <c r="CF263" s="43"/>
      <c r="CG263" s="43"/>
      <c r="CH263" s="43"/>
      <c r="CI263" s="43"/>
      <c r="CJ263" s="43"/>
      <c r="CK263" s="43"/>
      <c r="CL263" s="43"/>
      <c r="CM263" s="43"/>
      <c r="CN263" s="43"/>
      <c r="CO263" s="43"/>
      <c r="CP263" s="43"/>
      <c r="CQ263" s="43"/>
      <c r="CR263" s="43"/>
      <c r="CS263" s="43"/>
      <c r="CT263" s="43"/>
      <c r="CU263" s="43"/>
      <c r="CV263" s="43"/>
      <c r="CW263" s="43"/>
      <c r="CX263" s="43"/>
      <c r="CY263" s="43"/>
      <c r="CZ263" s="43"/>
      <c r="DA263" s="43"/>
      <c r="DB263" s="43"/>
      <c r="DC263" s="43"/>
      <c r="DD263" s="43"/>
      <c r="DE263" s="43"/>
      <c r="DF263" s="43"/>
      <c r="DG263" s="43"/>
      <c r="DH263" s="43"/>
      <c r="DI263" s="43"/>
      <c r="DJ263" s="43"/>
      <c r="DK263" s="43"/>
      <c r="DL263" s="43"/>
      <c r="DM263" s="43"/>
      <c r="DN263" s="43"/>
      <c r="DO263" s="43"/>
      <c r="DP263" s="43"/>
      <c r="DQ263" s="43"/>
      <c r="DR263" s="43"/>
      <c r="DS263" s="43"/>
    </row>
    <row r="264" spans="1:123" ht="14.45">
      <c r="A264"/>
      <c r="B264"/>
      <c r="C264"/>
      <c r="D264"/>
      <c r="E264"/>
      <c r="F264"/>
      <c r="G264"/>
      <c r="H264"/>
      <c r="I264"/>
      <c r="J264"/>
      <c r="K264" s="43"/>
      <c r="L264" s="43"/>
      <c r="M264" s="43"/>
      <c r="N264" s="43"/>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c r="AW264" s="43"/>
      <c r="AX264" s="43"/>
      <c r="AY264" s="43"/>
      <c r="AZ264" s="43"/>
      <c r="BA264" s="43"/>
      <c r="BB264" s="43"/>
      <c r="BC264" s="43"/>
      <c r="BD264" s="43"/>
      <c r="BE264" s="43"/>
      <c r="BF264" s="43"/>
      <c r="BG264" s="43"/>
      <c r="BH264" s="43"/>
      <c r="BI264" s="43"/>
      <c r="BJ264" s="43"/>
      <c r="BK264" s="43"/>
      <c r="BL264" s="43"/>
      <c r="BM264" s="43"/>
      <c r="BN264" s="43"/>
      <c r="BO264" s="43"/>
      <c r="BP264" s="43"/>
      <c r="BQ264" s="43"/>
      <c r="BR264" s="43"/>
      <c r="BS264" s="43"/>
      <c r="BT264" s="43"/>
      <c r="BU264" s="43"/>
      <c r="BV264" s="43"/>
      <c r="BW264" s="43"/>
      <c r="BX264" s="43"/>
      <c r="BY264" s="43"/>
      <c r="BZ264" s="43"/>
      <c r="CA264" s="43"/>
      <c r="CB264" s="43"/>
      <c r="CC264" s="43"/>
      <c r="CD264" s="43"/>
      <c r="CE264" s="43"/>
      <c r="CF264" s="43"/>
      <c r="CG264" s="43"/>
      <c r="CH264" s="43"/>
      <c r="CI264" s="43"/>
      <c r="CJ264" s="43"/>
      <c r="CK264" s="43"/>
      <c r="CL264" s="43"/>
      <c r="CM264" s="43"/>
      <c r="CN264" s="43"/>
      <c r="CO264" s="43"/>
      <c r="CP264" s="43"/>
      <c r="CQ264" s="43"/>
      <c r="CR264" s="43"/>
      <c r="CS264" s="43"/>
      <c r="CT264" s="43"/>
      <c r="CU264" s="43"/>
      <c r="CV264" s="43"/>
      <c r="CW264" s="43"/>
      <c r="CX264" s="43"/>
      <c r="CY264" s="43"/>
      <c r="CZ264" s="43"/>
      <c r="DA264" s="43"/>
      <c r="DB264" s="43"/>
      <c r="DC264" s="43"/>
      <c r="DD264" s="43"/>
      <c r="DE264" s="43"/>
      <c r="DF264" s="43"/>
      <c r="DG264" s="43"/>
      <c r="DH264" s="43"/>
      <c r="DI264" s="43"/>
      <c r="DJ264" s="43"/>
      <c r="DK264" s="43"/>
      <c r="DL264" s="43"/>
      <c r="DM264" s="43"/>
      <c r="DN264" s="43"/>
      <c r="DO264" s="43"/>
      <c r="DP264" s="43"/>
      <c r="DQ264" s="43"/>
      <c r="DR264" s="43"/>
      <c r="DS264" s="43"/>
    </row>
    <row r="265" spans="1:123" ht="14.45">
      <c r="A265"/>
      <c r="B265"/>
      <c r="C265"/>
      <c r="D265"/>
      <c r="E265"/>
      <c r="F265"/>
      <c r="G265"/>
      <c r="H265"/>
      <c r="I265"/>
      <c r="J265"/>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c r="BO265" s="43"/>
      <c r="BP265" s="43"/>
      <c r="BQ265" s="43"/>
      <c r="BR265" s="43"/>
      <c r="BS265" s="43"/>
      <c r="BT265" s="43"/>
      <c r="BU265" s="43"/>
      <c r="BV265" s="43"/>
      <c r="BW265" s="43"/>
      <c r="BX265" s="43"/>
      <c r="BY265" s="43"/>
      <c r="BZ265" s="43"/>
      <c r="CA265" s="43"/>
      <c r="CB265" s="43"/>
      <c r="CC265" s="43"/>
      <c r="CD265" s="43"/>
      <c r="CE265" s="43"/>
      <c r="CF265" s="43"/>
      <c r="CG265" s="43"/>
      <c r="CH265" s="43"/>
      <c r="CI265" s="43"/>
      <c r="CJ265" s="43"/>
      <c r="CK265" s="43"/>
      <c r="CL265" s="43"/>
      <c r="CM265" s="43"/>
      <c r="CN265" s="43"/>
      <c r="CO265" s="43"/>
      <c r="CP265" s="43"/>
      <c r="CQ265" s="43"/>
      <c r="CR265" s="43"/>
      <c r="CS265" s="43"/>
      <c r="CT265" s="43"/>
      <c r="CU265" s="43"/>
      <c r="CV265" s="43"/>
      <c r="CW265" s="43"/>
      <c r="CX265" s="43"/>
      <c r="CY265" s="43"/>
      <c r="CZ265" s="43"/>
      <c r="DA265" s="43"/>
      <c r="DB265" s="43"/>
      <c r="DC265" s="43"/>
      <c r="DD265" s="43"/>
      <c r="DE265" s="43"/>
      <c r="DF265" s="43"/>
      <c r="DG265" s="43"/>
      <c r="DH265" s="43"/>
      <c r="DI265" s="43"/>
      <c r="DJ265" s="43"/>
      <c r="DK265" s="43"/>
      <c r="DL265" s="43"/>
      <c r="DM265" s="43"/>
      <c r="DN265" s="43"/>
      <c r="DO265" s="43"/>
      <c r="DP265" s="43"/>
      <c r="DQ265" s="43"/>
      <c r="DR265" s="43"/>
      <c r="DS265" s="43"/>
    </row>
    <row r="266" spans="1:123" ht="14.45">
      <c r="A266"/>
      <c r="B266"/>
      <c r="C266"/>
      <c r="D266"/>
      <c r="E266"/>
      <c r="F266"/>
      <c r="G266"/>
      <c r="H266"/>
      <c r="I266"/>
      <c r="J266"/>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c r="BO266" s="43"/>
      <c r="BP266" s="43"/>
      <c r="BQ266" s="43"/>
      <c r="BR266" s="43"/>
      <c r="BS266" s="43"/>
      <c r="BT266" s="43"/>
      <c r="BU266" s="43"/>
      <c r="BV266" s="43"/>
      <c r="BW266" s="43"/>
      <c r="BX266" s="43"/>
      <c r="BY266" s="43"/>
      <c r="BZ266" s="43"/>
      <c r="CA266" s="43"/>
      <c r="CB266" s="43"/>
      <c r="CC266" s="43"/>
      <c r="CD266" s="43"/>
      <c r="CE266" s="43"/>
      <c r="CF266" s="43"/>
      <c r="CG266" s="43"/>
      <c r="CH266" s="43"/>
      <c r="CI266" s="43"/>
      <c r="CJ266" s="43"/>
      <c r="CK266" s="43"/>
      <c r="CL266" s="43"/>
      <c r="CM266" s="43"/>
      <c r="CN266" s="43"/>
      <c r="CO266" s="43"/>
      <c r="CP266" s="43"/>
      <c r="CQ266" s="43"/>
      <c r="CR266" s="43"/>
      <c r="CS266" s="43"/>
      <c r="CT266" s="43"/>
      <c r="CU266" s="43"/>
      <c r="CV266" s="43"/>
      <c r="CW266" s="43"/>
      <c r="CX266" s="43"/>
      <c r="CY266" s="43"/>
      <c r="CZ266" s="43"/>
      <c r="DA266" s="43"/>
      <c r="DB266" s="43"/>
      <c r="DC266" s="43"/>
      <c r="DD266" s="43"/>
      <c r="DE266" s="43"/>
      <c r="DF266" s="43"/>
      <c r="DG266" s="43"/>
      <c r="DH266" s="43"/>
      <c r="DI266" s="43"/>
      <c r="DJ266" s="43"/>
      <c r="DK266" s="43"/>
      <c r="DL266" s="43"/>
      <c r="DM266" s="43"/>
      <c r="DN266" s="43"/>
      <c r="DO266" s="43"/>
      <c r="DP266" s="43"/>
      <c r="DQ266" s="43"/>
      <c r="DR266" s="43"/>
      <c r="DS266" s="43"/>
    </row>
    <row r="267" spans="1:123" ht="14.45">
      <c r="A267"/>
      <c r="B267"/>
      <c r="C267"/>
      <c r="D267"/>
      <c r="E267"/>
      <c r="F267"/>
      <c r="G267"/>
      <c r="H267"/>
      <c r="I267"/>
      <c r="J267"/>
      <c r="K267" s="43"/>
      <c r="L267" s="43"/>
      <c r="M267" s="43"/>
      <c r="N267" s="43"/>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c r="AR267" s="43"/>
      <c r="AS267" s="43"/>
      <c r="AT267" s="43"/>
      <c r="AU267" s="43"/>
      <c r="AV267" s="43"/>
      <c r="AW267" s="43"/>
      <c r="AX267" s="43"/>
      <c r="AY267" s="43"/>
      <c r="AZ267" s="43"/>
      <c r="BA267" s="43"/>
      <c r="BB267" s="43"/>
      <c r="BC267" s="43"/>
      <c r="BD267" s="43"/>
      <c r="BE267" s="43"/>
      <c r="BF267" s="43"/>
      <c r="BG267" s="43"/>
      <c r="BH267" s="43"/>
      <c r="BI267" s="43"/>
      <c r="BJ267" s="43"/>
      <c r="BK267" s="43"/>
      <c r="BL267" s="43"/>
      <c r="BM267" s="43"/>
      <c r="BN267" s="43"/>
      <c r="BO267" s="43"/>
      <c r="BP267" s="43"/>
      <c r="BQ267" s="43"/>
      <c r="BR267" s="43"/>
      <c r="BS267" s="43"/>
      <c r="BT267" s="43"/>
      <c r="BU267" s="43"/>
      <c r="BV267" s="43"/>
      <c r="BW267" s="43"/>
      <c r="BX267" s="43"/>
      <c r="BY267" s="43"/>
      <c r="BZ267" s="43"/>
      <c r="CA267" s="43"/>
      <c r="CB267" s="43"/>
      <c r="CC267" s="43"/>
      <c r="CD267" s="43"/>
      <c r="CE267" s="43"/>
      <c r="CF267" s="43"/>
      <c r="CG267" s="43"/>
      <c r="CH267" s="43"/>
      <c r="CI267" s="43"/>
      <c r="CJ267" s="43"/>
      <c r="CK267" s="43"/>
      <c r="CL267" s="43"/>
      <c r="CM267" s="43"/>
      <c r="CN267" s="43"/>
      <c r="CO267" s="43"/>
      <c r="CP267" s="43"/>
      <c r="CQ267" s="43"/>
      <c r="CR267" s="43"/>
      <c r="CS267" s="43"/>
      <c r="CT267" s="43"/>
      <c r="CU267" s="43"/>
      <c r="CV267" s="43"/>
      <c r="CW267" s="43"/>
      <c r="CX267" s="43"/>
      <c r="CY267" s="43"/>
      <c r="CZ267" s="43"/>
      <c r="DA267" s="43"/>
      <c r="DB267" s="43"/>
      <c r="DC267" s="43"/>
      <c r="DD267" s="43"/>
      <c r="DE267" s="43"/>
      <c r="DF267" s="43"/>
      <c r="DG267" s="43"/>
      <c r="DH267" s="43"/>
      <c r="DI267" s="43"/>
      <c r="DJ267" s="43"/>
      <c r="DK267" s="43"/>
      <c r="DL267" s="43"/>
      <c r="DM267" s="43"/>
      <c r="DN267" s="43"/>
      <c r="DO267" s="43"/>
      <c r="DP267" s="43"/>
      <c r="DQ267" s="43"/>
      <c r="DR267" s="43"/>
      <c r="DS267" s="43"/>
    </row>
    <row r="268" spans="1:123" ht="14.45">
      <c r="A268"/>
      <c r="B268"/>
      <c r="C268"/>
      <c r="D268"/>
      <c r="E268"/>
      <c r="F268"/>
      <c r="G268"/>
      <c r="H268"/>
      <c r="I268"/>
      <c r="J268"/>
      <c r="K268" s="43"/>
      <c r="L268" s="43"/>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3"/>
      <c r="BM268" s="43"/>
      <c r="BN268" s="43"/>
      <c r="BO268" s="43"/>
      <c r="BP268" s="43"/>
      <c r="BQ268" s="43"/>
      <c r="BR268" s="43"/>
      <c r="BS268" s="43"/>
      <c r="BT268" s="43"/>
      <c r="BU268" s="43"/>
      <c r="BV268" s="43"/>
      <c r="BW268" s="43"/>
      <c r="BX268" s="43"/>
      <c r="BY268" s="43"/>
      <c r="BZ268" s="43"/>
      <c r="CA268" s="43"/>
      <c r="CB268" s="43"/>
      <c r="CC268" s="43"/>
      <c r="CD268" s="43"/>
      <c r="CE268" s="43"/>
      <c r="CF268" s="43"/>
      <c r="CG268" s="43"/>
      <c r="CH268" s="43"/>
      <c r="CI268" s="43"/>
      <c r="CJ268" s="43"/>
      <c r="CK268" s="43"/>
      <c r="CL268" s="43"/>
      <c r="CM268" s="43"/>
      <c r="CN268" s="43"/>
      <c r="CO268" s="43"/>
      <c r="CP268" s="43"/>
      <c r="CQ268" s="43"/>
      <c r="CR268" s="43"/>
      <c r="CS268" s="43"/>
      <c r="CT268" s="43"/>
      <c r="CU268" s="43"/>
      <c r="CV268" s="43"/>
      <c r="CW268" s="43"/>
      <c r="CX268" s="43"/>
      <c r="CY268" s="43"/>
      <c r="CZ268" s="43"/>
      <c r="DA268" s="43"/>
      <c r="DB268" s="43"/>
      <c r="DC268" s="43"/>
      <c r="DD268" s="43"/>
      <c r="DE268" s="43"/>
      <c r="DF268" s="43"/>
      <c r="DG268" s="43"/>
      <c r="DH268" s="43"/>
      <c r="DI268" s="43"/>
      <c r="DJ268" s="43"/>
      <c r="DK268" s="43"/>
      <c r="DL268" s="43"/>
      <c r="DM268" s="43"/>
      <c r="DN268" s="43"/>
      <c r="DO268" s="43"/>
      <c r="DP268" s="43"/>
      <c r="DQ268" s="43"/>
      <c r="DR268" s="43"/>
      <c r="DS268" s="43"/>
    </row>
    <row r="269" spans="1:123" ht="14.45">
      <c r="A269"/>
      <c r="B269"/>
      <c r="C269"/>
      <c r="D269"/>
      <c r="E269"/>
      <c r="F269"/>
      <c r="G269"/>
      <c r="H269"/>
      <c r="I269"/>
      <c r="J269"/>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43"/>
      <c r="AV269" s="43"/>
      <c r="AW269" s="43"/>
      <c r="AX269" s="43"/>
      <c r="AY269" s="43"/>
      <c r="AZ269" s="43"/>
      <c r="BA269" s="43"/>
      <c r="BB269" s="43"/>
      <c r="BC269" s="43"/>
      <c r="BD269" s="43"/>
      <c r="BE269" s="43"/>
      <c r="BF269" s="43"/>
      <c r="BG269" s="43"/>
      <c r="BH269" s="43"/>
      <c r="BI269" s="43"/>
      <c r="BJ269" s="43"/>
      <c r="BK269" s="43"/>
      <c r="BL269" s="43"/>
      <c r="BM269" s="43"/>
      <c r="BN269" s="43"/>
      <c r="BO269" s="43"/>
      <c r="BP269" s="43"/>
      <c r="BQ269" s="43"/>
      <c r="BR269" s="43"/>
      <c r="BS269" s="43"/>
      <c r="BT269" s="43"/>
      <c r="BU269" s="43"/>
      <c r="BV269" s="43"/>
      <c r="BW269" s="43"/>
      <c r="BX269" s="43"/>
      <c r="BY269" s="43"/>
      <c r="BZ269" s="43"/>
      <c r="CA269" s="43"/>
      <c r="CB269" s="43"/>
      <c r="CC269" s="43"/>
      <c r="CD269" s="43"/>
      <c r="CE269" s="43"/>
      <c r="CF269" s="43"/>
      <c r="CG269" s="43"/>
      <c r="CH269" s="43"/>
      <c r="CI269" s="43"/>
      <c r="CJ269" s="43"/>
      <c r="CK269" s="43"/>
      <c r="CL269" s="43"/>
      <c r="CM269" s="43"/>
      <c r="CN269" s="43"/>
      <c r="CO269" s="43"/>
      <c r="CP269" s="43"/>
      <c r="CQ269" s="43"/>
      <c r="CR269" s="43"/>
      <c r="CS269" s="43"/>
      <c r="CT269" s="43"/>
      <c r="CU269" s="43"/>
      <c r="CV269" s="43"/>
      <c r="CW269" s="43"/>
      <c r="CX269" s="43"/>
      <c r="CY269" s="43"/>
      <c r="CZ269" s="43"/>
      <c r="DA269" s="43"/>
      <c r="DB269" s="43"/>
      <c r="DC269" s="43"/>
      <c r="DD269" s="43"/>
      <c r="DE269" s="43"/>
      <c r="DF269" s="43"/>
      <c r="DG269" s="43"/>
      <c r="DH269" s="43"/>
      <c r="DI269" s="43"/>
      <c r="DJ269" s="43"/>
      <c r="DK269" s="43"/>
      <c r="DL269" s="43"/>
      <c r="DM269" s="43"/>
      <c r="DN269" s="43"/>
      <c r="DO269" s="43"/>
      <c r="DP269" s="43"/>
      <c r="DQ269" s="43"/>
      <c r="DR269" s="43"/>
      <c r="DS269" s="43"/>
    </row>
    <row r="270" spans="1:123" ht="14.45">
      <c r="A270"/>
      <c r="B270"/>
      <c r="C270"/>
      <c r="D270"/>
      <c r="E270"/>
      <c r="F270"/>
      <c r="G270"/>
      <c r="H270"/>
      <c r="I270"/>
      <c r="J270"/>
      <c r="K270" s="43"/>
      <c r="L270" s="43"/>
      <c r="M270" s="43"/>
      <c r="N270" s="43"/>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43"/>
      <c r="AV270" s="43"/>
      <c r="AW270" s="43"/>
      <c r="AX270" s="43"/>
      <c r="AY270" s="43"/>
      <c r="AZ270" s="43"/>
      <c r="BA270" s="43"/>
      <c r="BB270" s="43"/>
      <c r="BC270" s="43"/>
      <c r="BD270" s="43"/>
      <c r="BE270" s="43"/>
      <c r="BF270" s="43"/>
      <c r="BG270" s="43"/>
      <c r="BH270" s="43"/>
      <c r="BI270" s="43"/>
      <c r="BJ270" s="43"/>
      <c r="BK270" s="43"/>
      <c r="BL270" s="43"/>
      <c r="BM270" s="43"/>
      <c r="BN270" s="43"/>
      <c r="BO270" s="43"/>
      <c r="BP270" s="43"/>
      <c r="BQ270" s="43"/>
      <c r="BR270" s="43"/>
      <c r="BS270" s="43"/>
      <c r="BT270" s="43"/>
      <c r="BU270" s="43"/>
      <c r="BV270" s="43"/>
      <c r="BW270" s="43"/>
      <c r="BX270" s="43"/>
      <c r="BY270" s="43"/>
      <c r="BZ270" s="43"/>
      <c r="CA270" s="43"/>
      <c r="CB270" s="43"/>
      <c r="CC270" s="43"/>
      <c r="CD270" s="43"/>
      <c r="CE270" s="43"/>
      <c r="CF270" s="43"/>
      <c r="CG270" s="43"/>
      <c r="CH270" s="43"/>
      <c r="CI270" s="43"/>
      <c r="CJ270" s="43"/>
      <c r="CK270" s="43"/>
      <c r="CL270" s="43"/>
      <c r="CM270" s="43"/>
      <c r="CN270" s="43"/>
      <c r="CO270" s="43"/>
      <c r="CP270" s="43"/>
      <c r="CQ270" s="43"/>
      <c r="CR270" s="43"/>
      <c r="CS270" s="43"/>
      <c r="CT270" s="43"/>
      <c r="CU270" s="43"/>
      <c r="CV270" s="43"/>
      <c r="CW270" s="43"/>
      <c r="CX270" s="43"/>
      <c r="CY270" s="43"/>
      <c r="CZ270" s="43"/>
      <c r="DA270" s="43"/>
      <c r="DB270" s="43"/>
      <c r="DC270" s="43"/>
      <c r="DD270" s="43"/>
      <c r="DE270" s="43"/>
      <c r="DF270" s="43"/>
      <c r="DG270" s="43"/>
      <c r="DH270" s="43"/>
      <c r="DI270" s="43"/>
      <c r="DJ270" s="43"/>
      <c r="DK270" s="43"/>
      <c r="DL270" s="43"/>
      <c r="DM270" s="43"/>
      <c r="DN270" s="43"/>
      <c r="DO270" s="43"/>
      <c r="DP270" s="43"/>
      <c r="DQ270" s="43"/>
      <c r="DR270" s="43"/>
      <c r="DS270" s="43"/>
    </row>
    <row r="271" spans="1:123" ht="14.45">
      <c r="A271"/>
      <c r="B271"/>
      <c r="C271"/>
      <c r="D271"/>
      <c r="E271"/>
      <c r="F271"/>
      <c r="G271"/>
      <c r="H271"/>
      <c r="I271"/>
      <c r="J271"/>
      <c r="K271" s="43"/>
      <c r="L271" s="43"/>
      <c r="M271" s="43"/>
      <c r="N271" s="43"/>
      <c r="O271" s="43"/>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c r="AM271" s="43"/>
      <c r="AN271" s="43"/>
      <c r="AO271" s="43"/>
      <c r="AP271" s="43"/>
      <c r="AQ271" s="43"/>
      <c r="AR271" s="43"/>
      <c r="AS271" s="43"/>
      <c r="AT271" s="43"/>
      <c r="AU271" s="43"/>
      <c r="AV271" s="43"/>
      <c r="AW271" s="43"/>
      <c r="AX271" s="43"/>
      <c r="AY271" s="43"/>
      <c r="AZ271" s="43"/>
      <c r="BA271" s="43"/>
      <c r="BB271" s="43"/>
      <c r="BC271" s="43"/>
      <c r="BD271" s="43"/>
      <c r="BE271" s="43"/>
      <c r="BF271" s="43"/>
      <c r="BG271" s="43"/>
      <c r="BH271" s="43"/>
      <c r="BI271" s="43"/>
      <c r="BJ271" s="43"/>
      <c r="BK271" s="43"/>
      <c r="BL271" s="43"/>
      <c r="BM271" s="43"/>
      <c r="BN271" s="43"/>
      <c r="BO271" s="43"/>
      <c r="BP271" s="43"/>
      <c r="BQ271" s="43"/>
      <c r="BR271" s="43"/>
      <c r="BS271" s="43"/>
      <c r="BT271" s="43"/>
      <c r="BU271" s="43"/>
      <c r="BV271" s="43"/>
      <c r="BW271" s="43"/>
      <c r="BX271" s="43"/>
      <c r="BY271" s="43"/>
      <c r="BZ271" s="43"/>
      <c r="CA271" s="43"/>
      <c r="CB271" s="43"/>
      <c r="CC271" s="43"/>
      <c r="CD271" s="43"/>
      <c r="CE271" s="43"/>
      <c r="CF271" s="43"/>
      <c r="CG271" s="43"/>
      <c r="CH271" s="43"/>
      <c r="CI271" s="43"/>
      <c r="CJ271" s="43"/>
      <c r="CK271" s="43"/>
      <c r="CL271" s="43"/>
      <c r="CM271" s="43"/>
      <c r="CN271" s="43"/>
      <c r="CO271" s="43"/>
      <c r="CP271" s="43"/>
      <c r="CQ271" s="43"/>
      <c r="CR271" s="43"/>
      <c r="CS271" s="43"/>
      <c r="CT271" s="43"/>
      <c r="CU271" s="43"/>
      <c r="CV271" s="43"/>
      <c r="CW271" s="43"/>
      <c r="CX271" s="43"/>
      <c r="CY271" s="43"/>
      <c r="CZ271" s="43"/>
      <c r="DA271" s="43"/>
      <c r="DB271" s="43"/>
      <c r="DC271" s="43"/>
      <c r="DD271" s="43"/>
      <c r="DE271" s="43"/>
      <c r="DF271" s="43"/>
      <c r="DG271" s="43"/>
      <c r="DH271" s="43"/>
      <c r="DI271" s="43"/>
      <c r="DJ271" s="43"/>
      <c r="DK271" s="43"/>
      <c r="DL271" s="43"/>
      <c r="DM271" s="43"/>
      <c r="DN271" s="43"/>
      <c r="DO271" s="43"/>
      <c r="DP271" s="43"/>
      <c r="DQ271" s="43"/>
      <c r="DR271" s="43"/>
      <c r="DS271" s="43"/>
    </row>
    <row r="272" spans="1:123" ht="14.45">
      <c r="A272"/>
      <c r="B272"/>
      <c r="C272"/>
      <c r="D272"/>
      <c r="E272"/>
      <c r="F272"/>
      <c r="G272"/>
      <c r="H272"/>
      <c r="I272"/>
      <c r="J272"/>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c r="AR272" s="43"/>
      <c r="AS272" s="43"/>
      <c r="AT272" s="43"/>
      <c r="AU272" s="43"/>
      <c r="AV272" s="43"/>
      <c r="AW272" s="43"/>
      <c r="AX272" s="43"/>
      <c r="AY272" s="43"/>
      <c r="AZ272" s="43"/>
      <c r="BA272" s="43"/>
      <c r="BB272" s="43"/>
      <c r="BC272" s="43"/>
      <c r="BD272" s="43"/>
      <c r="BE272" s="43"/>
      <c r="BF272" s="43"/>
      <c r="BG272" s="43"/>
      <c r="BH272" s="43"/>
      <c r="BI272" s="43"/>
      <c r="BJ272" s="43"/>
      <c r="BK272" s="43"/>
      <c r="BL272" s="43"/>
      <c r="BM272" s="43"/>
      <c r="BN272" s="43"/>
      <c r="BO272" s="43"/>
      <c r="BP272" s="43"/>
      <c r="BQ272" s="43"/>
      <c r="BR272" s="43"/>
      <c r="BS272" s="43"/>
      <c r="BT272" s="43"/>
      <c r="BU272" s="43"/>
      <c r="BV272" s="43"/>
      <c r="BW272" s="43"/>
      <c r="BX272" s="43"/>
      <c r="BY272" s="43"/>
      <c r="BZ272" s="43"/>
      <c r="CA272" s="43"/>
      <c r="CB272" s="43"/>
      <c r="CC272" s="43"/>
      <c r="CD272" s="43"/>
      <c r="CE272" s="43"/>
      <c r="CF272" s="43"/>
      <c r="CG272" s="43"/>
      <c r="CH272" s="43"/>
      <c r="CI272" s="43"/>
      <c r="CJ272" s="43"/>
      <c r="CK272" s="43"/>
      <c r="CL272" s="43"/>
      <c r="CM272" s="43"/>
      <c r="CN272" s="43"/>
      <c r="CO272" s="43"/>
      <c r="CP272" s="43"/>
      <c r="CQ272" s="43"/>
      <c r="CR272" s="43"/>
      <c r="CS272" s="43"/>
      <c r="CT272" s="43"/>
      <c r="CU272" s="43"/>
      <c r="CV272" s="43"/>
      <c r="CW272" s="43"/>
      <c r="CX272" s="43"/>
      <c r="CY272" s="43"/>
      <c r="CZ272" s="43"/>
      <c r="DA272" s="43"/>
      <c r="DB272" s="43"/>
      <c r="DC272" s="43"/>
      <c r="DD272" s="43"/>
      <c r="DE272" s="43"/>
      <c r="DF272" s="43"/>
      <c r="DG272" s="43"/>
      <c r="DH272" s="43"/>
      <c r="DI272" s="43"/>
      <c r="DJ272" s="43"/>
      <c r="DK272" s="43"/>
      <c r="DL272" s="43"/>
      <c r="DM272" s="43"/>
      <c r="DN272" s="43"/>
      <c r="DO272" s="43"/>
      <c r="DP272" s="43"/>
      <c r="DQ272" s="43"/>
      <c r="DR272" s="43"/>
      <c r="DS272" s="43"/>
    </row>
    <row r="273" spans="1:123" ht="14.45">
      <c r="A273"/>
      <c r="B273"/>
      <c r="C273"/>
      <c r="D273"/>
      <c r="E273"/>
      <c r="F273"/>
      <c r="G273"/>
      <c r="H273"/>
      <c r="I273"/>
      <c r="J273"/>
      <c r="K273" s="43"/>
      <c r="L273" s="43"/>
      <c r="M273" s="43"/>
      <c r="N273" s="43"/>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c r="AR273" s="43"/>
      <c r="AS273" s="43"/>
      <c r="AT273" s="43"/>
      <c r="AU273" s="43"/>
      <c r="AV273" s="43"/>
      <c r="AW273" s="43"/>
      <c r="AX273" s="43"/>
      <c r="AY273" s="43"/>
      <c r="AZ273" s="43"/>
      <c r="BA273" s="43"/>
      <c r="BB273" s="43"/>
      <c r="BC273" s="43"/>
      <c r="BD273" s="43"/>
      <c r="BE273" s="43"/>
      <c r="BF273" s="43"/>
      <c r="BG273" s="43"/>
      <c r="BH273" s="43"/>
      <c r="BI273" s="43"/>
      <c r="BJ273" s="43"/>
      <c r="BK273" s="43"/>
      <c r="BL273" s="43"/>
      <c r="BM273" s="43"/>
      <c r="BN273" s="43"/>
      <c r="BO273" s="43"/>
      <c r="BP273" s="43"/>
      <c r="BQ273" s="43"/>
      <c r="BR273" s="43"/>
      <c r="BS273" s="43"/>
      <c r="BT273" s="43"/>
      <c r="BU273" s="43"/>
      <c r="BV273" s="43"/>
      <c r="BW273" s="43"/>
      <c r="BX273" s="43"/>
      <c r="BY273" s="43"/>
      <c r="BZ273" s="43"/>
      <c r="CA273" s="43"/>
      <c r="CB273" s="43"/>
      <c r="CC273" s="43"/>
      <c r="CD273" s="43"/>
      <c r="CE273" s="43"/>
      <c r="CF273" s="43"/>
      <c r="CG273" s="43"/>
      <c r="CH273" s="43"/>
      <c r="CI273" s="43"/>
      <c r="CJ273" s="43"/>
      <c r="CK273" s="43"/>
      <c r="CL273" s="43"/>
      <c r="CM273" s="43"/>
      <c r="CN273" s="43"/>
      <c r="CO273" s="43"/>
      <c r="CP273" s="43"/>
      <c r="CQ273" s="43"/>
      <c r="CR273" s="43"/>
      <c r="CS273" s="43"/>
      <c r="CT273" s="43"/>
      <c r="CU273" s="43"/>
      <c r="CV273" s="43"/>
      <c r="CW273" s="43"/>
      <c r="CX273" s="43"/>
      <c r="CY273" s="43"/>
      <c r="CZ273" s="43"/>
      <c r="DA273" s="43"/>
      <c r="DB273" s="43"/>
      <c r="DC273" s="43"/>
      <c r="DD273" s="43"/>
      <c r="DE273" s="43"/>
      <c r="DF273" s="43"/>
      <c r="DG273" s="43"/>
      <c r="DH273" s="43"/>
      <c r="DI273" s="43"/>
      <c r="DJ273" s="43"/>
      <c r="DK273" s="43"/>
      <c r="DL273" s="43"/>
      <c r="DM273" s="43"/>
      <c r="DN273" s="43"/>
      <c r="DO273" s="43"/>
      <c r="DP273" s="43"/>
      <c r="DQ273" s="43"/>
      <c r="DR273" s="43"/>
      <c r="DS273" s="43"/>
    </row>
    <row r="274" spans="1:123" ht="14.45">
      <c r="A274"/>
      <c r="B274"/>
      <c r="C274"/>
      <c r="D274"/>
      <c r="E274"/>
      <c r="F274"/>
      <c r="G274"/>
      <c r="H274"/>
      <c r="I274"/>
      <c r="J274"/>
      <c r="K274" s="43"/>
      <c r="L274" s="43"/>
      <c r="M274" s="43"/>
      <c r="N274" s="43"/>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c r="BO274" s="43"/>
      <c r="BP274" s="43"/>
      <c r="BQ274" s="43"/>
      <c r="BR274" s="43"/>
      <c r="BS274" s="43"/>
      <c r="BT274" s="43"/>
      <c r="BU274" s="43"/>
      <c r="BV274" s="43"/>
      <c r="BW274" s="43"/>
      <c r="BX274" s="43"/>
      <c r="BY274" s="43"/>
      <c r="BZ274" s="43"/>
      <c r="CA274" s="43"/>
      <c r="CB274" s="43"/>
      <c r="CC274" s="43"/>
      <c r="CD274" s="43"/>
      <c r="CE274" s="43"/>
      <c r="CF274" s="43"/>
      <c r="CG274" s="43"/>
      <c r="CH274" s="43"/>
      <c r="CI274" s="43"/>
      <c r="CJ274" s="43"/>
      <c r="CK274" s="43"/>
      <c r="CL274" s="43"/>
      <c r="CM274" s="43"/>
      <c r="CN274" s="43"/>
      <c r="CO274" s="43"/>
      <c r="CP274" s="43"/>
      <c r="CQ274" s="43"/>
      <c r="CR274" s="43"/>
      <c r="CS274" s="43"/>
      <c r="CT274" s="43"/>
      <c r="CU274" s="43"/>
      <c r="CV274" s="43"/>
      <c r="CW274" s="43"/>
      <c r="CX274" s="43"/>
      <c r="CY274" s="43"/>
      <c r="CZ274" s="43"/>
      <c r="DA274" s="43"/>
      <c r="DB274" s="43"/>
      <c r="DC274" s="43"/>
      <c r="DD274" s="43"/>
      <c r="DE274" s="43"/>
      <c r="DF274" s="43"/>
      <c r="DG274" s="43"/>
      <c r="DH274" s="43"/>
      <c r="DI274" s="43"/>
      <c r="DJ274" s="43"/>
      <c r="DK274" s="43"/>
      <c r="DL274" s="43"/>
      <c r="DM274" s="43"/>
      <c r="DN274" s="43"/>
      <c r="DO274" s="43"/>
      <c r="DP274" s="43"/>
      <c r="DQ274" s="43"/>
      <c r="DR274" s="43"/>
      <c r="DS274" s="43"/>
    </row>
    <row r="275" spans="1:123" ht="14.45">
      <c r="A275"/>
      <c r="B275"/>
      <c r="C275"/>
      <c r="D275"/>
      <c r="E275"/>
      <c r="F275"/>
      <c r="G275"/>
      <c r="H275"/>
      <c r="I275"/>
      <c r="J275"/>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43"/>
      <c r="AV275" s="43"/>
      <c r="AW275" s="43"/>
      <c r="AX275" s="43"/>
      <c r="AY275" s="43"/>
      <c r="AZ275" s="43"/>
      <c r="BA275" s="43"/>
      <c r="BB275" s="43"/>
      <c r="BC275" s="43"/>
      <c r="BD275" s="43"/>
      <c r="BE275" s="43"/>
      <c r="BF275" s="43"/>
      <c r="BG275" s="43"/>
      <c r="BH275" s="43"/>
      <c r="BI275" s="43"/>
      <c r="BJ275" s="43"/>
      <c r="BK275" s="43"/>
      <c r="BL275" s="43"/>
      <c r="BM275" s="43"/>
      <c r="BN275" s="43"/>
      <c r="BO275" s="43"/>
      <c r="BP275" s="43"/>
      <c r="BQ275" s="43"/>
      <c r="BR275" s="43"/>
      <c r="BS275" s="43"/>
      <c r="BT275" s="43"/>
      <c r="BU275" s="43"/>
      <c r="BV275" s="43"/>
      <c r="BW275" s="43"/>
      <c r="BX275" s="43"/>
      <c r="BY275" s="43"/>
      <c r="BZ275" s="43"/>
      <c r="CA275" s="43"/>
      <c r="CB275" s="43"/>
      <c r="CC275" s="43"/>
      <c r="CD275" s="43"/>
      <c r="CE275" s="43"/>
      <c r="CF275" s="43"/>
      <c r="CG275" s="43"/>
      <c r="CH275" s="43"/>
      <c r="CI275" s="43"/>
      <c r="CJ275" s="43"/>
      <c r="CK275" s="43"/>
      <c r="CL275" s="43"/>
      <c r="CM275" s="43"/>
      <c r="CN275" s="43"/>
      <c r="CO275" s="43"/>
      <c r="CP275" s="43"/>
      <c r="CQ275" s="43"/>
      <c r="CR275" s="43"/>
      <c r="CS275" s="43"/>
      <c r="CT275" s="43"/>
      <c r="CU275" s="43"/>
      <c r="CV275" s="43"/>
      <c r="CW275" s="43"/>
      <c r="CX275" s="43"/>
      <c r="CY275" s="43"/>
      <c r="CZ275" s="43"/>
      <c r="DA275" s="43"/>
      <c r="DB275" s="43"/>
      <c r="DC275" s="43"/>
      <c r="DD275" s="43"/>
      <c r="DE275" s="43"/>
      <c r="DF275" s="43"/>
      <c r="DG275" s="43"/>
      <c r="DH275" s="43"/>
      <c r="DI275" s="43"/>
      <c r="DJ275" s="43"/>
      <c r="DK275" s="43"/>
      <c r="DL275" s="43"/>
      <c r="DM275" s="43"/>
      <c r="DN275" s="43"/>
      <c r="DO275" s="43"/>
      <c r="DP275" s="43"/>
      <c r="DQ275" s="43"/>
      <c r="DR275" s="43"/>
      <c r="DS275" s="43"/>
    </row>
    <row r="276" spans="1:123" ht="14.45">
      <c r="A276"/>
      <c r="B276"/>
      <c r="C276"/>
      <c r="D276"/>
      <c r="E276"/>
      <c r="F276"/>
      <c r="G276"/>
      <c r="H276"/>
      <c r="I276"/>
      <c r="J276"/>
      <c r="K276" s="43"/>
      <c r="L276" s="43"/>
      <c r="M276" s="43"/>
      <c r="N276" s="43"/>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43"/>
      <c r="AV276" s="43"/>
      <c r="AW276" s="43"/>
      <c r="AX276" s="43"/>
      <c r="AY276" s="43"/>
      <c r="AZ276" s="43"/>
      <c r="BA276" s="43"/>
      <c r="BB276" s="43"/>
      <c r="BC276" s="43"/>
      <c r="BD276" s="43"/>
      <c r="BE276" s="43"/>
      <c r="BF276" s="43"/>
      <c r="BG276" s="43"/>
      <c r="BH276" s="43"/>
      <c r="BI276" s="43"/>
      <c r="BJ276" s="43"/>
      <c r="BK276" s="43"/>
      <c r="BL276" s="43"/>
      <c r="BM276" s="43"/>
      <c r="BN276" s="43"/>
      <c r="BO276" s="43"/>
      <c r="BP276" s="43"/>
      <c r="BQ276" s="43"/>
      <c r="BR276" s="43"/>
      <c r="BS276" s="43"/>
      <c r="BT276" s="43"/>
      <c r="BU276" s="43"/>
      <c r="BV276" s="43"/>
      <c r="BW276" s="43"/>
      <c r="BX276" s="43"/>
      <c r="BY276" s="43"/>
      <c r="BZ276" s="43"/>
      <c r="CA276" s="43"/>
      <c r="CB276" s="43"/>
      <c r="CC276" s="43"/>
      <c r="CD276" s="43"/>
      <c r="CE276" s="43"/>
      <c r="CF276" s="43"/>
      <c r="CG276" s="43"/>
      <c r="CH276" s="43"/>
      <c r="CI276" s="43"/>
      <c r="CJ276" s="43"/>
      <c r="CK276" s="43"/>
      <c r="CL276" s="43"/>
      <c r="CM276" s="43"/>
      <c r="CN276" s="43"/>
      <c r="CO276" s="43"/>
      <c r="CP276" s="43"/>
      <c r="CQ276" s="43"/>
      <c r="CR276" s="43"/>
      <c r="CS276" s="43"/>
      <c r="CT276" s="43"/>
      <c r="CU276" s="43"/>
      <c r="CV276" s="43"/>
      <c r="CW276" s="43"/>
      <c r="CX276" s="43"/>
      <c r="CY276" s="43"/>
      <c r="CZ276" s="43"/>
      <c r="DA276" s="43"/>
      <c r="DB276" s="43"/>
      <c r="DC276" s="43"/>
      <c r="DD276" s="43"/>
      <c r="DE276" s="43"/>
      <c r="DF276" s="43"/>
      <c r="DG276" s="43"/>
      <c r="DH276" s="43"/>
      <c r="DI276" s="43"/>
      <c r="DJ276" s="43"/>
      <c r="DK276" s="43"/>
      <c r="DL276" s="43"/>
      <c r="DM276" s="43"/>
      <c r="DN276" s="43"/>
      <c r="DO276" s="43"/>
      <c r="DP276" s="43"/>
      <c r="DQ276" s="43"/>
      <c r="DR276" s="43"/>
      <c r="DS276" s="43"/>
    </row>
    <row r="277" spans="1:123" ht="14.45">
      <c r="A277"/>
      <c r="B277"/>
      <c r="C277"/>
      <c r="D277"/>
      <c r="E277"/>
      <c r="F277"/>
      <c r="G277"/>
      <c r="H277"/>
      <c r="I277"/>
      <c r="J277"/>
      <c r="K277" s="43"/>
      <c r="L277" s="43"/>
      <c r="M277" s="43"/>
      <c r="N277" s="43"/>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43"/>
      <c r="AT277" s="43"/>
      <c r="AU277" s="43"/>
      <c r="AV277" s="43"/>
      <c r="AW277" s="43"/>
      <c r="AX277" s="43"/>
      <c r="AY277" s="43"/>
      <c r="AZ277" s="43"/>
      <c r="BA277" s="43"/>
      <c r="BB277" s="43"/>
      <c r="BC277" s="43"/>
      <c r="BD277" s="43"/>
      <c r="BE277" s="43"/>
      <c r="BF277" s="43"/>
      <c r="BG277" s="43"/>
      <c r="BH277" s="43"/>
      <c r="BI277" s="43"/>
      <c r="BJ277" s="43"/>
      <c r="BK277" s="43"/>
      <c r="BL277" s="43"/>
      <c r="BM277" s="43"/>
      <c r="BN277" s="43"/>
      <c r="BO277" s="43"/>
      <c r="BP277" s="43"/>
      <c r="BQ277" s="43"/>
      <c r="BR277" s="43"/>
      <c r="BS277" s="43"/>
      <c r="BT277" s="43"/>
      <c r="BU277" s="43"/>
      <c r="BV277" s="43"/>
      <c r="BW277" s="43"/>
      <c r="BX277" s="43"/>
      <c r="BY277" s="43"/>
      <c r="BZ277" s="43"/>
      <c r="CA277" s="43"/>
      <c r="CB277" s="43"/>
      <c r="CC277" s="43"/>
      <c r="CD277" s="43"/>
      <c r="CE277" s="43"/>
      <c r="CF277" s="43"/>
      <c r="CG277" s="43"/>
      <c r="CH277" s="43"/>
      <c r="CI277" s="43"/>
      <c r="CJ277" s="43"/>
      <c r="CK277" s="43"/>
      <c r="CL277" s="43"/>
      <c r="CM277" s="43"/>
      <c r="CN277" s="43"/>
      <c r="CO277" s="43"/>
      <c r="CP277" s="43"/>
      <c r="CQ277" s="43"/>
      <c r="CR277" s="43"/>
      <c r="CS277" s="43"/>
      <c r="CT277" s="43"/>
      <c r="CU277" s="43"/>
      <c r="CV277" s="43"/>
      <c r="CW277" s="43"/>
      <c r="CX277" s="43"/>
      <c r="CY277" s="43"/>
      <c r="CZ277" s="43"/>
      <c r="DA277" s="43"/>
      <c r="DB277" s="43"/>
      <c r="DC277" s="43"/>
      <c r="DD277" s="43"/>
      <c r="DE277" s="43"/>
      <c r="DF277" s="43"/>
      <c r="DG277" s="43"/>
      <c r="DH277" s="43"/>
      <c r="DI277" s="43"/>
      <c r="DJ277" s="43"/>
      <c r="DK277" s="43"/>
      <c r="DL277" s="43"/>
      <c r="DM277" s="43"/>
      <c r="DN277" s="43"/>
      <c r="DO277" s="43"/>
      <c r="DP277" s="43"/>
      <c r="DQ277" s="43"/>
      <c r="DR277" s="43"/>
      <c r="DS277" s="43"/>
    </row>
    <row r="278" spans="1:123" ht="14.45">
      <c r="A278"/>
      <c r="B278"/>
      <c r="C278"/>
      <c r="D278"/>
      <c r="E278"/>
      <c r="F278"/>
      <c r="G278"/>
      <c r="H278"/>
      <c r="I278"/>
      <c r="J278"/>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c r="BO278" s="43"/>
      <c r="BP278" s="43"/>
      <c r="BQ278" s="43"/>
      <c r="BR278" s="43"/>
      <c r="BS278" s="43"/>
      <c r="BT278" s="43"/>
      <c r="BU278" s="43"/>
      <c r="BV278" s="43"/>
      <c r="BW278" s="43"/>
      <c r="BX278" s="43"/>
      <c r="BY278" s="43"/>
      <c r="BZ278" s="43"/>
      <c r="CA278" s="43"/>
      <c r="CB278" s="43"/>
      <c r="CC278" s="43"/>
      <c r="CD278" s="43"/>
      <c r="CE278" s="43"/>
      <c r="CF278" s="43"/>
      <c r="CG278" s="43"/>
      <c r="CH278" s="43"/>
      <c r="CI278" s="43"/>
      <c r="CJ278" s="43"/>
      <c r="CK278" s="43"/>
      <c r="CL278" s="43"/>
      <c r="CM278" s="43"/>
      <c r="CN278" s="43"/>
      <c r="CO278" s="43"/>
      <c r="CP278" s="43"/>
      <c r="CQ278" s="43"/>
      <c r="CR278" s="43"/>
      <c r="CS278" s="43"/>
      <c r="CT278" s="43"/>
      <c r="CU278" s="43"/>
      <c r="CV278" s="43"/>
      <c r="CW278" s="43"/>
      <c r="CX278" s="43"/>
      <c r="CY278" s="43"/>
      <c r="CZ278" s="43"/>
      <c r="DA278" s="43"/>
      <c r="DB278" s="43"/>
      <c r="DC278" s="43"/>
      <c r="DD278" s="43"/>
      <c r="DE278" s="43"/>
      <c r="DF278" s="43"/>
      <c r="DG278" s="43"/>
      <c r="DH278" s="43"/>
      <c r="DI278" s="43"/>
      <c r="DJ278" s="43"/>
      <c r="DK278" s="43"/>
      <c r="DL278" s="43"/>
      <c r="DM278" s="43"/>
      <c r="DN278" s="43"/>
      <c r="DO278" s="43"/>
      <c r="DP278" s="43"/>
      <c r="DQ278" s="43"/>
      <c r="DR278" s="43"/>
      <c r="DS278" s="43"/>
    </row>
    <row r="279" spans="1:123" ht="14.45">
      <c r="A279"/>
      <c r="B279"/>
      <c r="C279"/>
      <c r="D279"/>
      <c r="E279"/>
      <c r="F279"/>
      <c r="G279"/>
      <c r="H279"/>
      <c r="I279"/>
      <c r="J279"/>
      <c r="K279" s="43"/>
      <c r="L279" s="43"/>
      <c r="M279" s="43"/>
      <c r="N279" s="43"/>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c r="AR279" s="43"/>
      <c r="AS279" s="43"/>
      <c r="AT279" s="43"/>
      <c r="AU279" s="43"/>
      <c r="AV279" s="43"/>
      <c r="AW279" s="43"/>
      <c r="AX279" s="43"/>
      <c r="AY279" s="43"/>
      <c r="AZ279" s="43"/>
      <c r="BA279" s="43"/>
      <c r="BB279" s="43"/>
      <c r="BC279" s="43"/>
      <c r="BD279" s="43"/>
      <c r="BE279" s="43"/>
      <c r="BF279" s="43"/>
      <c r="BG279" s="43"/>
      <c r="BH279" s="43"/>
      <c r="BI279" s="43"/>
      <c r="BJ279" s="43"/>
      <c r="BK279" s="43"/>
      <c r="BL279" s="43"/>
      <c r="BM279" s="43"/>
      <c r="BN279" s="43"/>
      <c r="BO279" s="43"/>
      <c r="BP279" s="43"/>
      <c r="BQ279" s="43"/>
      <c r="BR279" s="43"/>
      <c r="BS279" s="43"/>
      <c r="BT279" s="43"/>
      <c r="BU279" s="43"/>
      <c r="BV279" s="43"/>
      <c r="BW279" s="43"/>
      <c r="BX279" s="43"/>
      <c r="BY279" s="43"/>
      <c r="BZ279" s="43"/>
      <c r="CA279" s="43"/>
      <c r="CB279" s="43"/>
      <c r="CC279" s="43"/>
      <c r="CD279" s="43"/>
      <c r="CE279" s="43"/>
      <c r="CF279" s="43"/>
      <c r="CG279" s="43"/>
      <c r="CH279" s="43"/>
      <c r="CI279" s="43"/>
      <c r="CJ279" s="43"/>
      <c r="CK279" s="43"/>
      <c r="CL279" s="43"/>
      <c r="CM279" s="43"/>
      <c r="CN279" s="43"/>
      <c r="CO279" s="43"/>
      <c r="CP279" s="43"/>
      <c r="CQ279" s="43"/>
      <c r="CR279" s="43"/>
      <c r="CS279" s="43"/>
      <c r="CT279" s="43"/>
      <c r="CU279" s="43"/>
      <c r="CV279" s="43"/>
      <c r="CW279" s="43"/>
      <c r="CX279" s="43"/>
      <c r="CY279" s="43"/>
      <c r="CZ279" s="43"/>
      <c r="DA279" s="43"/>
      <c r="DB279" s="43"/>
      <c r="DC279" s="43"/>
      <c r="DD279" s="43"/>
      <c r="DE279" s="43"/>
      <c r="DF279" s="43"/>
      <c r="DG279" s="43"/>
      <c r="DH279" s="43"/>
      <c r="DI279" s="43"/>
      <c r="DJ279" s="43"/>
      <c r="DK279" s="43"/>
      <c r="DL279" s="43"/>
      <c r="DM279" s="43"/>
      <c r="DN279" s="43"/>
      <c r="DO279" s="43"/>
      <c r="DP279" s="43"/>
      <c r="DQ279" s="43"/>
      <c r="DR279" s="43"/>
      <c r="DS279" s="43"/>
    </row>
    <row r="280" spans="1:123" ht="14.45">
      <c r="A280"/>
      <c r="B280"/>
      <c r="C280"/>
      <c r="D280"/>
      <c r="E280"/>
      <c r="F280"/>
      <c r="G280"/>
      <c r="H280"/>
      <c r="I280"/>
      <c r="J280"/>
      <c r="K280" s="43"/>
      <c r="L280" s="43"/>
      <c r="M280" s="43"/>
      <c r="N280" s="43"/>
      <c r="O280" s="43"/>
      <c r="P280" s="43"/>
      <c r="Q280" s="43"/>
      <c r="R280" s="43"/>
      <c r="S280" s="43"/>
      <c r="T280" s="43"/>
      <c r="U280" s="43"/>
      <c r="V280" s="43"/>
      <c r="W280" s="43"/>
      <c r="X280" s="43"/>
      <c r="Y280" s="43"/>
      <c r="Z280" s="43"/>
      <c r="AA280" s="43"/>
      <c r="AB280" s="43"/>
      <c r="AC280" s="43"/>
      <c r="AD280" s="43"/>
      <c r="AE280" s="43"/>
      <c r="AF280" s="43"/>
      <c r="AG280" s="43"/>
      <c r="AH280" s="43"/>
      <c r="AI280" s="43"/>
      <c r="AJ280" s="43"/>
      <c r="AK280" s="43"/>
      <c r="AL280" s="43"/>
      <c r="AM280" s="43"/>
      <c r="AN280" s="43"/>
      <c r="AO280" s="43"/>
      <c r="AP280" s="43"/>
      <c r="AQ280" s="43"/>
      <c r="AR280" s="43"/>
      <c r="AS280" s="43"/>
      <c r="AT280" s="43"/>
      <c r="AU280" s="43"/>
      <c r="AV280" s="43"/>
      <c r="AW280" s="43"/>
      <c r="AX280" s="43"/>
      <c r="AY280" s="43"/>
      <c r="AZ280" s="43"/>
      <c r="BA280" s="43"/>
      <c r="BB280" s="43"/>
      <c r="BC280" s="43"/>
      <c r="BD280" s="43"/>
      <c r="BE280" s="43"/>
      <c r="BF280" s="43"/>
      <c r="BG280" s="43"/>
      <c r="BH280" s="43"/>
      <c r="BI280" s="43"/>
      <c r="BJ280" s="43"/>
      <c r="BK280" s="43"/>
      <c r="BL280" s="43"/>
      <c r="BM280" s="43"/>
      <c r="BN280" s="43"/>
      <c r="BO280" s="43"/>
      <c r="BP280" s="43"/>
      <c r="BQ280" s="43"/>
      <c r="BR280" s="43"/>
      <c r="BS280" s="43"/>
      <c r="BT280" s="43"/>
      <c r="BU280" s="43"/>
      <c r="BV280" s="43"/>
      <c r="BW280" s="43"/>
      <c r="BX280" s="43"/>
      <c r="BY280" s="43"/>
      <c r="BZ280" s="43"/>
      <c r="CA280" s="43"/>
      <c r="CB280" s="43"/>
      <c r="CC280" s="43"/>
      <c r="CD280" s="43"/>
      <c r="CE280" s="43"/>
      <c r="CF280" s="43"/>
      <c r="CG280" s="43"/>
      <c r="CH280" s="43"/>
      <c r="CI280" s="43"/>
      <c r="CJ280" s="43"/>
      <c r="CK280" s="43"/>
      <c r="CL280" s="43"/>
      <c r="CM280" s="43"/>
      <c r="CN280" s="43"/>
      <c r="CO280" s="43"/>
      <c r="CP280" s="43"/>
      <c r="CQ280" s="43"/>
      <c r="CR280" s="43"/>
      <c r="CS280" s="43"/>
      <c r="CT280" s="43"/>
      <c r="CU280" s="43"/>
      <c r="CV280" s="43"/>
      <c r="CW280" s="43"/>
      <c r="CX280" s="43"/>
      <c r="CY280" s="43"/>
      <c r="CZ280" s="43"/>
      <c r="DA280" s="43"/>
      <c r="DB280" s="43"/>
      <c r="DC280" s="43"/>
      <c r="DD280" s="43"/>
      <c r="DE280" s="43"/>
      <c r="DF280" s="43"/>
      <c r="DG280" s="43"/>
      <c r="DH280" s="43"/>
      <c r="DI280" s="43"/>
      <c r="DJ280" s="43"/>
      <c r="DK280" s="43"/>
      <c r="DL280" s="43"/>
      <c r="DM280" s="43"/>
      <c r="DN280" s="43"/>
      <c r="DO280" s="43"/>
      <c r="DP280" s="43"/>
      <c r="DQ280" s="43"/>
      <c r="DR280" s="43"/>
      <c r="DS280" s="43"/>
    </row>
    <row r="281" spans="1:123" ht="14.45">
      <c r="A281"/>
      <c r="B281"/>
      <c r="C281"/>
      <c r="D281"/>
      <c r="E281"/>
      <c r="F281"/>
      <c r="G281"/>
      <c r="H281"/>
      <c r="I281"/>
      <c r="J281"/>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43"/>
      <c r="AQ281" s="43"/>
      <c r="AR281" s="43"/>
      <c r="AS281" s="43"/>
      <c r="AT281" s="43"/>
      <c r="AU281" s="43"/>
      <c r="AV281" s="43"/>
      <c r="AW281" s="43"/>
      <c r="AX281" s="43"/>
      <c r="AY281" s="43"/>
      <c r="AZ281" s="43"/>
      <c r="BA281" s="43"/>
      <c r="BB281" s="43"/>
      <c r="BC281" s="43"/>
      <c r="BD281" s="43"/>
      <c r="BE281" s="43"/>
      <c r="BF281" s="43"/>
      <c r="BG281" s="43"/>
      <c r="BH281" s="43"/>
      <c r="BI281" s="43"/>
      <c r="BJ281" s="43"/>
      <c r="BK281" s="43"/>
      <c r="BL281" s="43"/>
      <c r="BM281" s="43"/>
      <c r="BN281" s="43"/>
      <c r="BO281" s="43"/>
      <c r="BP281" s="43"/>
      <c r="BQ281" s="43"/>
      <c r="BR281" s="43"/>
      <c r="BS281" s="43"/>
      <c r="BT281" s="43"/>
      <c r="BU281" s="43"/>
      <c r="BV281" s="43"/>
      <c r="BW281" s="43"/>
      <c r="BX281" s="43"/>
      <c r="BY281" s="43"/>
      <c r="BZ281" s="43"/>
      <c r="CA281" s="43"/>
      <c r="CB281" s="43"/>
      <c r="CC281" s="43"/>
      <c r="CD281" s="43"/>
      <c r="CE281" s="43"/>
      <c r="CF281" s="43"/>
      <c r="CG281" s="43"/>
      <c r="CH281" s="43"/>
      <c r="CI281" s="43"/>
      <c r="CJ281" s="43"/>
      <c r="CK281" s="43"/>
      <c r="CL281" s="43"/>
      <c r="CM281" s="43"/>
      <c r="CN281" s="43"/>
      <c r="CO281" s="43"/>
      <c r="CP281" s="43"/>
      <c r="CQ281" s="43"/>
      <c r="CR281" s="43"/>
      <c r="CS281" s="43"/>
      <c r="CT281" s="43"/>
      <c r="CU281" s="43"/>
      <c r="CV281" s="43"/>
      <c r="CW281" s="43"/>
      <c r="CX281" s="43"/>
      <c r="CY281" s="43"/>
      <c r="CZ281" s="43"/>
      <c r="DA281" s="43"/>
      <c r="DB281" s="43"/>
      <c r="DC281" s="43"/>
      <c r="DD281" s="43"/>
      <c r="DE281" s="43"/>
      <c r="DF281" s="43"/>
      <c r="DG281" s="43"/>
      <c r="DH281" s="43"/>
      <c r="DI281" s="43"/>
      <c r="DJ281" s="43"/>
      <c r="DK281" s="43"/>
      <c r="DL281" s="43"/>
      <c r="DM281" s="43"/>
      <c r="DN281" s="43"/>
      <c r="DO281" s="43"/>
      <c r="DP281" s="43"/>
      <c r="DQ281" s="43"/>
      <c r="DR281" s="43"/>
      <c r="DS281" s="43"/>
    </row>
    <row r="282" spans="1:123" ht="14.45">
      <c r="A282"/>
      <c r="B282"/>
      <c r="C282"/>
      <c r="D282"/>
      <c r="E282"/>
      <c r="F282"/>
      <c r="G282"/>
      <c r="H282"/>
      <c r="I282"/>
      <c r="J282"/>
      <c r="K282" s="43"/>
      <c r="L282" s="43"/>
      <c r="M282" s="43"/>
      <c r="N282" s="43"/>
      <c r="O282" s="43"/>
      <c r="P282" s="43"/>
      <c r="Q282" s="43"/>
      <c r="R282" s="43"/>
      <c r="S282" s="43"/>
      <c r="T282" s="43"/>
      <c r="U282" s="43"/>
      <c r="V282" s="43"/>
      <c r="W282" s="43"/>
      <c r="X282" s="43"/>
      <c r="Y282" s="43"/>
      <c r="Z282" s="43"/>
      <c r="AA282" s="43"/>
      <c r="AB282" s="43"/>
      <c r="AC282" s="43"/>
      <c r="AD282" s="43"/>
      <c r="AE282" s="43"/>
      <c r="AF282" s="43"/>
      <c r="AG282" s="43"/>
      <c r="AH282" s="43"/>
      <c r="AI282" s="43"/>
      <c r="AJ282" s="43"/>
      <c r="AK282" s="43"/>
      <c r="AL282" s="43"/>
      <c r="AM282" s="43"/>
      <c r="AN282" s="43"/>
      <c r="AO282" s="43"/>
      <c r="AP282" s="43"/>
      <c r="AQ282" s="43"/>
      <c r="AR282" s="43"/>
      <c r="AS282" s="43"/>
      <c r="AT282" s="43"/>
      <c r="AU282" s="43"/>
      <c r="AV282" s="43"/>
      <c r="AW282" s="43"/>
      <c r="AX282" s="43"/>
      <c r="AY282" s="43"/>
      <c r="AZ282" s="43"/>
      <c r="BA282" s="43"/>
      <c r="BB282" s="43"/>
      <c r="BC282" s="43"/>
      <c r="BD282" s="43"/>
      <c r="BE282" s="43"/>
      <c r="BF282" s="43"/>
      <c r="BG282" s="43"/>
      <c r="BH282" s="43"/>
      <c r="BI282" s="43"/>
      <c r="BJ282" s="43"/>
      <c r="BK282" s="43"/>
      <c r="BL282" s="43"/>
      <c r="BM282" s="43"/>
      <c r="BN282" s="43"/>
      <c r="BO282" s="43"/>
      <c r="BP282" s="43"/>
      <c r="BQ282" s="43"/>
      <c r="BR282" s="43"/>
      <c r="BS282" s="43"/>
      <c r="BT282" s="43"/>
      <c r="BU282" s="43"/>
      <c r="BV282" s="43"/>
      <c r="BW282" s="43"/>
      <c r="BX282" s="43"/>
      <c r="BY282" s="43"/>
      <c r="BZ282" s="43"/>
      <c r="CA282" s="43"/>
      <c r="CB282" s="43"/>
      <c r="CC282" s="43"/>
      <c r="CD282" s="43"/>
      <c r="CE282" s="43"/>
      <c r="CF282" s="43"/>
      <c r="CG282" s="43"/>
      <c r="CH282" s="43"/>
      <c r="CI282" s="43"/>
      <c r="CJ282" s="43"/>
      <c r="CK282" s="43"/>
      <c r="CL282" s="43"/>
      <c r="CM282" s="43"/>
      <c r="CN282" s="43"/>
      <c r="CO282" s="43"/>
      <c r="CP282" s="43"/>
      <c r="CQ282" s="43"/>
      <c r="CR282" s="43"/>
      <c r="CS282" s="43"/>
      <c r="CT282" s="43"/>
      <c r="CU282" s="43"/>
      <c r="CV282" s="43"/>
      <c r="CW282" s="43"/>
      <c r="CX282" s="43"/>
      <c r="CY282" s="43"/>
      <c r="CZ282" s="43"/>
      <c r="DA282" s="43"/>
      <c r="DB282" s="43"/>
      <c r="DC282" s="43"/>
      <c r="DD282" s="43"/>
      <c r="DE282" s="43"/>
      <c r="DF282" s="43"/>
      <c r="DG282" s="43"/>
      <c r="DH282" s="43"/>
      <c r="DI282" s="43"/>
      <c r="DJ282" s="43"/>
      <c r="DK282" s="43"/>
      <c r="DL282" s="43"/>
      <c r="DM282" s="43"/>
      <c r="DN282" s="43"/>
      <c r="DO282" s="43"/>
      <c r="DP282" s="43"/>
      <c r="DQ282" s="43"/>
      <c r="DR282" s="43"/>
      <c r="DS282" s="43"/>
    </row>
    <row r="283" spans="1:123" ht="14.45">
      <c r="A283"/>
      <c r="B283"/>
      <c r="C283"/>
      <c r="D283"/>
      <c r="E283"/>
      <c r="F283"/>
      <c r="G283"/>
      <c r="H283"/>
      <c r="I283"/>
      <c r="J283"/>
      <c r="K283" s="43"/>
      <c r="L283" s="43"/>
      <c r="M283" s="43"/>
      <c r="N283" s="43"/>
      <c r="O283" s="43"/>
      <c r="P283" s="43"/>
      <c r="Q283" s="43"/>
      <c r="R283" s="43"/>
      <c r="S283" s="43"/>
      <c r="T283" s="43"/>
      <c r="U283" s="43"/>
      <c r="V283" s="43"/>
      <c r="W283" s="43"/>
      <c r="X283" s="43"/>
      <c r="Y283" s="43"/>
      <c r="Z283" s="43"/>
      <c r="AA283" s="43"/>
      <c r="AB283" s="43"/>
      <c r="AC283" s="43"/>
      <c r="AD283" s="43"/>
      <c r="AE283" s="43"/>
      <c r="AF283" s="43"/>
      <c r="AG283" s="43"/>
      <c r="AH283" s="43"/>
      <c r="AI283" s="43"/>
      <c r="AJ283" s="43"/>
      <c r="AK283" s="43"/>
      <c r="AL283" s="43"/>
      <c r="AM283" s="43"/>
      <c r="AN283" s="43"/>
      <c r="AO283" s="43"/>
      <c r="AP283" s="43"/>
      <c r="AQ283" s="43"/>
      <c r="AR283" s="43"/>
      <c r="AS283" s="43"/>
      <c r="AT283" s="43"/>
      <c r="AU283" s="43"/>
      <c r="AV283" s="43"/>
      <c r="AW283" s="43"/>
      <c r="AX283" s="43"/>
      <c r="AY283" s="43"/>
      <c r="AZ283" s="43"/>
      <c r="BA283" s="43"/>
      <c r="BB283" s="43"/>
      <c r="BC283" s="43"/>
      <c r="BD283" s="43"/>
      <c r="BE283" s="43"/>
      <c r="BF283" s="43"/>
      <c r="BG283" s="43"/>
      <c r="BH283" s="43"/>
      <c r="BI283" s="43"/>
      <c r="BJ283" s="43"/>
      <c r="BK283" s="43"/>
      <c r="BL283" s="43"/>
      <c r="BM283" s="43"/>
      <c r="BN283" s="43"/>
      <c r="BO283" s="43"/>
      <c r="BP283" s="43"/>
      <c r="BQ283" s="43"/>
      <c r="BR283" s="43"/>
      <c r="BS283" s="43"/>
      <c r="BT283" s="43"/>
      <c r="BU283" s="43"/>
      <c r="BV283" s="43"/>
      <c r="BW283" s="43"/>
      <c r="BX283" s="43"/>
      <c r="BY283" s="43"/>
      <c r="BZ283" s="43"/>
      <c r="CA283" s="43"/>
      <c r="CB283" s="43"/>
      <c r="CC283" s="43"/>
      <c r="CD283" s="43"/>
      <c r="CE283" s="43"/>
      <c r="CF283" s="43"/>
      <c r="CG283" s="43"/>
      <c r="CH283" s="43"/>
      <c r="CI283" s="43"/>
      <c r="CJ283" s="43"/>
      <c r="CK283" s="43"/>
      <c r="CL283" s="43"/>
      <c r="CM283" s="43"/>
      <c r="CN283" s="43"/>
      <c r="CO283" s="43"/>
      <c r="CP283" s="43"/>
      <c r="CQ283" s="43"/>
      <c r="CR283" s="43"/>
      <c r="CS283" s="43"/>
      <c r="CT283" s="43"/>
      <c r="CU283" s="43"/>
      <c r="CV283" s="43"/>
      <c r="CW283" s="43"/>
      <c r="CX283" s="43"/>
      <c r="CY283" s="43"/>
      <c r="CZ283" s="43"/>
      <c r="DA283" s="43"/>
      <c r="DB283" s="43"/>
      <c r="DC283" s="43"/>
      <c r="DD283" s="43"/>
      <c r="DE283" s="43"/>
      <c r="DF283" s="43"/>
      <c r="DG283" s="43"/>
      <c r="DH283" s="43"/>
      <c r="DI283" s="43"/>
      <c r="DJ283" s="43"/>
      <c r="DK283" s="43"/>
      <c r="DL283" s="43"/>
      <c r="DM283" s="43"/>
      <c r="DN283" s="43"/>
      <c r="DO283" s="43"/>
      <c r="DP283" s="43"/>
      <c r="DQ283" s="43"/>
      <c r="DR283" s="43"/>
      <c r="DS283" s="43"/>
    </row>
    <row r="284" spans="1:123" ht="14.45">
      <c r="A284"/>
      <c r="B284"/>
      <c r="C284"/>
      <c r="D284"/>
      <c r="E284"/>
      <c r="F284"/>
      <c r="G284"/>
      <c r="H284"/>
      <c r="I284"/>
      <c r="J284"/>
      <c r="K284" s="43"/>
      <c r="L284" s="43"/>
      <c r="M284" s="43"/>
      <c r="N284" s="43"/>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43"/>
      <c r="AQ284" s="43"/>
      <c r="AR284" s="43"/>
      <c r="AS284" s="43"/>
      <c r="AT284" s="43"/>
      <c r="AU284" s="43"/>
      <c r="AV284" s="43"/>
      <c r="AW284" s="43"/>
      <c r="AX284" s="43"/>
      <c r="AY284" s="43"/>
      <c r="AZ284" s="43"/>
      <c r="BA284" s="43"/>
      <c r="BB284" s="43"/>
      <c r="BC284" s="43"/>
      <c r="BD284" s="43"/>
      <c r="BE284" s="43"/>
      <c r="BF284" s="43"/>
      <c r="BG284" s="43"/>
      <c r="BH284" s="43"/>
      <c r="BI284" s="43"/>
      <c r="BJ284" s="43"/>
      <c r="BK284" s="43"/>
      <c r="BL284" s="43"/>
      <c r="BM284" s="43"/>
      <c r="BN284" s="43"/>
      <c r="BO284" s="43"/>
      <c r="BP284" s="43"/>
      <c r="BQ284" s="43"/>
      <c r="BR284" s="43"/>
      <c r="BS284" s="43"/>
      <c r="BT284" s="43"/>
      <c r="BU284" s="43"/>
      <c r="BV284" s="43"/>
      <c r="BW284" s="43"/>
      <c r="BX284" s="43"/>
      <c r="BY284" s="43"/>
      <c r="BZ284" s="43"/>
      <c r="CA284" s="43"/>
      <c r="CB284" s="43"/>
      <c r="CC284" s="43"/>
      <c r="CD284" s="43"/>
      <c r="CE284" s="43"/>
      <c r="CF284" s="43"/>
      <c r="CG284" s="43"/>
      <c r="CH284" s="43"/>
      <c r="CI284" s="43"/>
      <c r="CJ284" s="43"/>
      <c r="CK284" s="43"/>
      <c r="CL284" s="43"/>
      <c r="CM284" s="43"/>
      <c r="CN284" s="43"/>
      <c r="CO284" s="43"/>
      <c r="CP284" s="43"/>
      <c r="CQ284" s="43"/>
      <c r="CR284" s="43"/>
      <c r="CS284" s="43"/>
      <c r="CT284" s="43"/>
      <c r="CU284" s="43"/>
      <c r="CV284" s="43"/>
      <c r="CW284" s="43"/>
      <c r="CX284" s="43"/>
      <c r="CY284" s="43"/>
      <c r="CZ284" s="43"/>
      <c r="DA284" s="43"/>
      <c r="DB284" s="43"/>
      <c r="DC284" s="43"/>
      <c r="DD284" s="43"/>
      <c r="DE284" s="43"/>
      <c r="DF284" s="43"/>
      <c r="DG284" s="43"/>
      <c r="DH284" s="43"/>
      <c r="DI284" s="43"/>
      <c r="DJ284" s="43"/>
      <c r="DK284" s="43"/>
      <c r="DL284" s="43"/>
      <c r="DM284" s="43"/>
      <c r="DN284" s="43"/>
      <c r="DO284" s="43"/>
      <c r="DP284" s="43"/>
      <c r="DQ284" s="43"/>
      <c r="DR284" s="43"/>
      <c r="DS284" s="43"/>
    </row>
    <row r="285" spans="1:123" ht="14.45">
      <c r="A285"/>
      <c r="B285"/>
      <c r="C285"/>
      <c r="D285"/>
      <c r="E285"/>
      <c r="F285"/>
      <c r="G285"/>
      <c r="H285"/>
      <c r="I285"/>
      <c r="J285"/>
      <c r="K285" s="43"/>
      <c r="L285" s="43"/>
      <c r="M285" s="43"/>
      <c r="N285" s="43"/>
      <c r="O285" s="43"/>
      <c r="P285" s="43"/>
      <c r="Q285" s="43"/>
      <c r="R285" s="43"/>
      <c r="S285" s="43"/>
      <c r="T285" s="43"/>
      <c r="U285" s="43"/>
      <c r="V285" s="43"/>
      <c r="W285" s="43"/>
      <c r="X285" s="43"/>
      <c r="Y285" s="43"/>
      <c r="Z285" s="43"/>
      <c r="AA285" s="43"/>
      <c r="AB285" s="43"/>
      <c r="AC285" s="43"/>
      <c r="AD285" s="43"/>
      <c r="AE285" s="43"/>
      <c r="AF285" s="43"/>
      <c r="AG285" s="43"/>
      <c r="AH285" s="43"/>
      <c r="AI285" s="43"/>
      <c r="AJ285" s="43"/>
      <c r="AK285" s="43"/>
      <c r="AL285" s="43"/>
      <c r="AM285" s="43"/>
      <c r="AN285" s="43"/>
      <c r="AO285" s="43"/>
      <c r="AP285" s="43"/>
      <c r="AQ285" s="43"/>
      <c r="AR285" s="43"/>
      <c r="AS285" s="43"/>
      <c r="AT285" s="43"/>
      <c r="AU285" s="43"/>
      <c r="AV285" s="43"/>
      <c r="AW285" s="43"/>
      <c r="AX285" s="43"/>
      <c r="AY285" s="43"/>
      <c r="AZ285" s="43"/>
      <c r="BA285" s="43"/>
      <c r="BB285" s="43"/>
      <c r="BC285" s="43"/>
      <c r="BD285" s="43"/>
      <c r="BE285" s="43"/>
      <c r="BF285" s="43"/>
      <c r="BG285" s="43"/>
      <c r="BH285" s="43"/>
      <c r="BI285" s="43"/>
      <c r="BJ285" s="43"/>
      <c r="BK285" s="43"/>
      <c r="BL285" s="43"/>
      <c r="BM285" s="43"/>
      <c r="BN285" s="43"/>
      <c r="BO285" s="43"/>
      <c r="BP285" s="43"/>
      <c r="BQ285" s="43"/>
      <c r="BR285" s="43"/>
      <c r="BS285" s="43"/>
      <c r="BT285" s="43"/>
      <c r="BU285" s="43"/>
      <c r="BV285" s="43"/>
      <c r="BW285" s="43"/>
      <c r="BX285" s="43"/>
      <c r="BY285" s="43"/>
      <c r="BZ285" s="43"/>
      <c r="CA285" s="43"/>
      <c r="CB285" s="43"/>
      <c r="CC285" s="43"/>
      <c r="CD285" s="43"/>
      <c r="CE285" s="43"/>
      <c r="CF285" s="43"/>
      <c r="CG285" s="43"/>
      <c r="CH285" s="43"/>
      <c r="CI285" s="43"/>
      <c r="CJ285" s="43"/>
      <c r="CK285" s="43"/>
      <c r="CL285" s="43"/>
      <c r="CM285" s="43"/>
      <c r="CN285" s="43"/>
      <c r="CO285" s="43"/>
      <c r="CP285" s="43"/>
      <c r="CQ285" s="43"/>
      <c r="CR285" s="43"/>
      <c r="CS285" s="43"/>
      <c r="CT285" s="43"/>
      <c r="CU285" s="43"/>
      <c r="CV285" s="43"/>
      <c r="CW285" s="43"/>
      <c r="CX285" s="43"/>
      <c r="CY285" s="43"/>
      <c r="CZ285" s="43"/>
      <c r="DA285" s="43"/>
      <c r="DB285" s="43"/>
      <c r="DC285" s="43"/>
      <c r="DD285" s="43"/>
      <c r="DE285" s="43"/>
      <c r="DF285" s="43"/>
      <c r="DG285" s="43"/>
      <c r="DH285" s="43"/>
      <c r="DI285" s="43"/>
      <c r="DJ285" s="43"/>
      <c r="DK285" s="43"/>
      <c r="DL285" s="43"/>
      <c r="DM285" s="43"/>
      <c r="DN285" s="43"/>
      <c r="DO285" s="43"/>
      <c r="DP285" s="43"/>
      <c r="DQ285" s="43"/>
      <c r="DR285" s="43"/>
      <c r="DS285" s="43"/>
    </row>
    <row r="286" spans="1:123" ht="14.45">
      <c r="A286"/>
      <c r="B286"/>
      <c r="C286"/>
      <c r="D286"/>
      <c r="E286"/>
      <c r="F286"/>
      <c r="G286"/>
      <c r="H286"/>
      <c r="I286"/>
      <c r="J286"/>
      <c r="K286" s="43"/>
      <c r="L286" s="43"/>
      <c r="M286" s="43"/>
      <c r="N286" s="43"/>
      <c r="O286" s="43"/>
      <c r="P286" s="43"/>
      <c r="Q286" s="43"/>
      <c r="R286" s="43"/>
      <c r="S286" s="43"/>
      <c r="T286" s="43"/>
      <c r="U286" s="43"/>
      <c r="V286" s="43"/>
      <c r="W286" s="43"/>
      <c r="X286" s="43"/>
      <c r="Y286" s="43"/>
      <c r="Z286" s="43"/>
      <c r="AA286" s="43"/>
      <c r="AB286" s="43"/>
      <c r="AC286" s="43"/>
      <c r="AD286" s="43"/>
      <c r="AE286" s="43"/>
      <c r="AF286" s="43"/>
      <c r="AG286" s="43"/>
      <c r="AH286" s="43"/>
      <c r="AI286" s="43"/>
      <c r="AJ286" s="43"/>
      <c r="AK286" s="43"/>
      <c r="AL286" s="43"/>
      <c r="AM286" s="43"/>
      <c r="AN286" s="43"/>
      <c r="AO286" s="43"/>
      <c r="AP286" s="43"/>
      <c r="AQ286" s="43"/>
      <c r="AR286" s="43"/>
      <c r="AS286" s="43"/>
      <c r="AT286" s="43"/>
      <c r="AU286" s="43"/>
      <c r="AV286" s="43"/>
      <c r="AW286" s="43"/>
      <c r="AX286" s="43"/>
      <c r="AY286" s="43"/>
      <c r="AZ286" s="43"/>
      <c r="BA286" s="43"/>
      <c r="BB286" s="43"/>
      <c r="BC286" s="43"/>
      <c r="BD286" s="43"/>
      <c r="BE286" s="43"/>
      <c r="BF286" s="43"/>
      <c r="BG286" s="43"/>
      <c r="BH286" s="43"/>
      <c r="BI286" s="43"/>
      <c r="BJ286" s="43"/>
      <c r="BK286" s="43"/>
      <c r="BL286" s="43"/>
      <c r="BM286" s="43"/>
      <c r="BN286" s="43"/>
      <c r="BO286" s="43"/>
      <c r="BP286" s="43"/>
      <c r="BQ286" s="43"/>
      <c r="BR286" s="43"/>
      <c r="BS286" s="43"/>
      <c r="BT286" s="43"/>
      <c r="BU286" s="43"/>
      <c r="BV286" s="43"/>
      <c r="BW286" s="43"/>
      <c r="BX286" s="43"/>
      <c r="BY286" s="43"/>
      <c r="BZ286" s="43"/>
      <c r="CA286" s="43"/>
      <c r="CB286" s="43"/>
      <c r="CC286" s="43"/>
      <c r="CD286" s="43"/>
      <c r="CE286" s="43"/>
      <c r="CF286" s="43"/>
      <c r="CG286" s="43"/>
      <c r="CH286" s="43"/>
      <c r="CI286" s="43"/>
      <c r="CJ286" s="43"/>
      <c r="CK286" s="43"/>
      <c r="CL286" s="43"/>
      <c r="CM286" s="43"/>
      <c r="CN286" s="43"/>
      <c r="CO286" s="43"/>
      <c r="CP286" s="43"/>
      <c r="CQ286" s="43"/>
      <c r="CR286" s="43"/>
      <c r="CS286" s="43"/>
      <c r="CT286" s="43"/>
      <c r="CU286" s="43"/>
      <c r="CV286" s="43"/>
      <c r="CW286" s="43"/>
      <c r="CX286" s="43"/>
      <c r="CY286" s="43"/>
      <c r="CZ286" s="43"/>
      <c r="DA286" s="43"/>
      <c r="DB286" s="43"/>
      <c r="DC286" s="43"/>
      <c r="DD286" s="43"/>
      <c r="DE286" s="43"/>
      <c r="DF286" s="43"/>
      <c r="DG286" s="43"/>
      <c r="DH286" s="43"/>
      <c r="DI286" s="43"/>
      <c r="DJ286" s="43"/>
      <c r="DK286" s="43"/>
      <c r="DL286" s="43"/>
      <c r="DM286" s="43"/>
      <c r="DN286" s="43"/>
      <c r="DO286" s="43"/>
      <c r="DP286" s="43"/>
      <c r="DQ286" s="43"/>
      <c r="DR286" s="43"/>
      <c r="DS286" s="43"/>
    </row>
    <row r="287" spans="1:123" ht="14.45">
      <c r="A287"/>
      <c r="B287"/>
      <c r="C287"/>
      <c r="D287"/>
      <c r="E287"/>
      <c r="F287"/>
      <c r="G287"/>
      <c r="H287"/>
      <c r="I287"/>
      <c r="J287"/>
      <c r="K287" s="43"/>
      <c r="L287" s="43"/>
      <c r="M287" s="43"/>
      <c r="N287" s="43"/>
      <c r="O287" s="43"/>
      <c r="P287" s="43"/>
      <c r="Q287" s="43"/>
      <c r="R287" s="43"/>
      <c r="S287" s="43"/>
      <c r="T287" s="43"/>
      <c r="U287" s="43"/>
      <c r="V287" s="43"/>
      <c r="W287" s="43"/>
      <c r="X287" s="43"/>
      <c r="Y287" s="43"/>
      <c r="Z287" s="43"/>
      <c r="AA287" s="43"/>
      <c r="AB287" s="43"/>
      <c r="AC287" s="43"/>
      <c r="AD287" s="43"/>
      <c r="AE287" s="43"/>
      <c r="AF287" s="43"/>
      <c r="AG287" s="43"/>
      <c r="AH287" s="43"/>
      <c r="AI287" s="43"/>
      <c r="AJ287" s="43"/>
      <c r="AK287" s="43"/>
      <c r="AL287" s="43"/>
      <c r="AM287" s="43"/>
      <c r="AN287" s="43"/>
      <c r="AO287" s="43"/>
      <c r="AP287" s="43"/>
      <c r="AQ287" s="43"/>
      <c r="AR287" s="43"/>
      <c r="AS287" s="43"/>
      <c r="AT287" s="43"/>
      <c r="AU287" s="43"/>
      <c r="AV287" s="43"/>
      <c r="AW287" s="43"/>
      <c r="AX287" s="43"/>
      <c r="AY287" s="43"/>
      <c r="AZ287" s="43"/>
      <c r="BA287" s="43"/>
      <c r="BB287" s="43"/>
      <c r="BC287" s="43"/>
      <c r="BD287" s="43"/>
      <c r="BE287" s="43"/>
      <c r="BF287" s="43"/>
      <c r="BG287" s="43"/>
      <c r="BH287" s="43"/>
      <c r="BI287" s="43"/>
      <c r="BJ287" s="43"/>
      <c r="BK287" s="43"/>
      <c r="BL287" s="43"/>
      <c r="BM287" s="43"/>
      <c r="BN287" s="43"/>
      <c r="BO287" s="43"/>
      <c r="BP287" s="43"/>
      <c r="BQ287" s="43"/>
      <c r="BR287" s="43"/>
      <c r="BS287" s="43"/>
      <c r="BT287" s="43"/>
      <c r="BU287" s="43"/>
      <c r="BV287" s="43"/>
      <c r="BW287" s="43"/>
      <c r="BX287" s="43"/>
      <c r="BY287" s="43"/>
      <c r="BZ287" s="43"/>
      <c r="CA287" s="43"/>
      <c r="CB287" s="43"/>
      <c r="CC287" s="43"/>
      <c r="CD287" s="43"/>
      <c r="CE287" s="43"/>
      <c r="CF287" s="43"/>
      <c r="CG287" s="43"/>
      <c r="CH287" s="43"/>
      <c r="CI287" s="43"/>
      <c r="CJ287" s="43"/>
      <c r="CK287" s="43"/>
      <c r="CL287" s="43"/>
      <c r="CM287" s="43"/>
      <c r="CN287" s="43"/>
      <c r="CO287" s="43"/>
      <c r="CP287" s="43"/>
      <c r="CQ287" s="43"/>
      <c r="CR287" s="43"/>
      <c r="CS287" s="43"/>
      <c r="CT287" s="43"/>
      <c r="CU287" s="43"/>
      <c r="CV287" s="43"/>
      <c r="CW287" s="43"/>
      <c r="CX287" s="43"/>
      <c r="CY287" s="43"/>
      <c r="CZ287" s="43"/>
      <c r="DA287" s="43"/>
      <c r="DB287" s="43"/>
      <c r="DC287" s="43"/>
      <c r="DD287" s="43"/>
      <c r="DE287" s="43"/>
      <c r="DF287" s="43"/>
      <c r="DG287" s="43"/>
      <c r="DH287" s="43"/>
      <c r="DI287" s="43"/>
      <c r="DJ287" s="43"/>
      <c r="DK287" s="43"/>
      <c r="DL287" s="43"/>
      <c r="DM287" s="43"/>
      <c r="DN287" s="43"/>
      <c r="DO287" s="43"/>
      <c r="DP287" s="43"/>
      <c r="DQ287" s="43"/>
      <c r="DR287" s="43"/>
      <c r="DS287" s="43"/>
    </row>
    <row r="288" spans="1:123" ht="14.45">
      <c r="A288"/>
      <c r="B288"/>
      <c r="C288"/>
      <c r="D288"/>
      <c r="E288"/>
      <c r="F288"/>
      <c r="G288"/>
      <c r="H288"/>
      <c r="I288"/>
      <c r="J288"/>
      <c r="K288" s="43"/>
      <c r="L288" s="43"/>
      <c r="M288" s="43"/>
      <c r="N288" s="43"/>
      <c r="O288" s="43"/>
      <c r="P288" s="43"/>
      <c r="Q288" s="43"/>
      <c r="R288" s="43"/>
      <c r="S288" s="43"/>
      <c r="T288" s="43"/>
      <c r="U288" s="43"/>
      <c r="V288" s="43"/>
      <c r="W288" s="43"/>
      <c r="X288" s="43"/>
      <c r="Y288" s="43"/>
      <c r="Z288" s="43"/>
      <c r="AA288" s="43"/>
      <c r="AB288" s="43"/>
      <c r="AC288" s="43"/>
      <c r="AD288" s="43"/>
      <c r="AE288" s="43"/>
      <c r="AF288" s="43"/>
      <c r="AG288" s="43"/>
      <c r="AH288" s="43"/>
      <c r="AI288" s="43"/>
      <c r="AJ288" s="43"/>
      <c r="AK288" s="43"/>
      <c r="AL288" s="43"/>
      <c r="AM288" s="43"/>
      <c r="AN288" s="43"/>
      <c r="AO288" s="43"/>
      <c r="AP288" s="43"/>
      <c r="AQ288" s="43"/>
      <c r="AR288" s="43"/>
      <c r="AS288" s="43"/>
      <c r="AT288" s="43"/>
      <c r="AU288" s="43"/>
      <c r="AV288" s="43"/>
      <c r="AW288" s="43"/>
      <c r="AX288" s="43"/>
      <c r="AY288" s="43"/>
      <c r="AZ288" s="43"/>
      <c r="BA288" s="43"/>
      <c r="BB288" s="43"/>
      <c r="BC288" s="43"/>
      <c r="BD288" s="43"/>
      <c r="BE288" s="43"/>
      <c r="BF288" s="43"/>
      <c r="BG288" s="43"/>
      <c r="BH288" s="43"/>
      <c r="BI288" s="43"/>
      <c r="BJ288" s="43"/>
      <c r="BK288" s="43"/>
      <c r="BL288" s="43"/>
      <c r="BM288" s="43"/>
      <c r="BN288" s="43"/>
      <c r="BO288" s="43"/>
      <c r="BP288" s="43"/>
      <c r="BQ288" s="43"/>
      <c r="BR288" s="43"/>
      <c r="BS288" s="43"/>
      <c r="BT288" s="43"/>
      <c r="BU288" s="43"/>
      <c r="BV288" s="43"/>
      <c r="BW288" s="43"/>
      <c r="BX288" s="43"/>
      <c r="BY288" s="43"/>
      <c r="BZ288" s="43"/>
      <c r="CA288" s="43"/>
      <c r="CB288" s="43"/>
      <c r="CC288" s="43"/>
      <c r="CD288" s="43"/>
      <c r="CE288" s="43"/>
      <c r="CF288" s="43"/>
      <c r="CG288" s="43"/>
      <c r="CH288" s="43"/>
      <c r="CI288" s="43"/>
      <c r="CJ288" s="43"/>
      <c r="CK288" s="43"/>
      <c r="CL288" s="43"/>
      <c r="CM288" s="43"/>
      <c r="CN288" s="43"/>
      <c r="CO288" s="43"/>
      <c r="CP288" s="43"/>
      <c r="CQ288" s="43"/>
      <c r="CR288" s="43"/>
      <c r="CS288" s="43"/>
      <c r="CT288" s="43"/>
      <c r="CU288" s="43"/>
      <c r="CV288" s="43"/>
      <c r="CW288" s="43"/>
      <c r="CX288" s="43"/>
      <c r="CY288" s="43"/>
      <c r="CZ288" s="43"/>
      <c r="DA288" s="43"/>
      <c r="DB288" s="43"/>
      <c r="DC288" s="43"/>
      <c r="DD288" s="43"/>
      <c r="DE288" s="43"/>
      <c r="DF288" s="43"/>
      <c r="DG288" s="43"/>
      <c r="DH288" s="43"/>
      <c r="DI288" s="43"/>
      <c r="DJ288" s="43"/>
      <c r="DK288" s="43"/>
      <c r="DL288" s="43"/>
      <c r="DM288" s="43"/>
      <c r="DN288" s="43"/>
      <c r="DO288" s="43"/>
      <c r="DP288" s="43"/>
      <c r="DQ288" s="43"/>
      <c r="DR288" s="43"/>
      <c r="DS288" s="43"/>
    </row>
    <row r="289" spans="1:123" ht="14.45">
      <c r="A289"/>
      <c r="B289"/>
      <c r="C289"/>
      <c r="D289"/>
      <c r="E289"/>
      <c r="F289"/>
      <c r="G289"/>
      <c r="H289"/>
      <c r="I289"/>
      <c r="J289"/>
      <c r="K289" s="43"/>
      <c r="L289" s="43"/>
      <c r="M289" s="43"/>
      <c r="N289" s="43"/>
      <c r="O289" s="43"/>
      <c r="P289" s="43"/>
      <c r="Q289" s="43"/>
      <c r="R289" s="43"/>
      <c r="S289" s="43"/>
      <c r="T289" s="43"/>
      <c r="U289" s="43"/>
      <c r="V289" s="43"/>
      <c r="W289" s="43"/>
      <c r="X289" s="43"/>
      <c r="Y289" s="43"/>
      <c r="Z289" s="43"/>
      <c r="AA289" s="43"/>
      <c r="AB289" s="43"/>
      <c r="AC289" s="43"/>
      <c r="AD289" s="43"/>
      <c r="AE289" s="43"/>
      <c r="AF289" s="43"/>
      <c r="AG289" s="43"/>
      <c r="AH289" s="43"/>
      <c r="AI289" s="43"/>
      <c r="AJ289" s="43"/>
      <c r="AK289" s="43"/>
      <c r="AL289" s="43"/>
      <c r="AM289" s="43"/>
      <c r="AN289" s="43"/>
      <c r="AO289" s="43"/>
      <c r="AP289" s="43"/>
      <c r="AQ289" s="43"/>
      <c r="AR289" s="43"/>
      <c r="AS289" s="43"/>
      <c r="AT289" s="43"/>
      <c r="AU289" s="43"/>
      <c r="AV289" s="43"/>
      <c r="AW289" s="43"/>
      <c r="AX289" s="43"/>
      <c r="AY289" s="43"/>
      <c r="AZ289" s="43"/>
      <c r="BA289" s="43"/>
      <c r="BB289" s="43"/>
      <c r="BC289" s="43"/>
      <c r="BD289" s="43"/>
      <c r="BE289" s="43"/>
      <c r="BF289" s="43"/>
      <c r="BG289" s="43"/>
      <c r="BH289" s="43"/>
      <c r="BI289" s="43"/>
      <c r="BJ289" s="43"/>
      <c r="BK289" s="43"/>
      <c r="BL289" s="43"/>
      <c r="BM289" s="43"/>
      <c r="BN289" s="43"/>
      <c r="BO289" s="43"/>
      <c r="BP289" s="43"/>
      <c r="BQ289" s="43"/>
      <c r="BR289" s="43"/>
      <c r="BS289" s="43"/>
      <c r="BT289" s="43"/>
      <c r="BU289" s="43"/>
      <c r="BV289" s="43"/>
      <c r="BW289" s="43"/>
      <c r="BX289" s="43"/>
      <c r="BY289" s="43"/>
      <c r="BZ289" s="43"/>
      <c r="CA289" s="43"/>
      <c r="CB289" s="43"/>
      <c r="CC289" s="43"/>
      <c r="CD289" s="43"/>
      <c r="CE289" s="43"/>
      <c r="CF289" s="43"/>
      <c r="CG289" s="43"/>
      <c r="CH289" s="43"/>
      <c r="CI289" s="43"/>
      <c r="CJ289" s="43"/>
      <c r="CK289" s="43"/>
      <c r="CL289" s="43"/>
      <c r="CM289" s="43"/>
      <c r="CN289" s="43"/>
      <c r="CO289" s="43"/>
      <c r="CP289" s="43"/>
      <c r="CQ289" s="43"/>
      <c r="CR289" s="43"/>
      <c r="CS289" s="43"/>
      <c r="CT289" s="43"/>
      <c r="CU289" s="43"/>
      <c r="CV289" s="43"/>
      <c r="CW289" s="43"/>
      <c r="CX289" s="43"/>
      <c r="CY289" s="43"/>
      <c r="CZ289" s="43"/>
      <c r="DA289" s="43"/>
      <c r="DB289" s="43"/>
      <c r="DC289" s="43"/>
      <c r="DD289" s="43"/>
      <c r="DE289" s="43"/>
      <c r="DF289" s="43"/>
      <c r="DG289" s="43"/>
      <c r="DH289" s="43"/>
      <c r="DI289" s="43"/>
      <c r="DJ289" s="43"/>
      <c r="DK289" s="43"/>
      <c r="DL289" s="43"/>
      <c r="DM289" s="43"/>
      <c r="DN289" s="43"/>
      <c r="DO289" s="43"/>
      <c r="DP289" s="43"/>
      <c r="DQ289" s="43"/>
      <c r="DR289" s="43"/>
      <c r="DS289" s="43"/>
    </row>
    <row r="290" spans="1:123" ht="14.45">
      <c r="A290"/>
      <c r="B290"/>
      <c r="C290"/>
      <c r="D290"/>
      <c r="E290"/>
      <c r="F290"/>
      <c r="G290"/>
      <c r="H290"/>
      <c r="I290"/>
      <c r="J290"/>
      <c r="K290" s="43"/>
      <c r="L290" s="43"/>
      <c r="M290" s="43"/>
      <c r="N290" s="43"/>
      <c r="O290" s="43"/>
      <c r="P290" s="43"/>
      <c r="Q290" s="43"/>
      <c r="R290" s="43"/>
      <c r="S290" s="43"/>
      <c r="T290" s="43"/>
      <c r="U290" s="43"/>
      <c r="V290" s="43"/>
      <c r="W290" s="43"/>
      <c r="X290" s="43"/>
      <c r="Y290" s="43"/>
      <c r="Z290" s="43"/>
      <c r="AA290" s="43"/>
      <c r="AB290" s="43"/>
      <c r="AC290" s="43"/>
      <c r="AD290" s="43"/>
      <c r="AE290" s="43"/>
      <c r="AF290" s="43"/>
      <c r="AG290" s="43"/>
      <c r="AH290" s="43"/>
      <c r="AI290" s="43"/>
      <c r="AJ290" s="43"/>
      <c r="AK290" s="43"/>
      <c r="AL290" s="43"/>
      <c r="AM290" s="43"/>
      <c r="AN290" s="43"/>
      <c r="AO290" s="43"/>
      <c r="AP290" s="43"/>
      <c r="AQ290" s="43"/>
      <c r="AR290" s="43"/>
      <c r="AS290" s="43"/>
      <c r="AT290" s="43"/>
      <c r="AU290" s="43"/>
      <c r="AV290" s="43"/>
      <c r="AW290" s="43"/>
      <c r="AX290" s="43"/>
      <c r="AY290" s="43"/>
      <c r="AZ290" s="43"/>
      <c r="BA290" s="43"/>
      <c r="BB290" s="43"/>
      <c r="BC290" s="43"/>
      <c r="BD290" s="43"/>
      <c r="BE290" s="43"/>
      <c r="BF290" s="43"/>
      <c r="BG290" s="43"/>
      <c r="BH290" s="43"/>
      <c r="BI290" s="43"/>
      <c r="BJ290" s="43"/>
      <c r="BK290" s="43"/>
      <c r="BL290" s="43"/>
      <c r="BM290" s="43"/>
      <c r="BN290" s="43"/>
      <c r="BO290" s="43"/>
      <c r="BP290" s="43"/>
      <c r="BQ290" s="43"/>
      <c r="BR290" s="43"/>
      <c r="BS290" s="43"/>
      <c r="BT290" s="43"/>
      <c r="BU290" s="43"/>
      <c r="BV290" s="43"/>
      <c r="BW290" s="43"/>
      <c r="BX290" s="43"/>
      <c r="BY290" s="43"/>
      <c r="BZ290" s="43"/>
      <c r="CA290" s="43"/>
      <c r="CB290" s="43"/>
      <c r="CC290" s="43"/>
      <c r="CD290" s="43"/>
      <c r="CE290" s="43"/>
      <c r="CF290" s="43"/>
      <c r="CG290" s="43"/>
      <c r="CH290" s="43"/>
      <c r="CI290" s="43"/>
      <c r="CJ290" s="43"/>
      <c r="CK290" s="43"/>
      <c r="CL290" s="43"/>
      <c r="CM290" s="43"/>
      <c r="CN290" s="43"/>
      <c r="CO290" s="43"/>
      <c r="CP290" s="43"/>
      <c r="CQ290" s="43"/>
      <c r="CR290" s="43"/>
      <c r="CS290" s="43"/>
      <c r="CT290" s="43"/>
      <c r="CU290" s="43"/>
      <c r="CV290" s="43"/>
      <c r="CW290" s="43"/>
      <c r="CX290" s="43"/>
      <c r="CY290" s="43"/>
      <c r="CZ290" s="43"/>
      <c r="DA290" s="43"/>
      <c r="DB290" s="43"/>
      <c r="DC290" s="43"/>
      <c r="DD290" s="43"/>
      <c r="DE290" s="43"/>
      <c r="DF290" s="43"/>
      <c r="DG290" s="43"/>
      <c r="DH290" s="43"/>
      <c r="DI290" s="43"/>
      <c r="DJ290" s="43"/>
      <c r="DK290" s="43"/>
      <c r="DL290" s="43"/>
      <c r="DM290" s="43"/>
      <c r="DN290" s="43"/>
      <c r="DO290" s="43"/>
      <c r="DP290" s="43"/>
      <c r="DQ290" s="43"/>
      <c r="DR290" s="43"/>
      <c r="DS290" s="43"/>
    </row>
    <row r="291" spans="1:123" ht="14.45">
      <c r="A291"/>
      <c r="B291"/>
      <c r="C291"/>
      <c r="D291"/>
      <c r="E291"/>
      <c r="F291"/>
      <c r="G291"/>
      <c r="H291"/>
      <c r="I291"/>
      <c r="J291"/>
      <c r="K291" s="43"/>
      <c r="L291" s="43"/>
      <c r="M291" s="43"/>
      <c r="N291" s="43"/>
      <c r="O291" s="43"/>
      <c r="P291" s="43"/>
      <c r="Q291" s="43"/>
      <c r="R291" s="43"/>
      <c r="S291" s="43"/>
      <c r="T291" s="43"/>
      <c r="U291" s="43"/>
      <c r="V291" s="43"/>
      <c r="W291" s="43"/>
      <c r="X291" s="43"/>
      <c r="Y291" s="43"/>
      <c r="Z291" s="43"/>
      <c r="AA291" s="43"/>
      <c r="AB291" s="43"/>
      <c r="AC291" s="43"/>
      <c r="AD291" s="43"/>
      <c r="AE291" s="43"/>
      <c r="AF291" s="43"/>
      <c r="AG291" s="43"/>
      <c r="AH291" s="43"/>
      <c r="AI291" s="43"/>
      <c r="AJ291" s="43"/>
      <c r="AK291" s="43"/>
      <c r="AL291" s="43"/>
      <c r="AM291" s="43"/>
      <c r="AN291" s="43"/>
      <c r="AO291" s="43"/>
      <c r="AP291" s="43"/>
      <c r="AQ291" s="43"/>
      <c r="AR291" s="43"/>
      <c r="AS291" s="43"/>
      <c r="AT291" s="43"/>
      <c r="AU291" s="43"/>
      <c r="AV291" s="43"/>
      <c r="AW291" s="43"/>
      <c r="AX291" s="43"/>
      <c r="AY291" s="43"/>
      <c r="AZ291" s="43"/>
      <c r="BA291" s="43"/>
      <c r="BB291" s="43"/>
      <c r="BC291" s="43"/>
      <c r="BD291" s="43"/>
      <c r="BE291" s="43"/>
      <c r="BF291" s="43"/>
      <c r="BG291" s="43"/>
      <c r="BH291" s="43"/>
      <c r="BI291" s="43"/>
      <c r="BJ291" s="43"/>
      <c r="BK291" s="43"/>
      <c r="BL291" s="43"/>
      <c r="BM291" s="43"/>
      <c r="BN291" s="43"/>
      <c r="BO291" s="43"/>
      <c r="BP291" s="43"/>
      <c r="BQ291" s="43"/>
      <c r="BR291" s="43"/>
      <c r="BS291" s="43"/>
      <c r="BT291" s="43"/>
      <c r="BU291" s="43"/>
      <c r="BV291" s="43"/>
      <c r="BW291" s="43"/>
      <c r="BX291" s="43"/>
      <c r="BY291" s="43"/>
      <c r="BZ291" s="43"/>
      <c r="CA291" s="43"/>
      <c r="CB291" s="43"/>
      <c r="CC291" s="43"/>
      <c r="CD291" s="43"/>
      <c r="CE291" s="43"/>
      <c r="CF291" s="43"/>
      <c r="CG291" s="43"/>
      <c r="CH291" s="43"/>
      <c r="CI291" s="43"/>
      <c r="CJ291" s="43"/>
      <c r="CK291" s="43"/>
      <c r="CL291" s="43"/>
      <c r="CM291" s="43"/>
      <c r="CN291" s="43"/>
      <c r="CO291" s="43"/>
      <c r="CP291" s="43"/>
      <c r="CQ291" s="43"/>
      <c r="CR291" s="43"/>
      <c r="CS291" s="43"/>
      <c r="CT291" s="43"/>
      <c r="CU291" s="43"/>
      <c r="CV291" s="43"/>
      <c r="CW291" s="43"/>
      <c r="CX291" s="43"/>
      <c r="CY291" s="43"/>
      <c r="CZ291" s="43"/>
      <c r="DA291" s="43"/>
      <c r="DB291" s="43"/>
      <c r="DC291" s="43"/>
      <c r="DD291" s="43"/>
      <c r="DE291" s="43"/>
      <c r="DF291" s="43"/>
      <c r="DG291" s="43"/>
      <c r="DH291" s="43"/>
      <c r="DI291" s="43"/>
      <c r="DJ291" s="43"/>
      <c r="DK291" s="43"/>
      <c r="DL291" s="43"/>
      <c r="DM291" s="43"/>
      <c r="DN291" s="43"/>
      <c r="DO291" s="43"/>
      <c r="DP291" s="43"/>
      <c r="DQ291" s="43"/>
      <c r="DR291" s="43"/>
      <c r="DS291" s="43"/>
    </row>
    <row r="292" spans="1:123" ht="14.45">
      <c r="A292"/>
      <c r="B292"/>
      <c r="C292"/>
      <c r="D292"/>
      <c r="E292"/>
      <c r="F292"/>
      <c r="G292"/>
      <c r="H292"/>
      <c r="I292"/>
      <c r="J292"/>
      <c r="K292" s="43"/>
      <c r="L292" s="43"/>
      <c r="M292" s="43"/>
      <c r="N292" s="43"/>
      <c r="O292" s="43"/>
      <c r="P292" s="43"/>
      <c r="Q292" s="43"/>
      <c r="R292" s="43"/>
      <c r="S292" s="43"/>
      <c r="T292" s="43"/>
      <c r="U292" s="43"/>
      <c r="V292" s="43"/>
      <c r="W292" s="43"/>
      <c r="X292" s="43"/>
      <c r="Y292" s="43"/>
      <c r="Z292" s="43"/>
      <c r="AA292" s="43"/>
      <c r="AB292" s="43"/>
      <c r="AC292" s="43"/>
      <c r="AD292" s="43"/>
      <c r="AE292" s="43"/>
      <c r="AF292" s="43"/>
      <c r="AG292" s="43"/>
      <c r="AH292" s="43"/>
      <c r="AI292" s="43"/>
      <c r="AJ292" s="43"/>
      <c r="AK292" s="43"/>
      <c r="AL292" s="43"/>
      <c r="AM292" s="43"/>
      <c r="AN292" s="43"/>
      <c r="AO292" s="43"/>
      <c r="AP292" s="43"/>
      <c r="AQ292" s="43"/>
      <c r="AR292" s="43"/>
      <c r="AS292" s="43"/>
      <c r="AT292" s="43"/>
      <c r="AU292" s="43"/>
      <c r="AV292" s="43"/>
      <c r="AW292" s="43"/>
      <c r="AX292" s="43"/>
      <c r="AY292" s="43"/>
      <c r="AZ292" s="43"/>
      <c r="BA292" s="43"/>
      <c r="BB292" s="43"/>
      <c r="BC292" s="43"/>
      <c r="BD292" s="43"/>
      <c r="BE292" s="43"/>
      <c r="BF292" s="43"/>
      <c r="BG292" s="43"/>
      <c r="BH292" s="43"/>
      <c r="BI292" s="43"/>
      <c r="BJ292" s="43"/>
      <c r="BK292" s="43"/>
      <c r="BL292" s="43"/>
      <c r="BM292" s="43"/>
      <c r="BN292" s="43"/>
      <c r="BO292" s="43"/>
      <c r="BP292" s="43"/>
      <c r="BQ292" s="43"/>
      <c r="BR292" s="43"/>
      <c r="BS292" s="43"/>
      <c r="BT292" s="43"/>
      <c r="BU292" s="43"/>
      <c r="BV292" s="43"/>
      <c r="BW292" s="43"/>
      <c r="BX292" s="43"/>
      <c r="BY292" s="43"/>
      <c r="BZ292" s="43"/>
      <c r="CA292" s="43"/>
      <c r="CB292" s="43"/>
      <c r="CC292" s="43"/>
      <c r="CD292" s="43"/>
      <c r="CE292" s="43"/>
      <c r="CF292" s="43"/>
      <c r="CG292" s="43"/>
      <c r="CH292" s="43"/>
      <c r="CI292" s="43"/>
      <c r="CJ292" s="43"/>
      <c r="CK292" s="43"/>
      <c r="CL292" s="43"/>
      <c r="CM292" s="43"/>
      <c r="CN292" s="43"/>
      <c r="CO292" s="43"/>
      <c r="CP292" s="43"/>
      <c r="CQ292" s="43"/>
      <c r="CR292" s="43"/>
      <c r="CS292" s="43"/>
      <c r="CT292" s="43"/>
      <c r="CU292" s="43"/>
      <c r="CV292" s="43"/>
      <c r="CW292" s="43"/>
      <c r="CX292" s="43"/>
      <c r="CY292" s="43"/>
      <c r="CZ292" s="43"/>
      <c r="DA292" s="43"/>
      <c r="DB292" s="43"/>
      <c r="DC292" s="43"/>
      <c r="DD292" s="43"/>
      <c r="DE292" s="43"/>
      <c r="DF292" s="43"/>
      <c r="DG292" s="43"/>
      <c r="DH292" s="43"/>
      <c r="DI292" s="43"/>
      <c r="DJ292" s="43"/>
      <c r="DK292" s="43"/>
      <c r="DL292" s="43"/>
      <c r="DM292" s="43"/>
      <c r="DN292" s="43"/>
      <c r="DO292" s="43"/>
      <c r="DP292" s="43"/>
      <c r="DQ292" s="43"/>
      <c r="DR292" s="43"/>
      <c r="DS292" s="43"/>
    </row>
    <row r="293" spans="1:123" ht="14.45">
      <c r="A293"/>
      <c r="B293"/>
      <c r="C293"/>
      <c r="D293"/>
      <c r="E293"/>
      <c r="F293"/>
      <c r="G293"/>
      <c r="H293"/>
      <c r="I293"/>
      <c r="J293"/>
      <c r="K293" s="43"/>
      <c r="L293" s="43"/>
      <c r="M293" s="43"/>
      <c r="N293" s="43"/>
      <c r="O293" s="43"/>
      <c r="P293" s="43"/>
      <c r="Q293" s="43"/>
      <c r="R293" s="43"/>
      <c r="S293" s="43"/>
      <c r="T293" s="43"/>
      <c r="U293" s="43"/>
      <c r="V293" s="43"/>
      <c r="W293" s="43"/>
      <c r="X293" s="43"/>
      <c r="Y293" s="43"/>
      <c r="Z293" s="43"/>
      <c r="AA293" s="43"/>
      <c r="AB293" s="43"/>
      <c r="AC293" s="43"/>
      <c r="AD293" s="43"/>
      <c r="AE293" s="43"/>
      <c r="AF293" s="43"/>
      <c r="AG293" s="43"/>
      <c r="AH293" s="43"/>
      <c r="AI293" s="43"/>
      <c r="AJ293" s="43"/>
      <c r="AK293" s="43"/>
      <c r="AL293" s="43"/>
      <c r="AM293" s="43"/>
      <c r="AN293" s="43"/>
      <c r="AO293" s="43"/>
      <c r="AP293" s="43"/>
      <c r="AQ293" s="43"/>
      <c r="AR293" s="43"/>
      <c r="AS293" s="43"/>
      <c r="AT293" s="43"/>
      <c r="AU293" s="43"/>
      <c r="AV293" s="43"/>
      <c r="AW293" s="43"/>
      <c r="AX293" s="43"/>
      <c r="AY293" s="43"/>
      <c r="AZ293" s="43"/>
      <c r="BA293" s="43"/>
      <c r="BB293" s="43"/>
      <c r="BC293" s="43"/>
      <c r="BD293" s="43"/>
      <c r="BE293" s="43"/>
      <c r="BF293" s="43"/>
      <c r="BG293" s="43"/>
      <c r="BH293" s="43"/>
      <c r="BI293" s="43"/>
      <c r="BJ293" s="43"/>
      <c r="BK293" s="43"/>
      <c r="BL293" s="43"/>
      <c r="BM293" s="43"/>
      <c r="BN293" s="43"/>
      <c r="BO293" s="43"/>
      <c r="BP293" s="43"/>
      <c r="BQ293" s="43"/>
      <c r="BR293" s="43"/>
      <c r="BS293" s="43"/>
      <c r="BT293" s="43"/>
      <c r="BU293" s="43"/>
      <c r="BV293" s="43"/>
      <c r="BW293" s="43"/>
      <c r="BX293" s="43"/>
      <c r="BY293" s="43"/>
      <c r="BZ293" s="43"/>
      <c r="CA293" s="43"/>
      <c r="CB293" s="43"/>
      <c r="CC293" s="43"/>
      <c r="CD293" s="43"/>
      <c r="CE293" s="43"/>
      <c r="CF293" s="43"/>
      <c r="CG293" s="43"/>
      <c r="CH293" s="43"/>
      <c r="CI293" s="43"/>
      <c r="CJ293" s="43"/>
      <c r="CK293" s="43"/>
      <c r="CL293" s="43"/>
      <c r="CM293" s="43"/>
      <c r="CN293" s="43"/>
      <c r="CO293" s="43"/>
      <c r="CP293" s="43"/>
      <c r="CQ293" s="43"/>
      <c r="CR293" s="43"/>
      <c r="CS293" s="43"/>
      <c r="CT293" s="43"/>
      <c r="CU293" s="43"/>
      <c r="CV293" s="43"/>
      <c r="CW293" s="43"/>
      <c r="CX293" s="43"/>
      <c r="CY293" s="43"/>
      <c r="CZ293" s="43"/>
      <c r="DA293" s="43"/>
      <c r="DB293" s="43"/>
      <c r="DC293" s="43"/>
      <c r="DD293" s="43"/>
      <c r="DE293" s="43"/>
      <c r="DF293" s="43"/>
      <c r="DG293" s="43"/>
      <c r="DH293" s="43"/>
      <c r="DI293" s="43"/>
      <c r="DJ293" s="43"/>
      <c r="DK293" s="43"/>
      <c r="DL293" s="43"/>
      <c r="DM293" s="43"/>
      <c r="DN293" s="43"/>
      <c r="DO293" s="43"/>
      <c r="DP293" s="43"/>
      <c r="DQ293" s="43"/>
      <c r="DR293" s="43"/>
      <c r="DS293" s="43"/>
    </row>
    <row r="294" spans="1:123" ht="14.45">
      <c r="A294"/>
      <c r="B294"/>
      <c r="C294"/>
      <c r="D294"/>
      <c r="E294"/>
      <c r="F294"/>
      <c r="G294"/>
      <c r="H294"/>
      <c r="I294"/>
      <c r="J294"/>
      <c r="K294" s="43"/>
      <c r="L294" s="43"/>
      <c r="M294" s="43"/>
      <c r="N294" s="43"/>
      <c r="O294" s="43"/>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3"/>
      <c r="AM294" s="43"/>
      <c r="AN294" s="43"/>
      <c r="AO294" s="43"/>
      <c r="AP294" s="43"/>
      <c r="AQ294" s="43"/>
      <c r="AR294" s="43"/>
      <c r="AS294" s="43"/>
      <c r="AT294" s="43"/>
      <c r="AU294" s="43"/>
      <c r="AV294" s="43"/>
      <c r="AW294" s="43"/>
      <c r="AX294" s="43"/>
      <c r="AY294" s="43"/>
      <c r="AZ294" s="43"/>
      <c r="BA294" s="43"/>
      <c r="BB294" s="43"/>
      <c r="BC294" s="43"/>
      <c r="BD294" s="43"/>
      <c r="BE294" s="43"/>
      <c r="BF294" s="43"/>
      <c r="BG294" s="43"/>
      <c r="BH294" s="43"/>
      <c r="BI294" s="43"/>
      <c r="BJ294" s="43"/>
      <c r="BK294" s="43"/>
      <c r="BL294" s="43"/>
      <c r="BM294" s="43"/>
      <c r="BN294" s="43"/>
      <c r="BO294" s="43"/>
      <c r="BP294" s="43"/>
      <c r="BQ294" s="43"/>
      <c r="BR294" s="43"/>
      <c r="BS294" s="43"/>
      <c r="BT294" s="43"/>
      <c r="BU294" s="43"/>
      <c r="BV294" s="43"/>
      <c r="BW294" s="43"/>
      <c r="BX294" s="43"/>
      <c r="BY294" s="43"/>
      <c r="BZ294" s="43"/>
      <c r="CA294" s="43"/>
      <c r="CB294" s="43"/>
      <c r="CC294" s="43"/>
      <c r="CD294" s="43"/>
      <c r="CE294" s="43"/>
      <c r="CF294" s="43"/>
      <c r="CG294" s="43"/>
      <c r="CH294" s="43"/>
      <c r="CI294" s="43"/>
      <c r="CJ294" s="43"/>
      <c r="CK294" s="43"/>
      <c r="CL294" s="43"/>
      <c r="CM294" s="43"/>
      <c r="CN294" s="43"/>
      <c r="CO294" s="43"/>
      <c r="CP294" s="43"/>
      <c r="CQ294" s="43"/>
      <c r="CR294" s="43"/>
      <c r="CS294" s="43"/>
      <c r="CT294" s="43"/>
      <c r="CU294" s="43"/>
      <c r="CV294" s="43"/>
      <c r="CW294" s="43"/>
      <c r="CX294" s="43"/>
      <c r="CY294" s="43"/>
      <c r="CZ294" s="43"/>
      <c r="DA294" s="43"/>
      <c r="DB294" s="43"/>
      <c r="DC294" s="43"/>
      <c r="DD294" s="43"/>
      <c r="DE294" s="43"/>
      <c r="DF294" s="43"/>
      <c r="DG294" s="43"/>
      <c r="DH294" s="43"/>
      <c r="DI294" s="43"/>
      <c r="DJ294" s="43"/>
      <c r="DK294" s="43"/>
      <c r="DL294" s="43"/>
      <c r="DM294" s="43"/>
      <c r="DN294" s="43"/>
      <c r="DO294" s="43"/>
      <c r="DP294" s="43"/>
      <c r="DQ294" s="43"/>
      <c r="DR294" s="43"/>
      <c r="DS294" s="43"/>
    </row>
    <row r="295" spans="1:123" ht="14.45">
      <c r="A295"/>
      <c r="B295"/>
      <c r="C295"/>
      <c r="D295"/>
      <c r="E295"/>
      <c r="F295"/>
      <c r="G295"/>
      <c r="H295"/>
      <c r="I295"/>
      <c r="J295"/>
      <c r="K295" s="43"/>
      <c r="L295" s="43"/>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c r="AM295" s="43"/>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c r="BO295" s="43"/>
      <c r="BP295" s="43"/>
      <c r="BQ295" s="43"/>
      <c r="BR295" s="43"/>
      <c r="BS295" s="43"/>
      <c r="BT295" s="43"/>
      <c r="BU295" s="43"/>
      <c r="BV295" s="43"/>
      <c r="BW295" s="43"/>
      <c r="BX295" s="43"/>
      <c r="BY295" s="43"/>
      <c r="BZ295" s="43"/>
      <c r="CA295" s="43"/>
      <c r="CB295" s="43"/>
      <c r="CC295" s="43"/>
      <c r="CD295" s="43"/>
      <c r="CE295" s="43"/>
      <c r="CF295" s="43"/>
      <c r="CG295" s="43"/>
      <c r="CH295" s="43"/>
      <c r="CI295" s="43"/>
      <c r="CJ295" s="43"/>
      <c r="CK295" s="43"/>
      <c r="CL295" s="43"/>
      <c r="CM295" s="43"/>
      <c r="CN295" s="43"/>
      <c r="CO295" s="43"/>
      <c r="CP295" s="43"/>
      <c r="CQ295" s="43"/>
      <c r="CR295" s="43"/>
      <c r="CS295" s="43"/>
      <c r="CT295" s="43"/>
      <c r="CU295" s="43"/>
      <c r="CV295" s="43"/>
      <c r="CW295" s="43"/>
      <c r="CX295" s="43"/>
      <c r="CY295" s="43"/>
      <c r="CZ295" s="43"/>
      <c r="DA295" s="43"/>
      <c r="DB295" s="43"/>
      <c r="DC295" s="43"/>
      <c r="DD295" s="43"/>
      <c r="DE295" s="43"/>
      <c r="DF295" s="43"/>
      <c r="DG295" s="43"/>
      <c r="DH295" s="43"/>
      <c r="DI295" s="43"/>
      <c r="DJ295" s="43"/>
      <c r="DK295" s="43"/>
      <c r="DL295" s="43"/>
      <c r="DM295" s="43"/>
      <c r="DN295" s="43"/>
      <c r="DO295" s="43"/>
      <c r="DP295" s="43"/>
      <c r="DQ295" s="43"/>
      <c r="DR295" s="43"/>
      <c r="DS295" s="43"/>
    </row>
    <row r="296" spans="1:123" ht="14.45">
      <c r="A296"/>
      <c r="B296"/>
      <c r="C296"/>
      <c r="D296"/>
      <c r="E296"/>
      <c r="F296"/>
      <c r="G296"/>
      <c r="H296"/>
      <c r="I296"/>
      <c r="J296"/>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c r="BO296" s="43"/>
      <c r="BP296" s="43"/>
      <c r="BQ296" s="43"/>
      <c r="BR296" s="43"/>
      <c r="BS296" s="43"/>
      <c r="BT296" s="43"/>
      <c r="BU296" s="43"/>
      <c r="BV296" s="43"/>
      <c r="BW296" s="43"/>
      <c r="BX296" s="43"/>
      <c r="BY296" s="43"/>
      <c r="BZ296" s="43"/>
      <c r="CA296" s="43"/>
      <c r="CB296" s="43"/>
      <c r="CC296" s="43"/>
      <c r="CD296" s="43"/>
      <c r="CE296" s="43"/>
      <c r="CF296" s="43"/>
      <c r="CG296" s="43"/>
      <c r="CH296" s="43"/>
      <c r="CI296" s="43"/>
      <c r="CJ296" s="43"/>
      <c r="CK296" s="43"/>
      <c r="CL296" s="43"/>
      <c r="CM296" s="43"/>
      <c r="CN296" s="43"/>
      <c r="CO296" s="43"/>
      <c r="CP296" s="43"/>
      <c r="CQ296" s="43"/>
      <c r="CR296" s="43"/>
      <c r="CS296" s="43"/>
      <c r="CT296" s="43"/>
      <c r="CU296" s="43"/>
      <c r="CV296" s="43"/>
      <c r="CW296" s="43"/>
      <c r="CX296" s="43"/>
      <c r="CY296" s="43"/>
      <c r="CZ296" s="43"/>
      <c r="DA296" s="43"/>
      <c r="DB296" s="43"/>
      <c r="DC296" s="43"/>
      <c r="DD296" s="43"/>
      <c r="DE296" s="43"/>
      <c r="DF296" s="43"/>
      <c r="DG296" s="43"/>
      <c r="DH296" s="43"/>
      <c r="DI296" s="43"/>
      <c r="DJ296" s="43"/>
      <c r="DK296" s="43"/>
      <c r="DL296" s="43"/>
      <c r="DM296" s="43"/>
      <c r="DN296" s="43"/>
      <c r="DO296" s="43"/>
      <c r="DP296" s="43"/>
      <c r="DQ296" s="43"/>
      <c r="DR296" s="43"/>
      <c r="DS296" s="43"/>
    </row>
    <row r="297" spans="1:123" ht="14.45">
      <c r="A297"/>
      <c r="B297"/>
      <c r="C297"/>
      <c r="D297"/>
      <c r="E297"/>
      <c r="F297"/>
      <c r="G297"/>
      <c r="H297"/>
      <c r="I297"/>
      <c r="J297"/>
      <c r="K297" s="43"/>
      <c r="L297" s="43"/>
      <c r="M297" s="43"/>
      <c r="N297" s="43"/>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c r="AM297" s="43"/>
      <c r="AN297" s="43"/>
      <c r="AO297" s="43"/>
      <c r="AP297" s="43"/>
      <c r="AQ297" s="43"/>
      <c r="AR297" s="43"/>
      <c r="AS297" s="43"/>
      <c r="AT297" s="43"/>
      <c r="AU297" s="43"/>
      <c r="AV297" s="43"/>
      <c r="AW297" s="43"/>
      <c r="AX297" s="43"/>
      <c r="AY297" s="43"/>
      <c r="AZ297" s="43"/>
      <c r="BA297" s="43"/>
      <c r="BB297" s="43"/>
      <c r="BC297" s="43"/>
      <c r="BD297" s="43"/>
      <c r="BE297" s="43"/>
      <c r="BF297" s="43"/>
      <c r="BG297" s="43"/>
      <c r="BH297" s="43"/>
      <c r="BI297" s="43"/>
      <c r="BJ297" s="43"/>
      <c r="BK297" s="43"/>
      <c r="BL297" s="43"/>
      <c r="BM297" s="43"/>
      <c r="BN297" s="43"/>
      <c r="BO297" s="43"/>
      <c r="BP297" s="43"/>
      <c r="BQ297" s="43"/>
      <c r="BR297" s="43"/>
      <c r="BS297" s="43"/>
      <c r="BT297" s="43"/>
      <c r="BU297" s="43"/>
      <c r="BV297" s="43"/>
      <c r="BW297" s="43"/>
      <c r="BX297" s="43"/>
      <c r="BY297" s="43"/>
      <c r="BZ297" s="43"/>
      <c r="CA297" s="43"/>
      <c r="CB297" s="43"/>
      <c r="CC297" s="43"/>
      <c r="CD297" s="43"/>
      <c r="CE297" s="43"/>
      <c r="CF297" s="43"/>
      <c r="CG297" s="43"/>
      <c r="CH297" s="43"/>
      <c r="CI297" s="43"/>
      <c r="CJ297" s="43"/>
      <c r="CK297" s="43"/>
      <c r="CL297" s="43"/>
      <c r="CM297" s="43"/>
      <c r="CN297" s="43"/>
      <c r="CO297" s="43"/>
      <c r="CP297" s="43"/>
      <c r="CQ297" s="43"/>
      <c r="CR297" s="43"/>
      <c r="CS297" s="43"/>
      <c r="CT297" s="43"/>
      <c r="CU297" s="43"/>
      <c r="CV297" s="43"/>
      <c r="CW297" s="43"/>
      <c r="CX297" s="43"/>
      <c r="CY297" s="43"/>
      <c r="CZ297" s="43"/>
      <c r="DA297" s="43"/>
      <c r="DB297" s="43"/>
      <c r="DC297" s="43"/>
      <c r="DD297" s="43"/>
      <c r="DE297" s="43"/>
      <c r="DF297" s="43"/>
      <c r="DG297" s="43"/>
      <c r="DH297" s="43"/>
      <c r="DI297" s="43"/>
      <c r="DJ297" s="43"/>
      <c r="DK297" s="43"/>
      <c r="DL297" s="43"/>
      <c r="DM297" s="43"/>
      <c r="DN297" s="43"/>
      <c r="DO297" s="43"/>
      <c r="DP297" s="43"/>
      <c r="DQ297" s="43"/>
      <c r="DR297" s="43"/>
      <c r="DS297" s="43"/>
    </row>
    <row r="298" spans="1:123" ht="14.45">
      <c r="A298"/>
      <c r="B298"/>
      <c r="C298"/>
      <c r="D298"/>
      <c r="E298"/>
      <c r="F298"/>
      <c r="G298"/>
      <c r="H298"/>
      <c r="I298"/>
      <c r="J298"/>
      <c r="K298" s="43"/>
      <c r="L298" s="43"/>
      <c r="M298" s="43"/>
      <c r="N298" s="43"/>
      <c r="O298" s="43"/>
      <c r="P298" s="43"/>
      <c r="Q298" s="43"/>
      <c r="R298" s="43"/>
      <c r="S298" s="43"/>
      <c r="T298" s="43"/>
      <c r="U298" s="43"/>
      <c r="V298" s="43"/>
      <c r="W298" s="43"/>
      <c r="X298" s="43"/>
      <c r="Y298" s="43"/>
      <c r="Z298" s="43"/>
      <c r="AA298" s="43"/>
      <c r="AB298" s="43"/>
      <c r="AC298" s="43"/>
      <c r="AD298" s="43"/>
      <c r="AE298" s="43"/>
      <c r="AF298" s="43"/>
      <c r="AG298" s="43"/>
      <c r="AH298" s="43"/>
      <c r="AI298" s="43"/>
      <c r="AJ298" s="43"/>
      <c r="AK298" s="43"/>
      <c r="AL298" s="43"/>
      <c r="AM298" s="43"/>
      <c r="AN298" s="43"/>
      <c r="AO298" s="43"/>
      <c r="AP298" s="43"/>
      <c r="AQ298" s="43"/>
      <c r="AR298" s="43"/>
      <c r="AS298" s="43"/>
      <c r="AT298" s="43"/>
      <c r="AU298" s="43"/>
      <c r="AV298" s="43"/>
      <c r="AW298" s="43"/>
      <c r="AX298" s="43"/>
      <c r="AY298" s="43"/>
      <c r="AZ298" s="43"/>
      <c r="BA298" s="43"/>
      <c r="BB298" s="43"/>
      <c r="BC298" s="43"/>
      <c r="BD298" s="43"/>
      <c r="BE298" s="43"/>
      <c r="BF298" s="43"/>
      <c r="BG298" s="43"/>
      <c r="BH298" s="43"/>
      <c r="BI298" s="43"/>
      <c r="BJ298" s="43"/>
      <c r="BK298" s="43"/>
      <c r="BL298" s="43"/>
      <c r="BM298" s="43"/>
      <c r="BN298" s="43"/>
      <c r="BO298" s="43"/>
      <c r="BP298" s="43"/>
      <c r="BQ298" s="43"/>
      <c r="BR298" s="43"/>
      <c r="BS298" s="43"/>
      <c r="BT298" s="43"/>
      <c r="BU298" s="43"/>
      <c r="BV298" s="43"/>
      <c r="BW298" s="43"/>
      <c r="BX298" s="43"/>
      <c r="BY298" s="43"/>
      <c r="BZ298" s="43"/>
      <c r="CA298" s="43"/>
      <c r="CB298" s="43"/>
      <c r="CC298" s="43"/>
      <c r="CD298" s="43"/>
      <c r="CE298" s="43"/>
      <c r="CF298" s="43"/>
      <c r="CG298" s="43"/>
      <c r="CH298" s="43"/>
      <c r="CI298" s="43"/>
      <c r="CJ298" s="43"/>
      <c r="CK298" s="43"/>
      <c r="CL298" s="43"/>
      <c r="CM298" s="43"/>
      <c r="CN298" s="43"/>
      <c r="CO298" s="43"/>
      <c r="CP298" s="43"/>
      <c r="CQ298" s="43"/>
      <c r="CR298" s="43"/>
      <c r="CS298" s="43"/>
      <c r="CT298" s="43"/>
      <c r="CU298" s="43"/>
      <c r="CV298" s="43"/>
      <c r="CW298" s="43"/>
      <c r="CX298" s="43"/>
      <c r="CY298" s="43"/>
      <c r="CZ298" s="43"/>
      <c r="DA298" s="43"/>
      <c r="DB298" s="43"/>
      <c r="DC298" s="43"/>
      <c r="DD298" s="43"/>
      <c r="DE298" s="43"/>
      <c r="DF298" s="43"/>
      <c r="DG298" s="43"/>
      <c r="DH298" s="43"/>
      <c r="DI298" s="43"/>
      <c r="DJ298" s="43"/>
      <c r="DK298" s="43"/>
      <c r="DL298" s="43"/>
      <c r="DM298" s="43"/>
      <c r="DN298" s="43"/>
      <c r="DO298" s="43"/>
      <c r="DP298" s="43"/>
      <c r="DQ298" s="43"/>
      <c r="DR298" s="43"/>
      <c r="DS298" s="43"/>
    </row>
    <row r="299" spans="1:123" ht="14.45">
      <c r="A299"/>
      <c r="B299"/>
      <c r="C299"/>
      <c r="D299"/>
      <c r="E299"/>
      <c r="F299"/>
      <c r="G299"/>
      <c r="H299"/>
      <c r="I299"/>
      <c r="J299"/>
      <c r="K299" s="43"/>
      <c r="L299" s="43"/>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3"/>
      <c r="AM299" s="43"/>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c r="BO299" s="43"/>
      <c r="BP299" s="43"/>
      <c r="BQ299" s="43"/>
      <c r="BR299" s="43"/>
      <c r="BS299" s="43"/>
      <c r="BT299" s="43"/>
      <c r="BU299" s="43"/>
      <c r="BV299" s="43"/>
      <c r="BW299" s="43"/>
      <c r="BX299" s="43"/>
      <c r="BY299" s="43"/>
      <c r="BZ299" s="43"/>
      <c r="CA299" s="43"/>
      <c r="CB299" s="43"/>
      <c r="CC299" s="43"/>
      <c r="CD299" s="43"/>
      <c r="CE299" s="43"/>
      <c r="CF299" s="43"/>
      <c r="CG299" s="43"/>
      <c r="CH299" s="43"/>
      <c r="CI299" s="43"/>
      <c r="CJ299" s="43"/>
      <c r="CK299" s="43"/>
      <c r="CL299" s="43"/>
      <c r="CM299" s="43"/>
      <c r="CN299" s="43"/>
      <c r="CO299" s="43"/>
      <c r="CP299" s="43"/>
      <c r="CQ299" s="43"/>
      <c r="CR299" s="43"/>
      <c r="CS299" s="43"/>
      <c r="CT299" s="43"/>
      <c r="CU299" s="43"/>
      <c r="CV299" s="43"/>
      <c r="CW299" s="43"/>
      <c r="CX299" s="43"/>
      <c r="CY299" s="43"/>
      <c r="CZ299" s="43"/>
      <c r="DA299" s="43"/>
      <c r="DB299" s="43"/>
      <c r="DC299" s="43"/>
      <c r="DD299" s="43"/>
      <c r="DE299" s="43"/>
      <c r="DF299" s="43"/>
      <c r="DG299" s="43"/>
      <c r="DH299" s="43"/>
      <c r="DI299" s="43"/>
      <c r="DJ299" s="43"/>
      <c r="DK299" s="43"/>
      <c r="DL299" s="43"/>
      <c r="DM299" s="43"/>
      <c r="DN299" s="43"/>
      <c r="DO299" s="43"/>
      <c r="DP299" s="43"/>
      <c r="DQ299" s="43"/>
      <c r="DR299" s="43"/>
      <c r="DS299" s="43"/>
    </row>
    <row r="300" spans="1:123" ht="14.45">
      <c r="A300"/>
      <c r="B300"/>
      <c r="C300"/>
      <c r="D300"/>
      <c r="E300"/>
      <c r="F300"/>
      <c r="G300"/>
      <c r="H300"/>
      <c r="I300"/>
      <c r="J300"/>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43"/>
      <c r="AT300" s="43"/>
      <c r="AU300" s="43"/>
      <c r="AV300" s="43"/>
      <c r="AW300" s="43"/>
      <c r="AX300" s="43"/>
      <c r="AY300" s="43"/>
      <c r="AZ300" s="43"/>
      <c r="BA300" s="43"/>
      <c r="BB300" s="43"/>
      <c r="BC300" s="43"/>
      <c r="BD300" s="43"/>
      <c r="BE300" s="43"/>
      <c r="BF300" s="43"/>
      <c r="BG300" s="43"/>
      <c r="BH300" s="43"/>
      <c r="BI300" s="43"/>
      <c r="BJ300" s="43"/>
      <c r="BK300" s="43"/>
      <c r="BL300" s="43"/>
      <c r="BM300" s="43"/>
      <c r="BN300" s="43"/>
      <c r="BO300" s="43"/>
      <c r="BP300" s="43"/>
      <c r="BQ300" s="43"/>
      <c r="BR300" s="43"/>
      <c r="BS300" s="43"/>
      <c r="BT300" s="43"/>
      <c r="BU300" s="43"/>
      <c r="BV300" s="43"/>
      <c r="BW300" s="43"/>
      <c r="BX300" s="43"/>
      <c r="BY300" s="43"/>
      <c r="BZ300" s="43"/>
      <c r="CA300" s="43"/>
      <c r="CB300" s="43"/>
      <c r="CC300" s="43"/>
      <c r="CD300" s="43"/>
      <c r="CE300" s="43"/>
      <c r="CF300" s="43"/>
      <c r="CG300" s="43"/>
      <c r="CH300" s="43"/>
      <c r="CI300" s="43"/>
      <c r="CJ300" s="43"/>
      <c r="CK300" s="43"/>
      <c r="CL300" s="43"/>
      <c r="CM300" s="43"/>
      <c r="CN300" s="43"/>
      <c r="CO300" s="43"/>
      <c r="CP300" s="43"/>
      <c r="CQ300" s="43"/>
      <c r="CR300" s="43"/>
      <c r="CS300" s="43"/>
      <c r="CT300" s="43"/>
      <c r="CU300" s="43"/>
      <c r="CV300" s="43"/>
      <c r="CW300" s="43"/>
      <c r="CX300" s="43"/>
      <c r="CY300" s="43"/>
      <c r="CZ300" s="43"/>
      <c r="DA300" s="43"/>
      <c r="DB300" s="43"/>
      <c r="DC300" s="43"/>
      <c r="DD300" s="43"/>
      <c r="DE300" s="43"/>
      <c r="DF300" s="43"/>
      <c r="DG300" s="43"/>
      <c r="DH300" s="43"/>
      <c r="DI300" s="43"/>
      <c r="DJ300" s="43"/>
      <c r="DK300" s="43"/>
      <c r="DL300" s="43"/>
      <c r="DM300" s="43"/>
      <c r="DN300" s="43"/>
      <c r="DO300" s="43"/>
      <c r="DP300" s="43"/>
      <c r="DQ300" s="43"/>
      <c r="DR300" s="43"/>
      <c r="DS300" s="43"/>
    </row>
    <row r="301" spans="1:123" ht="14.45">
      <c r="A301"/>
      <c r="B301"/>
      <c r="C301"/>
      <c r="D301"/>
      <c r="E301"/>
      <c r="F301"/>
      <c r="G301"/>
      <c r="H301"/>
      <c r="I301"/>
      <c r="J301"/>
      <c r="K301" s="43"/>
      <c r="L301" s="43"/>
      <c r="M301" s="43"/>
      <c r="N301" s="43"/>
      <c r="O301" s="43"/>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3"/>
      <c r="AM301" s="43"/>
      <c r="AN301" s="43"/>
      <c r="AO301" s="43"/>
      <c r="AP301" s="43"/>
      <c r="AQ301" s="43"/>
      <c r="AR301" s="43"/>
      <c r="AS301" s="43"/>
      <c r="AT301" s="43"/>
      <c r="AU301" s="43"/>
      <c r="AV301" s="43"/>
      <c r="AW301" s="43"/>
      <c r="AX301" s="43"/>
      <c r="AY301" s="43"/>
      <c r="AZ301" s="43"/>
      <c r="BA301" s="43"/>
      <c r="BB301" s="43"/>
      <c r="BC301" s="43"/>
      <c r="BD301" s="43"/>
      <c r="BE301" s="43"/>
      <c r="BF301" s="43"/>
      <c r="BG301" s="43"/>
      <c r="BH301" s="43"/>
      <c r="BI301" s="43"/>
      <c r="BJ301" s="43"/>
      <c r="BK301" s="43"/>
      <c r="BL301" s="43"/>
      <c r="BM301" s="43"/>
      <c r="BN301" s="43"/>
      <c r="BO301" s="43"/>
      <c r="BP301" s="43"/>
      <c r="BQ301" s="43"/>
      <c r="BR301" s="43"/>
      <c r="BS301" s="43"/>
      <c r="BT301" s="43"/>
      <c r="BU301" s="43"/>
      <c r="BV301" s="43"/>
      <c r="BW301" s="43"/>
      <c r="BX301" s="43"/>
      <c r="BY301" s="43"/>
      <c r="BZ301" s="43"/>
      <c r="CA301" s="43"/>
      <c r="CB301" s="43"/>
      <c r="CC301" s="43"/>
      <c r="CD301" s="43"/>
      <c r="CE301" s="43"/>
      <c r="CF301" s="43"/>
      <c r="CG301" s="43"/>
      <c r="CH301" s="43"/>
      <c r="CI301" s="43"/>
      <c r="CJ301" s="43"/>
      <c r="CK301" s="43"/>
      <c r="CL301" s="43"/>
      <c r="CM301" s="43"/>
      <c r="CN301" s="43"/>
      <c r="CO301" s="43"/>
      <c r="CP301" s="43"/>
      <c r="CQ301" s="43"/>
      <c r="CR301" s="43"/>
      <c r="CS301" s="43"/>
      <c r="CT301" s="43"/>
      <c r="CU301" s="43"/>
      <c r="CV301" s="43"/>
      <c r="CW301" s="43"/>
      <c r="CX301" s="43"/>
      <c r="CY301" s="43"/>
      <c r="CZ301" s="43"/>
      <c r="DA301" s="43"/>
      <c r="DB301" s="43"/>
      <c r="DC301" s="43"/>
      <c r="DD301" s="43"/>
      <c r="DE301" s="43"/>
      <c r="DF301" s="43"/>
      <c r="DG301" s="43"/>
      <c r="DH301" s="43"/>
      <c r="DI301" s="43"/>
      <c r="DJ301" s="43"/>
      <c r="DK301" s="43"/>
      <c r="DL301" s="43"/>
      <c r="DM301" s="43"/>
      <c r="DN301" s="43"/>
      <c r="DO301" s="43"/>
      <c r="DP301" s="43"/>
      <c r="DQ301" s="43"/>
      <c r="DR301" s="43"/>
      <c r="DS301" s="43"/>
    </row>
    <row r="302" spans="1:123" ht="14.45">
      <c r="A302"/>
      <c r="B302"/>
      <c r="C302"/>
      <c r="D302"/>
      <c r="E302"/>
      <c r="F302"/>
      <c r="G302"/>
      <c r="H302"/>
      <c r="I302"/>
      <c r="J302"/>
      <c r="K302" s="43"/>
      <c r="L302" s="43"/>
      <c r="M302" s="43"/>
      <c r="N302" s="43"/>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c r="AM302" s="43"/>
      <c r="AN302" s="43"/>
      <c r="AO302" s="43"/>
      <c r="AP302" s="43"/>
      <c r="AQ302" s="43"/>
      <c r="AR302" s="43"/>
      <c r="AS302" s="43"/>
      <c r="AT302" s="43"/>
      <c r="AU302" s="43"/>
      <c r="AV302" s="43"/>
      <c r="AW302" s="43"/>
      <c r="AX302" s="43"/>
      <c r="AY302" s="43"/>
      <c r="AZ302" s="43"/>
      <c r="BA302" s="43"/>
      <c r="BB302" s="43"/>
      <c r="BC302" s="43"/>
      <c r="BD302" s="43"/>
      <c r="BE302" s="43"/>
      <c r="BF302" s="43"/>
      <c r="BG302" s="43"/>
      <c r="BH302" s="43"/>
      <c r="BI302" s="43"/>
      <c r="BJ302" s="43"/>
      <c r="BK302" s="43"/>
      <c r="BL302" s="43"/>
      <c r="BM302" s="43"/>
      <c r="BN302" s="43"/>
      <c r="BO302" s="43"/>
      <c r="BP302" s="43"/>
      <c r="BQ302" s="43"/>
      <c r="BR302" s="43"/>
      <c r="BS302" s="43"/>
      <c r="BT302" s="43"/>
      <c r="BU302" s="43"/>
      <c r="BV302" s="43"/>
      <c r="BW302" s="43"/>
      <c r="BX302" s="43"/>
      <c r="BY302" s="43"/>
      <c r="BZ302" s="43"/>
      <c r="CA302" s="43"/>
      <c r="CB302" s="43"/>
      <c r="CC302" s="43"/>
      <c r="CD302" s="43"/>
      <c r="CE302" s="43"/>
      <c r="CF302" s="43"/>
      <c r="CG302" s="43"/>
      <c r="CH302" s="43"/>
      <c r="CI302" s="43"/>
      <c r="CJ302" s="43"/>
      <c r="CK302" s="43"/>
      <c r="CL302" s="43"/>
      <c r="CM302" s="43"/>
      <c r="CN302" s="43"/>
      <c r="CO302" s="43"/>
      <c r="CP302" s="43"/>
      <c r="CQ302" s="43"/>
      <c r="CR302" s="43"/>
      <c r="CS302" s="43"/>
      <c r="CT302" s="43"/>
      <c r="CU302" s="43"/>
      <c r="CV302" s="43"/>
      <c r="CW302" s="43"/>
      <c r="CX302" s="43"/>
      <c r="CY302" s="43"/>
      <c r="CZ302" s="43"/>
      <c r="DA302" s="43"/>
      <c r="DB302" s="43"/>
      <c r="DC302" s="43"/>
      <c r="DD302" s="43"/>
      <c r="DE302" s="43"/>
      <c r="DF302" s="43"/>
      <c r="DG302" s="43"/>
      <c r="DH302" s="43"/>
      <c r="DI302" s="43"/>
      <c r="DJ302" s="43"/>
      <c r="DK302" s="43"/>
      <c r="DL302" s="43"/>
      <c r="DM302" s="43"/>
      <c r="DN302" s="43"/>
      <c r="DO302" s="43"/>
      <c r="DP302" s="43"/>
      <c r="DQ302" s="43"/>
      <c r="DR302" s="43"/>
      <c r="DS302" s="43"/>
    </row>
    <row r="303" spans="1:123" ht="14.45">
      <c r="A303"/>
      <c r="B303"/>
      <c r="C303"/>
      <c r="D303"/>
      <c r="E303"/>
      <c r="F303"/>
      <c r="G303"/>
      <c r="H303"/>
      <c r="I303"/>
      <c r="J303"/>
      <c r="K303" s="43"/>
      <c r="L303" s="43"/>
      <c r="M303" s="43"/>
      <c r="N303" s="43"/>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c r="AM303" s="43"/>
      <c r="AN303" s="43"/>
      <c r="AO303" s="43"/>
      <c r="AP303" s="43"/>
      <c r="AQ303" s="43"/>
      <c r="AR303" s="43"/>
      <c r="AS303" s="43"/>
      <c r="AT303" s="43"/>
      <c r="AU303" s="43"/>
      <c r="AV303" s="43"/>
      <c r="AW303" s="43"/>
      <c r="AX303" s="43"/>
      <c r="AY303" s="43"/>
      <c r="AZ303" s="43"/>
      <c r="BA303" s="43"/>
      <c r="BB303" s="43"/>
      <c r="BC303" s="43"/>
      <c r="BD303" s="43"/>
      <c r="BE303" s="43"/>
      <c r="BF303" s="43"/>
      <c r="BG303" s="43"/>
      <c r="BH303" s="43"/>
      <c r="BI303" s="43"/>
      <c r="BJ303" s="43"/>
      <c r="BK303" s="43"/>
      <c r="BL303" s="43"/>
      <c r="BM303" s="43"/>
      <c r="BN303" s="43"/>
      <c r="BO303" s="43"/>
      <c r="BP303" s="43"/>
      <c r="BQ303" s="43"/>
      <c r="BR303" s="43"/>
      <c r="BS303" s="43"/>
      <c r="BT303" s="43"/>
      <c r="BU303" s="43"/>
      <c r="BV303" s="43"/>
      <c r="BW303" s="43"/>
      <c r="BX303" s="43"/>
      <c r="BY303" s="43"/>
      <c r="BZ303" s="43"/>
      <c r="CA303" s="43"/>
      <c r="CB303" s="43"/>
      <c r="CC303" s="43"/>
      <c r="CD303" s="43"/>
      <c r="CE303" s="43"/>
      <c r="CF303" s="43"/>
      <c r="CG303" s="43"/>
      <c r="CH303" s="43"/>
      <c r="CI303" s="43"/>
      <c r="CJ303" s="43"/>
      <c r="CK303" s="43"/>
      <c r="CL303" s="43"/>
      <c r="CM303" s="43"/>
      <c r="CN303" s="43"/>
      <c r="CO303" s="43"/>
      <c r="CP303" s="43"/>
      <c r="CQ303" s="43"/>
      <c r="CR303" s="43"/>
      <c r="CS303" s="43"/>
      <c r="CT303" s="43"/>
      <c r="CU303" s="43"/>
      <c r="CV303" s="43"/>
      <c r="CW303" s="43"/>
      <c r="CX303" s="43"/>
      <c r="CY303" s="43"/>
      <c r="CZ303" s="43"/>
      <c r="DA303" s="43"/>
      <c r="DB303" s="43"/>
      <c r="DC303" s="43"/>
      <c r="DD303" s="43"/>
      <c r="DE303" s="43"/>
      <c r="DF303" s="43"/>
      <c r="DG303" s="43"/>
      <c r="DH303" s="43"/>
      <c r="DI303" s="43"/>
      <c r="DJ303" s="43"/>
      <c r="DK303" s="43"/>
      <c r="DL303" s="43"/>
      <c r="DM303" s="43"/>
      <c r="DN303" s="43"/>
      <c r="DO303" s="43"/>
      <c r="DP303" s="43"/>
      <c r="DQ303" s="43"/>
      <c r="DR303" s="43"/>
      <c r="DS303" s="43"/>
    </row>
    <row r="304" spans="1:123" ht="14.45">
      <c r="A304"/>
      <c r="B304"/>
      <c r="C304"/>
      <c r="D304"/>
      <c r="E304"/>
      <c r="F304"/>
      <c r="G304"/>
      <c r="H304"/>
      <c r="I304"/>
      <c r="J304"/>
      <c r="K304" s="43"/>
      <c r="L304" s="43"/>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3"/>
      <c r="AM304" s="43"/>
      <c r="AN304" s="43"/>
      <c r="AO304" s="43"/>
      <c r="AP304" s="43"/>
      <c r="AQ304" s="43"/>
      <c r="AR304" s="43"/>
      <c r="AS304" s="43"/>
      <c r="AT304" s="43"/>
      <c r="AU304" s="43"/>
      <c r="AV304" s="43"/>
      <c r="AW304" s="43"/>
      <c r="AX304" s="43"/>
      <c r="AY304" s="43"/>
      <c r="AZ304" s="43"/>
      <c r="BA304" s="43"/>
      <c r="BB304" s="43"/>
      <c r="BC304" s="43"/>
      <c r="BD304" s="43"/>
      <c r="BE304" s="43"/>
      <c r="BF304" s="43"/>
      <c r="BG304" s="43"/>
      <c r="BH304" s="43"/>
      <c r="BI304" s="43"/>
      <c r="BJ304" s="43"/>
      <c r="BK304" s="43"/>
      <c r="BL304" s="43"/>
      <c r="BM304" s="43"/>
      <c r="BN304" s="43"/>
      <c r="BO304" s="43"/>
      <c r="BP304" s="43"/>
      <c r="BQ304" s="43"/>
      <c r="BR304" s="43"/>
      <c r="BS304" s="43"/>
      <c r="BT304" s="43"/>
      <c r="BU304" s="43"/>
      <c r="BV304" s="43"/>
      <c r="BW304" s="43"/>
      <c r="BX304" s="43"/>
      <c r="BY304" s="43"/>
      <c r="BZ304" s="43"/>
      <c r="CA304" s="43"/>
      <c r="CB304" s="43"/>
      <c r="CC304" s="43"/>
      <c r="CD304" s="43"/>
      <c r="CE304" s="43"/>
      <c r="CF304" s="43"/>
      <c r="CG304" s="43"/>
      <c r="CH304" s="43"/>
      <c r="CI304" s="43"/>
      <c r="CJ304" s="43"/>
      <c r="CK304" s="43"/>
      <c r="CL304" s="43"/>
      <c r="CM304" s="43"/>
      <c r="CN304" s="43"/>
      <c r="CO304" s="43"/>
      <c r="CP304" s="43"/>
      <c r="CQ304" s="43"/>
      <c r="CR304" s="43"/>
      <c r="CS304" s="43"/>
      <c r="CT304" s="43"/>
      <c r="CU304" s="43"/>
      <c r="CV304" s="43"/>
      <c r="CW304" s="43"/>
      <c r="CX304" s="43"/>
      <c r="CY304" s="43"/>
      <c r="CZ304" s="43"/>
      <c r="DA304" s="43"/>
      <c r="DB304" s="43"/>
      <c r="DC304" s="43"/>
      <c r="DD304" s="43"/>
      <c r="DE304" s="43"/>
      <c r="DF304" s="43"/>
      <c r="DG304" s="43"/>
      <c r="DH304" s="43"/>
      <c r="DI304" s="43"/>
      <c r="DJ304" s="43"/>
      <c r="DK304" s="43"/>
      <c r="DL304" s="43"/>
      <c r="DM304" s="43"/>
      <c r="DN304" s="43"/>
      <c r="DO304" s="43"/>
      <c r="DP304" s="43"/>
      <c r="DQ304" s="43"/>
      <c r="DR304" s="43"/>
      <c r="DS304" s="43"/>
    </row>
    <row r="305" spans="1:123" ht="14.45">
      <c r="A305"/>
      <c r="B305"/>
      <c r="C305"/>
      <c r="D305"/>
      <c r="E305"/>
      <c r="F305"/>
      <c r="G305"/>
      <c r="H305"/>
      <c r="I305"/>
      <c r="J305"/>
      <c r="K305" s="43"/>
      <c r="L305" s="43"/>
      <c r="M305" s="43"/>
      <c r="N305" s="43"/>
      <c r="O305" s="43"/>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3"/>
      <c r="AM305" s="43"/>
      <c r="AN305" s="43"/>
      <c r="AO305" s="43"/>
      <c r="AP305" s="43"/>
      <c r="AQ305" s="43"/>
      <c r="AR305" s="43"/>
      <c r="AS305" s="43"/>
      <c r="AT305" s="43"/>
      <c r="AU305" s="43"/>
      <c r="AV305" s="43"/>
      <c r="AW305" s="43"/>
      <c r="AX305" s="43"/>
      <c r="AY305" s="43"/>
      <c r="AZ305" s="43"/>
      <c r="BA305" s="43"/>
      <c r="BB305" s="43"/>
      <c r="BC305" s="43"/>
      <c r="BD305" s="43"/>
      <c r="BE305" s="43"/>
      <c r="BF305" s="43"/>
      <c r="BG305" s="43"/>
      <c r="BH305" s="43"/>
      <c r="BI305" s="43"/>
      <c r="BJ305" s="43"/>
      <c r="BK305" s="43"/>
      <c r="BL305" s="43"/>
      <c r="BM305" s="43"/>
      <c r="BN305" s="43"/>
      <c r="BO305" s="43"/>
      <c r="BP305" s="43"/>
      <c r="BQ305" s="43"/>
      <c r="BR305" s="43"/>
      <c r="BS305" s="43"/>
      <c r="BT305" s="43"/>
      <c r="BU305" s="43"/>
      <c r="BV305" s="43"/>
      <c r="BW305" s="43"/>
      <c r="BX305" s="43"/>
      <c r="BY305" s="43"/>
      <c r="BZ305" s="43"/>
      <c r="CA305" s="43"/>
      <c r="CB305" s="43"/>
      <c r="CC305" s="43"/>
      <c r="CD305" s="43"/>
      <c r="CE305" s="43"/>
      <c r="CF305" s="43"/>
      <c r="CG305" s="43"/>
      <c r="CH305" s="43"/>
      <c r="CI305" s="43"/>
      <c r="CJ305" s="43"/>
      <c r="CK305" s="43"/>
      <c r="CL305" s="43"/>
      <c r="CM305" s="43"/>
      <c r="CN305" s="43"/>
      <c r="CO305" s="43"/>
      <c r="CP305" s="43"/>
      <c r="CQ305" s="43"/>
      <c r="CR305" s="43"/>
      <c r="CS305" s="43"/>
      <c r="CT305" s="43"/>
      <c r="CU305" s="43"/>
      <c r="CV305" s="43"/>
      <c r="CW305" s="43"/>
      <c r="CX305" s="43"/>
      <c r="CY305" s="43"/>
      <c r="CZ305" s="43"/>
      <c r="DA305" s="43"/>
      <c r="DB305" s="43"/>
      <c r="DC305" s="43"/>
      <c r="DD305" s="43"/>
      <c r="DE305" s="43"/>
      <c r="DF305" s="43"/>
      <c r="DG305" s="43"/>
      <c r="DH305" s="43"/>
      <c r="DI305" s="43"/>
      <c r="DJ305" s="43"/>
      <c r="DK305" s="43"/>
      <c r="DL305" s="43"/>
      <c r="DM305" s="43"/>
      <c r="DN305" s="43"/>
      <c r="DO305" s="43"/>
      <c r="DP305" s="43"/>
      <c r="DQ305" s="43"/>
      <c r="DR305" s="43"/>
      <c r="DS305" s="43"/>
    </row>
    <row r="306" spans="1:123" ht="14.45">
      <c r="A306"/>
      <c r="B306"/>
      <c r="C306"/>
      <c r="D306"/>
      <c r="E306"/>
      <c r="F306"/>
      <c r="G306"/>
      <c r="H306"/>
      <c r="I306"/>
      <c r="J306"/>
      <c r="K306" s="43"/>
      <c r="L306" s="43"/>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3"/>
      <c r="AR306" s="43"/>
      <c r="AS306" s="43"/>
      <c r="AT306" s="43"/>
      <c r="AU306" s="43"/>
      <c r="AV306" s="43"/>
      <c r="AW306" s="43"/>
      <c r="AX306" s="43"/>
      <c r="AY306" s="43"/>
      <c r="AZ306" s="43"/>
      <c r="BA306" s="43"/>
      <c r="BB306" s="43"/>
      <c r="BC306" s="43"/>
      <c r="BD306" s="43"/>
      <c r="BE306" s="43"/>
      <c r="BF306" s="43"/>
      <c r="BG306" s="43"/>
      <c r="BH306" s="43"/>
      <c r="BI306" s="43"/>
      <c r="BJ306" s="43"/>
      <c r="BK306" s="43"/>
      <c r="BL306" s="43"/>
      <c r="BM306" s="43"/>
      <c r="BN306" s="43"/>
      <c r="BO306" s="43"/>
      <c r="BP306" s="43"/>
      <c r="BQ306" s="43"/>
      <c r="BR306" s="43"/>
      <c r="BS306" s="43"/>
      <c r="BT306" s="43"/>
      <c r="BU306" s="43"/>
      <c r="BV306" s="43"/>
      <c r="BW306" s="43"/>
      <c r="BX306" s="43"/>
      <c r="BY306" s="43"/>
      <c r="BZ306" s="43"/>
      <c r="CA306" s="43"/>
      <c r="CB306" s="43"/>
      <c r="CC306" s="43"/>
      <c r="CD306" s="43"/>
      <c r="CE306" s="43"/>
      <c r="CF306" s="43"/>
      <c r="CG306" s="43"/>
      <c r="CH306" s="43"/>
      <c r="CI306" s="43"/>
      <c r="CJ306" s="43"/>
      <c r="CK306" s="43"/>
      <c r="CL306" s="43"/>
      <c r="CM306" s="43"/>
      <c r="CN306" s="43"/>
      <c r="CO306" s="43"/>
      <c r="CP306" s="43"/>
      <c r="CQ306" s="43"/>
      <c r="CR306" s="43"/>
      <c r="CS306" s="43"/>
      <c r="CT306" s="43"/>
      <c r="CU306" s="43"/>
      <c r="CV306" s="43"/>
      <c r="CW306" s="43"/>
      <c r="CX306" s="43"/>
      <c r="CY306" s="43"/>
      <c r="CZ306" s="43"/>
      <c r="DA306" s="43"/>
      <c r="DB306" s="43"/>
      <c r="DC306" s="43"/>
      <c r="DD306" s="43"/>
      <c r="DE306" s="43"/>
      <c r="DF306" s="43"/>
      <c r="DG306" s="43"/>
      <c r="DH306" s="43"/>
      <c r="DI306" s="43"/>
      <c r="DJ306" s="43"/>
      <c r="DK306" s="43"/>
      <c r="DL306" s="43"/>
      <c r="DM306" s="43"/>
      <c r="DN306" s="43"/>
      <c r="DO306" s="43"/>
      <c r="DP306" s="43"/>
      <c r="DQ306" s="43"/>
      <c r="DR306" s="43"/>
      <c r="DS306" s="43"/>
    </row>
    <row r="307" spans="1:123" ht="14.45">
      <c r="A307"/>
      <c r="B307"/>
      <c r="C307"/>
      <c r="D307"/>
      <c r="E307"/>
      <c r="F307"/>
      <c r="G307"/>
      <c r="H307"/>
      <c r="I307"/>
      <c r="J307"/>
      <c r="K307" s="43"/>
      <c r="L307" s="43"/>
      <c r="M307" s="43"/>
      <c r="N307" s="43"/>
      <c r="O307" s="43"/>
      <c r="P307" s="43"/>
      <c r="Q307" s="43"/>
      <c r="R307" s="43"/>
      <c r="S307" s="43"/>
      <c r="T307" s="43"/>
      <c r="U307" s="43"/>
      <c r="V307" s="43"/>
      <c r="W307" s="43"/>
      <c r="X307" s="43"/>
      <c r="Y307" s="43"/>
      <c r="Z307" s="43"/>
      <c r="AA307" s="43"/>
      <c r="AB307" s="43"/>
      <c r="AC307" s="43"/>
      <c r="AD307" s="43"/>
      <c r="AE307" s="43"/>
      <c r="AF307" s="43"/>
      <c r="AG307" s="43"/>
      <c r="AH307" s="43"/>
      <c r="AI307" s="43"/>
      <c r="AJ307" s="43"/>
      <c r="AK307" s="43"/>
      <c r="AL307" s="43"/>
      <c r="AM307" s="43"/>
      <c r="AN307" s="43"/>
      <c r="AO307" s="43"/>
      <c r="AP307" s="43"/>
      <c r="AQ307" s="43"/>
      <c r="AR307" s="43"/>
      <c r="AS307" s="43"/>
      <c r="AT307" s="43"/>
      <c r="AU307" s="43"/>
      <c r="AV307" s="43"/>
      <c r="AW307" s="43"/>
      <c r="AX307" s="43"/>
      <c r="AY307" s="43"/>
      <c r="AZ307" s="43"/>
      <c r="BA307" s="43"/>
      <c r="BB307" s="43"/>
      <c r="BC307" s="43"/>
      <c r="BD307" s="43"/>
      <c r="BE307" s="43"/>
      <c r="BF307" s="43"/>
      <c r="BG307" s="43"/>
      <c r="BH307" s="43"/>
      <c r="BI307" s="43"/>
      <c r="BJ307" s="43"/>
      <c r="BK307" s="43"/>
      <c r="BL307" s="43"/>
      <c r="BM307" s="43"/>
      <c r="BN307" s="43"/>
      <c r="BO307" s="43"/>
      <c r="BP307" s="43"/>
      <c r="BQ307" s="43"/>
      <c r="BR307" s="43"/>
      <c r="BS307" s="43"/>
      <c r="BT307" s="43"/>
      <c r="BU307" s="43"/>
      <c r="BV307" s="43"/>
      <c r="BW307" s="43"/>
      <c r="BX307" s="43"/>
      <c r="BY307" s="43"/>
      <c r="BZ307" s="43"/>
      <c r="CA307" s="43"/>
      <c r="CB307" s="43"/>
      <c r="CC307" s="43"/>
      <c r="CD307" s="43"/>
      <c r="CE307" s="43"/>
      <c r="CF307" s="43"/>
      <c r="CG307" s="43"/>
      <c r="CH307" s="43"/>
      <c r="CI307" s="43"/>
      <c r="CJ307" s="43"/>
      <c r="CK307" s="43"/>
      <c r="CL307" s="43"/>
      <c r="CM307" s="43"/>
      <c r="CN307" s="43"/>
      <c r="CO307" s="43"/>
      <c r="CP307" s="43"/>
      <c r="CQ307" s="43"/>
      <c r="CR307" s="43"/>
      <c r="CS307" s="43"/>
      <c r="CT307" s="43"/>
      <c r="CU307" s="43"/>
      <c r="CV307" s="43"/>
      <c r="CW307" s="43"/>
      <c r="CX307" s="43"/>
      <c r="CY307" s="43"/>
      <c r="CZ307" s="43"/>
      <c r="DA307" s="43"/>
      <c r="DB307" s="43"/>
      <c r="DC307" s="43"/>
      <c r="DD307" s="43"/>
      <c r="DE307" s="43"/>
      <c r="DF307" s="43"/>
      <c r="DG307" s="43"/>
      <c r="DH307" s="43"/>
      <c r="DI307" s="43"/>
      <c r="DJ307" s="43"/>
      <c r="DK307" s="43"/>
      <c r="DL307" s="43"/>
      <c r="DM307" s="43"/>
      <c r="DN307" s="43"/>
      <c r="DO307" s="43"/>
      <c r="DP307" s="43"/>
      <c r="DQ307" s="43"/>
      <c r="DR307" s="43"/>
      <c r="DS307" s="43"/>
    </row>
    <row r="308" spans="1:123" ht="14.45">
      <c r="A308"/>
      <c r="B308"/>
      <c r="C308"/>
      <c r="D308"/>
      <c r="E308"/>
      <c r="F308"/>
      <c r="G308"/>
      <c r="H308"/>
      <c r="I308"/>
      <c r="J308"/>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c r="AR308" s="43"/>
      <c r="AS308" s="43"/>
      <c r="AT308" s="43"/>
      <c r="AU308" s="43"/>
      <c r="AV308" s="43"/>
      <c r="AW308" s="43"/>
      <c r="AX308" s="43"/>
      <c r="AY308" s="43"/>
      <c r="AZ308" s="43"/>
      <c r="BA308" s="43"/>
      <c r="BB308" s="43"/>
      <c r="BC308" s="43"/>
      <c r="BD308" s="43"/>
      <c r="BE308" s="43"/>
      <c r="BF308" s="43"/>
      <c r="BG308" s="43"/>
      <c r="BH308" s="43"/>
      <c r="BI308" s="43"/>
      <c r="BJ308" s="43"/>
      <c r="BK308" s="43"/>
      <c r="BL308" s="43"/>
      <c r="BM308" s="43"/>
      <c r="BN308" s="43"/>
      <c r="BO308" s="43"/>
      <c r="BP308" s="43"/>
      <c r="BQ308" s="43"/>
      <c r="BR308" s="43"/>
      <c r="BS308" s="43"/>
      <c r="BT308" s="43"/>
      <c r="BU308" s="43"/>
      <c r="BV308" s="43"/>
      <c r="BW308" s="43"/>
      <c r="BX308" s="43"/>
      <c r="BY308" s="43"/>
      <c r="BZ308" s="43"/>
      <c r="CA308" s="43"/>
      <c r="CB308" s="43"/>
      <c r="CC308" s="43"/>
      <c r="CD308" s="43"/>
      <c r="CE308" s="43"/>
      <c r="CF308" s="43"/>
      <c r="CG308" s="43"/>
      <c r="CH308" s="43"/>
      <c r="CI308" s="43"/>
      <c r="CJ308" s="43"/>
      <c r="CK308" s="43"/>
      <c r="CL308" s="43"/>
      <c r="CM308" s="43"/>
      <c r="CN308" s="43"/>
      <c r="CO308" s="43"/>
      <c r="CP308" s="43"/>
      <c r="CQ308" s="43"/>
      <c r="CR308" s="43"/>
      <c r="CS308" s="43"/>
      <c r="CT308" s="43"/>
      <c r="CU308" s="43"/>
      <c r="CV308" s="43"/>
      <c r="CW308" s="43"/>
      <c r="CX308" s="43"/>
      <c r="CY308" s="43"/>
      <c r="CZ308" s="43"/>
      <c r="DA308" s="43"/>
      <c r="DB308" s="43"/>
      <c r="DC308" s="43"/>
      <c r="DD308" s="43"/>
      <c r="DE308" s="43"/>
      <c r="DF308" s="43"/>
      <c r="DG308" s="43"/>
      <c r="DH308" s="43"/>
      <c r="DI308" s="43"/>
      <c r="DJ308" s="43"/>
      <c r="DK308" s="43"/>
      <c r="DL308" s="43"/>
      <c r="DM308" s="43"/>
      <c r="DN308" s="43"/>
      <c r="DO308" s="43"/>
      <c r="DP308" s="43"/>
      <c r="DQ308" s="43"/>
      <c r="DR308" s="43"/>
      <c r="DS308" s="43"/>
    </row>
    <row r="309" spans="1:123" ht="14.45">
      <c r="A309"/>
      <c r="B309"/>
      <c r="C309"/>
      <c r="D309"/>
      <c r="E309"/>
      <c r="F309"/>
      <c r="G309"/>
      <c r="H309"/>
      <c r="I309"/>
      <c r="J309"/>
      <c r="K309" s="43"/>
      <c r="L309" s="43"/>
      <c r="M309" s="43"/>
      <c r="N309" s="43"/>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c r="BO309" s="43"/>
      <c r="BP309" s="43"/>
      <c r="BQ309" s="43"/>
      <c r="BR309" s="43"/>
      <c r="BS309" s="43"/>
      <c r="BT309" s="43"/>
      <c r="BU309" s="43"/>
      <c r="BV309" s="43"/>
      <c r="BW309" s="43"/>
      <c r="BX309" s="43"/>
      <c r="BY309" s="43"/>
      <c r="BZ309" s="43"/>
      <c r="CA309" s="43"/>
      <c r="CB309" s="43"/>
      <c r="CC309" s="43"/>
      <c r="CD309" s="43"/>
      <c r="CE309" s="43"/>
      <c r="CF309" s="43"/>
      <c r="CG309" s="43"/>
      <c r="CH309" s="43"/>
      <c r="CI309" s="43"/>
      <c r="CJ309" s="43"/>
      <c r="CK309" s="43"/>
      <c r="CL309" s="43"/>
      <c r="CM309" s="43"/>
      <c r="CN309" s="43"/>
      <c r="CO309" s="43"/>
      <c r="CP309" s="43"/>
      <c r="CQ309" s="43"/>
      <c r="CR309" s="43"/>
      <c r="CS309" s="43"/>
      <c r="CT309" s="43"/>
      <c r="CU309" s="43"/>
      <c r="CV309" s="43"/>
      <c r="CW309" s="43"/>
      <c r="CX309" s="43"/>
      <c r="CY309" s="43"/>
      <c r="CZ309" s="43"/>
      <c r="DA309" s="43"/>
      <c r="DB309" s="43"/>
      <c r="DC309" s="43"/>
      <c r="DD309" s="43"/>
      <c r="DE309" s="43"/>
      <c r="DF309" s="43"/>
      <c r="DG309" s="43"/>
      <c r="DH309" s="43"/>
      <c r="DI309" s="43"/>
      <c r="DJ309" s="43"/>
      <c r="DK309" s="43"/>
      <c r="DL309" s="43"/>
      <c r="DM309" s="43"/>
      <c r="DN309" s="43"/>
      <c r="DO309" s="43"/>
      <c r="DP309" s="43"/>
      <c r="DQ309" s="43"/>
      <c r="DR309" s="43"/>
      <c r="DS309" s="43"/>
    </row>
    <row r="310" spans="1:123" ht="14.45">
      <c r="A310"/>
      <c r="B310"/>
      <c r="C310"/>
      <c r="D310"/>
      <c r="E310"/>
      <c r="F310"/>
      <c r="G310"/>
      <c r="H310"/>
      <c r="I310"/>
      <c r="J310"/>
      <c r="K310" s="43"/>
      <c r="L310" s="43"/>
      <c r="M310" s="43"/>
      <c r="N310" s="43"/>
      <c r="O310" s="43"/>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3"/>
      <c r="AM310" s="43"/>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c r="BO310" s="43"/>
      <c r="BP310" s="43"/>
      <c r="BQ310" s="43"/>
      <c r="BR310" s="43"/>
      <c r="BS310" s="43"/>
      <c r="BT310" s="43"/>
      <c r="BU310" s="43"/>
      <c r="BV310" s="43"/>
      <c r="BW310" s="43"/>
      <c r="BX310" s="43"/>
      <c r="BY310" s="43"/>
      <c r="BZ310" s="43"/>
      <c r="CA310" s="43"/>
      <c r="CB310" s="43"/>
      <c r="CC310" s="43"/>
      <c r="CD310" s="43"/>
      <c r="CE310" s="43"/>
      <c r="CF310" s="43"/>
      <c r="CG310" s="43"/>
      <c r="CH310" s="43"/>
      <c r="CI310" s="43"/>
      <c r="CJ310" s="43"/>
      <c r="CK310" s="43"/>
      <c r="CL310" s="43"/>
      <c r="CM310" s="43"/>
      <c r="CN310" s="43"/>
      <c r="CO310" s="43"/>
      <c r="CP310" s="43"/>
      <c r="CQ310" s="43"/>
      <c r="CR310" s="43"/>
      <c r="CS310" s="43"/>
      <c r="CT310" s="43"/>
      <c r="CU310" s="43"/>
      <c r="CV310" s="43"/>
      <c r="CW310" s="43"/>
      <c r="CX310" s="43"/>
      <c r="CY310" s="43"/>
      <c r="CZ310" s="43"/>
      <c r="DA310" s="43"/>
      <c r="DB310" s="43"/>
      <c r="DC310" s="43"/>
      <c r="DD310" s="43"/>
      <c r="DE310" s="43"/>
      <c r="DF310" s="43"/>
      <c r="DG310" s="43"/>
      <c r="DH310" s="43"/>
      <c r="DI310" s="43"/>
      <c r="DJ310" s="43"/>
      <c r="DK310" s="43"/>
      <c r="DL310" s="43"/>
      <c r="DM310" s="43"/>
      <c r="DN310" s="43"/>
      <c r="DO310" s="43"/>
      <c r="DP310" s="43"/>
      <c r="DQ310" s="43"/>
      <c r="DR310" s="43"/>
      <c r="DS310" s="43"/>
    </row>
    <row r="311" spans="1:123" ht="14.45">
      <c r="A311"/>
      <c r="B311"/>
      <c r="C311"/>
      <c r="D311"/>
      <c r="E311"/>
      <c r="F311"/>
      <c r="G311"/>
      <c r="H311"/>
      <c r="I311"/>
      <c r="J311"/>
      <c r="K311" s="43"/>
      <c r="L311" s="43"/>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3"/>
      <c r="AR311" s="43"/>
      <c r="AS311" s="43"/>
      <c r="AT311" s="43"/>
      <c r="AU311" s="43"/>
      <c r="AV311" s="43"/>
      <c r="AW311" s="43"/>
      <c r="AX311" s="43"/>
      <c r="AY311" s="43"/>
      <c r="AZ311" s="43"/>
      <c r="BA311" s="43"/>
      <c r="BB311" s="43"/>
      <c r="BC311" s="43"/>
      <c r="BD311" s="43"/>
      <c r="BE311" s="43"/>
      <c r="BF311" s="43"/>
      <c r="BG311" s="43"/>
      <c r="BH311" s="43"/>
      <c r="BI311" s="43"/>
      <c r="BJ311" s="43"/>
      <c r="BK311" s="43"/>
      <c r="BL311" s="43"/>
      <c r="BM311" s="43"/>
      <c r="BN311" s="43"/>
      <c r="BO311" s="43"/>
      <c r="BP311" s="43"/>
      <c r="BQ311" s="43"/>
      <c r="BR311" s="43"/>
      <c r="BS311" s="43"/>
      <c r="BT311" s="43"/>
      <c r="BU311" s="43"/>
      <c r="BV311" s="43"/>
      <c r="BW311" s="43"/>
      <c r="BX311" s="43"/>
      <c r="BY311" s="43"/>
      <c r="BZ311" s="43"/>
      <c r="CA311" s="43"/>
      <c r="CB311" s="43"/>
      <c r="CC311" s="43"/>
      <c r="CD311" s="43"/>
      <c r="CE311" s="43"/>
      <c r="CF311" s="43"/>
      <c r="CG311" s="43"/>
      <c r="CH311" s="43"/>
      <c r="CI311" s="43"/>
      <c r="CJ311" s="43"/>
      <c r="CK311" s="43"/>
      <c r="CL311" s="43"/>
      <c r="CM311" s="43"/>
      <c r="CN311" s="43"/>
      <c r="CO311" s="43"/>
      <c r="CP311" s="43"/>
      <c r="CQ311" s="43"/>
      <c r="CR311" s="43"/>
      <c r="CS311" s="43"/>
      <c r="CT311" s="43"/>
      <c r="CU311" s="43"/>
      <c r="CV311" s="43"/>
      <c r="CW311" s="43"/>
      <c r="CX311" s="43"/>
      <c r="CY311" s="43"/>
      <c r="CZ311" s="43"/>
      <c r="DA311" s="43"/>
      <c r="DB311" s="43"/>
      <c r="DC311" s="43"/>
      <c r="DD311" s="43"/>
      <c r="DE311" s="43"/>
      <c r="DF311" s="43"/>
      <c r="DG311" s="43"/>
      <c r="DH311" s="43"/>
      <c r="DI311" s="43"/>
      <c r="DJ311" s="43"/>
      <c r="DK311" s="43"/>
      <c r="DL311" s="43"/>
      <c r="DM311" s="43"/>
      <c r="DN311" s="43"/>
      <c r="DO311" s="43"/>
      <c r="DP311" s="43"/>
      <c r="DQ311" s="43"/>
      <c r="DR311" s="43"/>
      <c r="DS311" s="43"/>
    </row>
    <row r="312" spans="1:123" ht="14.45">
      <c r="A312"/>
      <c r="B312"/>
      <c r="C312"/>
      <c r="D312"/>
      <c r="E312"/>
      <c r="F312"/>
      <c r="G312"/>
      <c r="H312"/>
      <c r="I312"/>
      <c r="J312"/>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c r="BO312" s="43"/>
      <c r="BP312" s="43"/>
      <c r="BQ312" s="43"/>
      <c r="BR312" s="43"/>
      <c r="BS312" s="43"/>
      <c r="BT312" s="43"/>
      <c r="BU312" s="43"/>
      <c r="BV312" s="43"/>
      <c r="BW312" s="43"/>
      <c r="BX312" s="43"/>
      <c r="BY312" s="43"/>
      <c r="BZ312" s="43"/>
      <c r="CA312" s="43"/>
      <c r="CB312" s="43"/>
      <c r="CC312" s="43"/>
      <c r="CD312" s="43"/>
      <c r="CE312" s="43"/>
      <c r="CF312" s="43"/>
      <c r="CG312" s="43"/>
      <c r="CH312" s="43"/>
      <c r="CI312" s="43"/>
      <c r="CJ312" s="43"/>
      <c r="CK312" s="43"/>
      <c r="CL312" s="43"/>
      <c r="CM312" s="43"/>
      <c r="CN312" s="43"/>
      <c r="CO312" s="43"/>
      <c r="CP312" s="43"/>
      <c r="CQ312" s="43"/>
      <c r="CR312" s="43"/>
      <c r="CS312" s="43"/>
      <c r="CT312" s="43"/>
      <c r="CU312" s="43"/>
      <c r="CV312" s="43"/>
      <c r="CW312" s="43"/>
      <c r="CX312" s="43"/>
      <c r="CY312" s="43"/>
      <c r="CZ312" s="43"/>
      <c r="DA312" s="43"/>
      <c r="DB312" s="43"/>
      <c r="DC312" s="43"/>
      <c r="DD312" s="43"/>
      <c r="DE312" s="43"/>
      <c r="DF312" s="43"/>
      <c r="DG312" s="43"/>
      <c r="DH312" s="43"/>
      <c r="DI312" s="43"/>
      <c r="DJ312" s="43"/>
      <c r="DK312" s="43"/>
      <c r="DL312" s="43"/>
      <c r="DM312" s="43"/>
      <c r="DN312" s="43"/>
      <c r="DO312" s="43"/>
      <c r="DP312" s="43"/>
      <c r="DQ312" s="43"/>
      <c r="DR312" s="43"/>
      <c r="DS312" s="43"/>
    </row>
    <row r="313" spans="1:123" ht="14.45">
      <c r="A313"/>
      <c r="B313"/>
      <c r="C313"/>
      <c r="D313"/>
      <c r="E313"/>
      <c r="F313"/>
      <c r="G313"/>
      <c r="H313"/>
      <c r="I313"/>
      <c r="J313"/>
      <c r="K313" s="43"/>
      <c r="L313" s="43"/>
      <c r="M313" s="43"/>
      <c r="N313" s="43"/>
      <c r="O313" s="43"/>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3"/>
      <c r="AM313" s="43"/>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c r="BO313" s="43"/>
      <c r="BP313" s="43"/>
      <c r="BQ313" s="43"/>
      <c r="BR313" s="43"/>
      <c r="BS313" s="43"/>
      <c r="BT313" s="43"/>
      <c r="BU313" s="43"/>
      <c r="BV313" s="43"/>
      <c r="BW313" s="43"/>
      <c r="BX313" s="43"/>
      <c r="BY313" s="43"/>
      <c r="BZ313" s="43"/>
      <c r="CA313" s="43"/>
      <c r="CB313" s="43"/>
      <c r="CC313" s="43"/>
      <c r="CD313" s="43"/>
      <c r="CE313" s="43"/>
      <c r="CF313" s="43"/>
      <c r="CG313" s="43"/>
      <c r="CH313" s="43"/>
      <c r="CI313" s="43"/>
      <c r="CJ313" s="43"/>
      <c r="CK313" s="43"/>
      <c r="CL313" s="43"/>
      <c r="CM313" s="43"/>
      <c r="CN313" s="43"/>
      <c r="CO313" s="43"/>
      <c r="CP313" s="43"/>
      <c r="CQ313" s="43"/>
      <c r="CR313" s="43"/>
      <c r="CS313" s="43"/>
      <c r="CT313" s="43"/>
      <c r="CU313" s="43"/>
      <c r="CV313" s="43"/>
      <c r="CW313" s="43"/>
      <c r="CX313" s="43"/>
      <c r="CY313" s="43"/>
      <c r="CZ313" s="43"/>
      <c r="DA313" s="43"/>
      <c r="DB313" s="43"/>
      <c r="DC313" s="43"/>
      <c r="DD313" s="43"/>
      <c r="DE313" s="43"/>
      <c r="DF313" s="43"/>
      <c r="DG313" s="43"/>
      <c r="DH313" s="43"/>
      <c r="DI313" s="43"/>
      <c r="DJ313" s="43"/>
      <c r="DK313" s="43"/>
      <c r="DL313" s="43"/>
      <c r="DM313" s="43"/>
      <c r="DN313" s="43"/>
      <c r="DO313" s="43"/>
      <c r="DP313" s="43"/>
      <c r="DQ313" s="43"/>
      <c r="DR313" s="43"/>
      <c r="DS313" s="43"/>
    </row>
    <row r="314" spans="1:123" ht="14.45">
      <c r="A314"/>
      <c r="B314"/>
      <c r="C314"/>
      <c r="D314"/>
      <c r="E314"/>
      <c r="F314"/>
      <c r="G314"/>
      <c r="H314"/>
      <c r="I314"/>
      <c r="J314"/>
      <c r="K314" s="43"/>
      <c r="L314" s="43"/>
      <c r="M314" s="43"/>
      <c r="N314" s="43"/>
      <c r="O314" s="43"/>
      <c r="P314" s="43"/>
      <c r="Q314" s="43"/>
      <c r="R314" s="43"/>
      <c r="S314" s="43"/>
      <c r="T314" s="43"/>
      <c r="U314" s="43"/>
      <c r="V314" s="43"/>
      <c r="W314" s="43"/>
      <c r="X314" s="43"/>
      <c r="Y314" s="43"/>
      <c r="Z314" s="43"/>
      <c r="AA314" s="43"/>
      <c r="AB314" s="43"/>
      <c r="AC314" s="43"/>
      <c r="AD314" s="43"/>
      <c r="AE314" s="43"/>
      <c r="AF314" s="43"/>
      <c r="AG314" s="43"/>
      <c r="AH314" s="43"/>
      <c r="AI314" s="43"/>
      <c r="AJ314" s="43"/>
      <c r="AK314" s="43"/>
      <c r="AL314" s="43"/>
      <c r="AM314" s="43"/>
      <c r="AN314" s="43"/>
      <c r="AO314" s="43"/>
      <c r="AP314" s="43"/>
      <c r="AQ314" s="43"/>
      <c r="AR314" s="43"/>
      <c r="AS314" s="43"/>
      <c r="AT314" s="43"/>
      <c r="AU314" s="43"/>
      <c r="AV314" s="43"/>
      <c r="AW314" s="43"/>
      <c r="AX314" s="43"/>
      <c r="AY314" s="43"/>
      <c r="AZ314" s="43"/>
      <c r="BA314" s="43"/>
      <c r="BB314" s="43"/>
      <c r="BC314" s="43"/>
      <c r="BD314" s="43"/>
      <c r="BE314" s="43"/>
      <c r="BF314" s="43"/>
      <c r="BG314" s="43"/>
      <c r="BH314" s="43"/>
      <c r="BI314" s="43"/>
      <c r="BJ314" s="43"/>
      <c r="BK314" s="43"/>
      <c r="BL314" s="43"/>
      <c r="BM314" s="43"/>
      <c r="BN314" s="43"/>
      <c r="BO314" s="43"/>
      <c r="BP314" s="43"/>
      <c r="BQ314" s="43"/>
      <c r="BR314" s="43"/>
      <c r="BS314" s="43"/>
      <c r="BT314" s="43"/>
      <c r="BU314" s="43"/>
      <c r="BV314" s="43"/>
      <c r="BW314" s="43"/>
      <c r="BX314" s="43"/>
      <c r="BY314" s="43"/>
      <c r="BZ314" s="43"/>
      <c r="CA314" s="43"/>
      <c r="CB314" s="43"/>
      <c r="CC314" s="43"/>
      <c r="CD314" s="43"/>
      <c r="CE314" s="43"/>
      <c r="CF314" s="43"/>
      <c r="CG314" s="43"/>
      <c r="CH314" s="43"/>
      <c r="CI314" s="43"/>
      <c r="CJ314" s="43"/>
      <c r="CK314" s="43"/>
      <c r="CL314" s="43"/>
      <c r="CM314" s="43"/>
      <c r="CN314" s="43"/>
      <c r="CO314" s="43"/>
      <c r="CP314" s="43"/>
      <c r="CQ314" s="43"/>
      <c r="CR314" s="43"/>
      <c r="CS314" s="43"/>
      <c r="CT314" s="43"/>
      <c r="CU314" s="43"/>
      <c r="CV314" s="43"/>
      <c r="CW314" s="43"/>
      <c r="CX314" s="43"/>
      <c r="CY314" s="43"/>
      <c r="CZ314" s="43"/>
      <c r="DA314" s="43"/>
      <c r="DB314" s="43"/>
      <c r="DC314" s="43"/>
      <c r="DD314" s="43"/>
      <c r="DE314" s="43"/>
      <c r="DF314" s="43"/>
      <c r="DG314" s="43"/>
      <c r="DH314" s="43"/>
      <c r="DI314" s="43"/>
      <c r="DJ314" s="43"/>
      <c r="DK314" s="43"/>
      <c r="DL314" s="43"/>
      <c r="DM314" s="43"/>
      <c r="DN314" s="43"/>
      <c r="DO314" s="43"/>
      <c r="DP314" s="43"/>
      <c r="DQ314" s="43"/>
      <c r="DR314" s="43"/>
      <c r="DS314" s="43"/>
    </row>
    <row r="315" spans="1:123" ht="14.45">
      <c r="A315"/>
      <c r="B315"/>
      <c r="C315"/>
      <c r="D315"/>
      <c r="E315"/>
      <c r="F315"/>
      <c r="G315"/>
      <c r="H315"/>
      <c r="I315"/>
      <c r="J315"/>
      <c r="K315" s="43"/>
      <c r="L315" s="43"/>
      <c r="M315" s="43"/>
      <c r="N315" s="43"/>
      <c r="O315" s="43"/>
      <c r="P315" s="43"/>
      <c r="Q315" s="43"/>
      <c r="R315" s="43"/>
      <c r="S315" s="43"/>
      <c r="T315" s="43"/>
      <c r="U315" s="43"/>
      <c r="V315" s="43"/>
      <c r="W315" s="43"/>
      <c r="X315" s="43"/>
      <c r="Y315" s="43"/>
      <c r="Z315" s="43"/>
      <c r="AA315" s="43"/>
      <c r="AB315" s="43"/>
      <c r="AC315" s="43"/>
      <c r="AD315" s="43"/>
      <c r="AE315" s="43"/>
      <c r="AF315" s="43"/>
      <c r="AG315" s="43"/>
      <c r="AH315" s="43"/>
      <c r="AI315" s="43"/>
      <c r="AJ315" s="43"/>
      <c r="AK315" s="43"/>
      <c r="AL315" s="43"/>
      <c r="AM315" s="43"/>
      <c r="AN315" s="43"/>
      <c r="AO315" s="43"/>
      <c r="AP315" s="43"/>
      <c r="AQ315" s="43"/>
      <c r="AR315" s="43"/>
      <c r="AS315" s="43"/>
      <c r="AT315" s="43"/>
      <c r="AU315" s="43"/>
      <c r="AV315" s="43"/>
      <c r="AW315" s="43"/>
      <c r="AX315" s="43"/>
      <c r="AY315" s="43"/>
      <c r="AZ315" s="43"/>
      <c r="BA315" s="43"/>
      <c r="BB315" s="43"/>
      <c r="BC315" s="43"/>
      <c r="BD315" s="43"/>
      <c r="BE315" s="43"/>
      <c r="BF315" s="43"/>
      <c r="BG315" s="43"/>
      <c r="BH315" s="43"/>
      <c r="BI315" s="43"/>
      <c r="BJ315" s="43"/>
      <c r="BK315" s="43"/>
      <c r="BL315" s="43"/>
      <c r="BM315" s="43"/>
      <c r="BN315" s="43"/>
      <c r="BO315" s="43"/>
      <c r="BP315" s="43"/>
      <c r="BQ315" s="43"/>
      <c r="BR315" s="43"/>
      <c r="BS315" s="43"/>
      <c r="BT315" s="43"/>
      <c r="BU315" s="43"/>
      <c r="BV315" s="43"/>
      <c r="BW315" s="43"/>
      <c r="BX315" s="43"/>
      <c r="BY315" s="43"/>
      <c r="BZ315" s="43"/>
      <c r="CA315" s="43"/>
      <c r="CB315" s="43"/>
      <c r="CC315" s="43"/>
      <c r="CD315" s="43"/>
      <c r="CE315" s="43"/>
      <c r="CF315" s="43"/>
      <c r="CG315" s="43"/>
      <c r="CH315" s="43"/>
      <c r="CI315" s="43"/>
      <c r="CJ315" s="43"/>
      <c r="CK315" s="43"/>
      <c r="CL315" s="43"/>
      <c r="CM315" s="43"/>
      <c r="CN315" s="43"/>
      <c r="CO315" s="43"/>
      <c r="CP315" s="43"/>
      <c r="CQ315" s="43"/>
      <c r="CR315" s="43"/>
      <c r="CS315" s="43"/>
      <c r="CT315" s="43"/>
      <c r="CU315" s="43"/>
      <c r="CV315" s="43"/>
      <c r="CW315" s="43"/>
      <c r="CX315" s="43"/>
      <c r="CY315" s="43"/>
      <c r="CZ315" s="43"/>
      <c r="DA315" s="43"/>
      <c r="DB315" s="43"/>
      <c r="DC315" s="43"/>
      <c r="DD315" s="43"/>
      <c r="DE315" s="43"/>
      <c r="DF315" s="43"/>
      <c r="DG315" s="43"/>
      <c r="DH315" s="43"/>
      <c r="DI315" s="43"/>
      <c r="DJ315" s="43"/>
      <c r="DK315" s="43"/>
      <c r="DL315" s="43"/>
      <c r="DM315" s="43"/>
      <c r="DN315" s="43"/>
      <c r="DO315" s="43"/>
      <c r="DP315" s="43"/>
      <c r="DQ315" s="43"/>
      <c r="DR315" s="43"/>
      <c r="DS315" s="43"/>
    </row>
    <row r="316" spans="1:123" ht="14.45">
      <c r="A316"/>
      <c r="B316"/>
      <c r="C316"/>
      <c r="D316"/>
      <c r="E316"/>
      <c r="F316"/>
      <c r="G316"/>
      <c r="H316"/>
      <c r="I316"/>
      <c r="J316"/>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c r="BO316" s="43"/>
      <c r="BP316" s="43"/>
      <c r="BQ316" s="43"/>
      <c r="BR316" s="43"/>
      <c r="BS316" s="43"/>
      <c r="BT316" s="43"/>
      <c r="BU316" s="43"/>
      <c r="BV316" s="43"/>
      <c r="BW316" s="43"/>
      <c r="BX316" s="43"/>
      <c r="BY316" s="43"/>
      <c r="BZ316" s="43"/>
      <c r="CA316" s="43"/>
      <c r="CB316" s="43"/>
      <c r="CC316" s="43"/>
      <c r="CD316" s="43"/>
      <c r="CE316" s="43"/>
      <c r="CF316" s="43"/>
      <c r="CG316" s="43"/>
      <c r="CH316" s="43"/>
      <c r="CI316" s="43"/>
      <c r="CJ316" s="43"/>
      <c r="CK316" s="43"/>
      <c r="CL316" s="43"/>
      <c r="CM316" s="43"/>
      <c r="CN316" s="43"/>
      <c r="CO316" s="43"/>
      <c r="CP316" s="43"/>
      <c r="CQ316" s="43"/>
      <c r="CR316" s="43"/>
      <c r="CS316" s="43"/>
      <c r="CT316" s="43"/>
      <c r="CU316" s="43"/>
      <c r="CV316" s="43"/>
      <c r="CW316" s="43"/>
      <c r="CX316" s="43"/>
      <c r="CY316" s="43"/>
      <c r="CZ316" s="43"/>
      <c r="DA316" s="43"/>
      <c r="DB316" s="43"/>
      <c r="DC316" s="43"/>
      <c r="DD316" s="43"/>
      <c r="DE316" s="43"/>
      <c r="DF316" s="43"/>
      <c r="DG316" s="43"/>
      <c r="DH316" s="43"/>
      <c r="DI316" s="43"/>
      <c r="DJ316" s="43"/>
      <c r="DK316" s="43"/>
      <c r="DL316" s="43"/>
      <c r="DM316" s="43"/>
      <c r="DN316" s="43"/>
      <c r="DO316" s="43"/>
      <c r="DP316" s="43"/>
      <c r="DQ316" s="43"/>
      <c r="DR316" s="43"/>
      <c r="DS316" s="43"/>
    </row>
    <row r="317" spans="1:123" ht="14.45">
      <c r="A317"/>
      <c r="B317"/>
      <c r="C317"/>
      <c r="D317"/>
      <c r="E317"/>
      <c r="F317"/>
      <c r="G317"/>
      <c r="H317"/>
      <c r="I317"/>
      <c r="J317"/>
      <c r="K317" s="43"/>
      <c r="L317" s="43"/>
      <c r="M317" s="43"/>
      <c r="N317" s="43"/>
      <c r="O317" s="43"/>
      <c r="P317" s="43"/>
      <c r="Q317" s="43"/>
      <c r="R317" s="43"/>
      <c r="S317" s="43"/>
      <c r="T317" s="43"/>
      <c r="U317" s="43"/>
      <c r="V317" s="43"/>
      <c r="W317" s="43"/>
      <c r="X317" s="43"/>
      <c r="Y317" s="43"/>
      <c r="Z317" s="43"/>
      <c r="AA317" s="43"/>
      <c r="AB317" s="43"/>
      <c r="AC317" s="43"/>
      <c r="AD317" s="43"/>
      <c r="AE317" s="43"/>
      <c r="AF317" s="43"/>
      <c r="AG317" s="43"/>
      <c r="AH317" s="43"/>
      <c r="AI317" s="43"/>
      <c r="AJ317" s="43"/>
      <c r="AK317" s="43"/>
      <c r="AL317" s="43"/>
      <c r="AM317" s="43"/>
      <c r="AN317" s="43"/>
      <c r="AO317" s="43"/>
      <c r="AP317" s="43"/>
      <c r="AQ317" s="43"/>
      <c r="AR317" s="43"/>
      <c r="AS317" s="43"/>
      <c r="AT317" s="43"/>
      <c r="AU317" s="43"/>
      <c r="AV317" s="43"/>
      <c r="AW317" s="43"/>
      <c r="AX317" s="43"/>
      <c r="AY317" s="43"/>
      <c r="AZ317" s="43"/>
      <c r="BA317" s="43"/>
      <c r="BB317" s="43"/>
      <c r="BC317" s="43"/>
      <c r="BD317" s="43"/>
      <c r="BE317" s="43"/>
      <c r="BF317" s="43"/>
      <c r="BG317" s="43"/>
      <c r="BH317" s="43"/>
      <c r="BI317" s="43"/>
      <c r="BJ317" s="43"/>
      <c r="BK317" s="43"/>
      <c r="BL317" s="43"/>
      <c r="BM317" s="43"/>
      <c r="BN317" s="43"/>
      <c r="BO317" s="43"/>
      <c r="BP317" s="43"/>
      <c r="BQ317" s="43"/>
      <c r="BR317" s="43"/>
      <c r="BS317" s="43"/>
      <c r="BT317" s="43"/>
      <c r="BU317" s="43"/>
      <c r="BV317" s="43"/>
      <c r="BW317" s="43"/>
      <c r="BX317" s="43"/>
      <c r="BY317" s="43"/>
      <c r="BZ317" s="43"/>
      <c r="CA317" s="43"/>
      <c r="CB317" s="43"/>
      <c r="CC317" s="43"/>
      <c r="CD317" s="43"/>
      <c r="CE317" s="43"/>
      <c r="CF317" s="43"/>
      <c r="CG317" s="43"/>
      <c r="CH317" s="43"/>
      <c r="CI317" s="43"/>
      <c r="CJ317" s="43"/>
      <c r="CK317" s="43"/>
      <c r="CL317" s="43"/>
      <c r="CM317" s="43"/>
      <c r="CN317" s="43"/>
      <c r="CO317" s="43"/>
      <c r="CP317" s="43"/>
      <c r="CQ317" s="43"/>
      <c r="CR317" s="43"/>
      <c r="CS317" s="43"/>
      <c r="CT317" s="43"/>
      <c r="CU317" s="43"/>
      <c r="CV317" s="43"/>
      <c r="CW317" s="43"/>
      <c r="CX317" s="43"/>
      <c r="CY317" s="43"/>
      <c r="CZ317" s="43"/>
      <c r="DA317" s="43"/>
      <c r="DB317" s="43"/>
      <c r="DC317" s="43"/>
      <c r="DD317" s="43"/>
      <c r="DE317" s="43"/>
      <c r="DF317" s="43"/>
      <c r="DG317" s="43"/>
      <c r="DH317" s="43"/>
      <c r="DI317" s="43"/>
      <c r="DJ317" s="43"/>
      <c r="DK317" s="43"/>
      <c r="DL317" s="43"/>
      <c r="DM317" s="43"/>
      <c r="DN317" s="43"/>
      <c r="DO317" s="43"/>
      <c r="DP317" s="43"/>
      <c r="DQ317" s="43"/>
      <c r="DR317" s="43"/>
      <c r="DS317" s="43"/>
    </row>
    <row r="318" spans="1:123" ht="14.45">
      <c r="A318"/>
      <c r="B318"/>
      <c r="C318"/>
      <c r="D318"/>
      <c r="E318"/>
      <c r="F318"/>
      <c r="G318"/>
      <c r="H318"/>
      <c r="I318"/>
      <c r="J318"/>
      <c r="K318" s="43"/>
      <c r="L318" s="43"/>
      <c r="M318" s="43"/>
      <c r="N318" s="43"/>
      <c r="O318" s="43"/>
      <c r="P318" s="43"/>
      <c r="Q318" s="43"/>
      <c r="R318" s="43"/>
      <c r="S318" s="43"/>
      <c r="T318" s="43"/>
      <c r="U318" s="43"/>
      <c r="V318" s="43"/>
      <c r="W318" s="43"/>
      <c r="X318" s="43"/>
      <c r="Y318" s="43"/>
      <c r="Z318" s="43"/>
      <c r="AA318" s="43"/>
      <c r="AB318" s="43"/>
      <c r="AC318" s="43"/>
      <c r="AD318" s="43"/>
      <c r="AE318" s="43"/>
      <c r="AF318" s="43"/>
      <c r="AG318" s="43"/>
      <c r="AH318" s="43"/>
      <c r="AI318" s="43"/>
      <c r="AJ318" s="43"/>
      <c r="AK318" s="43"/>
      <c r="AL318" s="43"/>
      <c r="AM318" s="43"/>
      <c r="AN318" s="43"/>
      <c r="AO318" s="43"/>
      <c r="AP318" s="43"/>
      <c r="AQ318" s="43"/>
      <c r="AR318" s="43"/>
      <c r="AS318" s="43"/>
      <c r="AT318" s="43"/>
      <c r="AU318" s="43"/>
      <c r="AV318" s="43"/>
      <c r="AW318" s="43"/>
      <c r="AX318" s="43"/>
      <c r="AY318" s="43"/>
      <c r="AZ318" s="43"/>
      <c r="BA318" s="43"/>
      <c r="BB318" s="43"/>
      <c r="BC318" s="43"/>
      <c r="BD318" s="43"/>
      <c r="BE318" s="43"/>
      <c r="BF318" s="43"/>
      <c r="BG318" s="43"/>
      <c r="BH318" s="43"/>
      <c r="BI318" s="43"/>
      <c r="BJ318" s="43"/>
      <c r="BK318" s="43"/>
      <c r="BL318" s="43"/>
      <c r="BM318" s="43"/>
      <c r="BN318" s="43"/>
      <c r="BO318" s="43"/>
      <c r="BP318" s="43"/>
      <c r="BQ318" s="43"/>
      <c r="BR318" s="43"/>
      <c r="BS318" s="43"/>
      <c r="BT318" s="43"/>
      <c r="BU318" s="43"/>
      <c r="BV318" s="43"/>
      <c r="BW318" s="43"/>
      <c r="BX318" s="43"/>
      <c r="BY318" s="43"/>
      <c r="BZ318" s="43"/>
      <c r="CA318" s="43"/>
      <c r="CB318" s="43"/>
      <c r="CC318" s="43"/>
      <c r="CD318" s="43"/>
      <c r="CE318" s="43"/>
      <c r="CF318" s="43"/>
      <c r="CG318" s="43"/>
      <c r="CH318" s="43"/>
      <c r="CI318" s="43"/>
      <c r="CJ318" s="43"/>
      <c r="CK318" s="43"/>
      <c r="CL318" s="43"/>
      <c r="CM318" s="43"/>
      <c r="CN318" s="43"/>
      <c r="CO318" s="43"/>
      <c r="CP318" s="43"/>
      <c r="CQ318" s="43"/>
      <c r="CR318" s="43"/>
      <c r="CS318" s="43"/>
      <c r="CT318" s="43"/>
      <c r="CU318" s="43"/>
      <c r="CV318" s="43"/>
      <c r="CW318" s="43"/>
      <c r="CX318" s="43"/>
      <c r="CY318" s="43"/>
      <c r="CZ318" s="43"/>
      <c r="DA318" s="43"/>
      <c r="DB318" s="43"/>
      <c r="DC318" s="43"/>
      <c r="DD318" s="43"/>
      <c r="DE318" s="43"/>
      <c r="DF318" s="43"/>
      <c r="DG318" s="43"/>
      <c r="DH318" s="43"/>
      <c r="DI318" s="43"/>
      <c r="DJ318" s="43"/>
      <c r="DK318" s="43"/>
      <c r="DL318" s="43"/>
      <c r="DM318" s="43"/>
      <c r="DN318" s="43"/>
      <c r="DO318" s="43"/>
      <c r="DP318" s="43"/>
      <c r="DQ318" s="43"/>
      <c r="DR318" s="43"/>
      <c r="DS318" s="43"/>
    </row>
    <row r="319" spans="1:123" ht="14.45">
      <c r="A319"/>
      <c r="B319"/>
      <c r="C319"/>
      <c r="D319"/>
      <c r="E319"/>
      <c r="F319"/>
      <c r="G319"/>
      <c r="H319"/>
      <c r="I319"/>
      <c r="J319"/>
      <c r="K319" s="43"/>
      <c r="L319" s="43"/>
      <c r="M319" s="43"/>
      <c r="N319" s="43"/>
      <c r="O319" s="43"/>
      <c r="P319" s="43"/>
      <c r="Q319" s="43"/>
      <c r="R319" s="43"/>
      <c r="S319" s="43"/>
      <c r="T319" s="43"/>
      <c r="U319" s="43"/>
      <c r="V319" s="43"/>
      <c r="W319" s="43"/>
      <c r="X319" s="43"/>
      <c r="Y319" s="43"/>
      <c r="Z319" s="43"/>
      <c r="AA319" s="43"/>
      <c r="AB319" s="43"/>
      <c r="AC319" s="43"/>
      <c r="AD319" s="43"/>
      <c r="AE319" s="43"/>
      <c r="AF319" s="43"/>
      <c r="AG319" s="43"/>
      <c r="AH319" s="43"/>
      <c r="AI319" s="43"/>
      <c r="AJ319" s="43"/>
      <c r="AK319" s="43"/>
      <c r="AL319" s="43"/>
      <c r="AM319" s="43"/>
      <c r="AN319" s="43"/>
      <c r="AO319" s="43"/>
      <c r="AP319" s="43"/>
      <c r="AQ319" s="43"/>
      <c r="AR319" s="43"/>
      <c r="AS319" s="43"/>
      <c r="AT319" s="43"/>
      <c r="AU319" s="43"/>
      <c r="AV319" s="43"/>
      <c r="AW319" s="43"/>
      <c r="AX319" s="43"/>
      <c r="AY319" s="43"/>
      <c r="AZ319" s="43"/>
      <c r="BA319" s="43"/>
      <c r="BB319" s="43"/>
      <c r="BC319" s="43"/>
      <c r="BD319" s="43"/>
      <c r="BE319" s="43"/>
      <c r="BF319" s="43"/>
      <c r="BG319" s="43"/>
      <c r="BH319" s="43"/>
      <c r="BI319" s="43"/>
      <c r="BJ319" s="43"/>
      <c r="BK319" s="43"/>
      <c r="BL319" s="43"/>
      <c r="BM319" s="43"/>
      <c r="BN319" s="43"/>
      <c r="BO319" s="43"/>
      <c r="BP319" s="43"/>
      <c r="BQ319" s="43"/>
      <c r="BR319" s="43"/>
      <c r="BS319" s="43"/>
      <c r="BT319" s="43"/>
      <c r="BU319" s="43"/>
      <c r="BV319" s="43"/>
      <c r="BW319" s="43"/>
      <c r="BX319" s="43"/>
      <c r="BY319" s="43"/>
      <c r="BZ319" s="43"/>
      <c r="CA319" s="43"/>
      <c r="CB319" s="43"/>
      <c r="CC319" s="43"/>
      <c r="CD319" s="43"/>
      <c r="CE319" s="43"/>
      <c r="CF319" s="43"/>
      <c r="CG319" s="43"/>
      <c r="CH319" s="43"/>
      <c r="CI319" s="43"/>
      <c r="CJ319" s="43"/>
      <c r="CK319" s="43"/>
      <c r="CL319" s="43"/>
      <c r="CM319" s="43"/>
      <c r="CN319" s="43"/>
      <c r="CO319" s="43"/>
      <c r="CP319" s="43"/>
      <c r="CQ319" s="43"/>
      <c r="CR319" s="43"/>
      <c r="CS319" s="43"/>
      <c r="CT319" s="43"/>
      <c r="CU319" s="43"/>
      <c r="CV319" s="43"/>
      <c r="CW319" s="43"/>
      <c r="CX319" s="43"/>
      <c r="CY319" s="43"/>
      <c r="CZ319" s="43"/>
      <c r="DA319" s="43"/>
      <c r="DB319" s="43"/>
      <c r="DC319" s="43"/>
      <c r="DD319" s="43"/>
      <c r="DE319" s="43"/>
      <c r="DF319" s="43"/>
      <c r="DG319" s="43"/>
      <c r="DH319" s="43"/>
      <c r="DI319" s="43"/>
      <c r="DJ319" s="43"/>
      <c r="DK319" s="43"/>
      <c r="DL319" s="43"/>
      <c r="DM319" s="43"/>
      <c r="DN319" s="43"/>
      <c r="DO319" s="43"/>
      <c r="DP319" s="43"/>
      <c r="DQ319" s="43"/>
      <c r="DR319" s="43"/>
      <c r="DS319" s="43"/>
    </row>
    <row r="320" spans="1:123" ht="14.45">
      <c r="A320"/>
      <c r="B320"/>
      <c r="C320"/>
      <c r="D320"/>
      <c r="E320"/>
      <c r="F320"/>
      <c r="G320"/>
      <c r="H320"/>
      <c r="I320"/>
      <c r="J320"/>
      <c r="K320" s="43"/>
      <c r="L320" s="43"/>
      <c r="M320" s="43"/>
      <c r="N320" s="43"/>
      <c r="O320" s="43"/>
      <c r="P320" s="43"/>
      <c r="Q320" s="43"/>
      <c r="R320" s="43"/>
      <c r="S320" s="43"/>
      <c r="T320" s="43"/>
      <c r="U320" s="43"/>
      <c r="V320" s="43"/>
      <c r="W320" s="43"/>
      <c r="X320" s="43"/>
      <c r="Y320" s="43"/>
      <c r="Z320" s="43"/>
      <c r="AA320" s="43"/>
      <c r="AB320" s="43"/>
      <c r="AC320" s="43"/>
      <c r="AD320" s="43"/>
      <c r="AE320" s="43"/>
      <c r="AF320" s="43"/>
      <c r="AG320" s="43"/>
      <c r="AH320" s="43"/>
      <c r="AI320" s="43"/>
      <c r="AJ320" s="43"/>
      <c r="AK320" s="43"/>
      <c r="AL320" s="43"/>
      <c r="AM320" s="43"/>
      <c r="AN320" s="43"/>
      <c r="AO320" s="43"/>
      <c r="AP320" s="43"/>
      <c r="AQ320" s="43"/>
      <c r="AR320" s="43"/>
      <c r="AS320" s="43"/>
      <c r="AT320" s="43"/>
      <c r="AU320" s="43"/>
      <c r="AV320" s="43"/>
      <c r="AW320" s="43"/>
      <c r="AX320" s="43"/>
      <c r="AY320" s="43"/>
      <c r="AZ320" s="43"/>
      <c r="BA320" s="43"/>
      <c r="BB320" s="43"/>
      <c r="BC320" s="43"/>
      <c r="BD320" s="43"/>
      <c r="BE320" s="43"/>
      <c r="BF320" s="43"/>
      <c r="BG320" s="43"/>
      <c r="BH320" s="43"/>
      <c r="BI320" s="43"/>
      <c r="BJ320" s="43"/>
      <c r="BK320" s="43"/>
      <c r="BL320" s="43"/>
      <c r="BM320" s="43"/>
      <c r="BN320" s="43"/>
      <c r="BO320" s="43"/>
      <c r="BP320" s="43"/>
      <c r="BQ320" s="43"/>
      <c r="BR320" s="43"/>
      <c r="BS320" s="43"/>
      <c r="BT320" s="43"/>
      <c r="BU320" s="43"/>
      <c r="BV320" s="43"/>
      <c r="BW320" s="43"/>
      <c r="BX320" s="43"/>
      <c r="BY320" s="43"/>
      <c r="BZ320" s="43"/>
      <c r="CA320" s="43"/>
      <c r="CB320" s="43"/>
      <c r="CC320" s="43"/>
      <c r="CD320" s="43"/>
      <c r="CE320" s="43"/>
      <c r="CF320" s="43"/>
      <c r="CG320" s="43"/>
      <c r="CH320" s="43"/>
      <c r="CI320" s="43"/>
      <c r="CJ320" s="43"/>
      <c r="CK320" s="43"/>
      <c r="CL320" s="43"/>
      <c r="CM320" s="43"/>
      <c r="CN320" s="43"/>
      <c r="CO320" s="43"/>
      <c r="CP320" s="43"/>
      <c r="CQ320" s="43"/>
      <c r="CR320" s="43"/>
      <c r="CS320" s="43"/>
      <c r="CT320" s="43"/>
      <c r="CU320" s="43"/>
      <c r="CV320" s="43"/>
      <c r="CW320" s="43"/>
      <c r="CX320" s="43"/>
      <c r="CY320" s="43"/>
      <c r="CZ320" s="43"/>
      <c r="DA320" s="43"/>
      <c r="DB320" s="43"/>
      <c r="DC320" s="43"/>
      <c r="DD320" s="43"/>
      <c r="DE320" s="43"/>
      <c r="DF320" s="43"/>
      <c r="DG320" s="43"/>
      <c r="DH320" s="43"/>
      <c r="DI320" s="43"/>
      <c r="DJ320" s="43"/>
      <c r="DK320" s="43"/>
      <c r="DL320" s="43"/>
      <c r="DM320" s="43"/>
      <c r="DN320" s="43"/>
      <c r="DO320" s="43"/>
      <c r="DP320" s="43"/>
      <c r="DQ320" s="43"/>
      <c r="DR320" s="43"/>
      <c r="DS320" s="43"/>
    </row>
    <row r="321" spans="1:123" ht="14.45">
      <c r="A321"/>
      <c r="B321"/>
      <c r="C321"/>
      <c r="D321"/>
      <c r="E321"/>
      <c r="F321"/>
      <c r="G321"/>
      <c r="H321"/>
      <c r="I321"/>
      <c r="J321"/>
      <c r="K321" s="43"/>
      <c r="L321" s="43"/>
      <c r="M321" s="43"/>
      <c r="N321" s="43"/>
      <c r="O321" s="43"/>
      <c r="P321" s="43"/>
      <c r="Q321" s="43"/>
      <c r="R321" s="43"/>
      <c r="S321" s="43"/>
      <c r="T321" s="43"/>
      <c r="U321" s="43"/>
      <c r="V321" s="43"/>
      <c r="W321" s="43"/>
      <c r="X321" s="43"/>
      <c r="Y321" s="43"/>
      <c r="Z321" s="43"/>
      <c r="AA321" s="43"/>
      <c r="AB321" s="43"/>
      <c r="AC321" s="43"/>
      <c r="AD321" s="43"/>
      <c r="AE321" s="43"/>
      <c r="AF321" s="43"/>
      <c r="AG321" s="43"/>
      <c r="AH321" s="43"/>
      <c r="AI321" s="43"/>
      <c r="AJ321" s="43"/>
      <c r="AK321" s="43"/>
      <c r="AL321" s="43"/>
      <c r="AM321" s="43"/>
      <c r="AN321" s="43"/>
      <c r="AO321" s="43"/>
      <c r="AP321" s="43"/>
      <c r="AQ321" s="43"/>
      <c r="AR321" s="43"/>
      <c r="AS321" s="43"/>
      <c r="AT321" s="43"/>
      <c r="AU321" s="43"/>
      <c r="AV321" s="43"/>
      <c r="AW321" s="43"/>
      <c r="AX321" s="43"/>
      <c r="AY321" s="43"/>
      <c r="AZ321" s="43"/>
      <c r="BA321" s="43"/>
      <c r="BB321" s="43"/>
      <c r="BC321" s="43"/>
      <c r="BD321" s="43"/>
      <c r="BE321" s="43"/>
      <c r="BF321" s="43"/>
      <c r="BG321" s="43"/>
      <c r="BH321" s="43"/>
      <c r="BI321" s="43"/>
      <c r="BJ321" s="43"/>
      <c r="BK321" s="43"/>
      <c r="BL321" s="43"/>
      <c r="BM321" s="43"/>
      <c r="BN321" s="43"/>
      <c r="BO321" s="43"/>
      <c r="BP321" s="43"/>
      <c r="BQ321" s="43"/>
      <c r="BR321" s="43"/>
      <c r="BS321" s="43"/>
      <c r="BT321" s="43"/>
      <c r="BU321" s="43"/>
      <c r="BV321" s="43"/>
      <c r="BW321" s="43"/>
      <c r="BX321" s="43"/>
      <c r="BY321" s="43"/>
      <c r="BZ321" s="43"/>
      <c r="CA321" s="43"/>
      <c r="CB321" s="43"/>
      <c r="CC321" s="43"/>
      <c r="CD321" s="43"/>
      <c r="CE321" s="43"/>
      <c r="CF321" s="43"/>
      <c r="CG321" s="43"/>
      <c r="CH321" s="43"/>
      <c r="CI321" s="43"/>
      <c r="CJ321" s="43"/>
      <c r="CK321" s="43"/>
      <c r="CL321" s="43"/>
      <c r="CM321" s="43"/>
      <c r="CN321" s="43"/>
      <c r="CO321" s="43"/>
      <c r="CP321" s="43"/>
      <c r="CQ321" s="43"/>
      <c r="CR321" s="43"/>
      <c r="CS321" s="43"/>
      <c r="CT321" s="43"/>
      <c r="CU321" s="43"/>
      <c r="CV321" s="43"/>
      <c r="CW321" s="43"/>
      <c r="CX321" s="43"/>
      <c r="CY321" s="43"/>
      <c r="CZ321" s="43"/>
      <c r="DA321" s="43"/>
      <c r="DB321" s="43"/>
      <c r="DC321" s="43"/>
      <c r="DD321" s="43"/>
      <c r="DE321" s="43"/>
      <c r="DF321" s="43"/>
      <c r="DG321" s="43"/>
      <c r="DH321" s="43"/>
      <c r="DI321" s="43"/>
      <c r="DJ321" s="43"/>
      <c r="DK321" s="43"/>
      <c r="DL321" s="43"/>
      <c r="DM321" s="43"/>
      <c r="DN321" s="43"/>
      <c r="DO321" s="43"/>
      <c r="DP321" s="43"/>
      <c r="DQ321" s="43"/>
      <c r="DR321" s="43"/>
      <c r="DS321" s="43"/>
    </row>
    <row r="322" spans="1:123" ht="14.45">
      <c r="A322"/>
      <c r="B322"/>
      <c r="C322"/>
      <c r="D322"/>
      <c r="E322"/>
      <c r="F322"/>
      <c r="G322"/>
      <c r="H322"/>
      <c r="I322"/>
      <c r="J322"/>
      <c r="K322" s="43"/>
      <c r="L322" s="43"/>
      <c r="M322" s="43"/>
      <c r="N322" s="43"/>
      <c r="O322" s="43"/>
      <c r="P322" s="43"/>
      <c r="Q322" s="43"/>
      <c r="R322" s="43"/>
      <c r="S322" s="43"/>
      <c r="T322" s="43"/>
      <c r="U322" s="43"/>
      <c r="V322" s="43"/>
      <c r="W322" s="43"/>
      <c r="X322" s="43"/>
      <c r="Y322" s="43"/>
      <c r="Z322" s="43"/>
      <c r="AA322" s="43"/>
      <c r="AB322" s="43"/>
      <c r="AC322" s="43"/>
      <c r="AD322" s="43"/>
      <c r="AE322" s="43"/>
      <c r="AF322" s="43"/>
      <c r="AG322" s="43"/>
      <c r="AH322" s="43"/>
      <c r="AI322" s="43"/>
      <c r="AJ322" s="43"/>
      <c r="AK322" s="43"/>
      <c r="AL322" s="43"/>
      <c r="AM322" s="43"/>
      <c r="AN322" s="43"/>
      <c r="AO322" s="43"/>
      <c r="AP322" s="43"/>
      <c r="AQ322" s="43"/>
      <c r="AR322" s="43"/>
      <c r="AS322" s="43"/>
      <c r="AT322" s="43"/>
      <c r="AU322" s="43"/>
      <c r="AV322" s="43"/>
      <c r="AW322" s="43"/>
      <c r="AX322" s="43"/>
      <c r="AY322" s="43"/>
      <c r="AZ322" s="43"/>
      <c r="BA322" s="43"/>
      <c r="BB322" s="43"/>
      <c r="BC322" s="43"/>
      <c r="BD322" s="43"/>
      <c r="BE322" s="43"/>
      <c r="BF322" s="43"/>
      <c r="BG322" s="43"/>
      <c r="BH322" s="43"/>
      <c r="BI322" s="43"/>
      <c r="BJ322" s="43"/>
      <c r="BK322" s="43"/>
      <c r="BL322" s="43"/>
      <c r="BM322" s="43"/>
      <c r="BN322" s="43"/>
      <c r="BO322" s="43"/>
      <c r="BP322" s="43"/>
      <c r="BQ322" s="43"/>
      <c r="BR322" s="43"/>
      <c r="BS322" s="43"/>
      <c r="BT322" s="43"/>
      <c r="BU322" s="43"/>
      <c r="BV322" s="43"/>
      <c r="BW322" s="43"/>
      <c r="BX322" s="43"/>
      <c r="BY322" s="43"/>
      <c r="BZ322" s="43"/>
      <c r="CA322" s="43"/>
      <c r="CB322" s="43"/>
      <c r="CC322" s="43"/>
      <c r="CD322" s="43"/>
      <c r="CE322" s="43"/>
      <c r="CF322" s="43"/>
      <c r="CG322" s="43"/>
      <c r="CH322" s="43"/>
      <c r="CI322" s="43"/>
      <c r="CJ322" s="43"/>
      <c r="CK322" s="43"/>
      <c r="CL322" s="43"/>
      <c r="CM322" s="43"/>
      <c r="CN322" s="43"/>
      <c r="CO322" s="43"/>
      <c r="CP322" s="43"/>
      <c r="CQ322" s="43"/>
      <c r="CR322" s="43"/>
      <c r="CS322" s="43"/>
      <c r="CT322" s="43"/>
      <c r="CU322" s="43"/>
      <c r="CV322" s="43"/>
      <c r="CW322" s="43"/>
      <c r="CX322" s="43"/>
      <c r="CY322" s="43"/>
      <c r="CZ322" s="43"/>
      <c r="DA322" s="43"/>
      <c r="DB322" s="43"/>
      <c r="DC322" s="43"/>
      <c r="DD322" s="43"/>
      <c r="DE322" s="43"/>
      <c r="DF322" s="43"/>
      <c r="DG322" s="43"/>
      <c r="DH322" s="43"/>
      <c r="DI322" s="43"/>
      <c r="DJ322" s="43"/>
      <c r="DK322" s="43"/>
      <c r="DL322" s="43"/>
      <c r="DM322" s="43"/>
      <c r="DN322" s="43"/>
      <c r="DO322" s="43"/>
      <c r="DP322" s="43"/>
      <c r="DQ322" s="43"/>
      <c r="DR322" s="43"/>
      <c r="DS322" s="43"/>
    </row>
    <row r="323" spans="1:123" ht="14.45">
      <c r="A323"/>
      <c r="B323"/>
      <c r="C323"/>
      <c r="D323"/>
      <c r="E323"/>
      <c r="F323"/>
      <c r="G323"/>
      <c r="H323"/>
      <c r="I323"/>
      <c r="J323"/>
      <c r="K323" s="43"/>
      <c r="L323" s="43"/>
      <c r="M323" s="43"/>
      <c r="N323" s="43"/>
      <c r="O323" s="43"/>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3"/>
      <c r="AM323" s="43"/>
      <c r="AN323" s="43"/>
      <c r="AO323" s="43"/>
      <c r="AP323" s="43"/>
      <c r="AQ323" s="43"/>
      <c r="AR323" s="43"/>
      <c r="AS323" s="43"/>
      <c r="AT323" s="43"/>
      <c r="AU323" s="43"/>
      <c r="AV323" s="43"/>
      <c r="AW323" s="43"/>
      <c r="AX323" s="43"/>
      <c r="AY323" s="43"/>
      <c r="AZ323" s="43"/>
      <c r="BA323" s="43"/>
      <c r="BB323" s="43"/>
      <c r="BC323" s="43"/>
      <c r="BD323" s="43"/>
      <c r="BE323" s="43"/>
      <c r="BF323" s="43"/>
      <c r="BG323" s="43"/>
      <c r="BH323" s="43"/>
      <c r="BI323" s="43"/>
      <c r="BJ323" s="43"/>
      <c r="BK323" s="43"/>
      <c r="BL323" s="43"/>
      <c r="BM323" s="43"/>
      <c r="BN323" s="43"/>
      <c r="BO323" s="43"/>
      <c r="BP323" s="43"/>
      <c r="BQ323" s="43"/>
      <c r="BR323" s="43"/>
      <c r="BS323" s="43"/>
      <c r="BT323" s="43"/>
      <c r="BU323" s="43"/>
      <c r="BV323" s="43"/>
      <c r="BW323" s="43"/>
      <c r="BX323" s="43"/>
      <c r="BY323" s="43"/>
      <c r="BZ323" s="43"/>
      <c r="CA323" s="43"/>
      <c r="CB323" s="43"/>
      <c r="CC323" s="43"/>
      <c r="CD323" s="43"/>
      <c r="CE323" s="43"/>
      <c r="CF323" s="43"/>
      <c r="CG323" s="43"/>
      <c r="CH323" s="43"/>
      <c r="CI323" s="43"/>
      <c r="CJ323" s="43"/>
      <c r="CK323" s="43"/>
      <c r="CL323" s="43"/>
      <c r="CM323" s="43"/>
      <c r="CN323" s="43"/>
      <c r="CO323" s="43"/>
      <c r="CP323" s="43"/>
      <c r="CQ323" s="43"/>
      <c r="CR323" s="43"/>
      <c r="CS323" s="43"/>
      <c r="CT323" s="43"/>
      <c r="CU323" s="43"/>
      <c r="CV323" s="43"/>
      <c r="CW323" s="43"/>
      <c r="CX323" s="43"/>
      <c r="CY323" s="43"/>
      <c r="CZ323" s="43"/>
      <c r="DA323" s="43"/>
      <c r="DB323" s="43"/>
      <c r="DC323" s="43"/>
      <c r="DD323" s="43"/>
      <c r="DE323" s="43"/>
      <c r="DF323" s="43"/>
      <c r="DG323" s="43"/>
      <c r="DH323" s="43"/>
      <c r="DI323" s="43"/>
      <c r="DJ323" s="43"/>
      <c r="DK323" s="43"/>
      <c r="DL323" s="43"/>
      <c r="DM323" s="43"/>
      <c r="DN323" s="43"/>
      <c r="DO323" s="43"/>
      <c r="DP323" s="43"/>
      <c r="DQ323" s="43"/>
      <c r="DR323" s="43"/>
      <c r="DS323" s="43"/>
    </row>
    <row r="324" spans="1:123" ht="14.45">
      <c r="A324"/>
      <c r="B324"/>
      <c r="C324"/>
      <c r="D324"/>
      <c r="E324"/>
      <c r="F324"/>
      <c r="G324"/>
      <c r="H324"/>
      <c r="I324"/>
      <c r="J324"/>
      <c r="K324" s="43"/>
      <c r="L324" s="43"/>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c r="AM324" s="43"/>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c r="BO324" s="43"/>
      <c r="BP324" s="43"/>
      <c r="BQ324" s="43"/>
      <c r="BR324" s="43"/>
      <c r="BS324" s="43"/>
      <c r="BT324" s="43"/>
      <c r="BU324" s="43"/>
      <c r="BV324" s="43"/>
      <c r="BW324" s="43"/>
      <c r="BX324" s="43"/>
      <c r="BY324" s="43"/>
      <c r="BZ324" s="43"/>
      <c r="CA324" s="43"/>
      <c r="CB324" s="43"/>
      <c r="CC324" s="43"/>
      <c r="CD324" s="43"/>
      <c r="CE324" s="43"/>
      <c r="CF324" s="43"/>
      <c r="CG324" s="43"/>
      <c r="CH324" s="43"/>
      <c r="CI324" s="43"/>
      <c r="CJ324" s="43"/>
      <c r="CK324" s="43"/>
      <c r="CL324" s="43"/>
      <c r="CM324" s="43"/>
      <c r="CN324" s="43"/>
      <c r="CO324" s="43"/>
      <c r="CP324" s="43"/>
      <c r="CQ324" s="43"/>
      <c r="CR324" s="43"/>
      <c r="CS324" s="43"/>
      <c r="CT324" s="43"/>
      <c r="CU324" s="43"/>
      <c r="CV324" s="43"/>
      <c r="CW324" s="43"/>
      <c r="CX324" s="43"/>
      <c r="CY324" s="43"/>
      <c r="CZ324" s="43"/>
      <c r="DA324" s="43"/>
      <c r="DB324" s="43"/>
      <c r="DC324" s="43"/>
      <c r="DD324" s="43"/>
      <c r="DE324" s="43"/>
      <c r="DF324" s="43"/>
      <c r="DG324" s="43"/>
      <c r="DH324" s="43"/>
      <c r="DI324" s="43"/>
      <c r="DJ324" s="43"/>
      <c r="DK324" s="43"/>
      <c r="DL324" s="43"/>
      <c r="DM324" s="43"/>
      <c r="DN324" s="43"/>
      <c r="DO324" s="43"/>
      <c r="DP324" s="43"/>
      <c r="DQ324" s="43"/>
      <c r="DR324" s="43"/>
      <c r="DS324" s="43"/>
    </row>
    <row r="325" spans="1:123" ht="14.45">
      <c r="A325"/>
      <c r="B325"/>
      <c r="C325"/>
      <c r="D325"/>
      <c r="E325"/>
      <c r="F325"/>
      <c r="G325"/>
      <c r="H325"/>
      <c r="I325"/>
      <c r="J325"/>
      <c r="K325" s="43"/>
      <c r="L325" s="43"/>
      <c r="M325" s="43"/>
      <c r="N325" s="43"/>
      <c r="O325" s="43"/>
      <c r="P325" s="43"/>
      <c r="Q325" s="43"/>
      <c r="R325" s="43"/>
      <c r="S325" s="43"/>
      <c r="T325" s="43"/>
      <c r="U325" s="43"/>
      <c r="V325" s="43"/>
      <c r="W325" s="43"/>
      <c r="X325" s="43"/>
      <c r="Y325" s="43"/>
      <c r="Z325" s="43"/>
      <c r="AA325" s="43"/>
      <c r="AB325" s="43"/>
      <c r="AC325" s="43"/>
      <c r="AD325" s="43"/>
      <c r="AE325" s="43"/>
      <c r="AF325" s="43"/>
      <c r="AG325" s="43"/>
      <c r="AH325" s="43"/>
      <c r="AI325" s="43"/>
      <c r="AJ325" s="43"/>
      <c r="AK325" s="43"/>
      <c r="AL325" s="43"/>
      <c r="AM325" s="43"/>
      <c r="AN325" s="43"/>
      <c r="AO325" s="43"/>
      <c r="AP325" s="43"/>
      <c r="AQ325" s="43"/>
      <c r="AR325" s="43"/>
      <c r="AS325" s="43"/>
      <c r="AT325" s="43"/>
      <c r="AU325" s="43"/>
      <c r="AV325" s="43"/>
      <c r="AW325" s="43"/>
      <c r="AX325" s="43"/>
      <c r="AY325" s="43"/>
      <c r="AZ325" s="43"/>
      <c r="BA325" s="43"/>
      <c r="BB325" s="43"/>
      <c r="BC325" s="43"/>
      <c r="BD325" s="43"/>
      <c r="BE325" s="43"/>
      <c r="BF325" s="43"/>
      <c r="BG325" s="43"/>
      <c r="BH325" s="43"/>
      <c r="BI325" s="43"/>
      <c r="BJ325" s="43"/>
      <c r="BK325" s="43"/>
      <c r="BL325" s="43"/>
      <c r="BM325" s="43"/>
      <c r="BN325" s="43"/>
      <c r="BO325" s="43"/>
      <c r="BP325" s="43"/>
      <c r="BQ325" s="43"/>
      <c r="BR325" s="43"/>
      <c r="BS325" s="43"/>
      <c r="BT325" s="43"/>
      <c r="BU325" s="43"/>
      <c r="BV325" s="43"/>
      <c r="BW325" s="43"/>
      <c r="BX325" s="43"/>
      <c r="BY325" s="43"/>
      <c r="BZ325" s="43"/>
      <c r="CA325" s="43"/>
      <c r="CB325" s="43"/>
      <c r="CC325" s="43"/>
      <c r="CD325" s="43"/>
      <c r="CE325" s="43"/>
      <c r="CF325" s="43"/>
      <c r="CG325" s="43"/>
      <c r="CH325" s="43"/>
      <c r="CI325" s="43"/>
      <c r="CJ325" s="43"/>
      <c r="CK325" s="43"/>
      <c r="CL325" s="43"/>
      <c r="CM325" s="43"/>
      <c r="CN325" s="43"/>
      <c r="CO325" s="43"/>
      <c r="CP325" s="43"/>
      <c r="CQ325" s="43"/>
      <c r="CR325" s="43"/>
      <c r="CS325" s="43"/>
      <c r="CT325" s="43"/>
      <c r="CU325" s="43"/>
      <c r="CV325" s="43"/>
      <c r="CW325" s="43"/>
      <c r="CX325" s="43"/>
      <c r="CY325" s="43"/>
      <c r="CZ325" s="43"/>
      <c r="DA325" s="43"/>
      <c r="DB325" s="43"/>
      <c r="DC325" s="43"/>
      <c r="DD325" s="43"/>
      <c r="DE325" s="43"/>
      <c r="DF325" s="43"/>
      <c r="DG325" s="43"/>
      <c r="DH325" s="43"/>
      <c r="DI325" s="43"/>
      <c r="DJ325" s="43"/>
      <c r="DK325" s="43"/>
      <c r="DL325" s="43"/>
      <c r="DM325" s="43"/>
      <c r="DN325" s="43"/>
      <c r="DO325" s="43"/>
      <c r="DP325" s="43"/>
      <c r="DQ325" s="43"/>
      <c r="DR325" s="43"/>
      <c r="DS325" s="43"/>
    </row>
    <row r="326" spans="1:123" ht="14.45">
      <c r="A326"/>
      <c r="B326"/>
      <c r="C326"/>
      <c r="D326"/>
      <c r="E326"/>
      <c r="F326"/>
      <c r="G326"/>
      <c r="H326"/>
      <c r="I326"/>
      <c r="J326"/>
      <c r="K326" s="43"/>
      <c r="L326" s="43"/>
      <c r="M326" s="43"/>
      <c r="N326" s="43"/>
      <c r="O326" s="43"/>
      <c r="P326" s="43"/>
      <c r="Q326" s="43"/>
      <c r="R326" s="43"/>
      <c r="S326" s="43"/>
      <c r="T326" s="43"/>
      <c r="U326" s="43"/>
      <c r="V326" s="43"/>
      <c r="W326" s="43"/>
      <c r="X326" s="43"/>
      <c r="Y326" s="43"/>
      <c r="Z326" s="43"/>
      <c r="AA326" s="43"/>
      <c r="AB326" s="43"/>
      <c r="AC326" s="43"/>
      <c r="AD326" s="43"/>
      <c r="AE326" s="43"/>
      <c r="AF326" s="43"/>
      <c r="AG326" s="43"/>
      <c r="AH326" s="43"/>
      <c r="AI326" s="43"/>
      <c r="AJ326" s="43"/>
      <c r="AK326" s="43"/>
      <c r="AL326" s="43"/>
      <c r="AM326" s="43"/>
      <c r="AN326" s="43"/>
      <c r="AO326" s="43"/>
      <c r="AP326" s="43"/>
      <c r="AQ326" s="43"/>
      <c r="AR326" s="43"/>
      <c r="AS326" s="43"/>
      <c r="AT326" s="43"/>
      <c r="AU326" s="43"/>
      <c r="AV326" s="43"/>
      <c r="AW326" s="43"/>
      <c r="AX326" s="43"/>
      <c r="AY326" s="43"/>
      <c r="AZ326" s="43"/>
      <c r="BA326" s="43"/>
      <c r="BB326" s="43"/>
      <c r="BC326" s="43"/>
      <c r="BD326" s="43"/>
      <c r="BE326" s="43"/>
      <c r="BF326" s="43"/>
      <c r="BG326" s="43"/>
      <c r="BH326" s="43"/>
      <c r="BI326" s="43"/>
      <c r="BJ326" s="43"/>
      <c r="BK326" s="43"/>
      <c r="BL326" s="43"/>
      <c r="BM326" s="43"/>
      <c r="BN326" s="43"/>
      <c r="BO326" s="43"/>
      <c r="BP326" s="43"/>
      <c r="BQ326" s="43"/>
      <c r="BR326" s="43"/>
      <c r="BS326" s="43"/>
      <c r="BT326" s="43"/>
      <c r="BU326" s="43"/>
      <c r="BV326" s="43"/>
      <c r="BW326" s="43"/>
      <c r="BX326" s="43"/>
      <c r="BY326" s="43"/>
      <c r="BZ326" s="43"/>
      <c r="CA326" s="43"/>
      <c r="CB326" s="43"/>
      <c r="CC326" s="43"/>
      <c r="CD326" s="43"/>
      <c r="CE326" s="43"/>
      <c r="CF326" s="43"/>
      <c r="CG326" s="43"/>
      <c r="CH326" s="43"/>
      <c r="CI326" s="43"/>
      <c r="CJ326" s="43"/>
      <c r="CK326" s="43"/>
      <c r="CL326" s="43"/>
      <c r="CM326" s="43"/>
      <c r="CN326" s="43"/>
      <c r="CO326" s="43"/>
      <c r="CP326" s="43"/>
      <c r="CQ326" s="43"/>
      <c r="CR326" s="43"/>
      <c r="CS326" s="43"/>
      <c r="CT326" s="43"/>
      <c r="CU326" s="43"/>
      <c r="CV326" s="43"/>
      <c r="CW326" s="43"/>
      <c r="CX326" s="43"/>
      <c r="CY326" s="43"/>
      <c r="CZ326" s="43"/>
      <c r="DA326" s="43"/>
      <c r="DB326" s="43"/>
      <c r="DC326" s="43"/>
      <c r="DD326" s="43"/>
      <c r="DE326" s="43"/>
      <c r="DF326" s="43"/>
      <c r="DG326" s="43"/>
      <c r="DH326" s="43"/>
      <c r="DI326" s="43"/>
      <c r="DJ326" s="43"/>
      <c r="DK326" s="43"/>
      <c r="DL326" s="43"/>
      <c r="DM326" s="43"/>
      <c r="DN326" s="43"/>
      <c r="DO326" s="43"/>
      <c r="DP326" s="43"/>
      <c r="DQ326" s="43"/>
      <c r="DR326" s="43"/>
      <c r="DS326" s="43"/>
    </row>
    <row r="327" spans="1:123" ht="14.45">
      <c r="A327"/>
      <c r="B327"/>
      <c r="C327"/>
      <c r="D327"/>
      <c r="E327"/>
      <c r="F327"/>
      <c r="G327"/>
      <c r="H327"/>
      <c r="I327"/>
      <c r="J327"/>
      <c r="K327" s="43"/>
      <c r="L327" s="43"/>
      <c r="M327" s="43"/>
      <c r="N327" s="43"/>
      <c r="O327" s="43"/>
      <c r="P327" s="43"/>
      <c r="Q327" s="43"/>
      <c r="R327" s="43"/>
      <c r="S327" s="43"/>
      <c r="T327" s="43"/>
      <c r="U327" s="43"/>
      <c r="V327" s="43"/>
      <c r="W327" s="43"/>
      <c r="X327" s="43"/>
      <c r="Y327" s="43"/>
      <c r="Z327" s="43"/>
      <c r="AA327" s="43"/>
      <c r="AB327" s="43"/>
      <c r="AC327" s="43"/>
      <c r="AD327" s="43"/>
      <c r="AE327" s="43"/>
      <c r="AF327" s="43"/>
      <c r="AG327" s="43"/>
      <c r="AH327" s="43"/>
      <c r="AI327" s="43"/>
      <c r="AJ327" s="43"/>
      <c r="AK327" s="43"/>
      <c r="AL327" s="43"/>
      <c r="AM327" s="43"/>
      <c r="AN327" s="43"/>
      <c r="AO327" s="43"/>
      <c r="AP327" s="43"/>
      <c r="AQ327" s="43"/>
      <c r="AR327" s="43"/>
      <c r="AS327" s="43"/>
      <c r="AT327" s="43"/>
      <c r="AU327" s="43"/>
      <c r="AV327" s="43"/>
      <c r="AW327" s="43"/>
      <c r="AX327" s="43"/>
      <c r="AY327" s="43"/>
      <c r="AZ327" s="43"/>
      <c r="BA327" s="43"/>
      <c r="BB327" s="43"/>
      <c r="BC327" s="43"/>
      <c r="BD327" s="43"/>
      <c r="BE327" s="43"/>
      <c r="BF327" s="43"/>
      <c r="BG327" s="43"/>
      <c r="BH327" s="43"/>
      <c r="BI327" s="43"/>
      <c r="BJ327" s="43"/>
      <c r="BK327" s="43"/>
      <c r="BL327" s="43"/>
      <c r="BM327" s="43"/>
      <c r="BN327" s="43"/>
      <c r="BO327" s="43"/>
      <c r="BP327" s="43"/>
      <c r="BQ327" s="43"/>
      <c r="BR327" s="43"/>
      <c r="BS327" s="43"/>
      <c r="BT327" s="43"/>
      <c r="BU327" s="43"/>
      <c r="BV327" s="43"/>
      <c r="BW327" s="43"/>
      <c r="BX327" s="43"/>
      <c r="BY327" s="43"/>
      <c r="BZ327" s="43"/>
      <c r="CA327" s="43"/>
      <c r="CB327" s="43"/>
      <c r="CC327" s="43"/>
      <c r="CD327" s="43"/>
      <c r="CE327" s="43"/>
      <c r="CF327" s="43"/>
      <c r="CG327" s="43"/>
      <c r="CH327" s="43"/>
      <c r="CI327" s="43"/>
      <c r="CJ327" s="43"/>
      <c r="CK327" s="43"/>
      <c r="CL327" s="43"/>
      <c r="CM327" s="43"/>
      <c r="CN327" s="43"/>
      <c r="CO327" s="43"/>
      <c r="CP327" s="43"/>
      <c r="CQ327" s="43"/>
      <c r="CR327" s="43"/>
      <c r="CS327" s="43"/>
      <c r="CT327" s="43"/>
      <c r="CU327" s="43"/>
      <c r="CV327" s="43"/>
      <c r="CW327" s="43"/>
      <c r="CX327" s="43"/>
      <c r="CY327" s="43"/>
      <c r="CZ327" s="43"/>
      <c r="DA327" s="43"/>
      <c r="DB327" s="43"/>
      <c r="DC327" s="43"/>
      <c r="DD327" s="43"/>
      <c r="DE327" s="43"/>
      <c r="DF327" s="43"/>
      <c r="DG327" s="43"/>
      <c r="DH327" s="43"/>
      <c r="DI327" s="43"/>
      <c r="DJ327" s="43"/>
      <c r="DK327" s="43"/>
      <c r="DL327" s="43"/>
      <c r="DM327" s="43"/>
      <c r="DN327" s="43"/>
      <c r="DO327" s="43"/>
      <c r="DP327" s="43"/>
      <c r="DQ327" s="43"/>
      <c r="DR327" s="43"/>
      <c r="DS327" s="43"/>
    </row>
    <row r="328" spans="1:123" ht="14.45">
      <c r="A328"/>
      <c r="B328"/>
      <c r="C328"/>
      <c r="D328"/>
      <c r="E328"/>
      <c r="F328"/>
      <c r="G328"/>
      <c r="H328"/>
      <c r="I328"/>
      <c r="J328"/>
      <c r="K328" s="43"/>
      <c r="L328" s="43"/>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3"/>
      <c r="AM328" s="43"/>
      <c r="AN328" s="43"/>
      <c r="AO328" s="43"/>
      <c r="AP328" s="43"/>
      <c r="AQ328" s="43"/>
      <c r="AR328" s="43"/>
      <c r="AS328" s="43"/>
      <c r="AT328" s="43"/>
      <c r="AU328" s="43"/>
      <c r="AV328" s="43"/>
      <c r="AW328" s="43"/>
      <c r="AX328" s="43"/>
      <c r="AY328" s="43"/>
      <c r="AZ328" s="43"/>
      <c r="BA328" s="43"/>
      <c r="BB328" s="43"/>
      <c r="BC328" s="43"/>
      <c r="BD328" s="43"/>
      <c r="BE328" s="43"/>
      <c r="BF328" s="43"/>
      <c r="BG328" s="43"/>
      <c r="BH328" s="43"/>
      <c r="BI328" s="43"/>
      <c r="BJ328" s="43"/>
      <c r="BK328" s="43"/>
      <c r="BL328" s="43"/>
      <c r="BM328" s="43"/>
      <c r="BN328" s="43"/>
      <c r="BO328" s="43"/>
      <c r="BP328" s="43"/>
      <c r="BQ328" s="43"/>
      <c r="BR328" s="43"/>
      <c r="BS328" s="43"/>
      <c r="BT328" s="43"/>
      <c r="BU328" s="43"/>
      <c r="BV328" s="43"/>
      <c r="BW328" s="43"/>
      <c r="BX328" s="43"/>
      <c r="BY328" s="43"/>
      <c r="BZ328" s="43"/>
      <c r="CA328" s="43"/>
      <c r="CB328" s="43"/>
      <c r="CC328" s="43"/>
      <c r="CD328" s="43"/>
      <c r="CE328" s="43"/>
      <c r="CF328" s="43"/>
      <c r="CG328" s="43"/>
      <c r="CH328" s="43"/>
      <c r="CI328" s="43"/>
      <c r="CJ328" s="43"/>
      <c r="CK328" s="43"/>
      <c r="CL328" s="43"/>
      <c r="CM328" s="43"/>
      <c r="CN328" s="43"/>
      <c r="CO328" s="43"/>
      <c r="CP328" s="43"/>
      <c r="CQ328" s="43"/>
      <c r="CR328" s="43"/>
      <c r="CS328" s="43"/>
      <c r="CT328" s="43"/>
      <c r="CU328" s="43"/>
      <c r="CV328" s="43"/>
      <c r="CW328" s="43"/>
      <c r="CX328" s="43"/>
      <c r="CY328" s="43"/>
      <c r="CZ328" s="43"/>
      <c r="DA328" s="43"/>
      <c r="DB328" s="43"/>
      <c r="DC328" s="43"/>
      <c r="DD328" s="43"/>
      <c r="DE328" s="43"/>
      <c r="DF328" s="43"/>
      <c r="DG328" s="43"/>
      <c r="DH328" s="43"/>
      <c r="DI328" s="43"/>
      <c r="DJ328" s="43"/>
      <c r="DK328" s="43"/>
      <c r="DL328" s="43"/>
      <c r="DM328" s="43"/>
      <c r="DN328" s="43"/>
      <c r="DO328" s="43"/>
      <c r="DP328" s="43"/>
      <c r="DQ328" s="43"/>
      <c r="DR328" s="43"/>
      <c r="DS328" s="43"/>
    </row>
    <row r="329" spans="1:123" ht="14.45">
      <c r="A329"/>
      <c r="B329"/>
      <c r="C329"/>
      <c r="D329"/>
      <c r="E329"/>
      <c r="F329"/>
      <c r="G329"/>
      <c r="H329"/>
      <c r="I329"/>
      <c r="J329"/>
      <c r="K329" s="43"/>
      <c r="L329" s="43"/>
      <c r="M329" s="43"/>
      <c r="N329" s="43"/>
      <c r="O329" s="43"/>
      <c r="P329" s="43"/>
      <c r="Q329" s="43"/>
      <c r="R329" s="43"/>
      <c r="S329" s="43"/>
      <c r="T329" s="43"/>
      <c r="U329" s="43"/>
      <c r="V329" s="43"/>
      <c r="W329" s="43"/>
      <c r="X329" s="43"/>
      <c r="Y329" s="43"/>
      <c r="Z329" s="43"/>
      <c r="AA329" s="43"/>
      <c r="AB329" s="43"/>
      <c r="AC329" s="43"/>
      <c r="AD329" s="43"/>
      <c r="AE329" s="43"/>
      <c r="AF329" s="43"/>
      <c r="AG329" s="43"/>
      <c r="AH329" s="43"/>
      <c r="AI329" s="43"/>
      <c r="AJ329" s="43"/>
      <c r="AK329" s="43"/>
      <c r="AL329" s="43"/>
      <c r="AM329" s="43"/>
      <c r="AN329" s="43"/>
      <c r="AO329" s="43"/>
      <c r="AP329" s="43"/>
      <c r="AQ329" s="43"/>
      <c r="AR329" s="43"/>
      <c r="AS329" s="43"/>
      <c r="AT329" s="43"/>
      <c r="AU329" s="43"/>
      <c r="AV329" s="43"/>
      <c r="AW329" s="43"/>
      <c r="AX329" s="43"/>
      <c r="AY329" s="43"/>
      <c r="AZ329" s="43"/>
      <c r="BA329" s="43"/>
      <c r="BB329" s="43"/>
      <c r="BC329" s="43"/>
      <c r="BD329" s="43"/>
      <c r="BE329" s="43"/>
      <c r="BF329" s="43"/>
      <c r="BG329" s="43"/>
      <c r="BH329" s="43"/>
      <c r="BI329" s="43"/>
      <c r="BJ329" s="43"/>
      <c r="BK329" s="43"/>
      <c r="BL329" s="43"/>
      <c r="BM329" s="43"/>
      <c r="BN329" s="43"/>
      <c r="BO329" s="43"/>
      <c r="BP329" s="43"/>
      <c r="BQ329" s="43"/>
      <c r="BR329" s="43"/>
      <c r="BS329" s="43"/>
      <c r="BT329" s="43"/>
      <c r="BU329" s="43"/>
      <c r="BV329" s="43"/>
      <c r="BW329" s="43"/>
      <c r="BX329" s="43"/>
      <c r="BY329" s="43"/>
      <c r="BZ329" s="43"/>
      <c r="CA329" s="43"/>
      <c r="CB329" s="43"/>
      <c r="CC329" s="43"/>
      <c r="CD329" s="43"/>
      <c r="CE329" s="43"/>
      <c r="CF329" s="43"/>
      <c r="CG329" s="43"/>
      <c r="CH329" s="43"/>
      <c r="CI329" s="43"/>
      <c r="CJ329" s="43"/>
      <c r="CK329" s="43"/>
      <c r="CL329" s="43"/>
      <c r="CM329" s="43"/>
      <c r="CN329" s="43"/>
      <c r="CO329" s="43"/>
      <c r="CP329" s="43"/>
      <c r="CQ329" s="43"/>
      <c r="CR329" s="43"/>
      <c r="CS329" s="43"/>
      <c r="CT329" s="43"/>
      <c r="CU329" s="43"/>
      <c r="CV329" s="43"/>
      <c r="CW329" s="43"/>
      <c r="CX329" s="43"/>
      <c r="CY329" s="43"/>
      <c r="CZ329" s="43"/>
      <c r="DA329" s="43"/>
      <c r="DB329" s="43"/>
      <c r="DC329" s="43"/>
      <c r="DD329" s="43"/>
      <c r="DE329" s="43"/>
      <c r="DF329" s="43"/>
      <c r="DG329" s="43"/>
      <c r="DH329" s="43"/>
      <c r="DI329" s="43"/>
      <c r="DJ329" s="43"/>
      <c r="DK329" s="43"/>
      <c r="DL329" s="43"/>
      <c r="DM329" s="43"/>
      <c r="DN329" s="43"/>
      <c r="DO329" s="43"/>
      <c r="DP329" s="43"/>
      <c r="DQ329" s="43"/>
      <c r="DR329" s="43"/>
      <c r="DS329" s="43"/>
    </row>
    <row r="330" spans="1:123" ht="14.45">
      <c r="A330"/>
      <c r="B330"/>
      <c r="C330"/>
      <c r="D330"/>
      <c r="E330"/>
      <c r="F330"/>
      <c r="G330"/>
      <c r="H330"/>
      <c r="I330"/>
      <c r="J330"/>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O330" s="43"/>
      <c r="AP330" s="43"/>
      <c r="AQ330" s="43"/>
      <c r="AR330" s="43"/>
      <c r="AS330" s="43"/>
      <c r="AT330" s="43"/>
      <c r="AU330" s="43"/>
      <c r="AV330" s="43"/>
      <c r="AW330" s="43"/>
      <c r="AX330" s="43"/>
      <c r="AY330" s="43"/>
      <c r="AZ330" s="43"/>
      <c r="BA330" s="43"/>
      <c r="BB330" s="43"/>
      <c r="BC330" s="43"/>
      <c r="BD330" s="43"/>
      <c r="BE330" s="43"/>
      <c r="BF330" s="43"/>
      <c r="BG330" s="43"/>
      <c r="BH330" s="43"/>
      <c r="BI330" s="43"/>
      <c r="BJ330" s="43"/>
      <c r="BK330" s="43"/>
      <c r="BL330" s="43"/>
      <c r="BM330" s="43"/>
      <c r="BN330" s="43"/>
      <c r="BO330" s="43"/>
      <c r="BP330" s="43"/>
      <c r="BQ330" s="43"/>
      <c r="BR330" s="43"/>
      <c r="BS330" s="43"/>
      <c r="BT330" s="43"/>
      <c r="BU330" s="43"/>
      <c r="BV330" s="43"/>
      <c r="BW330" s="43"/>
      <c r="BX330" s="43"/>
      <c r="BY330" s="43"/>
      <c r="BZ330" s="43"/>
      <c r="CA330" s="43"/>
      <c r="CB330" s="43"/>
      <c r="CC330" s="43"/>
      <c r="CD330" s="43"/>
      <c r="CE330" s="43"/>
      <c r="CF330" s="43"/>
      <c r="CG330" s="43"/>
      <c r="CH330" s="43"/>
      <c r="CI330" s="43"/>
      <c r="CJ330" s="43"/>
      <c r="CK330" s="43"/>
      <c r="CL330" s="43"/>
      <c r="CM330" s="43"/>
      <c r="CN330" s="43"/>
      <c r="CO330" s="43"/>
      <c r="CP330" s="43"/>
      <c r="CQ330" s="43"/>
      <c r="CR330" s="43"/>
      <c r="CS330" s="43"/>
      <c r="CT330" s="43"/>
      <c r="CU330" s="43"/>
      <c r="CV330" s="43"/>
      <c r="CW330" s="43"/>
      <c r="CX330" s="43"/>
      <c r="CY330" s="43"/>
      <c r="CZ330" s="43"/>
      <c r="DA330" s="43"/>
      <c r="DB330" s="43"/>
      <c r="DC330" s="43"/>
      <c r="DD330" s="43"/>
      <c r="DE330" s="43"/>
      <c r="DF330" s="43"/>
      <c r="DG330" s="43"/>
      <c r="DH330" s="43"/>
      <c r="DI330" s="43"/>
      <c r="DJ330" s="43"/>
      <c r="DK330" s="43"/>
      <c r="DL330" s="43"/>
      <c r="DM330" s="43"/>
      <c r="DN330" s="43"/>
      <c r="DO330" s="43"/>
      <c r="DP330" s="43"/>
      <c r="DQ330" s="43"/>
      <c r="DR330" s="43"/>
      <c r="DS330" s="43"/>
    </row>
    <row r="331" spans="1:123" ht="14.45">
      <c r="A331"/>
      <c r="B331"/>
      <c r="C331"/>
      <c r="D331"/>
      <c r="E331"/>
      <c r="F331"/>
      <c r="G331"/>
      <c r="H331"/>
      <c r="I331"/>
      <c r="J331"/>
      <c r="K331" s="43"/>
      <c r="L331" s="43"/>
      <c r="M331" s="43"/>
      <c r="N331" s="43"/>
      <c r="O331" s="43"/>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3"/>
      <c r="AM331" s="43"/>
      <c r="AN331" s="43"/>
      <c r="AO331" s="43"/>
      <c r="AP331" s="43"/>
      <c r="AQ331" s="43"/>
      <c r="AR331" s="43"/>
      <c r="AS331" s="43"/>
      <c r="AT331" s="43"/>
      <c r="AU331" s="43"/>
      <c r="AV331" s="43"/>
      <c r="AW331" s="43"/>
      <c r="AX331" s="43"/>
      <c r="AY331" s="43"/>
      <c r="AZ331" s="43"/>
      <c r="BA331" s="43"/>
      <c r="BB331" s="43"/>
      <c r="BC331" s="43"/>
      <c r="BD331" s="43"/>
      <c r="BE331" s="43"/>
      <c r="BF331" s="43"/>
      <c r="BG331" s="43"/>
      <c r="BH331" s="43"/>
      <c r="BI331" s="43"/>
      <c r="BJ331" s="43"/>
      <c r="BK331" s="43"/>
      <c r="BL331" s="43"/>
      <c r="BM331" s="43"/>
      <c r="BN331" s="43"/>
      <c r="BO331" s="43"/>
      <c r="BP331" s="43"/>
      <c r="BQ331" s="43"/>
      <c r="BR331" s="43"/>
      <c r="BS331" s="43"/>
      <c r="BT331" s="43"/>
      <c r="BU331" s="43"/>
      <c r="BV331" s="43"/>
      <c r="BW331" s="43"/>
      <c r="BX331" s="43"/>
      <c r="BY331" s="43"/>
      <c r="BZ331" s="43"/>
      <c r="CA331" s="43"/>
      <c r="CB331" s="43"/>
      <c r="CC331" s="43"/>
      <c r="CD331" s="43"/>
      <c r="CE331" s="43"/>
      <c r="CF331" s="43"/>
      <c r="CG331" s="43"/>
      <c r="CH331" s="43"/>
      <c r="CI331" s="43"/>
      <c r="CJ331" s="43"/>
      <c r="CK331" s="43"/>
      <c r="CL331" s="43"/>
      <c r="CM331" s="43"/>
      <c r="CN331" s="43"/>
      <c r="CO331" s="43"/>
      <c r="CP331" s="43"/>
      <c r="CQ331" s="43"/>
      <c r="CR331" s="43"/>
      <c r="CS331" s="43"/>
      <c r="CT331" s="43"/>
      <c r="CU331" s="43"/>
      <c r="CV331" s="43"/>
      <c r="CW331" s="43"/>
      <c r="CX331" s="43"/>
      <c r="CY331" s="43"/>
      <c r="CZ331" s="43"/>
      <c r="DA331" s="43"/>
      <c r="DB331" s="43"/>
      <c r="DC331" s="43"/>
      <c r="DD331" s="43"/>
      <c r="DE331" s="43"/>
      <c r="DF331" s="43"/>
      <c r="DG331" s="43"/>
      <c r="DH331" s="43"/>
      <c r="DI331" s="43"/>
      <c r="DJ331" s="43"/>
      <c r="DK331" s="43"/>
      <c r="DL331" s="43"/>
      <c r="DM331" s="43"/>
      <c r="DN331" s="43"/>
      <c r="DO331" s="43"/>
      <c r="DP331" s="43"/>
      <c r="DQ331" s="43"/>
      <c r="DR331" s="43"/>
      <c r="DS331" s="43"/>
    </row>
    <row r="332" spans="1:123" ht="14.45">
      <c r="A332"/>
      <c r="B332"/>
      <c r="C332"/>
      <c r="D332"/>
      <c r="E332"/>
      <c r="F332"/>
      <c r="G332"/>
      <c r="H332"/>
      <c r="I332"/>
      <c r="J332"/>
      <c r="K332" s="43"/>
      <c r="L332" s="43"/>
      <c r="M332" s="43"/>
      <c r="N332" s="43"/>
      <c r="O332" s="43"/>
      <c r="P332" s="43"/>
      <c r="Q332" s="43"/>
      <c r="R332" s="43"/>
      <c r="S332" s="43"/>
      <c r="T332" s="43"/>
      <c r="U332" s="43"/>
      <c r="V332" s="43"/>
      <c r="W332" s="43"/>
      <c r="X332" s="43"/>
      <c r="Y332" s="43"/>
      <c r="Z332" s="43"/>
      <c r="AA332" s="43"/>
      <c r="AB332" s="43"/>
      <c r="AC332" s="43"/>
      <c r="AD332" s="43"/>
      <c r="AE332" s="43"/>
      <c r="AF332" s="43"/>
      <c r="AG332" s="43"/>
      <c r="AH332" s="43"/>
      <c r="AI332" s="43"/>
      <c r="AJ332" s="43"/>
      <c r="AK332" s="43"/>
      <c r="AL332" s="43"/>
      <c r="AM332" s="43"/>
      <c r="AN332" s="43"/>
      <c r="AO332" s="43"/>
      <c r="AP332" s="43"/>
      <c r="AQ332" s="43"/>
      <c r="AR332" s="43"/>
      <c r="AS332" s="43"/>
      <c r="AT332" s="43"/>
      <c r="AU332" s="43"/>
      <c r="AV332" s="43"/>
      <c r="AW332" s="43"/>
      <c r="AX332" s="43"/>
      <c r="AY332" s="43"/>
      <c r="AZ332" s="43"/>
      <c r="BA332" s="43"/>
      <c r="BB332" s="43"/>
      <c r="BC332" s="43"/>
      <c r="BD332" s="43"/>
      <c r="BE332" s="43"/>
      <c r="BF332" s="43"/>
      <c r="BG332" s="43"/>
      <c r="BH332" s="43"/>
      <c r="BI332" s="43"/>
      <c r="BJ332" s="43"/>
      <c r="BK332" s="43"/>
      <c r="BL332" s="43"/>
      <c r="BM332" s="43"/>
      <c r="BN332" s="43"/>
      <c r="BO332" s="43"/>
      <c r="BP332" s="43"/>
      <c r="BQ332" s="43"/>
      <c r="BR332" s="43"/>
      <c r="BS332" s="43"/>
      <c r="BT332" s="43"/>
      <c r="BU332" s="43"/>
      <c r="BV332" s="43"/>
      <c r="BW332" s="43"/>
      <c r="BX332" s="43"/>
      <c r="BY332" s="43"/>
      <c r="BZ332" s="43"/>
      <c r="CA332" s="43"/>
      <c r="CB332" s="43"/>
      <c r="CC332" s="43"/>
      <c r="CD332" s="43"/>
      <c r="CE332" s="43"/>
      <c r="CF332" s="43"/>
      <c r="CG332" s="43"/>
      <c r="CH332" s="43"/>
      <c r="CI332" s="43"/>
      <c r="CJ332" s="43"/>
      <c r="CK332" s="43"/>
      <c r="CL332" s="43"/>
      <c r="CM332" s="43"/>
      <c r="CN332" s="43"/>
      <c r="CO332" s="43"/>
      <c r="CP332" s="43"/>
      <c r="CQ332" s="43"/>
      <c r="CR332" s="43"/>
      <c r="CS332" s="43"/>
      <c r="CT332" s="43"/>
      <c r="CU332" s="43"/>
      <c r="CV332" s="43"/>
      <c r="CW332" s="43"/>
      <c r="CX332" s="43"/>
      <c r="CY332" s="43"/>
      <c r="CZ332" s="43"/>
      <c r="DA332" s="43"/>
      <c r="DB332" s="43"/>
      <c r="DC332" s="43"/>
      <c r="DD332" s="43"/>
      <c r="DE332" s="43"/>
      <c r="DF332" s="43"/>
      <c r="DG332" s="43"/>
      <c r="DH332" s="43"/>
      <c r="DI332" s="43"/>
      <c r="DJ332" s="43"/>
      <c r="DK332" s="43"/>
      <c r="DL332" s="43"/>
      <c r="DM332" s="43"/>
      <c r="DN332" s="43"/>
      <c r="DO332" s="43"/>
      <c r="DP332" s="43"/>
      <c r="DQ332" s="43"/>
      <c r="DR332" s="43"/>
      <c r="DS332" s="43"/>
    </row>
    <row r="333" spans="1:123" ht="14.45">
      <c r="A333"/>
      <c r="B333"/>
      <c r="C333"/>
      <c r="D333"/>
      <c r="E333"/>
      <c r="F333"/>
      <c r="G333"/>
      <c r="H333"/>
      <c r="I333"/>
      <c r="J333"/>
      <c r="K333" s="43"/>
      <c r="L333" s="43"/>
      <c r="M333" s="43"/>
      <c r="N333" s="43"/>
      <c r="O333" s="43"/>
      <c r="P333" s="43"/>
      <c r="Q333" s="43"/>
      <c r="R333" s="43"/>
      <c r="S333" s="43"/>
      <c r="T333" s="43"/>
      <c r="U333" s="43"/>
      <c r="V333" s="43"/>
      <c r="W333" s="43"/>
      <c r="X333" s="43"/>
      <c r="Y333" s="43"/>
      <c r="Z333" s="43"/>
      <c r="AA333" s="43"/>
      <c r="AB333" s="43"/>
      <c r="AC333" s="43"/>
      <c r="AD333" s="43"/>
      <c r="AE333" s="43"/>
      <c r="AF333" s="43"/>
      <c r="AG333" s="43"/>
      <c r="AH333" s="43"/>
      <c r="AI333" s="43"/>
      <c r="AJ333" s="43"/>
      <c r="AK333" s="43"/>
      <c r="AL333" s="43"/>
      <c r="AM333" s="43"/>
      <c r="AN333" s="43"/>
      <c r="AO333" s="43"/>
      <c r="AP333" s="43"/>
      <c r="AQ333" s="43"/>
      <c r="AR333" s="43"/>
      <c r="AS333" s="43"/>
      <c r="AT333" s="43"/>
      <c r="AU333" s="43"/>
      <c r="AV333" s="43"/>
      <c r="AW333" s="43"/>
      <c r="AX333" s="43"/>
      <c r="AY333" s="43"/>
      <c r="AZ333" s="43"/>
      <c r="BA333" s="43"/>
      <c r="BB333" s="43"/>
      <c r="BC333" s="43"/>
      <c r="BD333" s="43"/>
      <c r="BE333" s="43"/>
      <c r="BF333" s="43"/>
      <c r="BG333" s="43"/>
      <c r="BH333" s="43"/>
      <c r="BI333" s="43"/>
      <c r="BJ333" s="43"/>
      <c r="BK333" s="43"/>
      <c r="BL333" s="43"/>
      <c r="BM333" s="43"/>
      <c r="BN333" s="43"/>
      <c r="BO333" s="43"/>
      <c r="BP333" s="43"/>
      <c r="BQ333" s="43"/>
      <c r="BR333" s="43"/>
      <c r="BS333" s="43"/>
      <c r="BT333" s="43"/>
      <c r="BU333" s="43"/>
      <c r="BV333" s="43"/>
      <c r="BW333" s="43"/>
      <c r="BX333" s="43"/>
      <c r="BY333" s="43"/>
      <c r="BZ333" s="43"/>
      <c r="CA333" s="43"/>
      <c r="CB333" s="43"/>
      <c r="CC333" s="43"/>
      <c r="CD333" s="43"/>
      <c r="CE333" s="43"/>
      <c r="CF333" s="43"/>
      <c r="CG333" s="43"/>
      <c r="CH333" s="43"/>
      <c r="CI333" s="43"/>
      <c r="CJ333" s="43"/>
      <c r="CK333" s="43"/>
      <c r="CL333" s="43"/>
      <c r="CM333" s="43"/>
      <c r="CN333" s="43"/>
      <c r="CO333" s="43"/>
      <c r="CP333" s="43"/>
      <c r="CQ333" s="43"/>
      <c r="CR333" s="43"/>
      <c r="CS333" s="43"/>
      <c r="CT333" s="43"/>
      <c r="CU333" s="43"/>
      <c r="CV333" s="43"/>
      <c r="CW333" s="43"/>
      <c r="CX333" s="43"/>
      <c r="CY333" s="43"/>
      <c r="CZ333" s="43"/>
      <c r="DA333" s="43"/>
      <c r="DB333" s="43"/>
      <c r="DC333" s="43"/>
      <c r="DD333" s="43"/>
      <c r="DE333" s="43"/>
      <c r="DF333" s="43"/>
      <c r="DG333" s="43"/>
      <c r="DH333" s="43"/>
      <c r="DI333" s="43"/>
      <c r="DJ333" s="43"/>
      <c r="DK333" s="43"/>
      <c r="DL333" s="43"/>
      <c r="DM333" s="43"/>
      <c r="DN333" s="43"/>
      <c r="DO333" s="43"/>
      <c r="DP333" s="43"/>
      <c r="DQ333" s="43"/>
      <c r="DR333" s="43"/>
      <c r="DS333" s="43"/>
    </row>
    <row r="334" spans="1:123" ht="14.45">
      <c r="A334"/>
      <c r="B334"/>
      <c r="C334"/>
      <c r="D334"/>
      <c r="E334"/>
      <c r="F334"/>
      <c r="G334"/>
      <c r="H334"/>
      <c r="I334"/>
      <c r="J334"/>
      <c r="K334" s="43"/>
      <c r="L334" s="43"/>
      <c r="M334" s="43"/>
      <c r="N334" s="43"/>
      <c r="O334" s="43"/>
      <c r="P334" s="43"/>
      <c r="Q334" s="43"/>
      <c r="R334" s="43"/>
      <c r="S334" s="43"/>
      <c r="T334" s="43"/>
      <c r="U334" s="43"/>
      <c r="V334" s="43"/>
      <c r="W334" s="43"/>
      <c r="X334" s="43"/>
      <c r="Y334" s="43"/>
      <c r="Z334" s="43"/>
      <c r="AA334" s="43"/>
      <c r="AB334" s="43"/>
      <c r="AC334" s="43"/>
      <c r="AD334" s="43"/>
      <c r="AE334" s="43"/>
      <c r="AF334" s="43"/>
      <c r="AG334" s="43"/>
      <c r="AH334" s="43"/>
      <c r="AI334" s="43"/>
      <c r="AJ334" s="43"/>
      <c r="AK334" s="43"/>
      <c r="AL334" s="43"/>
      <c r="AM334" s="43"/>
      <c r="AN334" s="43"/>
      <c r="AO334" s="43"/>
      <c r="AP334" s="43"/>
      <c r="AQ334" s="43"/>
      <c r="AR334" s="43"/>
      <c r="AS334" s="43"/>
      <c r="AT334" s="43"/>
      <c r="AU334" s="43"/>
      <c r="AV334" s="43"/>
      <c r="AW334" s="43"/>
      <c r="AX334" s="43"/>
      <c r="AY334" s="43"/>
      <c r="AZ334" s="43"/>
      <c r="BA334" s="43"/>
      <c r="BB334" s="43"/>
      <c r="BC334" s="43"/>
      <c r="BD334" s="43"/>
      <c r="BE334" s="43"/>
      <c r="BF334" s="43"/>
      <c r="BG334" s="43"/>
      <c r="BH334" s="43"/>
      <c r="BI334" s="43"/>
      <c r="BJ334" s="43"/>
      <c r="BK334" s="43"/>
      <c r="BL334" s="43"/>
      <c r="BM334" s="43"/>
      <c r="BN334" s="43"/>
      <c r="BO334" s="43"/>
      <c r="BP334" s="43"/>
      <c r="BQ334" s="43"/>
      <c r="BR334" s="43"/>
      <c r="BS334" s="43"/>
      <c r="BT334" s="43"/>
      <c r="BU334" s="43"/>
      <c r="BV334" s="43"/>
      <c r="BW334" s="43"/>
      <c r="BX334" s="43"/>
      <c r="BY334" s="43"/>
      <c r="BZ334" s="43"/>
      <c r="CA334" s="43"/>
      <c r="CB334" s="43"/>
      <c r="CC334" s="43"/>
      <c r="CD334" s="43"/>
      <c r="CE334" s="43"/>
      <c r="CF334" s="43"/>
      <c r="CG334" s="43"/>
      <c r="CH334" s="43"/>
      <c r="CI334" s="43"/>
      <c r="CJ334" s="43"/>
      <c r="CK334" s="43"/>
      <c r="CL334" s="43"/>
      <c r="CM334" s="43"/>
      <c r="CN334" s="43"/>
      <c r="CO334" s="43"/>
      <c r="CP334" s="43"/>
      <c r="CQ334" s="43"/>
      <c r="CR334" s="43"/>
      <c r="CS334" s="43"/>
      <c r="CT334" s="43"/>
      <c r="CU334" s="43"/>
      <c r="CV334" s="43"/>
      <c r="CW334" s="43"/>
      <c r="CX334" s="43"/>
      <c r="CY334" s="43"/>
      <c r="CZ334" s="43"/>
      <c r="DA334" s="43"/>
      <c r="DB334" s="43"/>
      <c r="DC334" s="43"/>
      <c r="DD334" s="43"/>
      <c r="DE334" s="43"/>
      <c r="DF334" s="43"/>
      <c r="DG334" s="43"/>
      <c r="DH334" s="43"/>
      <c r="DI334" s="43"/>
      <c r="DJ334" s="43"/>
      <c r="DK334" s="43"/>
      <c r="DL334" s="43"/>
      <c r="DM334" s="43"/>
      <c r="DN334" s="43"/>
      <c r="DO334" s="43"/>
      <c r="DP334" s="43"/>
      <c r="DQ334" s="43"/>
      <c r="DR334" s="43"/>
      <c r="DS334" s="43"/>
    </row>
    <row r="335" spans="1:123" ht="14.45">
      <c r="A335"/>
      <c r="B335"/>
      <c r="C335"/>
      <c r="D335"/>
      <c r="E335"/>
      <c r="F335"/>
      <c r="G335"/>
      <c r="H335"/>
      <c r="I335"/>
      <c r="J335"/>
      <c r="K335" s="43"/>
      <c r="L335" s="43"/>
      <c r="M335" s="43"/>
      <c r="N335" s="43"/>
      <c r="O335" s="43"/>
      <c r="P335" s="43"/>
      <c r="Q335" s="43"/>
      <c r="R335" s="43"/>
      <c r="S335" s="43"/>
      <c r="T335" s="43"/>
      <c r="U335" s="43"/>
      <c r="V335" s="43"/>
      <c r="W335" s="43"/>
      <c r="X335" s="43"/>
      <c r="Y335" s="43"/>
      <c r="Z335" s="43"/>
      <c r="AA335" s="43"/>
      <c r="AB335" s="43"/>
      <c r="AC335" s="43"/>
      <c r="AD335" s="43"/>
      <c r="AE335" s="43"/>
      <c r="AF335" s="43"/>
      <c r="AG335" s="43"/>
      <c r="AH335" s="43"/>
      <c r="AI335" s="43"/>
      <c r="AJ335" s="43"/>
      <c r="AK335" s="43"/>
      <c r="AL335" s="43"/>
      <c r="AM335" s="43"/>
      <c r="AN335" s="43"/>
      <c r="AO335" s="43"/>
      <c r="AP335" s="43"/>
      <c r="AQ335" s="43"/>
      <c r="AR335" s="43"/>
      <c r="AS335" s="43"/>
      <c r="AT335" s="43"/>
      <c r="AU335" s="43"/>
      <c r="AV335" s="43"/>
      <c r="AW335" s="43"/>
      <c r="AX335" s="43"/>
      <c r="AY335" s="43"/>
      <c r="AZ335" s="43"/>
      <c r="BA335" s="43"/>
      <c r="BB335" s="43"/>
      <c r="BC335" s="43"/>
      <c r="BD335" s="43"/>
      <c r="BE335" s="43"/>
      <c r="BF335" s="43"/>
      <c r="BG335" s="43"/>
      <c r="BH335" s="43"/>
      <c r="BI335" s="43"/>
      <c r="BJ335" s="43"/>
      <c r="BK335" s="43"/>
      <c r="BL335" s="43"/>
      <c r="BM335" s="43"/>
      <c r="BN335" s="43"/>
      <c r="BO335" s="43"/>
      <c r="BP335" s="43"/>
      <c r="BQ335" s="43"/>
      <c r="BR335" s="43"/>
      <c r="BS335" s="43"/>
      <c r="BT335" s="43"/>
      <c r="BU335" s="43"/>
      <c r="BV335" s="43"/>
      <c r="BW335" s="43"/>
      <c r="BX335" s="43"/>
      <c r="BY335" s="43"/>
      <c r="BZ335" s="43"/>
      <c r="CA335" s="43"/>
      <c r="CB335" s="43"/>
      <c r="CC335" s="43"/>
      <c r="CD335" s="43"/>
      <c r="CE335" s="43"/>
      <c r="CF335" s="43"/>
      <c r="CG335" s="43"/>
      <c r="CH335" s="43"/>
      <c r="CI335" s="43"/>
      <c r="CJ335" s="43"/>
      <c r="CK335" s="43"/>
      <c r="CL335" s="43"/>
      <c r="CM335" s="43"/>
      <c r="CN335" s="43"/>
      <c r="CO335" s="43"/>
      <c r="CP335" s="43"/>
      <c r="CQ335" s="43"/>
      <c r="CR335" s="43"/>
      <c r="CS335" s="43"/>
      <c r="CT335" s="43"/>
      <c r="CU335" s="43"/>
      <c r="CV335" s="43"/>
      <c r="CW335" s="43"/>
      <c r="CX335" s="43"/>
      <c r="CY335" s="43"/>
      <c r="CZ335" s="43"/>
      <c r="DA335" s="43"/>
      <c r="DB335" s="43"/>
      <c r="DC335" s="43"/>
      <c r="DD335" s="43"/>
      <c r="DE335" s="43"/>
      <c r="DF335" s="43"/>
      <c r="DG335" s="43"/>
      <c r="DH335" s="43"/>
      <c r="DI335" s="43"/>
      <c r="DJ335" s="43"/>
      <c r="DK335" s="43"/>
      <c r="DL335" s="43"/>
      <c r="DM335" s="43"/>
      <c r="DN335" s="43"/>
      <c r="DO335" s="43"/>
      <c r="DP335" s="43"/>
      <c r="DQ335" s="43"/>
      <c r="DR335" s="43"/>
      <c r="DS335" s="43"/>
    </row>
    <row r="336" spans="1:123" ht="14.45">
      <c r="A336"/>
      <c r="B336"/>
      <c r="C336"/>
      <c r="D336"/>
      <c r="E336"/>
      <c r="F336"/>
      <c r="G336"/>
      <c r="H336"/>
      <c r="I336"/>
      <c r="J336"/>
      <c r="K336" s="43"/>
      <c r="L336" s="43"/>
      <c r="M336" s="43"/>
      <c r="N336" s="43"/>
      <c r="O336" s="43"/>
      <c r="P336" s="43"/>
      <c r="Q336" s="43"/>
      <c r="R336" s="43"/>
      <c r="S336" s="43"/>
      <c r="T336" s="43"/>
      <c r="U336" s="43"/>
      <c r="V336" s="43"/>
      <c r="W336" s="43"/>
      <c r="X336" s="43"/>
      <c r="Y336" s="43"/>
      <c r="Z336" s="43"/>
      <c r="AA336" s="43"/>
      <c r="AB336" s="43"/>
      <c r="AC336" s="43"/>
      <c r="AD336" s="43"/>
      <c r="AE336" s="43"/>
      <c r="AF336" s="43"/>
      <c r="AG336" s="43"/>
      <c r="AH336" s="43"/>
      <c r="AI336" s="43"/>
      <c r="AJ336" s="43"/>
      <c r="AK336" s="43"/>
      <c r="AL336" s="43"/>
      <c r="AM336" s="43"/>
      <c r="AN336" s="43"/>
      <c r="AO336" s="43"/>
      <c r="AP336" s="43"/>
      <c r="AQ336" s="43"/>
      <c r="AR336" s="43"/>
      <c r="AS336" s="43"/>
      <c r="AT336" s="43"/>
      <c r="AU336" s="43"/>
      <c r="AV336" s="43"/>
      <c r="AW336" s="43"/>
      <c r="AX336" s="43"/>
      <c r="AY336" s="43"/>
      <c r="AZ336" s="43"/>
      <c r="BA336" s="43"/>
      <c r="BB336" s="43"/>
      <c r="BC336" s="43"/>
      <c r="BD336" s="43"/>
      <c r="BE336" s="43"/>
      <c r="BF336" s="43"/>
      <c r="BG336" s="43"/>
      <c r="BH336" s="43"/>
      <c r="BI336" s="43"/>
      <c r="BJ336" s="43"/>
      <c r="BK336" s="43"/>
      <c r="BL336" s="43"/>
      <c r="BM336" s="43"/>
      <c r="BN336" s="43"/>
      <c r="BO336" s="43"/>
      <c r="BP336" s="43"/>
      <c r="BQ336" s="43"/>
      <c r="BR336" s="43"/>
      <c r="BS336" s="43"/>
      <c r="BT336" s="43"/>
      <c r="BU336" s="43"/>
      <c r="BV336" s="43"/>
      <c r="BW336" s="43"/>
      <c r="BX336" s="43"/>
      <c r="BY336" s="43"/>
      <c r="BZ336" s="43"/>
      <c r="CA336" s="43"/>
      <c r="CB336" s="43"/>
      <c r="CC336" s="43"/>
      <c r="CD336" s="43"/>
      <c r="CE336" s="43"/>
      <c r="CF336" s="43"/>
      <c r="CG336" s="43"/>
      <c r="CH336" s="43"/>
      <c r="CI336" s="43"/>
      <c r="CJ336" s="43"/>
      <c r="CK336" s="43"/>
      <c r="CL336" s="43"/>
      <c r="CM336" s="43"/>
      <c r="CN336" s="43"/>
      <c r="CO336" s="43"/>
      <c r="CP336" s="43"/>
      <c r="CQ336" s="43"/>
      <c r="CR336" s="43"/>
      <c r="CS336" s="43"/>
      <c r="CT336" s="43"/>
      <c r="CU336" s="43"/>
      <c r="CV336" s="43"/>
      <c r="CW336" s="43"/>
      <c r="CX336" s="43"/>
      <c r="CY336" s="43"/>
      <c r="CZ336" s="43"/>
      <c r="DA336" s="43"/>
      <c r="DB336" s="43"/>
      <c r="DC336" s="43"/>
      <c r="DD336" s="43"/>
      <c r="DE336" s="43"/>
      <c r="DF336" s="43"/>
      <c r="DG336" s="43"/>
      <c r="DH336" s="43"/>
      <c r="DI336" s="43"/>
      <c r="DJ336" s="43"/>
      <c r="DK336" s="43"/>
      <c r="DL336" s="43"/>
      <c r="DM336" s="43"/>
      <c r="DN336" s="43"/>
      <c r="DO336" s="43"/>
      <c r="DP336" s="43"/>
      <c r="DQ336" s="43"/>
      <c r="DR336" s="43"/>
      <c r="DS336" s="43"/>
    </row>
    <row r="337" spans="1:123" ht="14.45">
      <c r="A337"/>
      <c r="B337"/>
      <c r="C337"/>
      <c r="D337"/>
      <c r="E337"/>
      <c r="F337"/>
      <c r="G337"/>
      <c r="H337"/>
      <c r="I337"/>
      <c r="J337"/>
      <c r="K337" s="43"/>
      <c r="L337" s="43"/>
      <c r="M337" s="43"/>
      <c r="N337" s="43"/>
      <c r="O337" s="43"/>
      <c r="P337" s="43"/>
      <c r="Q337" s="43"/>
      <c r="R337" s="43"/>
      <c r="S337" s="43"/>
      <c r="T337" s="43"/>
      <c r="U337" s="43"/>
      <c r="V337" s="43"/>
      <c r="W337" s="43"/>
      <c r="X337" s="43"/>
      <c r="Y337" s="43"/>
      <c r="Z337" s="43"/>
      <c r="AA337" s="43"/>
      <c r="AB337" s="43"/>
      <c r="AC337" s="43"/>
      <c r="AD337" s="43"/>
      <c r="AE337" s="43"/>
      <c r="AF337" s="43"/>
      <c r="AG337" s="43"/>
      <c r="AH337" s="43"/>
      <c r="AI337" s="43"/>
      <c r="AJ337" s="43"/>
      <c r="AK337" s="43"/>
      <c r="AL337" s="43"/>
      <c r="AM337" s="43"/>
      <c r="AN337" s="43"/>
      <c r="AO337" s="43"/>
      <c r="AP337" s="43"/>
      <c r="AQ337" s="43"/>
      <c r="AR337" s="43"/>
      <c r="AS337" s="43"/>
      <c r="AT337" s="43"/>
      <c r="AU337" s="43"/>
      <c r="AV337" s="43"/>
      <c r="AW337" s="43"/>
      <c r="AX337" s="43"/>
      <c r="AY337" s="43"/>
      <c r="AZ337" s="43"/>
      <c r="BA337" s="43"/>
      <c r="BB337" s="43"/>
      <c r="BC337" s="43"/>
      <c r="BD337" s="43"/>
      <c r="BE337" s="43"/>
      <c r="BF337" s="43"/>
      <c r="BG337" s="43"/>
      <c r="BH337" s="43"/>
      <c r="BI337" s="43"/>
      <c r="BJ337" s="43"/>
      <c r="BK337" s="43"/>
      <c r="BL337" s="43"/>
      <c r="BM337" s="43"/>
      <c r="BN337" s="43"/>
      <c r="BO337" s="43"/>
      <c r="BP337" s="43"/>
      <c r="BQ337" s="43"/>
      <c r="BR337" s="43"/>
      <c r="BS337" s="43"/>
      <c r="BT337" s="43"/>
      <c r="BU337" s="43"/>
      <c r="BV337" s="43"/>
      <c r="BW337" s="43"/>
      <c r="BX337" s="43"/>
      <c r="BY337" s="43"/>
      <c r="BZ337" s="43"/>
      <c r="CA337" s="43"/>
      <c r="CB337" s="43"/>
      <c r="CC337" s="43"/>
      <c r="CD337" s="43"/>
      <c r="CE337" s="43"/>
      <c r="CF337" s="43"/>
      <c r="CG337" s="43"/>
      <c r="CH337" s="43"/>
      <c r="CI337" s="43"/>
      <c r="CJ337" s="43"/>
      <c r="CK337" s="43"/>
      <c r="CL337" s="43"/>
      <c r="CM337" s="43"/>
      <c r="CN337" s="43"/>
      <c r="CO337" s="43"/>
      <c r="CP337" s="43"/>
      <c r="CQ337" s="43"/>
      <c r="CR337" s="43"/>
      <c r="CS337" s="43"/>
      <c r="CT337" s="43"/>
      <c r="CU337" s="43"/>
      <c r="CV337" s="43"/>
      <c r="CW337" s="43"/>
      <c r="CX337" s="43"/>
      <c r="CY337" s="43"/>
      <c r="CZ337" s="43"/>
      <c r="DA337" s="43"/>
      <c r="DB337" s="43"/>
      <c r="DC337" s="43"/>
      <c r="DD337" s="43"/>
      <c r="DE337" s="43"/>
      <c r="DF337" s="43"/>
      <c r="DG337" s="43"/>
      <c r="DH337" s="43"/>
      <c r="DI337" s="43"/>
      <c r="DJ337" s="43"/>
      <c r="DK337" s="43"/>
      <c r="DL337" s="43"/>
      <c r="DM337" s="43"/>
      <c r="DN337" s="43"/>
      <c r="DO337" s="43"/>
      <c r="DP337" s="43"/>
      <c r="DQ337" s="43"/>
      <c r="DR337" s="43"/>
      <c r="DS337" s="43"/>
    </row>
    <row r="338" spans="1:123" ht="14.45">
      <c r="A338"/>
      <c r="B338"/>
      <c r="C338"/>
      <c r="D338"/>
      <c r="E338"/>
      <c r="F338"/>
      <c r="G338"/>
      <c r="H338"/>
      <c r="I338"/>
      <c r="J338"/>
      <c r="K338" s="43"/>
      <c r="L338" s="43"/>
      <c r="M338" s="43"/>
      <c r="N338" s="43"/>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3"/>
      <c r="AM338" s="43"/>
      <c r="AN338" s="43"/>
      <c r="AO338" s="43"/>
      <c r="AP338" s="43"/>
      <c r="AQ338" s="43"/>
      <c r="AR338" s="43"/>
      <c r="AS338" s="43"/>
      <c r="AT338" s="43"/>
      <c r="AU338" s="43"/>
      <c r="AV338" s="43"/>
      <c r="AW338" s="43"/>
      <c r="AX338" s="43"/>
      <c r="AY338" s="43"/>
      <c r="AZ338" s="43"/>
      <c r="BA338" s="43"/>
      <c r="BB338" s="43"/>
      <c r="BC338" s="43"/>
      <c r="BD338" s="43"/>
      <c r="BE338" s="43"/>
      <c r="BF338" s="43"/>
      <c r="BG338" s="43"/>
      <c r="BH338" s="43"/>
      <c r="BI338" s="43"/>
      <c r="BJ338" s="43"/>
      <c r="BK338" s="43"/>
      <c r="BL338" s="43"/>
      <c r="BM338" s="43"/>
      <c r="BN338" s="43"/>
      <c r="BO338" s="43"/>
      <c r="BP338" s="43"/>
      <c r="BQ338" s="43"/>
      <c r="BR338" s="43"/>
      <c r="BS338" s="43"/>
      <c r="BT338" s="43"/>
      <c r="BU338" s="43"/>
      <c r="BV338" s="43"/>
      <c r="BW338" s="43"/>
      <c r="BX338" s="43"/>
      <c r="BY338" s="43"/>
      <c r="BZ338" s="43"/>
      <c r="CA338" s="43"/>
      <c r="CB338" s="43"/>
      <c r="CC338" s="43"/>
      <c r="CD338" s="43"/>
      <c r="CE338" s="43"/>
      <c r="CF338" s="43"/>
      <c r="CG338" s="43"/>
      <c r="CH338" s="43"/>
      <c r="CI338" s="43"/>
      <c r="CJ338" s="43"/>
      <c r="CK338" s="43"/>
      <c r="CL338" s="43"/>
      <c r="CM338" s="43"/>
      <c r="CN338" s="43"/>
      <c r="CO338" s="43"/>
      <c r="CP338" s="43"/>
      <c r="CQ338" s="43"/>
      <c r="CR338" s="43"/>
      <c r="CS338" s="43"/>
      <c r="CT338" s="43"/>
      <c r="CU338" s="43"/>
      <c r="CV338" s="43"/>
      <c r="CW338" s="43"/>
      <c r="CX338" s="43"/>
      <c r="CY338" s="43"/>
      <c r="CZ338" s="43"/>
      <c r="DA338" s="43"/>
      <c r="DB338" s="43"/>
      <c r="DC338" s="43"/>
      <c r="DD338" s="43"/>
      <c r="DE338" s="43"/>
      <c r="DF338" s="43"/>
      <c r="DG338" s="43"/>
      <c r="DH338" s="43"/>
      <c r="DI338" s="43"/>
      <c r="DJ338" s="43"/>
      <c r="DK338" s="43"/>
      <c r="DL338" s="43"/>
      <c r="DM338" s="43"/>
      <c r="DN338" s="43"/>
      <c r="DO338" s="43"/>
      <c r="DP338" s="43"/>
      <c r="DQ338" s="43"/>
      <c r="DR338" s="43"/>
      <c r="DS338" s="43"/>
    </row>
    <row r="339" spans="1:123" ht="14.45">
      <c r="A339"/>
      <c r="B339"/>
      <c r="C339"/>
      <c r="D339"/>
      <c r="E339"/>
      <c r="F339"/>
      <c r="G339"/>
      <c r="H339"/>
      <c r="I339"/>
      <c r="J339"/>
      <c r="K339" s="43"/>
      <c r="L339" s="43"/>
      <c r="M339" s="43"/>
      <c r="N339" s="43"/>
      <c r="O339" s="43"/>
      <c r="P339" s="43"/>
      <c r="Q339" s="43"/>
      <c r="R339" s="43"/>
      <c r="S339" s="43"/>
      <c r="T339" s="43"/>
      <c r="U339" s="43"/>
      <c r="V339" s="43"/>
      <c r="W339" s="43"/>
      <c r="X339" s="43"/>
      <c r="Y339" s="43"/>
      <c r="Z339" s="43"/>
      <c r="AA339" s="43"/>
      <c r="AB339" s="43"/>
      <c r="AC339" s="43"/>
      <c r="AD339" s="43"/>
      <c r="AE339" s="43"/>
      <c r="AF339" s="43"/>
      <c r="AG339" s="43"/>
      <c r="AH339" s="43"/>
      <c r="AI339" s="43"/>
      <c r="AJ339" s="43"/>
      <c r="AK339" s="43"/>
      <c r="AL339" s="43"/>
      <c r="AM339" s="43"/>
      <c r="AN339" s="43"/>
      <c r="AO339" s="43"/>
      <c r="AP339" s="43"/>
      <c r="AQ339" s="43"/>
      <c r="AR339" s="43"/>
      <c r="AS339" s="43"/>
      <c r="AT339" s="43"/>
      <c r="AU339" s="43"/>
      <c r="AV339" s="43"/>
      <c r="AW339" s="43"/>
      <c r="AX339" s="43"/>
      <c r="AY339" s="43"/>
      <c r="AZ339" s="43"/>
      <c r="BA339" s="43"/>
      <c r="BB339" s="43"/>
      <c r="BC339" s="43"/>
      <c r="BD339" s="43"/>
      <c r="BE339" s="43"/>
      <c r="BF339" s="43"/>
      <c r="BG339" s="43"/>
      <c r="BH339" s="43"/>
      <c r="BI339" s="43"/>
      <c r="BJ339" s="43"/>
      <c r="BK339" s="43"/>
      <c r="BL339" s="43"/>
      <c r="BM339" s="43"/>
      <c r="BN339" s="43"/>
      <c r="BO339" s="43"/>
      <c r="BP339" s="43"/>
      <c r="BQ339" s="43"/>
      <c r="BR339" s="43"/>
      <c r="BS339" s="43"/>
      <c r="BT339" s="43"/>
      <c r="BU339" s="43"/>
      <c r="BV339" s="43"/>
      <c r="BW339" s="43"/>
      <c r="BX339" s="43"/>
      <c r="BY339" s="43"/>
      <c r="BZ339" s="43"/>
      <c r="CA339" s="43"/>
      <c r="CB339" s="43"/>
      <c r="CC339" s="43"/>
      <c r="CD339" s="43"/>
      <c r="CE339" s="43"/>
      <c r="CF339" s="43"/>
      <c r="CG339" s="43"/>
      <c r="CH339" s="43"/>
      <c r="CI339" s="43"/>
      <c r="CJ339" s="43"/>
      <c r="CK339" s="43"/>
      <c r="CL339" s="43"/>
      <c r="CM339" s="43"/>
      <c r="CN339" s="43"/>
      <c r="CO339" s="43"/>
      <c r="CP339" s="43"/>
      <c r="CQ339" s="43"/>
      <c r="CR339" s="43"/>
      <c r="CS339" s="43"/>
      <c r="CT339" s="43"/>
      <c r="CU339" s="43"/>
      <c r="CV339" s="43"/>
      <c r="CW339" s="43"/>
      <c r="CX339" s="43"/>
      <c r="CY339" s="43"/>
      <c r="CZ339" s="43"/>
      <c r="DA339" s="43"/>
      <c r="DB339" s="43"/>
      <c r="DC339" s="43"/>
      <c r="DD339" s="43"/>
      <c r="DE339" s="43"/>
      <c r="DF339" s="43"/>
      <c r="DG339" s="43"/>
      <c r="DH339" s="43"/>
      <c r="DI339" s="43"/>
      <c r="DJ339" s="43"/>
      <c r="DK339" s="43"/>
      <c r="DL339" s="43"/>
      <c r="DM339" s="43"/>
      <c r="DN339" s="43"/>
      <c r="DO339" s="43"/>
      <c r="DP339" s="43"/>
      <c r="DQ339" s="43"/>
      <c r="DR339" s="43"/>
      <c r="DS339" s="43"/>
    </row>
    <row r="340" spans="1:123" ht="14.45">
      <c r="A340"/>
      <c r="B340"/>
      <c r="C340"/>
      <c r="D340"/>
      <c r="E340"/>
      <c r="F340"/>
      <c r="G340"/>
      <c r="H340"/>
      <c r="I340"/>
      <c r="J340"/>
      <c r="K340" s="43"/>
      <c r="L340" s="43"/>
      <c r="M340" s="43"/>
      <c r="N340" s="43"/>
      <c r="O340" s="43"/>
      <c r="P340" s="43"/>
      <c r="Q340" s="43"/>
      <c r="R340" s="43"/>
      <c r="S340" s="43"/>
      <c r="T340" s="43"/>
      <c r="U340" s="43"/>
      <c r="V340" s="43"/>
      <c r="W340" s="43"/>
      <c r="X340" s="43"/>
      <c r="Y340" s="43"/>
      <c r="Z340" s="43"/>
      <c r="AA340" s="43"/>
      <c r="AB340" s="43"/>
      <c r="AC340" s="43"/>
      <c r="AD340" s="43"/>
      <c r="AE340" s="43"/>
      <c r="AF340" s="43"/>
      <c r="AG340" s="43"/>
      <c r="AH340" s="43"/>
      <c r="AI340" s="43"/>
      <c r="AJ340" s="43"/>
      <c r="AK340" s="43"/>
      <c r="AL340" s="43"/>
      <c r="AM340" s="43"/>
      <c r="AN340" s="43"/>
      <c r="AO340" s="43"/>
      <c r="AP340" s="43"/>
      <c r="AQ340" s="43"/>
      <c r="AR340" s="43"/>
      <c r="AS340" s="43"/>
      <c r="AT340" s="43"/>
      <c r="AU340" s="43"/>
      <c r="AV340" s="43"/>
      <c r="AW340" s="43"/>
      <c r="AX340" s="43"/>
      <c r="AY340" s="43"/>
      <c r="AZ340" s="43"/>
      <c r="BA340" s="43"/>
      <c r="BB340" s="43"/>
      <c r="BC340" s="43"/>
      <c r="BD340" s="43"/>
      <c r="BE340" s="43"/>
      <c r="BF340" s="43"/>
      <c r="BG340" s="43"/>
      <c r="BH340" s="43"/>
      <c r="BI340" s="43"/>
      <c r="BJ340" s="43"/>
      <c r="BK340" s="43"/>
      <c r="BL340" s="43"/>
      <c r="BM340" s="43"/>
      <c r="BN340" s="43"/>
      <c r="BO340" s="43"/>
      <c r="BP340" s="43"/>
      <c r="BQ340" s="43"/>
      <c r="BR340" s="43"/>
      <c r="BS340" s="43"/>
      <c r="BT340" s="43"/>
      <c r="BU340" s="43"/>
      <c r="BV340" s="43"/>
      <c r="BW340" s="43"/>
      <c r="BX340" s="43"/>
      <c r="BY340" s="43"/>
      <c r="BZ340" s="43"/>
      <c r="CA340" s="43"/>
      <c r="CB340" s="43"/>
      <c r="CC340" s="43"/>
      <c r="CD340" s="43"/>
      <c r="CE340" s="43"/>
      <c r="CF340" s="43"/>
      <c r="CG340" s="43"/>
      <c r="CH340" s="43"/>
      <c r="CI340" s="43"/>
      <c r="CJ340" s="43"/>
      <c r="CK340" s="43"/>
      <c r="CL340" s="43"/>
      <c r="CM340" s="43"/>
      <c r="CN340" s="43"/>
      <c r="CO340" s="43"/>
      <c r="CP340" s="43"/>
      <c r="CQ340" s="43"/>
      <c r="CR340" s="43"/>
      <c r="CS340" s="43"/>
      <c r="CT340" s="43"/>
      <c r="CU340" s="43"/>
      <c r="CV340" s="43"/>
      <c r="CW340" s="43"/>
      <c r="CX340" s="43"/>
      <c r="CY340" s="43"/>
      <c r="CZ340" s="43"/>
      <c r="DA340" s="43"/>
      <c r="DB340" s="43"/>
      <c r="DC340" s="43"/>
      <c r="DD340" s="43"/>
      <c r="DE340" s="43"/>
      <c r="DF340" s="43"/>
      <c r="DG340" s="43"/>
      <c r="DH340" s="43"/>
      <c r="DI340" s="43"/>
      <c r="DJ340" s="43"/>
      <c r="DK340" s="43"/>
      <c r="DL340" s="43"/>
      <c r="DM340" s="43"/>
      <c r="DN340" s="43"/>
      <c r="DO340" s="43"/>
      <c r="DP340" s="43"/>
      <c r="DQ340" s="43"/>
      <c r="DR340" s="43"/>
      <c r="DS340" s="43"/>
    </row>
    <row r="341" spans="1:123" ht="14.45">
      <c r="A341"/>
      <c r="B341"/>
      <c r="C341"/>
      <c r="D341"/>
      <c r="E341"/>
      <c r="F341"/>
      <c r="G341"/>
      <c r="H341"/>
      <c r="I341"/>
      <c r="J341"/>
      <c r="K341" s="43"/>
      <c r="L341" s="43"/>
      <c r="M341" s="43"/>
      <c r="N341" s="43"/>
      <c r="O341" s="43"/>
      <c r="P341" s="43"/>
      <c r="Q341" s="43"/>
      <c r="R341" s="43"/>
      <c r="S341" s="43"/>
      <c r="T341" s="43"/>
      <c r="U341" s="43"/>
      <c r="V341" s="43"/>
      <c r="W341" s="43"/>
      <c r="X341" s="43"/>
      <c r="Y341" s="43"/>
      <c r="Z341" s="43"/>
      <c r="AA341" s="43"/>
      <c r="AB341" s="43"/>
      <c r="AC341" s="43"/>
      <c r="AD341" s="43"/>
      <c r="AE341" s="43"/>
      <c r="AF341" s="43"/>
      <c r="AG341" s="43"/>
      <c r="AH341" s="43"/>
      <c r="AI341" s="43"/>
      <c r="AJ341" s="43"/>
      <c r="AK341" s="43"/>
      <c r="AL341" s="43"/>
      <c r="AM341" s="43"/>
      <c r="AN341" s="43"/>
      <c r="AO341" s="43"/>
      <c r="AP341" s="43"/>
      <c r="AQ341" s="43"/>
      <c r="AR341" s="43"/>
      <c r="AS341" s="43"/>
      <c r="AT341" s="43"/>
      <c r="AU341" s="43"/>
      <c r="AV341" s="43"/>
      <c r="AW341" s="43"/>
      <c r="AX341" s="43"/>
      <c r="AY341" s="43"/>
      <c r="AZ341" s="43"/>
      <c r="BA341" s="43"/>
      <c r="BB341" s="43"/>
      <c r="BC341" s="43"/>
      <c r="BD341" s="43"/>
      <c r="BE341" s="43"/>
      <c r="BF341" s="43"/>
      <c r="BG341" s="43"/>
      <c r="BH341" s="43"/>
      <c r="BI341" s="43"/>
      <c r="BJ341" s="43"/>
      <c r="BK341" s="43"/>
      <c r="BL341" s="43"/>
      <c r="BM341" s="43"/>
      <c r="BN341" s="43"/>
      <c r="BO341" s="43"/>
      <c r="BP341" s="43"/>
      <c r="BQ341" s="43"/>
      <c r="BR341" s="43"/>
      <c r="BS341" s="43"/>
      <c r="BT341" s="43"/>
      <c r="BU341" s="43"/>
      <c r="BV341" s="43"/>
      <c r="BW341" s="43"/>
      <c r="BX341" s="43"/>
      <c r="BY341" s="43"/>
      <c r="BZ341" s="43"/>
      <c r="CA341" s="43"/>
      <c r="CB341" s="43"/>
      <c r="CC341" s="43"/>
      <c r="CD341" s="43"/>
      <c r="CE341" s="43"/>
      <c r="CF341" s="43"/>
      <c r="CG341" s="43"/>
      <c r="CH341" s="43"/>
      <c r="CI341" s="43"/>
      <c r="CJ341" s="43"/>
      <c r="CK341" s="43"/>
      <c r="CL341" s="43"/>
      <c r="CM341" s="43"/>
      <c r="CN341" s="43"/>
      <c r="CO341" s="43"/>
      <c r="CP341" s="43"/>
      <c r="CQ341" s="43"/>
      <c r="CR341" s="43"/>
      <c r="CS341" s="43"/>
      <c r="CT341" s="43"/>
      <c r="CU341" s="43"/>
      <c r="CV341" s="43"/>
      <c r="CW341" s="43"/>
      <c r="CX341" s="43"/>
      <c r="CY341" s="43"/>
      <c r="CZ341" s="43"/>
      <c r="DA341" s="43"/>
      <c r="DB341" s="43"/>
      <c r="DC341" s="43"/>
      <c r="DD341" s="43"/>
      <c r="DE341" s="43"/>
      <c r="DF341" s="43"/>
      <c r="DG341" s="43"/>
      <c r="DH341" s="43"/>
      <c r="DI341" s="43"/>
      <c r="DJ341" s="43"/>
      <c r="DK341" s="43"/>
      <c r="DL341" s="43"/>
      <c r="DM341" s="43"/>
      <c r="DN341" s="43"/>
      <c r="DO341" s="43"/>
      <c r="DP341" s="43"/>
      <c r="DQ341" s="43"/>
      <c r="DR341" s="43"/>
      <c r="DS341" s="43"/>
    </row>
    <row r="342" spans="1:123" ht="14.45">
      <c r="A342"/>
      <c r="B342"/>
      <c r="C342"/>
      <c r="D342"/>
      <c r="E342"/>
      <c r="F342"/>
      <c r="G342"/>
      <c r="H342"/>
      <c r="I342"/>
      <c r="J342"/>
      <c r="K342" s="43"/>
      <c r="L342" s="43"/>
      <c r="M342" s="43"/>
      <c r="N342" s="43"/>
      <c r="O342" s="43"/>
      <c r="P342" s="43"/>
      <c r="Q342" s="43"/>
      <c r="R342" s="43"/>
      <c r="S342" s="43"/>
      <c r="T342" s="43"/>
      <c r="U342" s="43"/>
      <c r="V342" s="43"/>
      <c r="W342" s="43"/>
      <c r="X342" s="43"/>
      <c r="Y342" s="43"/>
      <c r="Z342" s="43"/>
      <c r="AA342" s="43"/>
      <c r="AB342" s="43"/>
      <c r="AC342" s="43"/>
      <c r="AD342" s="43"/>
      <c r="AE342" s="43"/>
      <c r="AF342" s="43"/>
      <c r="AG342" s="43"/>
      <c r="AH342" s="43"/>
      <c r="AI342" s="43"/>
      <c r="AJ342" s="43"/>
      <c r="AK342" s="43"/>
      <c r="AL342" s="43"/>
      <c r="AM342" s="43"/>
      <c r="AN342" s="43"/>
      <c r="AO342" s="43"/>
      <c r="AP342" s="43"/>
      <c r="AQ342" s="43"/>
      <c r="AR342" s="43"/>
      <c r="AS342" s="43"/>
      <c r="AT342" s="43"/>
      <c r="AU342" s="43"/>
      <c r="AV342" s="43"/>
      <c r="AW342" s="43"/>
      <c r="AX342" s="43"/>
      <c r="AY342" s="43"/>
      <c r="AZ342" s="43"/>
      <c r="BA342" s="43"/>
      <c r="BB342" s="43"/>
      <c r="BC342" s="43"/>
      <c r="BD342" s="43"/>
      <c r="BE342" s="43"/>
      <c r="BF342" s="43"/>
      <c r="BG342" s="43"/>
      <c r="BH342" s="43"/>
      <c r="BI342" s="43"/>
      <c r="BJ342" s="43"/>
      <c r="BK342" s="43"/>
      <c r="BL342" s="43"/>
      <c r="BM342" s="43"/>
      <c r="BN342" s="43"/>
      <c r="BO342" s="43"/>
      <c r="BP342" s="43"/>
      <c r="BQ342" s="43"/>
      <c r="BR342" s="43"/>
      <c r="BS342" s="43"/>
      <c r="BT342" s="43"/>
      <c r="BU342" s="43"/>
      <c r="BV342" s="43"/>
      <c r="BW342" s="43"/>
      <c r="BX342" s="43"/>
      <c r="BY342" s="43"/>
      <c r="BZ342" s="43"/>
      <c r="CA342" s="43"/>
      <c r="CB342" s="43"/>
      <c r="CC342" s="43"/>
      <c r="CD342" s="43"/>
      <c r="CE342" s="43"/>
      <c r="CF342" s="43"/>
      <c r="CG342" s="43"/>
      <c r="CH342" s="43"/>
      <c r="CI342" s="43"/>
      <c r="CJ342" s="43"/>
      <c r="CK342" s="43"/>
      <c r="CL342" s="43"/>
      <c r="CM342" s="43"/>
      <c r="CN342" s="43"/>
      <c r="CO342" s="43"/>
      <c r="CP342" s="43"/>
      <c r="CQ342" s="43"/>
      <c r="CR342" s="43"/>
      <c r="CS342" s="43"/>
      <c r="CT342" s="43"/>
      <c r="CU342" s="43"/>
      <c r="CV342" s="43"/>
      <c r="CW342" s="43"/>
      <c r="CX342" s="43"/>
      <c r="CY342" s="43"/>
      <c r="CZ342" s="43"/>
      <c r="DA342" s="43"/>
      <c r="DB342" s="43"/>
      <c r="DC342" s="43"/>
      <c r="DD342" s="43"/>
      <c r="DE342" s="43"/>
      <c r="DF342" s="43"/>
      <c r="DG342" s="43"/>
      <c r="DH342" s="43"/>
      <c r="DI342" s="43"/>
      <c r="DJ342" s="43"/>
      <c r="DK342" s="43"/>
      <c r="DL342" s="43"/>
      <c r="DM342" s="43"/>
      <c r="DN342" s="43"/>
      <c r="DO342" s="43"/>
      <c r="DP342" s="43"/>
      <c r="DQ342" s="43"/>
      <c r="DR342" s="43"/>
      <c r="DS342" s="43"/>
    </row>
    <row r="343" spans="1:123" ht="14.45">
      <c r="A343"/>
      <c r="B343"/>
      <c r="C343"/>
      <c r="D343"/>
      <c r="E343"/>
      <c r="F343"/>
      <c r="G343"/>
      <c r="H343"/>
      <c r="I343"/>
      <c r="J343"/>
      <c r="K343" s="43"/>
      <c r="L343" s="43"/>
      <c r="M343" s="43"/>
      <c r="N343" s="43"/>
      <c r="O343" s="43"/>
      <c r="P343" s="43"/>
      <c r="Q343" s="43"/>
      <c r="R343" s="43"/>
      <c r="S343" s="43"/>
      <c r="T343" s="43"/>
      <c r="U343" s="43"/>
      <c r="V343" s="43"/>
      <c r="W343" s="43"/>
      <c r="X343" s="43"/>
      <c r="Y343" s="43"/>
      <c r="Z343" s="43"/>
      <c r="AA343" s="43"/>
      <c r="AB343" s="43"/>
      <c r="AC343" s="43"/>
      <c r="AD343" s="43"/>
      <c r="AE343" s="43"/>
      <c r="AF343" s="43"/>
      <c r="AG343" s="43"/>
      <c r="AH343" s="43"/>
      <c r="AI343" s="43"/>
      <c r="AJ343" s="43"/>
      <c r="AK343" s="43"/>
      <c r="AL343" s="43"/>
      <c r="AM343" s="43"/>
      <c r="AN343" s="43"/>
      <c r="AO343" s="43"/>
      <c r="AP343" s="43"/>
      <c r="AQ343" s="43"/>
      <c r="AR343" s="43"/>
      <c r="AS343" s="43"/>
      <c r="AT343" s="43"/>
      <c r="AU343" s="43"/>
      <c r="AV343" s="43"/>
      <c r="AW343" s="43"/>
      <c r="AX343" s="43"/>
      <c r="AY343" s="43"/>
      <c r="AZ343" s="43"/>
      <c r="BA343" s="43"/>
      <c r="BB343" s="43"/>
      <c r="BC343" s="43"/>
      <c r="BD343" s="43"/>
      <c r="BE343" s="43"/>
      <c r="BF343" s="43"/>
      <c r="BG343" s="43"/>
      <c r="BH343" s="43"/>
      <c r="BI343" s="43"/>
      <c r="BJ343" s="43"/>
      <c r="BK343" s="43"/>
      <c r="BL343" s="43"/>
      <c r="BM343" s="43"/>
      <c r="BN343" s="43"/>
      <c r="BO343" s="43"/>
      <c r="BP343" s="43"/>
      <c r="BQ343" s="43"/>
      <c r="BR343" s="43"/>
      <c r="BS343" s="43"/>
      <c r="BT343" s="43"/>
      <c r="BU343" s="43"/>
      <c r="BV343" s="43"/>
      <c r="BW343" s="43"/>
      <c r="BX343" s="43"/>
      <c r="BY343" s="43"/>
      <c r="BZ343" s="43"/>
      <c r="CA343" s="43"/>
      <c r="CB343" s="43"/>
      <c r="CC343" s="43"/>
      <c r="CD343" s="43"/>
      <c r="CE343" s="43"/>
      <c r="CF343" s="43"/>
      <c r="CG343" s="43"/>
      <c r="CH343" s="43"/>
      <c r="CI343" s="43"/>
      <c r="CJ343" s="43"/>
      <c r="CK343" s="43"/>
      <c r="CL343" s="43"/>
      <c r="CM343" s="43"/>
      <c r="CN343" s="43"/>
      <c r="CO343" s="43"/>
      <c r="CP343" s="43"/>
      <c r="CQ343" s="43"/>
      <c r="CR343" s="43"/>
      <c r="CS343" s="43"/>
      <c r="CT343" s="43"/>
      <c r="CU343" s="43"/>
      <c r="CV343" s="43"/>
      <c r="CW343" s="43"/>
      <c r="CX343" s="43"/>
      <c r="CY343" s="43"/>
      <c r="CZ343" s="43"/>
      <c r="DA343" s="43"/>
      <c r="DB343" s="43"/>
      <c r="DC343" s="43"/>
      <c r="DD343" s="43"/>
      <c r="DE343" s="43"/>
      <c r="DF343" s="43"/>
      <c r="DG343" s="43"/>
      <c r="DH343" s="43"/>
      <c r="DI343" s="43"/>
      <c r="DJ343" s="43"/>
      <c r="DK343" s="43"/>
      <c r="DL343" s="43"/>
      <c r="DM343" s="43"/>
      <c r="DN343" s="43"/>
      <c r="DO343" s="43"/>
      <c r="DP343" s="43"/>
      <c r="DQ343" s="43"/>
      <c r="DR343" s="43"/>
      <c r="DS343" s="43"/>
    </row>
    <row r="344" spans="1:123" ht="14.45">
      <c r="A344"/>
      <c r="B344"/>
      <c r="C344"/>
      <c r="D344"/>
      <c r="E344"/>
      <c r="F344"/>
      <c r="G344"/>
      <c r="H344"/>
      <c r="I344"/>
      <c r="J344"/>
      <c r="K344" s="43"/>
      <c r="L344" s="43"/>
      <c r="M344" s="43"/>
      <c r="N344" s="43"/>
      <c r="O344" s="43"/>
      <c r="P344" s="43"/>
      <c r="Q344" s="43"/>
      <c r="R344" s="43"/>
      <c r="S344" s="43"/>
      <c r="T344" s="43"/>
      <c r="U344" s="43"/>
      <c r="V344" s="43"/>
      <c r="W344" s="43"/>
      <c r="X344" s="43"/>
      <c r="Y344" s="43"/>
      <c r="Z344" s="43"/>
      <c r="AA344" s="43"/>
      <c r="AB344" s="43"/>
      <c r="AC344" s="43"/>
      <c r="AD344" s="43"/>
      <c r="AE344" s="43"/>
      <c r="AF344" s="43"/>
      <c r="AG344" s="43"/>
      <c r="AH344" s="43"/>
      <c r="AI344" s="43"/>
      <c r="AJ344" s="43"/>
      <c r="AK344" s="43"/>
      <c r="AL344" s="43"/>
      <c r="AM344" s="43"/>
      <c r="AN344" s="43"/>
      <c r="AO344" s="43"/>
      <c r="AP344" s="43"/>
      <c r="AQ344" s="43"/>
      <c r="AR344" s="43"/>
      <c r="AS344" s="43"/>
      <c r="AT344" s="43"/>
      <c r="AU344" s="43"/>
      <c r="AV344" s="43"/>
      <c r="AW344" s="43"/>
      <c r="AX344" s="43"/>
      <c r="AY344" s="43"/>
      <c r="AZ344" s="43"/>
      <c r="BA344" s="43"/>
      <c r="BB344" s="43"/>
      <c r="BC344" s="43"/>
      <c r="BD344" s="43"/>
      <c r="BE344" s="43"/>
      <c r="BF344" s="43"/>
      <c r="BG344" s="43"/>
      <c r="BH344" s="43"/>
      <c r="BI344" s="43"/>
      <c r="BJ344" s="43"/>
      <c r="BK344" s="43"/>
      <c r="BL344" s="43"/>
      <c r="BM344" s="43"/>
      <c r="BN344" s="43"/>
      <c r="BO344" s="43"/>
      <c r="BP344" s="43"/>
      <c r="BQ344" s="43"/>
      <c r="BR344" s="43"/>
      <c r="BS344" s="43"/>
      <c r="BT344" s="43"/>
      <c r="BU344" s="43"/>
      <c r="BV344" s="43"/>
      <c r="BW344" s="43"/>
      <c r="BX344" s="43"/>
      <c r="BY344" s="43"/>
      <c r="BZ344" s="43"/>
      <c r="CA344" s="43"/>
      <c r="CB344" s="43"/>
      <c r="CC344" s="43"/>
      <c r="CD344" s="43"/>
      <c r="CE344" s="43"/>
      <c r="CF344" s="43"/>
      <c r="CG344" s="43"/>
      <c r="CH344" s="43"/>
      <c r="CI344" s="43"/>
      <c r="CJ344" s="43"/>
      <c r="CK344" s="43"/>
      <c r="CL344" s="43"/>
      <c r="CM344" s="43"/>
      <c r="CN344" s="43"/>
      <c r="CO344" s="43"/>
      <c r="CP344" s="43"/>
      <c r="CQ344" s="43"/>
      <c r="CR344" s="43"/>
      <c r="CS344" s="43"/>
      <c r="CT344" s="43"/>
      <c r="CU344" s="43"/>
      <c r="CV344" s="43"/>
      <c r="CW344" s="43"/>
      <c r="CX344" s="43"/>
      <c r="CY344" s="43"/>
      <c r="CZ344" s="43"/>
      <c r="DA344" s="43"/>
      <c r="DB344" s="43"/>
      <c r="DC344" s="43"/>
      <c r="DD344" s="43"/>
      <c r="DE344" s="43"/>
      <c r="DF344" s="43"/>
      <c r="DG344" s="43"/>
      <c r="DH344" s="43"/>
      <c r="DI344" s="43"/>
      <c r="DJ344" s="43"/>
      <c r="DK344" s="43"/>
      <c r="DL344" s="43"/>
      <c r="DM344" s="43"/>
      <c r="DN344" s="43"/>
      <c r="DO344" s="43"/>
      <c r="DP344" s="43"/>
      <c r="DQ344" s="43"/>
      <c r="DR344" s="43"/>
      <c r="DS344" s="43"/>
    </row>
    <row r="345" spans="1:123" ht="14.45">
      <c r="A345"/>
      <c r="B345"/>
      <c r="C345"/>
      <c r="D345"/>
      <c r="E345"/>
      <c r="F345"/>
      <c r="G345"/>
      <c r="H345"/>
      <c r="I345"/>
      <c r="J345"/>
      <c r="K345" s="43"/>
      <c r="L345" s="43"/>
      <c r="M345" s="43"/>
      <c r="N345" s="43"/>
      <c r="O345" s="43"/>
      <c r="P345" s="43"/>
      <c r="Q345" s="43"/>
      <c r="R345" s="43"/>
      <c r="S345" s="43"/>
      <c r="T345" s="43"/>
      <c r="U345" s="43"/>
      <c r="V345" s="43"/>
      <c r="W345" s="43"/>
      <c r="X345" s="43"/>
      <c r="Y345" s="43"/>
      <c r="Z345" s="43"/>
      <c r="AA345" s="43"/>
      <c r="AB345" s="43"/>
      <c r="AC345" s="43"/>
      <c r="AD345" s="43"/>
      <c r="AE345" s="43"/>
      <c r="AF345" s="43"/>
      <c r="AG345" s="43"/>
      <c r="AH345" s="43"/>
      <c r="AI345" s="43"/>
      <c r="AJ345" s="43"/>
      <c r="AK345" s="43"/>
      <c r="AL345" s="43"/>
      <c r="AM345" s="43"/>
      <c r="AN345" s="43"/>
      <c r="AO345" s="43"/>
      <c r="AP345" s="43"/>
      <c r="AQ345" s="43"/>
      <c r="AR345" s="43"/>
      <c r="AS345" s="43"/>
      <c r="AT345" s="43"/>
      <c r="AU345" s="43"/>
      <c r="AV345" s="43"/>
      <c r="AW345" s="43"/>
      <c r="AX345" s="43"/>
      <c r="AY345" s="43"/>
      <c r="AZ345" s="43"/>
      <c r="BA345" s="43"/>
      <c r="BB345" s="43"/>
      <c r="BC345" s="43"/>
      <c r="BD345" s="43"/>
      <c r="BE345" s="43"/>
      <c r="BF345" s="43"/>
      <c r="BG345" s="43"/>
      <c r="BH345" s="43"/>
      <c r="BI345" s="43"/>
      <c r="BJ345" s="43"/>
      <c r="BK345" s="43"/>
      <c r="BL345" s="43"/>
      <c r="BM345" s="43"/>
      <c r="BN345" s="43"/>
      <c r="BO345" s="43"/>
      <c r="BP345" s="43"/>
      <c r="BQ345" s="43"/>
      <c r="BR345" s="43"/>
      <c r="BS345" s="43"/>
      <c r="BT345" s="43"/>
      <c r="BU345" s="43"/>
      <c r="BV345" s="43"/>
      <c r="BW345" s="43"/>
      <c r="BX345" s="43"/>
      <c r="BY345" s="43"/>
      <c r="BZ345" s="43"/>
      <c r="CA345" s="43"/>
      <c r="CB345" s="43"/>
      <c r="CC345" s="43"/>
      <c r="CD345" s="43"/>
      <c r="CE345" s="43"/>
      <c r="CF345" s="43"/>
      <c r="CG345" s="43"/>
      <c r="CH345" s="43"/>
      <c r="CI345" s="43"/>
      <c r="CJ345" s="43"/>
      <c r="CK345" s="43"/>
      <c r="CL345" s="43"/>
      <c r="CM345" s="43"/>
      <c r="CN345" s="43"/>
      <c r="CO345" s="43"/>
      <c r="CP345" s="43"/>
      <c r="CQ345" s="43"/>
      <c r="CR345" s="43"/>
      <c r="CS345" s="43"/>
      <c r="CT345" s="43"/>
      <c r="CU345" s="43"/>
      <c r="CV345" s="43"/>
      <c r="CW345" s="43"/>
      <c r="CX345" s="43"/>
      <c r="CY345" s="43"/>
      <c r="CZ345" s="43"/>
      <c r="DA345" s="43"/>
      <c r="DB345" s="43"/>
      <c r="DC345" s="43"/>
      <c r="DD345" s="43"/>
      <c r="DE345" s="43"/>
      <c r="DF345" s="43"/>
      <c r="DG345" s="43"/>
      <c r="DH345" s="43"/>
      <c r="DI345" s="43"/>
      <c r="DJ345" s="43"/>
      <c r="DK345" s="43"/>
      <c r="DL345" s="43"/>
      <c r="DM345" s="43"/>
      <c r="DN345" s="43"/>
      <c r="DO345" s="43"/>
      <c r="DP345" s="43"/>
      <c r="DQ345" s="43"/>
      <c r="DR345" s="43"/>
      <c r="DS345" s="43"/>
    </row>
    <row r="346" spans="1:123" ht="14.45">
      <c r="A346"/>
      <c r="B346"/>
      <c r="C346"/>
      <c r="D346"/>
      <c r="E346"/>
      <c r="F346"/>
      <c r="G346"/>
      <c r="H346"/>
      <c r="I346"/>
      <c r="J346"/>
      <c r="K346" s="43"/>
      <c r="L346" s="43"/>
      <c r="M346" s="43"/>
      <c r="N346" s="43"/>
      <c r="O346" s="43"/>
      <c r="P346" s="43"/>
      <c r="Q346" s="43"/>
      <c r="R346" s="43"/>
      <c r="S346" s="43"/>
      <c r="T346" s="43"/>
      <c r="U346" s="43"/>
      <c r="V346" s="43"/>
      <c r="W346" s="43"/>
      <c r="X346" s="43"/>
      <c r="Y346" s="43"/>
      <c r="Z346" s="43"/>
      <c r="AA346" s="43"/>
      <c r="AB346" s="43"/>
      <c r="AC346" s="43"/>
      <c r="AD346" s="43"/>
      <c r="AE346" s="43"/>
      <c r="AF346" s="43"/>
      <c r="AG346" s="43"/>
      <c r="AH346" s="43"/>
      <c r="AI346" s="43"/>
      <c r="AJ346" s="43"/>
      <c r="AK346" s="43"/>
      <c r="AL346" s="43"/>
      <c r="AM346" s="43"/>
      <c r="AN346" s="43"/>
      <c r="AO346" s="43"/>
      <c r="AP346" s="43"/>
      <c r="AQ346" s="43"/>
      <c r="AR346" s="43"/>
      <c r="AS346" s="43"/>
      <c r="AT346" s="43"/>
      <c r="AU346" s="43"/>
      <c r="AV346" s="43"/>
      <c r="AW346" s="43"/>
      <c r="AX346" s="43"/>
      <c r="AY346" s="43"/>
      <c r="AZ346" s="43"/>
      <c r="BA346" s="43"/>
      <c r="BB346" s="43"/>
      <c r="BC346" s="43"/>
      <c r="BD346" s="43"/>
      <c r="BE346" s="43"/>
      <c r="BF346" s="43"/>
      <c r="BG346" s="43"/>
      <c r="BH346" s="43"/>
      <c r="BI346" s="43"/>
      <c r="BJ346" s="43"/>
      <c r="BK346" s="43"/>
      <c r="BL346" s="43"/>
      <c r="BM346" s="43"/>
      <c r="BN346" s="43"/>
      <c r="BO346" s="43"/>
      <c r="BP346" s="43"/>
      <c r="BQ346" s="43"/>
      <c r="BR346" s="43"/>
      <c r="BS346" s="43"/>
      <c r="BT346" s="43"/>
      <c r="BU346" s="43"/>
      <c r="BV346" s="43"/>
      <c r="BW346" s="43"/>
      <c r="BX346" s="43"/>
      <c r="BY346" s="43"/>
      <c r="BZ346" s="43"/>
      <c r="CA346" s="43"/>
      <c r="CB346" s="43"/>
      <c r="CC346" s="43"/>
      <c r="CD346" s="43"/>
      <c r="CE346" s="43"/>
      <c r="CF346" s="43"/>
      <c r="CG346" s="43"/>
      <c r="CH346" s="43"/>
      <c r="CI346" s="43"/>
      <c r="CJ346" s="43"/>
      <c r="CK346" s="43"/>
      <c r="CL346" s="43"/>
      <c r="CM346" s="43"/>
      <c r="CN346" s="43"/>
      <c r="CO346" s="43"/>
      <c r="CP346" s="43"/>
      <c r="CQ346" s="43"/>
      <c r="CR346" s="43"/>
      <c r="CS346" s="43"/>
      <c r="CT346" s="43"/>
      <c r="CU346" s="43"/>
      <c r="CV346" s="43"/>
      <c r="CW346" s="43"/>
      <c r="CX346" s="43"/>
      <c r="CY346" s="43"/>
      <c r="CZ346" s="43"/>
      <c r="DA346" s="43"/>
      <c r="DB346" s="43"/>
      <c r="DC346" s="43"/>
      <c r="DD346" s="43"/>
      <c r="DE346" s="43"/>
      <c r="DF346" s="43"/>
      <c r="DG346" s="43"/>
      <c r="DH346" s="43"/>
      <c r="DI346" s="43"/>
      <c r="DJ346" s="43"/>
      <c r="DK346" s="43"/>
      <c r="DL346" s="43"/>
      <c r="DM346" s="43"/>
      <c r="DN346" s="43"/>
      <c r="DO346" s="43"/>
      <c r="DP346" s="43"/>
      <c r="DQ346" s="43"/>
      <c r="DR346" s="43"/>
      <c r="DS346" s="43"/>
    </row>
    <row r="347" spans="1:123" ht="14.45">
      <c r="A347"/>
      <c r="B347"/>
      <c r="C347"/>
      <c r="D347"/>
      <c r="E347"/>
      <c r="F347"/>
      <c r="G347"/>
      <c r="H347"/>
      <c r="I347"/>
      <c r="J347"/>
      <c r="K347" s="43"/>
      <c r="L347" s="43"/>
      <c r="M347" s="43"/>
      <c r="N347" s="43"/>
      <c r="O347" s="43"/>
      <c r="P347" s="43"/>
      <c r="Q347" s="43"/>
      <c r="R347" s="43"/>
      <c r="S347" s="43"/>
      <c r="T347" s="43"/>
      <c r="U347" s="43"/>
      <c r="V347" s="43"/>
      <c r="W347" s="43"/>
      <c r="X347" s="43"/>
      <c r="Y347" s="43"/>
      <c r="Z347" s="43"/>
      <c r="AA347" s="43"/>
      <c r="AB347" s="43"/>
      <c r="AC347" s="43"/>
      <c r="AD347" s="43"/>
      <c r="AE347" s="43"/>
      <c r="AF347" s="43"/>
      <c r="AG347" s="43"/>
      <c r="AH347" s="43"/>
      <c r="AI347" s="43"/>
      <c r="AJ347" s="43"/>
      <c r="AK347" s="43"/>
      <c r="AL347" s="43"/>
      <c r="AM347" s="43"/>
      <c r="AN347" s="43"/>
      <c r="AO347" s="43"/>
      <c r="AP347" s="43"/>
      <c r="AQ347" s="43"/>
      <c r="AR347" s="43"/>
      <c r="AS347" s="43"/>
      <c r="AT347" s="43"/>
      <c r="AU347" s="43"/>
      <c r="AV347" s="43"/>
      <c r="AW347" s="43"/>
      <c r="AX347" s="43"/>
      <c r="AY347" s="43"/>
      <c r="AZ347" s="43"/>
      <c r="BA347" s="43"/>
      <c r="BB347" s="43"/>
      <c r="BC347" s="43"/>
      <c r="BD347" s="43"/>
      <c r="BE347" s="43"/>
      <c r="BF347" s="43"/>
      <c r="BG347" s="43"/>
      <c r="BH347" s="43"/>
      <c r="BI347" s="43"/>
      <c r="BJ347" s="43"/>
      <c r="BK347" s="43"/>
      <c r="BL347" s="43"/>
      <c r="BM347" s="43"/>
      <c r="BN347" s="43"/>
      <c r="BO347" s="43"/>
      <c r="BP347" s="43"/>
      <c r="BQ347" s="43"/>
      <c r="BR347" s="43"/>
      <c r="BS347" s="43"/>
      <c r="BT347" s="43"/>
      <c r="BU347" s="43"/>
      <c r="BV347" s="43"/>
      <c r="BW347" s="43"/>
      <c r="BX347" s="43"/>
      <c r="BY347" s="43"/>
      <c r="BZ347" s="43"/>
      <c r="CA347" s="43"/>
      <c r="CB347" s="43"/>
      <c r="CC347" s="43"/>
      <c r="CD347" s="43"/>
      <c r="CE347" s="43"/>
      <c r="CF347" s="43"/>
      <c r="CG347" s="43"/>
      <c r="CH347" s="43"/>
      <c r="CI347" s="43"/>
      <c r="CJ347" s="43"/>
      <c r="CK347" s="43"/>
      <c r="CL347" s="43"/>
      <c r="CM347" s="43"/>
      <c r="CN347" s="43"/>
      <c r="CO347" s="43"/>
      <c r="CP347" s="43"/>
      <c r="CQ347" s="43"/>
      <c r="CR347" s="43"/>
      <c r="CS347" s="43"/>
      <c r="CT347" s="43"/>
      <c r="CU347" s="43"/>
      <c r="CV347" s="43"/>
      <c r="CW347" s="43"/>
      <c r="CX347" s="43"/>
      <c r="CY347" s="43"/>
      <c r="CZ347" s="43"/>
      <c r="DA347" s="43"/>
      <c r="DB347" s="43"/>
      <c r="DC347" s="43"/>
      <c r="DD347" s="43"/>
      <c r="DE347" s="43"/>
      <c r="DF347" s="43"/>
      <c r="DG347" s="43"/>
      <c r="DH347" s="43"/>
      <c r="DI347" s="43"/>
      <c r="DJ347" s="43"/>
      <c r="DK347" s="43"/>
      <c r="DL347" s="43"/>
      <c r="DM347" s="43"/>
      <c r="DN347" s="43"/>
      <c r="DO347" s="43"/>
      <c r="DP347" s="43"/>
      <c r="DQ347" s="43"/>
      <c r="DR347" s="43"/>
      <c r="DS347" s="43"/>
    </row>
    <row r="348" spans="1:123" ht="14.45">
      <c r="A348"/>
      <c r="B348"/>
      <c r="C348"/>
      <c r="D348"/>
      <c r="E348"/>
      <c r="F348"/>
      <c r="G348"/>
      <c r="H348"/>
      <c r="I348"/>
      <c r="J348"/>
      <c r="K348" s="43"/>
      <c r="L348" s="43"/>
      <c r="M348" s="43"/>
      <c r="N348" s="43"/>
      <c r="O348" s="43"/>
      <c r="P348" s="43"/>
      <c r="Q348" s="43"/>
      <c r="R348" s="43"/>
      <c r="S348" s="43"/>
      <c r="T348" s="43"/>
      <c r="U348" s="43"/>
      <c r="V348" s="43"/>
      <c r="W348" s="43"/>
      <c r="X348" s="43"/>
      <c r="Y348" s="43"/>
      <c r="Z348" s="43"/>
      <c r="AA348" s="43"/>
      <c r="AB348" s="43"/>
      <c r="AC348" s="43"/>
      <c r="AD348" s="43"/>
      <c r="AE348" s="43"/>
      <c r="AF348" s="43"/>
      <c r="AG348" s="43"/>
      <c r="AH348" s="43"/>
      <c r="AI348" s="43"/>
      <c r="AJ348" s="43"/>
      <c r="AK348" s="43"/>
      <c r="AL348" s="43"/>
      <c r="AM348" s="43"/>
      <c r="AN348" s="43"/>
      <c r="AO348" s="43"/>
      <c r="AP348" s="43"/>
      <c r="AQ348" s="43"/>
      <c r="AR348" s="43"/>
      <c r="AS348" s="43"/>
      <c r="AT348" s="43"/>
      <c r="AU348" s="43"/>
      <c r="AV348" s="43"/>
      <c r="AW348" s="43"/>
      <c r="AX348" s="43"/>
      <c r="AY348" s="43"/>
      <c r="AZ348" s="43"/>
      <c r="BA348" s="43"/>
      <c r="BB348" s="43"/>
      <c r="BC348" s="43"/>
      <c r="BD348" s="43"/>
      <c r="BE348" s="43"/>
      <c r="BF348" s="43"/>
      <c r="BG348" s="43"/>
      <c r="BH348" s="43"/>
      <c r="BI348" s="43"/>
      <c r="BJ348" s="43"/>
      <c r="BK348" s="43"/>
      <c r="BL348" s="43"/>
      <c r="BM348" s="43"/>
      <c r="BN348" s="43"/>
      <c r="BO348" s="43"/>
      <c r="BP348" s="43"/>
      <c r="BQ348" s="43"/>
      <c r="BR348" s="43"/>
      <c r="BS348" s="43"/>
      <c r="BT348" s="43"/>
      <c r="BU348" s="43"/>
      <c r="BV348" s="43"/>
      <c r="BW348" s="43"/>
      <c r="BX348" s="43"/>
      <c r="BY348" s="43"/>
      <c r="BZ348" s="43"/>
      <c r="CA348" s="43"/>
      <c r="CB348" s="43"/>
      <c r="CC348" s="43"/>
      <c r="CD348" s="43"/>
      <c r="CE348" s="43"/>
      <c r="CF348" s="43"/>
      <c r="CG348" s="43"/>
      <c r="CH348" s="43"/>
      <c r="CI348" s="43"/>
      <c r="CJ348" s="43"/>
      <c r="CK348" s="43"/>
      <c r="CL348" s="43"/>
      <c r="CM348" s="43"/>
      <c r="CN348" s="43"/>
      <c r="CO348" s="43"/>
      <c r="CP348" s="43"/>
      <c r="CQ348" s="43"/>
      <c r="CR348" s="43"/>
      <c r="CS348" s="43"/>
      <c r="CT348" s="43"/>
      <c r="CU348" s="43"/>
      <c r="CV348" s="43"/>
      <c r="CW348" s="43"/>
      <c r="CX348" s="43"/>
      <c r="CY348" s="43"/>
      <c r="CZ348" s="43"/>
      <c r="DA348" s="43"/>
      <c r="DB348" s="43"/>
      <c r="DC348" s="43"/>
      <c r="DD348" s="43"/>
      <c r="DE348" s="43"/>
      <c r="DF348" s="43"/>
      <c r="DG348" s="43"/>
      <c r="DH348" s="43"/>
      <c r="DI348" s="43"/>
      <c r="DJ348" s="43"/>
      <c r="DK348" s="43"/>
      <c r="DL348" s="43"/>
      <c r="DM348" s="43"/>
      <c r="DN348" s="43"/>
      <c r="DO348" s="43"/>
      <c r="DP348" s="43"/>
      <c r="DQ348" s="43"/>
      <c r="DR348" s="43"/>
      <c r="DS348" s="43"/>
    </row>
    <row r="349" spans="1:123" ht="14.45">
      <c r="A349"/>
      <c r="B349"/>
      <c r="C349"/>
      <c r="D349"/>
      <c r="E349"/>
      <c r="F349"/>
      <c r="G349"/>
      <c r="H349"/>
      <c r="I349"/>
      <c r="J349"/>
      <c r="K349" s="43"/>
      <c r="L349" s="43"/>
      <c r="M349" s="43"/>
      <c r="N349" s="43"/>
      <c r="O349" s="43"/>
      <c r="P349" s="43"/>
      <c r="Q349" s="43"/>
      <c r="R349" s="43"/>
      <c r="S349" s="43"/>
      <c r="T349" s="43"/>
      <c r="U349" s="43"/>
      <c r="V349" s="43"/>
      <c r="W349" s="43"/>
      <c r="X349" s="43"/>
      <c r="Y349" s="43"/>
      <c r="Z349" s="43"/>
      <c r="AA349" s="43"/>
      <c r="AB349" s="43"/>
      <c r="AC349" s="43"/>
      <c r="AD349" s="43"/>
      <c r="AE349" s="43"/>
      <c r="AF349" s="43"/>
      <c r="AG349" s="43"/>
      <c r="AH349" s="43"/>
      <c r="AI349" s="43"/>
      <c r="AJ349" s="43"/>
      <c r="AK349" s="43"/>
      <c r="AL349" s="43"/>
      <c r="AM349" s="43"/>
      <c r="AN349" s="43"/>
      <c r="AO349" s="43"/>
      <c r="AP349" s="43"/>
      <c r="AQ349" s="43"/>
      <c r="AR349" s="43"/>
      <c r="AS349" s="43"/>
      <c r="AT349" s="43"/>
      <c r="AU349" s="43"/>
      <c r="AV349" s="43"/>
      <c r="AW349" s="43"/>
      <c r="AX349" s="43"/>
      <c r="AY349" s="43"/>
      <c r="AZ349" s="43"/>
      <c r="BA349" s="43"/>
      <c r="BB349" s="43"/>
      <c r="BC349" s="43"/>
      <c r="BD349" s="43"/>
      <c r="BE349" s="43"/>
      <c r="BF349" s="43"/>
      <c r="BG349" s="43"/>
      <c r="BH349" s="43"/>
      <c r="BI349" s="43"/>
      <c r="BJ349" s="43"/>
      <c r="BK349" s="43"/>
      <c r="BL349" s="43"/>
      <c r="BM349" s="43"/>
      <c r="BN349" s="43"/>
      <c r="BO349" s="43"/>
      <c r="BP349" s="43"/>
      <c r="BQ349" s="43"/>
      <c r="BR349" s="43"/>
      <c r="BS349" s="43"/>
      <c r="BT349" s="43"/>
      <c r="BU349" s="43"/>
      <c r="BV349" s="43"/>
      <c r="BW349" s="43"/>
      <c r="BX349" s="43"/>
      <c r="BY349" s="43"/>
      <c r="BZ349" s="43"/>
      <c r="CA349" s="43"/>
      <c r="CB349" s="43"/>
      <c r="CC349" s="43"/>
      <c r="CD349" s="43"/>
      <c r="CE349" s="43"/>
      <c r="CF349" s="43"/>
      <c r="CG349" s="43"/>
      <c r="CH349" s="43"/>
      <c r="CI349" s="43"/>
      <c r="CJ349" s="43"/>
      <c r="CK349" s="43"/>
      <c r="CL349" s="43"/>
      <c r="CM349" s="43"/>
      <c r="CN349" s="43"/>
      <c r="CO349" s="43"/>
      <c r="CP349" s="43"/>
      <c r="CQ349" s="43"/>
      <c r="CR349" s="43"/>
      <c r="CS349" s="43"/>
      <c r="CT349" s="43"/>
      <c r="CU349" s="43"/>
      <c r="CV349" s="43"/>
      <c r="CW349" s="43"/>
      <c r="CX349" s="43"/>
      <c r="CY349" s="43"/>
      <c r="CZ349" s="43"/>
      <c r="DA349" s="43"/>
      <c r="DB349" s="43"/>
      <c r="DC349" s="43"/>
      <c r="DD349" s="43"/>
      <c r="DE349" s="43"/>
      <c r="DF349" s="43"/>
      <c r="DG349" s="43"/>
      <c r="DH349" s="43"/>
      <c r="DI349" s="43"/>
      <c r="DJ349" s="43"/>
      <c r="DK349" s="43"/>
      <c r="DL349" s="43"/>
      <c r="DM349" s="43"/>
      <c r="DN349" s="43"/>
      <c r="DO349" s="43"/>
      <c r="DP349" s="43"/>
      <c r="DQ349" s="43"/>
      <c r="DR349" s="43"/>
      <c r="DS349" s="43"/>
    </row>
    <row r="350" spans="1:123" ht="14.45">
      <c r="A350"/>
      <c r="B350"/>
      <c r="C350"/>
      <c r="D350"/>
      <c r="E350"/>
      <c r="F350"/>
      <c r="G350"/>
      <c r="H350"/>
      <c r="I350"/>
      <c r="J350"/>
      <c r="K350" s="43"/>
      <c r="L350" s="43"/>
      <c r="M350" s="43"/>
      <c r="N350" s="43"/>
      <c r="O350" s="43"/>
      <c r="P350" s="43"/>
      <c r="Q350" s="43"/>
      <c r="R350" s="43"/>
      <c r="S350" s="43"/>
      <c r="T350" s="43"/>
      <c r="U350" s="43"/>
      <c r="V350" s="43"/>
      <c r="W350" s="43"/>
      <c r="X350" s="43"/>
      <c r="Y350" s="43"/>
      <c r="Z350" s="43"/>
      <c r="AA350" s="43"/>
      <c r="AB350" s="43"/>
      <c r="AC350" s="43"/>
      <c r="AD350" s="43"/>
      <c r="AE350" s="43"/>
      <c r="AF350" s="43"/>
      <c r="AG350" s="43"/>
      <c r="AH350" s="43"/>
      <c r="AI350" s="43"/>
      <c r="AJ350" s="43"/>
      <c r="AK350" s="43"/>
      <c r="AL350" s="43"/>
      <c r="AM350" s="43"/>
      <c r="AN350" s="43"/>
      <c r="AO350" s="43"/>
      <c r="AP350" s="43"/>
      <c r="AQ350" s="43"/>
      <c r="AR350" s="43"/>
      <c r="AS350" s="43"/>
      <c r="AT350" s="43"/>
      <c r="AU350" s="43"/>
      <c r="AV350" s="43"/>
      <c r="AW350" s="43"/>
      <c r="AX350" s="43"/>
      <c r="AY350" s="43"/>
      <c r="AZ350" s="43"/>
      <c r="BA350" s="43"/>
      <c r="BB350" s="43"/>
      <c r="BC350" s="43"/>
      <c r="BD350" s="43"/>
      <c r="BE350" s="43"/>
      <c r="BF350" s="43"/>
      <c r="BG350" s="43"/>
      <c r="BH350" s="43"/>
      <c r="BI350" s="43"/>
      <c r="BJ350" s="43"/>
      <c r="BK350" s="43"/>
      <c r="BL350" s="43"/>
      <c r="BM350" s="43"/>
      <c r="BN350" s="43"/>
      <c r="BO350" s="43"/>
      <c r="BP350" s="43"/>
      <c r="BQ350" s="43"/>
      <c r="BR350" s="43"/>
      <c r="BS350" s="43"/>
      <c r="BT350" s="43"/>
      <c r="BU350" s="43"/>
      <c r="BV350" s="43"/>
      <c r="BW350" s="43"/>
      <c r="BX350" s="43"/>
      <c r="BY350" s="43"/>
      <c r="BZ350" s="43"/>
      <c r="CA350" s="43"/>
      <c r="CB350" s="43"/>
      <c r="CC350" s="43"/>
      <c r="CD350" s="43"/>
      <c r="CE350" s="43"/>
      <c r="CF350" s="43"/>
      <c r="CG350" s="43"/>
      <c r="CH350" s="43"/>
      <c r="CI350" s="43"/>
      <c r="CJ350" s="43"/>
      <c r="CK350" s="43"/>
      <c r="CL350" s="43"/>
      <c r="CM350" s="43"/>
      <c r="CN350" s="43"/>
      <c r="CO350" s="43"/>
      <c r="CP350" s="43"/>
      <c r="CQ350" s="43"/>
      <c r="CR350" s="43"/>
      <c r="CS350" s="43"/>
      <c r="CT350" s="43"/>
      <c r="CU350" s="43"/>
      <c r="CV350" s="43"/>
      <c r="CW350" s="43"/>
      <c r="CX350" s="43"/>
      <c r="CY350" s="43"/>
      <c r="CZ350" s="43"/>
      <c r="DA350" s="43"/>
      <c r="DB350" s="43"/>
      <c r="DC350" s="43"/>
      <c r="DD350" s="43"/>
      <c r="DE350" s="43"/>
      <c r="DF350" s="43"/>
      <c r="DG350" s="43"/>
      <c r="DH350" s="43"/>
      <c r="DI350" s="43"/>
      <c r="DJ350" s="43"/>
      <c r="DK350" s="43"/>
      <c r="DL350" s="43"/>
      <c r="DM350" s="43"/>
      <c r="DN350" s="43"/>
      <c r="DO350" s="43"/>
      <c r="DP350" s="43"/>
      <c r="DQ350" s="43"/>
      <c r="DR350" s="43"/>
      <c r="DS350" s="43"/>
    </row>
    <row r="351" spans="1:123" ht="14.45">
      <c r="A351"/>
      <c r="B351"/>
      <c r="C351"/>
      <c r="D351"/>
      <c r="E351"/>
      <c r="F351"/>
      <c r="G351"/>
      <c r="H351"/>
      <c r="I351"/>
      <c r="J351"/>
      <c r="K351" s="43"/>
      <c r="L351" s="43"/>
      <c r="M351" s="43"/>
      <c r="N351" s="43"/>
      <c r="O351" s="43"/>
      <c r="P351" s="43"/>
      <c r="Q351" s="43"/>
      <c r="R351" s="43"/>
      <c r="S351" s="43"/>
      <c r="T351" s="43"/>
      <c r="U351" s="43"/>
      <c r="V351" s="43"/>
      <c r="W351" s="43"/>
      <c r="X351" s="43"/>
      <c r="Y351" s="43"/>
      <c r="Z351" s="43"/>
      <c r="AA351" s="43"/>
      <c r="AB351" s="43"/>
      <c r="AC351" s="43"/>
      <c r="AD351" s="43"/>
      <c r="AE351" s="43"/>
      <c r="AF351" s="43"/>
      <c r="AG351" s="43"/>
      <c r="AH351" s="43"/>
      <c r="AI351" s="43"/>
      <c r="AJ351" s="43"/>
      <c r="AK351" s="43"/>
      <c r="AL351" s="43"/>
      <c r="AM351" s="43"/>
      <c r="AN351" s="43"/>
      <c r="AO351" s="43"/>
      <c r="AP351" s="43"/>
      <c r="AQ351" s="43"/>
      <c r="AR351" s="43"/>
      <c r="AS351" s="43"/>
      <c r="AT351" s="43"/>
      <c r="AU351" s="43"/>
      <c r="AV351" s="43"/>
      <c r="AW351" s="43"/>
      <c r="AX351" s="43"/>
      <c r="AY351" s="43"/>
      <c r="AZ351" s="43"/>
      <c r="BA351" s="43"/>
      <c r="BB351" s="43"/>
      <c r="BC351" s="43"/>
      <c r="BD351" s="43"/>
      <c r="BE351" s="43"/>
      <c r="BF351" s="43"/>
      <c r="BG351" s="43"/>
      <c r="BH351" s="43"/>
      <c r="BI351" s="43"/>
      <c r="BJ351" s="43"/>
      <c r="BK351" s="43"/>
      <c r="BL351" s="43"/>
      <c r="BM351" s="43"/>
      <c r="BN351" s="43"/>
      <c r="BO351" s="43"/>
      <c r="BP351" s="43"/>
      <c r="BQ351" s="43"/>
      <c r="BR351" s="43"/>
      <c r="BS351" s="43"/>
      <c r="BT351" s="43"/>
      <c r="BU351" s="43"/>
      <c r="BV351" s="43"/>
      <c r="BW351" s="43"/>
      <c r="BX351" s="43"/>
      <c r="BY351" s="43"/>
      <c r="BZ351" s="43"/>
      <c r="CA351" s="43"/>
      <c r="CB351" s="43"/>
      <c r="CC351" s="43"/>
      <c r="CD351" s="43"/>
      <c r="CE351" s="43"/>
      <c r="CF351" s="43"/>
      <c r="CG351" s="43"/>
      <c r="CH351" s="43"/>
      <c r="CI351" s="43"/>
      <c r="CJ351" s="43"/>
      <c r="CK351" s="43"/>
      <c r="CL351" s="43"/>
      <c r="CM351" s="43"/>
      <c r="CN351" s="43"/>
      <c r="CO351" s="43"/>
      <c r="CP351" s="43"/>
      <c r="CQ351" s="43"/>
      <c r="CR351" s="43"/>
      <c r="CS351" s="43"/>
      <c r="CT351" s="43"/>
      <c r="CU351" s="43"/>
      <c r="CV351" s="43"/>
      <c r="CW351" s="43"/>
      <c r="CX351" s="43"/>
      <c r="CY351" s="43"/>
      <c r="CZ351" s="43"/>
      <c r="DA351" s="43"/>
      <c r="DB351" s="43"/>
      <c r="DC351" s="43"/>
      <c r="DD351" s="43"/>
      <c r="DE351" s="43"/>
      <c r="DF351" s="43"/>
      <c r="DG351" s="43"/>
      <c r="DH351" s="43"/>
      <c r="DI351" s="43"/>
      <c r="DJ351" s="43"/>
      <c r="DK351" s="43"/>
      <c r="DL351" s="43"/>
      <c r="DM351" s="43"/>
      <c r="DN351" s="43"/>
      <c r="DO351" s="43"/>
      <c r="DP351" s="43"/>
      <c r="DQ351" s="43"/>
      <c r="DR351" s="43"/>
      <c r="DS351" s="43"/>
    </row>
    <row r="352" spans="1:123" ht="14.45">
      <c r="A352"/>
      <c r="B352"/>
      <c r="C352"/>
      <c r="D352"/>
      <c r="E352"/>
      <c r="F352"/>
      <c r="G352"/>
      <c r="H352"/>
      <c r="I352"/>
      <c r="J352"/>
      <c r="K352" s="43"/>
      <c r="L352" s="43"/>
      <c r="M352" s="43"/>
      <c r="N352" s="43"/>
      <c r="O352" s="43"/>
      <c r="P352" s="43"/>
      <c r="Q352" s="43"/>
      <c r="R352" s="43"/>
      <c r="S352" s="43"/>
      <c r="T352" s="43"/>
      <c r="U352" s="43"/>
      <c r="V352" s="43"/>
      <c r="W352" s="43"/>
      <c r="X352" s="43"/>
      <c r="Y352" s="43"/>
      <c r="Z352" s="43"/>
      <c r="AA352" s="43"/>
      <c r="AB352" s="43"/>
      <c r="AC352" s="43"/>
      <c r="AD352" s="43"/>
      <c r="AE352" s="43"/>
      <c r="AF352" s="43"/>
      <c r="AG352" s="43"/>
      <c r="AH352" s="43"/>
      <c r="AI352" s="43"/>
      <c r="AJ352" s="43"/>
      <c r="AK352" s="43"/>
      <c r="AL352" s="43"/>
      <c r="AM352" s="43"/>
      <c r="AN352" s="43"/>
      <c r="AO352" s="43"/>
      <c r="AP352" s="43"/>
      <c r="AQ352" s="43"/>
      <c r="AR352" s="43"/>
      <c r="AS352" s="43"/>
      <c r="AT352" s="43"/>
      <c r="AU352" s="43"/>
      <c r="AV352" s="43"/>
      <c r="AW352" s="43"/>
      <c r="AX352" s="43"/>
      <c r="AY352" s="43"/>
      <c r="AZ352" s="43"/>
      <c r="BA352" s="43"/>
      <c r="BB352" s="43"/>
      <c r="BC352" s="43"/>
      <c r="BD352" s="43"/>
      <c r="BE352" s="43"/>
      <c r="BF352" s="43"/>
      <c r="BG352" s="43"/>
      <c r="BH352" s="43"/>
      <c r="BI352" s="43"/>
      <c r="BJ352" s="43"/>
      <c r="BK352" s="43"/>
      <c r="BL352" s="43"/>
      <c r="BM352" s="43"/>
      <c r="BN352" s="43"/>
      <c r="BO352" s="43"/>
      <c r="BP352" s="43"/>
      <c r="BQ352" s="43"/>
      <c r="BR352" s="43"/>
      <c r="BS352" s="43"/>
      <c r="BT352" s="43"/>
      <c r="BU352" s="43"/>
      <c r="BV352" s="43"/>
      <c r="BW352" s="43"/>
      <c r="BX352" s="43"/>
      <c r="BY352" s="43"/>
      <c r="BZ352" s="43"/>
      <c r="CA352" s="43"/>
      <c r="CB352" s="43"/>
      <c r="CC352" s="43"/>
      <c r="CD352" s="43"/>
      <c r="CE352" s="43"/>
      <c r="CF352" s="43"/>
      <c r="CG352" s="43"/>
      <c r="CH352" s="43"/>
      <c r="CI352" s="43"/>
      <c r="CJ352" s="43"/>
      <c r="CK352" s="43"/>
      <c r="CL352" s="43"/>
      <c r="CM352" s="43"/>
      <c r="CN352" s="43"/>
      <c r="CO352" s="43"/>
      <c r="CP352" s="43"/>
      <c r="CQ352" s="43"/>
      <c r="CR352" s="43"/>
      <c r="CS352" s="43"/>
      <c r="CT352" s="43"/>
      <c r="CU352" s="43"/>
      <c r="CV352" s="43"/>
      <c r="CW352" s="43"/>
      <c r="CX352" s="43"/>
      <c r="CY352" s="43"/>
      <c r="CZ352" s="43"/>
      <c r="DA352" s="43"/>
      <c r="DB352" s="43"/>
      <c r="DC352" s="43"/>
      <c r="DD352" s="43"/>
      <c r="DE352" s="43"/>
      <c r="DF352" s="43"/>
      <c r="DG352" s="43"/>
      <c r="DH352" s="43"/>
      <c r="DI352" s="43"/>
      <c r="DJ352" s="43"/>
      <c r="DK352" s="43"/>
      <c r="DL352" s="43"/>
      <c r="DM352" s="43"/>
      <c r="DN352" s="43"/>
      <c r="DO352" s="43"/>
      <c r="DP352" s="43"/>
      <c r="DQ352" s="43"/>
      <c r="DR352" s="43"/>
      <c r="DS352" s="43"/>
    </row>
    <row r="353" spans="1:123" ht="14.45">
      <c r="A353"/>
      <c r="B353"/>
      <c r="C353"/>
      <c r="D353"/>
      <c r="E353"/>
      <c r="F353"/>
      <c r="G353"/>
      <c r="H353"/>
      <c r="I353"/>
      <c r="J353"/>
      <c r="K353" s="43"/>
      <c r="L353" s="43"/>
      <c r="M353" s="43"/>
      <c r="N353" s="43"/>
      <c r="O353" s="43"/>
      <c r="P353" s="43"/>
      <c r="Q353" s="43"/>
      <c r="R353" s="43"/>
      <c r="S353" s="43"/>
      <c r="T353" s="43"/>
      <c r="U353" s="43"/>
      <c r="V353" s="43"/>
      <c r="W353" s="43"/>
      <c r="X353" s="43"/>
      <c r="Y353" s="43"/>
      <c r="Z353" s="43"/>
      <c r="AA353" s="43"/>
      <c r="AB353" s="43"/>
      <c r="AC353" s="43"/>
      <c r="AD353" s="43"/>
      <c r="AE353" s="43"/>
      <c r="AF353" s="43"/>
      <c r="AG353" s="43"/>
      <c r="AH353" s="43"/>
      <c r="AI353" s="43"/>
      <c r="AJ353" s="43"/>
      <c r="AK353" s="43"/>
      <c r="AL353" s="43"/>
      <c r="AM353" s="43"/>
      <c r="AN353" s="43"/>
      <c r="AO353" s="43"/>
      <c r="AP353" s="43"/>
      <c r="AQ353" s="43"/>
      <c r="AR353" s="43"/>
      <c r="AS353" s="43"/>
      <c r="AT353" s="43"/>
      <c r="AU353" s="43"/>
      <c r="AV353" s="43"/>
      <c r="AW353" s="43"/>
      <c r="AX353" s="43"/>
      <c r="AY353" s="43"/>
      <c r="AZ353" s="43"/>
      <c r="BA353" s="43"/>
      <c r="BB353" s="43"/>
      <c r="BC353" s="43"/>
      <c r="BD353" s="43"/>
      <c r="BE353" s="43"/>
      <c r="BF353" s="43"/>
      <c r="BG353" s="43"/>
      <c r="BH353" s="43"/>
      <c r="BI353" s="43"/>
      <c r="BJ353" s="43"/>
      <c r="BK353" s="43"/>
      <c r="BL353" s="43"/>
      <c r="BM353" s="43"/>
      <c r="BN353" s="43"/>
      <c r="BO353" s="43"/>
      <c r="BP353" s="43"/>
      <c r="BQ353" s="43"/>
      <c r="BR353" s="43"/>
      <c r="BS353" s="43"/>
      <c r="BT353" s="43"/>
      <c r="BU353" s="43"/>
      <c r="BV353" s="43"/>
      <c r="BW353" s="43"/>
      <c r="BX353" s="43"/>
      <c r="BY353" s="43"/>
      <c r="BZ353" s="43"/>
      <c r="CA353" s="43"/>
      <c r="CB353" s="43"/>
      <c r="CC353" s="43"/>
      <c r="CD353" s="43"/>
      <c r="CE353" s="43"/>
      <c r="CF353" s="43"/>
      <c r="CG353" s="43"/>
      <c r="CH353" s="43"/>
      <c r="CI353" s="43"/>
      <c r="CJ353" s="43"/>
      <c r="CK353" s="43"/>
      <c r="CL353" s="43"/>
      <c r="CM353" s="43"/>
      <c r="CN353" s="43"/>
      <c r="CO353" s="43"/>
      <c r="CP353" s="43"/>
      <c r="CQ353" s="43"/>
      <c r="CR353" s="43"/>
      <c r="CS353" s="43"/>
      <c r="CT353" s="43"/>
      <c r="CU353" s="43"/>
      <c r="CV353" s="43"/>
      <c r="CW353" s="43"/>
      <c r="CX353" s="43"/>
      <c r="CY353" s="43"/>
      <c r="CZ353" s="43"/>
      <c r="DA353" s="43"/>
      <c r="DB353" s="43"/>
      <c r="DC353" s="43"/>
      <c r="DD353" s="43"/>
      <c r="DE353" s="43"/>
      <c r="DF353" s="43"/>
      <c r="DG353" s="43"/>
      <c r="DH353" s="43"/>
      <c r="DI353" s="43"/>
      <c r="DJ353" s="43"/>
      <c r="DK353" s="43"/>
      <c r="DL353" s="43"/>
      <c r="DM353" s="43"/>
      <c r="DN353" s="43"/>
      <c r="DO353" s="43"/>
      <c r="DP353" s="43"/>
      <c r="DQ353" s="43"/>
      <c r="DR353" s="43"/>
      <c r="DS353" s="43"/>
    </row>
    <row r="354" spans="1:123" ht="14.45">
      <c r="A354"/>
      <c r="B354"/>
      <c r="C354"/>
      <c r="D354"/>
      <c r="E354"/>
      <c r="F354"/>
      <c r="G354"/>
      <c r="H354"/>
      <c r="I354"/>
      <c r="J354"/>
      <c r="K354" s="43"/>
      <c r="L354" s="43"/>
      <c r="M354" s="43"/>
      <c r="N354" s="43"/>
      <c r="O354" s="43"/>
      <c r="P354" s="43"/>
      <c r="Q354" s="43"/>
      <c r="R354" s="43"/>
      <c r="S354" s="43"/>
      <c r="T354" s="43"/>
      <c r="U354" s="43"/>
      <c r="V354" s="43"/>
      <c r="W354" s="43"/>
      <c r="X354" s="43"/>
      <c r="Y354" s="43"/>
      <c r="Z354" s="43"/>
      <c r="AA354" s="43"/>
      <c r="AB354" s="43"/>
      <c r="AC354" s="43"/>
      <c r="AD354" s="43"/>
      <c r="AE354" s="43"/>
      <c r="AF354" s="43"/>
      <c r="AG354" s="43"/>
      <c r="AH354" s="43"/>
      <c r="AI354" s="43"/>
      <c r="AJ354" s="43"/>
      <c r="AK354" s="43"/>
      <c r="AL354" s="43"/>
      <c r="AM354" s="43"/>
      <c r="AN354" s="43"/>
      <c r="AO354" s="43"/>
      <c r="AP354" s="43"/>
      <c r="AQ354" s="43"/>
      <c r="AR354" s="43"/>
      <c r="AS354" s="43"/>
      <c r="AT354" s="43"/>
      <c r="AU354" s="43"/>
      <c r="AV354" s="43"/>
      <c r="AW354" s="43"/>
      <c r="AX354" s="43"/>
      <c r="AY354" s="43"/>
      <c r="AZ354" s="43"/>
      <c r="BA354" s="43"/>
      <c r="BB354" s="43"/>
      <c r="BC354" s="43"/>
      <c r="BD354" s="43"/>
      <c r="BE354" s="43"/>
      <c r="BF354" s="43"/>
      <c r="BG354" s="43"/>
      <c r="BH354" s="43"/>
      <c r="BI354" s="43"/>
      <c r="BJ354" s="43"/>
      <c r="BK354" s="43"/>
      <c r="BL354" s="43"/>
      <c r="BM354" s="43"/>
      <c r="BN354" s="43"/>
      <c r="BO354" s="43"/>
      <c r="BP354" s="43"/>
      <c r="BQ354" s="43"/>
      <c r="BR354" s="43"/>
      <c r="BS354" s="43"/>
      <c r="BT354" s="43"/>
      <c r="BU354" s="43"/>
      <c r="BV354" s="43"/>
      <c r="BW354" s="43"/>
      <c r="BX354" s="43"/>
      <c r="BY354" s="43"/>
      <c r="BZ354" s="43"/>
      <c r="CA354" s="43"/>
      <c r="CB354" s="43"/>
      <c r="CC354" s="43"/>
      <c r="CD354" s="43"/>
      <c r="CE354" s="43"/>
      <c r="CF354" s="43"/>
      <c r="CG354" s="43"/>
      <c r="CH354" s="43"/>
      <c r="CI354" s="43"/>
      <c r="CJ354" s="43"/>
      <c r="CK354" s="43"/>
      <c r="CL354" s="43"/>
      <c r="CM354" s="43"/>
      <c r="CN354" s="43"/>
      <c r="CO354" s="43"/>
      <c r="CP354" s="43"/>
      <c r="CQ354" s="43"/>
      <c r="CR354" s="43"/>
      <c r="CS354" s="43"/>
      <c r="CT354" s="43"/>
      <c r="CU354" s="43"/>
      <c r="CV354" s="43"/>
      <c r="CW354" s="43"/>
      <c r="CX354" s="43"/>
      <c r="CY354" s="43"/>
      <c r="CZ354" s="43"/>
      <c r="DA354" s="43"/>
      <c r="DB354" s="43"/>
      <c r="DC354" s="43"/>
      <c r="DD354" s="43"/>
      <c r="DE354" s="43"/>
      <c r="DF354" s="43"/>
      <c r="DG354" s="43"/>
      <c r="DH354" s="43"/>
      <c r="DI354" s="43"/>
      <c r="DJ354" s="43"/>
      <c r="DK354" s="43"/>
      <c r="DL354" s="43"/>
      <c r="DM354" s="43"/>
      <c r="DN354" s="43"/>
      <c r="DO354" s="43"/>
      <c r="DP354" s="43"/>
      <c r="DQ354" s="43"/>
      <c r="DR354" s="43"/>
      <c r="DS354" s="43"/>
    </row>
    <row r="355" spans="1:123" ht="14.45">
      <c r="A355"/>
      <c r="B355"/>
      <c r="C355"/>
      <c r="D355"/>
      <c r="E355"/>
      <c r="F355"/>
      <c r="G355"/>
      <c r="H355"/>
      <c r="I355"/>
      <c r="J355"/>
      <c r="K355" s="43"/>
      <c r="L355" s="43"/>
      <c r="M355" s="43"/>
      <c r="N355" s="43"/>
      <c r="O355" s="43"/>
      <c r="P355" s="43"/>
      <c r="Q355" s="43"/>
      <c r="R355" s="43"/>
      <c r="S355" s="43"/>
      <c r="T355" s="43"/>
      <c r="U355" s="43"/>
      <c r="V355" s="43"/>
      <c r="W355" s="43"/>
      <c r="X355" s="43"/>
      <c r="Y355" s="43"/>
      <c r="Z355" s="43"/>
      <c r="AA355" s="43"/>
      <c r="AB355" s="43"/>
      <c r="AC355" s="43"/>
      <c r="AD355" s="43"/>
      <c r="AE355" s="43"/>
      <c r="AF355" s="43"/>
      <c r="AG355" s="43"/>
      <c r="AH355" s="43"/>
      <c r="AI355" s="43"/>
      <c r="AJ355" s="43"/>
      <c r="AK355" s="43"/>
      <c r="AL355" s="43"/>
      <c r="AM355" s="43"/>
      <c r="AN355" s="43"/>
      <c r="AO355" s="43"/>
      <c r="AP355" s="43"/>
      <c r="AQ355" s="43"/>
      <c r="AR355" s="43"/>
      <c r="AS355" s="43"/>
      <c r="AT355" s="43"/>
      <c r="AU355" s="43"/>
      <c r="AV355" s="43"/>
      <c r="AW355" s="43"/>
      <c r="AX355" s="43"/>
      <c r="AY355" s="43"/>
      <c r="AZ355" s="43"/>
      <c r="BA355" s="43"/>
      <c r="BB355" s="43"/>
      <c r="BC355" s="43"/>
      <c r="BD355" s="43"/>
      <c r="BE355" s="43"/>
      <c r="BF355" s="43"/>
      <c r="BG355" s="43"/>
      <c r="BH355" s="43"/>
      <c r="BI355" s="43"/>
      <c r="BJ355" s="43"/>
      <c r="BK355" s="43"/>
      <c r="BL355" s="43"/>
      <c r="BM355" s="43"/>
      <c r="BN355" s="43"/>
      <c r="BO355" s="43"/>
      <c r="BP355" s="43"/>
      <c r="BQ355" s="43"/>
      <c r="BR355" s="43"/>
      <c r="BS355" s="43"/>
      <c r="BT355" s="43"/>
      <c r="BU355" s="43"/>
      <c r="BV355" s="43"/>
      <c r="BW355" s="43"/>
      <c r="BX355" s="43"/>
      <c r="BY355" s="43"/>
      <c r="BZ355" s="43"/>
      <c r="CA355" s="43"/>
      <c r="CB355" s="43"/>
      <c r="CC355" s="43"/>
      <c r="CD355" s="43"/>
      <c r="CE355" s="43"/>
      <c r="CF355" s="43"/>
      <c r="CG355" s="43"/>
      <c r="CH355" s="43"/>
      <c r="CI355" s="43"/>
      <c r="CJ355" s="43"/>
      <c r="CK355" s="43"/>
      <c r="CL355" s="43"/>
      <c r="CM355" s="43"/>
      <c r="CN355" s="43"/>
      <c r="CO355" s="43"/>
      <c r="CP355" s="43"/>
      <c r="CQ355" s="43"/>
      <c r="CR355" s="43"/>
      <c r="CS355" s="43"/>
      <c r="CT355" s="43"/>
      <c r="CU355" s="43"/>
      <c r="CV355" s="43"/>
      <c r="CW355" s="43"/>
      <c r="CX355" s="43"/>
      <c r="CY355" s="43"/>
      <c r="CZ355" s="43"/>
      <c r="DA355" s="43"/>
      <c r="DB355" s="43"/>
      <c r="DC355" s="43"/>
      <c r="DD355" s="43"/>
      <c r="DE355" s="43"/>
      <c r="DF355" s="43"/>
      <c r="DG355" s="43"/>
      <c r="DH355" s="43"/>
      <c r="DI355" s="43"/>
      <c r="DJ355" s="43"/>
      <c r="DK355" s="43"/>
      <c r="DL355" s="43"/>
      <c r="DM355" s="43"/>
      <c r="DN355" s="43"/>
      <c r="DO355" s="43"/>
      <c r="DP355" s="43"/>
      <c r="DQ355" s="43"/>
      <c r="DR355" s="43"/>
      <c r="DS355" s="43"/>
    </row>
    <row r="356" spans="1:123" ht="14.45">
      <c r="A356"/>
      <c r="B356"/>
      <c r="C356"/>
      <c r="D356"/>
      <c r="E356"/>
      <c r="F356"/>
      <c r="G356"/>
      <c r="H356"/>
      <c r="I356"/>
      <c r="J356"/>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c r="AM356" s="43"/>
      <c r="AN356" s="43"/>
      <c r="AO356" s="43"/>
      <c r="AP356" s="43"/>
      <c r="AQ356" s="43"/>
      <c r="AR356" s="43"/>
      <c r="AS356" s="43"/>
      <c r="AT356" s="43"/>
      <c r="AU356" s="43"/>
      <c r="AV356" s="43"/>
      <c r="AW356" s="43"/>
      <c r="AX356" s="43"/>
      <c r="AY356" s="43"/>
      <c r="AZ356" s="43"/>
      <c r="BA356" s="43"/>
      <c r="BB356" s="43"/>
      <c r="BC356" s="43"/>
      <c r="BD356" s="43"/>
      <c r="BE356" s="43"/>
      <c r="BF356" s="43"/>
      <c r="BG356" s="43"/>
      <c r="BH356" s="43"/>
      <c r="BI356" s="43"/>
      <c r="BJ356" s="43"/>
      <c r="BK356" s="43"/>
      <c r="BL356" s="43"/>
      <c r="BM356" s="43"/>
      <c r="BN356" s="43"/>
      <c r="BO356" s="43"/>
      <c r="BP356" s="43"/>
      <c r="BQ356" s="43"/>
      <c r="BR356" s="43"/>
      <c r="BS356" s="43"/>
      <c r="BT356" s="43"/>
      <c r="BU356" s="43"/>
      <c r="BV356" s="43"/>
      <c r="BW356" s="43"/>
      <c r="BX356" s="43"/>
      <c r="BY356" s="43"/>
      <c r="BZ356" s="43"/>
      <c r="CA356" s="43"/>
      <c r="CB356" s="43"/>
      <c r="CC356" s="43"/>
      <c r="CD356" s="43"/>
      <c r="CE356" s="43"/>
      <c r="CF356" s="43"/>
      <c r="CG356" s="43"/>
      <c r="CH356" s="43"/>
      <c r="CI356" s="43"/>
      <c r="CJ356" s="43"/>
      <c r="CK356" s="43"/>
      <c r="CL356" s="43"/>
      <c r="CM356" s="43"/>
      <c r="CN356" s="43"/>
      <c r="CO356" s="43"/>
      <c r="CP356" s="43"/>
      <c r="CQ356" s="43"/>
      <c r="CR356" s="43"/>
      <c r="CS356" s="43"/>
      <c r="CT356" s="43"/>
      <c r="CU356" s="43"/>
      <c r="CV356" s="43"/>
      <c r="CW356" s="43"/>
      <c r="CX356" s="43"/>
      <c r="CY356" s="43"/>
      <c r="CZ356" s="43"/>
      <c r="DA356" s="43"/>
      <c r="DB356" s="43"/>
      <c r="DC356" s="43"/>
      <c r="DD356" s="43"/>
      <c r="DE356" s="43"/>
      <c r="DF356" s="43"/>
      <c r="DG356" s="43"/>
      <c r="DH356" s="43"/>
      <c r="DI356" s="43"/>
      <c r="DJ356" s="43"/>
      <c r="DK356" s="43"/>
      <c r="DL356" s="43"/>
      <c r="DM356" s="43"/>
      <c r="DN356" s="43"/>
      <c r="DO356" s="43"/>
      <c r="DP356" s="43"/>
      <c r="DQ356" s="43"/>
      <c r="DR356" s="43"/>
      <c r="DS356" s="43"/>
    </row>
    <row r="357" spans="1:123" ht="14.45">
      <c r="A357"/>
      <c r="B357"/>
      <c r="C357"/>
      <c r="D357"/>
      <c r="E357"/>
      <c r="F357"/>
      <c r="G357"/>
      <c r="H357"/>
      <c r="I357"/>
      <c r="J357"/>
      <c r="K357" s="43"/>
      <c r="L357" s="43"/>
      <c r="M357" s="43"/>
      <c r="N357" s="43"/>
      <c r="O357" s="43"/>
      <c r="P357" s="43"/>
      <c r="Q357" s="43"/>
      <c r="R357" s="43"/>
      <c r="S357" s="43"/>
      <c r="T357" s="43"/>
      <c r="U357" s="43"/>
      <c r="V357" s="43"/>
      <c r="W357" s="43"/>
      <c r="X357" s="43"/>
      <c r="Y357" s="43"/>
      <c r="Z357" s="43"/>
      <c r="AA357" s="43"/>
      <c r="AB357" s="43"/>
      <c r="AC357" s="43"/>
      <c r="AD357" s="43"/>
      <c r="AE357" s="43"/>
      <c r="AF357" s="43"/>
      <c r="AG357" s="43"/>
      <c r="AH357" s="43"/>
      <c r="AI357" s="43"/>
      <c r="AJ357" s="43"/>
      <c r="AK357" s="43"/>
      <c r="AL357" s="43"/>
      <c r="AM357" s="43"/>
      <c r="AN357" s="43"/>
      <c r="AO357" s="43"/>
      <c r="AP357" s="43"/>
      <c r="AQ357" s="43"/>
      <c r="AR357" s="43"/>
      <c r="AS357" s="43"/>
      <c r="AT357" s="43"/>
      <c r="AU357" s="43"/>
      <c r="AV357" s="43"/>
      <c r="AW357" s="43"/>
      <c r="AX357" s="43"/>
      <c r="AY357" s="43"/>
      <c r="AZ357" s="43"/>
      <c r="BA357" s="43"/>
      <c r="BB357" s="43"/>
      <c r="BC357" s="43"/>
      <c r="BD357" s="43"/>
      <c r="BE357" s="43"/>
      <c r="BF357" s="43"/>
      <c r="BG357" s="43"/>
      <c r="BH357" s="43"/>
      <c r="BI357" s="43"/>
      <c r="BJ357" s="43"/>
      <c r="BK357" s="43"/>
      <c r="BL357" s="43"/>
      <c r="BM357" s="43"/>
      <c r="BN357" s="43"/>
      <c r="BO357" s="43"/>
      <c r="BP357" s="43"/>
      <c r="BQ357" s="43"/>
      <c r="BR357" s="43"/>
      <c r="BS357" s="43"/>
      <c r="BT357" s="43"/>
      <c r="BU357" s="43"/>
      <c r="BV357" s="43"/>
      <c r="BW357" s="43"/>
      <c r="BX357" s="43"/>
      <c r="BY357" s="43"/>
      <c r="BZ357" s="43"/>
      <c r="CA357" s="43"/>
      <c r="CB357" s="43"/>
      <c r="CC357" s="43"/>
      <c r="CD357" s="43"/>
      <c r="CE357" s="43"/>
      <c r="CF357" s="43"/>
      <c r="CG357" s="43"/>
      <c r="CH357" s="43"/>
      <c r="CI357" s="43"/>
      <c r="CJ357" s="43"/>
      <c r="CK357" s="43"/>
      <c r="CL357" s="43"/>
      <c r="CM357" s="43"/>
      <c r="CN357" s="43"/>
      <c r="CO357" s="43"/>
      <c r="CP357" s="43"/>
      <c r="CQ357" s="43"/>
      <c r="CR357" s="43"/>
      <c r="CS357" s="43"/>
      <c r="CT357" s="43"/>
      <c r="CU357" s="43"/>
      <c r="CV357" s="43"/>
      <c r="CW357" s="43"/>
      <c r="CX357" s="43"/>
      <c r="CY357" s="43"/>
      <c r="CZ357" s="43"/>
      <c r="DA357" s="43"/>
      <c r="DB357" s="43"/>
      <c r="DC357" s="43"/>
      <c r="DD357" s="43"/>
      <c r="DE357" s="43"/>
      <c r="DF357" s="43"/>
      <c r="DG357" s="43"/>
      <c r="DH357" s="43"/>
      <c r="DI357" s="43"/>
      <c r="DJ357" s="43"/>
      <c r="DK357" s="43"/>
      <c r="DL357" s="43"/>
      <c r="DM357" s="43"/>
      <c r="DN357" s="43"/>
      <c r="DO357" s="43"/>
      <c r="DP357" s="43"/>
      <c r="DQ357" s="43"/>
      <c r="DR357" s="43"/>
      <c r="DS357" s="43"/>
    </row>
    <row r="358" spans="1:123" ht="14.45">
      <c r="A358"/>
      <c r="B358"/>
      <c r="C358"/>
      <c r="D358"/>
      <c r="E358"/>
      <c r="F358"/>
      <c r="G358"/>
      <c r="H358"/>
      <c r="I358"/>
      <c r="J358"/>
      <c r="K358" s="43"/>
      <c r="L358" s="43"/>
      <c r="M358" s="43"/>
      <c r="N358" s="43"/>
      <c r="O358" s="43"/>
      <c r="P358" s="43"/>
      <c r="Q358" s="43"/>
      <c r="R358" s="43"/>
      <c r="S358" s="43"/>
      <c r="T358" s="43"/>
      <c r="U358" s="43"/>
      <c r="V358" s="43"/>
      <c r="W358" s="43"/>
      <c r="X358" s="43"/>
      <c r="Y358" s="43"/>
      <c r="Z358" s="43"/>
      <c r="AA358" s="43"/>
      <c r="AB358" s="43"/>
      <c r="AC358" s="43"/>
      <c r="AD358" s="43"/>
      <c r="AE358" s="43"/>
      <c r="AF358" s="43"/>
      <c r="AG358" s="43"/>
      <c r="AH358" s="43"/>
      <c r="AI358" s="43"/>
      <c r="AJ358" s="43"/>
      <c r="AK358" s="43"/>
      <c r="AL358" s="43"/>
      <c r="AM358" s="43"/>
      <c r="AN358" s="43"/>
      <c r="AO358" s="43"/>
      <c r="AP358" s="43"/>
      <c r="AQ358" s="43"/>
      <c r="AR358" s="43"/>
      <c r="AS358" s="43"/>
      <c r="AT358" s="43"/>
      <c r="AU358" s="43"/>
      <c r="AV358" s="43"/>
      <c r="AW358" s="43"/>
      <c r="AX358" s="43"/>
      <c r="AY358" s="43"/>
      <c r="AZ358" s="43"/>
      <c r="BA358" s="43"/>
      <c r="BB358" s="43"/>
      <c r="BC358" s="43"/>
      <c r="BD358" s="43"/>
      <c r="BE358" s="43"/>
      <c r="BF358" s="43"/>
      <c r="BG358" s="43"/>
      <c r="BH358" s="43"/>
      <c r="BI358" s="43"/>
      <c r="BJ358" s="43"/>
      <c r="BK358" s="43"/>
      <c r="BL358" s="43"/>
      <c r="BM358" s="43"/>
      <c r="BN358" s="43"/>
      <c r="BO358" s="43"/>
      <c r="BP358" s="43"/>
      <c r="BQ358" s="43"/>
      <c r="BR358" s="43"/>
      <c r="BS358" s="43"/>
      <c r="BT358" s="43"/>
      <c r="BU358" s="43"/>
      <c r="BV358" s="43"/>
      <c r="BW358" s="43"/>
      <c r="BX358" s="43"/>
      <c r="BY358" s="43"/>
      <c r="BZ358" s="43"/>
      <c r="CA358" s="43"/>
      <c r="CB358" s="43"/>
      <c r="CC358" s="43"/>
      <c r="CD358" s="43"/>
      <c r="CE358" s="43"/>
      <c r="CF358" s="43"/>
      <c r="CG358" s="43"/>
      <c r="CH358" s="43"/>
      <c r="CI358" s="43"/>
      <c r="CJ358" s="43"/>
      <c r="CK358" s="43"/>
      <c r="CL358" s="43"/>
      <c r="CM358" s="43"/>
      <c r="CN358" s="43"/>
      <c r="CO358" s="43"/>
      <c r="CP358" s="43"/>
      <c r="CQ358" s="43"/>
      <c r="CR358" s="43"/>
      <c r="CS358" s="43"/>
      <c r="CT358" s="43"/>
      <c r="CU358" s="43"/>
      <c r="CV358" s="43"/>
      <c r="CW358" s="43"/>
      <c r="CX358" s="43"/>
      <c r="CY358" s="43"/>
      <c r="CZ358" s="43"/>
      <c r="DA358" s="43"/>
      <c r="DB358" s="43"/>
      <c r="DC358" s="43"/>
      <c r="DD358" s="43"/>
      <c r="DE358" s="43"/>
      <c r="DF358" s="43"/>
      <c r="DG358" s="43"/>
      <c r="DH358" s="43"/>
      <c r="DI358" s="43"/>
      <c r="DJ358" s="43"/>
      <c r="DK358" s="43"/>
      <c r="DL358" s="43"/>
      <c r="DM358" s="43"/>
      <c r="DN358" s="43"/>
      <c r="DO358" s="43"/>
      <c r="DP358" s="43"/>
      <c r="DQ358" s="43"/>
      <c r="DR358" s="43"/>
      <c r="DS358" s="43"/>
    </row>
    <row r="359" spans="1:123" ht="14.45">
      <c r="A359"/>
      <c r="B359"/>
      <c r="C359"/>
      <c r="D359"/>
      <c r="E359"/>
      <c r="F359"/>
      <c r="G359"/>
      <c r="H359"/>
      <c r="I359"/>
      <c r="J359"/>
      <c r="K359" s="43"/>
      <c r="L359" s="43"/>
      <c r="M359" s="43"/>
      <c r="N359" s="43"/>
      <c r="O359" s="43"/>
      <c r="P359" s="43"/>
      <c r="Q359" s="43"/>
      <c r="R359" s="43"/>
      <c r="S359" s="43"/>
      <c r="T359" s="43"/>
      <c r="U359" s="43"/>
      <c r="V359" s="43"/>
      <c r="W359" s="43"/>
      <c r="X359" s="43"/>
      <c r="Y359" s="43"/>
      <c r="Z359" s="43"/>
      <c r="AA359" s="43"/>
      <c r="AB359" s="43"/>
      <c r="AC359" s="43"/>
      <c r="AD359" s="43"/>
      <c r="AE359" s="43"/>
      <c r="AF359" s="43"/>
      <c r="AG359" s="43"/>
      <c r="AH359" s="43"/>
      <c r="AI359" s="43"/>
      <c r="AJ359" s="43"/>
      <c r="AK359" s="43"/>
      <c r="AL359" s="43"/>
      <c r="AM359" s="43"/>
      <c r="AN359" s="43"/>
      <c r="AO359" s="43"/>
      <c r="AP359" s="43"/>
      <c r="AQ359" s="43"/>
      <c r="AR359" s="43"/>
      <c r="AS359" s="43"/>
      <c r="AT359" s="43"/>
      <c r="AU359" s="43"/>
      <c r="AV359" s="43"/>
      <c r="AW359" s="43"/>
      <c r="AX359" s="43"/>
      <c r="AY359" s="43"/>
      <c r="AZ359" s="43"/>
      <c r="BA359" s="43"/>
      <c r="BB359" s="43"/>
      <c r="BC359" s="43"/>
      <c r="BD359" s="43"/>
      <c r="BE359" s="43"/>
      <c r="BF359" s="43"/>
      <c r="BG359" s="43"/>
      <c r="BH359" s="43"/>
      <c r="BI359" s="43"/>
      <c r="BJ359" s="43"/>
      <c r="BK359" s="43"/>
      <c r="BL359" s="43"/>
      <c r="BM359" s="43"/>
      <c r="BN359" s="43"/>
      <c r="BO359" s="43"/>
      <c r="BP359" s="43"/>
      <c r="BQ359" s="43"/>
      <c r="BR359" s="43"/>
      <c r="BS359" s="43"/>
      <c r="BT359" s="43"/>
      <c r="BU359" s="43"/>
      <c r="BV359" s="43"/>
      <c r="BW359" s="43"/>
      <c r="BX359" s="43"/>
      <c r="BY359" s="43"/>
      <c r="BZ359" s="43"/>
      <c r="CA359" s="43"/>
      <c r="CB359" s="43"/>
      <c r="CC359" s="43"/>
      <c r="CD359" s="43"/>
      <c r="CE359" s="43"/>
      <c r="CF359" s="43"/>
      <c r="CG359" s="43"/>
      <c r="CH359" s="43"/>
      <c r="CI359" s="43"/>
      <c r="CJ359" s="43"/>
      <c r="CK359" s="43"/>
      <c r="CL359" s="43"/>
      <c r="CM359" s="43"/>
      <c r="CN359" s="43"/>
      <c r="CO359" s="43"/>
      <c r="CP359" s="43"/>
      <c r="CQ359" s="43"/>
      <c r="CR359" s="43"/>
      <c r="CS359" s="43"/>
      <c r="CT359" s="43"/>
      <c r="CU359" s="43"/>
      <c r="CV359" s="43"/>
      <c r="CW359" s="43"/>
      <c r="CX359" s="43"/>
      <c r="CY359" s="43"/>
      <c r="CZ359" s="43"/>
      <c r="DA359" s="43"/>
      <c r="DB359" s="43"/>
      <c r="DC359" s="43"/>
      <c r="DD359" s="43"/>
      <c r="DE359" s="43"/>
      <c r="DF359" s="43"/>
      <c r="DG359" s="43"/>
      <c r="DH359" s="43"/>
      <c r="DI359" s="43"/>
      <c r="DJ359" s="43"/>
      <c r="DK359" s="43"/>
      <c r="DL359" s="43"/>
      <c r="DM359" s="43"/>
      <c r="DN359" s="43"/>
      <c r="DO359" s="43"/>
      <c r="DP359" s="43"/>
      <c r="DQ359" s="43"/>
      <c r="DR359" s="43"/>
      <c r="DS359" s="43"/>
    </row>
    <row r="360" spans="1:123" ht="14.45">
      <c r="A360"/>
      <c r="B360"/>
      <c r="C360"/>
      <c r="D360"/>
      <c r="E360"/>
      <c r="F360"/>
      <c r="G360"/>
      <c r="H360"/>
      <c r="I360"/>
      <c r="J360"/>
      <c r="K360" s="43"/>
      <c r="L360" s="43"/>
      <c r="M360" s="43"/>
      <c r="N360" s="43"/>
      <c r="O360" s="43"/>
      <c r="P360" s="43"/>
      <c r="Q360" s="43"/>
      <c r="R360" s="43"/>
      <c r="S360" s="43"/>
      <c r="T360" s="43"/>
      <c r="U360" s="43"/>
      <c r="V360" s="43"/>
      <c r="W360" s="43"/>
      <c r="X360" s="43"/>
      <c r="Y360" s="43"/>
      <c r="Z360" s="43"/>
      <c r="AA360" s="43"/>
      <c r="AB360" s="43"/>
      <c r="AC360" s="43"/>
      <c r="AD360" s="43"/>
      <c r="AE360" s="43"/>
      <c r="AF360" s="43"/>
      <c r="AG360" s="43"/>
      <c r="AH360" s="43"/>
      <c r="AI360" s="43"/>
      <c r="AJ360" s="43"/>
      <c r="AK360" s="43"/>
      <c r="AL360" s="43"/>
      <c r="AM360" s="43"/>
      <c r="AN360" s="43"/>
      <c r="AO360" s="43"/>
      <c r="AP360" s="43"/>
      <c r="AQ360" s="43"/>
      <c r="AR360" s="43"/>
      <c r="AS360" s="43"/>
      <c r="AT360" s="43"/>
      <c r="AU360" s="43"/>
      <c r="AV360" s="43"/>
      <c r="AW360" s="43"/>
      <c r="AX360" s="43"/>
      <c r="AY360" s="43"/>
      <c r="AZ360" s="43"/>
      <c r="BA360" s="43"/>
      <c r="BB360" s="43"/>
      <c r="BC360" s="43"/>
      <c r="BD360" s="43"/>
      <c r="BE360" s="43"/>
      <c r="BF360" s="43"/>
      <c r="BG360" s="43"/>
      <c r="BH360" s="43"/>
      <c r="BI360" s="43"/>
      <c r="BJ360" s="43"/>
      <c r="BK360" s="43"/>
      <c r="BL360" s="43"/>
      <c r="BM360" s="43"/>
      <c r="BN360" s="43"/>
      <c r="BO360" s="43"/>
      <c r="BP360" s="43"/>
      <c r="BQ360" s="43"/>
      <c r="BR360" s="43"/>
      <c r="BS360" s="43"/>
      <c r="BT360" s="43"/>
      <c r="BU360" s="43"/>
      <c r="BV360" s="43"/>
      <c r="BW360" s="43"/>
      <c r="BX360" s="43"/>
      <c r="BY360" s="43"/>
      <c r="BZ360" s="43"/>
      <c r="CA360" s="43"/>
      <c r="CB360" s="43"/>
      <c r="CC360" s="43"/>
      <c r="CD360" s="43"/>
      <c r="CE360" s="43"/>
      <c r="CF360" s="43"/>
      <c r="CG360" s="43"/>
      <c r="CH360" s="43"/>
      <c r="CI360" s="43"/>
      <c r="CJ360" s="43"/>
      <c r="CK360" s="43"/>
      <c r="CL360" s="43"/>
      <c r="CM360" s="43"/>
      <c r="CN360" s="43"/>
      <c r="CO360" s="43"/>
      <c r="CP360" s="43"/>
      <c r="CQ360" s="43"/>
      <c r="CR360" s="43"/>
      <c r="CS360" s="43"/>
      <c r="CT360" s="43"/>
      <c r="CU360" s="43"/>
      <c r="CV360" s="43"/>
      <c r="CW360" s="43"/>
      <c r="CX360" s="43"/>
      <c r="CY360" s="43"/>
      <c r="CZ360" s="43"/>
      <c r="DA360" s="43"/>
      <c r="DB360" s="43"/>
      <c r="DC360" s="43"/>
      <c r="DD360" s="43"/>
      <c r="DE360" s="43"/>
      <c r="DF360" s="43"/>
      <c r="DG360" s="43"/>
      <c r="DH360" s="43"/>
      <c r="DI360" s="43"/>
      <c r="DJ360" s="43"/>
      <c r="DK360" s="43"/>
      <c r="DL360" s="43"/>
      <c r="DM360" s="43"/>
      <c r="DN360" s="43"/>
      <c r="DO360" s="43"/>
      <c r="DP360" s="43"/>
      <c r="DQ360" s="43"/>
      <c r="DR360" s="43"/>
      <c r="DS360" s="43"/>
    </row>
    <row r="361" spans="1:123" ht="14.45">
      <c r="A361"/>
      <c r="B361"/>
      <c r="C361"/>
      <c r="D361"/>
      <c r="E361"/>
      <c r="F361"/>
      <c r="G361"/>
      <c r="H361"/>
      <c r="I361"/>
      <c r="J361"/>
      <c r="K361" s="43"/>
      <c r="L361" s="43"/>
      <c r="M361" s="43"/>
      <c r="N361" s="43"/>
      <c r="O361" s="43"/>
      <c r="P361" s="43"/>
      <c r="Q361" s="43"/>
      <c r="R361" s="43"/>
      <c r="S361" s="43"/>
      <c r="T361" s="43"/>
      <c r="U361" s="43"/>
      <c r="V361" s="43"/>
      <c r="W361" s="43"/>
      <c r="X361" s="43"/>
      <c r="Y361" s="43"/>
      <c r="Z361" s="43"/>
      <c r="AA361" s="43"/>
      <c r="AB361" s="43"/>
      <c r="AC361" s="43"/>
      <c r="AD361" s="43"/>
      <c r="AE361" s="43"/>
      <c r="AF361" s="43"/>
      <c r="AG361" s="43"/>
      <c r="AH361" s="43"/>
      <c r="AI361" s="43"/>
      <c r="AJ361" s="43"/>
      <c r="AK361" s="43"/>
      <c r="AL361" s="43"/>
      <c r="AM361" s="43"/>
      <c r="AN361" s="43"/>
      <c r="AO361" s="43"/>
      <c r="AP361" s="43"/>
      <c r="AQ361" s="43"/>
      <c r="AR361" s="43"/>
      <c r="AS361" s="43"/>
      <c r="AT361" s="43"/>
      <c r="AU361" s="43"/>
      <c r="AV361" s="43"/>
      <c r="AW361" s="43"/>
      <c r="AX361" s="43"/>
      <c r="AY361" s="43"/>
      <c r="AZ361" s="43"/>
      <c r="BA361" s="43"/>
      <c r="BB361" s="43"/>
      <c r="BC361" s="43"/>
      <c r="BD361" s="43"/>
      <c r="BE361" s="43"/>
      <c r="BF361" s="43"/>
      <c r="BG361" s="43"/>
      <c r="BH361" s="43"/>
      <c r="BI361" s="43"/>
      <c r="BJ361" s="43"/>
      <c r="BK361" s="43"/>
      <c r="BL361" s="43"/>
      <c r="BM361" s="43"/>
      <c r="BN361" s="43"/>
      <c r="BO361" s="43"/>
      <c r="BP361" s="43"/>
      <c r="BQ361" s="43"/>
      <c r="BR361" s="43"/>
      <c r="BS361" s="43"/>
      <c r="BT361" s="43"/>
      <c r="BU361" s="43"/>
      <c r="BV361" s="43"/>
      <c r="BW361" s="43"/>
      <c r="BX361" s="43"/>
      <c r="BY361" s="43"/>
      <c r="BZ361" s="43"/>
      <c r="CA361" s="43"/>
      <c r="CB361" s="43"/>
      <c r="CC361" s="43"/>
      <c r="CD361" s="43"/>
      <c r="CE361" s="43"/>
      <c r="CF361" s="43"/>
      <c r="CG361" s="43"/>
      <c r="CH361" s="43"/>
      <c r="CI361" s="43"/>
      <c r="CJ361" s="43"/>
      <c r="CK361" s="43"/>
      <c r="CL361" s="43"/>
      <c r="CM361" s="43"/>
      <c r="CN361" s="43"/>
      <c r="CO361" s="43"/>
      <c r="CP361" s="43"/>
      <c r="CQ361" s="43"/>
      <c r="CR361" s="43"/>
      <c r="CS361" s="43"/>
      <c r="CT361" s="43"/>
      <c r="CU361" s="43"/>
      <c r="CV361" s="43"/>
      <c r="CW361" s="43"/>
      <c r="CX361" s="43"/>
      <c r="CY361" s="43"/>
      <c r="CZ361" s="43"/>
      <c r="DA361" s="43"/>
      <c r="DB361" s="43"/>
      <c r="DC361" s="43"/>
      <c r="DD361" s="43"/>
      <c r="DE361" s="43"/>
      <c r="DF361" s="43"/>
      <c r="DG361" s="43"/>
      <c r="DH361" s="43"/>
      <c r="DI361" s="43"/>
      <c r="DJ361" s="43"/>
      <c r="DK361" s="43"/>
      <c r="DL361" s="43"/>
      <c r="DM361" s="43"/>
      <c r="DN361" s="43"/>
      <c r="DO361" s="43"/>
      <c r="DP361" s="43"/>
      <c r="DQ361" s="43"/>
      <c r="DR361" s="43"/>
      <c r="DS361" s="43"/>
    </row>
    <row r="362" spans="1:123" ht="14.45">
      <c r="A362"/>
      <c r="B362"/>
      <c r="C362"/>
      <c r="D362"/>
      <c r="E362"/>
      <c r="F362"/>
      <c r="G362"/>
      <c r="H362"/>
      <c r="I362"/>
      <c r="J362"/>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3"/>
      <c r="AM362" s="43"/>
      <c r="AN362" s="43"/>
      <c r="AO362" s="43"/>
      <c r="AP362" s="43"/>
      <c r="AQ362" s="43"/>
      <c r="AR362" s="43"/>
      <c r="AS362" s="43"/>
      <c r="AT362" s="43"/>
      <c r="AU362" s="43"/>
      <c r="AV362" s="43"/>
      <c r="AW362" s="43"/>
      <c r="AX362" s="43"/>
      <c r="AY362" s="43"/>
      <c r="AZ362" s="43"/>
      <c r="BA362" s="43"/>
      <c r="BB362" s="43"/>
      <c r="BC362" s="43"/>
      <c r="BD362" s="43"/>
      <c r="BE362" s="43"/>
      <c r="BF362" s="43"/>
      <c r="BG362" s="43"/>
      <c r="BH362" s="43"/>
      <c r="BI362" s="43"/>
      <c r="BJ362" s="43"/>
      <c r="BK362" s="43"/>
      <c r="BL362" s="43"/>
      <c r="BM362" s="43"/>
      <c r="BN362" s="43"/>
      <c r="BO362" s="43"/>
      <c r="BP362" s="43"/>
      <c r="BQ362" s="43"/>
      <c r="BR362" s="43"/>
      <c r="BS362" s="43"/>
      <c r="BT362" s="43"/>
      <c r="BU362" s="43"/>
      <c r="BV362" s="43"/>
      <c r="BW362" s="43"/>
      <c r="BX362" s="43"/>
      <c r="BY362" s="43"/>
      <c r="BZ362" s="43"/>
      <c r="CA362" s="43"/>
      <c r="CB362" s="43"/>
      <c r="CC362" s="43"/>
      <c r="CD362" s="43"/>
      <c r="CE362" s="43"/>
      <c r="CF362" s="43"/>
      <c r="CG362" s="43"/>
      <c r="CH362" s="43"/>
      <c r="CI362" s="43"/>
      <c r="CJ362" s="43"/>
      <c r="CK362" s="43"/>
      <c r="CL362" s="43"/>
      <c r="CM362" s="43"/>
      <c r="CN362" s="43"/>
      <c r="CO362" s="43"/>
      <c r="CP362" s="43"/>
      <c r="CQ362" s="43"/>
      <c r="CR362" s="43"/>
      <c r="CS362" s="43"/>
      <c r="CT362" s="43"/>
      <c r="CU362" s="43"/>
      <c r="CV362" s="43"/>
      <c r="CW362" s="43"/>
      <c r="CX362" s="43"/>
      <c r="CY362" s="43"/>
      <c r="CZ362" s="43"/>
      <c r="DA362" s="43"/>
      <c r="DB362" s="43"/>
      <c r="DC362" s="43"/>
      <c r="DD362" s="43"/>
      <c r="DE362" s="43"/>
      <c r="DF362" s="43"/>
      <c r="DG362" s="43"/>
      <c r="DH362" s="43"/>
      <c r="DI362" s="43"/>
      <c r="DJ362" s="43"/>
      <c r="DK362" s="43"/>
      <c r="DL362" s="43"/>
      <c r="DM362" s="43"/>
      <c r="DN362" s="43"/>
      <c r="DO362" s="43"/>
      <c r="DP362" s="43"/>
      <c r="DQ362" s="43"/>
      <c r="DR362" s="43"/>
      <c r="DS362" s="43"/>
    </row>
    <row r="363" spans="1:123" ht="14.45">
      <c r="A363"/>
      <c r="B363"/>
      <c r="C363"/>
      <c r="D363"/>
      <c r="E363"/>
      <c r="F363"/>
      <c r="G363"/>
      <c r="H363"/>
      <c r="I363"/>
      <c r="J363"/>
      <c r="K363" s="43"/>
      <c r="L363" s="43"/>
      <c r="M363" s="43"/>
      <c r="N363" s="43"/>
      <c r="O363" s="43"/>
      <c r="P363" s="43"/>
      <c r="Q363" s="43"/>
      <c r="R363" s="43"/>
      <c r="S363" s="43"/>
      <c r="T363" s="43"/>
      <c r="U363" s="43"/>
      <c r="V363" s="43"/>
      <c r="W363" s="43"/>
      <c r="X363" s="43"/>
      <c r="Y363" s="43"/>
      <c r="Z363" s="43"/>
      <c r="AA363" s="43"/>
      <c r="AB363" s="43"/>
      <c r="AC363" s="43"/>
      <c r="AD363" s="43"/>
      <c r="AE363" s="43"/>
      <c r="AF363" s="43"/>
      <c r="AG363" s="43"/>
      <c r="AH363" s="43"/>
      <c r="AI363" s="43"/>
      <c r="AJ363" s="43"/>
      <c r="AK363" s="43"/>
      <c r="AL363" s="43"/>
      <c r="AM363" s="43"/>
      <c r="AN363" s="43"/>
      <c r="AO363" s="43"/>
      <c r="AP363" s="43"/>
      <c r="AQ363" s="43"/>
      <c r="AR363" s="43"/>
      <c r="AS363" s="43"/>
      <c r="AT363" s="43"/>
      <c r="AU363" s="43"/>
      <c r="AV363" s="43"/>
      <c r="AW363" s="43"/>
      <c r="AX363" s="43"/>
      <c r="AY363" s="43"/>
      <c r="AZ363" s="43"/>
      <c r="BA363" s="43"/>
      <c r="BB363" s="43"/>
      <c r="BC363" s="43"/>
      <c r="BD363" s="43"/>
      <c r="BE363" s="43"/>
      <c r="BF363" s="43"/>
      <c r="BG363" s="43"/>
      <c r="BH363" s="43"/>
      <c r="BI363" s="43"/>
      <c r="BJ363" s="43"/>
      <c r="BK363" s="43"/>
      <c r="BL363" s="43"/>
      <c r="BM363" s="43"/>
      <c r="BN363" s="43"/>
      <c r="BO363" s="43"/>
      <c r="BP363" s="43"/>
      <c r="BQ363" s="43"/>
      <c r="BR363" s="43"/>
      <c r="BS363" s="43"/>
      <c r="BT363" s="43"/>
      <c r="BU363" s="43"/>
      <c r="BV363" s="43"/>
      <c r="BW363" s="43"/>
      <c r="BX363" s="43"/>
      <c r="BY363" s="43"/>
      <c r="BZ363" s="43"/>
      <c r="CA363" s="43"/>
      <c r="CB363" s="43"/>
      <c r="CC363" s="43"/>
      <c r="CD363" s="43"/>
      <c r="CE363" s="43"/>
      <c r="CF363" s="43"/>
      <c r="CG363" s="43"/>
      <c r="CH363" s="43"/>
      <c r="CI363" s="43"/>
      <c r="CJ363" s="43"/>
      <c r="CK363" s="43"/>
      <c r="CL363" s="43"/>
      <c r="CM363" s="43"/>
      <c r="CN363" s="43"/>
      <c r="CO363" s="43"/>
      <c r="CP363" s="43"/>
      <c r="CQ363" s="43"/>
      <c r="CR363" s="43"/>
      <c r="CS363" s="43"/>
      <c r="CT363" s="43"/>
      <c r="CU363" s="43"/>
      <c r="CV363" s="43"/>
      <c r="CW363" s="43"/>
      <c r="CX363" s="43"/>
      <c r="CY363" s="43"/>
      <c r="CZ363" s="43"/>
      <c r="DA363" s="43"/>
      <c r="DB363" s="43"/>
      <c r="DC363" s="43"/>
      <c r="DD363" s="43"/>
      <c r="DE363" s="43"/>
      <c r="DF363" s="43"/>
      <c r="DG363" s="43"/>
      <c r="DH363" s="43"/>
      <c r="DI363" s="43"/>
      <c r="DJ363" s="43"/>
      <c r="DK363" s="43"/>
      <c r="DL363" s="43"/>
      <c r="DM363" s="43"/>
      <c r="DN363" s="43"/>
      <c r="DO363" s="43"/>
      <c r="DP363" s="43"/>
      <c r="DQ363" s="43"/>
      <c r="DR363" s="43"/>
      <c r="DS363" s="43"/>
    </row>
    <row r="364" spans="1:123" ht="14.45">
      <c r="A364"/>
      <c r="B364"/>
      <c r="C364"/>
      <c r="D364"/>
      <c r="E364"/>
      <c r="F364"/>
      <c r="G364"/>
      <c r="H364"/>
      <c r="I364"/>
      <c r="J364"/>
      <c r="K364" s="43"/>
      <c r="L364" s="43"/>
      <c r="M364" s="43"/>
      <c r="N364" s="43"/>
      <c r="O364" s="43"/>
      <c r="P364" s="43"/>
      <c r="Q364" s="43"/>
      <c r="R364" s="43"/>
      <c r="S364" s="43"/>
      <c r="T364" s="43"/>
      <c r="U364" s="43"/>
      <c r="V364" s="43"/>
      <c r="W364" s="43"/>
      <c r="X364" s="43"/>
      <c r="Y364" s="43"/>
      <c r="Z364" s="43"/>
      <c r="AA364" s="43"/>
      <c r="AB364" s="43"/>
      <c r="AC364" s="43"/>
      <c r="AD364" s="43"/>
      <c r="AE364" s="43"/>
      <c r="AF364" s="43"/>
      <c r="AG364" s="43"/>
      <c r="AH364" s="43"/>
      <c r="AI364" s="43"/>
      <c r="AJ364" s="43"/>
      <c r="AK364" s="43"/>
      <c r="AL364" s="43"/>
      <c r="AM364" s="43"/>
      <c r="AN364" s="43"/>
      <c r="AO364" s="43"/>
      <c r="AP364" s="43"/>
      <c r="AQ364" s="43"/>
      <c r="AR364" s="43"/>
      <c r="AS364" s="43"/>
      <c r="AT364" s="43"/>
      <c r="AU364" s="43"/>
      <c r="AV364" s="43"/>
      <c r="AW364" s="43"/>
      <c r="AX364" s="43"/>
      <c r="AY364" s="43"/>
      <c r="AZ364" s="43"/>
      <c r="BA364" s="43"/>
      <c r="BB364" s="43"/>
      <c r="BC364" s="43"/>
      <c r="BD364" s="43"/>
      <c r="BE364" s="43"/>
      <c r="BF364" s="43"/>
      <c r="BG364" s="43"/>
      <c r="BH364" s="43"/>
      <c r="BI364" s="43"/>
      <c r="BJ364" s="43"/>
      <c r="BK364" s="43"/>
      <c r="BL364" s="43"/>
      <c r="BM364" s="43"/>
      <c r="BN364" s="43"/>
      <c r="BO364" s="43"/>
      <c r="BP364" s="43"/>
      <c r="BQ364" s="43"/>
      <c r="BR364" s="43"/>
      <c r="BS364" s="43"/>
      <c r="BT364" s="43"/>
      <c r="BU364" s="43"/>
      <c r="BV364" s="43"/>
      <c r="BW364" s="43"/>
      <c r="BX364" s="43"/>
      <c r="BY364" s="43"/>
      <c r="BZ364" s="43"/>
      <c r="CA364" s="43"/>
      <c r="CB364" s="43"/>
      <c r="CC364" s="43"/>
      <c r="CD364" s="43"/>
      <c r="CE364" s="43"/>
      <c r="CF364" s="43"/>
      <c r="CG364" s="43"/>
      <c r="CH364" s="43"/>
      <c r="CI364" s="43"/>
      <c r="CJ364" s="43"/>
      <c r="CK364" s="43"/>
      <c r="CL364" s="43"/>
      <c r="CM364" s="43"/>
      <c r="CN364" s="43"/>
      <c r="CO364" s="43"/>
      <c r="CP364" s="43"/>
      <c r="CQ364" s="43"/>
      <c r="CR364" s="43"/>
      <c r="CS364" s="43"/>
      <c r="CT364" s="43"/>
      <c r="CU364" s="43"/>
      <c r="CV364" s="43"/>
      <c r="CW364" s="43"/>
      <c r="CX364" s="43"/>
      <c r="CY364" s="43"/>
      <c r="CZ364" s="43"/>
      <c r="DA364" s="43"/>
      <c r="DB364" s="43"/>
      <c r="DC364" s="43"/>
      <c r="DD364" s="43"/>
      <c r="DE364" s="43"/>
      <c r="DF364" s="43"/>
      <c r="DG364" s="43"/>
      <c r="DH364" s="43"/>
      <c r="DI364" s="43"/>
      <c r="DJ364" s="43"/>
      <c r="DK364" s="43"/>
      <c r="DL364" s="43"/>
      <c r="DM364" s="43"/>
      <c r="DN364" s="43"/>
      <c r="DO364" s="43"/>
      <c r="DP364" s="43"/>
      <c r="DQ364" s="43"/>
      <c r="DR364" s="43"/>
      <c r="DS364" s="43"/>
    </row>
    <row r="365" spans="1:123" ht="14.45">
      <c r="A365"/>
      <c r="B365"/>
      <c r="C365"/>
      <c r="D365"/>
      <c r="E365"/>
      <c r="F365"/>
      <c r="G365"/>
      <c r="H365"/>
      <c r="I365"/>
      <c r="J365"/>
      <c r="K365" s="43"/>
      <c r="L365" s="43"/>
      <c r="M365" s="43"/>
      <c r="N365" s="43"/>
      <c r="O365" s="43"/>
      <c r="P365" s="43"/>
      <c r="Q365" s="43"/>
      <c r="R365" s="43"/>
      <c r="S365" s="43"/>
      <c r="T365" s="43"/>
      <c r="U365" s="43"/>
      <c r="V365" s="43"/>
      <c r="W365" s="43"/>
      <c r="X365" s="43"/>
      <c r="Y365" s="43"/>
      <c r="Z365" s="43"/>
      <c r="AA365" s="43"/>
      <c r="AB365" s="43"/>
      <c r="AC365" s="43"/>
      <c r="AD365" s="43"/>
      <c r="AE365" s="43"/>
      <c r="AF365" s="43"/>
      <c r="AG365" s="43"/>
      <c r="AH365" s="43"/>
      <c r="AI365" s="43"/>
      <c r="AJ365" s="43"/>
      <c r="AK365" s="43"/>
      <c r="AL365" s="43"/>
      <c r="AM365" s="43"/>
      <c r="AN365" s="43"/>
      <c r="AO365" s="43"/>
      <c r="AP365" s="43"/>
      <c r="AQ365" s="43"/>
      <c r="AR365" s="43"/>
      <c r="AS365" s="43"/>
      <c r="AT365" s="43"/>
      <c r="AU365" s="43"/>
      <c r="AV365" s="43"/>
      <c r="AW365" s="43"/>
      <c r="AX365" s="43"/>
      <c r="AY365" s="43"/>
      <c r="AZ365" s="43"/>
      <c r="BA365" s="43"/>
      <c r="BB365" s="43"/>
      <c r="BC365" s="43"/>
      <c r="BD365" s="43"/>
      <c r="BE365" s="43"/>
      <c r="BF365" s="43"/>
      <c r="BG365" s="43"/>
      <c r="BH365" s="43"/>
      <c r="BI365" s="43"/>
      <c r="BJ365" s="43"/>
      <c r="BK365" s="43"/>
      <c r="BL365" s="43"/>
      <c r="BM365" s="43"/>
      <c r="BN365" s="43"/>
      <c r="BO365" s="43"/>
      <c r="BP365" s="43"/>
      <c r="BQ365" s="43"/>
      <c r="BR365" s="43"/>
      <c r="BS365" s="43"/>
      <c r="BT365" s="43"/>
      <c r="BU365" s="43"/>
      <c r="BV365" s="43"/>
      <c r="BW365" s="43"/>
      <c r="BX365" s="43"/>
      <c r="BY365" s="43"/>
      <c r="BZ365" s="43"/>
      <c r="CA365" s="43"/>
      <c r="CB365" s="43"/>
      <c r="CC365" s="43"/>
      <c r="CD365" s="43"/>
      <c r="CE365" s="43"/>
      <c r="CF365" s="43"/>
      <c r="CG365" s="43"/>
      <c r="CH365" s="43"/>
      <c r="CI365" s="43"/>
      <c r="CJ365" s="43"/>
      <c r="CK365" s="43"/>
      <c r="CL365" s="43"/>
      <c r="CM365" s="43"/>
      <c r="CN365" s="43"/>
      <c r="CO365" s="43"/>
      <c r="CP365" s="43"/>
      <c r="CQ365" s="43"/>
      <c r="CR365" s="43"/>
      <c r="CS365" s="43"/>
      <c r="CT365" s="43"/>
      <c r="CU365" s="43"/>
      <c r="CV365" s="43"/>
      <c r="CW365" s="43"/>
      <c r="CX365" s="43"/>
      <c r="CY365" s="43"/>
      <c r="CZ365" s="43"/>
      <c r="DA365" s="43"/>
      <c r="DB365" s="43"/>
      <c r="DC365" s="43"/>
      <c r="DD365" s="43"/>
      <c r="DE365" s="43"/>
      <c r="DF365" s="43"/>
      <c r="DG365" s="43"/>
      <c r="DH365" s="43"/>
      <c r="DI365" s="43"/>
      <c r="DJ365" s="43"/>
      <c r="DK365" s="43"/>
      <c r="DL365" s="43"/>
      <c r="DM365" s="43"/>
      <c r="DN365" s="43"/>
      <c r="DO365" s="43"/>
      <c r="DP365" s="43"/>
      <c r="DQ365" s="43"/>
      <c r="DR365" s="43"/>
      <c r="DS365" s="43"/>
    </row>
    <row r="366" spans="1:123" ht="14.45">
      <c r="A366"/>
      <c r="B366"/>
      <c r="C366"/>
      <c r="D366"/>
      <c r="E366"/>
      <c r="F366"/>
      <c r="G366"/>
      <c r="H366"/>
      <c r="I366"/>
      <c r="J366"/>
      <c r="K366" s="43"/>
      <c r="L366" s="43"/>
      <c r="M366" s="43"/>
      <c r="N366" s="43"/>
      <c r="O366" s="43"/>
      <c r="P366" s="43"/>
      <c r="Q366" s="43"/>
      <c r="R366" s="43"/>
      <c r="S366" s="43"/>
      <c r="T366" s="43"/>
      <c r="U366" s="43"/>
      <c r="V366" s="43"/>
      <c r="W366" s="43"/>
      <c r="X366" s="43"/>
      <c r="Y366" s="43"/>
      <c r="Z366" s="43"/>
      <c r="AA366" s="43"/>
      <c r="AB366" s="43"/>
      <c r="AC366" s="43"/>
      <c r="AD366" s="43"/>
      <c r="AE366" s="43"/>
      <c r="AF366" s="43"/>
      <c r="AG366" s="43"/>
      <c r="AH366" s="43"/>
      <c r="AI366" s="43"/>
      <c r="AJ366" s="43"/>
      <c r="AK366" s="43"/>
      <c r="AL366" s="43"/>
      <c r="AM366" s="43"/>
      <c r="AN366" s="43"/>
      <c r="AO366" s="43"/>
      <c r="AP366" s="43"/>
      <c r="AQ366" s="43"/>
      <c r="AR366" s="43"/>
      <c r="AS366" s="43"/>
      <c r="AT366" s="43"/>
      <c r="AU366" s="43"/>
      <c r="AV366" s="43"/>
      <c r="AW366" s="43"/>
      <c r="AX366" s="43"/>
      <c r="AY366" s="43"/>
      <c r="AZ366" s="43"/>
      <c r="BA366" s="43"/>
      <c r="BB366" s="43"/>
      <c r="BC366" s="43"/>
      <c r="BD366" s="43"/>
      <c r="BE366" s="43"/>
      <c r="BF366" s="43"/>
      <c r="BG366" s="43"/>
      <c r="BH366" s="43"/>
      <c r="BI366" s="43"/>
      <c r="BJ366" s="43"/>
      <c r="BK366" s="43"/>
      <c r="BL366" s="43"/>
      <c r="BM366" s="43"/>
      <c r="BN366" s="43"/>
      <c r="BO366" s="43"/>
      <c r="BP366" s="43"/>
      <c r="BQ366" s="43"/>
      <c r="BR366" s="43"/>
      <c r="BS366" s="43"/>
      <c r="BT366" s="43"/>
      <c r="BU366" s="43"/>
      <c r="BV366" s="43"/>
      <c r="BW366" s="43"/>
      <c r="BX366" s="43"/>
      <c r="BY366" s="43"/>
      <c r="BZ366" s="43"/>
      <c r="CA366" s="43"/>
      <c r="CB366" s="43"/>
      <c r="CC366" s="43"/>
      <c r="CD366" s="43"/>
      <c r="CE366" s="43"/>
      <c r="CF366" s="43"/>
      <c r="CG366" s="43"/>
      <c r="CH366" s="43"/>
      <c r="CI366" s="43"/>
      <c r="CJ366" s="43"/>
      <c r="CK366" s="43"/>
      <c r="CL366" s="43"/>
      <c r="CM366" s="43"/>
      <c r="CN366" s="43"/>
      <c r="CO366" s="43"/>
      <c r="CP366" s="43"/>
      <c r="CQ366" s="43"/>
      <c r="CR366" s="43"/>
      <c r="CS366" s="43"/>
      <c r="CT366" s="43"/>
      <c r="CU366" s="43"/>
      <c r="CV366" s="43"/>
      <c r="CW366" s="43"/>
      <c r="CX366" s="43"/>
      <c r="CY366" s="43"/>
      <c r="CZ366" s="43"/>
      <c r="DA366" s="43"/>
      <c r="DB366" s="43"/>
      <c r="DC366" s="43"/>
      <c r="DD366" s="43"/>
      <c r="DE366" s="43"/>
      <c r="DF366" s="43"/>
      <c r="DG366" s="43"/>
      <c r="DH366" s="43"/>
      <c r="DI366" s="43"/>
      <c r="DJ366" s="43"/>
      <c r="DK366" s="43"/>
      <c r="DL366" s="43"/>
      <c r="DM366" s="43"/>
      <c r="DN366" s="43"/>
      <c r="DO366" s="43"/>
      <c r="DP366" s="43"/>
      <c r="DQ366" s="43"/>
      <c r="DR366" s="43"/>
      <c r="DS366" s="43"/>
    </row>
    <row r="367" spans="1:123" ht="14.45">
      <c r="A367"/>
      <c r="B367"/>
      <c r="C367"/>
      <c r="D367"/>
      <c r="E367"/>
      <c r="F367"/>
      <c r="G367"/>
      <c r="H367"/>
      <c r="I367"/>
      <c r="J367"/>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c r="AJ367" s="43"/>
      <c r="AK367" s="43"/>
      <c r="AL367" s="43"/>
      <c r="AM367" s="43"/>
      <c r="AN367" s="43"/>
      <c r="AO367" s="43"/>
      <c r="AP367" s="43"/>
      <c r="AQ367" s="43"/>
      <c r="AR367" s="43"/>
      <c r="AS367" s="43"/>
      <c r="AT367" s="43"/>
      <c r="AU367" s="43"/>
      <c r="AV367" s="43"/>
      <c r="AW367" s="43"/>
      <c r="AX367" s="43"/>
      <c r="AY367" s="43"/>
      <c r="AZ367" s="43"/>
      <c r="BA367" s="43"/>
      <c r="BB367" s="43"/>
      <c r="BC367" s="43"/>
      <c r="BD367" s="43"/>
      <c r="BE367" s="43"/>
      <c r="BF367" s="43"/>
      <c r="BG367" s="43"/>
      <c r="BH367" s="43"/>
      <c r="BI367" s="43"/>
      <c r="BJ367" s="43"/>
      <c r="BK367" s="43"/>
      <c r="BL367" s="43"/>
      <c r="BM367" s="43"/>
      <c r="BN367" s="43"/>
      <c r="BO367" s="43"/>
      <c r="BP367" s="43"/>
      <c r="BQ367" s="43"/>
      <c r="BR367" s="43"/>
      <c r="BS367" s="43"/>
      <c r="BT367" s="43"/>
      <c r="BU367" s="43"/>
      <c r="BV367" s="43"/>
      <c r="BW367" s="43"/>
      <c r="BX367" s="43"/>
      <c r="BY367" s="43"/>
      <c r="BZ367" s="43"/>
      <c r="CA367" s="43"/>
      <c r="CB367" s="43"/>
      <c r="CC367" s="43"/>
      <c r="CD367" s="43"/>
      <c r="CE367" s="43"/>
      <c r="CF367" s="43"/>
      <c r="CG367" s="43"/>
      <c r="CH367" s="43"/>
      <c r="CI367" s="43"/>
      <c r="CJ367" s="43"/>
      <c r="CK367" s="43"/>
      <c r="CL367" s="43"/>
      <c r="CM367" s="43"/>
      <c r="CN367" s="43"/>
      <c r="CO367" s="43"/>
      <c r="CP367" s="43"/>
      <c r="CQ367" s="43"/>
      <c r="CR367" s="43"/>
      <c r="CS367" s="43"/>
      <c r="CT367" s="43"/>
      <c r="CU367" s="43"/>
      <c r="CV367" s="43"/>
      <c r="CW367" s="43"/>
      <c r="CX367" s="43"/>
      <c r="CY367" s="43"/>
      <c r="CZ367" s="43"/>
      <c r="DA367" s="43"/>
      <c r="DB367" s="43"/>
      <c r="DC367" s="43"/>
      <c r="DD367" s="43"/>
      <c r="DE367" s="43"/>
      <c r="DF367" s="43"/>
      <c r="DG367" s="43"/>
      <c r="DH367" s="43"/>
      <c r="DI367" s="43"/>
      <c r="DJ367" s="43"/>
      <c r="DK367" s="43"/>
      <c r="DL367" s="43"/>
      <c r="DM367" s="43"/>
      <c r="DN367" s="43"/>
      <c r="DO367" s="43"/>
      <c r="DP367" s="43"/>
      <c r="DQ367" s="43"/>
      <c r="DR367" s="43"/>
      <c r="DS367" s="43"/>
    </row>
    <row r="368" spans="1:123" ht="14.45">
      <c r="A368"/>
      <c r="B368"/>
      <c r="C368"/>
      <c r="D368"/>
      <c r="E368"/>
      <c r="F368"/>
      <c r="G368"/>
      <c r="H368"/>
      <c r="I368"/>
      <c r="J368"/>
      <c r="K368" s="43"/>
      <c r="L368" s="43"/>
      <c r="M368" s="43"/>
      <c r="N368" s="43"/>
      <c r="O368" s="43"/>
      <c r="P368" s="43"/>
      <c r="Q368" s="43"/>
      <c r="R368" s="43"/>
      <c r="S368" s="43"/>
      <c r="T368" s="43"/>
      <c r="U368" s="43"/>
      <c r="V368" s="43"/>
      <c r="W368" s="43"/>
      <c r="X368" s="43"/>
      <c r="Y368" s="43"/>
      <c r="Z368" s="43"/>
      <c r="AA368" s="43"/>
      <c r="AB368" s="43"/>
      <c r="AC368" s="43"/>
      <c r="AD368" s="43"/>
      <c r="AE368" s="43"/>
      <c r="AF368" s="43"/>
      <c r="AG368" s="43"/>
      <c r="AH368" s="43"/>
      <c r="AI368" s="43"/>
      <c r="AJ368" s="43"/>
      <c r="AK368" s="43"/>
      <c r="AL368" s="43"/>
      <c r="AM368" s="43"/>
      <c r="AN368" s="43"/>
      <c r="AO368" s="43"/>
      <c r="AP368" s="43"/>
      <c r="AQ368" s="43"/>
      <c r="AR368" s="43"/>
      <c r="AS368" s="43"/>
      <c r="AT368" s="43"/>
      <c r="AU368" s="43"/>
      <c r="AV368" s="43"/>
      <c r="AW368" s="43"/>
      <c r="AX368" s="43"/>
      <c r="AY368" s="43"/>
      <c r="AZ368" s="43"/>
      <c r="BA368" s="43"/>
      <c r="BB368" s="43"/>
      <c r="BC368" s="43"/>
      <c r="BD368" s="43"/>
      <c r="BE368" s="43"/>
      <c r="BF368" s="43"/>
      <c r="BG368" s="43"/>
      <c r="BH368" s="43"/>
      <c r="BI368" s="43"/>
      <c r="BJ368" s="43"/>
      <c r="BK368" s="43"/>
      <c r="BL368" s="43"/>
      <c r="BM368" s="43"/>
      <c r="BN368" s="43"/>
      <c r="BO368" s="43"/>
      <c r="BP368" s="43"/>
      <c r="BQ368" s="43"/>
      <c r="BR368" s="43"/>
      <c r="BS368" s="43"/>
      <c r="BT368" s="43"/>
      <c r="BU368" s="43"/>
      <c r="BV368" s="43"/>
      <c r="BW368" s="43"/>
      <c r="BX368" s="43"/>
      <c r="BY368" s="43"/>
      <c r="BZ368" s="43"/>
      <c r="CA368" s="43"/>
      <c r="CB368" s="43"/>
      <c r="CC368" s="43"/>
      <c r="CD368" s="43"/>
      <c r="CE368" s="43"/>
      <c r="CF368" s="43"/>
      <c r="CG368" s="43"/>
      <c r="CH368" s="43"/>
      <c r="CI368" s="43"/>
      <c r="CJ368" s="43"/>
      <c r="CK368" s="43"/>
      <c r="CL368" s="43"/>
      <c r="CM368" s="43"/>
      <c r="CN368" s="43"/>
      <c r="CO368" s="43"/>
      <c r="CP368" s="43"/>
      <c r="CQ368" s="43"/>
      <c r="CR368" s="43"/>
      <c r="CS368" s="43"/>
      <c r="CT368" s="43"/>
      <c r="CU368" s="43"/>
      <c r="CV368" s="43"/>
      <c r="CW368" s="43"/>
      <c r="CX368" s="43"/>
      <c r="CY368" s="43"/>
      <c r="CZ368" s="43"/>
      <c r="DA368" s="43"/>
      <c r="DB368" s="43"/>
      <c r="DC368" s="43"/>
      <c r="DD368" s="43"/>
      <c r="DE368" s="43"/>
      <c r="DF368" s="43"/>
      <c r="DG368" s="43"/>
      <c r="DH368" s="43"/>
      <c r="DI368" s="43"/>
      <c r="DJ368" s="43"/>
      <c r="DK368" s="43"/>
      <c r="DL368" s="43"/>
      <c r="DM368" s="43"/>
      <c r="DN368" s="43"/>
      <c r="DO368" s="43"/>
      <c r="DP368" s="43"/>
      <c r="DQ368" s="43"/>
      <c r="DR368" s="43"/>
      <c r="DS368" s="43"/>
    </row>
    <row r="369" spans="1:123" ht="14.45">
      <c r="A369"/>
      <c r="B369"/>
      <c r="C369"/>
      <c r="D369"/>
      <c r="E369"/>
      <c r="F369"/>
      <c r="G369"/>
      <c r="H369"/>
      <c r="I369"/>
      <c r="J369"/>
      <c r="K369" s="43"/>
      <c r="L369" s="43"/>
      <c r="M369" s="43"/>
      <c r="N369" s="43"/>
      <c r="O369" s="43"/>
      <c r="P369" s="43"/>
      <c r="Q369" s="43"/>
      <c r="R369" s="43"/>
      <c r="S369" s="43"/>
      <c r="T369" s="43"/>
      <c r="U369" s="43"/>
      <c r="V369" s="43"/>
      <c r="W369" s="43"/>
      <c r="X369" s="43"/>
      <c r="Y369" s="43"/>
      <c r="Z369" s="43"/>
      <c r="AA369" s="43"/>
      <c r="AB369" s="43"/>
      <c r="AC369" s="43"/>
      <c r="AD369" s="43"/>
      <c r="AE369" s="43"/>
      <c r="AF369" s="43"/>
      <c r="AG369" s="43"/>
      <c r="AH369" s="43"/>
      <c r="AI369" s="43"/>
      <c r="AJ369" s="43"/>
      <c r="AK369" s="43"/>
      <c r="AL369" s="43"/>
      <c r="AM369" s="43"/>
      <c r="AN369" s="43"/>
      <c r="AO369" s="43"/>
      <c r="AP369" s="43"/>
      <c r="AQ369" s="43"/>
      <c r="AR369" s="43"/>
      <c r="AS369" s="43"/>
      <c r="AT369" s="43"/>
      <c r="AU369" s="43"/>
      <c r="AV369" s="43"/>
      <c r="AW369" s="43"/>
      <c r="AX369" s="43"/>
      <c r="AY369" s="43"/>
      <c r="AZ369" s="43"/>
      <c r="BA369" s="43"/>
      <c r="BB369" s="43"/>
      <c r="BC369" s="43"/>
      <c r="BD369" s="43"/>
      <c r="BE369" s="43"/>
      <c r="BF369" s="43"/>
      <c r="BG369" s="43"/>
      <c r="BH369" s="43"/>
      <c r="BI369" s="43"/>
      <c r="BJ369" s="43"/>
      <c r="BK369" s="43"/>
      <c r="BL369" s="43"/>
      <c r="BM369" s="43"/>
      <c r="BN369" s="43"/>
      <c r="BO369" s="43"/>
      <c r="BP369" s="43"/>
      <c r="BQ369" s="43"/>
      <c r="BR369" s="43"/>
      <c r="BS369" s="43"/>
      <c r="BT369" s="43"/>
      <c r="BU369" s="43"/>
      <c r="BV369" s="43"/>
      <c r="BW369" s="43"/>
      <c r="BX369" s="43"/>
      <c r="BY369" s="43"/>
      <c r="BZ369" s="43"/>
      <c r="CA369" s="43"/>
      <c r="CB369" s="43"/>
      <c r="CC369" s="43"/>
      <c r="CD369" s="43"/>
      <c r="CE369" s="43"/>
      <c r="CF369" s="43"/>
      <c r="CG369" s="43"/>
      <c r="CH369" s="43"/>
      <c r="CI369" s="43"/>
      <c r="CJ369" s="43"/>
      <c r="CK369" s="43"/>
      <c r="CL369" s="43"/>
      <c r="CM369" s="43"/>
      <c r="CN369" s="43"/>
      <c r="CO369" s="43"/>
      <c r="CP369" s="43"/>
      <c r="CQ369" s="43"/>
      <c r="CR369" s="43"/>
      <c r="CS369" s="43"/>
      <c r="CT369" s="43"/>
      <c r="CU369" s="43"/>
      <c r="CV369" s="43"/>
      <c r="CW369" s="43"/>
      <c r="CX369" s="43"/>
      <c r="CY369" s="43"/>
      <c r="CZ369" s="43"/>
      <c r="DA369" s="43"/>
      <c r="DB369" s="43"/>
      <c r="DC369" s="43"/>
      <c r="DD369" s="43"/>
      <c r="DE369" s="43"/>
      <c r="DF369" s="43"/>
      <c r="DG369" s="43"/>
      <c r="DH369" s="43"/>
      <c r="DI369" s="43"/>
      <c r="DJ369" s="43"/>
      <c r="DK369" s="43"/>
      <c r="DL369" s="43"/>
      <c r="DM369" s="43"/>
      <c r="DN369" s="43"/>
      <c r="DO369" s="43"/>
      <c r="DP369" s="43"/>
      <c r="DQ369" s="43"/>
      <c r="DR369" s="43"/>
      <c r="DS369" s="43"/>
    </row>
    <row r="370" spans="1:123" ht="14.45">
      <c r="A370"/>
      <c r="B370"/>
      <c r="C370"/>
      <c r="D370"/>
      <c r="E370"/>
      <c r="F370"/>
      <c r="G370"/>
      <c r="H370"/>
      <c r="I370"/>
      <c r="J370"/>
      <c r="K370" s="43"/>
      <c r="L370" s="43"/>
      <c r="M370" s="43"/>
      <c r="N370" s="43"/>
      <c r="O370" s="43"/>
      <c r="P370" s="43"/>
      <c r="Q370" s="43"/>
      <c r="R370" s="43"/>
      <c r="S370" s="43"/>
      <c r="T370" s="43"/>
      <c r="U370" s="43"/>
      <c r="V370" s="43"/>
      <c r="W370" s="43"/>
      <c r="X370" s="43"/>
      <c r="Y370" s="43"/>
      <c r="Z370" s="43"/>
      <c r="AA370" s="43"/>
      <c r="AB370" s="43"/>
      <c r="AC370" s="43"/>
      <c r="AD370" s="43"/>
      <c r="AE370" s="43"/>
      <c r="AF370" s="43"/>
      <c r="AG370" s="43"/>
      <c r="AH370" s="43"/>
      <c r="AI370" s="43"/>
      <c r="AJ370" s="43"/>
      <c r="AK370" s="43"/>
      <c r="AL370" s="43"/>
      <c r="AM370" s="43"/>
      <c r="AN370" s="43"/>
      <c r="AO370" s="43"/>
      <c r="AP370" s="43"/>
      <c r="AQ370" s="43"/>
      <c r="AR370" s="43"/>
      <c r="AS370" s="43"/>
      <c r="AT370" s="43"/>
      <c r="AU370" s="43"/>
      <c r="AV370" s="43"/>
      <c r="AW370" s="43"/>
      <c r="AX370" s="43"/>
      <c r="AY370" s="43"/>
      <c r="AZ370" s="43"/>
      <c r="BA370" s="43"/>
      <c r="BB370" s="43"/>
      <c r="BC370" s="43"/>
      <c r="BD370" s="43"/>
      <c r="BE370" s="43"/>
      <c r="BF370" s="43"/>
      <c r="BG370" s="43"/>
      <c r="BH370" s="43"/>
      <c r="BI370" s="43"/>
      <c r="BJ370" s="43"/>
      <c r="BK370" s="43"/>
      <c r="BL370" s="43"/>
      <c r="BM370" s="43"/>
      <c r="BN370" s="43"/>
      <c r="BO370" s="43"/>
      <c r="BP370" s="43"/>
      <c r="BQ370" s="43"/>
      <c r="BR370" s="43"/>
      <c r="BS370" s="43"/>
      <c r="BT370" s="43"/>
      <c r="BU370" s="43"/>
      <c r="BV370" s="43"/>
      <c r="BW370" s="43"/>
      <c r="BX370" s="43"/>
      <c r="BY370" s="43"/>
      <c r="BZ370" s="43"/>
      <c r="CA370" s="43"/>
      <c r="CB370" s="43"/>
      <c r="CC370" s="43"/>
      <c r="CD370" s="43"/>
      <c r="CE370" s="43"/>
      <c r="CF370" s="43"/>
      <c r="CG370" s="43"/>
      <c r="CH370" s="43"/>
      <c r="CI370" s="43"/>
      <c r="CJ370" s="43"/>
      <c r="CK370" s="43"/>
      <c r="CL370" s="43"/>
      <c r="CM370" s="43"/>
      <c r="CN370" s="43"/>
      <c r="CO370" s="43"/>
      <c r="CP370" s="43"/>
      <c r="CQ370" s="43"/>
      <c r="CR370" s="43"/>
      <c r="CS370" s="43"/>
      <c r="CT370" s="43"/>
      <c r="CU370" s="43"/>
      <c r="CV370" s="43"/>
      <c r="CW370" s="43"/>
      <c r="CX370" s="43"/>
      <c r="CY370" s="43"/>
      <c r="CZ370" s="43"/>
      <c r="DA370" s="43"/>
      <c r="DB370" s="43"/>
      <c r="DC370" s="43"/>
      <c r="DD370" s="43"/>
      <c r="DE370" s="43"/>
      <c r="DF370" s="43"/>
      <c r="DG370" s="43"/>
      <c r="DH370" s="43"/>
      <c r="DI370" s="43"/>
      <c r="DJ370" s="43"/>
      <c r="DK370" s="43"/>
      <c r="DL370" s="43"/>
      <c r="DM370" s="43"/>
      <c r="DN370" s="43"/>
      <c r="DO370" s="43"/>
      <c r="DP370" s="43"/>
      <c r="DQ370" s="43"/>
      <c r="DR370" s="43"/>
      <c r="DS370" s="43"/>
    </row>
    <row r="371" spans="1:123" ht="14.45">
      <c r="A371"/>
      <c r="B371"/>
      <c r="C371"/>
      <c r="D371"/>
      <c r="E371"/>
      <c r="F371"/>
      <c r="G371"/>
      <c r="H371"/>
      <c r="I371"/>
      <c r="J371"/>
      <c r="K371" s="43"/>
      <c r="L371" s="43"/>
      <c r="M371" s="43"/>
      <c r="N371" s="43"/>
      <c r="O371" s="43"/>
      <c r="P371" s="43"/>
      <c r="Q371" s="43"/>
      <c r="R371" s="43"/>
      <c r="S371" s="43"/>
      <c r="T371" s="43"/>
      <c r="U371" s="43"/>
      <c r="V371" s="43"/>
      <c r="W371" s="43"/>
      <c r="X371" s="43"/>
      <c r="Y371" s="43"/>
      <c r="Z371" s="43"/>
      <c r="AA371" s="43"/>
      <c r="AB371" s="43"/>
      <c r="AC371" s="43"/>
      <c r="AD371" s="43"/>
      <c r="AE371" s="43"/>
      <c r="AF371" s="43"/>
      <c r="AG371" s="43"/>
      <c r="AH371" s="43"/>
      <c r="AI371" s="43"/>
      <c r="AJ371" s="43"/>
      <c r="AK371" s="43"/>
      <c r="AL371" s="43"/>
      <c r="AM371" s="43"/>
      <c r="AN371" s="43"/>
      <c r="AO371" s="43"/>
      <c r="AP371" s="43"/>
      <c r="AQ371" s="43"/>
      <c r="AR371" s="43"/>
      <c r="AS371" s="43"/>
      <c r="AT371" s="43"/>
      <c r="AU371" s="43"/>
      <c r="AV371" s="43"/>
      <c r="AW371" s="43"/>
      <c r="AX371" s="43"/>
      <c r="AY371" s="43"/>
      <c r="AZ371" s="43"/>
      <c r="BA371" s="43"/>
      <c r="BB371" s="43"/>
      <c r="BC371" s="43"/>
      <c r="BD371" s="43"/>
      <c r="BE371" s="43"/>
      <c r="BF371" s="43"/>
      <c r="BG371" s="43"/>
      <c r="BH371" s="43"/>
      <c r="BI371" s="43"/>
      <c r="BJ371" s="43"/>
      <c r="BK371" s="43"/>
      <c r="BL371" s="43"/>
      <c r="BM371" s="43"/>
      <c r="BN371" s="43"/>
      <c r="BO371" s="43"/>
      <c r="BP371" s="43"/>
      <c r="BQ371" s="43"/>
      <c r="BR371" s="43"/>
      <c r="BS371" s="43"/>
      <c r="BT371" s="43"/>
      <c r="BU371" s="43"/>
      <c r="BV371" s="43"/>
      <c r="BW371" s="43"/>
      <c r="BX371" s="43"/>
      <c r="BY371" s="43"/>
      <c r="BZ371" s="43"/>
      <c r="CA371" s="43"/>
      <c r="CB371" s="43"/>
      <c r="CC371" s="43"/>
      <c r="CD371" s="43"/>
      <c r="CE371" s="43"/>
      <c r="CF371" s="43"/>
      <c r="CG371" s="43"/>
      <c r="CH371" s="43"/>
      <c r="CI371" s="43"/>
      <c r="CJ371" s="43"/>
      <c r="CK371" s="43"/>
      <c r="CL371" s="43"/>
      <c r="CM371" s="43"/>
      <c r="CN371" s="43"/>
      <c r="CO371" s="43"/>
      <c r="CP371" s="43"/>
      <c r="CQ371" s="43"/>
      <c r="CR371" s="43"/>
      <c r="CS371" s="43"/>
      <c r="CT371" s="43"/>
      <c r="CU371" s="43"/>
      <c r="CV371" s="43"/>
      <c r="CW371" s="43"/>
      <c r="CX371" s="43"/>
      <c r="CY371" s="43"/>
      <c r="CZ371" s="43"/>
      <c r="DA371" s="43"/>
      <c r="DB371" s="43"/>
      <c r="DC371" s="43"/>
      <c r="DD371" s="43"/>
      <c r="DE371" s="43"/>
      <c r="DF371" s="43"/>
      <c r="DG371" s="43"/>
      <c r="DH371" s="43"/>
      <c r="DI371" s="43"/>
      <c r="DJ371" s="43"/>
      <c r="DK371" s="43"/>
      <c r="DL371" s="43"/>
      <c r="DM371" s="43"/>
      <c r="DN371" s="43"/>
      <c r="DO371" s="43"/>
      <c r="DP371" s="43"/>
      <c r="DQ371" s="43"/>
      <c r="DR371" s="43"/>
      <c r="DS371" s="43"/>
    </row>
    <row r="372" spans="1:123" ht="14.45">
      <c r="A372"/>
      <c r="B372"/>
      <c r="C372"/>
      <c r="D372"/>
      <c r="E372"/>
      <c r="F372"/>
      <c r="G372"/>
      <c r="H372"/>
      <c r="I372"/>
      <c r="J372"/>
      <c r="K372" s="43"/>
      <c r="L372" s="43"/>
      <c r="M372" s="43"/>
      <c r="N372" s="43"/>
      <c r="O372" s="43"/>
      <c r="P372" s="43"/>
      <c r="Q372" s="43"/>
      <c r="R372" s="43"/>
      <c r="S372" s="43"/>
      <c r="T372" s="43"/>
      <c r="U372" s="43"/>
      <c r="V372" s="43"/>
      <c r="W372" s="43"/>
      <c r="X372" s="43"/>
      <c r="Y372" s="43"/>
      <c r="Z372" s="43"/>
      <c r="AA372" s="43"/>
      <c r="AB372" s="43"/>
      <c r="AC372" s="43"/>
      <c r="AD372" s="43"/>
      <c r="AE372" s="43"/>
      <c r="AF372" s="43"/>
      <c r="AG372" s="43"/>
      <c r="AH372" s="43"/>
      <c r="AI372" s="43"/>
      <c r="AJ372" s="43"/>
      <c r="AK372" s="43"/>
      <c r="AL372" s="43"/>
      <c r="AM372" s="43"/>
      <c r="AN372" s="43"/>
      <c r="AO372" s="43"/>
      <c r="AP372" s="43"/>
      <c r="AQ372" s="43"/>
      <c r="AR372" s="43"/>
      <c r="AS372" s="43"/>
      <c r="AT372" s="43"/>
      <c r="AU372" s="43"/>
      <c r="AV372" s="43"/>
      <c r="AW372" s="43"/>
      <c r="AX372" s="43"/>
      <c r="AY372" s="43"/>
      <c r="AZ372" s="43"/>
      <c r="BA372" s="43"/>
      <c r="BB372" s="43"/>
      <c r="BC372" s="43"/>
      <c r="BD372" s="43"/>
      <c r="BE372" s="43"/>
      <c r="BF372" s="43"/>
      <c r="BG372" s="43"/>
      <c r="BH372" s="43"/>
      <c r="BI372" s="43"/>
      <c r="BJ372" s="43"/>
      <c r="BK372" s="43"/>
      <c r="BL372" s="43"/>
      <c r="BM372" s="43"/>
      <c r="BN372" s="43"/>
      <c r="BO372" s="43"/>
      <c r="BP372" s="43"/>
      <c r="BQ372" s="43"/>
      <c r="BR372" s="43"/>
      <c r="BS372" s="43"/>
      <c r="BT372" s="43"/>
      <c r="BU372" s="43"/>
      <c r="BV372" s="43"/>
      <c r="BW372" s="43"/>
      <c r="BX372" s="43"/>
      <c r="BY372" s="43"/>
      <c r="BZ372" s="43"/>
      <c r="CA372" s="43"/>
      <c r="CB372" s="43"/>
      <c r="CC372" s="43"/>
      <c r="CD372" s="43"/>
      <c r="CE372" s="43"/>
      <c r="CF372" s="43"/>
      <c r="CG372" s="43"/>
      <c r="CH372" s="43"/>
      <c r="CI372" s="43"/>
      <c r="CJ372" s="43"/>
      <c r="CK372" s="43"/>
      <c r="CL372" s="43"/>
      <c r="CM372" s="43"/>
      <c r="CN372" s="43"/>
      <c r="CO372" s="43"/>
      <c r="CP372" s="43"/>
      <c r="CQ372" s="43"/>
      <c r="CR372" s="43"/>
      <c r="CS372" s="43"/>
      <c r="CT372" s="43"/>
      <c r="CU372" s="43"/>
      <c r="CV372" s="43"/>
      <c r="CW372" s="43"/>
      <c r="CX372" s="43"/>
      <c r="CY372" s="43"/>
      <c r="CZ372" s="43"/>
      <c r="DA372" s="43"/>
      <c r="DB372" s="43"/>
      <c r="DC372" s="43"/>
      <c r="DD372" s="43"/>
      <c r="DE372" s="43"/>
      <c r="DF372" s="43"/>
      <c r="DG372" s="43"/>
      <c r="DH372" s="43"/>
      <c r="DI372" s="43"/>
      <c r="DJ372" s="43"/>
      <c r="DK372" s="43"/>
      <c r="DL372" s="43"/>
      <c r="DM372" s="43"/>
      <c r="DN372" s="43"/>
      <c r="DO372" s="43"/>
      <c r="DP372" s="43"/>
      <c r="DQ372" s="43"/>
      <c r="DR372" s="43"/>
      <c r="DS372" s="43"/>
    </row>
    <row r="373" spans="1:123" ht="14.45">
      <c r="A373"/>
      <c r="B373"/>
      <c r="C373"/>
      <c r="D373"/>
      <c r="E373"/>
      <c r="F373"/>
      <c r="G373"/>
      <c r="H373"/>
      <c r="I373"/>
      <c r="J373"/>
      <c r="K373" s="43"/>
      <c r="L373" s="43"/>
      <c r="M373" s="43"/>
      <c r="N373" s="43"/>
      <c r="O373" s="43"/>
      <c r="P373" s="43"/>
      <c r="Q373" s="43"/>
      <c r="R373" s="43"/>
      <c r="S373" s="43"/>
      <c r="T373" s="43"/>
      <c r="U373" s="43"/>
      <c r="V373" s="43"/>
      <c r="W373" s="43"/>
      <c r="X373" s="43"/>
      <c r="Y373" s="43"/>
      <c r="Z373" s="43"/>
      <c r="AA373" s="43"/>
      <c r="AB373" s="43"/>
      <c r="AC373" s="43"/>
      <c r="AD373" s="43"/>
      <c r="AE373" s="43"/>
      <c r="AF373" s="43"/>
      <c r="AG373" s="43"/>
      <c r="AH373" s="43"/>
      <c r="AI373" s="43"/>
      <c r="AJ373" s="43"/>
      <c r="AK373" s="43"/>
      <c r="AL373" s="43"/>
      <c r="AM373" s="43"/>
      <c r="AN373" s="43"/>
      <c r="AO373" s="43"/>
      <c r="AP373" s="43"/>
      <c r="AQ373" s="43"/>
      <c r="AR373" s="43"/>
      <c r="AS373" s="43"/>
      <c r="AT373" s="43"/>
      <c r="AU373" s="43"/>
      <c r="AV373" s="43"/>
      <c r="AW373" s="43"/>
      <c r="AX373" s="43"/>
      <c r="AY373" s="43"/>
      <c r="AZ373" s="43"/>
      <c r="BA373" s="43"/>
      <c r="BB373" s="43"/>
      <c r="BC373" s="43"/>
      <c r="BD373" s="43"/>
      <c r="BE373" s="43"/>
      <c r="BF373" s="43"/>
      <c r="BG373" s="43"/>
      <c r="BH373" s="43"/>
      <c r="BI373" s="43"/>
      <c r="BJ373" s="43"/>
      <c r="BK373" s="43"/>
      <c r="BL373" s="43"/>
      <c r="BM373" s="43"/>
      <c r="BN373" s="43"/>
      <c r="BO373" s="43"/>
      <c r="BP373" s="43"/>
      <c r="BQ373" s="43"/>
      <c r="BR373" s="43"/>
      <c r="BS373" s="43"/>
      <c r="BT373" s="43"/>
      <c r="BU373" s="43"/>
      <c r="BV373" s="43"/>
      <c r="BW373" s="43"/>
      <c r="BX373" s="43"/>
      <c r="BY373" s="43"/>
      <c r="BZ373" s="43"/>
      <c r="CA373" s="43"/>
      <c r="CB373" s="43"/>
      <c r="CC373" s="43"/>
      <c r="CD373" s="43"/>
      <c r="CE373" s="43"/>
      <c r="CF373" s="43"/>
      <c r="CG373" s="43"/>
      <c r="CH373" s="43"/>
      <c r="CI373" s="43"/>
      <c r="CJ373" s="43"/>
      <c r="CK373" s="43"/>
      <c r="CL373" s="43"/>
      <c r="CM373" s="43"/>
      <c r="CN373" s="43"/>
      <c r="CO373" s="43"/>
      <c r="CP373" s="43"/>
      <c r="CQ373" s="43"/>
      <c r="CR373" s="43"/>
      <c r="CS373" s="43"/>
      <c r="CT373" s="43"/>
      <c r="CU373" s="43"/>
      <c r="CV373" s="43"/>
      <c r="CW373" s="43"/>
      <c r="CX373" s="43"/>
      <c r="CY373" s="43"/>
      <c r="CZ373" s="43"/>
      <c r="DA373" s="43"/>
      <c r="DB373" s="43"/>
      <c r="DC373" s="43"/>
      <c r="DD373" s="43"/>
      <c r="DE373" s="43"/>
      <c r="DF373" s="43"/>
      <c r="DG373" s="43"/>
      <c r="DH373" s="43"/>
      <c r="DI373" s="43"/>
      <c r="DJ373" s="43"/>
      <c r="DK373" s="43"/>
      <c r="DL373" s="43"/>
      <c r="DM373" s="43"/>
      <c r="DN373" s="43"/>
      <c r="DO373" s="43"/>
      <c r="DP373" s="43"/>
      <c r="DQ373" s="43"/>
      <c r="DR373" s="43"/>
      <c r="DS373" s="43"/>
    </row>
    <row r="374" spans="1:123" ht="14.45">
      <c r="A374"/>
      <c r="B374"/>
      <c r="C374"/>
      <c r="D374"/>
      <c r="E374"/>
      <c r="F374"/>
      <c r="G374"/>
      <c r="H374"/>
      <c r="I374"/>
      <c r="J374"/>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c r="AM374" s="43"/>
      <c r="AN374" s="43"/>
      <c r="AO374" s="43"/>
      <c r="AP374" s="43"/>
      <c r="AQ374" s="43"/>
      <c r="AR374" s="43"/>
      <c r="AS374" s="43"/>
      <c r="AT374" s="43"/>
      <c r="AU374" s="43"/>
      <c r="AV374" s="43"/>
      <c r="AW374" s="43"/>
      <c r="AX374" s="43"/>
      <c r="AY374" s="43"/>
      <c r="AZ374" s="43"/>
      <c r="BA374" s="43"/>
      <c r="BB374" s="43"/>
      <c r="BC374" s="43"/>
      <c r="BD374" s="43"/>
      <c r="BE374" s="43"/>
      <c r="BF374" s="43"/>
      <c r="BG374" s="43"/>
      <c r="BH374" s="43"/>
      <c r="BI374" s="43"/>
      <c r="BJ374" s="43"/>
      <c r="BK374" s="43"/>
      <c r="BL374" s="43"/>
      <c r="BM374" s="43"/>
      <c r="BN374" s="43"/>
      <c r="BO374" s="43"/>
      <c r="BP374" s="43"/>
      <c r="BQ374" s="43"/>
      <c r="BR374" s="43"/>
      <c r="BS374" s="43"/>
      <c r="BT374" s="43"/>
      <c r="BU374" s="43"/>
      <c r="BV374" s="43"/>
      <c r="BW374" s="43"/>
      <c r="BX374" s="43"/>
      <c r="BY374" s="43"/>
      <c r="BZ374" s="43"/>
      <c r="CA374" s="43"/>
      <c r="CB374" s="43"/>
      <c r="CC374" s="43"/>
      <c r="CD374" s="43"/>
      <c r="CE374" s="43"/>
      <c r="CF374" s="43"/>
      <c r="CG374" s="43"/>
      <c r="CH374" s="43"/>
      <c r="CI374" s="43"/>
      <c r="CJ374" s="43"/>
      <c r="CK374" s="43"/>
      <c r="CL374" s="43"/>
      <c r="CM374" s="43"/>
      <c r="CN374" s="43"/>
      <c r="CO374" s="43"/>
      <c r="CP374" s="43"/>
      <c r="CQ374" s="43"/>
      <c r="CR374" s="43"/>
      <c r="CS374" s="43"/>
      <c r="CT374" s="43"/>
      <c r="CU374" s="43"/>
      <c r="CV374" s="43"/>
      <c r="CW374" s="43"/>
      <c r="CX374" s="43"/>
      <c r="CY374" s="43"/>
      <c r="CZ374" s="43"/>
      <c r="DA374" s="43"/>
      <c r="DB374" s="43"/>
      <c r="DC374" s="43"/>
      <c r="DD374" s="43"/>
      <c r="DE374" s="43"/>
      <c r="DF374" s="43"/>
      <c r="DG374" s="43"/>
      <c r="DH374" s="43"/>
      <c r="DI374" s="43"/>
      <c r="DJ374" s="43"/>
      <c r="DK374" s="43"/>
      <c r="DL374" s="43"/>
      <c r="DM374" s="43"/>
      <c r="DN374" s="43"/>
      <c r="DO374" s="43"/>
      <c r="DP374" s="43"/>
      <c r="DQ374" s="43"/>
      <c r="DR374" s="43"/>
      <c r="DS374" s="43"/>
    </row>
    <row r="375" spans="1:123" ht="14.45">
      <c r="A375"/>
      <c r="B375"/>
      <c r="C375"/>
      <c r="D375"/>
      <c r="E375"/>
      <c r="F375"/>
      <c r="G375"/>
      <c r="H375"/>
      <c r="I375"/>
      <c r="J375"/>
      <c r="K375" s="43"/>
      <c r="L375" s="43"/>
      <c r="M375" s="43"/>
      <c r="N375" s="43"/>
      <c r="O375" s="43"/>
      <c r="P375" s="43"/>
      <c r="Q375" s="43"/>
      <c r="R375" s="43"/>
      <c r="S375" s="43"/>
      <c r="T375" s="43"/>
      <c r="U375" s="43"/>
      <c r="V375" s="43"/>
      <c r="W375" s="43"/>
      <c r="X375" s="43"/>
      <c r="Y375" s="43"/>
      <c r="Z375" s="43"/>
      <c r="AA375" s="43"/>
      <c r="AB375" s="43"/>
      <c r="AC375" s="43"/>
      <c r="AD375" s="43"/>
      <c r="AE375" s="43"/>
      <c r="AF375" s="43"/>
      <c r="AG375" s="43"/>
      <c r="AH375" s="43"/>
      <c r="AI375" s="43"/>
      <c r="AJ375" s="43"/>
      <c r="AK375" s="43"/>
      <c r="AL375" s="43"/>
      <c r="AM375" s="43"/>
      <c r="AN375" s="43"/>
      <c r="AO375" s="43"/>
      <c r="AP375" s="43"/>
      <c r="AQ375" s="43"/>
      <c r="AR375" s="43"/>
      <c r="AS375" s="43"/>
      <c r="AT375" s="43"/>
      <c r="AU375" s="43"/>
      <c r="AV375" s="43"/>
      <c r="AW375" s="43"/>
      <c r="AX375" s="43"/>
      <c r="AY375" s="43"/>
      <c r="AZ375" s="43"/>
      <c r="BA375" s="43"/>
      <c r="BB375" s="43"/>
      <c r="BC375" s="43"/>
      <c r="BD375" s="43"/>
      <c r="BE375" s="43"/>
      <c r="BF375" s="43"/>
      <c r="BG375" s="43"/>
      <c r="BH375" s="43"/>
      <c r="BI375" s="43"/>
      <c r="BJ375" s="43"/>
      <c r="BK375" s="43"/>
      <c r="BL375" s="43"/>
      <c r="BM375" s="43"/>
      <c r="BN375" s="43"/>
      <c r="BO375" s="43"/>
      <c r="BP375" s="43"/>
      <c r="BQ375" s="43"/>
      <c r="BR375" s="43"/>
      <c r="BS375" s="43"/>
      <c r="BT375" s="43"/>
      <c r="BU375" s="43"/>
      <c r="BV375" s="43"/>
      <c r="BW375" s="43"/>
      <c r="BX375" s="43"/>
      <c r="BY375" s="43"/>
      <c r="BZ375" s="43"/>
      <c r="CA375" s="43"/>
      <c r="CB375" s="43"/>
      <c r="CC375" s="43"/>
      <c r="CD375" s="43"/>
      <c r="CE375" s="43"/>
      <c r="CF375" s="43"/>
      <c r="CG375" s="43"/>
      <c r="CH375" s="43"/>
      <c r="CI375" s="43"/>
      <c r="CJ375" s="43"/>
      <c r="CK375" s="43"/>
      <c r="CL375" s="43"/>
      <c r="CM375" s="43"/>
      <c r="CN375" s="43"/>
      <c r="CO375" s="43"/>
      <c r="CP375" s="43"/>
      <c r="CQ375" s="43"/>
      <c r="CR375" s="43"/>
      <c r="CS375" s="43"/>
      <c r="CT375" s="43"/>
      <c r="CU375" s="43"/>
      <c r="CV375" s="43"/>
      <c r="CW375" s="43"/>
      <c r="CX375" s="43"/>
      <c r="CY375" s="43"/>
      <c r="CZ375" s="43"/>
      <c r="DA375" s="43"/>
      <c r="DB375" s="43"/>
      <c r="DC375" s="43"/>
      <c r="DD375" s="43"/>
      <c r="DE375" s="43"/>
      <c r="DF375" s="43"/>
      <c r="DG375" s="43"/>
      <c r="DH375" s="43"/>
      <c r="DI375" s="43"/>
      <c r="DJ375" s="43"/>
      <c r="DK375" s="43"/>
      <c r="DL375" s="43"/>
      <c r="DM375" s="43"/>
      <c r="DN375" s="43"/>
      <c r="DO375" s="43"/>
      <c r="DP375" s="43"/>
      <c r="DQ375" s="43"/>
      <c r="DR375" s="43"/>
      <c r="DS375" s="43"/>
    </row>
    <row r="376" spans="1:123" ht="14.45">
      <c r="A376"/>
      <c r="B376"/>
      <c r="C376"/>
      <c r="D376"/>
      <c r="E376"/>
      <c r="F376"/>
      <c r="G376"/>
      <c r="H376"/>
      <c r="I376"/>
      <c r="J376"/>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c r="AJ376" s="43"/>
      <c r="AK376" s="43"/>
      <c r="AL376" s="43"/>
      <c r="AM376" s="43"/>
      <c r="AN376" s="43"/>
      <c r="AO376" s="43"/>
      <c r="AP376" s="43"/>
      <c r="AQ376" s="43"/>
      <c r="AR376" s="43"/>
      <c r="AS376" s="43"/>
      <c r="AT376" s="43"/>
      <c r="AU376" s="43"/>
      <c r="AV376" s="43"/>
      <c r="AW376" s="43"/>
      <c r="AX376" s="43"/>
      <c r="AY376" s="43"/>
      <c r="AZ376" s="43"/>
      <c r="BA376" s="43"/>
      <c r="BB376" s="43"/>
      <c r="BC376" s="43"/>
      <c r="BD376" s="43"/>
      <c r="BE376" s="43"/>
      <c r="BF376" s="43"/>
      <c r="BG376" s="43"/>
      <c r="BH376" s="43"/>
      <c r="BI376" s="43"/>
      <c r="BJ376" s="43"/>
      <c r="BK376" s="43"/>
      <c r="BL376" s="43"/>
      <c r="BM376" s="43"/>
      <c r="BN376" s="43"/>
      <c r="BO376" s="43"/>
      <c r="BP376" s="43"/>
      <c r="BQ376" s="43"/>
      <c r="BR376" s="43"/>
      <c r="BS376" s="43"/>
      <c r="BT376" s="43"/>
      <c r="BU376" s="43"/>
      <c r="BV376" s="43"/>
      <c r="BW376" s="43"/>
      <c r="BX376" s="43"/>
      <c r="BY376" s="43"/>
      <c r="BZ376" s="43"/>
      <c r="CA376" s="43"/>
      <c r="CB376" s="43"/>
      <c r="CC376" s="43"/>
      <c r="CD376" s="43"/>
      <c r="CE376" s="43"/>
      <c r="CF376" s="43"/>
      <c r="CG376" s="43"/>
      <c r="CH376" s="43"/>
      <c r="CI376" s="43"/>
      <c r="CJ376" s="43"/>
      <c r="CK376" s="43"/>
      <c r="CL376" s="43"/>
      <c r="CM376" s="43"/>
      <c r="CN376" s="43"/>
      <c r="CO376" s="43"/>
      <c r="CP376" s="43"/>
      <c r="CQ376" s="43"/>
      <c r="CR376" s="43"/>
      <c r="CS376" s="43"/>
      <c r="CT376" s="43"/>
      <c r="CU376" s="43"/>
      <c r="CV376" s="43"/>
      <c r="CW376" s="43"/>
      <c r="CX376" s="43"/>
      <c r="CY376" s="43"/>
      <c r="CZ376" s="43"/>
      <c r="DA376" s="43"/>
      <c r="DB376" s="43"/>
      <c r="DC376" s="43"/>
      <c r="DD376" s="43"/>
      <c r="DE376" s="43"/>
      <c r="DF376" s="43"/>
      <c r="DG376" s="43"/>
      <c r="DH376" s="43"/>
      <c r="DI376" s="43"/>
      <c r="DJ376" s="43"/>
      <c r="DK376" s="43"/>
      <c r="DL376" s="43"/>
      <c r="DM376" s="43"/>
      <c r="DN376" s="43"/>
      <c r="DO376" s="43"/>
      <c r="DP376" s="43"/>
      <c r="DQ376" s="43"/>
      <c r="DR376" s="43"/>
      <c r="DS376" s="43"/>
    </row>
    <row r="377" spans="1:123" ht="14.45">
      <c r="A377"/>
      <c r="B377"/>
      <c r="C377"/>
      <c r="D377"/>
      <c r="E377"/>
      <c r="F377"/>
      <c r="G377"/>
      <c r="H377"/>
      <c r="I377"/>
      <c r="J377"/>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3"/>
      <c r="AM377" s="43"/>
      <c r="AN377" s="43"/>
      <c r="AO377" s="43"/>
      <c r="AP377" s="43"/>
      <c r="AQ377" s="43"/>
      <c r="AR377" s="43"/>
      <c r="AS377" s="43"/>
      <c r="AT377" s="43"/>
      <c r="AU377" s="43"/>
      <c r="AV377" s="43"/>
      <c r="AW377" s="43"/>
      <c r="AX377" s="43"/>
      <c r="AY377" s="43"/>
      <c r="AZ377" s="43"/>
      <c r="BA377" s="43"/>
      <c r="BB377" s="43"/>
      <c r="BC377" s="43"/>
      <c r="BD377" s="43"/>
      <c r="BE377" s="43"/>
      <c r="BF377" s="43"/>
      <c r="BG377" s="43"/>
      <c r="BH377" s="43"/>
      <c r="BI377" s="43"/>
      <c r="BJ377" s="43"/>
      <c r="BK377" s="43"/>
      <c r="BL377" s="43"/>
      <c r="BM377" s="43"/>
      <c r="BN377" s="43"/>
      <c r="BO377" s="43"/>
      <c r="BP377" s="43"/>
      <c r="BQ377" s="43"/>
      <c r="BR377" s="43"/>
      <c r="BS377" s="43"/>
      <c r="BT377" s="43"/>
      <c r="BU377" s="43"/>
      <c r="BV377" s="43"/>
      <c r="BW377" s="43"/>
      <c r="BX377" s="43"/>
      <c r="BY377" s="43"/>
      <c r="BZ377" s="43"/>
      <c r="CA377" s="43"/>
      <c r="CB377" s="43"/>
      <c r="CC377" s="43"/>
      <c r="CD377" s="43"/>
      <c r="CE377" s="43"/>
      <c r="CF377" s="43"/>
      <c r="CG377" s="43"/>
      <c r="CH377" s="43"/>
      <c r="CI377" s="43"/>
      <c r="CJ377" s="43"/>
      <c r="CK377" s="43"/>
      <c r="CL377" s="43"/>
      <c r="CM377" s="43"/>
      <c r="CN377" s="43"/>
      <c r="CO377" s="43"/>
      <c r="CP377" s="43"/>
      <c r="CQ377" s="43"/>
      <c r="CR377" s="43"/>
      <c r="CS377" s="43"/>
      <c r="CT377" s="43"/>
      <c r="CU377" s="43"/>
      <c r="CV377" s="43"/>
      <c r="CW377" s="43"/>
      <c r="CX377" s="43"/>
      <c r="CY377" s="43"/>
      <c r="CZ377" s="43"/>
      <c r="DA377" s="43"/>
      <c r="DB377" s="43"/>
      <c r="DC377" s="43"/>
      <c r="DD377" s="43"/>
      <c r="DE377" s="43"/>
      <c r="DF377" s="43"/>
      <c r="DG377" s="43"/>
      <c r="DH377" s="43"/>
      <c r="DI377" s="43"/>
      <c r="DJ377" s="43"/>
      <c r="DK377" s="43"/>
      <c r="DL377" s="43"/>
      <c r="DM377" s="43"/>
      <c r="DN377" s="43"/>
      <c r="DO377" s="43"/>
      <c r="DP377" s="43"/>
      <c r="DQ377" s="43"/>
      <c r="DR377" s="43"/>
      <c r="DS377" s="43"/>
    </row>
    <row r="378" spans="1:123" ht="14.45">
      <c r="A378"/>
      <c r="B378"/>
      <c r="C378"/>
      <c r="D378"/>
      <c r="E378"/>
      <c r="F378"/>
      <c r="G378"/>
      <c r="H378"/>
      <c r="I378"/>
      <c r="J378"/>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c r="AJ378" s="43"/>
      <c r="AK378" s="43"/>
      <c r="AL378" s="43"/>
      <c r="AM378" s="43"/>
      <c r="AN378" s="43"/>
      <c r="AO378" s="43"/>
      <c r="AP378" s="43"/>
      <c r="AQ378" s="43"/>
      <c r="AR378" s="43"/>
      <c r="AS378" s="43"/>
      <c r="AT378" s="43"/>
      <c r="AU378" s="43"/>
      <c r="AV378" s="43"/>
      <c r="AW378" s="43"/>
      <c r="AX378" s="43"/>
      <c r="AY378" s="43"/>
      <c r="AZ378" s="43"/>
      <c r="BA378" s="43"/>
      <c r="BB378" s="43"/>
      <c r="BC378" s="43"/>
      <c r="BD378" s="43"/>
      <c r="BE378" s="43"/>
      <c r="BF378" s="43"/>
      <c r="BG378" s="43"/>
      <c r="BH378" s="43"/>
      <c r="BI378" s="43"/>
      <c r="BJ378" s="43"/>
      <c r="BK378" s="43"/>
      <c r="BL378" s="43"/>
      <c r="BM378" s="43"/>
      <c r="BN378" s="43"/>
      <c r="BO378" s="43"/>
      <c r="BP378" s="43"/>
      <c r="BQ378" s="43"/>
      <c r="BR378" s="43"/>
      <c r="BS378" s="43"/>
      <c r="BT378" s="43"/>
      <c r="BU378" s="43"/>
      <c r="BV378" s="43"/>
      <c r="BW378" s="43"/>
      <c r="BX378" s="43"/>
      <c r="BY378" s="43"/>
      <c r="BZ378" s="43"/>
      <c r="CA378" s="43"/>
      <c r="CB378" s="43"/>
      <c r="CC378" s="43"/>
      <c r="CD378" s="43"/>
      <c r="CE378" s="43"/>
      <c r="CF378" s="43"/>
      <c r="CG378" s="43"/>
      <c r="CH378" s="43"/>
      <c r="CI378" s="43"/>
      <c r="CJ378" s="43"/>
      <c r="CK378" s="43"/>
      <c r="CL378" s="43"/>
      <c r="CM378" s="43"/>
      <c r="CN378" s="43"/>
      <c r="CO378" s="43"/>
      <c r="CP378" s="43"/>
      <c r="CQ378" s="43"/>
      <c r="CR378" s="43"/>
      <c r="CS378" s="43"/>
      <c r="CT378" s="43"/>
      <c r="CU378" s="43"/>
      <c r="CV378" s="43"/>
      <c r="CW378" s="43"/>
      <c r="CX378" s="43"/>
      <c r="CY378" s="43"/>
      <c r="CZ378" s="43"/>
      <c r="DA378" s="43"/>
      <c r="DB378" s="43"/>
      <c r="DC378" s="43"/>
      <c r="DD378" s="43"/>
      <c r="DE378" s="43"/>
      <c r="DF378" s="43"/>
      <c r="DG378" s="43"/>
      <c r="DH378" s="43"/>
      <c r="DI378" s="43"/>
      <c r="DJ378" s="43"/>
      <c r="DK378" s="43"/>
      <c r="DL378" s="43"/>
      <c r="DM378" s="43"/>
      <c r="DN378" s="43"/>
      <c r="DO378" s="43"/>
      <c r="DP378" s="43"/>
      <c r="DQ378" s="43"/>
      <c r="DR378" s="43"/>
      <c r="DS378" s="43"/>
    </row>
    <row r="379" spans="1:123" ht="14.45">
      <c r="A379"/>
      <c r="B379"/>
      <c r="C379"/>
      <c r="D379"/>
      <c r="E379"/>
      <c r="F379"/>
      <c r="G379"/>
      <c r="H379"/>
      <c r="I379"/>
      <c r="J379"/>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c r="AJ379" s="43"/>
      <c r="AK379" s="43"/>
      <c r="AL379" s="43"/>
      <c r="AM379" s="43"/>
      <c r="AN379" s="43"/>
      <c r="AO379" s="43"/>
      <c r="AP379" s="43"/>
      <c r="AQ379" s="43"/>
      <c r="AR379" s="43"/>
      <c r="AS379" s="43"/>
      <c r="AT379" s="43"/>
      <c r="AU379" s="43"/>
      <c r="AV379" s="43"/>
      <c r="AW379" s="43"/>
      <c r="AX379" s="43"/>
      <c r="AY379" s="43"/>
      <c r="AZ379" s="43"/>
      <c r="BA379" s="43"/>
      <c r="BB379" s="43"/>
      <c r="BC379" s="43"/>
      <c r="BD379" s="43"/>
      <c r="BE379" s="43"/>
      <c r="BF379" s="43"/>
      <c r="BG379" s="43"/>
      <c r="BH379" s="43"/>
      <c r="BI379" s="43"/>
      <c r="BJ379" s="43"/>
      <c r="BK379" s="43"/>
      <c r="BL379" s="43"/>
      <c r="BM379" s="43"/>
      <c r="BN379" s="43"/>
      <c r="BO379" s="43"/>
      <c r="BP379" s="43"/>
      <c r="BQ379" s="43"/>
      <c r="BR379" s="43"/>
      <c r="BS379" s="43"/>
      <c r="BT379" s="43"/>
      <c r="BU379" s="43"/>
      <c r="BV379" s="43"/>
      <c r="BW379" s="43"/>
      <c r="BX379" s="43"/>
      <c r="BY379" s="43"/>
      <c r="BZ379" s="43"/>
      <c r="CA379" s="43"/>
      <c r="CB379" s="43"/>
      <c r="CC379" s="43"/>
      <c r="CD379" s="43"/>
      <c r="CE379" s="43"/>
      <c r="CF379" s="43"/>
      <c r="CG379" s="43"/>
      <c r="CH379" s="43"/>
      <c r="CI379" s="43"/>
      <c r="CJ379" s="43"/>
      <c r="CK379" s="43"/>
      <c r="CL379" s="43"/>
      <c r="CM379" s="43"/>
      <c r="CN379" s="43"/>
      <c r="CO379" s="43"/>
      <c r="CP379" s="43"/>
      <c r="CQ379" s="43"/>
      <c r="CR379" s="43"/>
      <c r="CS379" s="43"/>
      <c r="CT379" s="43"/>
      <c r="CU379" s="43"/>
      <c r="CV379" s="43"/>
      <c r="CW379" s="43"/>
      <c r="CX379" s="43"/>
      <c r="CY379" s="43"/>
      <c r="CZ379" s="43"/>
      <c r="DA379" s="43"/>
      <c r="DB379" s="43"/>
      <c r="DC379" s="43"/>
      <c r="DD379" s="43"/>
      <c r="DE379" s="43"/>
      <c r="DF379" s="43"/>
      <c r="DG379" s="43"/>
      <c r="DH379" s="43"/>
      <c r="DI379" s="43"/>
      <c r="DJ379" s="43"/>
      <c r="DK379" s="43"/>
      <c r="DL379" s="43"/>
      <c r="DM379" s="43"/>
      <c r="DN379" s="43"/>
      <c r="DO379" s="43"/>
      <c r="DP379" s="43"/>
      <c r="DQ379" s="43"/>
      <c r="DR379" s="43"/>
      <c r="DS379" s="43"/>
    </row>
    <row r="380" spans="1:123" ht="14.45">
      <c r="A380"/>
      <c r="B380"/>
      <c r="C380"/>
      <c r="D380"/>
      <c r="E380"/>
      <c r="F380"/>
      <c r="G380"/>
      <c r="H380"/>
      <c r="I380"/>
      <c r="J380"/>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c r="AJ380" s="43"/>
      <c r="AK380" s="43"/>
      <c r="AL380" s="43"/>
      <c r="AM380" s="43"/>
      <c r="AN380" s="43"/>
      <c r="AO380" s="43"/>
      <c r="AP380" s="43"/>
      <c r="AQ380" s="43"/>
      <c r="AR380" s="43"/>
      <c r="AS380" s="43"/>
      <c r="AT380" s="43"/>
      <c r="AU380" s="43"/>
      <c r="AV380" s="43"/>
      <c r="AW380" s="43"/>
      <c r="AX380" s="43"/>
      <c r="AY380" s="43"/>
      <c r="AZ380" s="43"/>
      <c r="BA380" s="43"/>
      <c r="BB380" s="43"/>
      <c r="BC380" s="43"/>
      <c r="BD380" s="43"/>
      <c r="BE380" s="43"/>
      <c r="BF380" s="43"/>
      <c r="BG380" s="43"/>
      <c r="BH380" s="43"/>
      <c r="BI380" s="43"/>
      <c r="BJ380" s="43"/>
      <c r="BK380" s="43"/>
      <c r="BL380" s="43"/>
      <c r="BM380" s="43"/>
      <c r="BN380" s="43"/>
      <c r="BO380" s="43"/>
      <c r="BP380" s="43"/>
      <c r="BQ380" s="43"/>
      <c r="BR380" s="43"/>
      <c r="BS380" s="43"/>
      <c r="BT380" s="43"/>
      <c r="BU380" s="43"/>
      <c r="BV380" s="43"/>
      <c r="BW380" s="43"/>
      <c r="BX380" s="43"/>
      <c r="BY380" s="43"/>
      <c r="BZ380" s="43"/>
      <c r="CA380" s="43"/>
      <c r="CB380" s="43"/>
      <c r="CC380" s="43"/>
      <c r="CD380" s="43"/>
      <c r="CE380" s="43"/>
      <c r="CF380" s="43"/>
      <c r="CG380" s="43"/>
      <c r="CH380" s="43"/>
      <c r="CI380" s="43"/>
      <c r="CJ380" s="43"/>
      <c r="CK380" s="43"/>
      <c r="CL380" s="43"/>
      <c r="CM380" s="43"/>
      <c r="CN380" s="43"/>
      <c r="CO380" s="43"/>
      <c r="CP380" s="43"/>
      <c r="CQ380" s="43"/>
      <c r="CR380" s="43"/>
      <c r="CS380" s="43"/>
      <c r="CT380" s="43"/>
      <c r="CU380" s="43"/>
      <c r="CV380" s="43"/>
      <c r="CW380" s="43"/>
      <c r="CX380" s="43"/>
      <c r="CY380" s="43"/>
      <c r="CZ380" s="43"/>
      <c r="DA380" s="43"/>
      <c r="DB380" s="43"/>
      <c r="DC380" s="43"/>
      <c r="DD380" s="43"/>
      <c r="DE380" s="43"/>
      <c r="DF380" s="43"/>
      <c r="DG380" s="43"/>
      <c r="DH380" s="43"/>
      <c r="DI380" s="43"/>
      <c r="DJ380" s="43"/>
      <c r="DK380" s="43"/>
      <c r="DL380" s="43"/>
      <c r="DM380" s="43"/>
      <c r="DN380" s="43"/>
      <c r="DO380" s="43"/>
      <c r="DP380" s="43"/>
      <c r="DQ380" s="43"/>
      <c r="DR380" s="43"/>
      <c r="DS380" s="43"/>
    </row>
    <row r="381" spans="1:123" ht="14.45">
      <c r="A381"/>
      <c r="B381"/>
      <c r="C381"/>
      <c r="D381"/>
      <c r="E381"/>
      <c r="F381"/>
      <c r="G381"/>
      <c r="H381"/>
      <c r="I381"/>
      <c r="J381"/>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c r="AJ381" s="43"/>
      <c r="AK381" s="43"/>
      <c r="AL381" s="43"/>
      <c r="AM381" s="43"/>
      <c r="AN381" s="43"/>
      <c r="AO381" s="43"/>
      <c r="AP381" s="43"/>
      <c r="AQ381" s="43"/>
      <c r="AR381" s="43"/>
      <c r="AS381" s="43"/>
      <c r="AT381" s="43"/>
      <c r="AU381" s="43"/>
      <c r="AV381" s="43"/>
      <c r="AW381" s="43"/>
      <c r="AX381" s="43"/>
      <c r="AY381" s="43"/>
      <c r="AZ381" s="43"/>
      <c r="BA381" s="43"/>
      <c r="BB381" s="43"/>
      <c r="BC381" s="43"/>
      <c r="BD381" s="43"/>
      <c r="BE381" s="43"/>
      <c r="BF381" s="43"/>
      <c r="BG381" s="43"/>
      <c r="BH381" s="43"/>
      <c r="BI381" s="43"/>
      <c r="BJ381" s="43"/>
      <c r="BK381" s="43"/>
      <c r="BL381" s="43"/>
      <c r="BM381" s="43"/>
      <c r="BN381" s="43"/>
      <c r="BO381" s="43"/>
      <c r="BP381" s="43"/>
      <c r="BQ381" s="43"/>
      <c r="BR381" s="43"/>
      <c r="BS381" s="43"/>
      <c r="BT381" s="43"/>
      <c r="BU381" s="43"/>
      <c r="BV381" s="43"/>
      <c r="BW381" s="43"/>
      <c r="BX381" s="43"/>
      <c r="BY381" s="43"/>
      <c r="BZ381" s="43"/>
      <c r="CA381" s="43"/>
      <c r="CB381" s="43"/>
      <c r="CC381" s="43"/>
      <c r="CD381" s="43"/>
      <c r="CE381" s="43"/>
      <c r="CF381" s="43"/>
      <c r="CG381" s="43"/>
      <c r="CH381" s="43"/>
      <c r="CI381" s="43"/>
      <c r="CJ381" s="43"/>
      <c r="CK381" s="43"/>
      <c r="CL381" s="43"/>
      <c r="CM381" s="43"/>
      <c r="CN381" s="43"/>
      <c r="CO381" s="43"/>
      <c r="CP381" s="43"/>
      <c r="CQ381" s="43"/>
      <c r="CR381" s="43"/>
      <c r="CS381" s="43"/>
      <c r="CT381" s="43"/>
      <c r="CU381" s="43"/>
      <c r="CV381" s="43"/>
      <c r="CW381" s="43"/>
      <c r="CX381" s="43"/>
      <c r="CY381" s="43"/>
      <c r="CZ381" s="43"/>
      <c r="DA381" s="43"/>
      <c r="DB381" s="43"/>
      <c r="DC381" s="43"/>
      <c r="DD381" s="43"/>
      <c r="DE381" s="43"/>
      <c r="DF381" s="43"/>
      <c r="DG381" s="43"/>
      <c r="DH381" s="43"/>
      <c r="DI381" s="43"/>
      <c r="DJ381" s="43"/>
      <c r="DK381" s="43"/>
      <c r="DL381" s="43"/>
      <c r="DM381" s="43"/>
      <c r="DN381" s="43"/>
      <c r="DO381" s="43"/>
      <c r="DP381" s="43"/>
      <c r="DQ381" s="43"/>
      <c r="DR381" s="43"/>
      <c r="DS381" s="43"/>
    </row>
    <row r="382" spans="1:123" ht="14.45">
      <c r="A382"/>
      <c r="B382"/>
      <c r="C382"/>
      <c r="D382"/>
      <c r="E382"/>
      <c r="F382"/>
      <c r="G382"/>
      <c r="H382"/>
      <c r="I382"/>
      <c r="J382"/>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c r="AJ382" s="43"/>
      <c r="AK382" s="43"/>
      <c r="AL382" s="43"/>
      <c r="AM382" s="43"/>
      <c r="AN382" s="43"/>
      <c r="AO382" s="43"/>
      <c r="AP382" s="43"/>
      <c r="AQ382" s="43"/>
      <c r="AR382" s="43"/>
      <c r="AS382" s="43"/>
      <c r="AT382" s="43"/>
      <c r="AU382" s="43"/>
      <c r="AV382" s="43"/>
      <c r="AW382" s="43"/>
      <c r="AX382" s="43"/>
      <c r="AY382" s="43"/>
      <c r="AZ382" s="43"/>
      <c r="BA382" s="43"/>
      <c r="BB382" s="43"/>
      <c r="BC382" s="43"/>
      <c r="BD382" s="43"/>
      <c r="BE382" s="43"/>
      <c r="BF382" s="43"/>
      <c r="BG382" s="43"/>
      <c r="BH382" s="43"/>
      <c r="BI382" s="43"/>
      <c r="BJ382" s="43"/>
      <c r="BK382" s="43"/>
      <c r="BL382" s="43"/>
      <c r="BM382" s="43"/>
      <c r="BN382" s="43"/>
      <c r="BO382" s="43"/>
      <c r="BP382" s="43"/>
      <c r="BQ382" s="43"/>
      <c r="BR382" s="43"/>
      <c r="BS382" s="43"/>
      <c r="BT382" s="43"/>
      <c r="BU382" s="43"/>
      <c r="BV382" s="43"/>
      <c r="BW382" s="43"/>
      <c r="BX382" s="43"/>
      <c r="BY382" s="43"/>
      <c r="BZ382" s="43"/>
      <c r="CA382" s="43"/>
      <c r="CB382" s="43"/>
      <c r="CC382" s="43"/>
      <c r="CD382" s="43"/>
      <c r="CE382" s="43"/>
      <c r="CF382" s="43"/>
      <c r="CG382" s="43"/>
      <c r="CH382" s="43"/>
      <c r="CI382" s="43"/>
      <c r="CJ382" s="43"/>
      <c r="CK382" s="43"/>
      <c r="CL382" s="43"/>
      <c r="CM382" s="43"/>
      <c r="CN382" s="43"/>
      <c r="CO382" s="43"/>
      <c r="CP382" s="43"/>
      <c r="CQ382" s="43"/>
      <c r="CR382" s="43"/>
      <c r="CS382" s="43"/>
      <c r="CT382" s="43"/>
      <c r="CU382" s="43"/>
      <c r="CV382" s="43"/>
      <c r="CW382" s="43"/>
      <c r="CX382" s="43"/>
      <c r="CY382" s="43"/>
      <c r="CZ382" s="43"/>
      <c r="DA382" s="43"/>
      <c r="DB382" s="43"/>
      <c r="DC382" s="43"/>
      <c r="DD382" s="43"/>
      <c r="DE382" s="43"/>
      <c r="DF382" s="43"/>
      <c r="DG382" s="43"/>
      <c r="DH382" s="43"/>
      <c r="DI382" s="43"/>
      <c r="DJ382" s="43"/>
      <c r="DK382" s="43"/>
      <c r="DL382" s="43"/>
      <c r="DM382" s="43"/>
      <c r="DN382" s="43"/>
      <c r="DO382" s="43"/>
      <c r="DP382" s="43"/>
      <c r="DQ382" s="43"/>
      <c r="DR382" s="43"/>
      <c r="DS382" s="43"/>
    </row>
    <row r="383" spans="1:123" ht="14.45">
      <c r="A383"/>
      <c r="B383"/>
      <c r="C383"/>
      <c r="D383"/>
      <c r="E383"/>
      <c r="F383"/>
      <c r="G383"/>
      <c r="H383"/>
      <c r="I383"/>
      <c r="J38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43"/>
      <c r="AW383" s="43"/>
      <c r="AX383" s="43"/>
      <c r="AY383" s="43"/>
      <c r="AZ383" s="43"/>
      <c r="BA383" s="43"/>
      <c r="BB383" s="43"/>
      <c r="BC383" s="43"/>
      <c r="BD383" s="43"/>
      <c r="BE383" s="43"/>
      <c r="BF383" s="43"/>
      <c r="BG383" s="43"/>
      <c r="BH383" s="43"/>
      <c r="BI383" s="43"/>
      <c r="BJ383" s="43"/>
      <c r="BK383" s="43"/>
      <c r="BL383" s="43"/>
      <c r="BM383" s="43"/>
      <c r="BN383" s="43"/>
      <c r="BO383" s="43"/>
      <c r="BP383" s="43"/>
      <c r="BQ383" s="43"/>
      <c r="BR383" s="43"/>
      <c r="BS383" s="43"/>
      <c r="BT383" s="43"/>
      <c r="BU383" s="43"/>
      <c r="BV383" s="43"/>
      <c r="BW383" s="43"/>
      <c r="BX383" s="43"/>
      <c r="BY383" s="43"/>
      <c r="BZ383" s="43"/>
      <c r="CA383" s="43"/>
      <c r="CB383" s="43"/>
      <c r="CC383" s="43"/>
      <c r="CD383" s="43"/>
      <c r="CE383" s="43"/>
      <c r="CF383" s="43"/>
      <c r="CG383" s="43"/>
      <c r="CH383" s="43"/>
      <c r="CI383" s="43"/>
      <c r="CJ383" s="43"/>
      <c r="CK383" s="43"/>
      <c r="CL383" s="43"/>
      <c r="CM383" s="43"/>
      <c r="CN383" s="43"/>
      <c r="CO383" s="43"/>
      <c r="CP383" s="43"/>
      <c r="CQ383" s="43"/>
      <c r="CR383" s="43"/>
      <c r="CS383" s="43"/>
      <c r="CT383" s="43"/>
      <c r="CU383" s="43"/>
      <c r="CV383" s="43"/>
      <c r="CW383" s="43"/>
      <c r="CX383" s="43"/>
      <c r="CY383" s="43"/>
      <c r="CZ383" s="43"/>
      <c r="DA383" s="43"/>
      <c r="DB383" s="43"/>
      <c r="DC383" s="43"/>
      <c r="DD383" s="43"/>
      <c r="DE383" s="43"/>
      <c r="DF383" s="43"/>
      <c r="DG383" s="43"/>
      <c r="DH383" s="43"/>
      <c r="DI383" s="43"/>
      <c r="DJ383" s="43"/>
      <c r="DK383" s="43"/>
      <c r="DL383" s="43"/>
      <c r="DM383" s="43"/>
      <c r="DN383" s="43"/>
      <c r="DO383" s="43"/>
      <c r="DP383" s="43"/>
      <c r="DQ383" s="43"/>
      <c r="DR383" s="43"/>
      <c r="DS383" s="43"/>
    </row>
    <row r="384" spans="1:123" ht="14.45">
      <c r="A384"/>
      <c r="B384"/>
      <c r="C384"/>
      <c r="D384"/>
      <c r="E384"/>
      <c r="F384"/>
      <c r="G384"/>
      <c r="H384"/>
      <c r="I384"/>
      <c r="J384"/>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3"/>
      <c r="AM384" s="43"/>
      <c r="AN384" s="43"/>
      <c r="AO384" s="43"/>
      <c r="AP384" s="43"/>
      <c r="AQ384" s="43"/>
      <c r="AR384" s="43"/>
      <c r="AS384" s="43"/>
      <c r="AT384" s="43"/>
      <c r="AU384" s="43"/>
      <c r="AV384" s="43"/>
      <c r="AW384" s="43"/>
      <c r="AX384" s="43"/>
      <c r="AY384" s="43"/>
      <c r="AZ384" s="43"/>
      <c r="BA384" s="43"/>
      <c r="BB384" s="43"/>
      <c r="BC384" s="43"/>
      <c r="BD384" s="43"/>
      <c r="BE384" s="43"/>
      <c r="BF384" s="43"/>
      <c r="BG384" s="43"/>
      <c r="BH384" s="43"/>
      <c r="BI384" s="43"/>
      <c r="BJ384" s="43"/>
      <c r="BK384" s="43"/>
      <c r="BL384" s="43"/>
      <c r="BM384" s="43"/>
      <c r="BN384" s="43"/>
      <c r="BO384" s="43"/>
      <c r="BP384" s="43"/>
      <c r="BQ384" s="43"/>
      <c r="BR384" s="43"/>
      <c r="BS384" s="43"/>
      <c r="BT384" s="43"/>
      <c r="BU384" s="43"/>
      <c r="BV384" s="43"/>
      <c r="BW384" s="43"/>
      <c r="BX384" s="43"/>
      <c r="BY384" s="43"/>
      <c r="BZ384" s="43"/>
      <c r="CA384" s="43"/>
      <c r="CB384" s="43"/>
      <c r="CC384" s="43"/>
      <c r="CD384" s="43"/>
      <c r="CE384" s="43"/>
      <c r="CF384" s="43"/>
      <c r="CG384" s="43"/>
      <c r="CH384" s="43"/>
      <c r="CI384" s="43"/>
      <c r="CJ384" s="43"/>
      <c r="CK384" s="43"/>
      <c r="CL384" s="43"/>
      <c r="CM384" s="43"/>
      <c r="CN384" s="43"/>
      <c r="CO384" s="43"/>
      <c r="CP384" s="43"/>
      <c r="CQ384" s="43"/>
      <c r="CR384" s="43"/>
      <c r="CS384" s="43"/>
      <c r="CT384" s="43"/>
      <c r="CU384" s="43"/>
      <c r="CV384" s="43"/>
      <c r="CW384" s="43"/>
      <c r="CX384" s="43"/>
      <c r="CY384" s="43"/>
      <c r="CZ384" s="43"/>
      <c r="DA384" s="43"/>
      <c r="DB384" s="43"/>
      <c r="DC384" s="43"/>
      <c r="DD384" s="43"/>
      <c r="DE384" s="43"/>
      <c r="DF384" s="43"/>
      <c r="DG384" s="43"/>
      <c r="DH384" s="43"/>
      <c r="DI384" s="43"/>
      <c r="DJ384" s="43"/>
      <c r="DK384" s="43"/>
      <c r="DL384" s="43"/>
      <c r="DM384" s="43"/>
      <c r="DN384" s="43"/>
      <c r="DO384" s="43"/>
      <c r="DP384" s="43"/>
      <c r="DQ384" s="43"/>
      <c r="DR384" s="43"/>
      <c r="DS384" s="43"/>
    </row>
    <row r="385" spans="1:123" ht="14.45">
      <c r="A385"/>
      <c r="B385"/>
      <c r="C385"/>
      <c r="D385"/>
      <c r="E385"/>
      <c r="F385"/>
      <c r="G385"/>
      <c r="H385"/>
      <c r="I385"/>
      <c r="J385"/>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c r="AJ385" s="43"/>
      <c r="AK385" s="43"/>
      <c r="AL385" s="43"/>
      <c r="AM385" s="43"/>
      <c r="AN385" s="43"/>
      <c r="AO385" s="43"/>
      <c r="AP385" s="43"/>
      <c r="AQ385" s="43"/>
      <c r="AR385" s="43"/>
      <c r="AS385" s="43"/>
      <c r="AT385" s="43"/>
      <c r="AU385" s="43"/>
      <c r="AV385" s="43"/>
      <c r="AW385" s="43"/>
      <c r="AX385" s="43"/>
      <c r="AY385" s="43"/>
      <c r="AZ385" s="43"/>
      <c r="BA385" s="43"/>
      <c r="BB385" s="43"/>
      <c r="BC385" s="43"/>
      <c r="BD385" s="43"/>
      <c r="BE385" s="43"/>
      <c r="BF385" s="43"/>
      <c r="BG385" s="43"/>
      <c r="BH385" s="43"/>
      <c r="BI385" s="43"/>
      <c r="BJ385" s="43"/>
      <c r="BK385" s="43"/>
      <c r="BL385" s="43"/>
      <c r="BM385" s="43"/>
      <c r="BN385" s="43"/>
      <c r="BO385" s="43"/>
      <c r="BP385" s="43"/>
      <c r="BQ385" s="43"/>
      <c r="BR385" s="43"/>
      <c r="BS385" s="43"/>
      <c r="BT385" s="43"/>
      <c r="BU385" s="43"/>
      <c r="BV385" s="43"/>
      <c r="BW385" s="43"/>
      <c r="BX385" s="43"/>
      <c r="BY385" s="43"/>
      <c r="BZ385" s="43"/>
      <c r="CA385" s="43"/>
      <c r="CB385" s="43"/>
      <c r="CC385" s="43"/>
      <c r="CD385" s="43"/>
      <c r="CE385" s="43"/>
      <c r="CF385" s="43"/>
      <c r="CG385" s="43"/>
      <c r="CH385" s="43"/>
      <c r="CI385" s="43"/>
      <c r="CJ385" s="43"/>
      <c r="CK385" s="43"/>
      <c r="CL385" s="43"/>
      <c r="CM385" s="43"/>
      <c r="CN385" s="43"/>
      <c r="CO385" s="43"/>
      <c r="CP385" s="43"/>
      <c r="CQ385" s="43"/>
      <c r="CR385" s="43"/>
      <c r="CS385" s="43"/>
      <c r="CT385" s="43"/>
      <c r="CU385" s="43"/>
      <c r="CV385" s="43"/>
      <c r="CW385" s="43"/>
      <c r="CX385" s="43"/>
      <c r="CY385" s="43"/>
      <c r="CZ385" s="43"/>
      <c r="DA385" s="43"/>
      <c r="DB385" s="43"/>
      <c r="DC385" s="43"/>
      <c r="DD385" s="43"/>
      <c r="DE385" s="43"/>
      <c r="DF385" s="43"/>
      <c r="DG385" s="43"/>
      <c r="DH385" s="43"/>
      <c r="DI385" s="43"/>
      <c r="DJ385" s="43"/>
      <c r="DK385" s="43"/>
      <c r="DL385" s="43"/>
      <c r="DM385" s="43"/>
      <c r="DN385" s="43"/>
      <c r="DO385" s="43"/>
      <c r="DP385" s="43"/>
      <c r="DQ385" s="43"/>
      <c r="DR385" s="43"/>
      <c r="DS385" s="43"/>
    </row>
    <row r="386" spans="1:123" ht="14.45">
      <c r="A386"/>
      <c r="B386"/>
      <c r="C386"/>
      <c r="D386"/>
      <c r="E386"/>
      <c r="F386"/>
      <c r="G386"/>
      <c r="H386"/>
      <c r="I386"/>
      <c r="J386"/>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c r="AJ386" s="43"/>
      <c r="AK386" s="43"/>
      <c r="AL386" s="43"/>
      <c r="AM386" s="43"/>
      <c r="AN386" s="43"/>
      <c r="AO386" s="43"/>
      <c r="AP386" s="43"/>
      <c r="AQ386" s="43"/>
      <c r="AR386" s="43"/>
      <c r="AS386" s="43"/>
      <c r="AT386" s="43"/>
      <c r="AU386" s="43"/>
      <c r="AV386" s="43"/>
      <c r="AW386" s="43"/>
      <c r="AX386" s="43"/>
      <c r="AY386" s="43"/>
      <c r="AZ386" s="43"/>
      <c r="BA386" s="43"/>
      <c r="BB386" s="43"/>
      <c r="BC386" s="43"/>
      <c r="BD386" s="43"/>
      <c r="BE386" s="43"/>
      <c r="BF386" s="43"/>
      <c r="BG386" s="43"/>
      <c r="BH386" s="43"/>
      <c r="BI386" s="43"/>
      <c r="BJ386" s="43"/>
      <c r="BK386" s="43"/>
      <c r="BL386" s="43"/>
      <c r="BM386" s="43"/>
      <c r="BN386" s="43"/>
      <c r="BO386" s="43"/>
      <c r="BP386" s="43"/>
      <c r="BQ386" s="43"/>
      <c r="BR386" s="43"/>
      <c r="BS386" s="43"/>
      <c r="BT386" s="43"/>
      <c r="BU386" s="43"/>
      <c r="BV386" s="43"/>
      <c r="BW386" s="43"/>
      <c r="BX386" s="43"/>
      <c r="BY386" s="43"/>
      <c r="BZ386" s="43"/>
      <c r="CA386" s="43"/>
      <c r="CB386" s="43"/>
      <c r="CC386" s="43"/>
      <c r="CD386" s="43"/>
      <c r="CE386" s="43"/>
      <c r="CF386" s="43"/>
      <c r="CG386" s="43"/>
      <c r="CH386" s="43"/>
      <c r="CI386" s="43"/>
      <c r="CJ386" s="43"/>
      <c r="CK386" s="43"/>
      <c r="CL386" s="43"/>
      <c r="CM386" s="43"/>
      <c r="CN386" s="43"/>
      <c r="CO386" s="43"/>
      <c r="CP386" s="43"/>
      <c r="CQ386" s="43"/>
      <c r="CR386" s="43"/>
      <c r="CS386" s="43"/>
      <c r="CT386" s="43"/>
      <c r="CU386" s="43"/>
      <c r="CV386" s="43"/>
      <c r="CW386" s="43"/>
      <c r="CX386" s="43"/>
      <c r="CY386" s="43"/>
      <c r="CZ386" s="43"/>
      <c r="DA386" s="43"/>
      <c r="DB386" s="43"/>
      <c r="DC386" s="43"/>
      <c r="DD386" s="43"/>
      <c r="DE386" s="43"/>
      <c r="DF386" s="43"/>
      <c r="DG386" s="43"/>
      <c r="DH386" s="43"/>
      <c r="DI386" s="43"/>
      <c r="DJ386" s="43"/>
      <c r="DK386" s="43"/>
      <c r="DL386" s="43"/>
      <c r="DM386" s="43"/>
      <c r="DN386" s="43"/>
      <c r="DO386" s="43"/>
      <c r="DP386" s="43"/>
      <c r="DQ386" s="43"/>
      <c r="DR386" s="43"/>
      <c r="DS386" s="43"/>
    </row>
    <row r="387" spans="1:123" ht="14.45">
      <c r="A387"/>
      <c r="B387"/>
      <c r="C387"/>
      <c r="D387"/>
      <c r="E387"/>
      <c r="F387"/>
      <c r="G387"/>
      <c r="H387"/>
      <c r="I387"/>
      <c r="J387"/>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c r="AJ387" s="43"/>
      <c r="AK387" s="43"/>
      <c r="AL387" s="43"/>
      <c r="AM387" s="43"/>
      <c r="AN387" s="43"/>
      <c r="AO387" s="43"/>
      <c r="AP387" s="43"/>
      <c r="AQ387" s="43"/>
      <c r="AR387" s="43"/>
      <c r="AS387" s="43"/>
      <c r="AT387" s="43"/>
      <c r="AU387" s="43"/>
      <c r="AV387" s="43"/>
      <c r="AW387" s="43"/>
      <c r="AX387" s="43"/>
      <c r="AY387" s="43"/>
      <c r="AZ387" s="43"/>
      <c r="BA387" s="43"/>
      <c r="BB387" s="43"/>
      <c r="BC387" s="43"/>
      <c r="BD387" s="43"/>
      <c r="BE387" s="43"/>
      <c r="BF387" s="43"/>
      <c r="BG387" s="43"/>
      <c r="BH387" s="43"/>
      <c r="BI387" s="43"/>
      <c r="BJ387" s="43"/>
      <c r="BK387" s="43"/>
      <c r="BL387" s="43"/>
      <c r="BM387" s="43"/>
      <c r="BN387" s="43"/>
      <c r="BO387" s="43"/>
      <c r="BP387" s="43"/>
      <c r="BQ387" s="43"/>
      <c r="BR387" s="43"/>
      <c r="BS387" s="43"/>
      <c r="BT387" s="43"/>
      <c r="BU387" s="43"/>
      <c r="BV387" s="43"/>
      <c r="BW387" s="43"/>
      <c r="BX387" s="43"/>
      <c r="BY387" s="43"/>
      <c r="BZ387" s="43"/>
      <c r="CA387" s="43"/>
      <c r="CB387" s="43"/>
      <c r="CC387" s="43"/>
      <c r="CD387" s="43"/>
      <c r="CE387" s="43"/>
      <c r="CF387" s="43"/>
      <c r="CG387" s="43"/>
      <c r="CH387" s="43"/>
      <c r="CI387" s="43"/>
      <c r="CJ387" s="43"/>
      <c r="CK387" s="43"/>
      <c r="CL387" s="43"/>
      <c r="CM387" s="43"/>
      <c r="CN387" s="43"/>
      <c r="CO387" s="43"/>
      <c r="CP387" s="43"/>
      <c r="CQ387" s="43"/>
      <c r="CR387" s="43"/>
      <c r="CS387" s="43"/>
      <c r="CT387" s="43"/>
      <c r="CU387" s="43"/>
      <c r="CV387" s="43"/>
      <c r="CW387" s="43"/>
      <c r="CX387" s="43"/>
      <c r="CY387" s="43"/>
      <c r="CZ387" s="43"/>
      <c r="DA387" s="43"/>
      <c r="DB387" s="43"/>
      <c r="DC387" s="43"/>
      <c r="DD387" s="43"/>
      <c r="DE387" s="43"/>
      <c r="DF387" s="43"/>
      <c r="DG387" s="43"/>
      <c r="DH387" s="43"/>
      <c r="DI387" s="43"/>
      <c r="DJ387" s="43"/>
      <c r="DK387" s="43"/>
      <c r="DL387" s="43"/>
      <c r="DM387" s="43"/>
      <c r="DN387" s="43"/>
      <c r="DO387" s="43"/>
      <c r="DP387" s="43"/>
      <c r="DQ387" s="43"/>
      <c r="DR387" s="43"/>
      <c r="DS387" s="43"/>
    </row>
    <row r="388" spans="1:123" ht="14.45">
      <c r="A388"/>
      <c r="B388"/>
      <c r="C388"/>
      <c r="D388"/>
      <c r="E388"/>
      <c r="F388"/>
      <c r="G388"/>
      <c r="H388"/>
      <c r="I388"/>
      <c r="J388"/>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c r="AJ388" s="43"/>
      <c r="AK388" s="43"/>
      <c r="AL388" s="43"/>
      <c r="AM388" s="43"/>
      <c r="AN388" s="43"/>
      <c r="AO388" s="43"/>
      <c r="AP388" s="43"/>
      <c r="AQ388" s="43"/>
      <c r="AR388" s="43"/>
      <c r="AS388" s="43"/>
      <c r="AT388" s="43"/>
      <c r="AU388" s="43"/>
      <c r="AV388" s="43"/>
      <c r="AW388" s="43"/>
      <c r="AX388" s="43"/>
      <c r="AY388" s="43"/>
      <c r="AZ388" s="43"/>
      <c r="BA388" s="43"/>
      <c r="BB388" s="43"/>
      <c r="BC388" s="43"/>
      <c r="BD388" s="43"/>
      <c r="BE388" s="43"/>
      <c r="BF388" s="43"/>
      <c r="BG388" s="43"/>
      <c r="BH388" s="43"/>
      <c r="BI388" s="43"/>
      <c r="BJ388" s="43"/>
      <c r="BK388" s="43"/>
      <c r="BL388" s="43"/>
      <c r="BM388" s="43"/>
      <c r="BN388" s="43"/>
      <c r="BO388" s="43"/>
      <c r="BP388" s="43"/>
      <c r="BQ388" s="43"/>
      <c r="BR388" s="43"/>
      <c r="BS388" s="43"/>
      <c r="BT388" s="43"/>
      <c r="BU388" s="43"/>
      <c r="BV388" s="43"/>
      <c r="BW388" s="43"/>
      <c r="BX388" s="43"/>
      <c r="BY388" s="43"/>
      <c r="BZ388" s="43"/>
      <c r="CA388" s="43"/>
      <c r="CB388" s="43"/>
      <c r="CC388" s="43"/>
      <c r="CD388" s="43"/>
      <c r="CE388" s="43"/>
      <c r="CF388" s="43"/>
      <c r="CG388" s="43"/>
      <c r="CH388" s="43"/>
      <c r="CI388" s="43"/>
      <c r="CJ388" s="43"/>
      <c r="CK388" s="43"/>
      <c r="CL388" s="43"/>
      <c r="CM388" s="43"/>
      <c r="CN388" s="43"/>
      <c r="CO388" s="43"/>
      <c r="CP388" s="43"/>
      <c r="CQ388" s="43"/>
      <c r="CR388" s="43"/>
      <c r="CS388" s="43"/>
      <c r="CT388" s="43"/>
      <c r="CU388" s="43"/>
      <c r="CV388" s="43"/>
      <c r="CW388" s="43"/>
      <c r="CX388" s="43"/>
      <c r="CY388" s="43"/>
      <c r="CZ388" s="43"/>
      <c r="DA388" s="43"/>
      <c r="DB388" s="43"/>
      <c r="DC388" s="43"/>
      <c r="DD388" s="43"/>
      <c r="DE388" s="43"/>
      <c r="DF388" s="43"/>
      <c r="DG388" s="43"/>
      <c r="DH388" s="43"/>
      <c r="DI388" s="43"/>
      <c r="DJ388" s="43"/>
      <c r="DK388" s="43"/>
      <c r="DL388" s="43"/>
      <c r="DM388" s="43"/>
      <c r="DN388" s="43"/>
      <c r="DO388" s="43"/>
      <c r="DP388" s="43"/>
      <c r="DQ388" s="43"/>
      <c r="DR388" s="43"/>
      <c r="DS388" s="43"/>
    </row>
    <row r="389" spans="1:123" ht="14.45">
      <c r="A389"/>
      <c r="B389"/>
      <c r="C389"/>
      <c r="D389"/>
      <c r="E389"/>
      <c r="F389"/>
      <c r="G389"/>
      <c r="H389"/>
      <c r="I389"/>
      <c r="J389"/>
      <c r="K389" s="43"/>
      <c r="L389" s="43"/>
      <c r="M389" s="43"/>
      <c r="N389" s="43"/>
      <c r="O389" s="43"/>
      <c r="P389" s="43"/>
      <c r="Q389" s="43"/>
      <c r="R389" s="43"/>
      <c r="S389" s="43"/>
      <c r="T389" s="43"/>
      <c r="U389" s="43"/>
      <c r="V389" s="43"/>
      <c r="W389" s="43"/>
      <c r="X389" s="43"/>
      <c r="Y389" s="43"/>
      <c r="Z389" s="43"/>
      <c r="AA389" s="43"/>
      <c r="AB389" s="43"/>
      <c r="AC389" s="43"/>
      <c r="AD389" s="43"/>
      <c r="AE389" s="43"/>
      <c r="AF389" s="43"/>
      <c r="AG389" s="43"/>
      <c r="AH389" s="43"/>
      <c r="AI389" s="43"/>
      <c r="AJ389" s="43"/>
      <c r="AK389" s="43"/>
      <c r="AL389" s="43"/>
      <c r="AM389" s="43"/>
      <c r="AN389" s="43"/>
      <c r="AO389" s="43"/>
      <c r="AP389" s="43"/>
      <c r="AQ389" s="43"/>
      <c r="AR389" s="43"/>
      <c r="AS389" s="43"/>
      <c r="AT389" s="43"/>
      <c r="AU389" s="43"/>
      <c r="AV389" s="43"/>
      <c r="AW389" s="43"/>
      <c r="AX389" s="43"/>
      <c r="AY389" s="43"/>
      <c r="AZ389" s="43"/>
      <c r="BA389" s="43"/>
      <c r="BB389" s="43"/>
      <c r="BC389" s="43"/>
      <c r="BD389" s="43"/>
      <c r="BE389" s="43"/>
      <c r="BF389" s="43"/>
      <c r="BG389" s="43"/>
      <c r="BH389" s="43"/>
      <c r="BI389" s="43"/>
      <c r="BJ389" s="43"/>
      <c r="BK389" s="43"/>
      <c r="BL389" s="43"/>
      <c r="BM389" s="43"/>
      <c r="BN389" s="43"/>
      <c r="BO389" s="43"/>
      <c r="BP389" s="43"/>
      <c r="BQ389" s="43"/>
      <c r="BR389" s="43"/>
      <c r="BS389" s="43"/>
      <c r="BT389" s="43"/>
      <c r="BU389" s="43"/>
      <c r="BV389" s="43"/>
      <c r="BW389" s="43"/>
      <c r="BX389" s="43"/>
      <c r="BY389" s="43"/>
      <c r="BZ389" s="43"/>
      <c r="CA389" s="43"/>
      <c r="CB389" s="43"/>
      <c r="CC389" s="43"/>
      <c r="CD389" s="43"/>
      <c r="CE389" s="43"/>
      <c r="CF389" s="43"/>
      <c r="CG389" s="43"/>
      <c r="CH389" s="43"/>
      <c r="CI389" s="43"/>
      <c r="CJ389" s="43"/>
      <c r="CK389" s="43"/>
      <c r="CL389" s="43"/>
      <c r="CM389" s="43"/>
      <c r="CN389" s="43"/>
      <c r="CO389" s="43"/>
      <c r="CP389" s="43"/>
      <c r="CQ389" s="43"/>
      <c r="CR389" s="43"/>
      <c r="CS389" s="43"/>
      <c r="CT389" s="43"/>
      <c r="CU389" s="43"/>
      <c r="CV389" s="43"/>
      <c r="CW389" s="43"/>
      <c r="CX389" s="43"/>
      <c r="CY389" s="43"/>
      <c r="CZ389" s="43"/>
      <c r="DA389" s="43"/>
      <c r="DB389" s="43"/>
      <c r="DC389" s="43"/>
      <c r="DD389" s="43"/>
      <c r="DE389" s="43"/>
      <c r="DF389" s="43"/>
      <c r="DG389" s="43"/>
      <c r="DH389" s="43"/>
      <c r="DI389" s="43"/>
      <c r="DJ389" s="43"/>
      <c r="DK389" s="43"/>
      <c r="DL389" s="43"/>
      <c r="DM389" s="43"/>
      <c r="DN389" s="43"/>
      <c r="DO389" s="43"/>
      <c r="DP389" s="43"/>
      <c r="DQ389" s="43"/>
      <c r="DR389" s="43"/>
      <c r="DS389" s="43"/>
    </row>
    <row r="390" spans="1:123" ht="14.45">
      <c r="A390"/>
      <c r="B390"/>
      <c r="C390"/>
      <c r="D390"/>
      <c r="E390"/>
      <c r="F390"/>
      <c r="G390"/>
      <c r="H390"/>
      <c r="I390"/>
      <c r="J390"/>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c r="AM390" s="43"/>
      <c r="AN390" s="43"/>
      <c r="AO390" s="43"/>
      <c r="AP390" s="43"/>
      <c r="AQ390" s="43"/>
      <c r="AR390" s="43"/>
      <c r="AS390" s="43"/>
      <c r="AT390" s="43"/>
      <c r="AU390" s="43"/>
      <c r="AV390" s="43"/>
      <c r="AW390" s="43"/>
      <c r="AX390" s="43"/>
      <c r="AY390" s="43"/>
      <c r="AZ390" s="43"/>
      <c r="BA390" s="43"/>
      <c r="BB390" s="43"/>
      <c r="BC390" s="43"/>
      <c r="BD390" s="43"/>
      <c r="BE390" s="43"/>
      <c r="BF390" s="43"/>
      <c r="BG390" s="43"/>
      <c r="BH390" s="43"/>
      <c r="BI390" s="43"/>
      <c r="BJ390" s="43"/>
      <c r="BK390" s="43"/>
      <c r="BL390" s="43"/>
      <c r="BM390" s="43"/>
      <c r="BN390" s="43"/>
      <c r="BO390" s="43"/>
      <c r="BP390" s="43"/>
      <c r="BQ390" s="43"/>
      <c r="BR390" s="43"/>
      <c r="BS390" s="43"/>
      <c r="BT390" s="43"/>
      <c r="BU390" s="43"/>
      <c r="BV390" s="43"/>
      <c r="BW390" s="43"/>
      <c r="BX390" s="43"/>
      <c r="BY390" s="43"/>
      <c r="BZ390" s="43"/>
      <c r="CA390" s="43"/>
      <c r="CB390" s="43"/>
      <c r="CC390" s="43"/>
      <c r="CD390" s="43"/>
      <c r="CE390" s="43"/>
      <c r="CF390" s="43"/>
      <c r="CG390" s="43"/>
      <c r="CH390" s="43"/>
      <c r="CI390" s="43"/>
      <c r="CJ390" s="43"/>
      <c r="CK390" s="43"/>
      <c r="CL390" s="43"/>
      <c r="CM390" s="43"/>
      <c r="CN390" s="43"/>
      <c r="CO390" s="43"/>
      <c r="CP390" s="43"/>
      <c r="CQ390" s="43"/>
      <c r="CR390" s="43"/>
      <c r="CS390" s="43"/>
      <c r="CT390" s="43"/>
      <c r="CU390" s="43"/>
      <c r="CV390" s="43"/>
      <c r="CW390" s="43"/>
      <c r="CX390" s="43"/>
      <c r="CY390" s="43"/>
      <c r="CZ390" s="43"/>
      <c r="DA390" s="43"/>
      <c r="DB390" s="43"/>
      <c r="DC390" s="43"/>
      <c r="DD390" s="43"/>
      <c r="DE390" s="43"/>
      <c r="DF390" s="43"/>
      <c r="DG390" s="43"/>
      <c r="DH390" s="43"/>
      <c r="DI390" s="43"/>
      <c r="DJ390" s="43"/>
      <c r="DK390" s="43"/>
      <c r="DL390" s="43"/>
      <c r="DM390" s="43"/>
      <c r="DN390" s="43"/>
      <c r="DO390" s="43"/>
      <c r="DP390" s="43"/>
      <c r="DQ390" s="43"/>
      <c r="DR390" s="43"/>
      <c r="DS390" s="43"/>
    </row>
    <row r="391" spans="1:123" ht="14.45">
      <c r="A391"/>
      <c r="B391"/>
      <c r="C391"/>
      <c r="D391"/>
      <c r="E391"/>
      <c r="F391"/>
      <c r="G391"/>
      <c r="H391"/>
      <c r="I391"/>
      <c r="J391"/>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c r="AJ391" s="43"/>
      <c r="AK391" s="43"/>
      <c r="AL391" s="43"/>
      <c r="AM391" s="43"/>
      <c r="AN391" s="43"/>
      <c r="AO391" s="43"/>
      <c r="AP391" s="43"/>
      <c r="AQ391" s="43"/>
      <c r="AR391" s="43"/>
      <c r="AS391" s="43"/>
      <c r="AT391" s="43"/>
      <c r="AU391" s="43"/>
      <c r="AV391" s="43"/>
      <c r="AW391" s="43"/>
      <c r="AX391" s="43"/>
      <c r="AY391" s="43"/>
      <c r="AZ391" s="43"/>
      <c r="BA391" s="43"/>
      <c r="BB391" s="43"/>
      <c r="BC391" s="43"/>
      <c r="BD391" s="43"/>
      <c r="BE391" s="43"/>
      <c r="BF391" s="43"/>
      <c r="BG391" s="43"/>
      <c r="BH391" s="43"/>
      <c r="BI391" s="43"/>
      <c r="BJ391" s="43"/>
      <c r="BK391" s="43"/>
      <c r="BL391" s="43"/>
      <c r="BM391" s="43"/>
      <c r="BN391" s="43"/>
      <c r="BO391" s="43"/>
      <c r="BP391" s="43"/>
      <c r="BQ391" s="43"/>
      <c r="BR391" s="43"/>
      <c r="BS391" s="43"/>
      <c r="BT391" s="43"/>
      <c r="BU391" s="43"/>
      <c r="BV391" s="43"/>
      <c r="BW391" s="43"/>
      <c r="BX391" s="43"/>
      <c r="BY391" s="43"/>
      <c r="BZ391" s="43"/>
      <c r="CA391" s="43"/>
      <c r="CB391" s="43"/>
      <c r="CC391" s="43"/>
      <c r="CD391" s="43"/>
      <c r="CE391" s="43"/>
      <c r="CF391" s="43"/>
      <c r="CG391" s="43"/>
      <c r="CH391" s="43"/>
      <c r="CI391" s="43"/>
      <c r="CJ391" s="43"/>
      <c r="CK391" s="43"/>
      <c r="CL391" s="43"/>
      <c r="CM391" s="43"/>
      <c r="CN391" s="43"/>
      <c r="CO391" s="43"/>
      <c r="CP391" s="43"/>
      <c r="CQ391" s="43"/>
      <c r="CR391" s="43"/>
      <c r="CS391" s="43"/>
      <c r="CT391" s="43"/>
      <c r="CU391" s="43"/>
      <c r="CV391" s="43"/>
      <c r="CW391" s="43"/>
      <c r="CX391" s="43"/>
      <c r="CY391" s="43"/>
      <c r="CZ391" s="43"/>
      <c r="DA391" s="43"/>
      <c r="DB391" s="43"/>
      <c r="DC391" s="43"/>
      <c r="DD391" s="43"/>
      <c r="DE391" s="43"/>
      <c r="DF391" s="43"/>
      <c r="DG391" s="43"/>
      <c r="DH391" s="43"/>
      <c r="DI391" s="43"/>
      <c r="DJ391" s="43"/>
      <c r="DK391" s="43"/>
      <c r="DL391" s="43"/>
      <c r="DM391" s="43"/>
      <c r="DN391" s="43"/>
      <c r="DO391" s="43"/>
      <c r="DP391" s="43"/>
      <c r="DQ391" s="43"/>
      <c r="DR391" s="43"/>
      <c r="DS391" s="43"/>
    </row>
    <row r="392" spans="1:123" ht="14.45">
      <c r="A392"/>
      <c r="B392"/>
      <c r="C392"/>
      <c r="D392"/>
      <c r="E392"/>
      <c r="F392"/>
      <c r="G392"/>
      <c r="H392"/>
      <c r="I392"/>
      <c r="J392"/>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c r="AJ392" s="43"/>
      <c r="AK392" s="43"/>
      <c r="AL392" s="43"/>
      <c r="AM392" s="43"/>
      <c r="AN392" s="43"/>
      <c r="AO392" s="43"/>
      <c r="AP392" s="43"/>
      <c r="AQ392" s="43"/>
      <c r="AR392" s="43"/>
      <c r="AS392" s="43"/>
      <c r="AT392" s="43"/>
      <c r="AU392" s="43"/>
      <c r="AV392" s="43"/>
      <c r="AW392" s="43"/>
      <c r="AX392" s="43"/>
      <c r="AY392" s="43"/>
      <c r="AZ392" s="43"/>
      <c r="BA392" s="43"/>
      <c r="BB392" s="43"/>
      <c r="BC392" s="43"/>
      <c r="BD392" s="43"/>
      <c r="BE392" s="43"/>
      <c r="BF392" s="43"/>
      <c r="BG392" s="43"/>
      <c r="BH392" s="43"/>
      <c r="BI392" s="43"/>
      <c r="BJ392" s="43"/>
      <c r="BK392" s="43"/>
      <c r="BL392" s="43"/>
      <c r="BM392" s="43"/>
      <c r="BN392" s="43"/>
      <c r="BO392" s="43"/>
      <c r="BP392" s="43"/>
      <c r="BQ392" s="43"/>
      <c r="BR392" s="43"/>
      <c r="BS392" s="43"/>
      <c r="BT392" s="43"/>
      <c r="BU392" s="43"/>
      <c r="BV392" s="43"/>
      <c r="BW392" s="43"/>
      <c r="BX392" s="43"/>
      <c r="BY392" s="43"/>
      <c r="BZ392" s="43"/>
      <c r="CA392" s="43"/>
      <c r="CB392" s="43"/>
      <c r="CC392" s="43"/>
      <c r="CD392" s="43"/>
      <c r="CE392" s="43"/>
      <c r="CF392" s="43"/>
      <c r="CG392" s="43"/>
      <c r="CH392" s="43"/>
      <c r="CI392" s="43"/>
      <c r="CJ392" s="43"/>
      <c r="CK392" s="43"/>
      <c r="CL392" s="43"/>
      <c r="CM392" s="43"/>
      <c r="CN392" s="43"/>
      <c r="CO392" s="43"/>
      <c r="CP392" s="43"/>
      <c r="CQ392" s="43"/>
      <c r="CR392" s="43"/>
      <c r="CS392" s="43"/>
      <c r="CT392" s="43"/>
      <c r="CU392" s="43"/>
      <c r="CV392" s="43"/>
      <c r="CW392" s="43"/>
      <c r="CX392" s="43"/>
      <c r="CY392" s="43"/>
      <c r="CZ392" s="43"/>
      <c r="DA392" s="43"/>
      <c r="DB392" s="43"/>
      <c r="DC392" s="43"/>
      <c r="DD392" s="43"/>
      <c r="DE392" s="43"/>
      <c r="DF392" s="43"/>
      <c r="DG392" s="43"/>
      <c r="DH392" s="43"/>
      <c r="DI392" s="43"/>
      <c r="DJ392" s="43"/>
      <c r="DK392" s="43"/>
      <c r="DL392" s="43"/>
      <c r="DM392" s="43"/>
      <c r="DN392" s="43"/>
      <c r="DO392" s="43"/>
      <c r="DP392" s="43"/>
      <c r="DQ392" s="43"/>
      <c r="DR392" s="43"/>
      <c r="DS392" s="43"/>
    </row>
    <row r="393" spans="1:123" ht="14.45">
      <c r="A393"/>
      <c r="B393"/>
      <c r="C393"/>
      <c r="D393"/>
      <c r="E393"/>
      <c r="F393"/>
      <c r="G393"/>
      <c r="H393"/>
      <c r="I393"/>
      <c r="J39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c r="AJ393" s="43"/>
      <c r="AK393" s="43"/>
      <c r="AL393" s="43"/>
      <c r="AM393" s="43"/>
      <c r="AN393" s="43"/>
      <c r="AO393" s="43"/>
      <c r="AP393" s="43"/>
      <c r="AQ393" s="43"/>
      <c r="AR393" s="43"/>
      <c r="AS393" s="43"/>
      <c r="AT393" s="43"/>
      <c r="AU393" s="43"/>
      <c r="AV393" s="43"/>
      <c r="AW393" s="43"/>
      <c r="AX393" s="43"/>
      <c r="AY393" s="43"/>
      <c r="AZ393" s="43"/>
      <c r="BA393" s="43"/>
      <c r="BB393" s="43"/>
      <c r="BC393" s="43"/>
      <c r="BD393" s="43"/>
      <c r="BE393" s="43"/>
      <c r="BF393" s="43"/>
      <c r="BG393" s="43"/>
      <c r="BH393" s="43"/>
      <c r="BI393" s="43"/>
      <c r="BJ393" s="43"/>
      <c r="BK393" s="43"/>
      <c r="BL393" s="43"/>
      <c r="BM393" s="43"/>
      <c r="BN393" s="43"/>
      <c r="BO393" s="43"/>
      <c r="BP393" s="43"/>
      <c r="BQ393" s="43"/>
      <c r="BR393" s="43"/>
      <c r="BS393" s="43"/>
      <c r="BT393" s="43"/>
      <c r="BU393" s="43"/>
      <c r="BV393" s="43"/>
      <c r="BW393" s="43"/>
      <c r="BX393" s="43"/>
      <c r="BY393" s="43"/>
      <c r="BZ393" s="43"/>
      <c r="CA393" s="43"/>
      <c r="CB393" s="43"/>
      <c r="CC393" s="43"/>
      <c r="CD393" s="43"/>
      <c r="CE393" s="43"/>
      <c r="CF393" s="43"/>
      <c r="CG393" s="43"/>
      <c r="CH393" s="43"/>
      <c r="CI393" s="43"/>
      <c r="CJ393" s="43"/>
      <c r="CK393" s="43"/>
      <c r="CL393" s="43"/>
      <c r="CM393" s="43"/>
      <c r="CN393" s="43"/>
      <c r="CO393" s="43"/>
      <c r="CP393" s="43"/>
      <c r="CQ393" s="43"/>
      <c r="CR393" s="43"/>
      <c r="CS393" s="43"/>
      <c r="CT393" s="43"/>
      <c r="CU393" s="43"/>
      <c r="CV393" s="43"/>
      <c r="CW393" s="43"/>
      <c r="CX393" s="43"/>
      <c r="CY393" s="43"/>
      <c r="CZ393" s="43"/>
      <c r="DA393" s="43"/>
      <c r="DB393" s="43"/>
      <c r="DC393" s="43"/>
      <c r="DD393" s="43"/>
      <c r="DE393" s="43"/>
      <c r="DF393" s="43"/>
      <c r="DG393" s="43"/>
      <c r="DH393" s="43"/>
      <c r="DI393" s="43"/>
      <c r="DJ393" s="43"/>
      <c r="DK393" s="43"/>
      <c r="DL393" s="43"/>
      <c r="DM393" s="43"/>
      <c r="DN393" s="43"/>
      <c r="DO393" s="43"/>
      <c r="DP393" s="43"/>
      <c r="DQ393" s="43"/>
      <c r="DR393" s="43"/>
      <c r="DS393" s="43"/>
    </row>
    <row r="394" spans="1:123" ht="14.45">
      <c r="A394"/>
      <c r="B394"/>
      <c r="C394"/>
      <c r="D394"/>
      <c r="E394"/>
      <c r="F394"/>
      <c r="G394"/>
      <c r="H394"/>
      <c r="I394"/>
      <c r="J394"/>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c r="AJ394" s="43"/>
      <c r="AK394" s="43"/>
      <c r="AL394" s="43"/>
      <c r="AM394" s="43"/>
      <c r="AN394" s="43"/>
      <c r="AO394" s="43"/>
      <c r="AP394" s="43"/>
      <c r="AQ394" s="43"/>
      <c r="AR394" s="43"/>
      <c r="AS394" s="43"/>
      <c r="AT394" s="43"/>
      <c r="AU394" s="43"/>
      <c r="AV394" s="43"/>
      <c r="AW394" s="43"/>
      <c r="AX394" s="43"/>
      <c r="AY394" s="43"/>
      <c r="AZ394" s="43"/>
      <c r="BA394" s="43"/>
      <c r="BB394" s="43"/>
      <c r="BC394" s="43"/>
      <c r="BD394" s="43"/>
      <c r="BE394" s="43"/>
      <c r="BF394" s="43"/>
      <c r="BG394" s="43"/>
      <c r="BH394" s="43"/>
      <c r="BI394" s="43"/>
      <c r="BJ394" s="43"/>
      <c r="BK394" s="43"/>
      <c r="BL394" s="43"/>
      <c r="BM394" s="43"/>
      <c r="BN394" s="43"/>
      <c r="BO394" s="43"/>
      <c r="BP394" s="43"/>
      <c r="BQ394" s="43"/>
      <c r="BR394" s="43"/>
      <c r="BS394" s="43"/>
      <c r="BT394" s="43"/>
      <c r="BU394" s="43"/>
      <c r="BV394" s="43"/>
      <c r="BW394" s="43"/>
      <c r="BX394" s="43"/>
      <c r="BY394" s="43"/>
      <c r="BZ394" s="43"/>
      <c r="CA394" s="43"/>
      <c r="CB394" s="43"/>
      <c r="CC394" s="43"/>
      <c r="CD394" s="43"/>
      <c r="CE394" s="43"/>
      <c r="CF394" s="43"/>
      <c r="CG394" s="43"/>
      <c r="CH394" s="43"/>
      <c r="CI394" s="43"/>
      <c r="CJ394" s="43"/>
      <c r="CK394" s="43"/>
      <c r="CL394" s="43"/>
      <c r="CM394" s="43"/>
      <c r="CN394" s="43"/>
      <c r="CO394" s="43"/>
      <c r="CP394" s="43"/>
      <c r="CQ394" s="43"/>
      <c r="CR394" s="43"/>
      <c r="CS394" s="43"/>
      <c r="CT394" s="43"/>
      <c r="CU394" s="43"/>
      <c r="CV394" s="43"/>
      <c r="CW394" s="43"/>
      <c r="CX394" s="43"/>
      <c r="CY394" s="43"/>
      <c r="CZ394" s="43"/>
      <c r="DA394" s="43"/>
      <c r="DB394" s="43"/>
      <c r="DC394" s="43"/>
      <c r="DD394" s="43"/>
      <c r="DE394" s="43"/>
      <c r="DF394" s="43"/>
      <c r="DG394" s="43"/>
      <c r="DH394" s="43"/>
      <c r="DI394" s="43"/>
      <c r="DJ394" s="43"/>
      <c r="DK394" s="43"/>
      <c r="DL394" s="43"/>
      <c r="DM394" s="43"/>
      <c r="DN394" s="43"/>
      <c r="DO394" s="43"/>
      <c r="DP394" s="43"/>
      <c r="DQ394" s="43"/>
      <c r="DR394" s="43"/>
      <c r="DS394" s="43"/>
    </row>
    <row r="395" spans="1:123" ht="14.45">
      <c r="A395"/>
      <c r="B395"/>
      <c r="C395"/>
      <c r="D395"/>
      <c r="E395"/>
      <c r="F395"/>
      <c r="G395"/>
      <c r="H395"/>
      <c r="I395"/>
      <c r="J395"/>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c r="AJ395" s="43"/>
      <c r="AK395" s="43"/>
      <c r="AL395" s="43"/>
      <c r="AM395" s="43"/>
      <c r="AN395" s="43"/>
      <c r="AO395" s="43"/>
      <c r="AP395" s="43"/>
      <c r="AQ395" s="43"/>
      <c r="AR395" s="43"/>
      <c r="AS395" s="43"/>
      <c r="AT395" s="43"/>
      <c r="AU395" s="43"/>
      <c r="AV395" s="43"/>
      <c r="AW395" s="43"/>
      <c r="AX395" s="43"/>
      <c r="AY395" s="43"/>
      <c r="AZ395" s="43"/>
      <c r="BA395" s="43"/>
      <c r="BB395" s="43"/>
      <c r="BC395" s="43"/>
      <c r="BD395" s="43"/>
      <c r="BE395" s="43"/>
      <c r="BF395" s="43"/>
      <c r="BG395" s="43"/>
      <c r="BH395" s="43"/>
      <c r="BI395" s="43"/>
      <c r="BJ395" s="43"/>
      <c r="BK395" s="43"/>
      <c r="BL395" s="43"/>
      <c r="BM395" s="43"/>
      <c r="BN395" s="43"/>
      <c r="BO395" s="43"/>
      <c r="BP395" s="43"/>
      <c r="BQ395" s="43"/>
      <c r="BR395" s="43"/>
      <c r="BS395" s="43"/>
      <c r="BT395" s="43"/>
      <c r="BU395" s="43"/>
      <c r="BV395" s="43"/>
      <c r="BW395" s="43"/>
      <c r="BX395" s="43"/>
      <c r="BY395" s="43"/>
      <c r="BZ395" s="43"/>
      <c r="CA395" s="43"/>
      <c r="CB395" s="43"/>
      <c r="CC395" s="43"/>
      <c r="CD395" s="43"/>
      <c r="CE395" s="43"/>
      <c r="CF395" s="43"/>
      <c r="CG395" s="43"/>
      <c r="CH395" s="43"/>
      <c r="CI395" s="43"/>
      <c r="CJ395" s="43"/>
      <c r="CK395" s="43"/>
      <c r="CL395" s="43"/>
      <c r="CM395" s="43"/>
      <c r="CN395" s="43"/>
      <c r="CO395" s="43"/>
      <c r="CP395" s="43"/>
      <c r="CQ395" s="43"/>
      <c r="CR395" s="43"/>
      <c r="CS395" s="43"/>
      <c r="CT395" s="43"/>
      <c r="CU395" s="43"/>
      <c r="CV395" s="43"/>
      <c r="CW395" s="43"/>
      <c r="CX395" s="43"/>
      <c r="CY395" s="43"/>
      <c r="CZ395" s="43"/>
      <c r="DA395" s="43"/>
      <c r="DB395" s="43"/>
      <c r="DC395" s="43"/>
      <c r="DD395" s="43"/>
      <c r="DE395" s="43"/>
      <c r="DF395" s="43"/>
      <c r="DG395" s="43"/>
      <c r="DH395" s="43"/>
      <c r="DI395" s="43"/>
      <c r="DJ395" s="43"/>
      <c r="DK395" s="43"/>
      <c r="DL395" s="43"/>
      <c r="DM395" s="43"/>
      <c r="DN395" s="43"/>
      <c r="DO395" s="43"/>
      <c r="DP395" s="43"/>
      <c r="DQ395" s="43"/>
      <c r="DR395" s="43"/>
      <c r="DS395" s="43"/>
    </row>
    <row r="396" spans="1:123" ht="14.45">
      <c r="A396"/>
      <c r="B396"/>
      <c r="C396"/>
      <c r="D396"/>
      <c r="E396"/>
      <c r="F396"/>
      <c r="G396"/>
      <c r="H396"/>
      <c r="I396"/>
      <c r="J396"/>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c r="AJ396" s="43"/>
      <c r="AK396" s="43"/>
      <c r="AL396" s="43"/>
      <c r="AM396" s="43"/>
      <c r="AN396" s="43"/>
      <c r="AO396" s="43"/>
      <c r="AP396" s="43"/>
      <c r="AQ396" s="43"/>
      <c r="AR396" s="43"/>
      <c r="AS396" s="43"/>
      <c r="AT396" s="43"/>
      <c r="AU396" s="43"/>
      <c r="AV396" s="43"/>
      <c r="AW396" s="43"/>
      <c r="AX396" s="43"/>
      <c r="AY396" s="43"/>
      <c r="AZ396" s="43"/>
      <c r="BA396" s="43"/>
      <c r="BB396" s="43"/>
      <c r="BC396" s="43"/>
      <c r="BD396" s="43"/>
      <c r="BE396" s="43"/>
      <c r="BF396" s="43"/>
      <c r="BG396" s="43"/>
      <c r="BH396" s="43"/>
      <c r="BI396" s="43"/>
      <c r="BJ396" s="43"/>
      <c r="BK396" s="43"/>
      <c r="BL396" s="43"/>
      <c r="BM396" s="43"/>
      <c r="BN396" s="43"/>
      <c r="BO396" s="43"/>
      <c r="BP396" s="43"/>
      <c r="BQ396" s="43"/>
      <c r="BR396" s="43"/>
      <c r="BS396" s="43"/>
      <c r="BT396" s="43"/>
      <c r="BU396" s="43"/>
      <c r="BV396" s="43"/>
      <c r="BW396" s="43"/>
      <c r="BX396" s="43"/>
      <c r="BY396" s="43"/>
      <c r="BZ396" s="43"/>
      <c r="CA396" s="43"/>
      <c r="CB396" s="43"/>
      <c r="CC396" s="43"/>
      <c r="CD396" s="43"/>
      <c r="CE396" s="43"/>
      <c r="CF396" s="43"/>
      <c r="CG396" s="43"/>
      <c r="CH396" s="43"/>
      <c r="CI396" s="43"/>
      <c r="CJ396" s="43"/>
      <c r="CK396" s="43"/>
      <c r="CL396" s="43"/>
      <c r="CM396" s="43"/>
      <c r="CN396" s="43"/>
      <c r="CO396" s="43"/>
      <c r="CP396" s="43"/>
      <c r="CQ396" s="43"/>
      <c r="CR396" s="43"/>
      <c r="CS396" s="43"/>
      <c r="CT396" s="43"/>
      <c r="CU396" s="43"/>
      <c r="CV396" s="43"/>
      <c r="CW396" s="43"/>
      <c r="CX396" s="43"/>
      <c r="CY396" s="43"/>
      <c r="CZ396" s="43"/>
      <c r="DA396" s="43"/>
      <c r="DB396" s="43"/>
      <c r="DC396" s="43"/>
      <c r="DD396" s="43"/>
      <c r="DE396" s="43"/>
      <c r="DF396" s="43"/>
      <c r="DG396" s="43"/>
      <c r="DH396" s="43"/>
      <c r="DI396" s="43"/>
      <c r="DJ396" s="43"/>
      <c r="DK396" s="43"/>
      <c r="DL396" s="43"/>
      <c r="DM396" s="43"/>
      <c r="DN396" s="43"/>
      <c r="DO396" s="43"/>
      <c r="DP396" s="43"/>
      <c r="DQ396" s="43"/>
      <c r="DR396" s="43"/>
      <c r="DS396" s="43"/>
    </row>
    <row r="397" spans="1:123" ht="14.45">
      <c r="A397"/>
      <c r="B397"/>
      <c r="C397"/>
      <c r="D397"/>
      <c r="E397"/>
      <c r="F397"/>
      <c r="G397"/>
      <c r="H397"/>
      <c r="I397"/>
      <c r="J397"/>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c r="AJ397" s="43"/>
      <c r="AK397" s="43"/>
      <c r="AL397" s="43"/>
      <c r="AM397" s="43"/>
      <c r="AN397" s="43"/>
      <c r="AO397" s="43"/>
      <c r="AP397" s="43"/>
      <c r="AQ397" s="43"/>
      <c r="AR397" s="43"/>
      <c r="AS397" s="43"/>
      <c r="AT397" s="43"/>
      <c r="AU397" s="43"/>
      <c r="AV397" s="43"/>
      <c r="AW397" s="43"/>
      <c r="AX397" s="43"/>
      <c r="AY397" s="43"/>
      <c r="AZ397" s="43"/>
      <c r="BA397" s="43"/>
      <c r="BB397" s="43"/>
      <c r="BC397" s="43"/>
      <c r="BD397" s="43"/>
      <c r="BE397" s="43"/>
      <c r="BF397" s="43"/>
      <c r="BG397" s="43"/>
      <c r="BH397" s="43"/>
      <c r="BI397" s="43"/>
      <c r="BJ397" s="43"/>
      <c r="BK397" s="43"/>
      <c r="BL397" s="43"/>
      <c r="BM397" s="43"/>
      <c r="BN397" s="43"/>
      <c r="BO397" s="43"/>
      <c r="BP397" s="43"/>
      <c r="BQ397" s="43"/>
      <c r="BR397" s="43"/>
      <c r="BS397" s="43"/>
      <c r="BT397" s="43"/>
      <c r="BU397" s="43"/>
      <c r="BV397" s="43"/>
      <c r="BW397" s="43"/>
      <c r="BX397" s="43"/>
      <c r="BY397" s="43"/>
      <c r="BZ397" s="43"/>
      <c r="CA397" s="43"/>
      <c r="CB397" s="43"/>
      <c r="CC397" s="43"/>
      <c r="CD397" s="43"/>
      <c r="CE397" s="43"/>
      <c r="CF397" s="43"/>
      <c r="CG397" s="43"/>
      <c r="CH397" s="43"/>
      <c r="CI397" s="43"/>
      <c r="CJ397" s="43"/>
      <c r="CK397" s="43"/>
      <c r="CL397" s="43"/>
      <c r="CM397" s="43"/>
      <c r="CN397" s="43"/>
      <c r="CO397" s="43"/>
      <c r="CP397" s="43"/>
      <c r="CQ397" s="43"/>
      <c r="CR397" s="43"/>
      <c r="CS397" s="43"/>
      <c r="CT397" s="43"/>
      <c r="CU397" s="43"/>
      <c r="CV397" s="43"/>
      <c r="CW397" s="43"/>
      <c r="CX397" s="43"/>
      <c r="CY397" s="43"/>
      <c r="CZ397" s="43"/>
      <c r="DA397" s="43"/>
      <c r="DB397" s="43"/>
      <c r="DC397" s="43"/>
      <c r="DD397" s="43"/>
      <c r="DE397" s="43"/>
      <c r="DF397" s="43"/>
      <c r="DG397" s="43"/>
      <c r="DH397" s="43"/>
      <c r="DI397" s="43"/>
      <c r="DJ397" s="43"/>
      <c r="DK397" s="43"/>
      <c r="DL397" s="43"/>
      <c r="DM397" s="43"/>
      <c r="DN397" s="43"/>
      <c r="DO397" s="43"/>
      <c r="DP397" s="43"/>
      <c r="DQ397" s="43"/>
      <c r="DR397" s="43"/>
      <c r="DS397" s="43"/>
    </row>
    <row r="398" spans="1:123" ht="14.45">
      <c r="A398"/>
      <c r="B398"/>
      <c r="C398"/>
      <c r="D398"/>
      <c r="E398"/>
      <c r="F398"/>
      <c r="G398"/>
      <c r="H398"/>
      <c r="I398"/>
      <c r="J398"/>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c r="AJ398" s="43"/>
      <c r="AK398" s="43"/>
      <c r="AL398" s="43"/>
      <c r="AM398" s="43"/>
      <c r="AN398" s="43"/>
      <c r="AO398" s="43"/>
      <c r="AP398" s="43"/>
      <c r="AQ398" s="43"/>
      <c r="AR398" s="43"/>
      <c r="AS398" s="43"/>
      <c r="AT398" s="43"/>
      <c r="AU398" s="43"/>
      <c r="AV398" s="43"/>
      <c r="AW398" s="43"/>
      <c r="AX398" s="43"/>
      <c r="AY398" s="43"/>
      <c r="AZ398" s="43"/>
      <c r="BA398" s="43"/>
      <c r="BB398" s="43"/>
      <c r="BC398" s="43"/>
      <c r="BD398" s="43"/>
      <c r="BE398" s="43"/>
      <c r="BF398" s="43"/>
      <c r="BG398" s="43"/>
      <c r="BH398" s="43"/>
      <c r="BI398" s="43"/>
      <c r="BJ398" s="43"/>
      <c r="BK398" s="43"/>
      <c r="BL398" s="43"/>
      <c r="BM398" s="43"/>
      <c r="BN398" s="43"/>
      <c r="BO398" s="43"/>
      <c r="BP398" s="43"/>
      <c r="BQ398" s="43"/>
      <c r="BR398" s="43"/>
      <c r="BS398" s="43"/>
      <c r="BT398" s="43"/>
      <c r="BU398" s="43"/>
      <c r="BV398" s="43"/>
      <c r="BW398" s="43"/>
      <c r="BX398" s="43"/>
      <c r="BY398" s="43"/>
      <c r="BZ398" s="43"/>
      <c r="CA398" s="43"/>
      <c r="CB398" s="43"/>
      <c r="CC398" s="43"/>
      <c r="CD398" s="43"/>
      <c r="CE398" s="43"/>
      <c r="CF398" s="43"/>
      <c r="CG398" s="43"/>
      <c r="CH398" s="43"/>
      <c r="CI398" s="43"/>
      <c r="CJ398" s="43"/>
      <c r="CK398" s="43"/>
      <c r="CL398" s="43"/>
      <c r="CM398" s="43"/>
      <c r="CN398" s="43"/>
      <c r="CO398" s="43"/>
      <c r="CP398" s="43"/>
      <c r="CQ398" s="43"/>
      <c r="CR398" s="43"/>
      <c r="CS398" s="43"/>
      <c r="CT398" s="43"/>
      <c r="CU398" s="43"/>
      <c r="CV398" s="43"/>
      <c r="CW398" s="43"/>
      <c r="CX398" s="43"/>
      <c r="CY398" s="43"/>
      <c r="CZ398" s="43"/>
      <c r="DA398" s="43"/>
      <c r="DB398" s="43"/>
      <c r="DC398" s="43"/>
      <c r="DD398" s="43"/>
      <c r="DE398" s="43"/>
      <c r="DF398" s="43"/>
      <c r="DG398" s="43"/>
      <c r="DH398" s="43"/>
      <c r="DI398" s="43"/>
      <c r="DJ398" s="43"/>
      <c r="DK398" s="43"/>
      <c r="DL398" s="43"/>
      <c r="DM398" s="43"/>
      <c r="DN398" s="43"/>
      <c r="DO398" s="43"/>
      <c r="DP398" s="43"/>
      <c r="DQ398" s="43"/>
      <c r="DR398" s="43"/>
      <c r="DS398" s="43"/>
    </row>
    <row r="399" spans="1:123" ht="14.45">
      <c r="A399"/>
      <c r="B399"/>
      <c r="C399"/>
      <c r="D399"/>
      <c r="E399"/>
      <c r="F399"/>
      <c r="G399"/>
      <c r="H399"/>
      <c r="I399"/>
      <c r="J399"/>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c r="AJ399" s="43"/>
      <c r="AK399" s="43"/>
      <c r="AL399" s="43"/>
      <c r="AM399" s="43"/>
      <c r="AN399" s="43"/>
      <c r="AO399" s="43"/>
      <c r="AP399" s="43"/>
      <c r="AQ399" s="43"/>
      <c r="AR399" s="43"/>
      <c r="AS399" s="43"/>
      <c r="AT399" s="43"/>
      <c r="AU399" s="43"/>
      <c r="AV399" s="43"/>
      <c r="AW399" s="43"/>
      <c r="AX399" s="43"/>
      <c r="AY399" s="43"/>
      <c r="AZ399" s="43"/>
      <c r="BA399" s="43"/>
      <c r="BB399" s="43"/>
      <c r="BC399" s="43"/>
      <c r="BD399" s="43"/>
      <c r="BE399" s="43"/>
      <c r="BF399" s="43"/>
      <c r="BG399" s="43"/>
      <c r="BH399" s="43"/>
      <c r="BI399" s="43"/>
      <c r="BJ399" s="43"/>
      <c r="BK399" s="43"/>
      <c r="BL399" s="43"/>
      <c r="BM399" s="43"/>
      <c r="BN399" s="43"/>
      <c r="BO399" s="43"/>
      <c r="BP399" s="43"/>
      <c r="BQ399" s="43"/>
      <c r="BR399" s="43"/>
      <c r="BS399" s="43"/>
      <c r="BT399" s="43"/>
      <c r="BU399" s="43"/>
      <c r="BV399" s="43"/>
      <c r="BW399" s="43"/>
      <c r="BX399" s="43"/>
      <c r="BY399" s="43"/>
      <c r="BZ399" s="43"/>
      <c r="CA399" s="43"/>
      <c r="CB399" s="43"/>
      <c r="CC399" s="43"/>
      <c r="CD399" s="43"/>
      <c r="CE399" s="43"/>
      <c r="CF399" s="43"/>
      <c r="CG399" s="43"/>
      <c r="CH399" s="43"/>
      <c r="CI399" s="43"/>
      <c r="CJ399" s="43"/>
      <c r="CK399" s="43"/>
      <c r="CL399" s="43"/>
      <c r="CM399" s="43"/>
      <c r="CN399" s="43"/>
      <c r="CO399" s="43"/>
      <c r="CP399" s="43"/>
      <c r="CQ399" s="43"/>
      <c r="CR399" s="43"/>
      <c r="CS399" s="43"/>
      <c r="CT399" s="43"/>
      <c r="CU399" s="43"/>
      <c r="CV399" s="43"/>
      <c r="CW399" s="43"/>
      <c r="CX399" s="43"/>
      <c r="CY399" s="43"/>
      <c r="CZ399" s="43"/>
      <c r="DA399" s="43"/>
      <c r="DB399" s="43"/>
      <c r="DC399" s="43"/>
      <c r="DD399" s="43"/>
      <c r="DE399" s="43"/>
      <c r="DF399" s="43"/>
      <c r="DG399" s="43"/>
      <c r="DH399" s="43"/>
      <c r="DI399" s="43"/>
      <c r="DJ399" s="43"/>
      <c r="DK399" s="43"/>
      <c r="DL399" s="43"/>
      <c r="DM399" s="43"/>
      <c r="DN399" s="43"/>
      <c r="DO399" s="43"/>
      <c r="DP399" s="43"/>
      <c r="DQ399" s="43"/>
      <c r="DR399" s="43"/>
      <c r="DS399" s="43"/>
    </row>
    <row r="400" spans="1:123" ht="14.45">
      <c r="A400"/>
      <c r="B400"/>
      <c r="C400"/>
      <c r="D400"/>
      <c r="E400"/>
      <c r="F400"/>
      <c r="G400"/>
      <c r="H400"/>
      <c r="I400"/>
      <c r="J400"/>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c r="AJ400" s="43"/>
      <c r="AK400" s="43"/>
      <c r="AL400" s="43"/>
      <c r="AM400" s="43"/>
      <c r="AN400" s="43"/>
      <c r="AO400" s="43"/>
      <c r="AP400" s="43"/>
      <c r="AQ400" s="43"/>
      <c r="AR400" s="43"/>
      <c r="AS400" s="43"/>
      <c r="AT400" s="43"/>
      <c r="AU400" s="43"/>
      <c r="AV400" s="43"/>
      <c r="AW400" s="43"/>
      <c r="AX400" s="43"/>
      <c r="AY400" s="43"/>
      <c r="AZ400" s="43"/>
      <c r="BA400" s="43"/>
      <c r="BB400" s="43"/>
      <c r="BC400" s="43"/>
      <c r="BD400" s="43"/>
      <c r="BE400" s="43"/>
      <c r="BF400" s="43"/>
      <c r="BG400" s="43"/>
      <c r="BH400" s="43"/>
      <c r="BI400" s="43"/>
      <c r="BJ400" s="43"/>
      <c r="BK400" s="43"/>
      <c r="BL400" s="43"/>
      <c r="BM400" s="43"/>
      <c r="BN400" s="43"/>
      <c r="BO400" s="43"/>
      <c r="BP400" s="43"/>
      <c r="BQ400" s="43"/>
      <c r="BR400" s="43"/>
      <c r="BS400" s="43"/>
      <c r="BT400" s="43"/>
      <c r="BU400" s="43"/>
      <c r="BV400" s="43"/>
      <c r="BW400" s="43"/>
      <c r="BX400" s="43"/>
      <c r="BY400" s="43"/>
      <c r="BZ400" s="43"/>
      <c r="CA400" s="43"/>
      <c r="CB400" s="43"/>
      <c r="CC400" s="43"/>
      <c r="CD400" s="43"/>
      <c r="CE400" s="43"/>
      <c r="CF400" s="43"/>
      <c r="CG400" s="43"/>
      <c r="CH400" s="43"/>
      <c r="CI400" s="43"/>
      <c r="CJ400" s="43"/>
      <c r="CK400" s="43"/>
      <c r="CL400" s="43"/>
      <c r="CM400" s="43"/>
      <c r="CN400" s="43"/>
      <c r="CO400" s="43"/>
      <c r="CP400" s="43"/>
      <c r="CQ400" s="43"/>
      <c r="CR400" s="43"/>
      <c r="CS400" s="43"/>
      <c r="CT400" s="43"/>
      <c r="CU400" s="43"/>
      <c r="CV400" s="43"/>
      <c r="CW400" s="43"/>
      <c r="CX400" s="43"/>
      <c r="CY400" s="43"/>
      <c r="CZ400" s="43"/>
      <c r="DA400" s="43"/>
      <c r="DB400" s="43"/>
      <c r="DC400" s="43"/>
      <c r="DD400" s="43"/>
      <c r="DE400" s="43"/>
      <c r="DF400" s="43"/>
      <c r="DG400" s="43"/>
      <c r="DH400" s="43"/>
      <c r="DI400" s="43"/>
      <c r="DJ400" s="43"/>
      <c r="DK400" s="43"/>
      <c r="DL400" s="43"/>
      <c r="DM400" s="43"/>
      <c r="DN400" s="43"/>
      <c r="DO400" s="43"/>
      <c r="DP400" s="43"/>
      <c r="DQ400" s="43"/>
      <c r="DR400" s="43"/>
      <c r="DS400" s="43"/>
    </row>
    <row r="401" spans="1:123" ht="14.45">
      <c r="A401"/>
      <c r="B401"/>
      <c r="C401"/>
      <c r="D401"/>
      <c r="E401"/>
      <c r="F401"/>
      <c r="G401"/>
      <c r="H401"/>
      <c r="I401"/>
      <c r="J401"/>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3"/>
      <c r="AM401" s="43"/>
      <c r="AN401" s="43"/>
      <c r="AO401" s="43"/>
      <c r="AP401" s="43"/>
      <c r="AQ401" s="43"/>
      <c r="AR401" s="43"/>
      <c r="AS401" s="43"/>
      <c r="AT401" s="43"/>
      <c r="AU401" s="43"/>
      <c r="AV401" s="43"/>
      <c r="AW401" s="43"/>
      <c r="AX401" s="43"/>
      <c r="AY401" s="43"/>
      <c r="AZ401" s="43"/>
      <c r="BA401" s="43"/>
      <c r="BB401" s="43"/>
      <c r="BC401" s="43"/>
      <c r="BD401" s="43"/>
      <c r="BE401" s="43"/>
      <c r="BF401" s="43"/>
      <c r="BG401" s="43"/>
      <c r="BH401" s="43"/>
      <c r="BI401" s="43"/>
      <c r="BJ401" s="43"/>
      <c r="BK401" s="43"/>
      <c r="BL401" s="43"/>
      <c r="BM401" s="43"/>
      <c r="BN401" s="43"/>
      <c r="BO401" s="43"/>
      <c r="BP401" s="43"/>
      <c r="BQ401" s="43"/>
      <c r="BR401" s="43"/>
      <c r="BS401" s="43"/>
      <c r="BT401" s="43"/>
      <c r="BU401" s="43"/>
      <c r="BV401" s="43"/>
      <c r="BW401" s="43"/>
      <c r="BX401" s="43"/>
      <c r="BY401" s="43"/>
      <c r="BZ401" s="43"/>
      <c r="CA401" s="43"/>
      <c r="CB401" s="43"/>
      <c r="CC401" s="43"/>
      <c r="CD401" s="43"/>
      <c r="CE401" s="43"/>
      <c r="CF401" s="43"/>
      <c r="CG401" s="43"/>
      <c r="CH401" s="43"/>
      <c r="CI401" s="43"/>
      <c r="CJ401" s="43"/>
      <c r="CK401" s="43"/>
      <c r="CL401" s="43"/>
      <c r="CM401" s="43"/>
      <c r="CN401" s="43"/>
      <c r="CO401" s="43"/>
      <c r="CP401" s="43"/>
      <c r="CQ401" s="43"/>
      <c r="CR401" s="43"/>
      <c r="CS401" s="43"/>
      <c r="CT401" s="43"/>
      <c r="CU401" s="43"/>
      <c r="CV401" s="43"/>
      <c r="CW401" s="43"/>
      <c r="CX401" s="43"/>
      <c r="CY401" s="43"/>
      <c r="CZ401" s="43"/>
      <c r="DA401" s="43"/>
      <c r="DB401" s="43"/>
      <c r="DC401" s="43"/>
      <c r="DD401" s="43"/>
      <c r="DE401" s="43"/>
      <c r="DF401" s="43"/>
      <c r="DG401" s="43"/>
      <c r="DH401" s="43"/>
      <c r="DI401" s="43"/>
      <c r="DJ401" s="43"/>
      <c r="DK401" s="43"/>
      <c r="DL401" s="43"/>
      <c r="DM401" s="43"/>
      <c r="DN401" s="43"/>
      <c r="DO401" s="43"/>
      <c r="DP401" s="43"/>
      <c r="DQ401" s="43"/>
      <c r="DR401" s="43"/>
      <c r="DS401" s="43"/>
    </row>
    <row r="402" spans="1:123" ht="14.45">
      <c r="A402"/>
      <c r="B402"/>
      <c r="C402"/>
      <c r="D402"/>
      <c r="E402"/>
      <c r="F402"/>
      <c r="G402"/>
      <c r="H402"/>
      <c r="I402"/>
      <c r="J402"/>
      <c r="K402" s="43"/>
      <c r="L402" s="43"/>
      <c r="M402" s="43"/>
      <c r="N402" s="43"/>
      <c r="O402" s="43"/>
      <c r="P402" s="43"/>
      <c r="Q402" s="43"/>
      <c r="R402" s="43"/>
      <c r="S402" s="43"/>
      <c r="T402" s="43"/>
      <c r="U402" s="43"/>
      <c r="V402" s="43"/>
      <c r="W402" s="43"/>
      <c r="X402" s="43"/>
      <c r="Y402" s="43"/>
      <c r="Z402" s="43"/>
      <c r="AA402" s="43"/>
      <c r="AB402" s="43"/>
      <c r="AC402" s="43"/>
      <c r="AD402" s="43"/>
      <c r="AE402" s="43"/>
      <c r="AF402" s="43"/>
      <c r="AG402" s="43"/>
      <c r="AH402" s="43"/>
      <c r="AI402" s="43"/>
      <c r="AJ402" s="43"/>
      <c r="AK402" s="43"/>
      <c r="AL402" s="43"/>
      <c r="AM402" s="43"/>
      <c r="AN402" s="43"/>
      <c r="AO402" s="43"/>
      <c r="AP402" s="43"/>
      <c r="AQ402" s="43"/>
      <c r="AR402" s="43"/>
      <c r="AS402" s="43"/>
      <c r="AT402" s="43"/>
      <c r="AU402" s="43"/>
      <c r="AV402" s="43"/>
      <c r="AW402" s="43"/>
      <c r="AX402" s="43"/>
      <c r="AY402" s="43"/>
      <c r="AZ402" s="43"/>
      <c r="BA402" s="43"/>
      <c r="BB402" s="43"/>
      <c r="BC402" s="43"/>
      <c r="BD402" s="43"/>
      <c r="BE402" s="43"/>
      <c r="BF402" s="43"/>
      <c r="BG402" s="43"/>
      <c r="BH402" s="43"/>
      <c r="BI402" s="43"/>
      <c r="BJ402" s="43"/>
      <c r="BK402" s="43"/>
      <c r="BL402" s="43"/>
      <c r="BM402" s="43"/>
      <c r="BN402" s="43"/>
      <c r="BO402" s="43"/>
      <c r="BP402" s="43"/>
      <c r="BQ402" s="43"/>
      <c r="BR402" s="43"/>
      <c r="BS402" s="43"/>
      <c r="BT402" s="43"/>
      <c r="BU402" s="43"/>
      <c r="BV402" s="43"/>
      <c r="BW402" s="43"/>
      <c r="BX402" s="43"/>
      <c r="BY402" s="43"/>
      <c r="BZ402" s="43"/>
      <c r="CA402" s="43"/>
      <c r="CB402" s="43"/>
      <c r="CC402" s="43"/>
      <c r="CD402" s="43"/>
      <c r="CE402" s="43"/>
      <c r="CF402" s="43"/>
      <c r="CG402" s="43"/>
      <c r="CH402" s="43"/>
      <c r="CI402" s="43"/>
      <c r="CJ402" s="43"/>
      <c r="CK402" s="43"/>
      <c r="CL402" s="43"/>
      <c r="CM402" s="43"/>
      <c r="CN402" s="43"/>
      <c r="CO402" s="43"/>
      <c r="CP402" s="43"/>
      <c r="CQ402" s="43"/>
      <c r="CR402" s="43"/>
      <c r="CS402" s="43"/>
      <c r="CT402" s="43"/>
      <c r="CU402" s="43"/>
      <c r="CV402" s="43"/>
      <c r="CW402" s="43"/>
      <c r="CX402" s="43"/>
      <c r="CY402" s="43"/>
      <c r="CZ402" s="43"/>
      <c r="DA402" s="43"/>
      <c r="DB402" s="43"/>
      <c r="DC402" s="43"/>
      <c r="DD402" s="43"/>
      <c r="DE402" s="43"/>
      <c r="DF402" s="43"/>
      <c r="DG402" s="43"/>
      <c r="DH402" s="43"/>
      <c r="DI402" s="43"/>
      <c r="DJ402" s="43"/>
      <c r="DK402" s="43"/>
      <c r="DL402" s="43"/>
      <c r="DM402" s="43"/>
      <c r="DN402" s="43"/>
      <c r="DO402" s="43"/>
      <c r="DP402" s="43"/>
      <c r="DQ402" s="43"/>
      <c r="DR402" s="43"/>
      <c r="DS402" s="43"/>
    </row>
    <row r="403" spans="1:123" ht="14.45">
      <c r="A403"/>
      <c r="B403"/>
      <c r="C403"/>
      <c r="D403"/>
      <c r="E403"/>
      <c r="F403"/>
      <c r="G403"/>
      <c r="H403"/>
      <c r="I403"/>
      <c r="J403"/>
      <c r="K403" s="43"/>
      <c r="L403" s="43"/>
      <c r="M403" s="43"/>
      <c r="N403" s="43"/>
      <c r="O403" s="43"/>
      <c r="P403" s="43"/>
      <c r="Q403" s="43"/>
      <c r="R403" s="43"/>
      <c r="S403" s="43"/>
      <c r="T403" s="43"/>
      <c r="U403" s="43"/>
      <c r="V403" s="43"/>
      <c r="W403" s="43"/>
      <c r="X403" s="43"/>
      <c r="Y403" s="43"/>
      <c r="Z403" s="43"/>
      <c r="AA403" s="43"/>
      <c r="AB403" s="43"/>
      <c r="AC403" s="43"/>
      <c r="AD403" s="43"/>
      <c r="AE403" s="43"/>
      <c r="AF403" s="43"/>
      <c r="AG403" s="43"/>
      <c r="AH403" s="43"/>
      <c r="AI403" s="43"/>
      <c r="AJ403" s="43"/>
      <c r="AK403" s="43"/>
      <c r="AL403" s="43"/>
      <c r="AM403" s="43"/>
      <c r="AN403" s="43"/>
      <c r="AO403" s="43"/>
      <c r="AP403" s="43"/>
      <c r="AQ403" s="43"/>
      <c r="AR403" s="43"/>
      <c r="AS403" s="43"/>
      <c r="AT403" s="43"/>
      <c r="AU403" s="43"/>
      <c r="AV403" s="43"/>
      <c r="AW403" s="43"/>
      <c r="AX403" s="43"/>
      <c r="AY403" s="43"/>
      <c r="AZ403" s="43"/>
      <c r="BA403" s="43"/>
      <c r="BB403" s="43"/>
      <c r="BC403" s="43"/>
      <c r="BD403" s="43"/>
      <c r="BE403" s="43"/>
      <c r="BF403" s="43"/>
      <c r="BG403" s="43"/>
      <c r="BH403" s="43"/>
      <c r="BI403" s="43"/>
      <c r="BJ403" s="43"/>
      <c r="BK403" s="43"/>
      <c r="BL403" s="43"/>
      <c r="BM403" s="43"/>
      <c r="BN403" s="43"/>
      <c r="BO403" s="43"/>
      <c r="BP403" s="43"/>
      <c r="BQ403" s="43"/>
      <c r="BR403" s="43"/>
      <c r="BS403" s="43"/>
      <c r="BT403" s="43"/>
      <c r="BU403" s="43"/>
      <c r="BV403" s="43"/>
      <c r="BW403" s="43"/>
      <c r="BX403" s="43"/>
      <c r="BY403" s="43"/>
      <c r="BZ403" s="43"/>
      <c r="CA403" s="43"/>
      <c r="CB403" s="43"/>
      <c r="CC403" s="43"/>
      <c r="CD403" s="43"/>
      <c r="CE403" s="43"/>
      <c r="CF403" s="43"/>
      <c r="CG403" s="43"/>
      <c r="CH403" s="43"/>
      <c r="CI403" s="43"/>
      <c r="CJ403" s="43"/>
      <c r="CK403" s="43"/>
      <c r="CL403" s="43"/>
      <c r="CM403" s="43"/>
      <c r="CN403" s="43"/>
      <c r="CO403" s="43"/>
      <c r="CP403" s="43"/>
      <c r="CQ403" s="43"/>
      <c r="CR403" s="43"/>
      <c r="CS403" s="43"/>
      <c r="CT403" s="43"/>
      <c r="CU403" s="43"/>
      <c r="CV403" s="43"/>
      <c r="CW403" s="43"/>
      <c r="CX403" s="43"/>
      <c r="CY403" s="43"/>
      <c r="CZ403" s="43"/>
      <c r="DA403" s="43"/>
      <c r="DB403" s="43"/>
      <c r="DC403" s="43"/>
      <c r="DD403" s="43"/>
      <c r="DE403" s="43"/>
      <c r="DF403" s="43"/>
      <c r="DG403" s="43"/>
      <c r="DH403" s="43"/>
      <c r="DI403" s="43"/>
      <c r="DJ403" s="43"/>
      <c r="DK403" s="43"/>
      <c r="DL403" s="43"/>
      <c r="DM403" s="43"/>
      <c r="DN403" s="43"/>
      <c r="DO403" s="43"/>
      <c r="DP403" s="43"/>
      <c r="DQ403" s="43"/>
      <c r="DR403" s="43"/>
      <c r="DS403" s="43"/>
    </row>
    <row r="404" spans="1:123" ht="14.45">
      <c r="A404"/>
      <c r="B404"/>
      <c r="C404"/>
      <c r="D404"/>
      <c r="E404"/>
      <c r="F404"/>
      <c r="G404"/>
      <c r="H404"/>
      <c r="I404"/>
      <c r="J404"/>
      <c r="K404" s="43"/>
      <c r="L404" s="43"/>
      <c r="M404" s="43"/>
      <c r="N404" s="43"/>
      <c r="O404" s="43"/>
      <c r="P404" s="43"/>
      <c r="Q404" s="43"/>
      <c r="R404" s="43"/>
      <c r="S404" s="43"/>
      <c r="T404" s="43"/>
      <c r="U404" s="43"/>
      <c r="V404" s="43"/>
      <c r="W404" s="43"/>
      <c r="X404" s="43"/>
      <c r="Y404" s="43"/>
      <c r="Z404" s="43"/>
      <c r="AA404" s="43"/>
      <c r="AB404" s="43"/>
      <c r="AC404" s="43"/>
      <c r="AD404" s="43"/>
      <c r="AE404" s="43"/>
      <c r="AF404" s="43"/>
      <c r="AG404" s="43"/>
      <c r="AH404" s="43"/>
      <c r="AI404" s="43"/>
      <c r="AJ404" s="43"/>
      <c r="AK404" s="43"/>
      <c r="AL404" s="43"/>
      <c r="AM404" s="43"/>
      <c r="AN404" s="43"/>
      <c r="AO404" s="43"/>
      <c r="AP404" s="43"/>
      <c r="AQ404" s="43"/>
      <c r="AR404" s="43"/>
      <c r="AS404" s="43"/>
      <c r="AT404" s="43"/>
      <c r="AU404" s="43"/>
      <c r="AV404" s="43"/>
      <c r="AW404" s="43"/>
      <c r="AX404" s="43"/>
      <c r="AY404" s="43"/>
      <c r="AZ404" s="43"/>
      <c r="BA404" s="43"/>
      <c r="BB404" s="43"/>
      <c r="BC404" s="43"/>
      <c r="BD404" s="43"/>
      <c r="BE404" s="43"/>
      <c r="BF404" s="43"/>
      <c r="BG404" s="43"/>
      <c r="BH404" s="43"/>
      <c r="BI404" s="43"/>
      <c r="BJ404" s="43"/>
      <c r="BK404" s="43"/>
      <c r="BL404" s="43"/>
      <c r="BM404" s="43"/>
      <c r="BN404" s="43"/>
      <c r="BO404" s="43"/>
      <c r="BP404" s="43"/>
      <c r="BQ404" s="43"/>
      <c r="BR404" s="43"/>
      <c r="BS404" s="43"/>
      <c r="BT404" s="43"/>
      <c r="BU404" s="43"/>
      <c r="BV404" s="43"/>
      <c r="BW404" s="43"/>
      <c r="BX404" s="43"/>
      <c r="BY404" s="43"/>
      <c r="BZ404" s="43"/>
      <c r="CA404" s="43"/>
      <c r="CB404" s="43"/>
      <c r="CC404" s="43"/>
      <c r="CD404" s="43"/>
      <c r="CE404" s="43"/>
      <c r="CF404" s="43"/>
      <c r="CG404" s="43"/>
      <c r="CH404" s="43"/>
      <c r="CI404" s="43"/>
      <c r="CJ404" s="43"/>
      <c r="CK404" s="43"/>
      <c r="CL404" s="43"/>
      <c r="CM404" s="43"/>
      <c r="CN404" s="43"/>
      <c r="CO404" s="43"/>
      <c r="CP404" s="43"/>
      <c r="CQ404" s="43"/>
      <c r="CR404" s="43"/>
      <c r="CS404" s="43"/>
      <c r="CT404" s="43"/>
      <c r="CU404" s="43"/>
      <c r="CV404" s="43"/>
      <c r="CW404" s="43"/>
      <c r="CX404" s="43"/>
      <c r="CY404" s="43"/>
      <c r="CZ404" s="43"/>
      <c r="DA404" s="43"/>
      <c r="DB404" s="43"/>
      <c r="DC404" s="43"/>
      <c r="DD404" s="43"/>
      <c r="DE404" s="43"/>
      <c r="DF404" s="43"/>
      <c r="DG404" s="43"/>
      <c r="DH404" s="43"/>
      <c r="DI404" s="43"/>
      <c r="DJ404" s="43"/>
      <c r="DK404" s="43"/>
      <c r="DL404" s="43"/>
      <c r="DM404" s="43"/>
      <c r="DN404" s="43"/>
      <c r="DO404" s="43"/>
      <c r="DP404" s="43"/>
      <c r="DQ404" s="43"/>
      <c r="DR404" s="43"/>
      <c r="DS404" s="43"/>
    </row>
    <row r="405" spans="1:123" ht="14.45">
      <c r="A405"/>
      <c r="B405"/>
      <c r="C405"/>
      <c r="D405"/>
      <c r="E405"/>
      <c r="F405"/>
      <c r="G405"/>
      <c r="H405"/>
      <c r="I405"/>
      <c r="J405"/>
      <c r="K405" s="43"/>
      <c r="L405" s="43"/>
      <c r="M405" s="43"/>
      <c r="N405" s="43"/>
      <c r="O405" s="43"/>
      <c r="P405" s="43"/>
      <c r="Q405" s="43"/>
      <c r="R405" s="43"/>
      <c r="S405" s="43"/>
      <c r="T405" s="43"/>
      <c r="U405" s="43"/>
      <c r="V405" s="43"/>
      <c r="W405" s="43"/>
      <c r="X405" s="43"/>
      <c r="Y405" s="43"/>
      <c r="Z405" s="43"/>
      <c r="AA405" s="43"/>
      <c r="AB405" s="43"/>
      <c r="AC405" s="43"/>
      <c r="AD405" s="43"/>
      <c r="AE405" s="43"/>
      <c r="AF405" s="43"/>
      <c r="AG405" s="43"/>
      <c r="AH405" s="43"/>
      <c r="AI405" s="43"/>
      <c r="AJ405" s="43"/>
      <c r="AK405" s="43"/>
      <c r="AL405" s="43"/>
      <c r="AM405" s="43"/>
      <c r="AN405" s="43"/>
      <c r="AO405" s="43"/>
      <c r="AP405" s="43"/>
      <c r="AQ405" s="43"/>
      <c r="AR405" s="43"/>
      <c r="AS405" s="43"/>
      <c r="AT405" s="43"/>
      <c r="AU405" s="43"/>
      <c r="AV405" s="43"/>
      <c r="AW405" s="43"/>
      <c r="AX405" s="43"/>
      <c r="AY405" s="43"/>
      <c r="AZ405" s="43"/>
      <c r="BA405" s="43"/>
      <c r="BB405" s="43"/>
      <c r="BC405" s="43"/>
      <c r="BD405" s="43"/>
      <c r="BE405" s="43"/>
      <c r="BF405" s="43"/>
      <c r="BG405" s="43"/>
      <c r="BH405" s="43"/>
      <c r="BI405" s="43"/>
      <c r="BJ405" s="43"/>
      <c r="BK405" s="43"/>
      <c r="BL405" s="43"/>
      <c r="BM405" s="43"/>
      <c r="BN405" s="43"/>
      <c r="BO405" s="43"/>
      <c r="BP405" s="43"/>
      <c r="BQ405" s="43"/>
      <c r="BR405" s="43"/>
      <c r="BS405" s="43"/>
      <c r="BT405" s="43"/>
      <c r="BU405" s="43"/>
      <c r="BV405" s="43"/>
      <c r="BW405" s="43"/>
      <c r="BX405" s="43"/>
      <c r="BY405" s="43"/>
      <c r="BZ405" s="43"/>
      <c r="CA405" s="43"/>
      <c r="CB405" s="43"/>
      <c r="CC405" s="43"/>
      <c r="CD405" s="43"/>
      <c r="CE405" s="43"/>
      <c r="CF405" s="43"/>
      <c r="CG405" s="43"/>
      <c r="CH405" s="43"/>
      <c r="CI405" s="43"/>
      <c r="CJ405" s="43"/>
      <c r="CK405" s="43"/>
      <c r="CL405" s="43"/>
      <c r="CM405" s="43"/>
      <c r="CN405" s="43"/>
      <c r="CO405" s="43"/>
      <c r="CP405" s="43"/>
      <c r="CQ405" s="43"/>
      <c r="CR405" s="43"/>
      <c r="CS405" s="43"/>
      <c r="CT405" s="43"/>
      <c r="CU405" s="43"/>
      <c r="CV405" s="43"/>
      <c r="CW405" s="43"/>
      <c r="CX405" s="43"/>
      <c r="CY405" s="43"/>
      <c r="CZ405" s="43"/>
      <c r="DA405" s="43"/>
      <c r="DB405" s="43"/>
      <c r="DC405" s="43"/>
      <c r="DD405" s="43"/>
      <c r="DE405" s="43"/>
      <c r="DF405" s="43"/>
      <c r="DG405" s="43"/>
      <c r="DH405" s="43"/>
      <c r="DI405" s="43"/>
      <c r="DJ405" s="43"/>
      <c r="DK405" s="43"/>
      <c r="DL405" s="43"/>
      <c r="DM405" s="43"/>
      <c r="DN405" s="43"/>
      <c r="DO405" s="43"/>
      <c r="DP405" s="43"/>
      <c r="DQ405" s="43"/>
      <c r="DR405" s="43"/>
      <c r="DS405" s="43"/>
    </row>
    <row r="406" spans="1:123" ht="14.45">
      <c r="A406"/>
      <c r="B406"/>
      <c r="C406"/>
      <c r="D406"/>
      <c r="E406"/>
      <c r="F406"/>
      <c r="G406"/>
      <c r="H406"/>
      <c r="I406"/>
      <c r="J406"/>
      <c r="K406" s="43"/>
      <c r="L406" s="43"/>
      <c r="M406" s="43"/>
      <c r="N406" s="43"/>
      <c r="O406" s="43"/>
      <c r="P406" s="43"/>
      <c r="Q406" s="43"/>
      <c r="R406" s="43"/>
      <c r="S406" s="43"/>
      <c r="T406" s="43"/>
      <c r="U406" s="43"/>
      <c r="V406" s="43"/>
      <c r="W406" s="43"/>
      <c r="X406" s="43"/>
      <c r="Y406" s="43"/>
      <c r="Z406" s="43"/>
      <c r="AA406" s="43"/>
      <c r="AB406" s="43"/>
      <c r="AC406" s="43"/>
      <c r="AD406" s="43"/>
      <c r="AE406" s="43"/>
      <c r="AF406" s="43"/>
      <c r="AG406" s="43"/>
      <c r="AH406" s="43"/>
      <c r="AI406" s="43"/>
      <c r="AJ406" s="43"/>
      <c r="AK406" s="43"/>
      <c r="AL406" s="43"/>
      <c r="AM406" s="43"/>
      <c r="AN406" s="43"/>
      <c r="AO406" s="43"/>
      <c r="AP406" s="43"/>
      <c r="AQ406" s="43"/>
      <c r="AR406" s="43"/>
      <c r="AS406" s="43"/>
      <c r="AT406" s="43"/>
      <c r="AU406" s="43"/>
      <c r="AV406" s="43"/>
      <c r="AW406" s="43"/>
      <c r="AX406" s="43"/>
      <c r="AY406" s="43"/>
      <c r="AZ406" s="43"/>
      <c r="BA406" s="43"/>
      <c r="BB406" s="43"/>
      <c r="BC406" s="43"/>
      <c r="BD406" s="43"/>
      <c r="BE406" s="43"/>
      <c r="BF406" s="43"/>
      <c r="BG406" s="43"/>
      <c r="BH406" s="43"/>
      <c r="BI406" s="43"/>
      <c r="BJ406" s="43"/>
      <c r="BK406" s="43"/>
      <c r="BL406" s="43"/>
      <c r="BM406" s="43"/>
      <c r="BN406" s="43"/>
      <c r="BO406" s="43"/>
      <c r="BP406" s="43"/>
      <c r="BQ406" s="43"/>
      <c r="BR406" s="43"/>
      <c r="BS406" s="43"/>
      <c r="BT406" s="43"/>
      <c r="BU406" s="43"/>
      <c r="BV406" s="43"/>
      <c r="BW406" s="43"/>
      <c r="BX406" s="43"/>
      <c r="BY406" s="43"/>
      <c r="BZ406" s="43"/>
      <c r="CA406" s="43"/>
      <c r="CB406" s="43"/>
      <c r="CC406" s="43"/>
      <c r="CD406" s="43"/>
      <c r="CE406" s="43"/>
      <c r="CF406" s="43"/>
      <c r="CG406" s="43"/>
      <c r="CH406" s="43"/>
      <c r="CI406" s="43"/>
      <c r="CJ406" s="43"/>
      <c r="CK406" s="43"/>
      <c r="CL406" s="43"/>
      <c r="CM406" s="43"/>
      <c r="CN406" s="43"/>
      <c r="CO406" s="43"/>
      <c r="CP406" s="43"/>
      <c r="CQ406" s="43"/>
      <c r="CR406" s="43"/>
      <c r="CS406" s="43"/>
      <c r="CT406" s="43"/>
      <c r="CU406" s="43"/>
      <c r="CV406" s="43"/>
      <c r="CW406" s="43"/>
      <c r="CX406" s="43"/>
      <c r="CY406" s="43"/>
      <c r="CZ406" s="43"/>
      <c r="DA406" s="43"/>
      <c r="DB406" s="43"/>
      <c r="DC406" s="43"/>
      <c r="DD406" s="43"/>
      <c r="DE406" s="43"/>
      <c r="DF406" s="43"/>
      <c r="DG406" s="43"/>
      <c r="DH406" s="43"/>
      <c r="DI406" s="43"/>
      <c r="DJ406" s="43"/>
      <c r="DK406" s="43"/>
      <c r="DL406" s="43"/>
      <c r="DM406" s="43"/>
      <c r="DN406" s="43"/>
      <c r="DO406" s="43"/>
      <c r="DP406" s="43"/>
      <c r="DQ406" s="43"/>
      <c r="DR406" s="43"/>
      <c r="DS406" s="43"/>
    </row>
    <row r="407" spans="1:123" ht="14.45">
      <c r="A407"/>
      <c r="B407"/>
      <c r="C407"/>
      <c r="D407"/>
      <c r="E407"/>
      <c r="F407"/>
      <c r="G407"/>
      <c r="H407"/>
      <c r="I407"/>
      <c r="J407"/>
      <c r="K407" s="43"/>
      <c r="L407" s="43"/>
      <c r="M407" s="43"/>
      <c r="N407" s="43"/>
      <c r="O407" s="43"/>
      <c r="P407" s="43"/>
      <c r="Q407" s="43"/>
      <c r="R407" s="43"/>
      <c r="S407" s="43"/>
      <c r="T407" s="43"/>
      <c r="U407" s="43"/>
      <c r="V407" s="43"/>
      <c r="W407" s="43"/>
      <c r="X407" s="43"/>
      <c r="Y407" s="43"/>
      <c r="Z407" s="43"/>
      <c r="AA407" s="43"/>
      <c r="AB407" s="43"/>
      <c r="AC407" s="43"/>
      <c r="AD407" s="43"/>
      <c r="AE407" s="43"/>
      <c r="AF407" s="43"/>
      <c r="AG407" s="43"/>
      <c r="AH407" s="43"/>
      <c r="AI407" s="43"/>
      <c r="AJ407" s="43"/>
      <c r="AK407" s="43"/>
      <c r="AL407" s="43"/>
      <c r="AM407" s="43"/>
      <c r="AN407" s="43"/>
      <c r="AO407" s="43"/>
      <c r="AP407" s="43"/>
      <c r="AQ407" s="43"/>
      <c r="AR407" s="43"/>
      <c r="AS407" s="43"/>
      <c r="AT407" s="43"/>
      <c r="AU407" s="43"/>
      <c r="AV407" s="43"/>
      <c r="AW407" s="43"/>
      <c r="AX407" s="43"/>
      <c r="AY407" s="43"/>
      <c r="AZ407" s="43"/>
      <c r="BA407" s="43"/>
      <c r="BB407" s="43"/>
      <c r="BC407" s="43"/>
      <c r="BD407" s="43"/>
      <c r="BE407" s="43"/>
      <c r="BF407" s="43"/>
      <c r="BG407" s="43"/>
      <c r="BH407" s="43"/>
      <c r="BI407" s="43"/>
      <c r="BJ407" s="43"/>
      <c r="BK407" s="43"/>
      <c r="BL407" s="43"/>
      <c r="BM407" s="43"/>
      <c r="BN407" s="43"/>
      <c r="BO407" s="43"/>
      <c r="BP407" s="43"/>
      <c r="BQ407" s="43"/>
      <c r="BR407" s="43"/>
      <c r="BS407" s="43"/>
      <c r="BT407" s="43"/>
      <c r="BU407" s="43"/>
      <c r="BV407" s="43"/>
      <c r="BW407" s="43"/>
      <c r="BX407" s="43"/>
      <c r="BY407" s="43"/>
      <c r="BZ407" s="43"/>
      <c r="CA407" s="43"/>
      <c r="CB407" s="43"/>
      <c r="CC407" s="43"/>
      <c r="CD407" s="43"/>
      <c r="CE407" s="43"/>
      <c r="CF407" s="43"/>
      <c r="CG407" s="43"/>
      <c r="CH407" s="43"/>
      <c r="CI407" s="43"/>
      <c r="CJ407" s="43"/>
      <c r="CK407" s="43"/>
      <c r="CL407" s="43"/>
      <c r="CM407" s="43"/>
      <c r="CN407" s="43"/>
      <c r="CO407" s="43"/>
      <c r="CP407" s="43"/>
      <c r="CQ407" s="43"/>
      <c r="CR407" s="43"/>
      <c r="CS407" s="43"/>
      <c r="CT407" s="43"/>
      <c r="CU407" s="43"/>
      <c r="CV407" s="43"/>
      <c r="CW407" s="43"/>
      <c r="CX407" s="43"/>
      <c r="CY407" s="43"/>
      <c r="CZ407" s="43"/>
      <c r="DA407" s="43"/>
      <c r="DB407" s="43"/>
      <c r="DC407" s="43"/>
      <c r="DD407" s="43"/>
      <c r="DE407" s="43"/>
      <c r="DF407" s="43"/>
      <c r="DG407" s="43"/>
      <c r="DH407" s="43"/>
      <c r="DI407" s="43"/>
      <c r="DJ407" s="43"/>
      <c r="DK407" s="43"/>
      <c r="DL407" s="43"/>
      <c r="DM407" s="43"/>
      <c r="DN407" s="43"/>
      <c r="DO407" s="43"/>
      <c r="DP407" s="43"/>
      <c r="DQ407" s="43"/>
      <c r="DR407" s="43"/>
      <c r="DS407" s="43"/>
    </row>
    <row r="408" spans="1:123" ht="14.45">
      <c r="A408"/>
      <c r="B408"/>
      <c r="C408"/>
      <c r="D408"/>
      <c r="E408"/>
      <c r="F408"/>
      <c r="G408"/>
      <c r="H408"/>
      <c r="I408"/>
      <c r="J408"/>
      <c r="K408" s="43"/>
      <c r="L408" s="43"/>
      <c r="M408" s="43"/>
      <c r="N408" s="43"/>
      <c r="O408" s="43"/>
      <c r="P408" s="43"/>
      <c r="Q408" s="43"/>
      <c r="R408" s="43"/>
      <c r="S408" s="43"/>
      <c r="T408" s="43"/>
      <c r="U408" s="43"/>
      <c r="V408" s="43"/>
      <c r="W408" s="43"/>
      <c r="X408" s="43"/>
      <c r="Y408" s="43"/>
      <c r="Z408" s="43"/>
      <c r="AA408" s="43"/>
      <c r="AB408" s="43"/>
      <c r="AC408" s="43"/>
      <c r="AD408" s="43"/>
      <c r="AE408" s="43"/>
      <c r="AF408" s="43"/>
      <c r="AG408" s="43"/>
      <c r="AH408" s="43"/>
      <c r="AI408" s="43"/>
      <c r="AJ408" s="43"/>
      <c r="AK408" s="43"/>
      <c r="AL408" s="43"/>
      <c r="AM408" s="43"/>
      <c r="AN408" s="43"/>
      <c r="AO408" s="43"/>
      <c r="AP408" s="43"/>
      <c r="AQ408" s="43"/>
      <c r="AR408" s="43"/>
      <c r="AS408" s="43"/>
      <c r="AT408" s="43"/>
      <c r="AU408" s="43"/>
      <c r="AV408" s="43"/>
      <c r="AW408" s="43"/>
      <c r="AX408" s="43"/>
      <c r="AY408" s="43"/>
      <c r="AZ408" s="43"/>
      <c r="BA408" s="43"/>
      <c r="BB408" s="43"/>
      <c r="BC408" s="43"/>
      <c r="BD408" s="43"/>
      <c r="BE408" s="43"/>
      <c r="BF408" s="43"/>
      <c r="BG408" s="43"/>
      <c r="BH408" s="43"/>
      <c r="BI408" s="43"/>
      <c r="BJ408" s="43"/>
      <c r="BK408" s="43"/>
      <c r="BL408" s="43"/>
      <c r="BM408" s="43"/>
      <c r="BN408" s="43"/>
      <c r="BO408" s="43"/>
      <c r="BP408" s="43"/>
      <c r="BQ408" s="43"/>
      <c r="BR408" s="43"/>
      <c r="BS408" s="43"/>
      <c r="BT408" s="43"/>
      <c r="BU408" s="43"/>
      <c r="BV408" s="43"/>
      <c r="BW408" s="43"/>
      <c r="BX408" s="43"/>
      <c r="BY408" s="43"/>
      <c r="BZ408" s="43"/>
      <c r="CA408" s="43"/>
      <c r="CB408" s="43"/>
      <c r="CC408" s="43"/>
      <c r="CD408" s="43"/>
      <c r="CE408" s="43"/>
      <c r="CF408" s="43"/>
      <c r="CG408" s="43"/>
      <c r="CH408" s="43"/>
      <c r="CI408" s="43"/>
      <c r="CJ408" s="43"/>
      <c r="CK408" s="43"/>
      <c r="CL408" s="43"/>
      <c r="CM408" s="43"/>
      <c r="CN408" s="43"/>
      <c r="CO408" s="43"/>
      <c r="CP408" s="43"/>
      <c r="CQ408" s="43"/>
      <c r="CR408" s="43"/>
      <c r="CS408" s="43"/>
      <c r="CT408" s="43"/>
      <c r="CU408" s="43"/>
      <c r="CV408" s="43"/>
      <c r="CW408" s="43"/>
      <c r="CX408" s="43"/>
      <c r="CY408" s="43"/>
      <c r="CZ408" s="43"/>
      <c r="DA408" s="43"/>
      <c r="DB408" s="43"/>
      <c r="DC408" s="43"/>
      <c r="DD408" s="43"/>
      <c r="DE408" s="43"/>
      <c r="DF408" s="43"/>
      <c r="DG408" s="43"/>
      <c r="DH408" s="43"/>
      <c r="DI408" s="43"/>
      <c r="DJ408" s="43"/>
      <c r="DK408" s="43"/>
      <c r="DL408" s="43"/>
      <c r="DM408" s="43"/>
      <c r="DN408" s="43"/>
      <c r="DO408" s="43"/>
      <c r="DP408" s="43"/>
      <c r="DQ408" s="43"/>
      <c r="DR408" s="43"/>
      <c r="DS408" s="43"/>
    </row>
    <row r="409" spans="1:123" ht="14.45">
      <c r="A409"/>
      <c r="B409"/>
      <c r="C409"/>
      <c r="D409"/>
      <c r="E409"/>
      <c r="F409"/>
      <c r="G409"/>
      <c r="H409"/>
      <c r="I409"/>
      <c r="J409"/>
      <c r="K409" s="43"/>
      <c r="L409" s="43"/>
      <c r="M409" s="43"/>
      <c r="N409" s="43"/>
      <c r="O409" s="43"/>
      <c r="P409" s="43"/>
      <c r="Q409" s="43"/>
      <c r="R409" s="43"/>
      <c r="S409" s="43"/>
      <c r="T409" s="43"/>
      <c r="U409" s="43"/>
      <c r="V409" s="43"/>
      <c r="W409" s="43"/>
      <c r="X409" s="43"/>
      <c r="Y409" s="43"/>
      <c r="Z409" s="43"/>
      <c r="AA409" s="43"/>
      <c r="AB409" s="43"/>
      <c r="AC409" s="43"/>
      <c r="AD409" s="43"/>
      <c r="AE409" s="43"/>
      <c r="AF409" s="43"/>
      <c r="AG409" s="43"/>
      <c r="AH409" s="43"/>
      <c r="AI409" s="43"/>
      <c r="AJ409" s="43"/>
      <c r="AK409" s="43"/>
      <c r="AL409" s="43"/>
      <c r="AM409" s="43"/>
      <c r="AN409" s="43"/>
      <c r="AO409" s="43"/>
      <c r="AP409" s="43"/>
      <c r="AQ409" s="43"/>
      <c r="AR409" s="43"/>
      <c r="AS409" s="43"/>
      <c r="AT409" s="43"/>
      <c r="AU409" s="43"/>
      <c r="AV409" s="43"/>
      <c r="AW409" s="43"/>
      <c r="AX409" s="43"/>
      <c r="AY409" s="43"/>
      <c r="AZ409" s="43"/>
      <c r="BA409" s="43"/>
      <c r="BB409" s="43"/>
      <c r="BC409" s="43"/>
      <c r="BD409" s="43"/>
      <c r="BE409" s="43"/>
      <c r="BF409" s="43"/>
      <c r="BG409" s="43"/>
      <c r="BH409" s="43"/>
      <c r="BI409" s="43"/>
      <c r="BJ409" s="43"/>
      <c r="BK409" s="43"/>
      <c r="BL409" s="43"/>
      <c r="BM409" s="43"/>
      <c r="BN409" s="43"/>
      <c r="BO409" s="43"/>
      <c r="BP409" s="43"/>
      <c r="BQ409" s="43"/>
      <c r="BR409" s="43"/>
      <c r="BS409" s="43"/>
      <c r="BT409" s="43"/>
      <c r="BU409" s="43"/>
      <c r="BV409" s="43"/>
      <c r="BW409" s="43"/>
      <c r="BX409" s="43"/>
      <c r="BY409" s="43"/>
      <c r="BZ409" s="43"/>
      <c r="CA409" s="43"/>
      <c r="CB409" s="43"/>
      <c r="CC409" s="43"/>
      <c r="CD409" s="43"/>
      <c r="CE409" s="43"/>
      <c r="CF409" s="43"/>
      <c r="CG409" s="43"/>
      <c r="CH409" s="43"/>
      <c r="CI409" s="43"/>
      <c r="CJ409" s="43"/>
      <c r="CK409" s="43"/>
      <c r="CL409" s="43"/>
      <c r="CM409" s="43"/>
      <c r="CN409" s="43"/>
      <c r="CO409" s="43"/>
      <c r="CP409" s="43"/>
      <c r="CQ409" s="43"/>
      <c r="CR409" s="43"/>
      <c r="CS409" s="43"/>
      <c r="CT409" s="43"/>
      <c r="CU409" s="43"/>
      <c r="CV409" s="43"/>
      <c r="CW409" s="43"/>
      <c r="CX409" s="43"/>
      <c r="CY409" s="43"/>
      <c r="CZ409" s="43"/>
      <c r="DA409" s="43"/>
      <c r="DB409" s="43"/>
      <c r="DC409" s="43"/>
      <c r="DD409" s="43"/>
      <c r="DE409" s="43"/>
      <c r="DF409" s="43"/>
      <c r="DG409" s="43"/>
      <c r="DH409" s="43"/>
      <c r="DI409" s="43"/>
      <c r="DJ409" s="43"/>
      <c r="DK409" s="43"/>
      <c r="DL409" s="43"/>
      <c r="DM409" s="43"/>
      <c r="DN409" s="43"/>
      <c r="DO409" s="43"/>
      <c r="DP409" s="43"/>
      <c r="DQ409" s="43"/>
      <c r="DR409" s="43"/>
      <c r="DS409" s="43"/>
    </row>
    <row r="410" spans="1:123" ht="14.45">
      <c r="A410"/>
      <c r="B410"/>
      <c r="C410"/>
      <c r="D410"/>
      <c r="E410"/>
      <c r="F410"/>
      <c r="G410"/>
      <c r="H410"/>
      <c r="I410"/>
      <c r="J410"/>
      <c r="K410" s="43"/>
      <c r="L410" s="43"/>
      <c r="M410" s="43"/>
      <c r="N410" s="43"/>
      <c r="O410" s="43"/>
      <c r="P410" s="43"/>
      <c r="Q410" s="43"/>
      <c r="R410" s="43"/>
      <c r="S410" s="43"/>
      <c r="T410" s="43"/>
      <c r="U410" s="43"/>
      <c r="V410" s="43"/>
      <c r="W410" s="43"/>
      <c r="X410" s="43"/>
      <c r="Y410" s="43"/>
      <c r="Z410" s="43"/>
      <c r="AA410" s="43"/>
      <c r="AB410" s="43"/>
      <c r="AC410" s="43"/>
      <c r="AD410" s="43"/>
      <c r="AE410" s="43"/>
      <c r="AF410" s="43"/>
      <c r="AG410" s="43"/>
      <c r="AH410" s="43"/>
      <c r="AI410" s="43"/>
      <c r="AJ410" s="43"/>
      <c r="AK410" s="43"/>
      <c r="AL410" s="43"/>
      <c r="AM410" s="43"/>
      <c r="AN410" s="43"/>
      <c r="AO410" s="43"/>
      <c r="AP410" s="43"/>
      <c r="AQ410" s="43"/>
      <c r="AR410" s="43"/>
      <c r="AS410" s="43"/>
      <c r="AT410" s="43"/>
      <c r="AU410" s="43"/>
      <c r="AV410" s="43"/>
      <c r="AW410" s="43"/>
      <c r="AX410" s="43"/>
      <c r="AY410" s="43"/>
      <c r="AZ410" s="43"/>
      <c r="BA410" s="43"/>
      <c r="BB410" s="43"/>
      <c r="BC410" s="43"/>
      <c r="BD410" s="43"/>
      <c r="BE410" s="43"/>
      <c r="BF410" s="43"/>
      <c r="BG410" s="43"/>
      <c r="BH410" s="43"/>
      <c r="BI410" s="43"/>
      <c r="BJ410" s="43"/>
      <c r="BK410" s="43"/>
      <c r="BL410" s="43"/>
      <c r="BM410" s="43"/>
      <c r="BN410" s="43"/>
      <c r="BO410" s="43"/>
      <c r="BP410" s="43"/>
      <c r="BQ410" s="43"/>
      <c r="BR410" s="43"/>
      <c r="BS410" s="43"/>
      <c r="BT410" s="43"/>
      <c r="BU410" s="43"/>
      <c r="BV410" s="43"/>
      <c r="BW410" s="43"/>
      <c r="BX410" s="43"/>
      <c r="BY410" s="43"/>
      <c r="BZ410" s="43"/>
      <c r="CA410" s="43"/>
      <c r="CB410" s="43"/>
      <c r="CC410" s="43"/>
      <c r="CD410" s="43"/>
      <c r="CE410" s="43"/>
      <c r="CF410" s="43"/>
      <c r="CG410" s="43"/>
      <c r="CH410" s="43"/>
      <c r="CI410" s="43"/>
      <c r="CJ410" s="43"/>
      <c r="CK410" s="43"/>
      <c r="CL410" s="43"/>
      <c r="CM410" s="43"/>
      <c r="CN410" s="43"/>
      <c r="CO410" s="43"/>
      <c r="CP410" s="43"/>
      <c r="CQ410" s="43"/>
      <c r="CR410" s="43"/>
      <c r="CS410" s="43"/>
      <c r="CT410" s="43"/>
      <c r="CU410" s="43"/>
      <c r="CV410" s="43"/>
      <c r="CW410" s="43"/>
      <c r="CX410" s="43"/>
      <c r="CY410" s="43"/>
      <c r="CZ410" s="43"/>
      <c r="DA410" s="43"/>
      <c r="DB410" s="43"/>
      <c r="DC410" s="43"/>
      <c r="DD410" s="43"/>
      <c r="DE410" s="43"/>
      <c r="DF410" s="43"/>
      <c r="DG410" s="43"/>
      <c r="DH410" s="43"/>
      <c r="DI410" s="43"/>
      <c r="DJ410" s="43"/>
      <c r="DK410" s="43"/>
      <c r="DL410" s="43"/>
      <c r="DM410" s="43"/>
      <c r="DN410" s="43"/>
      <c r="DO410" s="43"/>
      <c r="DP410" s="43"/>
      <c r="DQ410" s="43"/>
      <c r="DR410" s="43"/>
      <c r="DS410" s="43"/>
    </row>
    <row r="411" spans="1:123" ht="14.45">
      <c r="A411"/>
      <c r="B411"/>
      <c r="C411"/>
      <c r="D411"/>
      <c r="E411"/>
      <c r="F411"/>
      <c r="G411"/>
      <c r="H411"/>
      <c r="I411"/>
      <c r="J411"/>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c r="AJ411" s="43"/>
      <c r="AK411" s="43"/>
      <c r="AL411" s="43"/>
      <c r="AM411" s="43"/>
      <c r="AN411" s="43"/>
      <c r="AO411" s="43"/>
      <c r="AP411" s="43"/>
      <c r="AQ411" s="43"/>
      <c r="AR411" s="43"/>
      <c r="AS411" s="43"/>
      <c r="AT411" s="43"/>
      <c r="AU411" s="43"/>
      <c r="AV411" s="43"/>
      <c r="AW411" s="43"/>
      <c r="AX411" s="43"/>
      <c r="AY411" s="43"/>
      <c r="AZ411" s="43"/>
      <c r="BA411" s="43"/>
      <c r="BB411" s="43"/>
      <c r="BC411" s="43"/>
      <c r="BD411" s="43"/>
      <c r="BE411" s="43"/>
      <c r="BF411" s="43"/>
      <c r="BG411" s="43"/>
      <c r="BH411" s="43"/>
      <c r="BI411" s="43"/>
      <c r="BJ411" s="43"/>
      <c r="BK411" s="43"/>
      <c r="BL411" s="43"/>
      <c r="BM411" s="43"/>
      <c r="BN411" s="43"/>
      <c r="BO411" s="43"/>
      <c r="BP411" s="43"/>
      <c r="BQ411" s="43"/>
      <c r="BR411" s="43"/>
      <c r="BS411" s="43"/>
      <c r="BT411" s="43"/>
      <c r="BU411" s="43"/>
      <c r="BV411" s="43"/>
      <c r="BW411" s="43"/>
      <c r="BX411" s="43"/>
      <c r="BY411" s="43"/>
      <c r="BZ411" s="43"/>
      <c r="CA411" s="43"/>
      <c r="CB411" s="43"/>
      <c r="CC411" s="43"/>
      <c r="CD411" s="43"/>
      <c r="CE411" s="43"/>
      <c r="CF411" s="43"/>
      <c r="CG411" s="43"/>
      <c r="CH411" s="43"/>
      <c r="CI411" s="43"/>
      <c r="CJ411" s="43"/>
      <c r="CK411" s="43"/>
      <c r="CL411" s="43"/>
      <c r="CM411" s="43"/>
      <c r="CN411" s="43"/>
      <c r="CO411" s="43"/>
      <c r="CP411" s="43"/>
      <c r="CQ411" s="43"/>
      <c r="CR411" s="43"/>
      <c r="CS411" s="43"/>
      <c r="CT411" s="43"/>
      <c r="CU411" s="43"/>
      <c r="CV411" s="43"/>
      <c r="CW411" s="43"/>
      <c r="CX411" s="43"/>
      <c r="CY411" s="43"/>
      <c r="CZ411" s="43"/>
      <c r="DA411" s="43"/>
      <c r="DB411" s="43"/>
      <c r="DC411" s="43"/>
      <c r="DD411" s="43"/>
      <c r="DE411" s="43"/>
      <c r="DF411" s="43"/>
      <c r="DG411" s="43"/>
      <c r="DH411" s="43"/>
      <c r="DI411" s="43"/>
      <c r="DJ411" s="43"/>
      <c r="DK411" s="43"/>
      <c r="DL411" s="43"/>
      <c r="DM411" s="43"/>
      <c r="DN411" s="43"/>
      <c r="DO411" s="43"/>
      <c r="DP411" s="43"/>
      <c r="DQ411" s="43"/>
      <c r="DR411" s="43"/>
      <c r="DS411" s="43"/>
    </row>
    <row r="412" spans="1:123" ht="14.45">
      <c r="A412"/>
      <c r="B412"/>
      <c r="C412"/>
      <c r="D412"/>
      <c r="E412"/>
      <c r="F412"/>
      <c r="G412"/>
      <c r="H412"/>
      <c r="I412"/>
      <c r="J412"/>
      <c r="K412" s="43"/>
      <c r="L412" s="43"/>
      <c r="M412" s="43"/>
      <c r="N412" s="43"/>
      <c r="O412" s="43"/>
      <c r="P412" s="43"/>
      <c r="Q412" s="43"/>
      <c r="R412" s="43"/>
      <c r="S412" s="43"/>
      <c r="T412" s="43"/>
      <c r="U412" s="43"/>
      <c r="V412" s="43"/>
      <c r="W412" s="43"/>
      <c r="X412" s="43"/>
      <c r="Y412" s="43"/>
      <c r="Z412" s="43"/>
      <c r="AA412" s="43"/>
      <c r="AB412" s="43"/>
      <c r="AC412" s="43"/>
      <c r="AD412" s="43"/>
      <c r="AE412" s="43"/>
      <c r="AF412" s="43"/>
      <c r="AG412" s="43"/>
      <c r="AH412" s="43"/>
      <c r="AI412" s="43"/>
      <c r="AJ412" s="43"/>
      <c r="AK412" s="43"/>
      <c r="AL412" s="43"/>
      <c r="AM412" s="43"/>
      <c r="AN412" s="43"/>
      <c r="AO412" s="43"/>
      <c r="AP412" s="43"/>
      <c r="AQ412" s="43"/>
      <c r="AR412" s="43"/>
      <c r="AS412" s="43"/>
      <c r="AT412" s="43"/>
      <c r="AU412" s="43"/>
      <c r="AV412" s="43"/>
      <c r="AW412" s="43"/>
      <c r="AX412" s="43"/>
      <c r="AY412" s="43"/>
      <c r="AZ412" s="43"/>
      <c r="BA412" s="43"/>
      <c r="BB412" s="43"/>
      <c r="BC412" s="43"/>
      <c r="BD412" s="43"/>
      <c r="BE412" s="43"/>
      <c r="BF412" s="43"/>
      <c r="BG412" s="43"/>
      <c r="BH412" s="43"/>
      <c r="BI412" s="43"/>
      <c r="BJ412" s="43"/>
      <c r="BK412" s="43"/>
      <c r="BL412" s="43"/>
      <c r="BM412" s="43"/>
      <c r="BN412" s="43"/>
      <c r="BO412" s="43"/>
      <c r="BP412" s="43"/>
      <c r="BQ412" s="43"/>
      <c r="BR412" s="43"/>
      <c r="BS412" s="43"/>
      <c r="BT412" s="43"/>
      <c r="BU412" s="43"/>
      <c r="BV412" s="43"/>
      <c r="BW412" s="43"/>
      <c r="BX412" s="43"/>
      <c r="BY412" s="43"/>
      <c r="BZ412" s="43"/>
      <c r="CA412" s="43"/>
      <c r="CB412" s="43"/>
      <c r="CC412" s="43"/>
      <c r="CD412" s="43"/>
      <c r="CE412" s="43"/>
      <c r="CF412" s="43"/>
      <c r="CG412" s="43"/>
      <c r="CH412" s="43"/>
      <c r="CI412" s="43"/>
      <c r="CJ412" s="43"/>
      <c r="CK412" s="43"/>
      <c r="CL412" s="43"/>
      <c r="CM412" s="43"/>
      <c r="CN412" s="43"/>
      <c r="CO412" s="43"/>
      <c r="CP412" s="43"/>
      <c r="CQ412" s="43"/>
      <c r="CR412" s="43"/>
      <c r="CS412" s="43"/>
      <c r="CT412" s="43"/>
      <c r="CU412" s="43"/>
      <c r="CV412" s="43"/>
      <c r="CW412" s="43"/>
      <c r="CX412" s="43"/>
      <c r="CY412" s="43"/>
      <c r="CZ412" s="43"/>
      <c r="DA412" s="43"/>
      <c r="DB412" s="43"/>
      <c r="DC412" s="43"/>
      <c r="DD412" s="43"/>
      <c r="DE412" s="43"/>
      <c r="DF412" s="43"/>
      <c r="DG412" s="43"/>
      <c r="DH412" s="43"/>
      <c r="DI412" s="43"/>
      <c r="DJ412" s="43"/>
      <c r="DK412" s="43"/>
      <c r="DL412" s="43"/>
      <c r="DM412" s="43"/>
      <c r="DN412" s="43"/>
      <c r="DO412" s="43"/>
      <c r="DP412" s="43"/>
      <c r="DQ412" s="43"/>
      <c r="DR412" s="43"/>
      <c r="DS412" s="43"/>
    </row>
    <row r="413" spans="1:123" ht="14.45">
      <c r="A413"/>
      <c r="B413"/>
      <c r="C413"/>
      <c r="D413"/>
      <c r="E413"/>
      <c r="F413"/>
      <c r="G413"/>
      <c r="H413"/>
      <c r="I413"/>
      <c r="J41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c r="AJ413" s="43"/>
      <c r="AK413" s="43"/>
      <c r="AL413" s="43"/>
      <c r="AM413" s="43"/>
      <c r="AN413" s="43"/>
      <c r="AO413" s="43"/>
      <c r="AP413" s="43"/>
      <c r="AQ413" s="43"/>
      <c r="AR413" s="43"/>
      <c r="AS413" s="43"/>
      <c r="AT413" s="43"/>
      <c r="AU413" s="43"/>
      <c r="AV413" s="43"/>
      <c r="AW413" s="43"/>
      <c r="AX413" s="43"/>
      <c r="AY413" s="43"/>
      <c r="AZ413" s="43"/>
      <c r="BA413" s="43"/>
      <c r="BB413" s="43"/>
      <c r="BC413" s="43"/>
      <c r="BD413" s="43"/>
      <c r="BE413" s="43"/>
      <c r="BF413" s="43"/>
      <c r="BG413" s="43"/>
      <c r="BH413" s="43"/>
      <c r="BI413" s="43"/>
      <c r="BJ413" s="43"/>
      <c r="BK413" s="43"/>
      <c r="BL413" s="43"/>
      <c r="BM413" s="43"/>
      <c r="BN413" s="43"/>
      <c r="BO413" s="43"/>
      <c r="BP413" s="43"/>
      <c r="BQ413" s="43"/>
      <c r="BR413" s="43"/>
      <c r="BS413" s="43"/>
      <c r="BT413" s="43"/>
      <c r="BU413" s="43"/>
      <c r="BV413" s="43"/>
      <c r="BW413" s="43"/>
      <c r="BX413" s="43"/>
      <c r="BY413" s="43"/>
      <c r="BZ413" s="43"/>
      <c r="CA413" s="43"/>
      <c r="CB413" s="43"/>
      <c r="CC413" s="43"/>
      <c r="CD413" s="43"/>
      <c r="CE413" s="43"/>
      <c r="CF413" s="43"/>
      <c r="CG413" s="43"/>
      <c r="CH413" s="43"/>
      <c r="CI413" s="43"/>
      <c r="CJ413" s="43"/>
      <c r="CK413" s="43"/>
      <c r="CL413" s="43"/>
      <c r="CM413" s="43"/>
      <c r="CN413" s="43"/>
      <c r="CO413" s="43"/>
      <c r="CP413" s="43"/>
      <c r="CQ413" s="43"/>
      <c r="CR413" s="43"/>
      <c r="CS413" s="43"/>
      <c r="CT413" s="43"/>
      <c r="CU413" s="43"/>
      <c r="CV413" s="43"/>
      <c r="CW413" s="43"/>
      <c r="CX413" s="43"/>
      <c r="CY413" s="43"/>
      <c r="CZ413" s="43"/>
      <c r="DA413" s="43"/>
      <c r="DB413" s="43"/>
      <c r="DC413" s="43"/>
      <c r="DD413" s="43"/>
      <c r="DE413" s="43"/>
      <c r="DF413" s="43"/>
      <c r="DG413" s="43"/>
      <c r="DH413" s="43"/>
      <c r="DI413" s="43"/>
      <c r="DJ413" s="43"/>
      <c r="DK413" s="43"/>
      <c r="DL413" s="43"/>
      <c r="DM413" s="43"/>
      <c r="DN413" s="43"/>
      <c r="DO413" s="43"/>
      <c r="DP413" s="43"/>
      <c r="DQ413" s="43"/>
      <c r="DR413" s="43"/>
      <c r="DS413" s="43"/>
    </row>
    <row r="414" spans="1:123" ht="14.45">
      <c r="A414"/>
      <c r="B414"/>
      <c r="C414"/>
      <c r="D414"/>
      <c r="E414"/>
      <c r="F414"/>
      <c r="G414"/>
      <c r="H414"/>
      <c r="I414"/>
      <c r="J414"/>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c r="AJ414" s="43"/>
      <c r="AK414" s="43"/>
      <c r="AL414" s="43"/>
      <c r="AM414" s="43"/>
      <c r="AN414" s="43"/>
      <c r="AO414" s="43"/>
      <c r="AP414" s="43"/>
      <c r="AQ414" s="43"/>
      <c r="AR414" s="43"/>
      <c r="AS414" s="43"/>
      <c r="AT414" s="43"/>
      <c r="AU414" s="43"/>
      <c r="AV414" s="43"/>
      <c r="AW414" s="43"/>
      <c r="AX414" s="43"/>
      <c r="AY414" s="43"/>
      <c r="AZ414" s="43"/>
      <c r="BA414" s="43"/>
      <c r="BB414" s="43"/>
      <c r="BC414" s="43"/>
      <c r="BD414" s="43"/>
      <c r="BE414" s="43"/>
      <c r="BF414" s="43"/>
      <c r="BG414" s="43"/>
      <c r="BH414" s="43"/>
      <c r="BI414" s="43"/>
      <c r="BJ414" s="43"/>
      <c r="BK414" s="43"/>
      <c r="BL414" s="43"/>
      <c r="BM414" s="43"/>
      <c r="BN414" s="43"/>
      <c r="BO414" s="43"/>
      <c r="BP414" s="43"/>
      <c r="BQ414" s="43"/>
      <c r="BR414" s="43"/>
      <c r="BS414" s="43"/>
      <c r="BT414" s="43"/>
      <c r="BU414" s="43"/>
      <c r="BV414" s="43"/>
      <c r="BW414" s="43"/>
      <c r="BX414" s="43"/>
      <c r="BY414" s="43"/>
      <c r="BZ414" s="43"/>
      <c r="CA414" s="43"/>
      <c r="CB414" s="43"/>
      <c r="CC414" s="43"/>
      <c r="CD414" s="43"/>
      <c r="CE414" s="43"/>
      <c r="CF414" s="43"/>
      <c r="CG414" s="43"/>
      <c r="CH414" s="43"/>
      <c r="CI414" s="43"/>
      <c r="CJ414" s="43"/>
      <c r="CK414" s="43"/>
      <c r="CL414" s="43"/>
      <c r="CM414" s="43"/>
      <c r="CN414" s="43"/>
      <c r="CO414" s="43"/>
      <c r="CP414" s="43"/>
      <c r="CQ414" s="43"/>
      <c r="CR414" s="43"/>
      <c r="CS414" s="43"/>
      <c r="CT414" s="43"/>
      <c r="CU414" s="43"/>
      <c r="CV414" s="43"/>
      <c r="CW414" s="43"/>
      <c r="CX414" s="43"/>
      <c r="CY414" s="43"/>
      <c r="CZ414" s="43"/>
      <c r="DA414" s="43"/>
      <c r="DB414" s="43"/>
      <c r="DC414" s="43"/>
      <c r="DD414" s="43"/>
      <c r="DE414" s="43"/>
      <c r="DF414" s="43"/>
      <c r="DG414" s="43"/>
      <c r="DH414" s="43"/>
      <c r="DI414" s="43"/>
      <c r="DJ414" s="43"/>
      <c r="DK414" s="43"/>
      <c r="DL414" s="43"/>
      <c r="DM414" s="43"/>
      <c r="DN414" s="43"/>
      <c r="DO414" s="43"/>
      <c r="DP414" s="43"/>
      <c r="DQ414" s="43"/>
      <c r="DR414" s="43"/>
      <c r="DS414" s="43"/>
    </row>
    <row r="415" spans="1:123" ht="14.45">
      <c r="A415"/>
      <c r="B415"/>
      <c r="C415"/>
      <c r="D415"/>
      <c r="E415"/>
      <c r="F415"/>
      <c r="G415"/>
      <c r="H415"/>
      <c r="I415"/>
      <c r="J415"/>
      <c r="K415" s="43"/>
      <c r="L415" s="43"/>
      <c r="M415" s="43"/>
      <c r="N415" s="43"/>
      <c r="O415" s="43"/>
      <c r="P415" s="43"/>
      <c r="Q415" s="43"/>
      <c r="R415" s="43"/>
      <c r="S415" s="43"/>
      <c r="T415" s="43"/>
      <c r="U415" s="43"/>
      <c r="V415" s="43"/>
      <c r="W415" s="43"/>
      <c r="X415" s="43"/>
      <c r="Y415" s="43"/>
      <c r="Z415" s="43"/>
      <c r="AA415" s="43"/>
      <c r="AB415" s="43"/>
      <c r="AC415" s="43"/>
      <c r="AD415" s="43"/>
      <c r="AE415" s="43"/>
      <c r="AF415" s="43"/>
      <c r="AG415" s="43"/>
      <c r="AH415" s="43"/>
      <c r="AI415" s="43"/>
      <c r="AJ415" s="43"/>
      <c r="AK415" s="43"/>
      <c r="AL415" s="43"/>
      <c r="AM415" s="43"/>
      <c r="AN415" s="43"/>
      <c r="AO415" s="43"/>
      <c r="AP415" s="43"/>
      <c r="AQ415" s="43"/>
      <c r="AR415" s="43"/>
      <c r="AS415" s="43"/>
      <c r="AT415" s="43"/>
      <c r="AU415" s="43"/>
      <c r="AV415" s="43"/>
      <c r="AW415" s="43"/>
      <c r="AX415" s="43"/>
      <c r="AY415" s="43"/>
      <c r="AZ415" s="43"/>
      <c r="BA415" s="43"/>
      <c r="BB415" s="43"/>
      <c r="BC415" s="43"/>
      <c r="BD415" s="43"/>
      <c r="BE415" s="43"/>
      <c r="BF415" s="43"/>
      <c r="BG415" s="43"/>
      <c r="BH415" s="43"/>
      <c r="BI415" s="43"/>
      <c r="BJ415" s="43"/>
      <c r="BK415" s="43"/>
      <c r="BL415" s="43"/>
      <c r="BM415" s="43"/>
      <c r="BN415" s="43"/>
      <c r="BO415" s="43"/>
      <c r="BP415" s="43"/>
      <c r="BQ415" s="43"/>
      <c r="BR415" s="43"/>
      <c r="BS415" s="43"/>
      <c r="BT415" s="43"/>
      <c r="BU415" s="43"/>
      <c r="BV415" s="43"/>
      <c r="BW415" s="43"/>
      <c r="BX415" s="43"/>
      <c r="BY415" s="43"/>
      <c r="BZ415" s="43"/>
      <c r="CA415" s="43"/>
      <c r="CB415" s="43"/>
      <c r="CC415" s="43"/>
      <c r="CD415" s="43"/>
      <c r="CE415" s="43"/>
      <c r="CF415" s="43"/>
      <c r="CG415" s="43"/>
      <c r="CH415" s="43"/>
      <c r="CI415" s="43"/>
      <c r="CJ415" s="43"/>
      <c r="CK415" s="43"/>
      <c r="CL415" s="43"/>
      <c r="CM415" s="43"/>
      <c r="CN415" s="43"/>
      <c r="CO415" s="43"/>
      <c r="CP415" s="43"/>
      <c r="CQ415" s="43"/>
      <c r="CR415" s="43"/>
      <c r="CS415" s="43"/>
      <c r="CT415" s="43"/>
      <c r="CU415" s="43"/>
      <c r="CV415" s="43"/>
      <c r="CW415" s="43"/>
      <c r="CX415" s="43"/>
      <c r="CY415" s="43"/>
      <c r="CZ415" s="43"/>
      <c r="DA415" s="43"/>
      <c r="DB415" s="43"/>
      <c r="DC415" s="43"/>
      <c r="DD415" s="43"/>
      <c r="DE415" s="43"/>
      <c r="DF415" s="43"/>
      <c r="DG415" s="43"/>
      <c r="DH415" s="43"/>
      <c r="DI415" s="43"/>
      <c r="DJ415" s="43"/>
      <c r="DK415" s="43"/>
      <c r="DL415" s="43"/>
      <c r="DM415" s="43"/>
      <c r="DN415" s="43"/>
      <c r="DO415" s="43"/>
      <c r="DP415" s="43"/>
      <c r="DQ415" s="43"/>
      <c r="DR415" s="43"/>
      <c r="DS415" s="43"/>
    </row>
    <row r="416" spans="1:123" ht="14.45">
      <c r="A416"/>
      <c r="B416"/>
      <c r="C416"/>
      <c r="D416"/>
      <c r="E416"/>
      <c r="F416"/>
      <c r="G416"/>
      <c r="H416"/>
      <c r="I416"/>
      <c r="J416"/>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c r="AJ416" s="43"/>
      <c r="AK416" s="43"/>
      <c r="AL416" s="43"/>
      <c r="AM416" s="43"/>
      <c r="AN416" s="43"/>
      <c r="AO416" s="43"/>
      <c r="AP416" s="43"/>
      <c r="AQ416" s="43"/>
      <c r="AR416" s="43"/>
      <c r="AS416" s="43"/>
      <c r="AT416" s="43"/>
      <c r="AU416" s="43"/>
      <c r="AV416" s="43"/>
      <c r="AW416" s="43"/>
      <c r="AX416" s="43"/>
      <c r="AY416" s="43"/>
      <c r="AZ416" s="43"/>
      <c r="BA416" s="43"/>
      <c r="BB416" s="43"/>
      <c r="BC416" s="43"/>
      <c r="BD416" s="43"/>
      <c r="BE416" s="43"/>
      <c r="BF416" s="43"/>
      <c r="BG416" s="43"/>
      <c r="BH416" s="43"/>
      <c r="BI416" s="43"/>
      <c r="BJ416" s="43"/>
      <c r="BK416" s="43"/>
      <c r="BL416" s="43"/>
      <c r="BM416" s="43"/>
      <c r="BN416" s="43"/>
      <c r="BO416" s="43"/>
      <c r="BP416" s="43"/>
      <c r="BQ416" s="43"/>
      <c r="BR416" s="43"/>
      <c r="BS416" s="43"/>
      <c r="BT416" s="43"/>
      <c r="BU416" s="43"/>
      <c r="BV416" s="43"/>
      <c r="BW416" s="43"/>
      <c r="BX416" s="43"/>
      <c r="BY416" s="43"/>
      <c r="BZ416" s="43"/>
      <c r="CA416" s="43"/>
      <c r="CB416" s="43"/>
      <c r="CC416" s="43"/>
      <c r="CD416" s="43"/>
      <c r="CE416" s="43"/>
      <c r="CF416" s="43"/>
      <c r="CG416" s="43"/>
      <c r="CH416" s="43"/>
      <c r="CI416" s="43"/>
      <c r="CJ416" s="43"/>
      <c r="CK416" s="43"/>
      <c r="CL416" s="43"/>
      <c r="CM416" s="43"/>
      <c r="CN416" s="43"/>
      <c r="CO416" s="43"/>
      <c r="CP416" s="43"/>
      <c r="CQ416" s="43"/>
      <c r="CR416" s="43"/>
      <c r="CS416" s="43"/>
      <c r="CT416" s="43"/>
      <c r="CU416" s="43"/>
      <c r="CV416" s="43"/>
      <c r="CW416" s="43"/>
      <c r="CX416" s="43"/>
      <c r="CY416" s="43"/>
      <c r="CZ416" s="43"/>
      <c r="DA416" s="43"/>
      <c r="DB416" s="43"/>
      <c r="DC416" s="43"/>
      <c r="DD416" s="43"/>
      <c r="DE416" s="43"/>
      <c r="DF416" s="43"/>
      <c r="DG416" s="43"/>
      <c r="DH416" s="43"/>
      <c r="DI416" s="43"/>
      <c r="DJ416" s="43"/>
      <c r="DK416" s="43"/>
      <c r="DL416" s="43"/>
      <c r="DM416" s="43"/>
      <c r="DN416" s="43"/>
      <c r="DO416" s="43"/>
      <c r="DP416" s="43"/>
      <c r="DQ416" s="43"/>
      <c r="DR416" s="43"/>
      <c r="DS416" s="43"/>
    </row>
    <row r="417" spans="1:123" ht="14.45">
      <c r="A417"/>
      <c r="B417"/>
      <c r="C417"/>
      <c r="D417"/>
      <c r="E417"/>
      <c r="F417"/>
      <c r="G417"/>
      <c r="H417"/>
      <c r="I417"/>
      <c r="J417"/>
      <c r="K417" s="43"/>
      <c r="L417" s="43"/>
      <c r="M417" s="43"/>
      <c r="N417" s="43"/>
      <c r="O417" s="43"/>
      <c r="P417" s="43"/>
      <c r="Q417" s="43"/>
      <c r="R417" s="43"/>
      <c r="S417" s="43"/>
      <c r="T417" s="43"/>
      <c r="U417" s="43"/>
      <c r="V417" s="43"/>
      <c r="W417" s="43"/>
      <c r="X417" s="43"/>
      <c r="Y417" s="43"/>
      <c r="Z417" s="43"/>
      <c r="AA417" s="43"/>
      <c r="AB417" s="43"/>
      <c r="AC417" s="43"/>
      <c r="AD417" s="43"/>
      <c r="AE417" s="43"/>
      <c r="AF417" s="43"/>
      <c r="AG417" s="43"/>
      <c r="AH417" s="43"/>
      <c r="AI417" s="43"/>
      <c r="AJ417" s="43"/>
      <c r="AK417" s="43"/>
      <c r="AL417" s="43"/>
      <c r="AM417" s="43"/>
      <c r="AN417" s="43"/>
      <c r="AO417" s="43"/>
      <c r="AP417" s="43"/>
      <c r="AQ417" s="43"/>
      <c r="AR417" s="43"/>
      <c r="AS417" s="43"/>
      <c r="AT417" s="43"/>
      <c r="AU417" s="43"/>
      <c r="AV417" s="43"/>
      <c r="AW417" s="43"/>
      <c r="AX417" s="43"/>
      <c r="AY417" s="43"/>
      <c r="AZ417" s="43"/>
      <c r="BA417" s="43"/>
      <c r="BB417" s="43"/>
      <c r="BC417" s="43"/>
      <c r="BD417" s="43"/>
      <c r="BE417" s="43"/>
      <c r="BF417" s="43"/>
      <c r="BG417" s="43"/>
      <c r="BH417" s="43"/>
      <c r="BI417" s="43"/>
      <c r="BJ417" s="43"/>
      <c r="BK417" s="43"/>
      <c r="BL417" s="43"/>
      <c r="BM417" s="43"/>
      <c r="BN417" s="43"/>
      <c r="BO417" s="43"/>
      <c r="BP417" s="43"/>
      <c r="BQ417" s="43"/>
      <c r="BR417" s="43"/>
      <c r="BS417" s="43"/>
      <c r="BT417" s="43"/>
      <c r="BU417" s="43"/>
      <c r="BV417" s="43"/>
      <c r="BW417" s="43"/>
      <c r="BX417" s="43"/>
      <c r="BY417" s="43"/>
      <c r="BZ417" s="43"/>
      <c r="CA417" s="43"/>
      <c r="CB417" s="43"/>
      <c r="CC417" s="43"/>
      <c r="CD417" s="43"/>
      <c r="CE417" s="43"/>
      <c r="CF417" s="43"/>
      <c r="CG417" s="43"/>
      <c r="CH417" s="43"/>
      <c r="CI417" s="43"/>
      <c r="CJ417" s="43"/>
      <c r="CK417" s="43"/>
      <c r="CL417" s="43"/>
      <c r="CM417" s="43"/>
      <c r="CN417" s="43"/>
      <c r="CO417" s="43"/>
      <c r="CP417" s="43"/>
      <c r="CQ417" s="43"/>
      <c r="CR417" s="43"/>
      <c r="CS417" s="43"/>
      <c r="CT417" s="43"/>
      <c r="CU417" s="43"/>
      <c r="CV417" s="43"/>
      <c r="CW417" s="43"/>
      <c r="CX417" s="43"/>
      <c r="CY417" s="43"/>
      <c r="CZ417" s="43"/>
      <c r="DA417" s="43"/>
      <c r="DB417" s="43"/>
      <c r="DC417" s="43"/>
      <c r="DD417" s="43"/>
      <c r="DE417" s="43"/>
      <c r="DF417" s="43"/>
      <c r="DG417" s="43"/>
      <c r="DH417" s="43"/>
      <c r="DI417" s="43"/>
      <c r="DJ417" s="43"/>
      <c r="DK417" s="43"/>
      <c r="DL417" s="43"/>
      <c r="DM417" s="43"/>
      <c r="DN417" s="43"/>
      <c r="DO417" s="43"/>
      <c r="DP417" s="43"/>
      <c r="DQ417" s="43"/>
      <c r="DR417" s="43"/>
      <c r="DS417" s="43"/>
    </row>
    <row r="418" spans="1:123" ht="14.45">
      <c r="A418"/>
      <c r="B418"/>
      <c r="C418"/>
      <c r="D418"/>
      <c r="E418"/>
      <c r="F418"/>
      <c r="G418"/>
      <c r="H418"/>
      <c r="I418"/>
      <c r="J418"/>
      <c r="K418" s="43"/>
      <c r="L418" s="43"/>
      <c r="M418" s="43"/>
      <c r="N418" s="43"/>
      <c r="O418" s="43"/>
      <c r="P418" s="43"/>
      <c r="Q418" s="43"/>
      <c r="R418" s="43"/>
      <c r="S418" s="43"/>
      <c r="T418" s="43"/>
      <c r="U418" s="43"/>
      <c r="V418" s="43"/>
      <c r="W418" s="43"/>
      <c r="X418" s="43"/>
      <c r="Y418" s="43"/>
      <c r="Z418" s="43"/>
      <c r="AA418" s="43"/>
      <c r="AB418" s="43"/>
      <c r="AC418" s="43"/>
      <c r="AD418" s="43"/>
      <c r="AE418" s="43"/>
      <c r="AF418" s="43"/>
      <c r="AG418" s="43"/>
      <c r="AH418" s="43"/>
      <c r="AI418" s="43"/>
      <c r="AJ418" s="43"/>
      <c r="AK418" s="43"/>
      <c r="AL418" s="43"/>
      <c r="AM418" s="43"/>
      <c r="AN418" s="43"/>
      <c r="AO418" s="43"/>
      <c r="AP418" s="43"/>
      <c r="AQ418" s="43"/>
      <c r="AR418" s="43"/>
      <c r="AS418" s="43"/>
      <c r="AT418" s="43"/>
      <c r="AU418" s="43"/>
      <c r="AV418" s="43"/>
      <c r="AW418" s="43"/>
      <c r="AX418" s="43"/>
      <c r="AY418" s="43"/>
      <c r="AZ418" s="43"/>
      <c r="BA418" s="43"/>
      <c r="BB418" s="43"/>
      <c r="BC418" s="43"/>
      <c r="BD418" s="43"/>
      <c r="BE418" s="43"/>
      <c r="BF418" s="43"/>
      <c r="BG418" s="43"/>
      <c r="BH418" s="43"/>
      <c r="BI418" s="43"/>
      <c r="BJ418" s="43"/>
      <c r="BK418" s="43"/>
      <c r="BL418" s="43"/>
      <c r="BM418" s="43"/>
      <c r="BN418" s="43"/>
      <c r="BO418" s="43"/>
      <c r="BP418" s="43"/>
      <c r="BQ418" s="43"/>
      <c r="BR418" s="43"/>
      <c r="BS418" s="43"/>
      <c r="BT418" s="43"/>
      <c r="BU418" s="43"/>
      <c r="BV418" s="43"/>
      <c r="BW418" s="43"/>
      <c r="BX418" s="43"/>
      <c r="BY418" s="43"/>
      <c r="BZ418" s="43"/>
      <c r="CA418" s="43"/>
      <c r="CB418" s="43"/>
      <c r="CC418" s="43"/>
      <c r="CD418" s="43"/>
      <c r="CE418" s="43"/>
      <c r="CF418" s="43"/>
      <c r="CG418" s="43"/>
      <c r="CH418" s="43"/>
      <c r="CI418" s="43"/>
      <c r="CJ418" s="43"/>
      <c r="CK418" s="43"/>
      <c r="CL418" s="43"/>
      <c r="CM418" s="43"/>
      <c r="CN418" s="43"/>
      <c r="CO418" s="43"/>
      <c r="CP418" s="43"/>
      <c r="CQ418" s="43"/>
      <c r="CR418" s="43"/>
      <c r="CS418" s="43"/>
      <c r="CT418" s="43"/>
      <c r="CU418" s="43"/>
      <c r="CV418" s="43"/>
      <c r="CW418" s="43"/>
      <c r="CX418" s="43"/>
      <c r="CY418" s="43"/>
      <c r="CZ418" s="43"/>
      <c r="DA418" s="43"/>
      <c r="DB418" s="43"/>
      <c r="DC418" s="43"/>
      <c r="DD418" s="43"/>
      <c r="DE418" s="43"/>
      <c r="DF418" s="43"/>
      <c r="DG418" s="43"/>
      <c r="DH418" s="43"/>
      <c r="DI418" s="43"/>
      <c r="DJ418" s="43"/>
      <c r="DK418" s="43"/>
      <c r="DL418" s="43"/>
      <c r="DM418" s="43"/>
      <c r="DN418" s="43"/>
      <c r="DO418" s="43"/>
      <c r="DP418" s="43"/>
      <c r="DQ418" s="43"/>
      <c r="DR418" s="43"/>
      <c r="DS418" s="43"/>
    </row>
    <row r="419" spans="1:123" ht="14.45">
      <c r="A419"/>
      <c r="B419"/>
      <c r="C419"/>
      <c r="D419"/>
      <c r="E419"/>
      <c r="F419"/>
      <c r="G419"/>
      <c r="H419"/>
      <c r="I419"/>
      <c r="J419"/>
      <c r="K419" s="43"/>
      <c r="L419" s="43"/>
      <c r="M419" s="43"/>
      <c r="N419" s="43"/>
      <c r="O419" s="43"/>
      <c r="P419" s="43"/>
      <c r="Q419" s="43"/>
      <c r="R419" s="43"/>
      <c r="S419" s="43"/>
      <c r="T419" s="43"/>
      <c r="U419" s="43"/>
      <c r="V419" s="43"/>
      <c r="W419" s="43"/>
      <c r="X419" s="43"/>
      <c r="Y419" s="43"/>
      <c r="Z419" s="43"/>
      <c r="AA419" s="43"/>
      <c r="AB419" s="43"/>
      <c r="AC419" s="43"/>
      <c r="AD419" s="43"/>
      <c r="AE419" s="43"/>
      <c r="AF419" s="43"/>
      <c r="AG419" s="43"/>
      <c r="AH419" s="43"/>
      <c r="AI419" s="43"/>
      <c r="AJ419" s="43"/>
      <c r="AK419" s="43"/>
      <c r="AL419" s="43"/>
      <c r="AM419" s="43"/>
      <c r="AN419" s="43"/>
      <c r="AO419" s="43"/>
      <c r="AP419" s="43"/>
      <c r="AQ419" s="43"/>
      <c r="AR419" s="43"/>
      <c r="AS419" s="43"/>
      <c r="AT419" s="43"/>
      <c r="AU419" s="43"/>
      <c r="AV419" s="43"/>
      <c r="AW419" s="43"/>
      <c r="AX419" s="43"/>
      <c r="AY419" s="43"/>
      <c r="AZ419" s="43"/>
      <c r="BA419" s="43"/>
      <c r="BB419" s="43"/>
      <c r="BC419" s="43"/>
      <c r="BD419" s="43"/>
      <c r="BE419" s="43"/>
      <c r="BF419" s="43"/>
      <c r="BG419" s="43"/>
      <c r="BH419" s="43"/>
      <c r="BI419" s="43"/>
      <c r="BJ419" s="43"/>
      <c r="BK419" s="43"/>
      <c r="BL419" s="43"/>
      <c r="BM419" s="43"/>
      <c r="BN419" s="43"/>
      <c r="BO419" s="43"/>
      <c r="BP419" s="43"/>
      <c r="BQ419" s="43"/>
      <c r="BR419" s="43"/>
      <c r="BS419" s="43"/>
      <c r="BT419" s="43"/>
      <c r="BU419" s="43"/>
      <c r="BV419" s="43"/>
      <c r="BW419" s="43"/>
      <c r="BX419" s="43"/>
      <c r="BY419" s="43"/>
      <c r="BZ419" s="43"/>
      <c r="CA419" s="43"/>
      <c r="CB419" s="43"/>
      <c r="CC419" s="43"/>
      <c r="CD419" s="43"/>
      <c r="CE419" s="43"/>
      <c r="CF419" s="43"/>
      <c r="CG419" s="43"/>
      <c r="CH419" s="43"/>
      <c r="CI419" s="43"/>
      <c r="CJ419" s="43"/>
      <c r="CK419" s="43"/>
      <c r="CL419" s="43"/>
      <c r="CM419" s="43"/>
      <c r="CN419" s="43"/>
      <c r="CO419" s="43"/>
      <c r="CP419" s="43"/>
      <c r="CQ419" s="43"/>
      <c r="CR419" s="43"/>
      <c r="CS419" s="43"/>
      <c r="CT419" s="43"/>
      <c r="CU419" s="43"/>
      <c r="CV419" s="43"/>
      <c r="CW419" s="43"/>
      <c r="CX419" s="43"/>
      <c r="CY419" s="43"/>
      <c r="CZ419" s="43"/>
      <c r="DA419" s="43"/>
      <c r="DB419" s="43"/>
      <c r="DC419" s="43"/>
      <c r="DD419" s="43"/>
      <c r="DE419" s="43"/>
      <c r="DF419" s="43"/>
      <c r="DG419" s="43"/>
      <c r="DH419" s="43"/>
      <c r="DI419" s="43"/>
      <c r="DJ419" s="43"/>
      <c r="DK419" s="43"/>
      <c r="DL419" s="43"/>
      <c r="DM419" s="43"/>
      <c r="DN419" s="43"/>
      <c r="DO419" s="43"/>
      <c r="DP419" s="43"/>
      <c r="DQ419" s="43"/>
      <c r="DR419" s="43"/>
      <c r="DS419" s="43"/>
    </row>
    <row r="420" spans="1:123" ht="14.45">
      <c r="A420"/>
      <c r="B420"/>
      <c r="C420"/>
      <c r="D420"/>
      <c r="E420"/>
      <c r="F420"/>
      <c r="G420"/>
      <c r="H420"/>
      <c r="I420"/>
      <c r="J420"/>
      <c r="K420" s="43"/>
      <c r="L420" s="43"/>
      <c r="M420" s="43"/>
      <c r="N420" s="43"/>
      <c r="O420" s="43"/>
      <c r="P420" s="43"/>
      <c r="Q420" s="43"/>
      <c r="R420" s="43"/>
      <c r="S420" s="43"/>
      <c r="T420" s="43"/>
      <c r="U420" s="43"/>
      <c r="V420" s="43"/>
      <c r="W420" s="43"/>
      <c r="X420" s="43"/>
      <c r="Y420" s="43"/>
      <c r="Z420" s="43"/>
      <c r="AA420" s="43"/>
      <c r="AB420" s="43"/>
      <c r="AC420" s="43"/>
      <c r="AD420" s="43"/>
      <c r="AE420" s="43"/>
      <c r="AF420" s="43"/>
      <c r="AG420" s="43"/>
      <c r="AH420" s="43"/>
      <c r="AI420" s="43"/>
      <c r="AJ420" s="43"/>
      <c r="AK420" s="43"/>
      <c r="AL420" s="43"/>
      <c r="AM420" s="43"/>
      <c r="AN420" s="43"/>
      <c r="AO420" s="43"/>
      <c r="AP420" s="43"/>
      <c r="AQ420" s="43"/>
      <c r="AR420" s="43"/>
      <c r="AS420" s="43"/>
      <c r="AT420" s="43"/>
      <c r="AU420" s="43"/>
      <c r="AV420" s="43"/>
      <c r="AW420" s="43"/>
      <c r="AX420" s="43"/>
      <c r="AY420" s="43"/>
      <c r="AZ420" s="43"/>
      <c r="BA420" s="43"/>
      <c r="BB420" s="43"/>
      <c r="BC420" s="43"/>
      <c r="BD420" s="43"/>
      <c r="BE420" s="43"/>
      <c r="BF420" s="43"/>
      <c r="BG420" s="43"/>
      <c r="BH420" s="43"/>
      <c r="BI420" s="43"/>
      <c r="BJ420" s="43"/>
      <c r="BK420" s="43"/>
      <c r="BL420" s="43"/>
      <c r="BM420" s="43"/>
      <c r="BN420" s="43"/>
      <c r="BO420" s="43"/>
      <c r="BP420" s="43"/>
      <c r="BQ420" s="43"/>
      <c r="BR420" s="43"/>
      <c r="BS420" s="43"/>
      <c r="BT420" s="43"/>
      <c r="BU420" s="43"/>
      <c r="BV420" s="43"/>
      <c r="BW420" s="43"/>
      <c r="BX420" s="43"/>
      <c r="BY420" s="43"/>
      <c r="BZ420" s="43"/>
      <c r="CA420" s="43"/>
      <c r="CB420" s="43"/>
      <c r="CC420" s="43"/>
      <c r="CD420" s="43"/>
      <c r="CE420" s="43"/>
      <c r="CF420" s="43"/>
      <c r="CG420" s="43"/>
      <c r="CH420" s="43"/>
      <c r="CI420" s="43"/>
      <c r="CJ420" s="43"/>
      <c r="CK420" s="43"/>
      <c r="CL420" s="43"/>
      <c r="CM420" s="43"/>
      <c r="CN420" s="43"/>
      <c r="CO420" s="43"/>
      <c r="CP420" s="43"/>
      <c r="CQ420" s="43"/>
      <c r="CR420" s="43"/>
      <c r="CS420" s="43"/>
      <c r="CT420" s="43"/>
      <c r="CU420" s="43"/>
      <c r="CV420" s="43"/>
      <c r="CW420" s="43"/>
      <c r="CX420" s="43"/>
      <c r="CY420" s="43"/>
      <c r="CZ420" s="43"/>
      <c r="DA420" s="43"/>
      <c r="DB420" s="43"/>
      <c r="DC420" s="43"/>
      <c r="DD420" s="43"/>
      <c r="DE420" s="43"/>
      <c r="DF420" s="43"/>
      <c r="DG420" s="43"/>
      <c r="DH420" s="43"/>
      <c r="DI420" s="43"/>
      <c r="DJ420" s="43"/>
      <c r="DK420" s="43"/>
      <c r="DL420" s="43"/>
      <c r="DM420" s="43"/>
      <c r="DN420" s="43"/>
      <c r="DO420" s="43"/>
      <c r="DP420" s="43"/>
      <c r="DQ420" s="43"/>
      <c r="DR420" s="43"/>
      <c r="DS420" s="43"/>
    </row>
    <row r="421" spans="1:123" ht="14.45">
      <c r="A421"/>
      <c r="B421"/>
      <c r="C421"/>
      <c r="D421"/>
      <c r="E421"/>
      <c r="F421"/>
      <c r="G421"/>
      <c r="H421"/>
      <c r="I421"/>
      <c r="J421"/>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c r="AJ421" s="43"/>
      <c r="AK421" s="43"/>
      <c r="AL421" s="43"/>
      <c r="AM421" s="43"/>
      <c r="AN421" s="43"/>
      <c r="AO421" s="43"/>
      <c r="AP421" s="43"/>
      <c r="AQ421" s="43"/>
      <c r="AR421" s="43"/>
      <c r="AS421" s="43"/>
      <c r="AT421" s="43"/>
      <c r="AU421" s="43"/>
      <c r="AV421" s="43"/>
      <c r="AW421" s="43"/>
      <c r="AX421" s="43"/>
      <c r="AY421" s="43"/>
      <c r="AZ421" s="43"/>
      <c r="BA421" s="43"/>
      <c r="BB421" s="43"/>
      <c r="BC421" s="43"/>
      <c r="BD421" s="43"/>
      <c r="BE421" s="43"/>
      <c r="BF421" s="43"/>
      <c r="BG421" s="43"/>
      <c r="BH421" s="43"/>
      <c r="BI421" s="43"/>
      <c r="BJ421" s="43"/>
      <c r="BK421" s="43"/>
      <c r="BL421" s="43"/>
      <c r="BM421" s="43"/>
      <c r="BN421" s="43"/>
      <c r="BO421" s="43"/>
      <c r="BP421" s="43"/>
      <c r="BQ421" s="43"/>
      <c r="BR421" s="43"/>
      <c r="BS421" s="43"/>
      <c r="BT421" s="43"/>
      <c r="BU421" s="43"/>
      <c r="BV421" s="43"/>
      <c r="BW421" s="43"/>
      <c r="BX421" s="43"/>
      <c r="BY421" s="43"/>
      <c r="BZ421" s="43"/>
      <c r="CA421" s="43"/>
      <c r="CB421" s="43"/>
      <c r="CC421" s="43"/>
      <c r="CD421" s="43"/>
      <c r="CE421" s="43"/>
      <c r="CF421" s="43"/>
      <c r="CG421" s="43"/>
      <c r="CH421" s="43"/>
      <c r="CI421" s="43"/>
      <c r="CJ421" s="43"/>
      <c r="CK421" s="43"/>
      <c r="CL421" s="43"/>
      <c r="CM421" s="43"/>
      <c r="CN421" s="43"/>
      <c r="CO421" s="43"/>
      <c r="CP421" s="43"/>
      <c r="CQ421" s="43"/>
      <c r="CR421" s="43"/>
      <c r="CS421" s="43"/>
      <c r="CT421" s="43"/>
      <c r="CU421" s="43"/>
      <c r="CV421" s="43"/>
      <c r="CW421" s="43"/>
      <c r="CX421" s="43"/>
      <c r="CY421" s="43"/>
      <c r="CZ421" s="43"/>
      <c r="DA421" s="43"/>
      <c r="DB421" s="43"/>
      <c r="DC421" s="43"/>
      <c r="DD421" s="43"/>
      <c r="DE421" s="43"/>
      <c r="DF421" s="43"/>
      <c r="DG421" s="43"/>
      <c r="DH421" s="43"/>
      <c r="DI421" s="43"/>
      <c r="DJ421" s="43"/>
      <c r="DK421" s="43"/>
      <c r="DL421" s="43"/>
      <c r="DM421" s="43"/>
      <c r="DN421" s="43"/>
      <c r="DO421" s="43"/>
      <c r="DP421" s="43"/>
      <c r="DQ421" s="43"/>
      <c r="DR421" s="43"/>
      <c r="DS421" s="43"/>
    </row>
    <row r="422" spans="1:123" ht="14.45">
      <c r="A422"/>
      <c r="B422"/>
      <c r="C422"/>
      <c r="D422"/>
      <c r="E422"/>
      <c r="F422"/>
      <c r="G422"/>
      <c r="H422"/>
      <c r="I422"/>
      <c r="J422"/>
      <c r="K422" s="43"/>
      <c r="L422" s="43"/>
      <c r="M422" s="43"/>
      <c r="N422" s="43"/>
      <c r="O422" s="43"/>
      <c r="P422" s="43"/>
      <c r="Q422" s="43"/>
      <c r="R422" s="43"/>
      <c r="S422" s="43"/>
      <c r="T422" s="43"/>
      <c r="U422" s="43"/>
      <c r="V422" s="43"/>
      <c r="W422" s="43"/>
      <c r="X422" s="43"/>
      <c r="Y422" s="43"/>
      <c r="Z422" s="43"/>
      <c r="AA422" s="43"/>
      <c r="AB422" s="43"/>
      <c r="AC422" s="43"/>
      <c r="AD422" s="43"/>
      <c r="AE422" s="43"/>
      <c r="AF422" s="43"/>
      <c r="AG422" s="43"/>
      <c r="AH422" s="43"/>
      <c r="AI422" s="43"/>
      <c r="AJ422" s="43"/>
      <c r="AK422" s="43"/>
      <c r="AL422" s="43"/>
      <c r="AM422" s="43"/>
      <c r="AN422" s="43"/>
      <c r="AO422" s="43"/>
      <c r="AP422" s="43"/>
      <c r="AQ422" s="43"/>
      <c r="AR422" s="43"/>
      <c r="AS422" s="43"/>
      <c r="AT422" s="43"/>
      <c r="AU422" s="43"/>
      <c r="AV422" s="43"/>
      <c r="AW422" s="43"/>
      <c r="AX422" s="43"/>
      <c r="AY422" s="43"/>
      <c r="AZ422" s="43"/>
      <c r="BA422" s="43"/>
      <c r="BB422" s="43"/>
      <c r="BC422" s="43"/>
      <c r="BD422" s="43"/>
      <c r="BE422" s="43"/>
      <c r="BF422" s="43"/>
      <c r="BG422" s="43"/>
      <c r="BH422" s="43"/>
      <c r="BI422" s="43"/>
      <c r="BJ422" s="43"/>
      <c r="BK422" s="43"/>
      <c r="BL422" s="43"/>
      <c r="BM422" s="43"/>
      <c r="BN422" s="43"/>
      <c r="BO422" s="43"/>
      <c r="BP422" s="43"/>
      <c r="BQ422" s="43"/>
      <c r="BR422" s="43"/>
      <c r="BS422" s="43"/>
      <c r="BT422" s="43"/>
      <c r="BU422" s="43"/>
      <c r="BV422" s="43"/>
      <c r="BW422" s="43"/>
      <c r="BX422" s="43"/>
      <c r="BY422" s="43"/>
      <c r="BZ422" s="43"/>
      <c r="CA422" s="43"/>
      <c r="CB422" s="43"/>
      <c r="CC422" s="43"/>
      <c r="CD422" s="43"/>
      <c r="CE422" s="43"/>
      <c r="CF422" s="43"/>
      <c r="CG422" s="43"/>
      <c r="CH422" s="43"/>
      <c r="CI422" s="43"/>
      <c r="CJ422" s="43"/>
      <c r="CK422" s="43"/>
      <c r="CL422" s="43"/>
      <c r="CM422" s="43"/>
      <c r="CN422" s="43"/>
      <c r="CO422" s="43"/>
      <c r="CP422" s="43"/>
      <c r="CQ422" s="43"/>
      <c r="CR422" s="43"/>
      <c r="CS422" s="43"/>
      <c r="CT422" s="43"/>
      <c r="CU422" s="43"/>
      <c r="CV422" s="43"/>
      <c r="CW422" s="43"/>
      <c r="CX422" s="43"/>
      <c r="CY422" s="43"/>
      <c r="CZ422" s="43"/>
      <c r="DA422" s="43"/>
      <c r="DB422" s="43"/>
      <c r="DC422" s="43"/>
      <c r="DD422" s="43"/>
      <c r="DE422" s="43"/>
      <c r="DF422" s="43"/>
      <c r="DG422" s="43"/>
      <c r="DH422" s="43"/>
      <c r="DI422" s="43"/>
      <c r="DJ422" s="43"/>
      <c r="DK422" s="43"/>
      <c r="DL422" s="43"/>
      <c r="DM422" s="43"/>
      <c r="DN422" s="43"/>
      <c r="DO422" s="43"/>
      <c r="DP422" s="43"/>
      <c r="DQ422" s="43"/>
      <c r="DR422" s="43"/>
      <c r="DS422" s="43"/>
    </row>
    <row r="423" spans="1:123" ht="14.45">
      <c r="A423"/>
      <c r="B423"/>
      <c r="C423"/>
      <c r="D423"/>
      <c r="E423"/>
      <c r="F423"/>
      <c r="G423"/>
      <c r="H423"/>
      <c r="I423"/>
      <c r="J423"/>
      <c r="K423" s="43"/>
      <c r="L423" s="43"/>
      <c r="M423" s="43"/>
      <c r="N423" s="43"/>
      <c r="O423" s="43"/>
      <c r="P423" s="43"/>
      <c r="Q423" s="43"/>
      <c r="R423" s="43"/>
      <c r="S423" s="43"/>
      <c r="T423" s="43"/>
      <c r="U423" s="43"/>
      <c r="V423" s="43"/>
      <c r="W423" s="43"/>
      <c r="X423" s="43"/>
      <c r="Y423" s="43"/>
      <c r="Z423" s="43"/>
      <c r="AA423" s="43"/>
      <c r="AB423" s="43"/>
      <c r="AC423" s="43"/>
      <c r="AD423" s="43"/>
      <c r="AE423" s="43"/>
      <c r="AF423" s="43"/>
      <c r="AG423" s="43"/>
      <c r="AH423" s="43"/>
      <c r="AI423" s="43"/>
      <c r="AJ423" s="43"/>
      <c r="AK423" s="43"/>
      <c r="AL423" s="43"/>
      <c r="AM423" s="43"/>
      <c r="AN423" s="43"/>
      <c r="AO423" s="43"/>
      <c r="AP423" s="43"/>
      <c r="AQ423" s="43"/>
      <c r="AR423" s="43"/>
      <c r="AS423" s="43"/>
      <c r="AT423" s="43"/>
      <c r="AU423" s="43"/>
      <c r="AV423" s="43"/>
      <c r="AW423" s="43"/>
      <c r="AX423" s="43"/>
      <c r="AY423" s="43"/>
      <c r="AZ423" s="43"/>
      <c r="BA423" s="43"/>
      <c r="BB423" s="43"/>
      <c r="BC423" s="43"/>
      <c r="BD423" s="43"/>
      <c r="BE423" s="43"/>
      <c r="BF423" s="43"/>
      <c r="BG423" s="43"/>
      <c r="BH423" s="43"/>
      <c r="BI423" s="43"/>
      <c r="BJ423" s="43"/>
      <c r="BK423" s="43"/>
      <c r="BL423" s="43"/>
      <c r="BM423" s="43"/>
      <c r="BN423" s="43"/>
      <c r="BO423" s="43"/>
      <c r="BP423" s="43"/>
      <c r="BQ423" s="43"/>
      <c r="BR423" s="43"/>
      <c r="BS423" s="43"/>
      <c r="BT423" s="43"/>
      <c r="BU423" s="43"/>
      <c r="BV423" s="43"/>
      <c r="BW423" s="43"/>
      <c r="BX423" s="43"/>
      <c r="BY423" s="43"/>
      <c r="BZ423" s="43"/>
      <c r="CA423" s="43"/>
      <c r="CB423" s="43"/>
      <c r="CC423" s="43"/>
      <c r="CD423" s="43"/>
      <c r="CE423" s="43"/>
      <c r="CF423" s="43"/>
      <c r="CG423" s="43"/>
      <c r="CH423" s="43"/>
      <c r="CI423" s="43"/>
      <c r="CJ423" s="43"/>
      <c r="CK423" s="43"/>
      <c r="CL423" s="43"/>
      <c r="CM423" s="43"/>
      <c r="CN423" s="43"/>
      <c r="CO423" s="43"/>
      <c r="CP423" s="43"/>
      <c r="CQ423" s="43"/>
      <c r="CR423" s="43"/>
      <c r="CS423" s="43"/>
      <c r="CT423" s="43"/>
      <c r="CU423" s="43"/>
      <c r="CV423" s="43"/>
      <c r="CW423" s="43"/>
      <c r="CX423" s="43"/>
      <c r="CY423" s="43"/>
      <c r="CZ423" s="43"/>
      <c r="DA423" s="43"/>
      <c r="DB423" s="43"/>
      <c r="DC423" s="43"/>
      <c r="DD423" s="43"/>
      <c r="DE423" s="43"/>
      <c r="DF423" s="43"/>
      <c r="DG423" s="43"/>
      <c r="DH423" s="43"/>
      <c r="DI423" s="43"/>
      <c r="DJ423" s="43"/>
      <c r="DK423" s="43"/>
      <c r="DL423" s="43"/>
      <c r="DM423" s="43"/>
      <c r="DN423" s="43"/>
      <c r="DO423" s="43"/>
      <c r="DP423" s="43"/>
      <c r="DQ423" s="43"/>
      <c r="DR423" s="43"/>
      <c r="DS423" s="43"/>
    </row>
    <row r="424" spans="1:123" ht="14.45">
      <c r="A424"/>
      <c r="B424"/>
      <c r="C424"/>
      <c r="D424"/>
      <c r="E424"/>
      <c r="F424"/>
      <c r="G424"/>
      <c r="H424"/>
      <c r="I424"/>
      <c r="J424"/>
      <c r="K424" s="43"/>
      <c r="L424" s="43"/>
      <c r="M424" s="43"/>
      <c r="N424" s="43"/>
      <c r="O424" s="43"/>
      <c r="P424" s="43"/>
      <c r="Q424" s="43"/>
      <c r="R424" s="43"/>
      <c r="S424" s="43"/>
      <c r="T424" s="43"/>
      <c r="U424" s="43"/>
      <c r="V424" s="43"/>
      <c r="W424" s="43"/>
      <c r="X424" s="43"/>
      <c r="Y424" s="43"/>
      <c r="Z424" s="43"/>
      <c r="AA424" s="43"/>
      <c r="AB424" s="43"/>
      <c r="AC424" s="43"/>
      <c r="AD424" s="43"/>
      <c r="AE424" s="43"/>
      <c r="AF424" s="43"/>
      <c r="AG424" s="43"/>
      <c r="AH424" s="43"/>
      <c r="AI424" s="43"/>
      <c r="AJ424" s="43"/>
      <c r="AK424" s="43"/>
      <c r="AL424" s="43"/>
      <c r="AM424" s="43"/>
      <c r="AN424" s="43"/>
      <c r="AO424" s="43"/>
      <c r="AP424" s="43"/>
      <c r="AQ424" s="43"/>
      <c r="AR424" s="43"/>
      <c r="AS424" s="43"/>
      <c r="AT424" s="43"/>
      <c r="AU424" s="43"/>
      <c r="AV424" s="43"/>
      <c r="AW424" s="43"/>
      <c r="AX424" s="43"/>
      <c r="AY424" s="43"/>
      <c r="AZ424" s="43"/>
      <c r="BA424" s="43"/>
      <c r="BB424" s="43"/>
      <c r="BC424" s="43"/>
      <c r="BD424" s="43"/>
      <c r="BE424" s="43"/>
      <c r="BF424" s="43"/>
      <c r="BG424" s="43"/>
      <c r="BH424" s="43"/>
      <c r="BI424" s="43"/>
      <c r="BJ424" s="43"/>
      <c r="BK424" s="43"/>
      <c r="BL424" s="43"/>
      <c r="BM424" s="43"/>
      <c r="BN424" s="43"/>
      <c r="BO424" s="43"/>
      <c r="BP424" s="43"/>
      <c r="BQ424" s="43"/>
      <c r="BR424" s="43"/>
      <c r="BS424" s="43"/>
      <c r="BT424" s="43"/>
      <c r="BU424" s="43"/>
      <c r="BV424" s="43"/>
      <c r="BW424" s="43"/>
      <c r="BX424" s="43"/>
      <c r="BY424" s="43"/>
      <c r="BZ424" s="43"/>
      <c r="CA424" s="43"/>
      <c r="CB424" s="43"/>
      <c r="CC424" s="43"/>
      <c r="CD424" s="43"/>
      <c r="CE424" s="43"/>
      <c r="CF424" s="43"/>
      <c r="CG424" s="43"/>
      <c r="CH424" s="43"/>
      <c r="CI424" s="43"/>
      <c r="CJ424" s="43"/>
      <c r="CK424" s="43"/>
      <c r="CL424" s="43"/>
      <c r="CM424" s="43"/>
      <c r="CN424" s="43"/>
      <c r="CO424" s="43"/>
      <c r="CP424" s="43"/>
      <c r="CQ424" s="43"/>
      <c r="CR424" s="43"/>
      <c r="CS424" s="43"/>
      <c r="CT424" s="43"/>
      <c r="CU424" s="43"/>
      <c r="CV424" s="43"/>
      <c r="CW424" s="43"/>
      <c r="CX424" s="43"/>
      <c r="CY424" s="43"/>
      <c r="CZ424" s="43"/>
      <c r="DA424" s="43"/>
      <c r="DB424" s="43"/>
      <c r="DC424" s="43"/>
      <c r="DD424" s="43"/>
      <c r="DE424" s="43"/>
      <c r="DF424" s="43"/>
      <c r="DG424" s="43"/>
      <c r="DH424" s="43"/>
      <c r="DI424" s="43"/>
      <c r="DJ424" s="43"/>
      <c r="DK424" s="43"/>
      <c r="DL424" s="43"/>
      <c r="DM424" s="43"/>
      <c r="DN424" s="43"/>
      <c r="DO424" s="43"/>
      <c r="DP424" s="43"/>
      <c r="DQ424" s="43"/>
      <c r="DR424" s="43"/>
      <c r="DS424" s="43"/>
    </row>
    <row r="425" spans="1:123" ht="14.45">
      <c r="A425"/>
      <c r="B425"/>
      <c r="C425"/>
      <c r="D425"/>
      <c r="E425"/>
      <c r="F425"/>
      <c r="G425"/>
      <c r="H425"/>
      <c r="I425"/>
      <c r="J425"/>
      <c r="K425" s="43"/>
      <c r="L425" s="43"/>
      <c r="M425" s="43"/>
      <c r="N425" s="43"/>
      <c r="O425" s="43"/>
      <c r="P425" s="43"/>
      <c r="Q425" s="43"/>
      <c r="R425" s="43"/>
      <c r="S425" s="43"/>
      <c r="T425" s="43"/>
      <c r="U425" s="43"/>
      <c r="V425" s="43"/>
      <c r="W425" s="43"/>
      <c r="X425" s="43"/>
      <c r="Y425" s="43"/>
      <c r="Z425" s="43"/>
      <c r="AA425" s="43"/>
      <c r="AB425" s="43"/>
      <c r="AC425" s="43"/>
      <c r="AD425" s="43"/>
      <c r="AE425" s="43"/>
      <c r="AF425" s="43"/>
      <c r="AG425" s="43"/>
      <c r="AH425" s="43"/>
      <c r="AI425" s="43"/>
      <c r="AJ425" s="43"/>
      <c r="AK425" s="43"/>
      <c r="AL425" s="43"/>
      <c r="AM425" s="43"/>
      <c r="AN425" s="43"/>
      <c r="AO425" s="43"/>
      <c r="AP425" s="43"/>
      <c r="AQ425" s="43"/>
      <c r="AR425" s="43"/>
      <c r="AS425" s="43"/>
      <c r="AT425" s="43"/>
      <c r="AU425" s="43"/>
      <c r="AV425" s="43"/>
      <c r="AW425" s="43"/>
      <c r="AX425" s="43"/>
      <c r="AY425" s="43"/>
      <c r="AZ425" s="43"/>
      <c r="BA425" s="43"/>
      <c r="BB425" s="43"/>
      <c r="BC425" s="43"/>
      <c r="BD425" s="43"/>
      <c r="BE425" s="43"/>
      <c r="BF425" s="43"/>
      <c r="BG425" s="43"/>
      <c r="BH425" s="43"/>
      <c r="BI425" s="43"/>
      <c r="BJ425" s="43"/>
      <c r="BK425" s="43"/>
      <c r="BL425" s="43"/>
      <c r="BM425" s="43"/>
      <c r="BN425" s="43"/>
      <c r="BO425" s="43"/>
      <c r="BP425" s="43"/>
      <c r="BQ425" s="43"/>
      <c r="BR425" s="43"/>
      <c r="BS425" s="43"/>
      <c r="BT425" s="43"/>
      <c r="BU425" s="43"/>
      <c r="BV425" s="43"/>
      <c r="BW425" s="43"/>
      <c r="BX425" s="43"/>
      <c r="BY425" s="43"/>
      <c r="BZ425" s="43"/>
      <c r="CA425" s="43"/>
      <c r="CB425" s="43"/>
      <c r="CC425" s="43"/>
      <c r="CD425" s="43"/>
      <c r="CE425" s="43"/>
      <c r="CF425" s="43"/>
      <c r="CG425" s="43"/>
      <c r="CH425" s="43"/>
      <c r="CI425" s="43"/>
      <c r="CJ425" s="43"/>
      <c r="CK425" s="43"/>
      <c r="CL425" s="43"/>
      <c r="CM425" s="43"/>
      <c r="CN425" s="43"/>
      <c r="CO425" s="43"/>
      <c r="CP425" s="43"/>
      <c r="CQ425" s="43"/>
      <c r="CR425" s="43"/>
      <c r="CS425" s="43"/>
      <c r="CT425" s="43"/>
      <c r="CU425" s="43"/>
      <c r="CV425" s="43"/>
      <c r="CW425" s="43"/>
      <c r="CX425" s="43"/>
      <c r="CY425" s="43"/>
      <c r="CZ425" s="43"/>
      <c r="DA425" s="43"/>
      <c r="DB425" s="43"/>
      <c r="DC425" s="43"/>
      <c r="DD425" s="43"/>
      <c r="DE425" s="43"/>
      <c r="DF425" s="43"/>
      <c r="DG425" s="43"/>
      <c r="DH425" s="43"/>
      <c r="DI425" s="43"/>
      <c r="DJ425" s="43"/>
      <c r="DK425" s="43"/>
      <c r="DL425" s="43"/>
      <c r="DM425" s="43"/>
      <c r="DN425" s="43"/>
      <c r="DO425" s="43"/>
      <c r="DP425" s="43"/>
      <c r="DQ425" s="43"/>
      <c r="DR425" s="43"/>
      <c r="DS425" s="43"/>
    </row>
    <row r="426" spans="1:123" ht="14.45">
      <c r="A426"/>
      <c r="B426"/>
      <c r="C426"/>
      <c r="D426"/>
      <c r="E426"/>
      <c r="F426"/>
      <c r="G426"/>
      <c r="H426"/>
      <c r="I426"/>
      <c r="J426"/>
      <c r="K426" s="43"/>
      <c r="L426" s="43"/>
      <c r="M426" s="43"/>
      <c r="N426" s="43"/>
      <c r="O426" s="43"/>
      <c r="P426" s="43"/>
      <c r="Q426" s="43"/>
      <c r="R426" s="43"/>
      <c r="S426" s="43"/>
      <c r="T426" s="43"/>
      <c r="U426" s="43"/>
      <c r="V426" s="43"/>
      <c r="W426" s="43"/>
      <c r="X426" s="43"/>
      <c r="Y426" s="43"/>
      <c r="Z426" s="43"/>
      <c r="AA426" s="43"/>
      <c r="AB426" s="43"/>
      <c r="AC426" s="43"/>
      <c r="AD426" s="43"/>
      <c r="AE426" s="43"/>
      <c r="AF426" s="43"/>
      <c r="AG426" s="43"/>
      <c r="AH426" s="43"/>
      <c r="AI426" s="43"/>
      <c r="AJ426" s="43"/>
      <c r="AK426" s="43"/>
      <c r="AL426" s="43"/>
      <c r="AM426" s="43"/>
      <c r="AN426" s="43"/>
      <c r="AO426" s="43"/>
      <c r="AP426" s="43"/>
      <c r="AQ426" s="43"/>
      <c r="AR426" s="43"/>
      <c r="AS426" s="43"/>
      <c r="AT426" s="43"/>
      <c r="AU426" s="43"/>
      <c r="AV426" s="43"/>
      <c r="AW426" s="43"/>
      <c r="AX426" s="43"/>
      <c r="AY426" s="43"/>
      <c r="AZ426" s="43"/>
      <c r="BA426" s="43"/>
      <c r="BB426" s="43"/>
      <c r="BC426" s="43"/>
      <c r="BD426" s="43"/>
      <c r="BE426" s="43"/>
      <c r="BF426" s="43"/>
      <c r="BG426" s="43"/>
      <c r="BH426" s="43"/>
      <c r="BI426" s="43"/>
      <c r="BJ426" s="43"/>
      <c r="BK426" s="43"/>
      <c r="BL426" s="43"/>
      <c r="BM426" s="43"/>
      <c r="BN426" s="43"/>
      <c r="BO426" s="43"/>
      <c r="BP426" s="43"/>
      <c r="BQ426" s="43"/>
      <c r="BR426" s="43"/>
      <c r="BS426" s="43"/>
      <c r="BT426" s="43"/>
      <c r="BU426" s="43"/>
      <c r="BV426" s="43"/>
      <c r="BW426" s="43"/>
      <c r="BX426" s="43"/>
      <c r="BY426" s="43"/>
      <c r="BZ426" s="43"/>
      <c r="CA426" s="43"/>
      <c r="CB426" s="43"/>
      <c r="CC426" s="43"/>
      <c r="CD426" s="43"/>
      <c r="CE426" s="43"/>
      <c r="CF426" s="43"/>
      <c r="CG426" s="43"/>
      <c r="CH426" s="43"/>
      <c r="CI426" s="43"/>
      <c r="CJ426" s="43"/>
      <c r="CK426" s="43"/>
      <c r="CL426" s="43"/>
      <c r="CM426" s="43"/>
      <c r="CN426" s="43"/>
      <c r="CO426" s="43"/>
      <c r="CP426" s="43"/>
      <c r="CQ426" s="43"/>
      <c r="CR426" s="43"/>
      <c r="CS426" s="43"/>
      <c r="CT426" s="43"/>
      <c r="CU426" s="43"/>
      <c r="CV426" s="43"/>
      <c r="CW426" s="43"/>
      <c r="CX426" s="43"/>
      <c r="CY426" s="43"/>
      <c r="CZ426" s="43"/>
      <c r="DA426" s="43"/>
      <c r="DB426" s="43"/>
      <c r="DC426" s="43"/>
      <c r="DD426" s="43"/>
      <c r="DE426" s="43"/>
      <c r="DF426" s="43"/>
      <c r="DG426" s="43"/>
      <c r="DH426" s="43"/>
      <c r="DI426" s="43"/>
      <c r="DJ426" s="43"/>
      <c r="DK426" s="43"/>
      <c r="DL426" s="43"/>
      <c r="DM426" s="43"/>
      <c r="DN426" s="43"/>
      <c r="DO426" s="43"/>
      <c r="DP426" s="43"/>
      <c r="DQ426" s="43"/>
      <c r="DR426" s="43"/>
      <c r="DS426" s="43"/>
    </row>
    <row r="427" spans="1:123" ht="14.45">
      <c r="A427"/>
      <c r="B427"/>
      <c r="C427"/>
      <c r="D427"/>
      <c r="E427"/>
      <c r="F427"/>
      <c r="G427"/>
      <c r="H427"/>
      <c r="I427"/>
      <c r="J427"/>
      <c r="K427" s="43"/>
      <c r="L427" s="43"/>
      <c r="M427" s="43"/>
      <c r="N427" s="43"/>
      <c r="O427" s="43"/>
      <c r="P427" s="43"/>
      <c r="Q427" s="43"/>
      <c r="R427" s="43"/>
      <c r="S427" s="43"/>
      <c r="T427" s="43"/>
      <c r="U427" s="43"/>
      <c r="V427" s="43"/>
      <c r="W427" s="43"/>
      <c r="X427" s="43"/>
      <c r="Y427" s="43"/>
      <c r="Z427" s="43"/>
      <c r="AA427" s="43"/>
      <c r="AB427" s="43"/>
      <c r="AC427" s="43"/>
      <c r="AD427" s="43"/>
      <c r="AE427" s="43"/>
      <c r="AF427" s="43"/>
      <c r="AG427" s="43"/>
      <c r="AH427" s="43"/>
      <c r="AI427" s="43"/>
      <c r="AJ427" s="43"/>
      <c r="AK427" s="43"/>
      <c r="AL427" s="43"/>
      <c r="AM427" s="43"/>
      <c r="AN427" s="43"/>
      <c r="AO427" s="43"/>
      <c r="AP427" s="43"/>
      <c r="AQ427" s="43"/>
      <c r="AR427" s="43"/>
      <c r="AS427" s="43"/>
      <c r="AT427" s="43"/>
      <c r="AU427" s="43"/>
      <c r="AV427" s="43"/>
      <c r="AW427" s="43"/>
      <c r="AX427" s="43"/>
      <c r="AY427" s="43"/>
      <c r="AZ427" s="43"/>
      <c r="BA427" s="43"/>
      <c r="BB427" s="43"/>
      <c r="BC427" s="43"/>
      <c r="BD427" s="43"/>
      <c r="BE427" s="43"/>
      <c r="BF427" s="43"/>
      <c r="BG427" s="43"/>
      <c r="BH427" s="43"/>
      <c r="BI427" s="43"/>
      <c r="BJ427" s="43"/>
      <c r="BK427" s="43"/>
      <c r="BL427" s="43"/>
      <c r="BM427" s="43"/>
      <c r="BN427" s="43"/>
      <c r="BO427" s="43"/>
      <c r="BP427" s="43"/>
      <c r="BQ427" s="43"/>
      <c r="BR427" s="43"/>
      <c r="BS427" s="43"/>
      <c r="BT427" s="43"/>
      <c r="BU427" s="43"/>
      <c r="BV427" s="43"/>
      <c r="BW427" s="43"/>
      <c r="BX427" s="43"/>
      <c r="BY427" s="43"/>
      <c r="BZ427" s="43"/>
      <c r="CA427" s="43"/>
      <c r="CB427" s="43"/>
      <c r="CC427" s="43"/>
      <c r="CD427" s="43"/>
      <c r="CE427" s="43"/>
      <c r="CF427" s="43"/>
      <c r="CG427" s="43"/>
      <c r="CH427" s="43"/>
      <c r="CI427" s="43"/>
      <c r="CJ427" s="43"/>
      <c r="CK427" s="43"/>
      <c r="CL427" s="43"/>
      <c r="CM427" s="43"/>
      <c r="CN427" s="43"/>
      <c r="CO427" s="43"/>
      <c r="CP427" s="43"/>
      <c r="CQ427" s="43"/>
      <c r="CR427" s="43"/>
      <c r="CS427" s="43"/>
      <c r="CT427" s="43"/>
      <c r="CU427" s="43"/>
      <c r="CV427" s="43"/>
      <c r="CW427" s="43"/>
      <c r="CX427" s="43"/>
      <c r="CY427" s="43"/>
      <c r="CZ427" s="43"/>
      <c r="DA427" s="43"/>
      <c r="DB427" s="43"/>
      <c r="DC427" s="43"/>
      <c r="DD427" s="43"/>
      <c r="DE427" s="43"/>
      <c r="DF427" s="43"/>
      <c r="DG427" s="43"/>
      <c r="DH427" s="43"/>
      <c r="DI427" s="43"/>
      <c r="DJ427" s="43"/>
      <c r="DK427" s="43"/>
      <c r="DL427" s="43"/>
      <c r="DM427" s="43"/>
      <c r="DN427" s="43"/>
      <c r="DO427" s="43"/>
      <c r="DP427" s="43"/>
      <c r="DQ427" s="43"/>
      <c r="DR427" s="43"/>
      <c r="DS427" s="43"/>
    </row>
    <row r="428" spans="1:123" ht="14.45">
      <c r="A428"/>
      <c r="B428"/>
      <c r="C428"/>
      <c r="D428"/>
      <c r="E428"/>
      <c r="F428"/>
      <c r="G428"/>
      <c r="H428"/>
      <c r="I428"/>
      <c r="J428"/>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c r="AW428" s="43"/>
      <c r="AX428" s="43"/>
      <c r="AY428" s="43"/>
      <c r="AZ428" s="43"/>
      <c r="BA428" s="43"/>
      <c r="BB428" s="43"/>
      <c r="BC428" s="43"/>
      <c r="BD428" s="43"/>
      <c r="BE428" s="43"/>
      <c r="BF428" s="43"/>
      <c r="BG428" s="43"/>
      <c r="BH428" s="43"/>
      <c r="BI428" s="43"/>
      <c r="BJ428" s="43"/>
      <c r="BK428" s="43"/>
      <c r="BL428" s="43"/>
      <c r="BM428" s="43"/>
      <c r="BN428" s="43"/>
      <c r="BO428" s="43"/>
      <c r="BP428" s="43"/>
      <c r="BQ428" s="43"/>
      <c r="BR428" s="43"/>
      <c r="BS428" s="43"/>
      <c r="BT428" s="43"/>
      <c r="BU428" s="43"/>
      <c r="BV428" s="43"/>
      <c r="BW428" s="43"/>
      <c r="BX428" s="43"/>
      <c r="BY428" s="43"/>
      <c r="BZ428" s="43"/>
      <c r="CA428" s="43"/>
      <c r="CB428" s="43"/>
      <c r="CC428" s="43"/>
      <c r="CD428" s="43"/>
      <c r="CE428" s="43"/>
      <c r="CF428" s="43"/>
      <c r="CG428" s="43"/>
      <c r="CH428" s="43"/>
      <c r="CI428" s="43"/>
      <c r="CJ428" s="43"/>
      <c r="CK428" s="43"/>
      <c r="CL428" s="43"/>
      <c r="CM428" s="43"/>
      <c r="CN428" s="43"/>
      <c r="CO428" s="43"/>
      <c r="CP428" s="43"/>
      <c r="CQ428" s="43"/>
      <c r="CR428" s="43"/>
      <c r="CS428" s="43"/>
      <c r="CT428" s="43"/>
      <c r="CU428" s="43"/>
      <c r="CV428" s="43"/>
      <c r="CW428" s="43"/>
      <c r="CX428" s="43"/>
      <c r="CY428" s="43"/>
      <c r="CZ428" s="43"/>
      <c r="DA428" s="43"/>
      <c r="DB428" s="43"/>
      <c r="DC428" s="43"/>
      <c r="DD428" s="43"/>
      <c r="DE428" s="43"/>
      <c r="DF428" s="43"/>
      <c r="DG428" s="43"/>
      <c r="DH428" s="43"/>
      <c r="DI428" s="43"/>
      <c r="DJ428" s="43"/>
      <c r="DK428" s="43"/>
      <c r="DL428" s="43"/>
      <c r="DM428" s="43"/>
      <c r="DN428" s="43"/>
      <c r="DO428" s="43"/>
      <c r="DP428" s="43"/>
      <c r="DQ428" s="43"/>
      <c r="DR428" s="43"/>
      <c r="DS428" s="43"/>
    </row>
    <row r="429" spans="1:123" ht="14.45">
      <c r="A429"/>
      <c r="B429"/>
      <c r="C429"/>
      <c r="D429"/>
      <c r="E429"/>
      <c r="F429"/>
      <c r="G429"/>
      <c r="H429"/>
      <c r="I429"/>
      <c r="J429"/>
      <c r="K429" s="43"/>
      <c r="L429" s="43"/>
      <c r="M429" s="43"/>
      <c r="N429" s="43"/>
      <c r="O429" s="43"/>
      <c r="P429" s="43"/>
      <c r="Q429" s="43"/>
      <c r="R429" s="43"/>
      <c r="S429" s="43"/>
      <c r="T429" s="43"/>
      <c r="U429" s="43"/>
      <c r="V429" s="43"/>
      <c r="W429" s="43"/>
      <c r="X429" s="43"/>
      <c r="Y429" s="43"/>
      <c r="Z429" s="43"/>
      <c r="AA429" s="43"/>
      <c r="AB429" s="43"/>
      <c r="AC429" s="43"/>
      <c r="AD429" s="43"/>
      <c r="AE429" s="43"/>
      <c r="AF429" s="43"/>
      <c r="AG429" s="43"/>
      <c r="AH429" s="43"/>
      <c r="AI429" s="43"/>
      <c r="AJ429" s="43"/>
      <c r="AK429" s="43"/>
      <c r="AL429" s="43"/>
      <c r="AM429" s="43"/>
      <c r="AN429" s="43"/>
      <c r="AO429" s="43"/>
      <c r="AP429" s="43"/>
      <c r="AQ429" s="43"/>
      <c r="AR429" s="43"/>
      <c r="AS429" s="43"/>
      <c r="AT429" s="43"/>
      <c r="AU429" s="43"/>
      <c r="AV429" s="43"/>
      <c r="AW429" s="43"/>
      <c r="AX429" s="43"/>
      <c r="AY429" s="43"/>
      <c r="AZ429" s="43"/>
      <c r="BA429" s="43"/>
      <c r="BB429" s="43"/>
      <c r="BC429" s="43"/>
      <c r="BD429" s="43"/>
      <c r="BE429" s="43"/>
      <c r="BF429" s="43"/>
      <c r="BG429" s="43"/>
      <c r="BH429" s="43"/>
      <c r="BI429" s="43"/>
      <c r="BJ429" s="43"/>
      <c r="BK429" s="43"/>
      <c r="BL429" s="43"/>
      <c r="BM429" s="43"/>
      <c r="BN429" s="43"/>
      <c r="BO429" s="43"/>
      <c r="BP429" s="43"/>
      <c r="BQ429" s="43"/>
      <c r="BR429" s="43"/>
      <c r="BS429" s="43"/>
      <c r="BT429" s="43"/>
      <c r="BU429" s="43"/>
      <c r="BV429" s="43"/>
      <c r="BW429" s="43"/>
      <c r="BX429" s="43"/>
      <c r="BY429" s="43"/>
      <c r="BZ429" s="43"/>
      <c r="CA429" s="43"/>
      <c r="CB429" s="43"/>
      <c r="CC429" s="43"/>
      <c r="CD429" s="43"/>
      <c r="CE429" s="43"/>
      <c r="CF429" s="43"/>
      <c r="CG429" s="43"/>
      <c r="CH429" s="43"/>
      <c r="CI429" s="43"/>
      <c r="CJ429" s="43"/>
      <c r="CK429" s="43"/>
      <c r="CL429" s="43"/>
      <c r="CM429" s="43"/>
      <c r="CN429" s="43"/>
      <c r="CO429" s="43"/>
      <c r="CP429" s="43"/>
      <c r="CQ429" s="43"/>
      <c r="CR429" s="43"/>
      <c r="CS429" s="43"/>
      <c r="CT429" s="43"/>
      <c r="CU429" s="43"/>
      <c r="CV429" s="43"/>
      <c r="CW429" s="43"/>
      <c r="CX429" s="43"/>
      <c r="CY429" s="43"/>
      <c r="CZ429" s="43"/>
      <c r="DA429" s="43"/>
      <c r="DB429" s="43"/>
      <c r="DC429" s="43"/>
      <c r="DD429" s="43"/>
      <c r="DE429" s="43"/>
      <c r="DF429" s="43"/>
      <c r="DG429" s="43"/>
      <c r="DH429" s="43"/>
      <c r="DI429" s="43"/>
      <c r="DJ429" s="43"/>
      <c r="DK429" s="43"/>
      <c r="DL429" s="43"/>
      <c r="DM429" s="43"/>
      <c r="DN429" s="43"/>
      <c r="DO429" s="43"/>
      <c r="DP429" s="43"/>
      <c r="DQ429" s="43"/>
      <c r="DR429" s="43"/>
      <c r="DS429" s="43"/>
    </row>
    <row r="430" spans="1:123" ht="14.45">
      <c r="A430"/>
      <c r="B430"/>
      <c r="C430"/>
      <c r="D430"/>
      <c r="E430"/>
      <c r="F430"/>
      <c r="G430"/>
      <c r="H430"/>
      <c r="I430"/>
      <c r="J430"/>
      <c r="K430" s="43"/>
      <c r="L430" s="43"/>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c r="AJ430" s="43"/>
      <c r="AK430" s="43"/>
      <c r="AL430" s="43"/>
      <c r="AM430" s="43"/>
      <c r="AN430" s="43"/>
      <c r="AO430" s="43"/>
      <c r="AP430" s="43"/>
      <c r="AQ430" s="43"/>
      <c r="AR430" s="43"/>
      <c r="AS430" s="43"/>
      <c r="AT430" s="43"/>
      <c r="AU430" s="43"/>
      <c r="AV430" s="43"/>
      <c r="AW430" s="43"/>
      <c r="AX430" s="43"/>
      <c r="AY430" s="43"/>
      <c r="AZ430" s="43"/>
      <c r="BA430" s="43"/>
      <c r="BB430" s="43"/>
      <c r="BC430" s="43"/>
      <c r="BD430" s="43"/>
      <c r="BE430" s="43"/>
      <c r="BF430" s="43"/>
      <c r="BG430" s="43"/>
      <c r="BH430" s="43"/>
      <c r="BI430" s="43"/>
      <c r="BJ430" s="43"/>
      <c r="BK430" s="43"/>
      <c r="BL430" s="43"/>
      <c r="BM430" s="43"/>
      <c r="BN430" s="43"/>
      <c r="BO430" s="43"/>
      <c r="BP430" s="43"/>
      <c r="BQ430" s="43"/>
      <c r="BR430" s="43"/>
      <c r="BS430" s="43"/>
      <c r="BT430" s="43"/>
      <c r="BU430" s="43"/>
      <c r="BV430" s="43"/>
      <c r="BW430" s="43"/>
      <c r="BX430" s="43"/>
      <c r="BY430" s="43"/>
      <c r="BZ430" s="43"/>
      <c r="CA430" s="43"/>
      <c r="CB430" s="43"/>
      <c r="CC430" s="43"/>
      <c r="CD430" s="43"/>
      <c r="CE430" s="43"/>
      <c r="CF430" s="43"/>
      <c r="CG430" s="43"/>
      <c r="CH430" s="43"/>
      <c r="CI430" s="43"/>
      <c r="CJ430" s="43"/>
      <c r="CK430" s="43"/>
      <c r="CL430" s="43"/>
      <c r="CM430" s="43"/>
      <c r="CN430" s="43"/>
      <c r="CO430" s="43"/>
      <c r="CP430" s="43"/>
      <c r="CQ430" s="43"/>
      <c r="CR430" s="43"/>
      <c r="CS430" s="43"/>
      <c r="CT430" s="43"/>
      <c r="CU430" s="43"/>
      <c r="CV430" s="43"/>
      <c r="CW430" s="43"/>
      <c r="CX430" s="43"/>
      <c r="CY430" s="43"/>
      <c r="CZ430" s="43"/>
      <c r="DA430" s="43"/>
      <c r="DB430" s="43"/>
      <c r="DC430" s="43"/>
      <c r="DD430" s="43"/>
      <c r="DE430" s="43"/>
      <c r="DF430" s="43"/>
      <c r="DG430" s="43"/>
      <c r="DH430" s="43"/>
      <c r="DI430" s="43"/>
      <c r="DJ430" s="43"/>
      <c r="DK430" s="43"/>
      <c r="DL430" s="43"/>
      <c r="DM430" s="43"/>
      <c r="DN430" s="43"/>
      <c r="DO430" s="43"/>
      <c r="DP430" s="43"/>
      <c r="DQ430" s="43"/>
      <c r="DR430" s="43"/>
      <c r="DS430" s="43"/>
    </row>
    <row r="431" spans="1:123" ht="14.45">
      <c r="A431"/>
      <c r="B431"/>
      <c r="C431"/>
      <c r="D431"/>
      <c r="E431"/>
      <c r="F431"/>
      <c r="G431"/>
      <c r="H431"/>
      <c r="I431"/>
      <c r="J431"/>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c r="AJ431" s="43"/>
      <c r="AK431" s="43"/>
      <c r="AL431" s="43"/>
      <c r="AM431" s="43"/>
      <c r="AN431" s="43"/>
      <c r="AO431" s="43"/>
      <c r="AP431" s="43"/>
      <c r="AQ431" s="43"/>
      <c r="AR431" s="43"/>
      <c r="AS431" s="43"/>
      <c r="AT431" s="43"/>
      <c r="AU431" s="43"/>
      <c r="AV431" s="43"/>
      <c r="AW431" s="43"/>
      <c r="AX431" s="43"/>
      <c r="AY431" s="43"/>
      <c r="AZ431" s="43"/>
      <c r="BA431" s="43"/>
      <c r="BB431" s="43"/>
      <c r="BC431" s="43"/>
      <c r="BD431" s="43"/>
      <c r="BE431" s="43"/>
      <c r="BF431" s="43"/>
      <c r="BG431" s="43"/>
      <c r="BH431" s="43"/>
      <c r="BI431" s="43"/>
      <c r="BJ431" s="43"/>
      <c r="BK431" s="43"/>
      <c r="BL431" s="43"/>
      <c r="BM431" s="43"/>
      <c r="BN431" s="43"/>
      <c r="BO431" s="43"/>
      <c r="BP431" s="43"/>
      <c r="BQ431" s="43"/>
      <c r="BR431" s="43"/>
      <c r="BS431" s="43"/>
      <c r="BT431" s="43"/>
      <c r="BU431" s="43"/>
      <c r="BV431" s="43"/>
      <c r="BW431" s="43"/>
      <c r="BX431" s="43"/>
      <c r="BY431" s="43"/>
      <c r="BZ431" s="43"/>
      <c r="CA431" s="43"/>
      <c r="CB431" s="43"/>
      <c r="CC431" s="43"/>
      <c r="CD431" s="43"/>
      <c r="CE431" s="43"/>
      <c r="CF431" s="43"/>
      <c r="CG431" s="43"/>
      <c r="CH431" s="43"/>
      <c r="CI431" s="43"/>
      <c r="CJ431" s="43"/>
      <c r="CK431" s="43"/>
      <c r="CL431" s="43"/>
      <c r="CM431" s="43"/>
      <c r="CN431" s="43"/>
      <c r="CO431" s="43"/>
      <c r="CP431" s="43"/>
      <c r="CQ431" s="43"/>
      <c r="CR431" s="43"/>
      <c r="CS431" s="43"/>
      <c r="CT431" s="43"/>
      <c r="CU431" s="43"/>
      <c r="CV431" s="43"/>
      <c r="CW431" s="43"/>
      <c r="CX431" s="43"/>
      <c r="CY431" s="43"/>
      <c r="CZ431" s="43"/>
      <c r="DA431" s="43"/>
      <c r="DB431" s="43"/>
      <c r="DC431" s="43"/>
      <c r="DD431" s="43"/>
      <c r="DE431" s="43"/>
      <c r="DF431" s="43"/>
      <c r="DG431" s="43"/>
      <c r="DH431" s="43"/>
      <c r="DI431" s="43"/>
      <c r="DJ431" s="43"/>
      <c r="DK431" s="43"/>
      <c r="DL431" s="43"/>
      <c r="DM431" s="43"/>
      <c r="DN431" s="43"/>
      <c r="DO431" s="43"/>
      <c r="DP431" s="43"/>
      <c r="DQ431" s="43"/>
      <c r="DR431" s="43"/>
      <c r="DS431" s="43"/>
    </row>
    <row r="432" spans="1:123" ht="14.45">
      <c r="A432"/>
      <c r="B432"/>
      <c r="C432"/>
      <c r="D432"/>
      <c r="E432"/>
      <c r="F432"/>
      <c r="G432"/>
      <c r="H432"/>
      <c r="I432"/>
      <c r="J432"/>
      <c r="K432" s="43"/>
      <c r="L432" s="43"/>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c r="AJ432" s="43"/>
      <c r="AK432" s="43"/>
      <c r="AL432" s="43"/>
      <c r="AM432" s="43"/>
      <c r="AN432" s="43"/>
      <c r="AO432" s="43"/>
      <c r="AP432" s="43"/>
      <c r="AQ432" s="43"/>
      <c r="AR432" s="43"/>
      <c r="AS432" s="43"/>
      <c r="AT432" s="43"/>
      <c r="AU432" s="43"/>
      <c r="AV432" s="43"/>
      <c r="AW432" s="43"/>
      <c r="AX432" s="43"/>
      <c r="AY432" s="43"/>
      <c r="AZ432" s="43"/>
      <c r="BA432" s="43"/>
      <c r="BB432" s="43"/>
      <c r="BC432" s="43"/>
      <c r="BD432" s="43"/>
      <c r="BE432" s="43"/>
      <c r="BF432" s="43"/>
      <c r="BG432" s="43"/>
      <c r="BH432" s="43"/>
      <c r="BI432" s="43"/>
      <c r="BJ432" s="43"/>
      <c r="BK432" s="43"/>
      <c r="BL432" s="43"/>
      <c r="BM432" s="43"/>
      <c r="BN432" s="43"/>
      <c r="BO432" s="43"/>
      <c r="BP432" s="43"/>
      <c r="BQ432" s="43"/>
      <c r="BR432" s="43"/>
      <c r="BS432" s="43"/>
      <c r="BT432" s="43"/>
      <c r="BU432" s="43"/>
      <c r="BV432" s="43"/>
      <c r="BW432" s="43"/>
      <c r="BX432" s="43"/>
      <c r="BY432" s="43"/>
      <c r="BZ432" s="43"/>
      <c r="CA432" s="43"/>
      <c r="CB432" s="43"/>
      <c r="CC432" s="43"/>
      <c r="CD432" s="43"/>
      <c r="CE432" s="43"/>
      <c r="CF432" s="43"/>
      <c r="CG432" s="43"/>
      <c r="CH432" s="43"/>
      <c r="CI432" s="43"/>
      <c r="CJ432" s="43"/>
      <c r="CK432" s="43"/>
      <c r="CL432" s="43"/>
      <c r="CM432" s="43"/>
      <c r="CN432" s="43"/>
      <c r="CO432" s="43"/>
      <c r="CP432" s="43"/>
      <c r="CQ432" s="43"/>
      <c r="CR432" s="43"/>
      <c r="CS432" s="43"/>
      <c r="CT432" s="43"/>
      <c r="CU432" s="43"/>
      <c r="CV432" s="43"/>
      <c r="CW432" s="43"/>
      <c r="CX432" s="43"/>
      <c r="CY432" s="43"/>
      <c r="CZ432" s="43"/>
      <c r="DA432" s="43"/>
      <c r="DB432" s="43"/>
      <c r="DC432" s="43"/>
      <c r="DD432" s="43"/>
      <c r="DE432" s="43"/>
      <c r="DF432" s="43"/>
      <c r="DG432" s="43"/>
      <c r="DH432" s="43"/>
      <c r="DI432" s="43"/>
      <c r="DJ432" s="43"/>
      <c r="DK432" s="43"/>
      <c r="DL432" s="43"/>
      <c r="DM432" s="43"/>
      <c r="DN432" s="43"/>
      <c r="DO432" s="43"/>
      <c r="DP432" s="43"/>
      <c r="DQ432" s="43"/>
      <c r="DR432" s="43"/>
      <c r="DS432" s="43"/>
    </row>
    <row r="433" spans="1:123" ht="14.45">
      <c r="A433"/>
      <c r="B433"/>
      <c r="C433"/>
      <c r="D433"/>
      <c r="E433"/>
      <c r="F433"/>
      <c r="G433"/>
      <c r="H433"/>
      <c r="I433"/>
      <c r="J433"/>
      <c r="K433" s="43"/>
      <c r="L433" s="43"/>
      <c r="M433" s="43"/>
      <c r="N433" s="43"/>
      <c r="O433" s="43"/>
      <c r="P433" s="43"/>
      <c r="Q433" s="43"/>
      <c r="R433" s="43"/>
      <c r="S433" s="43"/>
      <c r="T433" s="43"/>
      <c r="U433" s="43"/>
      <c r="V433" s="43"/>
      <c r="W433" s="43"/>
      <c r="X433" s="43"/>
      <c r="Y433" s="43"/>
      <c r="Z433" s="43"/>
      <c r="AA433" s="43"/>
      <c r="AB433" s="43"/>
      <c r="AC433" s="43"/>
      <c r="AD433" s="43"/>
      <c r="AE433" s="43"/>
      <c r="AF433" s="43"/>
      <c r="AG433" s="43"/>
      <c r="AH433" s="43"/>
      <c r="AI433" s="43"/>
      <c r="AJ433" s="43"/>
      <c r="AK433" s="43"/>
      <c r="AL433" s="43"/>
      <c r="AM433" s="43"/>
      <c r="AN433" s="43"/>
      <c r="AO433" s="43"/>
      <c r="AP433" s="43"/>
      <c r="AQ433" s="43"/>
      <c r="AR433" s="43"/>
      <c r="AS433" s="43"/>
      <c r="AT433" s="43"/>
      <c r="AU433" s="43"/>
      <c r="AV433" s="43"/>
      <c r="AW433" s="43"/>
      <c r="AX433" s="43"/>
      <c r="AY433" s="43"/>
      <c r="AZ433" s="43"/>
      <c r="BA433" s="43"/>
      <c r="BB433" s="43"/>
      <c r="BC433" s="43"/>
      <c r="BD433" s="43"/>
      <c r="BE433" s="43"/>
      <c r="BF433" s="43"/>
      <c r="BG433" s="43"/>
      <c r="BH433" s="43"/>
      <c r="BI433" s="43"/>
      <c r="BJ433" s="43"/>
      <c r="BK433" s="43"/>
      <c r="BL433" s="43"/>
      <c r="BM433" s="43"/>
      <c r="BN433" s="43"/>
      <c r="BO433" s="43"/>
      <c r="BP433" s="43"/>
      <c r="BQ433" s="43"/>
      <c r="BR433" s="43"/>
      <c r="BS433" s="43"/>
      <c r="BT433" s="43"/>
      <c r="BU433" s="43"/>
      <c r="BV433" s="43"/>
      <c r="BW433" s="43"/>
      <c r="BX433" s="43"/>
      <c r="BY433" s="43"/>
      <c r="BZ433" s="43"/>
      <c r="CA433" s="43"/>
      <c r="CB433" s="43"/>
      <c r="CC433" s="43"/>
      <c r="CD433" s="43"/>
      <c r="CE433" s="43"/>
      <c r="CF433" s="43"/>
      <c r="CG433" s="43"/>
      <c r="CH433" s="43"/>
      <c r="CI433" s="43"/>
      <c r="CJ433" s="43"/>
      <c r="CK433" s="43"/>
      <c r="CL433" s="43"/>
      <c r="CM433" s="43"/>
      <c r="CN433" s="43"/>
      <c r="CO433" s="43"/>
      <c r="CP433" s="43"/>
      <c r="CQ433" s="43"/>
      <c r="CR433" s="43"/>
      <c r="CS433" s="43"/>
      <c r="CT433" s="43"/>
      <c r="CU433" s="43"/>
      <c r="CV433" s="43"/>
      <c r="CW433" s="43"/>
      <c r="CX433" s="43"/>
      <c r="CY433" s="43"/>
      <c r="CZ433" s="43"/>
      <c r="DA433" s="43"/>
      <c r="DB433" s="43"/>
      <c r="DC433" s="43"/>
      <c r="DD433" s="43"/>
      <c r="DE433" s="43"/>
      <c r="DF433" s="43"/>
      <c r="DG433" s="43"/>
      <c r="DH433" s="43"/>
      <c r="DI433" s="43"/>
      <c r="DJ433" s="43"/>
      <c r="DK433" s="43"/>
      <c r="DL433" s="43"/>
      <c r="DM433" s="43"/>
      <c r="DN433" s="43"/>
      <c r="DO433" s="43"/>
      <c r="DP433" s="43"/>
      <c r="DQ433" s="43"/>
      <c r="DR433" s="43"/>
      <c r="DS433" s="43"/>
    </row>
    <row r="434" spans="1:123" ht="14.45">
      <c r="A434"/>
      <c r="B434"/>
      <c r="C434"/>
      <c r="D434"/>
      <c r="E434"/>
      <c r="F434"/>
      <c r="G434"/>
      <c r="H434"/>
      <c r="I434"/>
      <c r="J434"/>
      <c r="K434" s="43"/>
      <c r="L434" s="43"/>
      <c r="M434" s="43"/>
      <c r="N434" s="43"/>
      <c r="O434" s="43"/>
      <c r="P434" s="43"/>
      <c r="Q434" s="43"/>
      <c r="R434" s="43"/>
      <c r="S434" s="43"/>
      <c r="T434" s="43"/>
      <c r="U434" s="43"/>
      <c r="V434" s="43"/>
      <c r="W434" s="43"/>
      <c r="X434" s="43"/>
      <c r="Y434" s="43"/>
      <c r="Z434" s="43"/>
      <c r="AA434" s="43"/>
      <c r="AB434" s="43"/>
      <c r="AC434" s="43"/>
      <c r="AD434" s="43"/>
      <c r="AE434" s="43"/>
      <c r="AF434" s="43"/>
      <c r="AG434" s="43"/>
      <c r="AH434" s="43"/>
      <c r="AI434" s="43"/>
      <c r="AJ434" s="43"/>
      <c r="AK434" s="43"/>
      <c r="AL434" s="43"/>
      <c r="AM434" s="43"/>
      <c r="AN434" s="43"/>
      <c r="AO434" s="43"/>
      <c r="AP434" s="43"/>
      <c r="AQ434" s="43"/>
      <c r="AR434" s="43"/>
      <c r="AS434" s="43"/>
      <c r="AT434" s="43"/>
      <c r="AU434" s="43"/>
      <c r="AV434" s="43"/>
      <c r="AW434" s="43"/>
      <c r="AX434" s="43"/>
      <c r="AY434" s="43"/>
      <c r="AZ434" s="43"/>
      <c r="BA434" s="43"/>
      <c r="BB434" s="43"/>
      <c r="BC434" s="43"/>
      <c r="BD434" s="43"/>
      <c r="BE434" s="43"/>
      <c r="BF434" s="43"/>
      <c r="BG434" s="43"/>
      <c r="BH434" s="43"/>
      <c r="BI434" s="43"/>
      <c r="BJ434" s="43"/>
      <c r="BK434" s="43"/>
      <c r="BL434" s="43"/>
      <c r="BM434" s="43"/>
      <c r="BN434" s="43"/>
      <c r="BO434" s="43"/>
      <c r="BP434" s="43"/>
      <c r="BQ434" s="43"/>
      <c r="BR434" s="43"/>
      <c r="BS434" s="43"/>
      <c r="BT434" s="43"/>
      <c r="BU434" s="43"/>
      <c r="BV434" s="43"/>
      <c r="BW434" s="43"/>
      <c r="BX434" s="43"/>
      <c r="BY434" s="43"/>
      <c r="BZ434" s="43"/>
      <c r="CA434" s="43"/>
      <c r="CB434" s="43"/>
      <c r="CC434" s="43"/>
      <c r="CD434" s="43"/>
      <c r="CE434" s="43"/>
      <c r="CF434" s="43"/>
      <c r="CG434" s="43"/>
      <c r="CH434" s="43"/>
      <c r="CI434" s="43"/>
      <c r="CJ434" s="43"/>
      <c r="CK434" s="43"/>
      <c r="CL434" s="43"/>
      <c r="CM434" s="43"/>
      <c r="CN434" s="43"/>
      <c r="CO434" s="43"/>
      <c r="CP434" s="43"/>
      <c r="CQ434" s="43"/>
      <c r="CR434" s="43"/>
      <c r="CS434" s="43"/>
      <c r="CT434" s="43"/>
      <c r="CU434" s="43"/>
      <c r="CV434" s="43"/>
      <c r="CW434" s="43"/>
      <c r="CX434" s="43"/>
      <c r="CY434" s="43"/>
      <c r="CZ434" s="43"/>
      <c r="DA434" s="43"/>
      <c r="DB434" s="43"/>
      <c r="DC434" s="43"/>
      <c r="DD434" s="43"/>
      <c r="DE434" s="43"/>
      <c r="DF434" s="43"/>
      <c r="DG434" s="43"/>
      <c r="DH434" s="43"/>
      <c r="DI434" s="43"/>
      <c r="DJ434" s="43"/>
      <c r="DK434" s="43"/>
      <c r="DL434" s="43"/>
      <c r="DM434" s="43"/>
      <c r="DN434" s="43"/>
      <c r="DO434" s="43"/>
      <c r="DP434" s="43"/>
      <c r="DQ434" s="43"/>
      <c r="DR434" s="43"/>
      <c r="DS434" s="43"/>
    </row>
    <row r="435" spans="1:123" ht="14.45">
      <c r="A435"/>
      <c r="B435"/>
      <c r="C435"/>
      <c r="D435"/>
      <c r="E435"/>
      <c r="F435"/>
      <c r="G435"/>
      <c r="H435"/>
      <c r="I435"/>
      <c r="J435"/>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c r="AM435" s="43"/>
      <c r="AN435" s="43"/>
      <c r="AO435" s="43"/>
      <c r="AP435" s="43"/>
      <c r="AQ435" s="43"/>
      <c r="AR435" s="43"/>
      <c r="AS435" s="43"/>
      <c r="AT435" s="43"/>
      <c r="AU435" s="43"/>
      <c r="AV435" s="43"/>
      <c r="AW435" s="43"/>
      <c r="AX435" s="43"/>
      <c r="AY435" s="43"/>
      <c r="AZ435" s="43"/>
      <c r="BA435" s="43"/>
      <c r="BB435" s="43"/>
      <c r="BC435" s="43"/>
      <c r="BD435" s="43"/>
      <c r="BE435" s="43"/>
      <c r="BF435" s="43"/>
      <c r="BG435" s="43"/>
      <c r="BH435" s="43"/>
      <c r="BI435" s="43"/>
      <c r="BJ435" s="43"/>
      <c r="BK435" s="43"/>
      <c r="BL435" s="43"/>
      <c r="BM435" s="43"/>
      <c r="BN435" s="43"/>
      <c r="BO435" s="43"/>
      <c r="BP435" s="43"/>
      <c r="BQ435" s="43"/>
      <c r="BR435" s="43"/>
      <c r="BS435" s="43"/>
      <c r="BT435" s="43"/>
      <c r="BU435" s="43"/>
      <c r="BV435" s="43"/>
      <c r="BW435" s="43"/>
      <c r="BX435" s="43"/>
      <c r="BY435" s="43"/>
      <c r="BZ435" s="43"/>
      <c r="CA435" s="43"/>
      <c r="CB435" s="43"/>
      <c r="CC435" s="43"/>
      <c r="CD435" s="43"/>
      <c r="CE435" s="43"/>
      <c r="CF435" s="43"/>
      <c r="CG435" s="43"/>
      <c r="CH435" s="43"/>
      <c r="CI435" s="43"/>
      <c r="CJ435" s="43"/>
      <c r="CK435" s="43"/>
      <c r="CL435" s="43"/>
      <c r="CM435" s="43"/>
      <c r="CN435" s="43"/>
      <c r="CO435" s="43"/>
      <c r="CP435" s="43"/>
      <c r="CQ435" s="43"/>
      <c r="CR435" s="43"/>
      <c r="CS435" s="43"/>
      <c r="CT435" s="43"/>
      <c r="CU435" s="43"/>
      <c r="CV435" s="43"/>
      <c r="CW435" s="43"/>
      <c r="CX435" s="43"/>
      <c r="CY435" s="43"/>
      <c r="CZ435" s="43"/>
      <c r="DA435" s="43"/>
      <c r="DB435" s="43"/>
      <c r="DC435" s="43"/>
      <c r="DD435" s="43"/>
      <c r="DE435" s="43"/>
      <c r="DF435" s="43"/>
      <c r="DG435" s="43"/>
      <c r="DH435" s="43"/>
      <c r="DI435" s="43"/>
      <c r="DJ435" s="43"/>
      <c r="DK435" s="43"/>
      <c r="DL435" s="43"/>
      <c r="DM435" s="43"/>
      <c r="DN435" s="43"/>
      <c r="DO435" s="43"/>
      <c r="DP435" s="43"/>
      <c r="DQ435" s="43"/>
      <c r="DR435" s="43"/>
      <c r="DS435" s="43"/>
    </row>
    <row r="436" spans="1:123" ht="14.45">
      <c r="A436"/>
      <c r="B436"/>
      <c r="C436"/>
      <c r="D436"/>
      <c r="E436"/>
      <c r="F436"/>
      <c r="G436"/>
      <c r="H436"/>
      <c r="I436"/>
      <c r="J436"/>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c r="AJ436" s="43"/>
      <c r="AK436" s="43"/>
      <c r="AL436" s="43"/>
      <c r="AM436" s="43"/>
      <c r="AN436" s="43"/>
      <c r="AO436" s="43"/>
      <c r="AP436" s="43"/>
      <c r="AQ436" s="43"/>
      <c r="AR436" s="43"/>
      <c r="AS436" s="43"/>
      <c r="AT436" s="43"/>
      <c r="AU436" s="43"/>
      <c r="AV436" s="43"/>
      <c r="AW436" s="43"/>
      <c r="AX436" s="43"/>
      <c r="AY436" s="43"/>
      <c r="AZ436" s="43"/>
      <c r="BA436" s="43"/>
      <c r="BB436" s="43"/>
      <c r="BC436" s="43"/>
      <c r="BD436" s="43"/>
      <c r="BE436" s="43"/>
      <c r="BF436" s="43"/>
      <c r="BG436" s="43"/>
      <c r="BH436" s="43"/>
      <c r="BI436" s="43"/>
      <c r="BJ436" s="43"/>
      <c r="BK436" s="43"/>
      <c r="BL436" s="43"/>
      <c r="BM436" s="43"/>
      <c r="BN436" s="43"/>
      <c r="BO436" s="43"/>
      <c r="BP436" s="43"/>
      <c r="BQ436" s="43"/>
      <c r="BR436" s="43"/>
      <c r="BS436" s="43"/>
      <c r="BT436" s="43"/>
      <c r="BU436" s="43"/>
      <c r="BV436" s="43"/>
      <c r="BW436" s="43"/>
      <c r="BX436" s="43"/>
      <c r="BY436" s="43"/>
      <c r="BZ436" s="43"/>
      <c r="CA436" s="43"/>
      <c r="CB436" s="43"/>
      <c r="CC436" s="43"/>
      <c r="CD436" s="43"/>
      <c r="CE436" s="43"/>
      <c r="CF436" s="43"/>
      <c r="CG436" s="43"/>
      <c r="CH436" s="43"/>
      <c r="CI436" s="43"/>
      <c r="CJ436" s="43"/>
      <c r="CK436" s="43"/>
      <c r="CL436" s="43"/>
      <c r="CM436" s="43"/>
      <c r="CN436" s="43"/>
      <c r="CO436" s="43"/>
      <c r="CP436" s="43"/>
      <c r="CQ436" s="43"/>
      <c r="CR436" s="43"/>
      <c r="CS436" s="43"/>
      <c r="CT436" s="43"/>
      <c r="CU436" s="43"/>
      <c r="CV436" s="43"/>
      <c r="CW436" s="43"/>
      <c r="CX436" s="43"/>
      <c r="CY436" s="43"/>
      <c r="CZ436" s="43"/>
      <c r="DA436" s="43"/>
      <c r="DB436" s="43"/>
      <c r="DC436" s="43"/>
      <c r="DD436" s="43"/>
      <c r="DE436" s="43"/>
      <c r="DF436" s="43"/>
      <c r="DG436" s="43"/>
      <c r="DH436" s="43"/>
      <c r="DI436" s="43"/>
      <c r="DJ436" s="43"/>
      <c r="DK436" s="43"/>
      <c r="DL436" s="43"/>
      <c r="DM436" s="43"/>
      <c r="DN436" s="43"/>
      <c r="DO436" s="43"/>
      <c r="DP436" s="43"/>
      <c r="DQ436" s="43"/>
      <c r="DR436" s="43"/>
      <c r="DS436" s="43"/>
    </row>
    <row r="437" spans="1:123" ht="14.45">
      <c r="A437"/>
      <c r="B437"/>
      <c r="C437"/>
      <c r="D437"/>
      <c r="E437"/>
      <c r="F437"/>
      <c r="G437"/>
      <c r="H437"/>
      <c r="I437"/>
      <c r="J437"/>
      <c r="K437" s="43"/>
      <c r="L437" s="43"/>
      <c r="M437" s="43"/>
      <c r="N437" s="43"/>
      <c r="O437" s="43"/>
      <c r="P437" s="43"/>
      <c r="Q437" s="43"/>
      <c r="R437" s="43"/>
      <c r="S437" s="43"/>
      <c r="T437" s="43"/>
      <c r="U437" s="43"/>
      <c r="V437" s="43"/>
      <c r="W437" s="43"/>
      <c r="X437" s="43"/>
      <c r="Y437" s="43"/>
      <c r="Z437" s="43"/>
      <c r="AA437" s="43"/>
      <c r="AB437" s="43"/>
      <c r="AC437" s="43"/>
      <c r="AD437" s="43"/>
      <c r="AE437" s="43"/>
      <c r="AF437" s="43"/>
      <c r="AG437" s="43"/>
      <c r="AH437" s="43"/>
      <c r="AI437" s="43"/>
      <c r="AJ437" s="43"/>
      <c r="AK437" s="43"/>
      <c r="AL437" s="43"/>
      <c r="AM437" s="43"/>
      <c r="AN437" s="43"/>
      <c r="AO437" s="43"/>
      <c r="AP437" s="43"/>
      <c r="AQ437" s="43"/>
      <c r="AR437" s="43"/>
      <c r="AS437" s="43"/>
      <c r="AT437" s="43"/>
      <c r="AU437" s="43"/>
      <c r="AV437" s="43"/>
      <c r="AW437" s="43"/>
      <c r="AX437" s="43"/>
      <c r="AY437" s="43"/>
      <c r="AZ437" s="43"/>
      <c r="BA437" s="43"/>
      <c r="BB437" s="43"/>
      <c r="BC437" s="43"/>
      <c r="BD437" s="43"/>
      <c r="BE437" s="43"/>
      <c r="BF437" s="43"/>
      <c r="BG437" s="43"/>
      <c r="BH437" s="43"/>
      <c r="BI437" s="43"/>
      <c r="BJ437" s="43"/>
      <c r="BK437" s="43"/>
      <c r="BL437" s="43"/>
      <c r="BM437" s="43"/>
      <c r="BN437" s="43"/>
      <c r="BO437" s="43"/>
      <c r="BP437" s="43"/>
      <c r="BQ437" s="43"/>
      <c r="BR437" s="43"/>
      <c r="BS437" s="43"/>
      <c r="BT437" s="43"/>
      <c r="BU437" s="43"/>
      <c r="BV437" s="43"/>
      <c r="BW437" s="43"/>
      <c r="BX437" s="43"/>
      <c r="BY437" s="43"/>
      <c r="BZ437" s="43"/>
      <c r="CA437" s="43"/>
      <c r="CB437" s="43"/>
      <c r="CC437" s="43"/>
      <c r="CD437" s="43"/>
      <c r="CE437" s="43"/>
      <c r="CF437" s="43"/>
      <c r="CG437" s="43"/>
      <c r="CH437" s="43"/>
      <c r="CI437" s="43"/>
      <c r="CJ437" s="43"/>
      <c r="CK437" s="43"/>
      <c r="CL437" s="43"/>
      <c r="CM437" s="43"/>
      <c r="CN437" s="43"/>
      <c r="CO437" s="43"/>
      <c r="CP437" s="43"/>
      <c r="CQ437" s="43"/>
      <c r="CR437" s="43"/>
      <c r="CS437" s="43"/>
      <c r="CT437" s="43"/>
      <c r="CU437" s="43"/>
      <c r="CV437" s="43"/>
      <c r="CW437" s="43"/>
      <c r="CX437" s="43"/>
      <c r="CY437" s="43"/>
      <c r="CZ437" s="43"/>
      <c r="DA437" s="43"/>
      <c r="DB437" s="43"/>
      <c r="DC437" s="43"/>
      <c r="DD437" s="43"/>
      <c r="DE437" s="43"/>
      <c r="DF437" s="43"/>
      <c r="DG437" s="43"/>
      <c r="DH437" s="43"/>
      <c r="DI437" s="43"/>
      <c r="DJ437" s="43"/>
      <c r="DK437" s="43"/>
      <c r="DL437" s="43"/>
      <c r="DM437" s="43"/>
      <c r="DN437" s="43"/>
      <c r="DO437" s="43"/>
      <c r="DP437" s="43"/>
      <c r="DQ437" s="43"/>
      <c r="DR437" s="43"/>
      <c r="DS437" s="43"/>
    </row>
    <row r="438" spans="1:123" ht="14.45">
      <c r="A438"/>
      <c r="B438"/>
      <c r="C438"/>
      <c r="D438"/>
      <c r="E438"/>
      <c r="F438"/>
      <c r="G438"/>
      <c r="H438"/>
      <c r="I438"/>
      <c r="J438"/>
      <c r="K438" s="43"/>
      <c r="L438" s="43"/>
      <c r="M438" s="43"/>
      <c r="N438" s="43"/>
      <c r="O438" s="43"/>
      <c r="P438" s="43"/>
      <c r="Q438" s="43"/>
      <c r="R438" s="43"/>
      <c r="S438" s="43"/>
      <c r="T438" s="43"/>
      <c r="U438" s="43"/>
      <c r="V438" s="43"/>
      <c r="W438" s="43"/>
      <c r="X438" s="43"/>
      <c r="Y438" s="43"/>
      <c r="Z438" s="43"/>
      <c r="AA438" s="43"/>
      <c r="AB438" s="43"/>
      <c r="AC438" s="43"/>
      <c r="AD438" s="43"/>
      <c r="AE438" s="43"/>
      <c r="AF438" s="43"/>
      <c r="AG438" s="43"/>
      <c r="AH438" s="43"/>
      <c r="AI438" s="43"/>
      <c r="AJ438" s="43"/>
      <c r="AK438" s="43"/>
      <c r="AL438" s="43"/>
      <c r="AM438" s="43"/>
      <c r="AN438" s="43"/>
      <c r="AO438" s="43"/>
      <c r="AP438" s="43"/>
      <c r="AQ438" s="43"/>
      <c r="AR438" s="43"/>
      <c r="AS438" s="43"/>
      <c r="AT438" s="43"/>
      <c r="AU438" s="43"/>
      <c r="AV438" s="43"/>
      <c r="AW438" s="43"/>
      <c r="AX438" s="43"/>
      <c r="AY438" s="43"/>
      <c r="AZ438" s="43"/>
      <c r="BA438" s="43"/>
      <c r="BB438" s="43"/>
      <c r="BC438" s="43"/>
      <c r="BD438" s="43"/>
      <c r="BE438" s="43"/>
      <c r="BF438" s="43"/>
      <c r="BG438" s="43"/>
      <c r="BH438" s="43"/>
      <c r="BI438" s="43"/>
      <c r="BJ438" s="43"/>
      <c r="BK438" s="43"/>
      <c r="BL438" s="43"/>
      <c r="BM438" s="43"/>
      <c r="BN438" s="43"/>
      <c r="BO438" s="43"/>
      <c r="BP438" s="43"/>
      <c r="BQ438" s="43"/>
      <c r="BR438" s="43"/>
      <c r="BS438" s="43"/>
      <c r="BT438" s="43"/>
      <c r="BU438" s="43"/>
      <c r="BV438" s="43"/>
      <c r="BW438" s="43"/>
      <c r="BX438" s="43"/>
      <c r="BY438" s="43"/>
      <c r="BZ438" s="43"/>
      <c r="CA438" s="43"/>
      <c r="CB438" s="43"/>
      <c r="CC438" s="43"/>
      <c r="CD438" s="43"/>
      <c r="CE438" s="43"/>
      <c r="CF438" s="43"/>
      <c r="CG438" s="43"/>
      <c r="CH438" s="43"/>
      <c r="CI438" s="43"/>
      <c r="CJ438" s="43"/>
      <c r="CK438" s="43"/>
      <c r="CL438" s="43"/>
      <c r="CM438" s="43"/>
      <c r="CN438" s="43"/>
      <c r="CO438" s="43"/>
      <c r="CP438" s="43"/>
      <c r="CQ438" s="43"/>
      <c r="CR438" s="43"/>
      <c r="CS438" s="43"/>
      <c r="CT438" s="43"/>
      <c r="CU438" s="43"/>
      <c r="CV438" s="43"/>
      <c r="CW438" s="43"/>
      <c r="CX438" s="43"/>
      <c r="CY438" s="43"/>
      <c r="CZ438" s="43"/>
      <c r="DA438" s="43"/>
      <c r="DB438" s="43"/>
      <c r="DC438" s="43"/>
      <c r="DD438" s="43"/>
      <c r="DE438" s="43"/>
      <c r="DF438" s="43"/>
      <c r="DG438" s="43"/>
      <c r="DH438" s="43"/>
      <c r="DI438" s="43"/>
      <c r="DJ438" s="43"/>
      <c r="DK438" s="43"/>
      <c r="DL438" s="43"/>
      <c r="DM438" s="43"/>
      <c r="DN438" s="43"/>
      <c r="DO438" s="43"/>
      <c r="DP438" s="43"/>
      <c r="DQ438" s="43"/>
      <c r="DR438" s="43"/>
      <c r="DS438" s="43"/>
    </row>
    <row r="439" spans="1:123" ht="14.45">
      <c r="A439"/>
      <c r="B439"/>
      <c r="C439"/>
      <c r="D439"/>
      <c r="E439"/>
      <c r="F439"/>
      <c r="G439"/>
      <c r="H439"/>
      <c r="I439"/>
      <c r="J439"/>
      <c r="K439" s="43"/>
      <c r="L439" s="43"/>
      <c r="M439" s="43"/>
      <c r="N439" s="43"/>
      <c r="O439" s="43"/>
      <c r="P439" s="43"/>
      <c r="Q439" s="43"/>
      <c r="R439" s="43"/>
      <c r="S439" s="43"/>
      <c r="T439" s="43"/>
      <c r="U439" s="43"/>
      <c r="V439" s="43"/>
      <c r="W439" s="43"/>
      <c r="X439" s="43"/>
      <c r="Y439" s="43"/>
      <c r="Z439" s="43"/>
      <c r="AA439" s="43"/>
      <c r="AB439" s="43"/>
      <c r="AC439" s="43"/>
      <c r="AD439" s="43"/>
      <c r="AE439" s="43"/>
      <c r="AF439" s="43"/>
      <c r="AG439" s="43"/>
      <c r="AH439" s="43"/>
      <c r="AI439" s="43"/>
      <c r="AJ439" s="43"/>
      <c r="AK439" s="43"/>
      <c r="AL439" s="43"/>
      <c r="AM439" s="43"/>
      <c r="AN439" s="43"/>
      <c r="AO439" s="43"/>
      <c r="AP439" s="43"/>
      <c r="AQ439" s="43"/>
      <c r="AR439" s="43"/>
      <c r="AS439" s="43"/>
      <c r="AT439" s="43"/>
      <c r="AU439" s="43"/>
      <c r="AV439" s="43"/>
      <c r="AW439" s="43"/>
      <c r="AX439" s="43"/>
      <c r="AY439" s="43"/>
      <c r="AZ439" s="43"/>
      <c r="BA439" s="43"/>
      <c r="BB439" s="43"/>
      <c r="BC439" s="43"/>
      <c r="BD439" s="43"/>
      <c r="BE439" s="43"/>
      <c r="BF439" s="43"/>
      <c r="BG439" s="43"/>
      <c r="BH439" s="43"/>
      <c r="BI439" s="43"/>
      <c r="BJ439" s="43"/>
      <c r="BK439" s="43"/>
      <c r="BL439" s="43"/>
      <c r="BM439" s="43"/>
      <c r="BN439" s="43"/>
      <c r="BO439" s="43"/>
      <c r="BP439" s="43"/>
      <c r="BQ439" s="43"/>
      <c r="BR439" s="43"/>
      <c r="BS439" s="43"/>
      <c r="BT439" s="43"/>
      <c r="BU439" s="43"/>
      <c r="BV439" s="43"/>
      <c r="BW439" s="43"/>
      <c r="BX439" s="43"/>
      <c r="BY439" s="43"/>
      <c r="BZ439" s="43"/>
      <c r="CA439" s="43"/>
      <c r="CB439" s="43"/>
      <c r="CC439" s="43"/>
      <c r="CD439" s="43"/>
      <c r="CE439" s="43"/>
      <c r="CF439" s="43"/>
      <c r="CG439" s="43"/>
      <c r="CH439" s="43"/>
      <c r="CI439" s="43"/>
      <c r="CJ439" s="43"/>
      <c r="CK439" s="43"/>
      <c r="CL439" s="43"/>
      <c r="CM439" s="43"/>
      <c r="CN439" s="43"/>
      <c r="CO439" s="43"/>
      <c r="CP439" s="43"/>
      <c r="CQ439" s="43"/>
      <c r="CR439" s="43"/>
      <c r="CS439" s="43"/>
      <c r="CT439" s="43"/>
      <c r="CU439" s="43"/>
      <c r="CV439" s="43"/>
      <c r="CW439" s="43"/>
      <c r="CX439" s="43"/>
      <c r="CY439" s="43"/>
      <c r="CZ439" s="43"/>
      <c r="DA439" s="43"/>
      <c r="DB439" s="43"/>
      <c r="DC439" s="43"/>
      <c r="DD439" s="43"/>
      <c r="DE439" s="43"/>
      <c r="DF439" s="43"/>
      <c r="DG439" s="43"/>
      <c r="DH439" s="43"/>
      <c r="DI439" s="43"/>
      <c r="DJ439" s="43"/>
      <c r="DK439" s="43"/>
      <c r="DL439" s="43"/>
      <c r="DM439" s="43"/>
      <c r="DN439" s="43"/>
      <c r="DO439" s="43"/>
      <c r="DP439" s="43"/>
      <c r="DQ439" s="43"/>
      <c r="DR439" s="43"/>
      <c r="DS439" s="43"/>
    </row>
    <row r="440" spans="1:123" ht="14.45">
      <c r="A440"/>
      <c r="B440"/>
      <c r="C440"/>
      <c r="D440"/>
      <c r="E440"/>
      <c r="F440"/>
      <c r="G440"/>
      <c r="H440"/>
      <c r="I440"/>
      <c r="J440"/>
      <c r="K440" s="43"/>
      <c r="L440" s="43"/>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c r="AJ440" s="43"/>
      <c r="AK440" s="43"/>
      <c r="AL440" s="43"/>
      <c r="AM440" s="43"/>
      <c r="AN440" s="43"/>
      <c r="AO440" s="43"/>
      <c r="AP440" s="43"/>
      <c r="AQ440" s="43"/>
      <c r="AR440" s="43"/>
      <c r="AS440" s="43"/>
      <c r="AT440" s="43"/>
      <c r="AU440" s="43"/>
      <c r="AV440" s="43"/>
      <c r="AW440" s="43"/>
      <c r="AX440" s="43"/>
      <c r="AY440" s="43"/>
      <c r="AZ440" s="43"/>
      <c r="BA440" s="43"/>
      <c r="BB440" s="43"/>
      <c r="BC440" s="43"/>
      <c r="BD440" s="43"/>
      <c r="BE440" s="43"/>
      <c r="BF440" s="43"/>
      <c r="BG440" s="43"/>
      <c r="BH440" s="43"/>
      <c r="BI440" s="43"/>
      <c r="BJ440" s="43"/>
      <c r="BK440" s="43"/>
      <c r="BL440" s="43"/>
      <c r="BM440" s="43"/>
      <c r="BN440" s="43"/>
      <c r="BO440" s="43"/>
      <c r="BP440" s="43"/>
      <c r="BQ440" s="43"/>
      <c r="BR440" s="43"/>
      <c r="BS440" s="43"/>
      <c r="BT440" s="43"/>
      <c r="BU440" s="43"/>
      <c r="BV440" s="43"/>
      <c r="BW440" s="43"/>
      <c r="BX440" s="43"/>
      <c r="BY440" s="43"/>
      <c r="BZ440" s="43"/>
      <c r="CA440" s="43"/>
      <c r="CB440" s="43"/>
      <c r="CC440" s="43"/>
      <c r="CD440" s="43"/>
      <c r="CE440" s="43"/>
      <c r="CF440" s="43"/>
      <c r="CG440" s="43"/>
      <c r="CH440" s="43"/>
      <c r="CI440" s="43"/>
      <c r="CJ440" s="43"/>
      <c r="CK440" s="43"/>
      <c r="CL440" s="43"/>
      <c r="CM440" s="43"/>
      <c r="CN440" s="43"/>
      <c r="CO440" s="43"/>
      <c r="CP440" s="43"/>
      <c r="CQ440" s="43"/>
      <c r="CR440" s="43"/>
      <c r="CS440" s="43"/>
      <c r="CT440" s="43"/>
      <c r="CU440" s="43"/>
      <c r="CV440" s="43"/>
      <c r="CW440" s="43"/>
      <c r="CX440" s="43"/>
      <c r="CY440" s="43"/>
      <c r="CZ440" s="43"/>
      <c r="DA440" s="43"/>
      <c r="DB440" s="43"/>
      <c r="DC440" s="43"/>
      <c r="DD440" s="43"/>
      <c r="DE440" s="43"/>
      <c r="DF440" s="43"/>
      <c r="DG440" s="43"/>
      <c r="DH440" s="43"/>
      <c r="DI440" s="43"/>
      <c r="DJ440" s="43"/>
      <c r="DK440" s="43"/>
      <c r="DL440" s="43"/>
      <c r="DM440" s="43"/>
      <c r="DN440" s="43"/>
      <c r="DO440" s="43"/>
      <c r="DP440" s="43"/>
      <c r="DQ440" s="43"/>
      <c r="DR440" s="43"/>
      <c r="DS440" s="43"/>
    </row>
    <row r="441" spans="1:123" ht="14.45">
      <c r="A441"/>
      <c r="B441"/>
      <c r="C441"/>
      <c r="D441"/>
      <c r="E441"/>
      <c r="F441"/>
      <c r="G441"/>
      <c r="H441"/>
      <c r="I441"/>
      <c r="J441"/>
      <c r="K441" s="43"/>
      <c r="L441" s="43"/>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c r="AJ441" s="43"/>
      <c r="AK441" s="43"/>
      <c r="AL441" s="43"/>
      <c r="AM441" s="43"/>
      <c r="AN441" s="43"/>
      <c r="AO441" s="43"/>
      <c r="AP441" s="43"/>
      <c r="AQ441" s="43"/>
      <c r="AR441" s="43"/>
      <c r="AS441" s="43"/>
      <c r="AT441" s="43"/>
      <c r="AU441" s="43"/>
      <c r="AV441" s="43"/>
      <c r="AW441" s="43"/>
      <c r="AX441" s="43"/>
      <c r="AY441" s="43"/>
      <c r="AZ441" s="43"/>
      <c r="BA441" s="43"/>
      <c r="BB441" s="43"/>
      <c r="BC441" s="43"/>
      <c r="BD441" s="43"/>
      <c r="BE441" s="43"/>
      <c r="BF441" s="43"/>
      <c r="BG441" s="43"/>
      <c r="BH441" s="43"/>
      <c r="BI441" s="43"/>
      <c r="BJ441" s="43"/>
      <c r="BK441" s="43"/>
      <c r="BL441" s="43"/>
      <c r="BM441" s="43"/>
      <c r="BN441" s="43"/>
      <c r="BO441" s="43"/>
      <c r="BP441" s="43"/>
      <c r="BQ441" s="43"/>
      <c r="BR441" s="43"/>
      <c r="BS441" s="43"/>
      <c r="BT441" s="43"/>
      <c r="BU441" s="43"/>
      <c r="BV441" s="43"/>
      <c r="BW441" s="43"/>
      <c r="BX441" s="43"/>
      <c r="BY441" s="43"/>
      <c r="BZ441" s="43"/>
      <c r="CA441" s="43"/>
      <c r="CB441" s="43"/>
      <c r="CC441" s="43"/>
      <c r="CD441" s="43"/>
      <c r="CE441" s="43"/>
      <c r="CF441" s="43"/>
      <c r="CG441" s="43"/>
      <c r="CH441" s="43"/>
      <c r="CI441" s="43"/>
      <c r="CJ441" s="43"/>
      <c r="CK441" s="43"/>
      <c r="CL441" s="43"/>
      <c r="CM441" s="43"/>
      <c r="CN441" s="43"/>
      <c r="CO441" s="43"/>
      <c r="CP441" s="43"/>
      <c r="CQ441" s="43"/>
      <c r="CR441" s="43"/>
      <c r="CS441" s="43"/>
      <c r="CT441" s="43"/>
      <c r="CU441" s="43"/>
      <c r="CV441" s="43"/>
      <c r="CW441" s="43"/>
      <c r="CX441" s="43"/>
      <c r="CY441" s="43"/>
      <c r="CZ441" s="43"/>
      <c r="DA441" s="43"/>
      <c r="DB441" s="43"/>
      <c r="DC441" s="43"/>
      <c r="DD441" s="43"/>
      <c r="DE441" s="43"/>
      <c r="DF441" s="43"/>
      <c r="DG441" s="43"/>
      <c r="DH441" s="43"/>
      <c r="DI441" s="43"/>
      <c r="DJ441" s="43"/>
      <c r="DK441" s="43"/>
      <c r="DL441" s="43"/>
      <c r="DM441" s="43"/>
      <c r="DN441" s="43"/>
      <c r="DO441" s="43"/>
      <c r="DP441" s="43"/>
      <c r="DQ441" s="43"/>
      <c r="DR441" s="43"/>
      <c r="DS441" s="43"/>
    </row>
    <row r="442" spans="1:123" ht="14.45">
      <c r="A442"/>
      <c r="B442"/>
      <c r="C442"/>
      <c r="D442"/>
      <c r="E442"/>
      <c r="F442"/>
      <c r="G442"/>
      <c r="H442"/>
      <c r="I442"/>
      <c r="J442"/>
      <c r="K442" s="43"/>
      <c r="L442" s="43"/>
      <c r="M442" s="43"/>
      <c r="N442" s="43"/>
      <c r="O442" s="43"/>
      <c r="P442" s="43"/>
      <c r="Q442" s="43"/>
      <c r="R442" s="43"/>
      <c r="S442" s="43"/>
      <c r="T442" s="43"/>
      <c r="U442" s="43"/>
      <c r="V442" s="43"/>
      <c r="W442" s="43"/>
      <c r="X442" s="43"/>
      <c r="Y442" s="43"/>
      <c r="Z442" s="43"/>
      <c r="AA442" s="43"/>
      <c r="AB442" s="43"/>
      <c r="AC442" s="43"/>
      <c r="AD442" s="43"/>
      <c r="AE442" s="43"/>
      <c r="AF442" s="43"/>
      <c r="AG442" s="43"/>
      <c r="AH442" s="43"/>
      <c r="AI442" s="43"/>
      <c r="AJ442" s="43"/>
      <c r="AK442" s="43"/>
      <c r="AL442" s="43"/>
      <c r="AM442" s="43"/>
      <c r="AN442" s="43"/>
      <c r="AO442" s="43"/>
      <c r="AP442" s="43"/>
      <c r="AQ442" s="43"/>
      <c r="AR442" s="43"/>
      <c r="AS442" s="43"/>
      <c r="AT442" s="43"/>
      <c r="AU442" s="43"/>
      <c r="AV442" s="43"/>
      <c r="AW442" s="43"/>
      <c r="AX442" s="43"/>
      <c r="AY442" s="43"/>
      <c r="AZ442" s="43"/>
      <c r="BA442" s="43"/>
      <c r="BB442" s="43"/>
      <c r="BC442" s="43"/>
      <c r="BD442" s="43"/>
      <c r="BE442" s="43"/>
      <c r="BF442" s="43"/>
      <c r="BG442" s="43"/>
      <c r="BH442" s="43"/>
      <c r="BI442" s="43"/>
      <c r="BJ442" s="43"/>
      <c r="BK442" s="43"/>
      <c r="BL442" s="43"/>
      <c r="BM442" s="43"/>
      <c r="BN442" s="43"/>
      <c r="BO442" s="43"/>
      <c r="BP442" s="43"/>
      <c r="BQ442" s="43"/>
      <c r="BR442" s="43"/>
      <c r="BS442" s="43"/>
      <c r="BT442" s="43"/>
      <c r="BU442" s="43"/>
      <c r="BV442" s="43"/>
      <c r="BW442" s="43"/>
      <c r="BX442" s="43"/>
      <c r="BY442" s="43"/>
      <c r="BZ442" s="43"/>
      <c r="CA442" s="43"/>
      <c r="CB442" s="43"/>
      <c r="CC442" s="43"/>
      <c r="CD442" s="43"/>
      <c r="CE442" s="43"/>
      <c r="CF442" s="43"/>
      <c r="CG442" s="43"/>
      <c r="CH442" s="43"/>
      <c r="CI442" s="43"/>
      <c r="CJ442" s="43"/>
      <c r="CK442" s="43"/>
      <c r="CL442" s="43"/>
      <c r="CM442" s="43"/>
      <c r="CN442" s="43"/>
      <c r="CO442" s="43"/>
      <c r="CP442" s="43"/>
      <c r="CQ442" s="43"/>
      <c r="CR442" s="43"/>
      <c r="CS442" s="43"/>
      <c r="CT442" s="43"/>
      <c r="CU442" s="43"/>
      <c r="CV442" s="43"/>
      <c r="CW442" s="43"/>
      <c r="CX442" s="43"/>
      <c r="CY442" s="43"/>
      <c r="CZ442" s="43"/>
      <c r="DA442" s="43"/>
      <c r="DB442" s="43"/>
      <c r="DC442" s="43"/>
      <c r="DD442" s="43"/>
      <c r="DE442" s="43"/>
      <c r="DF442" s="43"/>
      <c r="DG442" s="43"/>
      <c r="DH442" s="43"/>
      <c r="DI442" s="43"/>
      <c r="DJ442" s="43"/>
      <c r="DK442" s="43"/>
      <c r="DL442" s="43"/>
      <c r="DM442" s="43"/>
      <c r="DN442" s="43"/>
      <c r="DO442" s="43"/>
      <c r="DP442" s="43"/>
      <c r="DQ442" s="43"/>
      <c r="DR442" s="43"/>
      <c r="DS442" s="43"/>
    </row>
    <row r="443" spans="1:123" ht="14.45">
      <c r="A443"/>
      <c r="B443"/>
      <c r="C443"/>
      <c r="D443"/>
      <c r="E443"/>
      <c r="F443"/>
      <c r="G443"/>
      <c r="H443"/>
      <c r="I443"/>
      <c r="J443"/>
      <c r="K443" s="43"/>
      <c r="L443" s="43"/>
      <c r="M443" s="43"/>
      <c r="N443" s="43"/>
      <c r="O443" s="43"/>
      <c r="P443" s="43"/>
      <c r="Q443" s="43"/>
      <c r="R443" s="43"/>
      <c r="S443" s="43"/>
      <c r="T443" s="43"/>
      <c r="U443" s="43"/>
      <c r="V443" s="43"/>
      <c r="W443" s="43"/>
      <c r="X443" s="43"/>
      <c r="Y443" s="43"/>
      <c r="Z443" s="43"/>
      <c r="AA443" s="43"/>
      <c r="AB443" s="43"/>
      <c r="AC443" s="43"/>
      <c r="AD443" s="43"/>
      <c r="AE443" s="43"/>
      <c r="AF443" s="43"/>
      <c r="AG443" s="43"/>
      <c r="AH443" s="43"/>
      <c r="AI443" s="43"/>
      <c r="AJ443" s="43"/>
      <c r="AK443" s="43"/>
      <c r="AL443" s="43"/>
      <c r="AM443" s="43"/>
      <c r="AN443" s="43"/>
      <c r="AO443" s="43"/>
      <c r="AP443" s="43"/>
      <c r="AQ443" s="43"/>
      <c r="AR443" s="43"/>
      <c r="AS443" s="43"/>
      <c r="AT443" s="43"/>
      <c r="AU443" s="43"/>
      <c r="AV443" s="43"/>
      <c r="AW443" s="43"/>
      <c r="AX443" s="43"/>
      <c r="AY443" s="43"/>
      <c r="AZ443" s="43"/>
      <c r="BA443" s="43"/>
      <c r="BB443" s="43"/>
      <c r="BC443" s="43"/>
      <c r="BD443" s="43"/>
      <c r="BE443" s="43"/>
      <c r="BF443" s="43"/>
      <c r="BG443" s="43"/>
      <c r="BH443" s="43"/>
      <c r="BI443" s="43"/>
      <c r="BJ443" s="43"/>
      <c r="BK443" s="43"/>
      <c r="BL443" s="43"/>
      <c r="BM443" s="43"/>
      <c r="BN443" s="43"/>
      <c r="BO443" s="43"/>
      <c r="BP443" s="43"/>
      <c r="BQ443" s="43"/>
      <c r="BR443" s="43"/>
      <c r="BS443" s="43"/>
      <c r="BT443" s="43"/>
      <c r="BU443" s="43"/>
      <c r="BV443" s="43"/>
      <c r="BW443" s="43"/>
      <c r="BX443" s="43"/>
      <c r="BY443" s="43"/>
      <c r="BZ443" s="43"/>
      <c r="CA443" s="43"/>
      <c r="CB443" s="43"/>
      <c r="CC443" s="43"/>
      <c r="CD443" s="43"/>
      <c r="CE443" s="43"/>
      <c r="CF443" s="43"/>
      <c r="CG443" s="43"/>
      <c r="CH443" s="43"/>
      <c r="CI443" s="43"/>
      <c r="CJ443" s="43"/>
      <c r="CK443" s="43"/>
      <c r="CL443" s="43"/>
      <c r="CM443" s="43"/>
      <c r="CN443" s="43"/>
      <c r="CO443" s="43"/>
      <c r="CP443" s="43"/>
      <c r="CQ443" s="43"/>
      <c r="CR443" s="43"/>
      <c r="CS443" s="43"/>
      <c r="CT443" s="43"/>
      <c r="CU443" s="43"/>
      <c r="CV443" s="43"/>
      <c r="CW443" s="43"/>
      <c r="CX443" s="43"/>
      <c r="CY443" s="43"/>
      <c r="CZ443" s="43"/>
      <c r="DA443" s="43"/>
      <c r="DB443" s="43"/>
      <c r="DC443" s="43"/>
      <c r="DD443" s="43"/>
      <c r="DE443" s="43"/>
      <c r="DF443" s="43"/>
      <c r="DG443" s="43"/>
      <c r="DH443" s="43"/>
      <c r="DI443" s="43"/>
      <c r="DJ443" s="43"/>
      <c r="DK443" s="43"/>
      <c r="DL443" s="43"/>
      <c r="DM443" s="43"/>
      <c r="DN443" s="43"/>
      <c r="DO443" s="43"/>
      <c r="DP443" s="43"/>
      <c r="DQ443" s="43"/>
      <c r="DR443" s="43"/>
      <c r="DS443" s="43"/>
    </row>
    <row r="444" spans="1:123" ht="14.45">
      <c r="A444"/>
      <c r="B444"/>
      <c r="C444"/>
      <c r="D444"/>
      <c r="E444"/>
      <c r="F444"/>
      <c r="G444"/>
      <c r="H444"/>
      <c r="I444"/>
      <c r="J444"/>
      <c r="K444" s="43"/>
      <c r="L444" s="43"/>
      <c r="M444" s="43"/>
      <c r="N444" s="43"/>
      <c r="O444" s="43"/>
      <c r="P444" s="43"/>
      <c r="Q444" s="43"/>
      <c r="R444" s="43"/>
      <c r="S444" s="43"/>
      <c r="T444" s="43"/>
      <c r="U444" s="43"/>
      <c r="V444" s="43"/>
      <c r="W444" s="43"/>
      <c r="X444" s="43"/>
      <c r="Y444" s="43"/>
      <c r="Z444" s="43"/>
      <c r="AA444" s="43"/>
      <c r="AB444" s="43"/>
      <c r="AC444" s="43"/>
      <c r="AD444" s="43"/>
      <c r="AE444" s="43"/>
      <c r="AF444" s="43"/>
      <c r="AG444" s="43"/>
      <c r="AH444" s="43"/>
      <c r="AI444" s="43"/>
      <c r="AJ444" s="43"/>
      <c r="AK444" s="43"/>
      <c r="AL444" s="43"/>
      <c r="AM444" s="43"/>
      <c r="AN444" s="43"/>
      <c r="AO444" s="43"/>
      <c r="AP444" s="43"/>
      <c r="AQ444" s="43"/>
      <c r="AR444" s="43"/>
      <c r="AS444" s="43"/>
      <c r="AT444" s="43"/>
      <c r="AU444" s="43"/>
      <c r="AV444" s="43"/>
      <c r="AW444" s="43"/>
      <c r="AX444" s="43"/>
      <c r="AY444" s="43"/>
      <c r="AZ444" s="43"/>
      <c r="BA444" s="43"/>
      <c r="BB444" s="43"/>
      <c r="BC444" s="43"/>
      <c r="BD444" s="43"/>
      <c r="BE444" s="43"/>
      <c r="BF444" s="43"/>
      <c r="BG444" s="43"/>
      <c r="BH444" s="43"/>
      <c r="BI444" s="43"/>
      <c r="BJ444" s="43"/>
      <c r="BK444" s="43"/>
      <c r="BL444" s="43"/>
      <c r="BM444" s="43"/>
      <c r="BN444" s="43"/>
      <c r="BO444" s="43"/>
      <c r="BP444" s="43"/>
      <c r="BQ444" s="43"/>
      <c r="BR444" s="43"/>
      <c r="BS444" s="43"/>
      <c r="BT444" s="43"/>
      <c r="BU444" s="43"/>
      <c r="BV444" s="43"/>
      <c r="BW444" s="43"/>
      <c r="BX444" s="43"/>
      <c r="BY444" s="43"/>
      <c r="BZ444" s="43"/>
      <c r="CA444" s="43"/>
      <c r="CB444" s="43"/>
      <c r="CC444" s="43"/>
      <c r="CD444" s="43"/>
      <c r="CE444" s="43"/>
      <c r="CF444" s="43"/>
      <c r="CG444" s="43"/>
      <c r="CH444" s="43"/>
      <c r="CI444" s="43"/>
      <c r="CJ444" s="43"/>
      <c r="CK444" s="43"/>
      <c r="CL444" s="43"/>
      <c r="CM444" s="43"/>
      <c r="CN444" s="43"/>
      <c r="CO444" s="43"/>
      <c r="CP444" s="43"/>
      <c r="CQ444" s="43"/>
      <c r="CR444" s="43"/>
      <c r="CS444" s="43"/>
      <c r="CT444" s="43"/>
      <c r="CU444" s="43"/>
      <c r="CV444" s="43"/>
      <c r="CW444" s="43"/>
      <c r="CX444" s="43"/>
      <c r="CY444" s="43"/>
      <c r="CZ444" s="43"/>
      <c r="DA444" s="43"/>
      <c r="DB444" s="43"/>
      <c r="DC444" s="43"/>
      <c r="DD444" s="43"/>
      <c r="DE444" s="43"/>
      <c r="DF444" s="43"/>
      <c r="DG444" s="43"/>
      <c r="DH444" s="43"/>
      <c r="DI444" s="43"/>
      <c r="DJ444" s="43"/>
      <c r="DK444" s="43"/>
      <c r="DL444" s="43"/>
      <c r="DM444" s="43"/>
      <c r="DN444" s="43"/>
      <c r="DO444" s="43"/>
      <c r="DP444" s="43"/>
      <c r="DQ444" s="43"/>
      <c r="DR444" s="43"/>
      <c r="DS444" s="43"/>
    </row>
    <row r="445" spans="1:123" ht="14.45">
      <c r="A445"/>
      <c r="B445"/>
      <c r="C445"/>
      <c r="D445"/>
      <c r="E445"/>
      <c r="F445"/>
      <c r="G445"/>
      <c r="H445"/>
      <c r="I445"/>
      <c r="J445"/>
      <c r="K445" s="43"/>
      <c r="L445" s="43"/>
      <c r="M445" s="43"/>
      <c r="N445" s="43"/>
      <c r="O445" s="43"/>
      <c r="P445" s="43"/>
      <c r="Q445" s="43"/>
      <c r="R445" s="43"/>
      <c r="S445" s="43"/>
      <c r="T445" s="43"/>
      <c r="U445" s="43"/>
      <c r="V445" s="43"/>
      <c r="W445" s="43"/>
      <c r="X445" s="43"/>
      <c r="Y445" s="43"/>
      <c r="Z445" s="43"/>
      <c r="AA445" s="43"/>
      <c r="AB445" s="43"/>
      <c r="AC445" s="43"/>
      <c r="AD445" s="43"/>
      <c r="AE445" s="43"/>
      <c r="AF445" s="43"/>
      <c r="AG445" s="43"/>
      <c r="AH445" s="43"/>
      <c r="AI445" s="43"/>
      <c r="AJ445" s="43"/>
      <c r="AK445" s="43"/>
      <c r="AL445" s="43"/>
      <c r="AM445" s="43"/>
      <c r="AN445" s="43"/>
      <c r="AO445" s="43"/>
      <c r="AP445" s="43"/>
      <c r="AQ445" s="43"/>
      <c r="AR445" s="43"/>
      <c r="AS445" s="43"/>
      <c r="AT445" s="43"/>
      <c r="AU445" s="43"/>
      <c r="AV445" s="43"/>
      <c r="AW445" s="43"/>
      <c r="AX445" s="43"/>
      <c r="AY445" s="43"/>
      <c r="AZ445" s="43"/>
      <c r="BA445" s="43"/>
      <c r="BB445" s="43"/>
      <c r="BC445" s="43"/>
      <c r="BD445" s="43"/>
      <c r="BE445" s="43"/>
      <c r="BF445" s="43"/>
      <c r="BG445" s="43"/>
      <c r="BH445" s="43"/>
      <c r="BI445" s="43"/>
      <c r="BJ445" s="43"/>
      <c r="BK445" s="43"/>
      <c r="BL445" s="43"/>
      <c r="BM445" s="43"/>
      <c r="BN445" s="43"/>
      <c r="BO445" s="43"/>
      <c r="BP445" s="43"/>
      <c r="BQ445" s="43"/>
      <c r="BR445" s="43"/>
      <c r="BS445" s="43"/>
      <c r="BT445" s="43"/>
      <c r="BU445" s="43"/>
      <c r="BV445" s="43"/>
      <c r="BW445" s="43"/>
      <c r="BX445" s="43"/>
      <c r="BY445" s="43"/>
      <c r="BZ445" s="43"/>
      <c r="CA445" s="43"/>
      <c r="CB445" s="43"/>
      <c r="CC445" s="43"/>
      <c r="CD445" s="43"/>
      <c r="CE445" s="43"/>
      <c r="CF445" s="43"/>
      <c r="CG445" s="43"/>
      <c r="CH445" s="43"/>
      <c r="CI445" s="43"/>
      <c r="CJ445" s="43"/>
      <c r="CK445" s="43"/>
      <c r="CL445" s="43"/>
      <c r="CM445" s="43"/>
      <c r="CN445" s="43"/>
      <c r="CO445" s="43"/>
      <c r="CP445" s="43"/>
      <c r="CQ445" s="43"/>
      <c r="CR445" s="43"/>
      <c r="CS445" s="43"/>
      <c r="CT445" s="43"/>
      <c r="CU445" s="43"/>
      <c r="CV445" s="43"/>
      <c r="CW445" s="43"/>
      <c r="CX445" s="43"/>
      <c r="CY445" s="43"/>
      <c r="CZ445" s="43"/>
      <c r="DA445" s="43"/>
      <c r="DB445" s="43"/>
      <c r="DC445" s="43"/>
      <c r="DD445" s="43"/>
      <c r="DE445" s="43"/>
      <c r="DF445" s="43"/>
      <c r="DG445" s="43"/>
      <c r="DH445" s="43"/>
      <c r="DI445" s="43"/>
      <c r="DJ445" s="43"/>
      <c r="DK445" s="43"/>
      <c r="DL445" s="43"/>
      <c r="DM445" s="43"/>
      <c r="DN445" s="43"/>
      <c r="DO445" s="43"/>
      <c r="DP445" s="43"/>
      <c r="DQ445" s="43"/>
      <c r="DR445" s="43"/>
      <c r="DS445" s="43"/>
    </row>
    <row r="446" spans="1:123" ht="14.45">
      <c r="A446"/>
      <c r="B446"/>
      <c r="C446"/>
      <c r="D446"/>
      <c r="E446"/>
      <c r="F446"/>
      <c r="G446"/>
      <c r="H446"/>
      <c r="I446"/>
      <c r="J446"/>
      <c r="K446" s="43"/>
      <c r="L446" s="43"/>
      <c r="M446" s="43"/>
      <c r="N446" s="43"/>
      <c r="O446" s="43"/>
      <c r="P446" s="43"/>
      <c r="Q446" s="43"/>
      <c r="R446" s="43"/>
      <c r="S446" s="43"/>
      <c r="T446" s="43"/>
      <c r="U446" s="43"/>
      <c r="V446" s="43"/>
      <c r="W446" s="43"/>
      <c r="X446" s="43"/>
      <c r="Y446" s="43"/>
      <c r="Z446" s="43"/>
      <c r="AA446" s="43"/>
      <c r="AB446" s="43"/>
      <c r="AC446" s="43"/>
      <c r="AD446" s="43"/>
      <c r="AE446" s="43"/>
      <c r="AF446" s="43"/>
      <c r="AG446" s="43"/>
      <c r="AH446" s="43"/>
      <c r="AI446" s="43"/>
      <c r="AJ446" s="43"/>
      <c r="AK446" s="43"/>
      <c r="AL446" s="43"/>
      <c r="AM446" s="43"/>
      <c r="AN446" s="43"/>
      <c r="AO446" s="43"/>
      <c r="AP446" s="43"/>
      <c r="AQ446" s="43"/>
      <c r="AR446" s="43"/>
      <c r="AS446" s="43"/>
      <c r="AT446" s="43"/>
      <c r="AU446" s="43"/>
      <c r="AV446" s="43"/>
      <c r="AW446" s="43"/>
      <c r="AX446" s="43"/>
      <c r="AY446" s="43"/>
      <c r="AZ446" s="43"/>
      <c r="BA446" s="43"/>
      <c r="BB446" s="43"/>
      <c r="BC446" s="43"/>
      <c r="BD446" s="43"/>
      <c r="BE446" s="43"/>
      <c r="BF446" s="43"/>
      <c r="BG446" s="43"/>
      <c r="BH446" s="43"/>
      <c r="BI446" s="43"/>
      <c r="BJ446" s="43"/>
      <c r="BK446" s="43"/>
      <c r="BL446" s="43"/>
      <c r="BM446" s="43"/>
      <c r="BN446" s="43"/>
      <c r="BO446" s="43"/>
      <c r="BP446" s="43"/>
      <c r="BQ446" s="43"/>
      <c r="BR446" s="43"/>
      <c r="BS446" s="43"/>
      <c r="BT446" s="43"/>
      <c r="BU446" s="43"/>
      <c r="BV446" s="43"/>
      <c r="BW446" s="43"/>
      <c r="BX446" s="43"/>
      <c r="BY446" s="43"/>
      <c r="BZ446" s="43"/>
      <c r="CA446" s="43"/>
      <c r="CB446" s="43"/>
      <c r="CC446" s="43"/>
      <c r="CD446" s="43"/>
      <c r="CE446" s="43"/>
      <c r="CF446" s="43"/>
      <c r="CG446" s="43"/>
      <c r="CH446" s="43"/>
      <c r="CI446" s="43"/>
      <c r="CJ446" s="43"/>
      <c r="CK446" s="43"/>
      <c r="CL446" s="43"/>
      <c r="CM446" s="43"/>
      <c r="CN446" s="43"/>
      <c r="CO446" s="43"/>
      <c r="CP446" s="43"/>
      <c r="CQ446" s="43"/>
      <c r="CR446" s="43"/>
      <c r="CS446" s="43"/>
      <c r="CT446" s="43"/>
      <c r="CU446" s="43"/>
      <c r="CV446" s="43"/>
      <c r="CW446" s="43"/>
      <c r="CX446" s="43"/>
      <c r="CY446" s="43"/>
      <c r="CZ446" s="43"/>
      <c r="DA446" s="43"/>
      <c r="DB446" s="43"/>
      <c r="DC446" s="43"/>
      <c r="DD446" s="43"/>
      <c r="DE446" s="43"/>
      <c r="DF446" s="43"/>
      <c r="DG446" s="43"/>
      <c r="DH446" s="43"/>
      <c r="DI446" s="43"/>
      <c r="DJ446" s="43"/>
      <c r="DK446" s="43"/>
      <c r="DL446" s="43"/>
      <c r="DM446" s="43"/>
      <c r="DN446" s="43"/>
      <c r="DO446" s="43"/>
      <c r="DP446" s="43"/>
      <c r="DQ446" s="43"/>
      <c r="DR446" s="43"/>
      <c r="DS446" s="43"/>
    </row>
    <row r="447" spans="1:123" ht="14.45">
      <c r="A447"/>
      <c r="B447"/>
      <c r="C447"/>
      <c r="D447"/>
      <c r="E447"/>
      <c r="F447"/>
      <c r="G447"/>
      <c r="H447"/>
      <c r="I447"/>
      <c r="J447"/>
      <c r="K447" s="43"/>
      <c r="L447" s="43"/>
      <c r="M447" s="43"/>
      <c r="N447" s="43"/>
      <c r="O447" s="43"/>
      <c r="P447" s="43"/>
      <c r="Q447" s="43"/>
      <c r="R447" s="43"/>
      <c r="S447" s="43"/>
      <c r="T447" s="43"/>
      <c r="U447" s="43"/>
      <c r="V447" s="43"/>
      <c r="W447" s="43"/>
      <c r="X447" s="43"/>
      <c r="Y447" s="43"/>
      <c r="Z447" s="43"/>
      <c r="AA447" s="43"/>
      <c r="AB447" s="43"/>
      <c r="AC447" s="43"/>
      <c r="AD447" s="43"/>
      <c r="AE447" s="43"/>
      <c r="AF447" s="43"/>
      <c r="AG447" s="43"/>
      <c r="AH447" s="43"/>
      <c r="AI447" s="43"/>
      <c r="AJ447" s="43"/>
      <c r="AK447" s="43"/>
      <c r="AL447" s="43"/>
      <c r="AM447" s="43"/>
      <c r="AN447" s="43"/>
      <c r="AO447" s="43"/>
      <c r="AP447" s="43"/>
      <c r="AQ447" s="43"/>
      <c r="AR447" s="43"/>
      <c r="AS447" s="43"/>
      <c r="AT447" s="43"/>
      <c r="AU447" s="43"/>
      <c r="AV447" s="43"/>
      <c r="AW447" s="43"/>
      <c r="AX447" s="43"/>
      <c r="AY447" s="43"/>
      <c r="AZ447" s="43"/>
      <c r="BA447" s="43"/>
      <c r="BB447" s="43"/>
      <c r="BC447" s="43"/>
      <c r="BD447" s="43"/>
      <c r="BE447" s="43"/>
      <c r="BF447" s="43"/>
      <c r="BG447" s="43"/>
      <c r="BH447" s="43"/>
      <c r="BI447" s="43"/>
      <c r="BJ447" s="43"/>
      <c r="BK447" s="43"/>
      <c r="BL447" s="43"/>
      <c r="BM447" s="43"/>
      <c r="BN447" s="43"/>
      <c r="BO447" s="43"/>
      <c r="BP447" s="43"/>
      <c r="BQ447" s="43"/>
      <c r="BR447" s="43"/>
      <c r="BS447" s="43"/>
      <c r="BT447" s="43"/>
      <c r="BU447" s="43"/>
      <c r="BV447" s="43"/>
      <c r="BW447" s="43"/>
      <c r="BX447" s="43"/>
      <c r="BY447" s="43"/>
      <c r="BZ447" s="43"/>
      <c r="CA447" s="43"/>
      <c r="CB447" s="43"/>
      <c r="CC447" s="43"/>
      <c r="CD447" s="43"/>
      <c r="CE447" s="43"/>
      <c r="CF447" s="43"/>
      <c r="CG447" s="43"/>
      <c r="CH447" s="43"/>
      <c r="CI447" s="43"/>
      <c r="CJ447" s="43"/>
      <c r="CK447" s="43"/>
      <c r="CL447" s="43"/>
      <c r="CM447" s="43"/>
      <c r="CN447" s="43"/>
      <c r="CO447" s="43"/>
      <c r="CP447" s="43"/>
      <c r="CQ447" s="43"/>
      <c r="CR447" s="43"/>
      <c r="CS447" s="43"/>
      <c r="CT447" s="43"/>
      <c r="CU447" s="43"/>
      <c r="CV447" s="43"/>
      <c r="CW447" s="43"/>
      <c r="CX447" s="43"/>
      <c r="CY447" s="43"/>
      <c r="CZ447" s="43"/>
      <c r="DA447" s="43"/>
      <c r="DB447" s="43"/>
      <c r="DC447" s="43"/>
      <c r="DD447" s="43"/>
      <c r="DE447" s="43"/>
      <c r="DF447" s="43"/>
      <c r="DG447" s="43"/>
      <c r="DH447" s="43"/>
      <c r="DI447" s="43"/>
      <c r="DJ447" s="43"/>
      <c r="DK447" s="43"/>
      <c r="DL447" s="43"/>
      <c r="DM447" s="43"/>
      <c r="DN447" s="43"/>
      <c r="DO447" s="43"/>
      <c r="DP447" s="43"/>
      <c r="DQ447" s="43"/>
      <c r="DR447" s="43"/>
      <c r="DS447" s="43"/>
    </row>
    <row r="448" spans="1:123" ht="14.45">
      <c r="A448"/>
      <c r="B448"/>
      <c r="C448"/>
      <c r="D448"/>
      <c r="E448"/>
      <c r="F448"/>
      <c r="G448"/>
      <c r="H448"/>
      <c r="I448"/>
      <c r="J448"/>
      <c r="K448" s="43"/>
      <c r="L448" s="43"/>
      <c r="M448" s="43"/>
      <c r="N448" s="43"/>
      <c r="O448" s="43"/>
      <c r="P448" s="43"/>
      <c r="Q448" s="43"/>
      <c r="R448" s="43"/>
      <c r="S448" s="43"/>
      <c r="T448" s="43"/>
      <c r="U448" s="43"/>
      <c r="V448" s="43"/>
      <c r="W448" s="43"/>
      <c r="X448" s="43"/>
      <c r="Y448" s="43"/>
      <c r="Z448" s="43"/>
      <c r="AA448" s="43"/>
      <c r="AB448" s="43"/>
      <c r="AC448" s="43"/>
      <c r="AD448" s="43"/>
      <c r="AE448" s="43"/>
      <c r="AF448" s="43"/>
      <c r="AG448" s="43"/>
      <c r="AH448" s="43"/>
      <c r="AI448" s="43"/>
      <c r="AJ448" s="43"/>
      <c r="AK448" s="43"/>
      <c r="AL448" s="43"/>
      <c r="AM448" s="43"/>
      <c r="AN448" s="43"/>
      <c r="AO448" s="43"/>
      <c r="AP448" s="43"/>
      <c r="AQ448" s="43"/>
      <c r="AR448" s="43"/>
      <c r="AS448" s="43"/>
      <c r="AT448" s="43"/>
      <c r="AU448" s="43"/>
      <c r="AV448" s="43"/>
      <c r="AW448" s="43"/>
      <c r="AX448" s="43"/>
      <c r="AY448" s="43"/>
      <c r="AZ448" s="43"/>
      <c r="BA448" s="43"/>
      <c r="BB448" s="43"/>
      <c r="BC448" s="43"/>
      <c r="BD448" s="43"/>
      <c r="BE448" s="43"/>
      <c r="BF448" s="43"/>
      <c r="BG448" s="43"/>
      <c r="BH448" s="43"/>
      <c r="BI448" s="43"/>
      <c r="BJ448" s="43"/>
      <c r="BK448" s="43"/>
      <c r="BL448" s="43"/>
      <c r="BM448" s="43"/>
      <c r="BN448" s="43"/>
      <c r="BO448" s="43"/>
      <c r="BP448" s="43"/>
      <c r="BQ448" s="43"/>
      <c r="BR448" s="43"/>
      <c r="BS448" s="43"/>
      <c r="BT448" s="43"/>
      <c r="BU448" s="43"/>
      <c r="BV448" s="43"/>
      <c r="BW448" s="43"/>
      <c r="BX448" s="43"/>
      <c r="BY448" s="43"/>
      <c r="BZ448" s="43"/>
      <c r="CA448" s="43"/>
      <c r="CB448" s="43"/>
      <c r="CC448" s="43"/>
      <c r="CD448" s="43"/>
      <c r="CE448" s="43"/>
      <c r="CF448" s="43"/>
      <c r="CG448" s="43"/>
      <c r="CH448" s="43"/>
      <c r="CI448" s="43"/>
      <c r="CJ448" s="43"/>
      <c r="CK448" s="43"/>
      <c r="CL448" s="43"/>
      <c r="CM448" s="43"/>
      <c r="CN448" s="43"/>
      <c r="CO448" s="43"/>
      <c r="CP448" s="43"/>
      <c r="CQ448" s="43"/>
      <c r="CR448" s="43"/>
      <c r="CS448" s="43"/>
      <c r="CT448" s="43"/>
      <c r="CU448" s="43"/>
      <c r="CV448" s="43"/>
      <c r="CW448" s="43"/>
      <c r="CX448" s="43"/>
      <c r="CY448" s="43"/>
      <c r="CZ448" s="43"/>
      <c r="DA448" s="43"/>
      <c r="DB448" s="43"/>
      <c r="DC448" s="43"/>
      <c r="DD448" s="43"/>
      <c r="DE448" s="43"/>
      <c r="DF448" s="43"/>
      <c r="DG448" s="43"/>
      <c r="DH448" s="43"/>
      <c r="DI448" s="43"/>
      <c r="DJ448" s="43"/>
      <c r="DK448" s="43"/>
      <c r="DL448" s="43"/>
      <c r="DM448" s="43"/>
      <c r="DN448" s="43"/>
      <c r="DO448" s="43"/>
      <c r="DP448" s="43"/>
      <c r="DQ448" s="43"/>
      <c r="DR448" s="43"/>
      <c r="DS448" s="43"/>
    </row>
    <row r="449" spans="1:123" ht="14.45">
      <c r="A449"/>
      <c r="B449"/>
      <c r="C449"/>
      <c r="D449"/>
      <c r="E449"/>
      <c r="F449"/>
      <c r="G449"/>
      <c r="H449"/>
      <c r="I449"/>
      <c r="J449"/>
      <c r="K449" s="43"/>
      <c r="L449" s="43"/>
      <c r="M449" s="43"/>
      <c r="N449" s="43"/>
      <c r="O449" s="43"/>
      <c r="P449" s="43"/>
      <c r="Q449" s="43"/>
      <c r="R449" s="43"/>
      <c r="S449" s="43"/>
      <c r="T449" s="43"/>
      <c r="U449" s="43"/>
      <c r="V449" s="43"/>
      <c r="W449" s="43"/>
      <c r="X449" s="43"/>
      <c r="Y449" s="43"/>
      <c r="Z449" s="43"/>
      <c r="AA449" s="43"/>
      <c r="AB449" s="43"/>
      <c r="AC449" s="43"/>
      <c r="AD449" s="43"/>
      <c r="AE449" s="43"/>
      <c r="AF449" s="43"/>
      <c r="AG449" s="43"/>
      <c r="AH449" s="43"/>
      <c r="AI449" s="43"/>
      <c r="AJ449" s="43"/>
      <c r="AK449" s="43"/>
      <c r="AL449" s="43"/>
      <c r="AM449" s="43"/>
      <c r="AN449" s="43"/>
      <c r="AO449" s="43"/>
      <c r="AP449" s="43"/>
      <c r="AQ449" s="43"/>
      <c r="AR449" s="43"/>
      <c r="AS449" s="43"/>
      <c r="AT449" s="43"/>
      <c r="AU449" s="43"/>
      <c r="AV449" s="43"/>
      <c r="AW449" s="43"/>
      <c r="AX449" s="43"/>
      <c r="AY449" s="43"/>
      <c r="AZ449" s="43"/>
      <c r="BA449" s="43"/>
      <c r="BB449" s="43"/>
      <c r="BC449" s="43"/>
      <c r="BD449" s="43"/>
      <c r="BE449" s="43"/>
      <c r="BF449" s="43"/>
      <c r="BG449" s="43"/>
      <c r="BH449" s="43"/>
      <c r="BI449" s="43"/>
      <c r="BJ449" s="43"/>
      <c r="BK449" s="43"/>
      <c r="BL449" s="43"/>
      <c r="BM449" s="43"/>
      <c r="BN449" s="43"/>
      <c r="BO449" s="43"/>
      <c r="BP449" s="43"/>
      <c r="BQ449" s="43"/>
      <c r="BR449" s="43"/>
      <c r="BS449" s="43"/>
      <c r="BT449" s="43"/>
      <c r="BU449" s="43"/>
      <c r="BV449" s="43"/>
      <c r="BW449" s="43"/>
      <c r="BX449" s="43"/>
      <c r="BY449" s="43"/>
      <c r="BZ449" s="43"/>
      <c r="CA449" s="43"/>
      <c r="CB449" s="43"/>
      <c r="CC449" s="43"/>
      <c r="CD449" s="43"/>
      <c r="CE449" s="43"/>
      <c r="CF449" s="43"/>
      <c r="CG449" s="43"/>
      <c r="CH449" s="43"/>
      <c r="CI449" s="43"/>
      <c r="CJ449" s="43"/>
      <c r="CK449" s="43"/>
      <c r="CL449" s="43"/>
      <c r="CM449" s="43"/>
      <c r="CN449" s="43"/>
      <c r="CO449" s="43"/>
      <c r="CP449" s="43"/>
      <c r="CQ449" s="43"/>
      <c r="CR449" s="43"/>
      <c r="CS449" s="43"/>
      <c r="CT449" s="43"/>
      <c r="CU449" s="43"/>
      <c r="CV449" s="43"/>
      <c r="CW449" s="43"/>
      <c r="CX449" s="43"/>
      <c r="CY449" s="43"/>
      <c r="CZ449" s="43"/>
      <c r="DA449" s="43"/>
      <c r="DB449" s="43"/>
      <c r="DC449" s="43"/>
      <c r="DD449" s="43"/>
      <c r="DE449" s="43"/>
      <c r="DF449" s="43"/>
      <c r="DG449" s="43"/>
      <c r="DH449" s="43"/>
      <c r="DI449" s="43"/>
      <c r="DJ449" s="43"/>
      <c r="DK449" s="43"/>
      <c r="DL449" s="43"/>
      <c r="DM449" s="43"/>
      <c r="DN449" s="43"/>
      <c r="DO449" s="43"/>
      <c r="DP449" s="43"/>
      <c r="DQ449" s="43"/>
      <c r="DR449" s="43"/>
      <c r="DS449" s="43"/>
    </row>
    <row r="450" spans="1:123" ht="14.45">
      <c r="A450"/>
      <c r="B450"/>
      <c r="C450"/>
      <c r="D450"/>
      <c r="E450"/>
      <c r="F450"/>
      <c r="G450"/>
      <c r="H450"/>
      <c r="I450"/>
      <c r="J450"/>
      <c r="K450" s="43"/>
      <c r="L450" s="43"/>
      <c r="M450" s="43"/>
      <c r="N450" s="43"/>
      <c r="O450" s="43"/>
      <c r="P450" s="43"/>
      <c r="Q450" s="43"/>
      <c r="R450" s="43"/>
      <c r="S450" s="43"/>
      <c r="T450" s="43"/>
      <c r="U450" s="43"/>
      <c r="V450" s="43"/>
      <c r="W450" s="43"/>
      <c r="X450" s="43"/>
      <c r="Y450" s="43"/>
      <c r="Z450" s="43"/>
      <c r="AA450" s="43"/>
      <c r="AB450" s="43"/>
      <c r="AC450" s="43"/>
      <c r="AD450" s="43"/>
      <c r="AE450" s="43"/>
      <c r="AF450" s="43"/>
      <c r="AG450" s="43"/>
      <c r="AH450" s="43"/>
      <c r="AI450" s="43"/>
      <c r="AJ450" s="43"/>
      <c r="AK450" s="43"/>
      <c r="AL450" s="43"/>
      <c r="AM450" s="43"/>
      <c r="AN450" s="43"/>
      <c r="AO450" s="43"/>
      <c r="AP450" s="43"/>
      <c r="AQ450" s="43"/>
      <c r="AR450" s="43"/>
      <c r="AS450" s="43"/>
      <c r="AT450" s="43"/>
      <c r="AU450" s="43"/>
      <c r="AV450" s="43"/>
      <c r="AW450" s="43"/>
      <c r="AX450" s="43"/>
      <c r="AY450" s="43"/>
      <c r="AZ450" s="43"/>
      <c r="BA450" s="43"/>
      <c r="BB450" s="43"/>
      <c r="BC450" s="43"/>
      <c r="BD450" s="43"/>
      <c r="BE450" s="43"/>
      <c r="BF450" s="43"/>
      <c r="BG450" s="43"/>
      <c r="BH450" s="43"/>
      <c r="BI450" s="43"/>
      <c r="BJ450" s="43"/>
      <c r="BK450" s="43"/>
      <c r="BL450" s="43"/>
      <c r="BM450" s="43"/>
      <c r="BN450" s="43"/>
      <c r="BO450" s="43"/>
      <c r="BP450" s="43"/>
      <c r="BQ450" s="43"/>
      <c r="BR450" s="43"/>
      <c r="BS450" s="43"/>
      <c r="BT450" s="43"/>
      <c r="BU450" s="43"/>
      <c r="BV450" s="43"/>
      <c r="BW450" s="43"/>
      <c r="BX450" s="43"/>
      <c r="BY450" s="43"/>
      <c r="BZ450" s="43"/>
      <c r="CA450" s="43"/>
      <c r="CB450" s="43"/>
      <c r="CC450" s="43"/>
      <c r="CD450" s="43"/>
      <c r="CE450" s="43"/>
      <c r="CF450" s="43"/>
      <c r="CG450" s="43"/>
      <c r="CH450" s="43"/>
      <c r="CI450" s="43"/>
      <c r="CJ450" s="43"/>
      <c r="CK450" s="43"/>
      <c r="CL450" s="43"/>
      <c r="CM450" s="43"/>
      <c r="CN450" s="43"/>
      <c r="CO450" s="43"/>
      <c r="CP450" s="43"/>
      <c r="CQ450" s="43"/>
      <c r="CR450" s="43"/>
      <c r="CS450" s="43"/>
      <c r="CT450" s="43"/>
      <c r="CU450" s="43"/>
      <c r="CV450" s="43"/>
      <c r="CW450" s="43"/>
      <c r="CX450" s="43"/>
      <c r="CY450" s="43"/>
      <c r="CZ450" s="43"/>
      <c r="DA450" s="43"/>
      <c r="DB450" s="43"/>
      <c r="DC450" s="43"/>
      <c r="DD450" s="43"/>
      <c r="DE450" s="43"/>
      <c r="DF450" s="43"/>
      <c r="DG450" s="43"/>
      <c r="DH450" s="43"/>
      <c r="DI450" s="43"/>
      <c r="DJ450" s="43"/>
      <c r="DK450" s="43"/>
      <c r="DL450" s="43"/>
      <c r="DM450" s="43"/>
      <c r="DN450" s="43"/>
      <c r="DO450" s="43"/>
      <c r="DP450" s="43"/>
      <c r="DQ450" s="43"/>
      <c r="DR450" s="43"/>
      <c r="DS450" s="43"/>
    </row>
    <row r="451" spans="1:123" ht="14.45">
      <c r="A451"/>
      <c r="B451"/>
      <c r="C451"/>
      <c r="D451"/>
      <c r="E451"/>
      <c r="F451"/>
      <c r="G451"/>
      <c r="H451"/>
      <c r="I451"/>
      <c r="J451"/>
      <c r="K451" s="43"/>
      <c r="L451" s="43"/>
      <c r="M451" s="43"/>
      <c r="N451" s="43"/>
      <c r="O451" s="43"/>
      <c r="P451" s="43"/>
      <c r="Q451" s="43"/>
      <c r="R451" s="43"/>
      <c r="S451" s="43"/>
      <c r="T451" s="43"/>
      <c r="U451" s="43"/>
      <c r="V451" s="43"/>
      <c r="W451" s="43"/>
      <c r="X451" s="43"/>
      <c r="Y451" s="43"/>
      <c r="Z451" s="43"/>
      <c r="AA451" s="43"/>
      <c r="AB451" s="43"/>
      <c r="AC451" s="43"/>
      <c r="AD451" s="43"/>
      <c r="AE451" s="43"/>
      <c r="AF451" s="43"/>
      <c r="AG451" s="43"/>
      <c r="AH451" s="43"/>
      <c r="AI451" s="43"/>
      <c r="AJ451" s="43"/>
      <c r="AK451" s="43"/>
      <c r="AL451" s="43"/>
      <c r="AM451" s="43"/>
      <c r="AN451" s="43"/>
      <c r="AO451" s="43"/>
      <c r="AP451" s="43"/>
      <c r="AQ451" s="43"/>
      <c r="AR451" s="43"/>
      <c r="AS451" s="43"/>
      <c r="AT451" s="43"/>
      <c r="AU451" s="43"/>
      <c r="AV451" s="43"/>
      <c r="AW451" s="43"/>
      <c r="AX451" s="43"/>
      <c r="AY451" s="43"/>
      <c r="AZ451" s="43"/>
      <c r="BA451" s="43"/>
      <c r="BB451" s="43"/>
      <c r="BC451" s="43"/>
      <c r="BD451" s="43"/>
      <c r="BE451" s="43"/>
      <c r="BF451" s="43"/>
      <c r="BG451" s="43"/>
      <c r="BH451" s="43"/>
      <c r="BI451" s="43"/>
      <c r="BJ451" s="43"/>
      <c r="BK451" s="43"/>
      <c r="BL451" s="43"/>
      <c r="BM451" s="43"/>
      <c r="BN451" s="43"/>
      <c r="BO451" s="43"/>
      <c r="BP451" s="43"/>
      <c r="BQ451" s="43"/>
      <c r="BR451" s="43"/>
      <c r="BS451" s="43"/>
      <c r="BT451" s="43"/>
      <c r="BU451" s="43"/>
      <c r="BV451" s="43"/>
      <c r="BW451" s="43"/>
      <c r="BX451" s="43"/>
      <c r="BY451" s="43"/>
      <c r="BZ451" s="43"/>
      <c r="CA451" s="43"/>
      <c r="CB451" s="43"/>
      <c r="CC451" s="43"/>
      <c r="CD451" s="43"/>
      <c r="CE451" s="43"/>
      <c r="CF451" s="43"/>
      <c r="CG451" s="43"/>
      <c r="CH451" s="43"/>
      <c r="CI451" s="43"/>
      <c r="CJ451" s="43"/>
      <c r="CK451" s="43"/>
      <c r="CL451" s="43"/>
      <c r="CM451" s="43"/>
      <c r="CN451" s="43"/>
      <c r="CO451" s="43"/>
      <c r="CP451" s="43"/>
      <c r="CQ451" s="43"/>
      <c r="CR451" s="43"/>
      <c r="CS451" s="43"/>
      <c r="CT451" s="43"/>
      <c r="CU451" s="43"/>
      <c r="CV451" s="43"/>
      <c r="CW451" s="43"/>
      <c r="CX451" s="43"/>
      <c r="CY451" s="43"/>
      <c r="CZ451" s="43"/>
      <c r="DA451" s="43"/>
      <c r="DB451" s="43"/>
      <c r="DC451" s="43"/>
      <c r="DD451" s="43"/>
      <c r="DE451" s="43"/>
      <c r="DF451" s="43"/>
      <c r="DG451" s="43"/>
      <c r="DH451" s="43"/>
      <c r="DI451" s="43"/>
      <c r="DJ451" s="43"/>
      <c r="DK451" s="43"/>
      <c r="DL451" s="43"/>
      <c r="DM451" s="43"/>
      <c r="DN451" s="43"/>
      <c r="DO451" s="43"/>
      <c r="DP451" s="43"/>
      <c r="DQ451" s="43"/>
      <c r="DR451" s="43"/>
      <c r="DS451" s="43"/>
    </row>
    <row r="452" spans="1:123" ht="14.45">
      <c r="A452"/>
      <c r="B452"/>
      <c r="C452"/>
      <c r="D452"/>
      <c r="E452"/>
      <c r="F452"/>
      <c r="G452"/>
      <c r="H452"/>
      <c r="I452"/>
      <c r="J452"/>
      <c r="K452" s="43"/>
      <c r="L452" s="43"/>
      <c r="M452" s="43"/>
      <c r="N452" s="43"/>
      <c r="O452" s="43"/>
      <c r="P452" s="43"/>
      <c r="Q452" s="43"/>
      <c r="R452" s="43"/>
      <c r="S452" s="43"/>
      <c r="T452" s="43"/>
      <c r="U452" s="43"/>
      <c r="V452" s="43"/>
      <c r="W452" s="43"/>
      <c r="X452" s="43"/>
      <c r="Y452" s="43"/>
      <c r="Z452" s="43"/>
      <c r="AA452" s="43"/>
      <c r="AB452" s="43"/>
      <c r="AC452" s="43"/>
      <c r="AD452" s="43"/>
      <c r="AE452" s="43"/>
      <c r="AF452" s="43"/>
      <c r="AG452" s="43"/>
      <c r="AH452" s="43"/>
      <c r="AI452" s="43"/>
      <c r="AJ452" s="43"/>
      <c r="AK452" s="43"/>
      <c r="AL452" s="43"/>
      <c r="AM452" s="43"/>
      <c r="AN452" s="43"/>
      <c r="AO452" s="43"/>
      <c r="AP452" s="43"/>
      <c r="AQ452" s="43"/>
      <c r="AR452" s="43"/>
      <c r="AS452" s="43"/>
      <c r="AT452" s="43"/>
      <c r="AU452" s="43"/>
      <c r="AV452" s="43"/>
      <c r="AW452" s="43"/>
      <c r="AX452" s="43"/>
      <c r="AY452" s="43"/>
      <c r="AZ452" s="43"/>
      <c r="BA452" s="43"/>
      <c r="BB452" s="43"/>
      <c r="BC452" s="43"/>
      <c r="BD452" s="43"/>
      <c r="BE452" s="43"/>
      <c r="BF452" s="43"/>
      <c r="BG452" s="43"/>
      <c r="BH452" s="43"/>
      <c r="BI452" s="43"/>
      <c r="BJ452" s="43"/>
      <c r="BK452" s="43"/>
      <c r="BL452" s="43"/>
      <c r="BM452" s="43"/>
      <c r="BN452" s="43"/>
      <c r="BO452" s="43"/>
      <c r="BP452" s="43"/>
      <c r="BQ452" s="43"/>
      <c r="BR452" s="43"/>
      <c r="BS452" s="43"/>
      <c r="BT452" s="43"/>
      <c r="BU452" s="43"/>
      <c r="BV452" s="43"/>
      <c r="BW452" s="43"/>
      <c r="BX452" s="43"/>
      <c r="BY452" s="43"/>
      <c r="BZ452" s="43"/>
      <c r="CA452" s="43"/>
      <c r="CB452" s="43"/>
      <c r="CC452" s="43"/>
      <c r="CD452" s="43"/>
      <c r="CE452" s="43"/>
      <c r="CF452" s="43"/>
      <c r="CG452" s="43"/>
      <c r="CH452" s="43"/>
      <c r="CI452" s="43"/>
      <c r="CJ452" s="43"/>
      <c r="CK452" s="43"/>
      <c r="CL452" s="43"/>
      <c r="CM452" s="43"/>
      <c r="CN452" s="43"/>
      <c r="CO452" s="43"/>
      <c r="CP452" s="43"/>
      <c r="CQ452" s="43"/>
      <c r="CR452" s="43"/>
      <c r="CS452" s="43"/>
      <c r="CT452" s="43"/>
      <c r="CU452" s="43"/>
      <c r="CV452" s="43"/>
      <c r="CW452" s="43"/>
      <c r="CX452" s="43"/>
      <c r="CY452" s="43"/>
      <c r="CZ452" s="43"/>
      <c r="DA452" s="43"/>
      <c r="DB452" s="43"/>
      <c r="DC452" s="43"/>
      <c r="DD452" s="43"/>
      <c r="DE452" s="43"/>
      <c r="DF452" s="43"/>
      <c r="DG452" s="43"/>
      <c r="DH452" s="43"/>
      <c r="DI452" s="43"/>
      <c r="DJ452" s="43"/>
      <c r="DK452" s="43"/>
      <c r="DL452" s="43"/>
      <c r="DM452" s="43"/>
      <c r="DN452" s="43"/>
      <c r="DO452" s="43"/>
      <c r="DP452" s="43"/>
      <c r="DQ452" s="43"/>
      <c r="DR452" s="43"/>
      <c r="DS452" s="43"/>
    </row>
    <row r="453" spans="1:123" ht="14.45">
      <c r="A453"/>
      <c r="B453"/>
      <c r="C453"/>
      <c r="D453"/>
      <c r="E453"/>
      <c r="F453"/>
      <c r="G453"/>
      <c r="H453"/>
      <c r="I453"/>
      <c r="J453"/>
      <c r="K453" s="43"/>
      <c r="L453" s="43"/>
      <c r="M453" s="43"/>
      <c r="N453" s="43"/>
      <c r="O453" s="43"/>
      <c r="P453" s="43"/>
      <c r="Q453" s="43"/>
      <c r="R453" s="43"/>
      <c r="S453" s="43"/>
      <c r="T453" s="43"/>
      <c r="U453" s="43"/>
      <c r="V453" s="43"/>
      <c r="W453" s="43"/>
      <c r="X453" s="43"/>
      <c r="Y453" s="43"/>
      <c r="Z453" s="43"/>
      <c r="AA453" s="43"/>
      <c r="AB453" s="43"/>
      <c r="AC453" s="43"/>
      <c r="AD453" s="43"/>
      <c r="AE453" s="43"/>
      <c r="AF453" s="43"/>
      <c r="AG453" s="43"/>
      <c r="AH453" s="43"/>
      <c r="AI453" s="43"/>
      <c r="AJ453" s="43"/>
      <c r="AK453" s="43"/>
      <c r="AL453" s="43"/>
      <c r="AM453" s="43"/>
      <c r="AN453" s="43"/>
      <c r="AO453" s="43"/>
      <c r="AP453" s="43"/>
      <c r="AQ453" s="43"/>
      <c r="AR453" s="43"/>
      <c r="AS453" s="43"/>
      <c r="AT453" s="43"/>
      <c r="AU453" s="43"/>
      <c r="AV453" s="43"/>
      <c r="AW453" s="43"/>
      <c r="AX453" s="43"/>
      <c r="AY453" s="43"/>
      <c r="AZ453" s="43"/>
      <c r="BA453" s="43"/>
      <c r="BB453" s="43"/>
      <c r="BC453" s="43"/>
      <c r="BD453" s="43"/>
      <c r="BE453" s="43"/>
      <c r="BF453" s="43"/>
      <c r="BG453" s="43"/>
      <c r="BH453" s="43"/>
      <c r="BI453" s="43"/>
      <c r="BJ453" s="43"/>
      <c r="BK453" s="43"/>
      <c r="BL453" s="43"/>
      <c r="BM453" s="43"/>
      <c r="BN453" s="43"/>
      <c r="BO453" s="43"/>
      <c r="BP453" s="43"/>
      <c r="BQ453" s="43"/>
      <c r="BR453" s="43"/>
      <c r="BS453" s="43"/>
      <c r="BT453" s="43"/>
      <c r="BU453" s="43"/>
      <c r="BV453" s="43"/>
      <c r="BW453" s="43"/>
      <c r="BX453" s="43"/>
      <c r="BY453" s="43"/>
      <c r="BZ453" s="43"/>
      <c r="CA453" s="43"/>
      <c r="CB453" s="43"/>
      <c r="CC453" s="43"/>
      <c r="CD453" s="43"/>
      <c r="CE453" s="43"/>
      <c r="CF453" s="43"/>
      <c r="CG453" s="43"/>
      <c r="CH453" s="43"/>
      <c r="CI453" s="43"/>
      <c r="CJ453" s="43"/>
      <c r="CK453" s="43"/>
      <c r="CL453" s="43"/>
      <c r="CM453" s="43"/>
      <c r="CN453" s="43"/>
      <c r="CO453" s="43"/>
      <c r="CP453" s="43"/>
      <c r="CQ453" s="43"/>
      <c r="CR453" s="43"/>
      <c r="CS453" s="43"/>
      <c r="CT453" s="43"/>
      <c r="CU453" s="43"/>
      <c r="CV453" s="43"/>
      <c r="CW453" s="43"/>
      <c r="CX453" s="43"/>
      <c r="CY453" s="43"/>
      <c r="CZ453" s="43"/>
      <c r="DA453" s="43"/>
      <c r="DB453" s="43"/>
      <c r="DC453" s="43"/>
      <c r="DD453" s="43"/>
      <c r="DE453" s="43"/>
      <c r="DF453" s="43"/>
      <c r="DG453" s="43"/>
      <c r="DH453" s="43"/>
      <c r="DI453" s="43"/>
      <c r="DJ453" s="43"/>
      <c r="DK453" s="43"/>
      <c r="DL453" s="43"/>
      <c r="DM453" s="43"/>
      <c r="DN453" s="43"/>
      <c r="DO453" s="43"/>
      <c r="DP453" s="43"/>
      <c r="DQ453" s="43"/>
      <c r="DR453" s="43"/>
      <c r="DS453" s="43"/>
    </row>
    <row r="454" spans="1:123" ht="14.45">
      <c r="A454"/>
      <c r="B454"/>
      <c r="C454"/>
      <c r="D454"/>
      <c r="E454"/>
      <c r="F454"/>
      <c r="G454"/>
      <c r="H454"/>
      <c r="I454"/>
      <c r="J454"/>
      <c r="K454" s="43"/>
      <c r="L454" s="43"/>
      <c r="M454" s="43"/>
      <c r="N454" s="43"/>
      <c r="O454" s="43"/>
      <c r="P454" s="43"/>
      <c r="Q454" s="43"/>
      <c r="R454" s="43"/>
      <c r="S454" s="43"/>
      <c r="T454" s="43"/>
      <c r="U454" s="43"/>
      <c r="V454" s="43"/>
      <c r="W454" s="43"/>
      <c r="X454" s="43"/>
      <c r="Y454" s="43"/>
      <c r="Z454" s="43"/>
      <c r="AA454" s="43"/>
      <c r="AB454" s="43"/>
      <c r="AC454" s="43"/>
      <c r="AD454" s="43"/>
      <c r="AE454" s="43"/>
      <c r="AF454" s="43"/>
      <c r="AG454" s="43"/>
      <c r="AH454" s="43"/>
      <c r="AI454" s="43"/>
      <c r="AJ454" s="43"/>
      <c r="AK454" s="43"/>
      <c r="AL454" s="43"/>
      <c r="AM454" s="43"/>
      <c r="AN454" s="43"/>
      <c r="AO454" s="43"/>
      <c r="AP454" s="43"/>
      <c r="AQ454" s="43"/>
      <c r="AR454" s="43"/>
      <c r="AS454" s="43"/>
      <c r="AT454" s="43"/>
      <c r="AU454" s="43"/>
      <c r="AV454" s="43"/>
      <c r="AW454" s="43"/>
      <c r="AX454" s="43"/>
      <c r="AY454" s="43"/>
      <c r="AZ454" s="43"/>
      <c r="BA454" s="43"/>
      <c r="BB454" s="43"/>
      <c r="BC454" s="43"/>
      <c r="BD454" s="43"/>
      <c r="BE454" s="43"/>
      <c r="BF454" s="43"/>
      <c r="BG454" s="43"/>
      <c r="BH454" s="43"/>
      <c r="BI454" s="43"/>
      <c r="BJ454" s="43"/>
      <c r="BK454" s="43"/>
      <c r="BL454" s="43"/>
      <c r="BM454" s="43"/>
      <c r="BN454" s="43"/>
      <c r="BO454" s="43"/>
      <c r="BP454" s="43"/>
      <c r="BQ454" s="43"/>
      <c r="BR454" s="43"/>
      <c r="BS454" s="43"/>
      <c r="BT454" s="43"/>
      <c r="BU454" s="43"/>
      <c r="BV454" s="43"/>
      <c r="BW454" s="43"/>
      <c r="BX454" s="43"/>
      <c r="BY454" s="43"/>
      <c r="BZ454" s="43"/>
      <c r="CA454" s="43"/>
      <c r="CB454" s="43"/>
      <c r="CC454" s="43"/>
      <c r="CD454" s="43"/>
      <c r="CE454" s="43"/>
      <c r="CF454" s="43"/>
      <c r="CG454" s="43"/>
      <c r="CH454" s="43"/>
      <c r="CI454" s="43"/>
      <c r="CJ454" s="43"/>
      <c r="CK454" s="43"/>
      <c r="CL454" s="43"/>
      <c r="CM454" s="43"/>
      <c r="CN454" s="43"/>
      <c r="CO454" s="43"/>
      <c r="CP454" s="43"/>
      <c r="CQ454" s="43"/>
      <c r="CR454" s="43"/>
      <c r="CS454" s="43"/>
      <c r="CT454" s="43"/>
      <c r="CU454" s="43"/>
      <c r="CV454" s="43"/>
      <c r="CW454" s="43"/>
      <c r="CX454" s="43"/>
      <c r="CY454" s="43"/>
      <c r="CZ454" s="43"/>
      <c r="DA454" s="43"/>
      <c r="DB454" s="43"/>
      <c r="DC454" s="43"/>
      <c r="DD454" s="43"/>
      <c r="DE454" s="43"/>
      <c r="DF454" s="43"/>
      <c r="DG454" s="43"/>
      <c r="DH454" s="43"/>
      <c r="DI454" s="43"/>
      <c r="DJ454" s="43"/>
      <c r="DK454" s="43"/>
      <c r="DL454" s="43"/>
      <c r="DM454" s="43"/>
      <c r="DN454" s="43"/>
      <c r="DO454" s="43"/>
      <c r="DP454" s="43"/>
      <c r="DQ454" s="43"/>
      <c r="DR454" s="43"/>
      <c r="DS454" s="43"/>
    </row>
    <row r="455" spans="1:123" ht="14.45">
      <c r="A455"/>
      <c r="B455"/>
      <c r="C455"/>
      <c r="D455"/>
      <c r="E455"/>
      <c r="F455"/>
      <c r="G455"/>
      <c r="H455"/>
      <c r="I455"/>
      <c r="J455"/>
      <c r="K455" s="43"/>
      <c r="L455" s="43"/>
      <c r="M455" s="43"/>
      <c r="N455" s="43"/>
      <c r="O455" s="43"/>
      <c r="P455" s="43"/>
      <c r="Q455" s="43"/>
      <c r="R455" s="43"/>
      <c r="S455" s="43"/>
      <c r="T455" s="43"/>
      <c r="U455" s="43"/>
      <c r="V455" s="43"/>
      <c r="W455" s="43"/>
      <c r="X455" s="43"/>
      <c r="Y455" s="43"/>
      <c r="Z455" s="43"/>
      <c r="AA455" s="43"/>
      <c r="AB455" s="43"/>
      <c r="AC455" s="43"/>
      <c r="AD455" s="43"/>
      <c r="AE455" s="43"/>
      <c r="AF455" s="43"/>
      <c r="AG455" s="43"/>
      <c r="AH455" s="43"/>
      <c r="AI455" s="43"/>
      <c r="AJ455" s="43"/>
      <c r="AK455" s="43"/>
      <c r="AL455" s="43"/>
      <c r="AM455" s="43"/>
      <c r="AN455" s="43"/>
      <c r="AO455" s="43"/>
      <c r="AP455" s="43"/>
      <c r="AQ455" s="43"/>
      <c r="AR455" s="43"/>
      <c r="AS455" s="43"/>
      <c r="AT455" s="43"/>
      <c r="AU455" s="43"/>
      <c r="AV455" s="43"/>
      <c r="AW455" s="43"/>
      <c r="AX455" s="43"/>
      <c r="AY455" s="43"/>
      <c r="AZ455" s="43"/>
      <c r="BA455" s="43"/>
      <c r="BB455" s="43"/>
      <c r="BC455" s="43"/>
      <c r="BD455" s="43"/>
      <c r="BE455" s="43"/>
      <c r="BF455" s="43"/>
      <c r="BG455" s="43"/>
      <c r="BH455" s="43"/>
      <c r="BI455" s="43"/>
      <c r="BJ455" s="43"/>
      <c r="BK455" s="43"/>
      <c r="BL455" s="43"/>
      <c r="BM455" s="43"/>
      <c r="BN455" s="43"/>
      <c r="BO455" s="43"/>
      <c r="BP455" s="43"/>
      <c r="BQ455" s="43"/>
      <c r="BR455" s="43"/>
      <c r="BS455" s="43"/>
      <c r="BT455" s="43"/>
      <c r="BU455" s="43"/>
      <c r="BV455" s="43"/>
      <c r="BW455" s="43"/>
      <c r="BX455" s="43"/>
      <c r="BY455" s="43"/>
      <c r="BZ455" s="43"/>
      <c r="CA455" s="43"/>
      <c r="CB455" s="43"/>
      <c r="CC455" s="43"/>
      <c r="CD455" s="43"/>
      <c r="CE455" s="43"/>
      <c r="CF455" s="43"/>
      <c r="CG455" s="43"/>
      <c r="CH455" s="43"/>
      <c r="CI455" s="43"/>
      <c r="CJ455" s="43"/>
      <c r="CK455" s="43"/>
      <c r="CL455" s="43"/>
      <c r="CM455" s="43"/>
      <c r="CN455" s="43"/>
      <c r="CO455" s="43"/>
      <c r="CP455" s="43"/>
      <c r="CQ455" s="43"/>
      <c r="CR455" s="43"/>
      <c r="CS455" s="43"/>
      <c r="CT455" s="43"/>
      <c r="CU455" s="43"/>
      <c r="CV455" s="43"/>
      <c r="CW455" s="43"/>
      <c r="CX455" s="43"/>
      <c r="CY455" s="43"/>
      <c r="CZ455" s="43"/>
      <c r="DA455" s="43"/>
      <c r="DB455" s="43"/>
      <c r="DC455" s="43"/>
      <c r="DD455" s="43"/>
      <c r="DE455" s="43"/>
      <c r="DF455" s="43"/>
      <c r="DG455" s="43"/>
      <c r="DH455" s="43"/>
      <c r="DI455" s="43"/>
      <c r="DJ455" s="43"/>
      <c r="DK455" s="43"/>
      <c r="DL455" s="43"/>
      <c r="DM455" s="43"/>
      <c r="DN455" s="43"/>
      <c r="DO455" s="43"/>
      <c r="DP455" s="43"/>
      <c r="DQ455" s="43"/>
      <c r="DR455" s="43"/>
      <c r="DS455" s="43"/>
    </row>
    <row r="456" spans="1:123" ht="14.45">
      <c r="A456"/>
      <c r="B456"/>
      <c r="C456"/>
      <c r="D456"/>
      <c r="E456"/>
      <c r="F456"/>
      <c r="G456"/>
      <c r="H456"/>
      <c r="I456"/>
      <c r="J456"/>
      <c r="K456" s="43"/>
      <c r="L456" s="43"/>
      <c r="M456" s="43"/>
      <c r="N456" s="43"/>
      <c r="O456" s="43"/>
      <c r="P456" s="43"/>
      <c r="Q456" s="43"/>
      <c r="R456" s="43"/>
      <c r="S456" s="43"/>
      <c r="T456" s="43"/>
      <c r="U456" s="43"/>
      <c r="V456" s="43"/>
      <c r="W456" s="43"/>
      <c r="X456" s="43"/>
      <c r="Y456" s="43"/>
      <c r="Z456" s="43"/>
      <c r="AA456" s="43"/>
      <c r="AB456" s="43"/>
      <c r="AC456" s="43"/>
      <c r="AD456" s="43"/>
      <c r="AE456" s="43"/>
      <c r="AF456" s="43"/>
      <c r="AG456" s="43"/>
      <c r="AH456" s="43"/>
      <c r="AI456" s="43"/>
      <c r="AJ456" s="43"/>
      <c r="AK456" s="43"/>
      <c r="AL456" s="43"/>
      <c r="AM456" s="43"/>
      <c r="AN456" s="43"/>
      <c r="AO456" s="43"/>
      <c r="AP456" s="43"/>
      <c r="AQ456" s="43"/>
      <c r="AR456" s="43"/>
      <c r="AS456" s="43"/>
      <c r="AT456" s="43"/>
      <c r="AU456" s="43"/>
      <c r="AV456" s="43"/>
      <c r="AW456" s="43"/>
      <c r="AX456" s="43"/>
      <c r="AY456" s="43"/>
      <c r="AZ456" s="43"/>
      <c r="BA456" s="43"/>
      <c r="BB456" s="43"/>
      <c r="BC456" s="43"/>
      <c r="BD456" s="43"/>
      <c r="BE456" s="43"/>
      <c r="BF456" s="43"/>
      <c r="BG456" s="43"/>
      <c r="BH456" s="43"/>
      <c r="BI456" s="43"/>
      <c r="BJ456" s="43"/>
      <c r="BK456" s="43"/>
      <c r="BL456" s="43"/>
      <c r="BM456" s="43"/>
      <c r="BN456" s="43"/>
      <c r="BO456" s="43"/>
      <c r="BP456" s="43"/>
      <c r="BQ456" s="43"/>
      <c r="BR456" s="43"/>
      <c r="BS456" s="43"/>
      <c r="BT456" s="43"/>
      <c r="BU456" s="43"/>
      <c r="BV456" s="43"/>
      <c r="BW456" s="43"/>
      <c r="BX456" s="43"/>
      <c r="BY456" s="43"/>
      <c r="BZ456" s="43"/>
      <c r="CA456" s="43"/>
      <c r="CB456" s="43"/>
      <c r="CC456" s="43"/>
      <c r="CD456" s="43"/>
      <c r="CE456" s="43"/>
      <c r="CF456" s="43"/>
      <c r="CG456" s="43"/>
      <c r="CH456" s="43"/>
      <c r="CI456" s="43"/>
      <c r="CJ456" s="43"/>
      <c r="CK456" s="43"/>
      <c r="CL456" s="43"/>
      <c r="CM456" s="43"/>
      <c r="CN456" s="43"/>
      <c r="CO456" s="43"/>
      <c r="CP456" s="43"/>
      <c r="CQ456" s="43"/>
      <c r="CR456" s="43"/>
      <c r="CS456" s="43"/>
      <c r="CT456" s="43"/>
      <c r="CU456" s="43"/>
      <c r="CV456" s="43"/>
      <c r="CW456" s="43"/>
      <c r="CX456" s="43"/>
      <c r="CY456" s="43"/>
      <c r="CZ456" s="43"/>
      <c r="DA456" s="43"/>
      <c r="DB456" s="43"/>
      <c r="DC456" s="43"/>
      <c r="DD456" s="43"/>
      <c r="DE456" s="43"/>
      <c r="DF456" s="43"/>
      <c r="DG456" s="43"/>
      <c r="DH456" s="43"/>
      <c r="DI456" s="43"/>
      <c r="DJ456" s="43"/>
      <c r="DK456" s="43"/>
      <c r="DL456" s="43"/>
      <c r="DM456" s="43"/>
      <c r="DN456" s="43"/>
      <c r="DO456" s="43"/>
      <c r="DP456" s="43"/>
      <c r="DQ456" s="43"/>
      <c r="DR456" s="43"/>
      <c r="DS456" s="43"/>
    </row>
    <row r="457" spans="1:123" ht="14.45">
      <c r="A457"/>
      <c r="B457"/>
      <c r="C457"/>
      <c r="D457"/>
      <c r="E457"/>
      <c r="F457"/>
      <c r="G457"/>
      <c r="H457"/>
      <c r="I457"/>
      <c r="J457"/>
      <c r="K457" s="43"/>
      <c r="L457" s="43"/>
      <c r="M457" s="43"/>
      <c r="N457" s="43"/>
      <c r="O457" s="43"/>
      <c r="P457" s="43"/>
      <c r="Q457" s="43"/>
      <c r="R457" s="43"/>
      <c r="S457" s="43"/>
      <c r="T457" s="43"/>
      <c r="U457" s="43"/>
      <c r="V457" s="43"/>
      <c r="W457" s="43"/>
      <c r="X457" s="43"/>
      <c r="Y457" s="43"/>
      <c r="Z457" s="43"/>
      <c r="AA457" s="43"/>
      <c r="AB457" s="43"/>
      <c r="AC457" s="43"/>
      <c r="AD457" s="43"/>
      <c r="AE457" s="43"/>
      <c r="AF457" s="43"/>
      <c r="AG457" s="43"/>
      <c r="AH457" s="43"/>
      <c r="AI457" s="43"/>
      <c r="AJ457" s="43"/>
      <c r="AK457" s="43"/>
      <c r="AL457" s="43"/>
      <c r="AM457" s="43"/>
      <c r="AN457" s="43"/>
      <c r="AO457" s="43"/>
      <c r="AP457" s="43"/>
      <c r="AQ457" s="43"/>
      <c r="AR457" s="43"/>
      <c r="AS457" s="43"/>
      <c r="AT457" s="43"/>
      <c r="AU457" s="43"/>
      <c r="AV457" s="43"/>
      <c r="AW457" s="43"/>
      <c r="AX457" s="43"/>
      <c r="AY457" s="43"/>
      <c r="AZ457" s="43"/>
      <c r="BA457" s="43"/>
      <c r="BB457" s="43"/>
      <c r="BC457" s="43"/>
      <c r="BD457" s="43"/>
      <c r="BE457" s="43"/>
      <c r="BF457" s="43"/>
      <c r="BG457" s="43"/>
      <c r="BH457" s="43"/>
      <c r="BI457" s="43"/>
      <c r="BJ457" s="43"/>
      <c r="BK457" s="43"/>
      <c r="BL457" s="43"/>
      <c r="BM457" s="43"/>
      <c r="BN457" s="43"/>
      <c r="BO457" s="43"/>
      <c r="BP457" s="43"/>
      <c r="BQ457" s="43"/>
      <c r="BR457" s="43"/>
      <c r="BS457" s="43"/>
      <c r="BT457" s="43"/>
      <c r="BU457" s="43"/>
      <c r="BV457" s="43"/>
      <c r="BW457" s="43"/>
      <c r="BX457" s="43"/>
      <c r="BY457" s="43"/>
      <c r="BZ457" s="43"/>
      <c r="CA457" s="43"/>
      <c r="CB457" s="43"/>
      <c r="CC457" s="43"/>
      <c r="CD457" s="43"/>
      <c r="CE457" s="43"/>
      <c r="CF457" s="43"/>
      <c r="CG457" s="43"/>
      <c r="CH457" s="43"/>
      <c r="CI457" s="43"/>
      <c r="CJ457" s="43"/>
      <c r="CK457" s="43"/>
      <c r="CL457" s="43"/>
      <c r="CM457" s="43"/>
      <c r="CN457" s="43"/>
      <c r="CO457" s="43"/>
      <c r="CP457" s="43"/>
      <c r="CQ457" s="43"/>
      <c r="CR457" s="43"/>
      <c r="CS457" s="43"/>
      <c r="CT457" s="43"/>
      <c r="CU457" s="43"/>
      <c r="CV457" s="43"/>
      <c r="CW457" s="43"/>
      <c r="CX457" s="43"/>
      <c r="CY457" s="43"/>
      <c r="CZ457" s="43"/>
      <c r="DA457" s="43"/>
      <c r="DB457" s="43"/>
      <c r="DC457" s="43"/>
      <c r="DD457" s="43"/>
      <c r="DE457" s="43"/>
      <c r="DF457" s="43"/>
      <c r="DG457" s="43"/>
      <c r="DH457" s="43"/>
      <c r="DI457" s="43"/>
      <c r="DJ457" s="43"/>
      <c r="DK457" s="43"/>
      <c r="DL457" s="43"/>
      <c r="DM457" s="43"/>
      <c r="DN457" s="43"/>
      <c r="DO457" s="43"/>
      <c r="DP457" s="43"/>
      <c r="DQ457" s="43"/>
      <c r="DR457" s="43"/>
      <c r="DS457" s="43"/>
    </row>
    <row r="458" spans="1:123" ht="14.45">
      <c r="A458"/>
      <c r="B458"/>
      <c r="C458"/>
      <c r="D458"/>
      <c r="E458"/>
      <c r="F458"/>
      <c r="G458"/>
      <c r="H458"/>
      <c r="I458"/>
      <c r="J458"/>
      <c r="K458" s="43"/>
      <c r="L458" s="43"/>
      <c r="M458" s="43"/>
      <c r="N458" s="43"/>
      <c r="O458" s="43"/>
      <c r="P458" s="43"/>
      <c r="Q458" s="43"/>
      <c r="R458" s="43"/>
      <c r="S458" s="43"/>
      <c r="T458" s="43"/>
      <c r="U458" s="43"/>
      <c r="V458" s="43"/>
      <c r="W458" s="43"/>
      <c r="X458" s="43"/>
      <c r="Y458" s="43"/>
      <c r="Z458" s="43"/>
      <c r="AA458" s="43"/>
      <c r="AB458" s="43"/>
      <c r="AC458" s="43"/>
      <c r="AD458" s="43"/>
      <c r="AE458" s="43"/>
      <c r="AF458" s="43"/>
      <c r="AG458" s="43"/>
      <c r="AH458" s="43"/>
      <c r="AI458" s="43"/>
      <c r="AJ458" s="43"/>
      <c r="AK458" s="43"/>
      <c r="AL458" s="43"/>
      <c r="AM458" s="43"/>
      <c r="AN458" s="43"/>
      <c r="AO458" s="43"/>
      <c r="AP458" s="43"/>
      <c r="AQ458" s="43"/>
      <c r="AR458" s="43"/>
      <c r="AS458" s="43"/>
      <c r="AT458" s="43"/>
      <c r="AU458" s="43"/>
      <c r="AV458" s="43"/>
      <c r="AW458" s="43"/>
      <c r="AX458" s="43"/>
      <c r="AY458" s="43"/>
      <c r="AZ458" s="43"/>
      <c r="BA458" s="43"/>
      <c r="BB458" s="43"/>
      <c r="BC458" s="43"/>
      <c r="BD458" s="43"/>
      <c r="BE458" s="43"/>
      <c r="BF458" s="43"/>
      <c r="BG458" s="43"/>
      <c r="BH458" s="43"/>
      <c r="BI458" s="43"/>
      <c r="BJ458" s="43"/>
      <c r="BK458" s="43"/>
      <c r="BL458" s="43"/>
      <c r="BM458" s="43"/>
      <c r="BN458" s="43"/>
      <c r="BO458" s="43"/>
      <c r="BP458" s="43"/>
      <c r="BQ458" s="43"/>
      <c r="BR458" s="43"/>
      <c r="BS458" s="43"/>
      <c r="BT458" s="43"/>
      <c r="BU458" s="43"/>
      <c r="BV458" s="43"/>
      <c r="BW458" s="43"/>
      <c r="BX458" s="43"/>
      <c r="BY458" s="43"/>
      <c r="BZ458" s="43"/>
      <c r="CA458" s="43"/>
      <c r="CB458" s="43"/>
      <c r="CC458" s="43"/>
      <c r="CD458" s="43"/>
      <c r="CE458" s="43"/>
      <c r="CF458" s="43"/>
      <c r="CG458" s="43"/>
      <c r="CH458" s="43"/>
      <c r="CI458" s="43"/>
      <c r="CJ458" s="43"/>
      <c r="CK458" s="43"/>
      <c r="CL458" s="43"/>
      <c r="CM458" s="43"/>
      <c r="CN458" s="43"/>
      <c r="CO458" s="43"/>
      <c r="CP458" s="43"/>
      <c r="CQ458" s="43"/>
      <c r="CR458" s="43"/>
      <c r="CS458" s="43"/>
      <c r="CT458" s="43"/>
      <c r="CU458" s="43"/>
      <c r="CV458" s="43"/>
      <c r="CW458" s="43"/>
      <c r="CX458" s="43"/>
      <c r="CY458" s="43"/>
      <c r="CZ458" s="43"/>
      <c r="DA458" s="43"/>
      <c r="DB458" s="43"/>
      <c r="DC458" s="43"/>
      <c r="DD458" s="43"/>
      <c r="DE458" s="43"/>
      <c r="DF458" s="43"/>
      <c r="DG458" s="43"/>
      <c r="DH458" s="43"/>
      <c r="DI458" s="43"/>
      <c r="DJ458" s="43"/>
      <c r="DK458" s="43"/>
      <c r="DL458" s="43"/>
      <c r="DM458" s="43"/>
      <c r="DN458" s="43"/>
      <c r="DO458" s="43"/>
      <c r="DP458" s="43"/>
      <c r="DQ458" s="43"/>
      <c r="DR458" s="43"/>
      <c r="DS458" s="43"/>
    </row>
    <row r="459" spans="1:123" ht="14.45">
      <c r="A459"/>
      <c r="B459"/>
      <c r="C459"/>
      <c r="D459"/>
      <c r="E459"/>
      <c r="F459"/>
      <c r="G459"/>
      <c r="H459"/>
      <c r="I459"/>
      <c r="J459"/>
      <c r="K459" s="43"/>
      <c r="L459" s="43"/>
      <c r="M459" s="43"/>
      <c r="N459" s="43"/>
      <c r="O459" s="43"/>
      <c r="P459" s="43"/>
      <c r="Q459" s="43"/>
      <c r="R459" s="43"/>
      <c r="S459" s="43"/>
      <c r="T459" s="43"/>
      <c r="U459" s="43"/>
      <c r="V459" s="43"/>
      <c r="W459" s="43"/>
      <c r="X459" s="43"/>
      <c r="Y459" s="43"/>
      <c r="Z459" s="43"/>
      <c r="AA459" s="43"/>
      <c r="AB459" s="43"/>
      <c r="AC459" s="43"/>
      <c r="AD459" s="43"/>
      <c r="AE459" s="43"/>
      <c r="AF459" s="43"/>
      <c r="AG459" s="43"/>
      <c r="AH459" s="43"/>
      <c r="AI459" s="43"/>
      <c r="AJ459" s="43"/>
      <c r="AK459" s="43"/>
      <c r="AL459" s="43"/>
      <c r="AM459" s="43"/>
      <c r="AN459" s="43"/>
      <c r="AO459" s="43"/>
      <c r="AP459" s="43"/>
      <c r="AQ459" s="43"/>
      <c r="AR459" s="43"/>
      <c r="AS459" s="43"/>
      <c r="AT459" s="43"/>
      <c r="AU459" s="43"/>
      <c r="AV459" s="43"/>
      <c r="AW459" s="43"/>
      <c r="AX459" s="43"/>
      <c r="AY459" s="43"/>
      <c r="AZ459" s="43"/>
      <c r="BA459" s="43"/>
      <c r="BB459" s="43"/>
      <c r="BC459" s="43"/>
      <c r="BD459" s="43"/>
      <c r="BE459" s="43"/>
      <c r="BF459" s="43"/>
      <c r="BG459" s="43"/>
      <c r="BH459" s="43"/>
      <c r="BI459" s="43"/>
      <c r="BJ459" s="43"/>
      <c r="BK459" s="43"/>
      <c r="BL459" s="43"/>
      <c r="BM459" s="43"/>
      <c r="BN459" s="43"/>
      <c r="BO459" s="43"/>
      <c r="BP459" s="43"/>
      <c r="BQ459" s="43"/>
      <c r="BR459" s="43"/>
      <c r="BS459" s="43"/>
      <c r="BT459" s="43"/>
      <c r="BU459" s="43"/>
      <c r="BV459" s="43"/>
      <c r="BW459" s="43"/>
      <c r="BX459" s="43"/>
      <c r="BY459" s="43"/>
      <c r="BZ459" s="43"/>
      <c r="CA459" s="43"/>
      <c r="CB459" s="43"/>
      <c r="CC459" s="43"/>
      <c r="CD459" s="43"/>
      <c r="CE459" s="43"/>
      <c r="CF459" s="43"/>
      <c r="CG459" s="43"/>
      <c r="CH459" s="43"/>
      <c r="CI459" s="43"/>
      <c r="CJ459" s="43"/>
      <c r="CK459" s="43"/>
      <c r="CL459" s="43"/>
      <c r="CM459" s="43"/>
      <c r="CN459" s="43"/>
      <c r="CO459" s="43"/>
      <c r="CP459" s="43"/>
      <c r="CQ459" s="43"/>
      <c r="CR459" s="43"/>
      <c r="CS459" s="43"/>
      <c r="CT459" s="43"/>
      <c r="CU459" s="43"/>
      <c r="CV459" s="43"/>
      <c r="CW459" s="43"/>
      <c r="CX459" s="43"/>
      <c r="CY459" s="43"/>
      <c r="CZ459" s="43"/>
      <c r="DA459" s="43"/>
      <c r="DB459" s="43"/>
      <c r="DC459" s="43"/>
      <c r="DD459" s="43"/>
      <c r="DE459" s="43"/>
      <c r="DF459" s="43"/>
      <c r="DG459" s="43"/>
      <c r="DH459" s="43"/>
      <c r="DI459" s="43"/>
      <c r="DJ459" s="43"/>
      <c r="DK459" s="43"/>
      <c r="DL459" s="43"/>
      <c r="DM459" s="43"/>
      <c r="DN459" s="43"/>
      <c r="DO459" s="43"/>
      <c r="DP459" s="43"/>
      <c r="DQ459" s="43"/>
      <c r="DR459" s="43"/>
      <c r="DS459" s="43"/>
    </row>
    <row r="460" spans="1:123" ht="14.45">
      <c r="A460"/>
      <c r="B460"/>
      <c r="C460"/>
      <c r="D460"/>
      <c r="E460"/>
      <c r="F460"/>
      <c r="G460"/>
      <c r="H460"/>
      <c r="I460"/>
      <c r="J460"/>
      <c r="K460" s="43"/>
      <c r="L460" s="43"/>
      <c r="M460" s="43"/>
      <c r="N460" s="43"/>
      <c r="O460" s="43"/>
      <c r="P460" s="43"/>
      <c r="Q460" s="43"/>
      <c r="R460" s="43"/>
      <c r="S460" s="43"/>
      <c r="T460" s="43"/>
      <c r="U460" s="43"/>
      <c r="V460" s="43"/>
      <c r="W460" s="43"/>
      <c r="X460" s="43"/>
      <c r="Y460" s="43"/>
      <c r="Z460" s="43"/>
      <c r="AA460" s="43"/>
      <c r="AB460" s="43"/>
      <c r="AC460" s="43"/>
      <c r="AD460" s="43"/>
      <c r="AE460" s="43"/>
      <c r="AF460" s="43"/>
      <c r="AG460" s="43"/>
      <c r="AH460" s="43"/>
      <c r="AI460" s="43"/>
      <c r="AJ460" s="43"/>
      <c r="AK460" s="43"/>
      <c r="AL460" s="43"/>
      <c r="AM460" s="43"/>
      <c r="AN460" s="43"/>
      <c r="AO460" s="43"/>
      <c r="AP460" s="43"/>
      <c r="AQ460" s="43"/>
      <c r="AR460" s="43"/>
      <c r="AS460" s="43"/>
      <c r="AT460" s="43"/>
      <c r="AU460" s="43"/>
      <c r="AV460" s="43"/>
      <c r="AW460" s="43"/>
      <c r="AX460" s="43"/>
      <c r="AY460" s="43"/>
      <c r="AZ460" s="43"/>
      <c r="BA460" s="43"/>
      <c r="BB460" s="43"/>
      <c r="BC460" s="43"/>
      <c r="BD460" s="43"/>
      <c r="BE460" s="43"/>
      <c r="BF460" s="43"/>
      <c r="BG460" s="43"/>
      <c r="BH460" s="43"/>
      <c r="BI460" s="43"/>
      <c r="BJ460" s="43"/>
      <c r="BK460" s="43"/>
      <c r="BL460" s="43"/>
      <c r="BM460" s="43"/>
      <c r="BN460" s="43"/>
      <c r="BO460" s="43"/>
      <c r="BP460" s="43"/>
      <c r="BQ460" s="43"/>
      <c r="BR460" s="43"/>
      <c r="BS460" s="43"/>
      <c r="BT460" s="43"/>
      <c r="BU460" s="43"/>
      <c r="BV460" s="43"/>
      <c r="BW460" s="43"/>
      <c r="BX460" s="43"/>
      <c r="BY460" s="43"/>
      <c r="BZ460" s="43"/>
      <c r="CA460" s="43"/>
      <c r="CB460" s="43"/>
      <c r="CC460" s="43"/>
      <c r="CD460" s="43"/>
      <c r="CE460" s="43"/>
      <c r="CF460" s="43"/>
      <c r="CG460" s="43"/>
      <c r="CH460" s="43"/>
      <c r="CI460" s="43"/>
      <c r="CJ460" s="43"/>
      <c r="CK460" s="43"/>
      <c r="CL460" s="43"/>
      <c r="CM460" s="43"/>
      <c r="CN460" s="43"/>
      <c r="CO460" s="43"/>
      <c r="CP460" s="43"/>
      <c r="CQ460" s="43"/>
      <c r="CR460" s="43"/>
      <c r="CS460" s="43"/>
      <c r="CT460" s="43"/>
      <c r="CU460" s="43"/>
      <c r="CV460" s="43"/>
      <c r="CW460" s="43"/>
      <c r="CX460" s="43"/>
      <c r="CY460" s="43"/>
      <c r="CZ460" s="43"/>
      <c r="DA460" s="43"/>
      <c r="DB460" s="43"/>
      <c r="DC460" s="43"/>
      <c r="DD460" s="43"/>
      <c r="DE460" s="43"/>
      <c r="DF460" s="43"/>
      <c r="DG460" s="43"/>
      <c r="DH460" s="43"/>
      <c r="DI460" s="43"/>
      <c r="DJ460" s="43"/>
      <c r="DK460" s="43"/>
      <c r="DL460" s="43"/>
      <c r="DM460" s="43"/>
      <c r="DN460" s="43"/>
      <c r="DO460" s="43"/>
      <c r="DP460" s="43"/>
      <c r="DQ460" s="43"/>
      <c r="DR460" s="43"/>
      <c r="DS460" s="43"/>
    </row>
    <row r="461" spans="1:123" ht="14.45">
      <c r="A461"/>
      <c r="B461"/>
      <c r="C461"/>
      <c r="D461"/>
      <c r="E461"/>
      <c r="F461"/>
      <c r="G461"/>
      <c r="H461"/>
      <c r="I461"/>
      <c r="J461"/>
      <c r="K461" s="43"/>
      <c r="L461" s="43"/>
      <c r="M461" s="43"/>
      <c r="N461" s="43"/>
      <c r="O461" s="43"/>
      <c r="P461" s="43"/>
      <c r="Q461" s="43"/>
      <c r="R461" s="43"/>
      <c r="S461" s="43"/>
      <c r="T461" s="43"/>
      <c r="U461" s="43"/>
      <c r="V461" s="43"/>
      <c r="W461" s="43"/>
      <c r="X461" s="43"/>
      <c r="Y461" s="43"/>
      <c r="Z461" s="43"/>
      <c r="AA461" s="43"/>
      <c r="AB461" s="43"/>
      <c r="AC461" s="43"/>
      <c r="AD461" s="43"/>
      <c r="AE461" s="43"/>
      <c r="AF461" s="43"/>
      <c r="AG461" s="43"/>
      <c r="AH461" s="43"/>
      <c r="AI461" s="43"/>
      <c r="AJ461" s="43"/>
      <c r="AK461" s="43"/>
      <c r="AL461" s="43"/>
      <c r="AM461" s="43"/>
      <c r="AN461" s="43"/>
      <c r="AO461" s="43"/>
      <c r="AP461" s="43"/>
      <c r="AQ461" s="43"/>
      <c r="AR461" s="43"/>
      <c r="AS461" s="43"/>
      <c r="AT461" s="43"/>
      <c r="AU461" s="43"/>
      <c r="AV461" s="43"/>
      <c r="AW461" s="43"/>
      <c r="AX461" s="43"/>
      <c r="AY461" s="43"/>
      <c r="AZ461" s="43"/>
      <c r="BA461" s="43"/>
      <c r="BB461" s="43"/>
      <c r="BC461" s="43"/>
      <c r="BD461" s="43"/>
      <c r="BE461" s="43"/>
      <c r="BF461" s="43"/>
      <c r="BG461" s="43"/>
      <c r="BH461" s="43"/>
      <c r="BI461" s="43"/>
      <c r="BJ461" s="43"/>
      <c r="BK461" s="43"/>
      <c r="BL461" s="43"/>
      <c r="BM461" s="43"/>
      <c r="BN461" s="43"/>
      <c r="BO461" s="43"/>
      <c r="BP461" s="43"/>
      <c r="BQ461" s="43"/>
      <c r="BR461" s="43"/>
      <c r="BS461" s="43"/>
      <c r="BT461" s="43"/>
      <c r="BU461" s="43"/>
      <c r="BV461" s="43"/>
      <c r="BW461" s="43"/>
      <c r="BX461" s="43"/>
      <c r="BY461" s="43"/>
      <c r="BZ461" s="43"/>
      <c r="CA461" s="43"/>
      <c r="CB461" s="43"/>
      <c r="CC461" s="43"/>
      <c r="CD461" s="43"/>
      <c r="CE461" s="43"/>
      <c r="CF461" s="43"/>
      <c r="CG461" s="43"/>
      <c r="CH461" s="43"/>
      <c r="CI461" s="43"/>
      <c r="CJ461" s="43"/>
      <c r="CK461" s="43"/>
      <c r="CL461" s="43"/>
      <c r="CM461" s="43"/>
      <c r="CN461" s="43"/>
      <c r="CO461" s="43"/>
      <c r="CP461" s="43"/>
      <c r="CQ461" s="43"/>
      <c r="CR461" s="43"/>
      <c r="CS461" s="43"/>
      <c r="CT461" s="43"/>
      <c r="CU461" s="43"/>
      <c r="CV461" s="43"/>
      <c r="CW461" s="43"/>
      <c r="CX461" s="43"/>
      <c r="CY461" s="43"/>
      <c r="CZ461" s="43"/>
      <c r="DA461" s="43"/>
      <c r="DB461" s="43"/>
      <c r="DC461" s="43"/>
      <c r="DD461" s="43"/>
      <c r="DE461" s="43"/>
      <c r="DF461" s="43"/>
      <c r="DG461" s="43"/>
      <c r="DH461" s="43"/>
      <c r="DI461" s="43"/>
      <c r="DJ461" s="43"/>
      <c r="DK461" s="43"/>
      <c r="DL461" s="43"/>
      <c r="DM461" s="43"/>
      <c r="DN461" s="43"/>
      <c r="DO461" s="43"/>
      <c r="DP461" s="43"/>
      <c r="DQ461" s="43"/>
      <c r="DR461" s="43"/>
      <c r="DS461" s="43"/>
    </row>
    <row r="462" spans="1:123" ht="14.45">
      <c r="A462"/>
      <c r="B462"/>
      <c r="C462"/>
      <c r="D462"/>
      <c r="E462"/>
      <c r="F462"/>
      <c r="G462"/>
      <c r="H462"/>
      <c r="I462"/>
      <c r="J462"/>
      <c r="K462" s="43"/>
      <c r="L462" s="43"/>
      <c r="M462" s="43"/>
      <c r="N462" s="43"/>
      <c r="O462" s="43"/>
      <c r="P462" s="43"/>
      <c r="Q462" s="43"/>
      <c r="R462" s="43"/>
      <c r="S462" s="43"/>
      <c r="T462" s="43"/>
      <c r="U462" s="43"/>
      <c r="V462" s="43"/>
      <c r="W462" s="43"/>
      <c r="X462" s="43"/>
      <c r="Y462" s="43"/>
      <c r="Z462" s="43"/>
      <c r="AA462" s="43"/>
      <c r="AB462" s="43"/>
      <c r="AC462" s="43"/>
      <c r="AD462" s="43"/>
      <c r="AE462" s="43"/>
      <c r="AF462" s="43"/>
      <c r="AG462" s="43"/>
      <c r="AH462" s="43"/>
      <c r="AI462" s="43"/>
      <c r="AJ462" s="43"/>
      <c r="AK462" s="43"/>
      <c r="AL462" s="43"/>
      <c r="AM462" s="43"/>
      <c r="AN462" s="43"/>
      <c r="AO462" s="43"/>
      <c r="AP462" s="43"/>
      <c r="AQ462" s="43"/>
      <c r="AR462" s="43"/>
      <c r="AS462" s="43"/>
      <c r="AT462" s="43"/>
      <c r="AU462" s="43"/>
      <c r="AV462" s="43"/>
      <c r="AW462" s="43"/>
      <c r="AX462" s="43"/>
      <c r="AY462" s="43"/>
      <c r="AZ462" s="43"/>
      <c r="BA462" s="43"/>
      <c r="BB462" s="43"/>
      <c r="BC462" s="43"/>
      <c r="BD462" s="43"/>
      <c r="BE462" s="43"/>
      <c r="BF462" s="43"/>
      <c r="BG462" s="43"/>
      <c r="BH462" s="43"/>
      <c r="BI462" s="43"/>
      <c r="BJ462" s="43"/>
      <c r="BK462" s="43"/>
      <c r="BL462" s="43"/>
      <c r="BM462" s="43"/>
      <c r="BN462" s="43"/>
      <c r="BO462" s="43"/>
      <c r="BP462" s="43"/>
      <c r="BQ462" s="43"/>
      <c r="BR462" s="43"/>
      <c r="BS462" s="43"/>
      <c r="BT462" s="43"/>
      <c r="BU462" s="43"/>
      <c r="BV462" s="43"/>
      <c r="BW462" s="43"/>
      <c r="BX462" s="43"/>
      <c r="BY462" s="43"/>
      <c r="BZ462" s="43"/>
      <c r="CA462" s="43"/>
      <c r="CB462" s="43"/>
      <c r="CC462" s="43"/>
      <c r="CD462" s="43"/>
      <c r="CE462" s="43"/>
      <c r="CF462" s="43"/>
      <c r="CG462" s="43"/>
      <c r="CH462" s="43"/>
      <c r="CI462" s="43"/>
      <c r="CJ462" s="43"/>
      <c r="CK462" s="43"/>
      <c r="CL462" s="43"/>
      <c r="CM462" s="43"/>
      <c r="CN462" s="43"/>
      <c r="CO462" s="43"/>
      <c r="CP462" s="43"/>
      <c r="CQ462" s="43"/>
      <c r="CR462" s="43"/>
      <c r="CS462" s="43"/>
      <c r="CT462" s="43"/>
      <c r="CU462" s="43"/>
      <c r="CV462" s="43"/>
      <c r="CW462" s="43"/>
      <c r="CX462" s="43"/>
      <c r="CY462" s="43"/>
      <c r="CZ462" s="43"/>
      <c r="DA462" s="43"/>
      <c r="DB462" s="43"/>
      <c r="DC462" s="43"/>
      <c r="DD462" s="43"/>
      <c r="DE462" s="43"/>
      <c r="DF462" s="43"/>
      <c r="DG462" s="43"/>
      <c r="DH462" s="43"/>
      <c r="DI462" s="43"/>
      <c r="DJ462" s="43"/>
      <c r="DK462" s="43"/>
      <c r="DL462" s="43"/>
      <c r="DM462" s="43"/>
      <c r="DN462" s="43"/>
      <c r="DO462" s="43"/>
      <c r="DP462" s="43"/>
      <c r="DQ462" s="43"/>
      <c r="DR462" s="43"/>
      <c r="DS462" s="43"/>
    </row>
    <row r="463" spans="1:123" ht="14.45">
      <c r="A463"/>
      <c r="B463"/>
      <c r="C463"/>
      <c r="D463"/>
      <c r="E463"/>
      <c r="F463"/>
      <c r="G463"/>
      <c r="H463"/>
      <c r="I463"/>
      <c r="J463"/>
      <c r="K463" s="43"/>
      <c r="L463" s="43"/>
      <c r="M463" s="43"/>
      <c r="N463" s="43"/>
      <c r="O463" s="43"/>
      <c r="P463" s="43"/>
      <c r="Q463" s="43"/>
      <c r="R463" s="43"/>
      <c r="S463" s="43"/>
      <c r="T463" s="43"/>
      <c r="U463" s="43"/>
      <c r="V463" s="43"/>
      <c r="W463" s="43"/>
      <c r="X463" s="43"/>
      <c r="Y463" s="43"/>
      <c r="Z463" s="43"/>
      <c r="AA463" s="43"/>
      <c r="AB463" s="43"/>
      <c r="AC463" s="43"/>
      <c r="AD463" s="43"/>
      <c r="AE463" s="43"/>
      <c r="AF463" s="43"/>
      <c r="AG463" s="43"/>
      <c r="AH463" s="43"/>
      <c r="AI463" s="43"/>
      <c r="AJ463" s="43"/>
      <c r="AK463" s="43"/>
      <c r="AL463" s="43"/>
      <c r="AM463" s="43"/>
      <c r="AN463" s="43"/>
      <c r="AO463" s="43"/>
      <c r="AP463" s="43"/>
      <c r="AQ463" s="43"/>
      <c r="AR463" s="43"/>
      <c r="AS463" s="43"/>
      <c r="AT463" s="43"/>
      <c r="AU463" s="43"/>
      <c r="AV463" s="43"/>
      <c r="AW463" s="43"/>
      <c r="AX463" s="43"/>
      <c r="AY463" s="43"/>
      <c r="AZ463" s="43"/>
      <c r="BA463" s="43"/>
      <c r="BB463" s="43"/>
      <c r="BC463" s="43"/>
      <c r="BD463" s="43"/>
      <c r="BE463" s="43"/>
      <c r="BF463" s="43"/>
      <c r="BG463" s="43"/>
      <c r="BH463" s="43"/>
      <c r="BI463" s="43"/>
      <c r="BJ463" s="43"/>
      <c r="BK463" s="43"/>
      <c r="BL463" s="43"/>
      <c r="BM463" s="43"/>
      <c r="BN463" s="43"/>
      <c r="BO463" s="43"/>
      <c r="BP463" s="43"/>
      <c r="BQ463" s="43"/>
      <c r="BR463" s="43"/>
      <c r="BS463" s="43"/>
      <c r="BT463" s="43"/>
      <c r="BU463" s="43"/>
      <c r="BV463" s="43"/>
      <c r="BW463" s="43"/>
      <c r="BX463" s="43"/>
      <c r="BY463" s="43"/>
      <c r="BZ463" s="43"/>
      <c r="CA463" s="43"/>
      <c r="CB463" s="43"/>
      <c r="CC463" s="43"/>
      <c r="CD463" s="43"/>
      <c r="CE463" s="43"/>
      <c r="CF463" s="43"/>
      <c r="CG463" s="43"/>
      <c r="CH463" s="43"/>
      <c r="CI463" s="43"/>
      <c r="CJ463" s="43"/>
      <c r="CK463" s="43"/>
      <c r="CL463" s="43"/>
      <c r="CM463" s="43"/>
      <c r="CN463" s="43"/>
      <c r="CO463" s="43"/>
      <c r="CP463" s="43"/>
      <c r="CQ463" s="43"/>
      <c r="CR463" s="43"/>
      <c r="CS463" s="43"/>
      <c r="CT463" s="43"/>
      <c r="CU463" s="43"/>
      <c r="CV463" s="43"/>
      <c r="CW463" s="43"/>
      <c r="CX463" s="43"/>
      <c r="CY463" s="43"/>
      <c r="CZ463" s="43"/>
      <c r="DA463" s="43"/>
      <c r="DB463" s="43"/>
      <c r="DC463" s="43"/>
      <c r="DD463" s="43"/>
      <c r="DE463" s="43"/>
      <c r="DF463" s="43"/>
      <c r="DG463" s="43"/>
      <c r="DH463" s="43"/>
      <c r="DI463" s="43"/>
      <c r="DJ463" s="43"/>
      <c r="DK463" s="43"/>
      <c r="DL463" s="43"/>
      <c r="DM463" s="43"/>
      <c r="DN463" s="43"/>
      <c r="DO463" s="43"/>
      <c r="DP463" s="43"/>
      <c r="DQ463" s="43"/>
      <c r="DR463" s="43"/>
      <c r="DS463" s="43"/>
    </row>
    <row r="464" spans="1:123" ht="14.45">
      <c r="A464"/>
      <c r="B464"/>
      <c r="C464"/>
      <c r="D464"/>
      <c r="E464"/>
      <c r="F464"/>
      <c r="G464"/>
      <c r="H464"/>
      <c r="I464"/>
      <c r="J464"/>
      <c r="K464" s="43"/>
      <c r="L464" s="43"/>
      <c r="M464" s="43"/>
      <c r="N464" s="43"/>
      <c r="O464" s="43"/>
      <c r="P464" s="43"/>
      <c r="Q464" s="43"/>
      <c r="R464" s="43"/>
      <c r="S464" s="43"/>
      <c r="T464" s="43"/>
      <c r="U464" s="43"/>
      <c r="V464" s="43"/>
      <c r="W464" s="43"/>
      <c r="X464" s="43"/>
      <c r="Y464" s="43"/>
      <c r="Z464" s="43"/>
      <c r="AA464" s="43"/>
      <c r="AB464" s="43"/>
      <c r="AC464" s="43"/>
      <c r="AD464" s="43"/>
      <c r="AE464" s="43"/>
      <c r="AF464" s="43"/>
      <c r="AG464" s="43"/>
      <c r="AH464" s="43"/>
      <c r="AI464" s="43"/>
      <c r="AJ464" s="43"/>
      <c r="AK464" s="43"/>
      <c r="AL464" s="43"/>
      <c r="AM464" s="43"/>
      <c r="AN464" s="43"/>
      <c r="AO464" s="43"/>
      <c r="AP464" s="43"/>
      <c r="AQ464" s="43"/>
      <c r="AR464" s="43"/>
      <c r="AS464" s="43"/>
      <c r="AT464" s="43"/>
      <c r="AU464" s="43"/>
      <c r="AV464" s="43"/>
      <c r="AW464" s="43"/>
      <c r="AX464" s="43"/>
      <c r="AY464" s="43"/>
      <c r="AZ464" s="43"/>
      <c r="BA464" s="43"/>
      <c r="BB464" s="43"/>
      <c r="BC464" s="43"/>
      <c r="BD464" s="43"/>
      <c r="BE464" s="43"/>
      <c r="BF464" s="43"/>
      <c r="BG464" s="43"/>
      <c r="BH464" s="43"/>
      <c r="BI464" s="43"/>
      <c r="BJ464" s="43"/>
      <c r="BK464" s="43"/>
      <c r="BL464" s="43"/>
      <c r="BM464" s="43"/>
      <c r="BN464" s="43"/>
      <c r="BO464" s="43"/>
      <c r="BP464" s="43"/>
      <c r="BQ464" s="43"/>
      <c r="BR464" s="43"/>
      <c r="BS464" s="43"/>
      <c r="BT464" s="43"/>
      <c r="BU464" s="43"/>
      <c r="BV464" s="43"/>
      <c r="BW464" s="43"/>
      <c r="BX464" s="43"/>
      <c r="BY464" s="43"/>
      <c r="BZ464" s="43"/>
      <c r="CA464" s="43"/>
      <c r="CB464" s="43"/>
      <c r="CC464" s="43"/>
      <c r="CD464" s="43"/>
      <c r="CE464" s="43"/>
      <c r="CF464" s="43"/>
      <c r="CG464" s="43"/>
      <c r="CH464" s="43"/>
      <c r="CI464" s="43"/>
      <c r="CJ464" s="43"/>
      <c r="CK464" s="43"/>
      <c r="CL464" s="43"/>
      <c r="CM464" s="43"/>
      <c r="CN464" s="43"/>
      <c r="CO464" s="43"/>
      <c r="CP464" s="43"/>
      <c r="CQ464" s="43"/>
      <c r="CR464" s="43"/>
      <c r="CS464" s="43"/>
      <c r="CT464" s="43"/>
      <c r="CU464" s="43"/>
      <c r="CV464" s="43"/>
      <c r="CW464" s="43"/>
      <c r="CX464" s="43"/>
      <c r="CY464" s="43"/>
      <c r="CZ464" s="43"/>
      <c r="DA464" s="43"/>
      <c r="DB464" s="43"/>
      <c r="DC464" s="43"/>
      <c r="DD464" s="43"/>
      <c r="DE464" s="43"/>
      <c r="DF464" s="43"/>
      <c r="DG464" s="43"/>
      <c r="DH464" s="43"/>
      <c r="DI464" s="43"/>
      <c r="DJ464" s="43"/>
      <c r="DK464" s="43"/>
      <c r="DL464" s="43"/>
      <c r="DM464" s="43"/>
      <c r="DN464" s="43"/>
      <c r="DO464" s="43"/>
      <c r="DP464" s="43"/>
      <c r="DQ464" s="43"/>
      <c r="DR464" s="43"/>
      <c r="DS464" s="43"/>
    </row>
    <row r="465" spans="1:123" ht="14.45">
      <c r="A465"/>
      <c r="B465"/>
      <c r="C465"/>
      <c r="D465"/>
      <c r="E465"/>
      <c r="F465"/>
      <c r="G465"/>
      <c r="H465"/>
      <c r="I465"/>
      <c r="J465"/>
      <c r="K465" s="43"/>
      <c r="L465" s="43"/>
      <c r="M465" s="43"/>
      <c r="N465" s="43"/>
      <c r="O465" s="43"/>
      <c r="P465" s="43"/>
      <c r="Q465" s="43"/>
      <c r="R465" s="43"/>
      <c r="S465" s="43"/>
      <c r="T465" s="43"/>
      <c r="U465" s="43"/>
      <c r="V465" s="43"/>
      <c r="W465" s="43"/>
      <c r="X465" s="43"/>
      <c r="Y465" s="43"/>
      <c r="Z465" s="43"/>
      <c r="AA465" s="43"/>
      <c r="AB465" s="43"/>
      <c r="AC465" s="43"/>
      <c r="AD465" s="43"/>
      <c r="AE465" s="43"/>
      <c r="AF465" s="43"/>
      <c r="AG465" s="43"/>
      <c r="AH465" s="43"/>
      <c r="AI465" s="43"/>
      <c r="AJ465" s="43"/>
      <c r="AK465" s="43"/>
      <c r="AL465" s="43"/>
      <c r="AM465" s="43"/>
      <c r="AN465" s="43"/>
      <c r="AO465" s="43"/>
      <c r="AP465" s="43"/>
      <c r="AQ465" s="43"/>
      <c r="AR465" s="43"/>
      <c r="AS465" s="43"/>
      <c r="AT465" s="43"/>
      <c r="AU465" s="43"/>
      <c r="AV465" s="43"/>
      <c r="AW465" s="43"/>
      <c r="AX465" s="43"/>
      <c r="AY465" s="43"/>
      <c r="AZ465" s="43"/>
      <c r="BA465" s="43"/>
      <c r="BB465" s="43"/>
      <c r="BC465" s="43"/>
      <c r="BD465" s="43"/>
      <c r="BE465" s="43"/>
      <c r="BF465" s="43"/>
      <c r="BG465" s="43"/>
      <c r="BH465" s="43"/>
      <c r="BI465" s="43"/>
      <c r="BJ465" s="43"/>
      <c r="BK465" s="43"/>
      <c r="BL465" s="43"/>
      <c r="BM465" s="43"/>
      <c r="BN465" s="43"/>
      <c r="BO465" s="43"/>
      <c r="BP465" s="43"/>
      <c r="BQ465" s="43"/>
      <c r="BR465" s="43"/>
      <c r="BS465" s="43"/>
      <c r="BT465" s="43"/>
      <c r="BU465" s="43"/>
      <c r="BV465" s="43"/>
      <c r="BW465" s="43"/>
      <c r="BX465" s="43"/>
      <c r="BY465" s="43"/>
      <c r="BZ465" s="43"/>
      <c r="CA465" s="43"/>
      <c r="CB465" s="43"/>
      <c r="CC465" s="43"/>
      <c r="CD465" s="43"/>
      <c r="CE465" s="43"/>
      <c r="CF465" s="43"/>
      <c r="CG465" s="43"/>
      <c r="CH465" s="43"/>
      <c r="CI465" s="43"/>
      <c r="CJ465" s="43"/>
      <c r="CK465" s="43"/>
      <c r="CL465" s="43"/>
      <c r="CM465" s="43"/>
      <c r="CN465" s="43"/>
      <c r="CO465" s="43"/>
      <c r="CP465" s="43"/>
      <c r="CQ465" s="43"/>
      <c r="CR465" s="43"/>
      <c r="CS465" s="43"/>
      <c r="CT465" s="43"/>
      <c r="CU465" s="43"/>
      <c r="CV465" s="43"/>
      <c r="CW465" s="43"/>
      <c r="CX465" s="43"/>
      <c r="CY465" s="43"/>
      <c r="CZ465" s="43"/>
      <c r="DA465" s="43"/>
      <c r="DB465" s="43"/>
      <c r="DC465" s="43"/>
      <c r="DD465" s="43"/>
      <c r="DE465" s="43"/>
      <c r="DF465" s="43"/>
      <c r="DG465" s="43"/>
      <c r="DH465" s="43"/>
      <c r="DI465" s="43"/>
      <c r="DJ465" s="43"/>
      <c r="DK465" s="43"/>
      <c r="DL465" s="43"/>
      <c r="DM465" s="43"/>
      <c r="DN465" s="43"/>
      <c r="DO465" s="43"/>
      <c r="DP465" s="43"/>
      <c r="DQ465" s="43"/>
      <c r="DR465" s="43"/>
      <c r="DS465" s="43"/>
    </row>
    <row r="466" spans="1:123" ht="14.45">
      <c r="A466"/>
      <c r="B466"/>
      <c r="C466"/>
      <c r="D466"/>
      <c r="E466"/>
      <c r="F466"/>
      <c r="G466"/>
      <c r="H466"/>
      <c r="I466"/>
      <c r="J466"/>
      <c r="K466" s="43"/>
      <c r="L466" s="43"/>
      <c r="M466" s="43"/>
      <c r="N466" s="43"/>
      <c r="O466" s="43"/>
      <c r="P466" s="43"/>
      <c r="Q466" s="43"/>
      <c r="R466" s="43"/>
      <c r="S466" s="43"/>
      <c r="T466" s="43"/>
      <c r="U466" s="43"/>
      <c r="V466" s="43"/>
      <c r="W466" s="43"/>
      <c r="X466" s="43"/>
      <c r="Y466" s="43"/>
      <c r="Z466" s="43"/>
      <c r="AA466" s="43"/>
      <c r="AB466" s="43"/>
      <c r="AC466" s="43"/>
      <c r="AD466" s="43"/>
      <c r="AE466" s="43"/>
      <c r="AF466" s="43"/>
      <c r="AG466" s="43"/>
      <c r="AH466" s="43"/>
      <c r="AI466" s="43"/>
      <c r="AJ466" s="43"/>
      <c r="AK466" s="43"/>
      <c r="AL466" s="43"/>
      <c r="AM466" s="43"/>
      <c r="AN466" s="43"/>
      <c r="AO466" s="43"/>
      <c r="AP466" s="43"/>
      <c r="AQ466" s="43"/>
      <c r="AR466" s="43"/>
      <c r="AS466" s="43"/>
      <c r="AT466" s="43"/>
      <c r="AU466" s="43"/>
      <c r="AV466" s="43"/>
      <c r="AW466" s="43"/>
      <c r="AX466" s="43"/>
      <c r="AY466" s="43"/>
      <c r="AZ466" s="43"/>
      <c r="BA466" s="43"/>
      <c r="BB466" s="43"/>
      <c r="BC466" s="43"/>
      <c r="BD466" s="43"/>
      <c r="BE466" s="43"/>
      <c r="BF466" s="43"/>
      <c r="BG466" s="43"/>
      <c r="BH466" s="43"/>
      <c r="BI466" s="43"/>
      <c r="BJ466" s="43"/>
      <c r="BK466" s="43"/>
      <c r="BL466" s="43"/>
      <c r="BM466" s="43"/>
      <c r="BN466" s="43"/>
      <c r="BO466" s="43"/>
      <c r="BP466" s="43"/>
      <c r="BQ466" s="43"/>
      <c r="BR466" s="43"/>
      <c r="BS466" s="43"/>
      <c r="BT466" s="43"/>
      <c r="BU466" s="43"/>
      <c r="BV466" s="43"/>
      <c r="BW466" s="43"/>
      <c r="BX466" s="43"/>
      <c r="BY466" s="43"/>
      <c r="BZ466" s="43"/>
      <c r="CA466" s="43"/>
      <c r="CB466" s="43"/>
      <c r="CC466" s="43"/>
      <c r="CD466" s="43"/>
      <c r="CE466" s="43"/>
      <c r="CF466" s="43"/>
      <c r="CG466" s="43"/>
      <c r="CH466" s="43"/>
      <c r="CI466" s="43"/>
      <c r="CJ466" s="43"/>
      <c r="CK466" s="43"/>
      <c r="CL466" s="43"/>
      <c r="CM466" s="43"/>
      <c r="CN466" s="43"/>
      <c r="CO466" s="43"/>
      <c r="CP466" s="43"/>
      <c r="CQ466" s="43"/>
      <c r="CR466" s="43"/>
      <c r="CS466" s="43"/>
      <c r="CT466" s="43"/>
      <c r="CU466" s="43"/>
      <c r="CV466" s="43"/>
      <c r="CW466" s="43"/>
      <c r="CX466" s="43"/>
      <c r="CY466" s="43"/>
      <c r="CZ466" s="43"/>
      <c r="DA466" s="43"/>
      <c r="DB466" s="43"/>
      <c r="DC466" s="43"/>
      <c r="DD466" s="43"/>
      <c r="DE466" s="43"/>
      <c r="DF466" s="43"/>
      <c r="DG466" s="43"/>
      <c r="DH466" s="43"/>
      <c r="DI466" s="43"/>
      <c r="DJ466" s="43"/>
      <c r="DK466" s="43"/>
      <c r="DL466" s="43"/>
      <c r="DM466" s="43"/>
      <c r="DN466" s="43"/>
      <c r="DO466" s="43"/>
      <c r="DP466" s="43"/>
      <c r="DQ466" s="43"/>
      <c r="DR466" s="43"/>
      <c r="DS466" s="43"/>
    </row>
    <row r="467" spans="1:123" ht="14.45">
      <c r="A467"/>
      <c r="B467"/>
      <c r="C467"/>
      <c r="D467"/>
      <c r="E467"/>
      <c r="F467"/>
      <c r="G467"/>
      <c r="H467"/>
      <c r="I467"/>
      <c r="J467"/>
      <c r="K467" s="43"/>
      <c r="L467" s="43"/>
      <c r="M467" s="43"/>
      <c r="N467" s="43"/>
      <c r="O467" s="43"/>
      <c r="P467" s="43"/>
      <c r="Q467" s="43"/>
      <c r="R467" s="43"/>
      <c r="S467" s="43"/>
      <c r="T467" s="43"/>
      <c r="U467" s="43"/>
      <c r="V467" s="43"/>
      <c r="W467" s="43"/>
      <c r="X467" s="43"/>
      <c r="Y467" s="43"/>
      <c r="Z467" s="43"/>
      <c r="AA467" s="43"/>
      <c r="AB467" s="43"/>
      <c r="AC467" s="43"/>
      <c r="AD467" s="43"/>
      <c r="AE467" s="43"/>
      <c r="AF467" s="43"/>
      <c r="AG467" s="43"/>
      <c r="AH467" s="43"/>
      <c r="AI467" s="43"/>
      <c r="AJ467" s="43"/>
      <c r="AK467" s="43"/>
      <c r="AL467" s="43"/>
      <c r="AM467" s="43"/>
      <c r="AN467" s="43"/>
      <c r="AO467" s="43"/>
      <c r="AP467" s="43"/>
      <c r="AQ467" s="43"/>
      <c r="AR467" s="43"/>
      <c r="AS467" s="43"/>
      <c r="AT467" s="43"/>
      <c r="AU467" s="43"/>
      <c r="AV467" s="43"/>
      <c r="AW467" s="43"/>
      <c r="AX467" s="43"/>
      <c r="AY467" s="43"/>
      <c r="AZ467" s="43"/>
      <c r="BA467" s="43"/>
      <c r="BB467" s="43"/>
      <c r="BC467" s="43"/>
      <c r="BD467" s="43"/>
      <c r="BE467" s="43"/>
      <c r="BF467" s="43"/>
      <c r="BG467" s="43"/>
      <c r="BH467" s="43"/>
      <c r="BI467" s="43"/>
      <c r="BJ467" s="43"/>
      <c r="BK467" s="43"/>
      <c r="BL467" s="43"/>
      <c r="BM467" s="43"/>
      <c r="BN467" s="43"/>
      <c r="BO467" s="43"/>
      <c r="BP467" s="43"/>
      <c r="BQ467" s="43"/>
      <c r="BR467" s="43"/>
      <c r="BS467" s="43"/>
      <c r="BT467" s="43"/>
      <c r="BU467" s="43"/>
      <c r="BV467" s="43"/>
      <c r="BW467" s="43"/>
      <c r="BX467" s="43"/>
      <c r="BY467" s="43"/>
      <c r="BZ467" s="43"/>
      <c r="CA467" s="43"/>
      <c r="CB467" s="43"/>
      <c r="CC467" s="43"/>
      <c r="CD467" s="43"/>
      <c r="CE467" s="43"/>
      <c r="CF467" s="43"/>
      <c r="CG467" s="43"/>
      <c r="CH467" s="43"/>
      <c r="CI467" s="43"/>
      <c r="CJ467" s="43"/>
      <c r="CK467" s="43"/>
      <c r="CL467" s="43"/>
      <c r="CM467" s="43"/>
      <c r="CN467" s="43"/>
      <c r="CO467" s="43"/>
      <c r="CP467" s="43"/>
      <c r="CQ467" s="43"/>
      <c r="CR467" s="43"/>
      <c r="CS467" s="43"/>
      <c r="CT467" s="43"/>
      <c r="CU467" s="43"/>
      <c r="CV467" s="43"/>
      <c r="CW467" s="43"/>
      <c r="CX467" s="43"/>
      <c r="CY467" s="43"/>
      <c r="CZ467" s="43"/>
      <c r="DA467" s="43"/>
      <c r="DB467" s="43"/>
      <c r="DC467" s="43"/>
      <c r="DD467" s="43"/>
      <c r="DE467" s="43"/>
      <c r="DF467" s="43"/>
      <c r="DG467" s="43"/>
      <c r="DH467" s="43"/>
      <c r="DI467" s="43"/>
      <c r="DJ467" s="43"/>
      <c r="DK467" s="43"/>
      <c r="DL467" s="43"/>
      <c r="DM467" s="43"/>
      <c r="DN467" s="43"/>
      <c r="DO467" s="43"/>
      <c r="DP467" s="43"/>
      <c r="DQ467" s="43"/>
      <c r="DR467" s="43"/>
      <c r="DS467" s="43"/>
    </row>
    <row r="468" spans="1:123" ht="14.45">
      <c r="A468"/>
      <c r="B468"/>
      <c r="C468"/>
      <c r="D468"/>
      <c r="E468"/>
      <c r="F468"/>
      <c r="G468"/>
      <c r="H468"/>
      <c r="I468"/>
      <c r="J468"/>
      <c r="K468" s="43"/>
      <c r="L468" s="43"/>
      <c r="M468" s="43"/>
      <c r="N468" s="43"/>
      <c r="O468" s="43"/>
      <c r="P468" s="43"/>
      <c r="Q468" s="43"/>
      <c r="R468" s="43"/>
      <c r="S468" s="43"/>
      <c r="T468" s="43"/>
      <c r="U468" s="43"/>
      <c r="V468" s="43"/>
      <c r="W468" s="43"/>
      <c r="X468" s="43"/>
      <c r="Y468" s="43"/>
      <c r="Z468" s="43"/>
      <c r="AA468" s="43"/>
      <c r="AB468" s="43"/>
      <c r="AC468" s="43"/>
      <c r="AD468" s="43"/>
      <c r="AE468" s="43"/>
      <c r="AF468" s="43"/>
      <c r="AG468" s="43"/>
      <c r="AH468" s="43"/>
      <c r="AI468" s="43"/>
      <c r="AJ468" s="43"/>
      <c r="AK468" s="43"/>
      <c r="AL468" s="43"/>
      <c r="AM468" s="43"/>
      <c r="AN468" s="43"/>
      <c r="AO468" s="43"/>
      <c r="AP468" s="43"/>
      <c r="AQ468" s="43"/>
      <c r="AR468" s="43"/>
      <c r="AS468" s="43"/>
      <c r="AT468" s="43"/>
      <c r="AU468" s="43"/>
      <c r="AV468" s="43"/>
      <c r="AW468" s="43"/>
      <c r="AX468" s="43"/>
      <c r="AY468" s="43"/>
      <c r="AZ468" s="43"/>
      <c r="BA468" s="43"/>
      <c r="BB468" s="43"/>
      <c r="BC468" s="43"/>
      <c r="BD468" s="43"/>
      <c r="BE468" s="43"/>
      <c r="BF468" s="43"/>
      <c r="BG468" s="43"/>
      <c r="BH468" s="43"/>
      <c r="BI468" s="43"/>
      <c r="BJ468" s="43"/>
      <c r="BK468" s="43"/>
      <c r="BL468" s="43"/>
      <c r="BM468" s="43"/>
      <c r="BN468" s="43"/>
      <c r="BO468" s="43"/>
      <c r="BP468" s="43"/>
      <c r="BQ468" s="43"/>
      <c r="BR468" s="43"/>
      <c r="BS468" s="43"/>
      <c r="BT468" s="43"/>
      <c r="BU468" s="43"/>
      <c r="BV468" s="43"/>
      <c r="BW468" s="43"/>
      <c r="BX468" s="43"/>
      <c r="BY468" s="43"/>
      <c r="BZ468" s="43"/>
      <c r="CA468" s="43"/>
      <c r="CB468" s="43"/>
      <c r="CC468" s="43"/>
      <c r="CD468" s="43"/>
      <c r="CE468" s="43"/>
      <c r="CF468" s="43"/>
      <c r="CG468" s="43"/>
      <c r="CH468" s="43"/>
      <c r="CI468" s="43"/>
      <c r="CJ468" s="43"/>
      <c r="CK468" s="43"/>
      <c r="CL468" s="43"/>
      <c r="CM468" s="43"/>
      <c r="CN468" s="43"/>
      <c r="CO468" s="43"/>
      <c r="CP468" s="43"/>
      <c r="CQ468" s="43"/>
      <c r="CR468" s="43"/>
      <c r="CS468" s="43"/>
      <c r="CT468" s="43"/>
      <c r="CU468" s="43"/>
      <c r="CV468" s="43"/>
      <c r="CW468" s="43"/>
      <c r="CX468" s="43"/>
      <c r="CY468" s="43"/>
      <c r="CZ468" s="43"/>
      <c r="DA468" s="43"/>
      <c r="DB468" s="43"/>
      <c r="DC468" s="43"/>
      <c r="DD468" s="43"/>
      <c r="DE468" s="43"/>
      <c r="DF468" s="43"/>
      <c r="DG468" s="43"/>
      <c r="DH468" s="43"/>
      <c r="DI468" s="43"/>
      <c r="DJ468" s="43"/>
      <c r="DK468" s="43"/>
      <c r="DL468" s="43"/>
      <c r="DM468" s="43"/>
      <c r="DN468" s="43"/>
      <c r="DO468" s="43"/>
      <c r="DP468" s="43"/>
      <c r="DQ468" s="43"/>
      <c r="DR468" s="43"/>
      <c r="DS468" s="43"/>
    </row>
    <row r="469" spans="1:123" ht="14.45">
      <c r="A469"/>
      <c r="B469"/>
      <c r="C469"/>
      <c r="D469"/>
      <c r="E469"/>
      <c r="F469"/>
      <c r="G469"/>
      <c r="H469"/>
      <c r="I469"/>
      <c r="J469"/>
      <c r="K469" s="43"/>
      <c r="L469" s="43"/>
      <c r="M469" s="43"/>
      <c r="N469" s="43"/>
      <c r="O469" s="43"/>
      <c r="P469" s="43"/>
      <c r="Q469" s="43"/>
      <c r="R469" s="43"/>
      <c r="S469" s="43"/>
      <c r="T469" s="43"/>
      <c r="U469" s="43"/>
      <c r="V469" s="43"/>
      <c r="W469" s="43"/>
      <c r="X469" s="43"/>
      <c r="Y469" s="43"/>
      <c r="Z469" s="43"/>
      <c r="AA469" s="43"/>
      <c r="AB469" s="43"/>
      <c r="AC469" s="43"/>
      <c r="AD469" s="43"/>
      <c r="AE469" s="43"/>
      <c r="AF469" s="43"/>
      <c r="AG469" s="43"/>
      <c r="AH469" s="43"/>
      <c r="AI469" s="43"/>
      <c r="AJ469" s="43"/>
      <c r="AK469" s="43"/>
      <c r="AL469" s="43"/>
      <c r="AM469" s="43"/>
      <c r="AN469" s="43"/>
      <c r="AO469" s="43"/>
      <c r="AP469" s="43"/>
      <c r="AQ469" s="43"/>
      <c r="AR469" s="43"/>
      <c r="AS469" s="43"/>
      <c r="AT469" s="43"/>
      <c r="AU469" s="43"/>
      <c r="AV469" s="43"/>
      <c r="AW469" s="43"/>
      <c r="AX469" s="43"/>
      <c r="AY469" s="43"/>
      <c r="AZ469" s="43"/>
      <c r="BA469" s="43"/>
      <c r="BB469" s="43"/>
      <c r="BC469" s="43"/>
      <c r="BD469" s="43"/>
      <c r="BE469" s="43"/>
      <c r="BF469" s="43"/>
      <c r="BG469" s="43"/>
      <c r="BH469" s="43"/>
      <c r="BI469" s="43"/>
      <c r="BJ469" s="43"/>
      <c r="BK469" s="43"/>
      <c r="BL469" s="43"/>
      <c r="BM469" s="43"/>
      <c r="BN469" s="43"/>
      <c r="BO469" s="43"/>
      <c r="BP469" s="43"/>
      <c r="BQ469" s="43"/>
      <c r="BR469" s="43"/>
      <c r="BS469" s="43"/>
      <c r="BT469" s="43"/>
      <c r="BU469" s="43"/>
      <c r="BV469" s="43"/>
      <c r="BW469" s="43"/>
      <c r="BX469" s="43"/>
      <c r="BY469" s="43"/>
      <c r="BZ469" s="43"/>
      <c r="CA469" s="43"/>
      <c r="CB469" s="43"/>
      <c r="CC469" s="43"/>
      <c r="CD469" s="43"/>
      <c r="CE469" s="43"/>
      <c r="CF469" s="43"/>
      <c r="CG469" s="43"/>
      <c r="CH469" s="43"/>
      <c r="CI469" s="43"/>
      <c r="CJ469" s="43"/>
      <c r="CK469" s="43"/>
      <c r="CL469" s="43"/>
      <c r="CM469" s="43"/>
      <c r="CN469" s="43"/>
      <c r="CO469" s="43"/>
      <c r="CP469" s="43"/>
      <c r="CQ469" s="43"/>
      <c r="CR469" s="43"/>
      <c r="CS469" s="43"/>
      <c r="CT469" s="43"/>
      <c r="CU469" s="43"/>
      <c r="CV469" s="43"/>
      <c r="CW469" s="43"/>
      <c r="CX469" s="43"/>
      <c r="CY469" s="43"/>
      <c r="CZ469" s="43"/>
      <c r="DA469" s="43"/>
      <c r="DB469" s="43"/>
      <c r="DC469" s="43"/>
      <c r="DD469" s="43"/>
      <c r="DE469" s="43"/>
      <c r="DF469" s="43"/>
      <c r="DG469" s="43"/>
      <c r="DH469" s="43"/>
      <c r="DI469" s="43"/>
      <c r="DJ469" s="43"/>
      <c r="DK469" s="43"/>
      <c r="DL469" s="43"/>
      <c r="DM469" s="43"/>
      <c r="DN469" s="43"/>
      <c r="DO469" s="43"/>
      <c r="DP469" s="43"/>
      <c r="DQ469" s="43"/>
      <c r="DR469" s="43"/>
      <c r="DS469" s="43"/>
    </row>
    <row r="470" spans="1:123" ht="14.45">
      <c r="A470"/>
      <c r="B470"/>
      <c r="C470"/>
      <c r="D470"/>
      <c r="E470"/>
      <c r="F470"/>
      <c r="G470"/>
      <c r="H470"/>
      <c r="I470"/>
      <c r="J470"/>
      <c r="K470" s="43"/>
      <c r="L470" s="43"/>
      <c r="M470" s="43"/>
      <c r="N470" s="43"/>
      <c r="O470" s="43"/>
      <c r="P470" s="43"/>
      <c r="Q470" s="43"/>
      <c r="R470" s="43"/>
      <c r="S470" s="43"/>
      <c r="T470" s="43"/>
      <c r="U470" s="43"/>
      <c r="V470" s="43"/>
      <c r="W470" s="43"/>
      <c r="X470" s="43"/>
      <c r="Y470" s="43"/>
      <c r="Z470" s="43"/>
      <c r="AA470" s="43"/>
      <c r="AB470" s="43"/>
      <c r="AC470" s="43"/>
      <c r="AD470" s="43"/>
      <c r="AE470" s="43"/>
      <c r="AF470" s="43"/>
      <c r="AG470" s="43"/>
      <c r="AH470" s="43"/>
      <c r="AI470" s="43"/>
      <c r="AJ470" s="43"/>
      <c r="AK470" s="43"/>
      <c r="AL470" s="43"/>
      <c r="AM470" s="43"/>
      <c r="AN470" s="43"/>
      <c r="AO470" s="43"/>
      <c r="AP470" s="43"/>
      <c r="AQ470" s="43"/>
      <c r="AR470" s="43"/>
      <c r="AS470" s="43"/>
      <c r="AT470" s="43"/>
      <c r="AU470" s="43"/>
      <c r="AV470" s="43"/>
      <c r="AW470" s="43"/>
      <c r="AX470" s="43"/>
      <c r="AY470" s="43"/>
      <c r="AZ470" s="43"/>
      <c r="BA470" s="43"/>
      <c r="BB470" s="43"/>
      <c r="BC470" s="43"/>
      <c r="BD470" s="43"/>
      <c r="BE470" s="43"/>
      <c r="BF470" s="43"/>
      <c r="BG470" s="43"/>
      <c r="BH470" s="43"/>
      <c r="BI470" s="43"/>
      <c r="BJ470" s="43"/>
      <c r="BK470" s="43"/>
      <c r="BL470" s="43"/>
      <c r="BM470" s="43"/>
      <c r="BN470" s="43"/>
      <c r="BO470" s="43"/>
      <c r="BP470" s="43"/>
      <c r="BQ470" s="43"/>
      <c r="BR470" s="43"/>
      <c r="BS470" s="43"/>
      <c r="BT470" s="43"/>
      <c r="BU470" s="43"/>
      <c r="BV470" s="43"/>
      <c r="BW470" s="43"/>
      <c r="BX470" s="43"/>
      <c r="BY470" s="43"/>
      <c r="BZ470" s="43"/>
      <c r="CA470" s="43"/>
      <c r="CB470" s="43"/>
      <c r="CC470" s="43"/>
      <c r="CD470" s="43"/>
      <c r="CE470" s="43"/>
      <c r="CF470" s="43"/>
      <c r="CG470" s="43"/>
      <c r="CH470" s="43"/>
      <c r="CI470" s="43"/>
      <c r="CJ470" s="43"/>
      <c r="CK470" s="43"/>
      <c r="CL470" s="43"/>
      <c r="CM470" s="43"/>
      <c r="CN470" s="43"/>
      <c r="CO470" s="43"/>
      <c r="CP470" s="43"/>
      <c r="CQ470" s="43"/>
      <c r="CR470" s="43"/>
      <c r="CS470" s="43"/>
      <c r="CT470" s="43"/>
      <c r="CU470" s="43"/>
      <c r="CV470" s="43"/>
      <c r="CW470" s="43"/>
      <c r="CX470" s="43"/>
      <c r="CY470" s="43"/>
      <c r="CZ470" s="43"/>
      <c r="DA470" s="43"/>
      <c r="DB470" s="43"/>
      <c r="DC470" s="43"/>
      <c r="DD470" s="43"/>
      <c r="DE470" s="43"/>
      <c r="DF470" s="43"/>
      <c r="DG470" s="43"/>
      <c r="DH470" s="43"/>
      <c r="DI470" s="43"/>
      <c r="DJ470" s="43"/>
      <c r="DK470" s="43"/>
      <c r="DL470" s="43"/>
      <c r="DM470" s="43"/>
      <c r="DN470" s="43"/>
      <c r="DO470" s="43"/>
      <c r="DP470" s="43"/>
      <c r="DQ470" s="43"/>
      <c r="DR470" s="43"/>
      <c r="DS470" s="43"/>
    </row>
    <row r="471" spans="1:123" ht="14.45">
      <c r="A471"/>
      <c r="B471"/>
      <c r="C471"/>
      <c r="D471"/>
      <c r="E471"/>
      <c r="F471"/>
      <c r="G471"/>
      <c r="H471"/>
      <c r="I471"/>
      <c r="J471"/>
      <c r="K471" s="43"/>
      <c r="L471" s="43"/>
      <c r="M471" s="43"/>
      <c r="N471" s="43"/>
      <c r="O471" s="43"/>
      <c r="P471" s="43"/>
      <c r="Q471" s="43"/>
      <c r="R471" s="43"/>
      <c r="S471" s="43"/>
      <c r="T471" s="43"/>
      <c r="U471" s="43"/>
      <c r="V471" s="43"/>
      <c r="W471" s="43"/>
      <c r="X471" s="43"/>
      <c r="Y471" s="43"/>
      <c r="Z471" s="43"/>
      <c r="AA471" s="43"/>
      <c r="AB471" s="43"/>
      <c r="AC471" s="43"/>
      <c r="AD471" s="43"/>
      <c r="AE471" s="43"/>
      <c r="AF471" s="43"/>
      <c r="AG471" s="43"/>
      <c r="AH471" s="43"/>
      <c r="AI471" s="43"/>
      <c r="AJ471" s="43"/>
      <c r="AK471" s="43"/>
      <c r="AL471" s="43"/>
      <c r="AM471" s="43"/>
      <c r="AN471" s="43"/>
      <c r="AO471" s="43"/>
      <c r="AP471" s="43"/>
      <c r="AQ471" s="43"/>
      <c r="AR471" s="43"/>
      <c r="AS471" s="43"/>
      <c r="AT471" s="43"/>
      <c r="AU471" s="43"/>
      <c r="AV471" s="43"/>
      <c r="AW471" s="43"/>
      <c r="AX471" s="43"/>
      <c r="AY471" s="43"/>
      <c r="AZ471" s="43"/>
      <c r="BA471" s="43"/>
      <c r="BB471" s="43"/>
      <c r="BC471" s="43"/>
      <c r="BD471" s="43"/>
      <c r="BE471" s="43"/>
      <c r="BF471" s="43"/>
      <c r="BG471" s="43"/>
      <c r="BH471" s="43"/>
      <c r="BI471" s="43"/>
      <c r="BJ471" s="43"/>
      <c r="BK471" s="43"/>
      <c r="BL471" s="43"/>
      <c r="BM471" s="43"/>
      <c r="BN471" s="43"/>
      <c r="BO471" s="43"/>
      <c r="BP471" s="43"/>
      <c r="BQ471" s="43"/>
      <c r="BR471" s="43"/>
      <c r="BS471" s="43"/>
      <c r="BT471" s="43"/>
      <c r="BU471" s="43"/>
      <c r="BV471" s="43"/>
      <c r="BW471" s="43"/>
      <c r="BX471" s="43"/>
      <c r="BY471" s="43"/>
      <c r="BZ471" s="43"/>
      <c r="CA471" s="43"/>
      <c r="CB471" s="43"/>
      <c r="CC471" s="43"/>
      <c r="CD471" s="43"/>
      <c r="CE471" s="43"/>
      <c r="CF471" s="43"/>
      <c r="CG471" s="43"/>
      <c r="CH471" s="43"/>
      <c r="CI471" s="43"/>
      <c r="CJ471" s="43"/>
      <c r="CK471" s="43"/>
      <c r="CL471" s="43"/>
      <c r="CM471" s="43"/>
      <c r="CN471" s="43"/>
      <c r="CO471" s="43"/>
      <c r="CP471" s="43"/>
      <c r="CQ471" s="43"/>
      <c r="CR471" s="43"/>
      <c r="CS471" s="43"/>
      <c r="CT471" s="43"/>
      <c r="CU471" s="43"/>
      <c r="CV471" s="43"/>
      <c r="CW471" s="43"/>
      <c r="CX471" s="43"/>
      <c r="CY471" s="43"/>
      <c r="CZ471" s="43"/>
      <c r="DA471" s="43"/>
      <c r="DB471" s="43"/>
      <c r="DC471" s="43"/>
      <c r="DD471" s="43"/>
      <c r="DE471" s="43"/>
      <c r="DF471" s="43"/>
      <c r="DG471" s="43"/>
      <c r="DH471" s="43"/>
      <c r="DI471" s="43"/>
      <c r="DJ471" s="43"/>
      <c r="DK471" s="43"/>
      <c r="DL471" s="43"/>
      <c r="DM471" s="43"/>
      <c r="DN471" s="43"/>
      <c r="DO471" s="43"/>
      <c r="DP471" s="43"/>
      <c r="DQ471" s="43"/>
      <c r="DR471" s="43"/>
      <c r="DS471" s="43"/>
    </row>
    <row r="472" spans="1:123" ht="14.45">
      <c r="A472"/>
      <c r="B472"/>
      <c r="C472"/>
      <c r="D472"/>
      <c r="E472"/>
      <c r="F472"/>
      <c r="G472"/>
      <c r="H472"/>
      <c r="I472"/>
      <c r="J472"/>
      <c r="K472" s="43"/>
      <c r="L472" s="43"/>
      <c r="M472" s="43"/>
      <c r="N472" s="43"/>
      <c r="O472" s="43"/>
      <c r="P472" s="43"/>
      <c r="Q472" s="43"/>
      <c r="R472" s="43"/>
      <c r="S472" s="43"/>
      <c r="T472" s="43"/>
      <c r="U472" s="43"/>
      <c r="V472" s="43"/>
      <c r="W472" s="43"/>
      <c r="X472" s="43"/>
      <c r="Y472" s="43"/>
      <c r="Z472" s="43"/>
      <c r="AA472" s="43"/>
      <c r="AB472" s="43"/>
      <c r="AC472" s="43"/>
      <c r="AD472" s="43"/>
      <c r="AE472" s="43"/>
      <c r="AF472" s="43"/>
      <c r="AG472" s="43"/>
      <c r="AH472" s="43"/>
      <c r="AI472" s="43"/>
      <c r="AJ472" s="43"/>
      <c r="AK472" s="43"/>
      <c r="AL472" s="43"/>
      <c r="AM472" s="43"/>
      <c r="AN472" s="43"/>
      <c r="AO472" s="43"/>
      <c r="AP472" s="43"/>
      <c r="AQ472" s="43"/>
      <c r="AR472" s="43"/>
      <c r="AS472" s="43"/>
      <c r="AT472" s="43"/>
      <c r="AU472" s="43"/>
      <c r="AV472" s="43"/>
      <c r="AW472" s="43"/>
      <c r="AX472" s="43"/>
      <c r="AY472" s="43"/>
      <c r="AZ472" s="43"/>
      <c r="BA472" s="43"/>
      <c r="BB472" s="43"/>
      <c r="BC472" s="43"/>
      <c r="BD472" s="43"/>
      <c r="BE472" s="43"/>
      <c r="BF472" s="43"/>
      <c r="BG472" s="43"/>
      <c r="BH472" s="43"/>
      <c r="BI472" s="43"/>
      <c r="BJ472" s="43"/>
      <c r="BK472" s="43"/>
      <c r="BL472" s="43"/>
      <c r="BM472" s="43"/>
      <c r="BN472" s="43"/>
      <c r="BO472" s="43"/>
      <c r="BP472" s="43"/>
      <c r="BQ472" s="43"/>
      <c r="BR472" s="43"/>
      <c r="BS472" s="43"/>
      <c r="BT472" s="43"/>
      <c r="BU472" s="43"/>
      <c r="BV472" s="43"/>
      <c r="BW472" s="43"/>
      <c r="BX472" s="43"/>
      <c r="BY472" s="43"/>
      <c r="BZ472" s="43"/>
      <c r="CA472" s="43"/>
      <c r="CB472" s="43"/>
      <c r="CC472" s="43"/>
      <c r="CD472" s="43"/>
      <c r="CE472" s="43"/>
      <c r="CF472" s="43"/>
      <c r="CG472" s="43"/>
      <c r="CH472" s="43"/>
      <c r="CI472" s="43"/>
      <c r="CJ472" s="43"/>
      <c r="CK472" s="43"/>
      <c r="CL472" s="43"/>
      <c r="CM472" s="43"/>
      <c r="CN472" s="43"/>
      <c r="CO472" s="43"/>
      <c r="CP472" s="43"/>
      <c r="CQ472" s="43"/>
      <c r="CR472" s="43"/>
      <c r="CS472" s="43"/>
      <c r="CT472" s="43"/>
      <c r="CU472" s="43"/>
      <c r="CV472" s="43"/>
      <c r="CW472" s="43"/>
      <c r="CX472" s="43"/>
      <c r="CY472" s="43"/>
      <c r="CZ472" s="43"/>
      <c r="DA472" s="43"/>
      <c r="DB472" s="43"/>
      <c r="DC472" s="43"/>
      <c r="DD472" s="43"/>
      <c r="DE472" s="43"/>
      <c r="DF472" s="43"/>
      <c r="DG472" s="43"/>
      <c r="DH472" s="43"/>
      <c r="DI472" s="43"/>
      <c r="DJ472" s="43"/>
      <c r="DK472" s="43"/>
      <c r="DL472" s="43"/>
      <c r="DM472" s="43"/>
      <c r="DN472" s="43"/>
      <c r="DO472" s="43"/>
      <c r="DP472" s="43"/>
      <c r="DQ472" s="43"/>
      <c r="DR472" s="43"/>
      <c r="DS472" s="43"/>
    </row>
    <row r="473" spans="1:123" ht="14.45">
      <c r="A473"/>
      <c r="B473"/>
      <c r="C473"/>
      <c r="D473"/>
      <c r="E473"/>
      <c r="F473"/>
      <c r="G473"/>
      <c r="H473"/>
      <c r="I473"/>
      <c r="J473"/>
      <c r="K473" s="43"/>
      <c r="L473" s="43"/>
      <c r="M473" s="43"/>
      <c r="N473" s="43"/>
      <c r="O473" s="43"/>
      <c r="P473" s="43"/>
      <c r="Q473" s="43"/>
      <c r="R473" s="43"/>
      <c r="S473" s="43"/>
      <c r="T473" s="43"/>
      <c r="U473" s="43"/>
      <c r="V473" s="43"/>
      <c r="W473" s="43"/>
      <c r="X473" s="43"/>
      <c r="Y473" s="43"/>
      <c r="Z473" s="43"/>
      <c r="AA473" s="43"/>
      <c r="AB473" s="43"/>
      <c r="AC473" s="43"/>
      <c r="AD473" s="43"/>
      <c r="AE473" s="43"/>
      <c r="AF473" s="43"/>
      <c r="AG473" s="43"/>
      <c r="AH473" s="43"/>
      <c r="AI473" s="43"/>
      <c r="AJ473" s="43"/>
      <c r="AK473" s="43"/>
      <c r="AL473" s="43"/>
      <c r="AM473" s="43"/>
      <c r="AN473" s="43"/>
      <c r="AO473" s="43"/>
      <c r="AP473" s="43"/>
      <c r="AQ473" s="43"/>
      <c r="AR473" s="43"/>
      <c r="AS473" s="43"/>
      <c r="AT473" s="43"/>
      <c r="AU473" s="43"/>
      <c r="AV473" s="43"/>
      <c r="AW473" s="43"/>
      <c r="AX473" s="43"/>
      <c r="AY473" s="43"/>
      <c r="AZ473" s="43"/>
      <c r="BA473" s="43"/>
      <c r="BB473" s="43"/>
      <c r="BC473" s="43"/>
      <c r="BD473" s="43"/>
      <c r="BE473" s="43"/>
      <c r="BF473" s="43"/>
      <c r="BG473" s="43"/>
      <c r="BH473" s="43"/>
      <c r="BI473" s="43"/>
      <c r="BJ473" s="43"/>
      <c r="BK473" s="43"/>
      <c r="BL473" s="43"/>
      <c r="BM473" s="43"/>
      <c r="BN473" s="43"/>
      <c r="BO473" s="43"/>
      <c r="BP473" s="43"/>
      <c r="BQ473" s="43"/>
      <c r="BR473" s="43"/>
      <c r="BS473" s="43"/>
      <c r="BT473" s="43"/>
      <c r="BU473" s="43"/>
      <c r="BV473" s="43"/>
      <c r="BW473" s="43"/>
      <c r="BX473" s="43"/>
      <c r="BY473" s="43"/>
      <c r="BZ473" s="43"/>
      <c r="CA473" s="43"/>
      <c r="CB473" s="43"/>
      <c r="CC473" s="43"/>
      <c r="CD473" s="43"/>
      <c r="CE473" s="43"/>
      <c r="CF473" s="43"/>
      <c r="CG473" s="43"/>
      <c r="CH473" s="43"/>
      <c r="CI473" s="43"/>
      <c r="CJ473" s="43"/>
      <c r="CK473" s="43"/>
      <c r="CL473" s="43"/>
      <c r="CM473" s="43"/>
      <c r="CN473" s="43"/>
      <c r="CO473" s="43"/>
      <c r="CP473" s="43"/>
      <c r="CQ473" s="43"/>
      <c r="CR473" s="43"/>
      <c r="CS473" s="43"/>
      <c r="CT473" s="43"/>
      <c r="CU473" s="43"/>
      <c r="CV473" s="43"/>
      <c r="CW473" s="43"/>
      <c r="CX473" s="43"/>
      <c r="CY473" s="43"/>
      <c r="CZ473" s="43"/>
      <c r="DA473" s="43"/>
      <c r="DB473" s="43"/>
      <c r="DC473" s="43"/>
      <c r="DD473" s="43"/>
      <c r="DE473" s="43"/>
      <c r="DF473" s="43"/>
      <c r="DG473" s="43"/>
      <c r="DH473" s="43"/>
      <c r="DI473" s="43"/>
      <c r="DJ473" s="43"/>
      <c r="DK473" s="43"/>
      <c r="DL473" s="43"/>
      <c r="DM473" s="43"/>
      <c r="DN473" s="43"/>
      <c r="DO473" s="43"/>
      <c r="DP473" s="43"/>
      <c r="DQ473" s="43"/>
      <c r="DR473" s="43"/>
      <c r="DS473" s="43"/>
    </row>
    <row r="474" spans="1:123" ht="14.45">
      <c r="A474"/>
      <c r="B474"/>
      <c r="C474"/>
      <c r="D474"/>
      <c r="E474"/>
      <c r="F474"/>
      <c r="G474"/>
      <c r="H474"/>
      <c r="I474"/>
      <c r="J474"/>
      <c r="K474" s="43"/>
      <c r="L474" s="43"/>
      <c r="M474" s="43"/>
      <c r="N474" s="43"/>
      <c r="O474" s="43"/>
      <c r="P474" s="43"/>
      <c r="Q474" s="43"/>
      <c r="R474" s="43"/>
      <c r="S474" s="43"/>
      <c r="T474" s="43"/>
      <c r="U474" s="43"/>
      <c r="V474" s="43"/>
      <c r="W474" s="43"/>
      <c r="X474" s="43"/>
      <c r="Y474" s="43"/>
      <c r="Z474" s="43"/>
      <c r="AA474" s="43"/>
      <c r="AB474" s="43"/>
      <c r="AC474" s="43"/>
      <c r="AD474" s="43"/>
      <c r="AE474" s="43"/>
      <c r="AF474" s="43"/>
      <c r="AG474" s="43"/>
      <c r="AH474" s="43"/>
      <c r="AI474" s="43"/>
      <c r="AJ474" s="43"/>
      <c r="AK474" s="43"/>
      <c r="AL474" s="43"/>
      <c r="AM474" s="43"/>
      <c r="AN474" s="43"/>
      <c r="AO474" s="43"/>
      <c r="AP474" s="43"/>
      <c r="AQ474" s="43"/>
      <c r="AR474" s="43"/>
      <c r="AS474" s="43"/>
      <c r="AT474" s="43"/>
      <c r="AU474" s="43"/>
      <c r="AV474" s="43"/>
      <c r="AW474" s="43"/>
      <c r="AX474" s="43"/>
      <c r="AY474" s="43"/>
      <c r="AZ474" s="43"/>
      <c r="BA474" s="43"/>
      <c r="BB474" s="43"/>
      <c r="BC474" s="43"/>
      <c r="BD474" s="43"/>
      <c r="BE474" s="43"/>
      <c r="BF474" s="43"/>
      <c r="BG474" s="43"/>
      <c r="BH474" s="43"/>
      <c r="BI474" s="43"/>
      <c r="BJ474" s="43"/>
      <c r="BK474" s="43"/>
      <c r="BL474" s="43"/>
      <c r="BM474" s="43"/>
      <c r="BN474" s="43"/>
      <c r="BO474" s="43"/>
      <c r="BP474" s="43"/>
      <c r="BQ474" s="43"/>
      <c r="BR474" s="43"/>
      <c r="BS474" s="43"/>
      <c r="BT474" s="43"/>
      <c r="BU474" s="43"/>
      <c r="BV474" s="43"/>
      <c r="BW474" s="43"/>
      <c r="BX474" s="43"/>
      <c r="BY474" s="43"/>
      <c r="BZ474" s="43"/>
      <c r="CA474" s="43"/>
      <c r="CB474" s="43"/>
      <c r="CC474" s="43"/>
      <c r="CD474" s="43"/>
      <c r="CE474" s="43"/>
      <c r="CF474" s="43"/>
      <c r="CG474" s="43"/>
      <c r="CH474" s="43"/>
      <c r="CI474" s="43"/>
      <c r="CJ474" s="43"/>
      <c r="CK474" s="43"/>
      <c r="CL474" s="43"/>
      <c r="CM474" s="43"/>
      <c r="CN474" s="43"/>
      <c r="CO474" s="43"/>
      <c r="CP474" s="43"/>
      <c r="CQ474" s="43"/>
      <c r="CR474" s="43"/>
      <c r="CS474" s="43"/>
      <c r="CT474" s="43"/>
      <c r="CU474" s="43"/>
      <c r="CV474" s="43"/>
      <c r="CW474" s="43"/>
      <c r="CX474" s="43"/>
      <c r="CY474" s="43"/>
      <c r="CZ474" s="43"/>
      <c r="DA474" s="43"/>
      <c r="DB474" s="43"/>
      <c r="DC474" s="43"/>
      <c r="DD474" s="43"/>
      <c r="DE474" s="43"/>
      <c r="DF474" s="43"/>
      <c r="DG474" s="43"/>
      <c r="DH474" s="43"/>
      <c r="DI474" s="43"/>
      <c r="DJ474" s="43"/>
      <c r="DK474" s="43"/>
      <c r="DL474" s="43"/>
      <c r="DM474" s="43"/>
      <c r="DN474" s="43"/>
      <c r="DO474" s="43"/>
      <c r="DP474" s="43"/>
      <c r="DQ474" s="43"/>
      <c r="DR474" s="43"/>
      <c r="DS474" s="43"/>
    </row>
    <row r="475" spans="1:123" ht="14.45">
      <c r="A475"/>
      <c r="B475"/>
      <c r="C475"/>
      <c r="D475"/>
      <c r="E475"/>
      <c r="F475"/>
      <c r="G475"/>
      <c r="H475"/>
      <c r="I475"/>
      <c r="J475"/>
      <c r="K475" s="43"/>
      <c r="L475" s="43"/>
      <c r="M475" s="43"/>
      <c r="N475" s="43"/>
      <c r="O475" s="43"/>
      <c r="P475" s="43"/>
      <c r="Q475" s="43"/>
      <c r="R475" s="43"/>
      <c r="S475" s="43"/>
      <c r="T475" s="43"/>
      <c r="U475" s="43"/>
      <c r="V475" s="43"/>
      <c r="W475" s="43"/>
      <c r="X475" s="43"/>
      <c r="Y475" s="43"/>
      <c r="Z475" s="43"/>
      <c r="AA475" s="43"/>
      <c r="AB475" s="43"/>
      <c r="AC475" s="43"/>
      <c r="AD475" s="43"/>
      <c r="AE475" s="43"/>
      <c r="AF475" s="43"/>
      <c r="AG475" s="43"/>
      <c r="AH475" s="43"/>
      <c r="AI475" s="43"/>
      <c r="AJ475" s="43"/>
      <c r="AK475" s="43"/>
      <c r="AL475" s="43"/>
      <c r="AM475" s="43"/>
      <c r="AN475" s="43"/>
      <c r="AO475" s="43"/>
      <c r="AP475" s="43"/>
      <c r="AQ475" s="43"/>
      <c r="AR475" s="43"/>
      <c r="AS475" s="43"/>
      <c r="AT475" s="43"/>
      <c r="AU475" s="43"/>
      <c r="AV475" s="43"/>
      <c r="AW475" s="43"/>
      <c r="AX475" s="43"/>
      <c r="AY475" s="43"/>
      <c r="AZ475" s="43"/>
      <c r="BA475" s="43"/>
      <c r="BB475" s="43"/>
      <c r="BC475" s="43"/>
      <c r="BD475" s="43"/>
      <c r="BE475" s="43"/>
      <c r="BF475" s="43"/>
      <c r="BG475" s="43"/>
      <c r="BH475" s="43"/>
      <c r="BI475" s="43"/>
      <c r="BJ475" s="43"/>
      <c r="BK475" s="43"/>
      <c r="BL475" s="43"/>
      <c r="BM475" s="43"/>
      <c r="BN475" s="43"/>
      <c r="BO475" s="43"/>
      <c r="BP475" s="43"/>
      <c r="BQ475" s="43"/>
      <c r="BR475" s="43"/>
      <c r="BS475" s="43"/>
      <c r="BT475" s="43"/>
      <c r="BU475" s="43"/>
      <c r="BV475" s="43"/>
      <c r="BW475" s="43"/>
      <c r="BX475" s="43"/>
      <c r="BY475" s="43"/>
      <c r="BZ475" s="43"/>
      <c r="CA475" s="43"/>
      <c r="CB475" s="43"/>
      <c r="CC475" s="43"/>
      <c r="CD475" s="43"/>
      <c r="CE475" s="43"/>
      <c r="CF475" s="43"/>
      <c r="CG475" s="43"/>
      <c r="CH475" s="43"/>
      <c r="CI475" s="43"/>
      <c r="CJ475" s="43"/>
      <c r="CK475" s="43"/>
      <c r="CL475" s="43"/>
      <c r="CM475" s="43"/>
      <c r="CN475" s="43"/>
      <c r="CO475" s="43"/>
      <c r="CP475" s="43"/>
      <c r="CQ475" s="43"/>
      <c r="CR475" s="43"/>
      <c r="CS475" s="43"/>
      <c r="CT475" s="43"/>
      <c r="CU475" s="43"/>
      <c r="CV475" s="43"/>
      <c r="CW475" s="43"/>
      <c r="CX475" s="43"/>
      <c r="CY475" s="43"/>
      <c r="CZ475" s="43"/>
      <c r="DA475" s="43"/>
      <c r="DB475" s="43"/>
      <c r="DC475" s="43"/>
      <c r="DD475" s="43"/>
      <c r="DE475" s="43"/>
      <c r="DF475" s="43"/>
      <c r="DG475" s="43"/>
      <c r="DH475" s="43"/>
      <c r="DI475" s="43"/>
      <c r="DJ475" s="43"/>
      <c r="DK475" s="43"/>
      <c r="DL475" s="43"/>
      <c r="DM475" s="43"/>
      <c r="DN475" s="43"/>
      <c r="DO475" s="43"/>
      <c r="DP475" s="43"/>
      <c r="DQ475" s="43"/>
      <c r="DR475" s="43"/>
      <c r="DS475" s="43"/>
    </row>
    <row r="476" spans="1:123" ht="14.45">
      <c r="A476"/>
      <c r="B476"/>
      <c r="C476"/>
      <c r="D476"/>
      <c r="E476"/>
      <c r="F476"/>
      <c r="G476"/>
      <c r="H476"/>
      <c r="I476"/>
      <c r="J476"/>
      <c r="K476" s="43"/>
      <c r="L476" s="43"/>
      <c r="M476" s="43"/>
      <c r="N476" s="43"/>
      <c r="O476" s="43"/>
      <c r="P476" s="43"/>
      <c r="Q476" s="43"/>
      <c r="R476" s="43"/>
      <c r="S476" s="43"/>
      <c r="T476" s="43"/>
      <c r="U476" s="43"/>
      <c r="V476" s="43"/>
      <c r="W476" s="43"/>
      <c r="X476" s="43"/>
      <c r="Y476" s="43"/>
      <c r="Z476" s="43"/>
      <c r="AA476" s="43"/>
      <c r="AB476" s="43"/>
      <c r="AC476" s="43"/>
      <c r="AD476" s="43"/>
      <c r="AE476" s="43"/>
      <c r="AF476" s="43"/>
      <c r="AG476" s="43"/>
      <c r="AH476" s="43"/>
      <c r="AI476" s="43"/>
      <c r="AJ476" s="43"/>
      <c r="AK476" s="43"/>
      <c r="AL476" s="43"/>
      <c r="AM476" s="43"/>
      <c r="AN476" s="43"/>
      <c r="AO476" s="43"/>
      <c r="AP476" s="43"/>
      <c r="AQ476" s="43"/>
      <c r="AR476" s="43"/>
      <c r="AS476" s="43"/>
      <c r="AT476" s="43"/>
      <c r="AU476" s="43"/>
      <c r="AV476" s="43"/>
      <c r="AW476" s="43"/>
      <c r="AX476" s="43"/>
      <c r="AY476" s="43"/>
      <c r="AZ476" s="43"/>
      <c r="BA476" s="43"/>
      <c r="BB476" s="43"/>
      <c r="BC476" s="43"/>
      <c r="BD476" s="43"/>
      <c r="BE476" s="43"/>
      <c r="BF476" s="43"/>
      <c r="BG476" s="43"/>
      <c r="BH476" s="43"/>
      <c r="BI476" s="43"/>
      <c r="BJ476" s="43"/>
      <c r="BK476" s="43"/>
      <c r="BL476" s="43"/>
      <c r="BM476" s="43"/>
      <c r="BN476" s="43"/>
      <c r="BO476" s="43"/>
      <c r="BP476" s="43"/>
      <c r="BQ476" s="43"/>
      <c r="BR476" s="43"/>
      <c r="BS476" s="43"/>
      <c r="BT476" s="43"/>
      <c r="BU476" s="43"/>
      <c r="BV476" s="43"/>
      <c r="BW476" s="43"/>
      <c r="BX476" s="43"/>
      <c r="BY476" s="43"/>
      <c r="BZ476" s="43"/>
      <c r="CA476" s="43"/>
      <c r="CB476" s="43"/>
      <c r="CC476" s="43"/>
      <c r="CD476" s="43"/>
      <c r="CE476" s="43"/>
      <c r="CF476" s="43"/>
      <c r="CG476" s="43"/>
      <c r="CH476" s="43"/>
      <c r="CI476" s="43"/>
      <c r="CJ476" s="43"/>
      <c r="CK476" s="43"/>
      <c r="CL476" s="43"/>
      <c r="CM476" s="43"/>
      <c r="CN476" s="43"/>
      <c r="CO476" s="43"/>
      <c r="CP476" s="43"/>
      <c r="CQ476" s="43"/>
      <c r="CR476" s="43"/>
      <c r="CS476" s="43"/>
      <c r="CT476" s="43"/>
      <c r="CU476" s="43"/>
      <c r="CV476" s="43"/>
      <c r="CW476" s="43"/>
      <c r="CX476" s="43"/>
      <c r="CY476" s="43"/>
      <c r="CZ476" s="43"/>
      <c r="DA476" s="43"/>
      <c r="DB476" s="43"/>
      <c r="DC476" s="43"/>
      <c r="DD476" s="43"/>
      <c r="DE476" s="43"/>
      <c r="DF476" s="43"/>
      <c r="DG476" s="43"/>
      <c r="DH476" s="43"/>
      <c r="DI476" s="43"/>
      <c r="DJ476" s="43"/>
      <c r="DK476" s="43"/>
      <c r="DL476" s="43"/>
      <c r="DM476" s="43"/>
      <c r="DN476" s="43"/>
      <c r="DO476" s="43"/>
      <c r="DP476" s="43"/>
      <c r="DQ476" s="43"/>
      <c r="DR476" s="43"/>
      <c r="DS476" s="43"/>
    </row>
    <row r="477" spans="1:123" ht="14.45">
      <c r="A477"/>
      <c r="B477"/>
      <c r="C477"/>
      <c r="D477"/>
      <c r="E477"/>
      <c r="F477"/>
      <c r="G477"/>
      <c r="H477"/>
      <c r="I477"/>
      <c r="J477"/>
      <c r="K477" s="43"/>
      <c r="L477" s="43"/>
      <c r="M477" s="43"/>
      <c r="N477" s="43"/>
      <c r="O477" s="43"/>
      <c r="P477" s="43"/>
      <c r="Q477" s="43"/>
      <c r="R477" s="43"/>
      <c r="S477" s="43"/>
      <c r="T477" s="43"/>
      <c r="U477" s="43"/>
      <c r="V477" s="43"/>
      <c r="W477" s="43"/>
      <c r="X477" s="43"/>
      <c r="Y477" s="43"/>
      <c r="Z477" s="43"/>
      <c r="AA477" s="43"/>
      <c r="AB477" s="43"/>
      <c r="AC477" s="43"/>
      <c r="AD477" s="43"/>
      <c r="AE477" s="43"/>
      <c r="AF477" s="43"/>
      <c r="AG477" s="43"/>
      <c r="AH477" s="43"/>
      <c r="AI477" s="43"/>
      <c r="AJ477" s="43"/>
      <c r="AK477" s="43"/>
      <c r="AL477" s="43"/>
      <c r="AM477" s="43"/>
      <c r="AN477" s="43"/>
      <c r="AO477" s="43"/>
      <c r="AP477" s="43"/>
      <c r="AQ477" s="43"/>
      <c r="AR477" s="43"/>
      <c r="AS477" s="43"/>
      <c r="AT477" s="43"/>
      <c r="AU477" s="43"/>
      <c r="AV477" s="43"/>
      <c r="AW477" s="43"/>
      <c r="AX477" s="43"/>
      <c r="AY477" s="43"/>
      <c r="AZ477" s="43"/>
      <c r="BA477" s="43"/>
      <c r="BB477" s="43"/>
      <c r="BC477" s="43"/>
      <c r="BD477" s="43"/>
      <c r="BE477" s="43"/>
      <c r="BF477" s="43"/>
      <c r="BG477" s="43"/>
      <c r="BH477" s="43"/>
      <c r="BI477" s="43"/>
      <c r="BJ477" s="43"/>
      <c r="BK477" s="43"/>
      <c r="BL477" s="43"/>
      <c r="BM477" s="43"/>
      <c r="BN477" s="43"/>
      <c r="BO477" s="43"/>
      <c r="BP477" s="43"/>
      <c r="BQ477" s="43"/>
      <c r="BR477" s="43"/>
      <c r="BS477" s="43"/>
      <c r="BT477" s="43"/>
      <c r="BU477" s="43"/>
      <c r="BV477" s="43"/>
      <c r="BW477" s="43"/>
      <c r="BX477" s="43"/>
      <c r="BY477" s="43"/>
      <c r="BZ477" s="43"/>
      <c r="CA477" s="43"/>
      <c r="CB477" s="43"/>
      <c r="CC477" s="43"/>
      <c r="CD477" s="43"/>
      <c r="CE477" s="43"/>
      <c r="CF477" s="43"/>
      <c r="CG477" s="43"/>
      <c r="CH477" s="43"/>
      <c r="CI477" s="43"/>
      <c r="CJ477" s="43"/>
      <c r="CK477" s="43"/>
      <c r="CL477" s="43"/>
      <c r="CM477" s="43"/>
      <c r="CN477" s="43"/>
      <c r="CO477" s="43"/>
      <c r="CP477" s="43"/>
      <c r="CQ477" s="43"/>
      <c r="CR477" s="43"/>
      <c r="CS477" s="43"/>
      <c r="CT477" s="43"/>
      <c r="CU477" s="43"/>
      <c r="CV477" s="43"/>
      <c r="CW477" s="43"/>
      <c r="CX477" s="43"/>
      <c r="CY477" s="43"/>
      <c r="CZ477" s="43"/>
      <c r="DA477" s="43"/>
      <c r="DB477" s="43"/>
      <c r="DC477" s="43"/>
      <c r="DD477" s="43"/>
      <c r="DE477" s="43"/>
      <c r="DF477" s="43"/>
      <c r="DG477" s="43"/>
      <c r="DH477" s="43"/>
      <c r="DI477" s="43"/>
      <c r="DJ477" s="43"/>
      <c r="DK477" s="43"/>
      <c r="DL477" s="43"/>
      <c r="DM477" s="43"/>
      <c r="DN477" s="43"/>
      <c r="DO477" s="43"/>
      <c r="DP477" s="43"/>
      <c r="DQ477" s="43"/>
      <c r="DR477" s="43"/>
      <c r="DS477" s="43"/>
    </row>
    <row r="478" spans="1:123" ht="14.45">
      <c r="A478"/>
      <c r="B478"/>
      <c r="C478"/>
      <c r="D478"/>
      <c r="E478"/>
      <c r="F478"/>
      <c r="G478"/>
      <c r="H478"/>
      <c r="I478"/>
      <c r="J478"/>
      <c r="K478" s="43"/>
      <c r="L478" s="43"/>
      <c r="M478" s="43"/>
      <c r="N478" s="43"/>
      <c r="O478" s="43"/>
      <c r="P478" s="43"/>
      <c r="Q478" s="43"/>
      <c r="R478" s="43"/>
      <c r="S478" s="43"/>
      <c r="T478" s="43"/>
      <c r="U478" s="43"/>
      <c r="V478" s="43"/>
      <c r="W478" s="43"/>
      <c r="X478" s="43"/>
      <c r="Y478" s="43"/>
      <c r="Z478" s="43"/>
      <c r="AA478" s="43"/>
      <c r="AB478" s="43"/>
      <c r="AC478" s="43"/>
      <c r="AD478" s="43"/>
      <c r="AE478" s="43"/>
      <c r="AF478" s="43"/>
      <c r="AG478" s="43"/>
      <c r="AH478" s="43"/>
      <c r="AI478" s="43"/>
      <c r="AJ478" s="43"/>
      <c r="AK478" s="43"/>
      <c r="AL478" s="43"/>
      <c r="AM478" s="43"/>
      <c r="AN478" s="43"/>
      <c r="AO478" s="43"/>
      <c r="AP478" s="43"/>
      <c r="AQ478" s="43"/>
      <c r="AR478" s="43"/>
      <c r="AS478" s="43"/>
      <c r="AT478" s="43"/>
      <c r="AU478" s="43"/>
      <c r="AV478" s="43"/>
      <c r="AW478" s="43"/>
      <c r="AX478" s="43"/>
      <c r="AY478" s="43"/>
      <c r="AZ478" s="43"/>
      <c r="BA478" s="43"/>
      <c r="BB478" s="43"/>
      <c r="BC478" s="43"/>
      <c r="BD478" s="43"/>
      <c r="BE478" s="43"/>
      <c r="BF478" s="43"/>
      <c r="BG478" s="43"/>
      <c r="BH478" s="43"/>
      <c r="BI478" s="43"/>
      <c r="BJ478" s="43"/>
      <c r="BK478" s="43"/>
      <c r="BL478" s="43"/>
      <c r="BM478" s="43"/>
      <c r="BN478" s="43"/>
      <c r="BO478" s="43"/>
      <c r="BP478" s="43"/>
      <c r="BQ478" s="43"/>
      <c r="BR478" s="43"/>
      <c r="BS478" s="43"/>
      <c r="BT478" s="43"/>
      <c r="BU478" s="43"/>
      <c r="BV478" s="43"/>
      <c r="BW478" s="43"/>
      <c r="BX478" s="43"/>
      <c r="BY478" s="43"/>
      <c r="BZ478" s="43"/>
      <c r="CA478" s="43"/>
      <c r="CB478" s="43"/>
      <c r="CC478" s="43"/>
      <c r="CD478" s="43"/>
      <c r="CE478" s="43"/>
      <c r="CF478" s="43"/>
      <c r="CG478" s="43"/>
      <c r="CH478" s="43"/>
      <c r="CI478" s="43"/>
      <c r="CJ478" s="43"/>
      <c r="CK478" s="43"/>
      <c r="CL478" s="43"/>
      <c r="CM478" s="43"/>
      <c r="CN478" s="43"/>
      <c r="CO478" s="43"/>
      <c r="CP478" s="43"/>
      <c r="CQ478" s="43"/>
      <c r="CR478" s="43"/>
      <c r="CS478" s="43"/>
      <c r="CT478" s="43"/>
      <c r="CU478" s="43"/>
      <c r="CV478" s="43"/>
      <c r="CW478" s="43"/>
      <c r="CX478" s="43"/>
      <c r="CY478" s="43"/>
      <c r="CZ478" s="43"/>
      <c r="DA478" s="43"/>
      <c r="DB478" s="43"/>
      <c r="DC478" s="43"/>
      <c r="DD478" s="43"/>
      <c r="DE478" s="43"/>
      <c r="DF478" s="43"/>
      <c r="DG478" s="43"/>
      <c r="DH478" s="43"/>
      <c r="DI478" s="43"/>
      <c r="DJ478" s="43"/>
      <c r="DK478" s="43"/>
      <c r="DL478" s="43"/>
      <c r="DM478" s="43"/>
      <c r="DN478" s="43"/>
      <c r="DO478" s="43"/>
      <c r="DP478" s="43"/>
      <c r="DQ478" s="43"/>
      <c r="DR478" s="43"/>
      <c r="DS478" s="43"/>
    </row>
    <row r="479" spans="1:123" ht="14.45">
      <c r="A479"/>
      <c r="B479"/>
      <c r="C479"/>
      <c r="D479"/>
      <c r="E479"/>
      <c r="F479"/>
      <c r="G479"/>
      <c r="H479"/>
      <c r="I479"/>
      <c r="J479"/>
      <c r="K479" s="43"/>
      <c r="L479" s="43"/>
      <c r="M479" s="43"/>
      <c r="N479" s="43"/>
      <c r="O479" s="43"/>
      <c r="P479" s="43"/>
      <c r="Q479" s="43"/>
      <c r="R479" s="43"/>
      <c r="S479" s="43"/>
      <c r="T479" s="43"/>
      <c r="U479" s="43"/>
      <c r="V479" s="43"/>
      <c r="W479" s="43"/>
      <c r="X479" s="43"/>
      <c r="Y479" s="43"/>
      <c r="Z479" s="43"/>
      <c r="AA479" s="43"/>
      <c r="AB479" s="43"/>
      <c r="AC479" s="43"/>
      <c r="AD479" s="43"/>
      <c r="AE479" s="43"/>
      <c r="AF479" s="43"/>
      <c r="AG479" s="43"/>
      <c r="AH479" s="43"/>
      <c r="AI479" s="43"/>
      <c r="AJ479" s="43"/>
      <c r="AK479" s="43"/>
      <c r="AL479" s="43"/>
      <c r="AM479" s="43"/>
      <c r="AN479" s="43"/>
      <c r="AO479" s="43"/>
      <c r="AP479" s="43"/>
      <c r="AQ479" s="43"/>
      <c r="AR479" s="43"/>
      <c r="AS479" s="43"/>
      <c r="AT479" s="43"/>
      <c r="AU479" s="43"/>
      <c r="AV479" s="43"/>
      <c r="AW479" s="43"/>
      <c r="AX479" s="43"/>
      <c r="AY479" s="43"/>
      <c r="AZ479" s="43"/>
      <c r="BA479" s="43"/>
      <c r="BB479" s="43"/>
      <c r="BC479" s="43"/>
      <c r="BD479" s="43"/>
      <c r="BE479" s="43"/>
      <c r="BF479" s="43"/>
      <c r="BG479" s="43"/>
      <c r="BH479" s="43"/>
      <c r="BI479" s="43"/>
      <c r="BJ479" s="43"/>
      <c r="BK479" s="43"/>
      <c r="BL479" s="43"/>
      <c r="BM479" s="43"/>
      <c r="BN479" s="43"/>
      <c r="BO479" s="43"/>
      <c r="BP479" s="43"/>
      <c r="BQ479" s="43"/>
      <c r="BR479" s="43"/>
      <c r="BS479" s="43"/>
      <c r="BT479" s="43"/>
      <c r="BU479" s="43"/>
      <c r="BV479" s="43"/>
      <c r="BW479" s="43"/>
      <c r="BX479" s="43"/>
      <c r="BY479" s="43"/>
      <c r="BZ479" s="43"/>
      <c r="CA479" s="43"/>
      <c r="CB479" s="43"/>
      <c r="CC479" s="43"/>
      <c r="CD479" s="43"/>
      <c r="CE479" s="43"/>
      <c r="CF479" s="43"/>
      <c r="CG479" s="43"/>
      <c r="CH479" s="43"/>
      <c r="CI479" s="43"/>
      <c r="CJ479" s="43"/>
      <c r="CK479" s="43"/>
      <c r="CL479" s="43"/>
      <c r="CM479" s="43"/>
      <c r="CN479" s="43"/>
      <c r="CO479" s="43"/>
      <c r="CP479" s="43"/>
      <c r="CQ479" s="43"/>
      <c r="CR479" s="43"/>
      <c r="CS479" s="43"/>
      <c r="CT479" s="43"/>
      <c r="CU479" s="43"/>
      <c r="CV479" s="43"/>
      <c r="CW479" s="43"/>
      <c r="CX479" s="43"/>
      <c r="CY479" s="43"/>
      <c r="CZ479" s="43"/>
      <c r="DA479" s="43"/>
      <c r="DB479" s="43"/>
      <c r="DC479" s="43"/>
      <c r="DD479" s="43"/>
      <c r="DE479" s="43"/>
      <c r="DF479" s="43"/>
      <c r="DG479" s="43"/>
      <c r="DH479" s="43"/>
      <c r="DI479" s="43"/>
      <c r="DJ479" s="43"/>
      <c r="DK479" s="43"/>
      <c r="DL479" s="43"/>
      <c r="DM479" s="43"/>
      <c r="DN479" s="43"/>
      <c r="DO479" s="43"/>
      <c r="DP479" s="43"/>
      <c r="DQ479" s="43"/>
      <c r="DR479" s="43"/>
      <c r="DS479" s="43"/>
    </row>
    <row r="480" spans="1:123" ht="14.45">
      <c r="A480"/>
      <c r="B480"/>
      <c r="C480"/>
      <c r="D480"/>
      <c r="E480"/>
      <c r="F480"/>
      <c r="G480"/>
      <c r="H480"/>
      <c r="I480"/>
      <c r="J480"/>
      <c r="K480" s="43"/>
      <c r="L480" s="43"/>
      <c r="M480" s="43"/>
      <c r="N480" s="43"/>
      <c r="O480" s="43"/>
      <c r="P480" s="43"/>
      <c r="Q480" s="43"/>
      <c r="R480" s="43"/>
      <c r="S480" s="43"/>
      <c r="T480" s="43"/>
      <c r="U480" s="43"/>
      <c r="V480" s="43"/>
      <c r="W480" s="43"/>
      <c r="X480" s="43"/>
      <c r="Y480" s="43"/>
      <c r="Z480" s="43"/>
      <c r="AA480" s="43"/>
      <c r="AB480" s="43"/>
      <c r="AC480" s="43"/>
      <c r="AD480" s="43"/>
      <c r="AE480" s="43"/>
      <c r="AF480" s="43"/>
      <c r="AG480" s="43"/>
      <c r="AH480" s="43"/>
      <c r="AI480" s="43"/>
      <c r="AJ480" s="43"/>
      <c r="AK480" s="43"/>
      <c r="AL480" s="43"/>
      <c r="AM480" s="43"/>
      <c r="AN480" s="43"/>
      <c r="AO480" s="43"/>
      <c r="AP480" s="43"/>
      <c r="AQ480" s="43"/>
      <c r="AR480" s="43"/>
      <c r="AS480" s="43"/>
      <c r="AT480" s="43"/>
      <c r="AU480" s="43"/>
      <c r="AV480" s="43"/>
      <c r="AW480" s="43"/>
      <c r="AX480" s="43"/>
      <c r="AY480" s="43"/>
      <c r="AZ480" s="43"/>
      <c r="BA480" s="43"/>
      <c r="BB480" s="43"/>
      <c r="BC480" s="43"/>
      <c r="BD480" s="43"/>
      <c r="BE480" s="43"/>
      <c r="BF480" s="43"/>
      <c r="BG480" s="43"/>
      <c r="BH480" s="43"/>
      <c r="BI480" s="43"/>
      <c r="BJ480" s="43"/>
      <c r="BK480" s="43"/>
      <c r="BL480" s="43"/>
      <c r="BM480" s="43"/>
      <c r="BN480" s="43"/>
      <c r="BO480" s="43"/>
      <c r="BP480" s="43"/>
      <c r="BQ480" s="43"/>
      <c r="BR480" s="43"/>
      <c r="BS480" s="43"/>
      <c r="BT480" s="43"/>
      <c r="BU480" s="43"/>
      <c r="BV480" s="43"/>
      <c r="BW480" s="43"/>
      <c r="BX480" s="43"/>
      <c r="BY480" s="43"/>
      <c r="BZ480" s="43"/>
      <c r="CA480" s="43"/>
      <c r="CB480" s="43"/>
      <c r="CC480" s="43"/>
      <c r="CD480" s="43"/>
      <c r="CE480" s="43"/>
      <c r="CF480" s="43"/>
      <c r="CG480" s="43"/>
      <c r="CH480" s="43"/>
      <c r="CI480" s="43"/>
      <c r="CJ480" s="43"/>
      <c r="CK480" s="43"/>
      <c r="CL480" s="43"/>
      <c r="CM480" s="43"/>
      <c r="CN480" s="43"/>
      <c r="CO480" s="43"/>
      <c r="CP480" s="43"/>
      <c r="CQ480" s="43"/>
      <c r="CR480" s="43"/>
      <c r="CS480" s="43"/>
      <c r="CT480" s="43"/>
      <c r="CU480" s="43"/>
      <c r="CV480" s="43"/>
      <c r="CW480" s="43"/>
      <c r="CX480" s="43"/>
      <c r="CY480" s="43"/>
      <c r="CZ480" s="43"/>
      <c r="DA480" s="43"/>
      <c r="DB480" s="43"/>
      <c r="DC480" s="43"/>
      <c r="DD480" s="43"/>
      <c r="DE480" s="43"/>
      <c r="DF480" s="43"/>
      <c r="DG480" s="43"/>
      <c r="DH480" s="43"/>
      <c r="DI480" s="43"/>
      <c r="DJ480" s="43"/>
      <c r="DK480" s="43"/>
      <c r="DL480" s="43"/>
      <c r="DM480" s="43"/>
      <c r="DN480" s="43"/>
      <c r="DO480" s="43"/>
      <c r="DP480" s="43"/>
      <c r="DQ480" s="43"/>
      <c r="DR480" s="43"/>
      <c r="DS480" s="43"/>
    </row>
    <row r="481" spans="1:123" ht="14.45">
      <c r="A481"/>
      <c r="B481"/>
      <c r="C481"/>
      <c r="D481"/>
      <c r="E481"/>
      <c r="F481"/>
      <c r="G481"/>
      <c r="H481"/>
      <c r="I481"/>
      <c r="J481"/>
      <c r="K481" s="43"/>
      <c r="L481" s="43"/>
      <c r="M481" s="43"/>
      <c r="N481" s="43"/>
      <c r="O481" s="43"/>
      <c r="P481" s="43"/>
      <c r="Q481" s="43"/>
      <c r="R481" s="43"/>
      <c r="S481" s="43"/>
      <c r="T481" s="43"/>
      <c r="U481" s="43"/>
      <c r="V481" s="43"/>
      <c r="W481" s="43"/>
      <c r="X481" s="43"/>
      <c r="Y481" s="43"/>
      <c r="Z481" s="43"/>
      <c r="AA481" s="43"/>
      <c r="AB481" s="43"/>
      <c r="AC481" s="43"/>
      <c r="AD481" s="43"/>
      <c r="AE481" s="43"/>
      <c r="AF481" s="43"/>
      <c r="AG481" s="43"/>
      <c r="AH481" s="43"/>
      <c r="AI481" s="43"/>
      <c r="AJ481" s="43"/>
      <c r="AK481" s="43"/>
      <c r="AL481" s="43"/>
      <c r="AM481" s="43"/>
      <c r="AN481" s="43"/>
      <c r="AO481" s="43"/>
      <c r="AP481" s="43"/>
      <c r="AQ481" s="43"/>
      <c r="AR481" s="43"/>
      <c r="AS481" s="43"/>
      <c r="AT481" s="43"/>
      <c r="AU481" s="43"/>
      <c r="AV481" s="43"/>
      <c r="AW481" s="43"/>
      <c r="AX481" s="43"/>
      <c r="AY481" s="43"/>
      <c r="AZ481" s="43"/>
      <c r="BA481" s="43"/>
      <c r="BB481" s="43"/>
      <c r="BC481" s="43"/>
      <c r="BD481" s="43"/>
      <c r="BE481" s="43"/>
      <c r="BF481" s="43"/>
      <c r="BG481" s="43"/>
      <c r="BH481" s="43"/>
      <c r="BI481" s="43"/>
      <c r="BJ481" s="43"/>
      <c r="BK481" s="43"/>
      <c r="BL481" s="43"/>
      <c r="BM481" s="43"/>
      <c r="BN481" s="43"/>
      <c r="BO481" s="43"/>
      <c r="BP481" s="43"/>
      <c r="BQ481" s="43"/>
      <c r="BR481" s="43"/>
      <c r="BS481" s="43"/>
      <c r="BT481" s="43"/>
      <c r="BU481" s="43"/>
      <c r="BV481" s="43"/>
      <c r="BW481" s="43"/>
      <c r="BX481" s="43"/>
      <c r="BY481" s="43"/>
      <c r="BZ481" s="43"/>
      <c r="CA481" s="43"/>
      <c r="CB481" s="43"/>
      <c r="CC481" s="43"/>
      <c r="CD481" s="43"/>
      <c r="CE481" s="43"/>
      <c r="CF481" s="43"/>
      <c r="CG481" s="43"/>
      <c r="CH481" s="43"/>
      <c r="CI481" s="43"/>
      <c r="CJ481" s="43"/>
      <c r="CK481" s="43"/>
      <c r="CL481" s="43"/>
      <c r="CM481" s="43"/>
      <c r="CN481" s="43"/>
      <c r="CO481" s="43"/>
      <c r="CP481" s="43"/>
      <c r="CQ481" s="43"/>
      <c r="CR481" s="43"/>
      <c r="CS481" s="43"/>
      <c r="CT481" s="43"/>
      <c r="CU481" s="43"/>
      <c r="CV481" s="43"/>
      <c r="CW481" s="43"/>
      <c r="CX481" s="43"/>
      <c r="CY481" s="43"/>
      <c r="CZ481" s="43"/>
      <c r="DA481" s="43"/>
      <c r="DB481" s="43"/>
      <c r="DC481" s="43"/>
      <c r="DD481" s="43"/>
      <c r="DE481" s="43"/>
      <c r="DF481" s="43"/>
      <c r="DG481" s="43"/>
      <c r="DH481" s="43"/>
      <c r="DI481" s="43"/>
      <c r="DJ481" s="43"/>
      <c r="DK481" s="43"/>
      <c r="DL481" s="43"/>
      <c r="DM481" s="43"/>
      <c r="DN481" s="43"/>
      <c r="DO481" s="43"/>
      <c r="DP481" s="43"/>
      <c r="DQ481" s="43"/>
      <c r="DR481" s="43"/>
      <c r="DS481" s="43"/>
    </row>
    <row r="482" spans="1:123" ht="14.45">
      <c r="A482"/>
      <c r="B482"/>
      <c r="C482"/>
      <c r="D482"/>
      <c r="E482"/>
      <c r="F482"/>
      <c r="G482"/>
      <c r="H482"/>
      <c r="I482"/>
      <c r="J482"/>
      <c r="K482" s="43"/>
      <c r="L482" s="43"/>
      <c r="M482" s="43"/>
      <c r="N482" s="43"/>
      <c r="O482" s="43"/>
      <c r="P482" s="43"/>
      <c r="Q482" s="43"/>
      <c r="R482" s="43"/>
      <c r="S482" s="43"/>
      <c r="T482" s="43"/>
      <c r="U482" s="43"/>
      <c r="V482" s="43"/>
      <c r="W482" s="43"/>
      <c r="X482" s="43"/>
      <c r="Y482" s="43"/>
      <c r="Z482" s="43"/>
      <c r="AA482" s="43"/>
      <c r="AB482" s="43"/>
      <c r="AC482" s="43"/>
      <c r="AD482" s="43"/>
      <c r="AE482" s="43"/>
      <c r="AF482" s="43"/>
      <c r="AG482" s="43"/>
      <c r="AH482" s="43"/>
      <c r="AI482" s="43"/>
      <c r="AJ482" s="43"/>
      <c r="AK482" s="43"/>
      <c r="AL482" s="43"/>
      <c r="AM482" s="43"/>
      <c r="AN482" s="43"/>
      <c r="AO482" s="43"/>
      <c r="AP482" s="43"/>
      <c r="AQ482" s="43"/>
      <c r="AR482" s="43"/>
      <c r="AS482" s="43"/>
      <c r="AT482" s="43"/>
      <c r="AU482" s="43"/>
      <c r="AV482" s="43"/>
      <c r="AW482" s="43"/>
      <c r="AX482" s="43"/>
      <c r="AY482" s="43"/>
      <c r="AZ482" s="43"/>
      <c r="BA482" s="43"/>
      <c r="BB482" s="43"/>
      <c r="BC482" s="43"/>
      <c r="BD482" s="43"/>
      <c r="BE482" s="43"/>
      <c r="BF482" s="43"/>
      <c r="BG482" s="43"/>
      <c r="BH482" s="43"/>
      <c r="BI482" s="43"/>
      <c r="BJ482" s="43"/>
      <c r="BK482" s="43"/>
      <c r="BL482" s="43"/>
      <c r="BM482" s="43"/>
      <c r="BN482" s="43"/>
      <c r="BO482" s="43"/>
      <c r="BP482" s="43"/>
      <c r="BQ482" s="43"/>
      <c r="BR482" s="43"/>
      <c r="BS482" s="43"/>
      <c r="BT482" s="43"/>
      <c r="BU482" s="43"/>
      <c r="BV482" s="43"/>
      <c r="BW482" s="43"/>
      <c r="BX482" s="43"/>
      <c r="BY482" s="43"/>
      <c r="BZ482" s="43"/>
      <c r="CA482" s="43"/>
      <c r="CB482" s="43"/>
      <c r="CC482" s="43"/>
      <c r="CD482" s="43"/>
      <c r="CE482" s="43"/>
      <c r="CF482" s="43"/>
      <c r="CG482" s="43"/>
      <c r="CH482" s="43"/>
      <c r="CI482" s="43"/>
      <c r="CJ482" s="43"/>
      <c r="CK482" s="43"/>
      <c r="CL482" s="43"/>
      <c r="CM482" s="43"/>
      <c r="CN482" s="43"/>
      <c r="CO482" s="43"/>
      <c r="CP482" s="43"/>
      <c r="CQ482" s="43"/>
      <c r="CR482" s="43"/>
      <c r="CS482" s="43"/>
      <c r="CT482" s="43"/>
      <c r="CU482" s="43"/>
      <c r="CV482" s="43"/>
      <c r="CW482" s="43"/>
      <c r="CX482" s="43"/>
      <c r="CY482" s="43"/>
      <c r="CZ482" s="43"/>
      <c r="DA482" s="43"/>
      <c r="DB482" s="43"/>
      <c r="DC482" s="43"/>
      <c r="DD482" s="43"/>
      <c r="DE482" s="43"/>
      <c r="DF482" s="43"/>
      <c r="DG482" s="43"/>
      <c r="DH482" s="43"/>
      <c r="DI482" s="43"/>
      <c r="DJ482" s="43"/>
      <c r="DK482" s="43"/>
      <c r="DL482" s="43"/>
      <c r="DM482" s="43"/>
      <c r="DN482" s="43"/>
      <c r="DO482" s="43"/>
      <c r="DP482" s="43"/>
      <c r="DQ482" s="43"/>
      <c r="DR482" s="43"/>
      <c r="DS482" s="43"/>
    </row>
    <row r="483" spans="1:123" ht="14.45">
      <c r="A483"/>
      <c r="B483"/>
      <c r="C483"/>
      <c r="D483"/>
      <c r="E483"/>
      <c r="F483"/>
      <c r="G483"/>
      <c r="H483"/>
      <c r="I483"/>
      <c r="J483"/>
      <c r="K483" s="43"/>
      <c r="L483" s="43"/>
      <c r="M483" s="43"/>
      <c r="N483" s="43"/>
      <c r="O483" s="43"/>
      <c r="P483" s="43"/>
      <c r="Q483" s="43"/>
      <c r="R483" s="43"/>
      <c r="S483" s="43"/>
      <c r="T483" s="43"/>
      <c r="U483" s="43"/>
      <c r="V483" s="43"/>
      <c r="W483" s="43"/>
      <c r="X483" s="43"/>
      <c r="Y483" s="43"/>
      <c r="Z483" s="43"/>
      <c r="AA483" s="43"/>
      <c r="AB483" s="43"/>
      <c r="AC483" s="43"/>
      <c r="AD483" s="43"/>
      <c r="AE483" s="43"/>
      <c r="AF483" s="43"/>
      <c r="AG483" s="43"/>
      <c r="AH483" s="43"/>
      <c r="AI483" s="43"/>
      <c r="AJ483" s="43"/>
      <c r="AK483" s="43"/>
      <c r="AL483" s="43"/>
      <c r="AM483" s="43"/>
      <c r="AN483" s="43"/>
      <c r="AO483" s="43"/>
      <c r="AP483" s="43"/>
      <c r="AQ483" s="43"/>
      <c r="AR483" s="43"/>
      <c r="AS483" s="43"/>
      <c r="AT483" s="43"/>
      <c r="AU483" s="43"/>
      <c r="AV483" s="43"/>
      <c r="AW483" s="43"/>
      <c r="AX483" s="43"/>
      <c r="AY483" s="43"/>
      <c r="AZ483" s="43"/>
      <c r="BA483" s="43"/>
      <c r="BB483" s="43"/>
      <c r="BC483" s="43"/>
      <c r="BD483" s="43"/>
      <c r="BE483" s="43"/>
      <c r="BF483" s="43"/>
      <c r="BG483" s="43"/>
      <c r="BH483" s="43"/>
      <c r="BI483" s="43"/>
      <c r="BJ483" s="43"/>
      <c r="BK483" s="43"/>
      <c r="BL483" s="43"/>
      <c r="BM483" s="43"/>
      <c r="BN483" s="43"/>
      <c r="BO483" s="43"/>
      <c r="BP483" s="43"/>
      <c r="BQ483" s="43"/>
      <c r="BR483" s="43"/>
      <c r="BS483" s="43"/>
      <c r="BT483" s="43"/>
      <c r="BU483" s="43"/>
      <c r="BV483" s="43"/>
      <c r="BW483" s="43"/>
      <c r="BX483" s="43"/>
      <c r="BY483" s="43"/>
      <c r="BZ483" s="43"/>
      <c r="CA483" s="43"/>
      <c r="CB483" s="43"/>
      <c r="CC483" s="43"/>
      <c r="CD483" s="43"/>
      <c r="CE483" s="43"/>
      <c r="CF483" s="43"/>
      <c r="CG483" s="43"/>
      <c r="CH483" s="43"/>
      <c r="CI483" s="43"/>
      <c r="CJ483" s="43"/>
      <c r="CK483" s="43"/>
      <c r="CL483" s="43"/>
      <c r="CM483" s="43"/>
      <c r="CN483" s="43"/>
      <c r="CO483" s="43"/>
      <c r="CP483" s="43"/>
      <c r="CQ483" s="43"/>
      <c r="CR483" s="43"/>
      <c r="CS483" s="43"/>
      <c r="CT483" s="43"/>
      <c r="CU483" s="43"/>
      <c r="CV483" s="43"/>
      <c r="CW483" s="43"/>
      <c r="CX483" s="43"/>
      <c r="CY483" s="43"/>
      <c r="CZ483" s="43"/>
      <c r="DA483" s="43"/>
      <c r="DB483" s="43"/>
      <c r="DC483" s="43"/>
      <c r="DD483" s="43"/>
      <c r="DE483" s="43"/>
      <c r="DF483" s="43"/>
      <c r="DG483" s="43"/>
      <c r="DH483" s="43"/>
      <c r="DI483" s="43"/>
      <c r="DJ483" s="43"/>
      <c r="DK483" s="43"/>
      <c r="DL483" s="43"/>
      <c r="DM483" s="43"/>
      <c r="DN483" s="43"/>
      <c r="DO483" s="43"/>
      <c r="DP483" s="43"/>
      <c r="DQ483" s="43"/>
      <c r="DR483" s="43"/>
      <c r="DS483" s="43"/>
    </row>
    <row r="484" spans="1:123" ht="14.45">
      <c r="A484"/>
      <c r="B484"/>
      <c r="C484"/>
      <c r="D484"/>
      <c r="E484"/>
      <c r="F484"/>
      <c r="G484"/>
      <c r="H484"/>
      <c r="I484"/>
      <c r="J484"/>
      <c r="K484" s="43"/>
      <c r="L484" s="43"/>
      <c r="M484" s="43"/>
      <c r="N484" s="43"/>
      <c r="O484" s="43"/>
      <c r="P484" s="43"/>
      <c r="Q484" s="43"/>
      <c r="R484" s="43"/>
      <c r="S484" s="43"/>
      <c r="T484" s="43"/>
      <c r="U484" s="43"/>
      <c r="V484" s="43"/>
      <c r="W484" s="43"/>
      <c r="X484" s="43"/>
      <c r="Y484" s="43"/>
      <c r="Z484" s="43"/>
      <c r="AA484" s="43"/>
      <c r="AB484" s="43"/>
      <c r="AC484" s="43"/>
      <c r="AD484" s="43"/>
      <c r="AE484" s="43"/>
      <c r="AF484" s="43"/>
      <c r="AG484" s="43"/>
      <c r="AH484" s="43"/>
      <c r="AI484" s="43"/>
      <c r="AJ484" s="43"/>
      <c r="AK484" s="43"/>
      <c r="AL484" s="43"/>
      <c r="AM484" s="43"/>
      <c r="AN484" s="43"/>
      <c r="AO484" s="43"/>
      <c r="AP484" s="43"/>
      <c r="AQ484" s="43"/>
      <c r="AR484" s="43"/>
      <c r="AS484" s="43"/>
      <c r="AT484" s="43"/>
      <c r="AU484" s="43"/>
      <c r="AV484" s="43"/>
      <c r="AW484" s="43"/>
      <c r="AX484" s="43"/>
      <c r="AY484" s="43"/>
      <c r="AZ484" s="43"/>
      <c r="BA484" s="43"/>
      <c r="BB484" s="43"/>
      <c r="BC484" s="43"/>
      <c r="BD484" s="43"/>
      <c r="BE484" s="43"/>
      <c r="BF484" s="43"/>
      <c r="BG484" s="43"/>
      <c r="BH484" s="43"/>
      <c r="BI484" s="43"/>
      <c r="BJ484" s="43"/>
      <c r="BK484" s="43"/>
      <c r="BL484" s="43"/>
      <c r="BM484" s="43"/>
      <c r="BN484" s="43"/>
      <c r="BO484" s="43"/>
      <c r="BP484" s="43"/>
      <c r="BQ484" s="43"/>
      <c r="BR484" s="43"/>
      <c r="BS484" s="43"/>
      <c r="BT484" s="43"/>
      <c r="BU484" s="43"/>
      <c r="BV484" s="43"/>
      <c r="BW484" s="43"/>
      <c r="BX484" s="43"/>
      <c r="BY484" s="43"/>
      <c r="BZ484" s="43"/>
      <c r="CA484" s="43"/>
      <c r="CB484" s="43"/>
      <c r="CC484" s="43"/>
      <c r="CD484" s="43"/>
      <c r="CE484" s="43"/>
      <c r="CF484" s="43"/>
      <c r="CG484" s="43"/>
      <c r="CH484" s="43"/>
      <c r="CI484" s="43"/>
      <c r="CJ484" s="43"/>
      <c r="CK484" s="43"/>
      <c r="CL484" s="43"/>
      <c r="CM484" s="43"/>
      <c r="CN484" s="43"/>
      <c r="CO484" s="43"/>
      <c r="CP484" s="43"/>
      <c r="CQ484" s="43"/>
      <c r="CR484" s="43"/>
      <c r="CS484" s="43"/>
      <c r="CT484" s="43"/>
      <c r="CU484" s="43"/>
      <c r="CV484" s="43"/>
      <c r="CW484" s="43"/>
      <c r="CX484" s="43"/>
      <c r="CY484" s="43"/>
      <c r="CZ484" s="43"/>
      <c r="DA484" s="43"/>
      <c r="DB484" s="43"/>
      <c r="DC484" s="43"/>
      <c r="DD484" s="43"/>
      <c r="DE484" s="43"/>
      <c r="DF484" s="43"/>
      <c r="DG484" s="43"/>
      <c r="DH484" s="43"/>
      <c r="DI484" s="43"/>
      <c r="DJ484" s="43"/>
      <c r="DK484" s="43"/>
      <c r="DL484" s="43"/>
      <c r="DM484" s="43"/>
      <c r="DN484" s="43"/>
      <c r="DO484" s="43"/>
      <c r="DP484" s="43"/>
      <c r="DQ484" s="43"/>
      <c r="DR484" s="43"/>
      <c r="DS484" s="43"/>
    </row>
    <row r="485" spans="1:123" ht="14.45">
      <c r="A485"/>
      <c r="B485"/>
      <c r="C485"/>
      <c r="D485"/>
      <c r="E485"/>
      <c r="F485"/>
      <c r="G485"/>
      <c r="H485"/>
      <c r="I485"/>
      <c r="J485"/>
      <c r="K485" s="43"/>
      <c r="L485" s="43"/>
      <c r="M485" s="43"/>
      <c r="N485" s="43"/>
      <c r="O485" s="43"/>
      <c r="P485" s="43"/>
      <c r="Q485" s="43"/>
      <c r="R485" s="43"/>
      <c r="S485" s="43"/>
      <c r="T485" s="43"/>
      <c r="U485" s="43"/>
      <c r="V485" s="43"/>
      <c r="W485" s="43"/>
      <c r="X485" s="43"/>
      <c r="Y485" s="43"/>
      <c r="Z485" s="43"/>
      <c r="AA485" s="43"/>
      <c r="AB485" s="43"/>
      <c r="AC485" s="43"/>
      <c r="AD485" s="43"/>
      <c r="AE485" s="43"/>
      <c r="AF485" s="43"/>
      <c r="AG485" s="43"/>
      <c r="AH485" s="43"/>
      <c r="AI485" s="43"/>
      <c r="AJ485" s="43"/>
      <c r="AK485" s="43"/>
      <c r="AL485" s="43"/>
      <c r="AM485" s="43"/>
      <c r="AN485" s="43"/>
      <c r="AO485" s="43"/>
      <c r="AP485" s="43"/>
      <c r="AQ485" s="43"/>
      <c r="AR485" s="43"/>
      <c r="AS485" s="43"/>
      <c r="AT485" s="43"/>
      <c r="AU485" s="43"/>
      <c r="AV485" s="43"/>
      <c r="AW485" s="43"/>
      <c r="AX485" s="43"/>
      <c r="AY485" s="43"/>
      <c r="AZ485" s="43"/>
      <c r="BA485" s="43"/>
      <c r="BB485" s="43"/>
      <c r="BC485" s="43"/>
      <c r="BD485" s="43"/>
      <c r="BE485" s="43"/>
      <c r="BF485" s="43"/>
      <c r="BG485" s="43"/>
      <c r="BH485" s="43"/>
      <c r="BI485" s="43"/>
      <c r="BJ485" s="43"/>
      <c r="BK485" s="43"/>
      <c r="BL485" s="43"/>
      <c r="BM485" s="43"/>
      <c r="BN485" s="43"/>
      <c r="BO485" s="43"/>
      <c r="BP485" s="43"/>
      <c r="BQ485" s="43"/>
      <c r="BR485" s="43"/>
      <c r="BS485" s="43"/>
      <c r="BT485" s="43"/>
      <c r="BU485" s="43"/>
      <c r="BV485" s="43"/>
      <c r="BW485" s="43"/>
      <c r="BX485" s="43"/>
      <c r="BY485" s="43"/>
      <c r="BZ485" s="43"/>
      <c r="CA485" s="43"/>
      <c r="CB485" s="43"/>
      <c r="CC485" s="43"/>
      <c r="CD485" s="43"/>
      <c r="CE485" s="43"/>
      <c r="CF485" s="43"/>
      <c r="CG485" s="43"/>
      <c r="CH485" s="43"/>
      <c r="CI485" s="43"/>
      <c r="CJ485" s="43"/>
      <c r="CK485" s="43"/>
      <c r="CL485" s="43"/>
      <c r="CM485" s="43"/>
      <c r="CN485" s="43"/>
      <c r="CO485" s="43"/>
      <c r="CP485" s="43"/>
      <c r="CQ485" s="43"/>
      <c r="CR485" s="43"/>
      <c r="CS485" s="43"/>
      <c r="CT485" s="43"/>
      <c r="CU485" s="43"/>
      <c r="CV485" s="43"/>
      <c r="CW485" s="43"/>
      <c r="CX485" s="43"/>
      <c r="CY485" s="43"/>
      <c r="CZ485" s="43"/>
      <c r="DA485" s="43"/>
      <c r="DB485" s="43"/>
      <c r="DC485" s="43"/>
      <c r="DD485" s="43"/>
      <c r="DE485" s="43"/>
      <c r="DF485" s="43"/>
      <c r="DG485" s="43"/>
      <c r="DH485" s="43"/>
      <c r="DI485" s="43"/>
      <c r="DJ485" s="43"/>
      <c r="DK485" s="43"/>
      <c r="DL485" s="43"/>
      <c r="DM485" s="43"/>
      <c r="DN485" s="43"/>
      <c r="DO485" s="43"/>
      <c r="DP485" s="43"/>
      <c r="DQ485" s="43"/>
      <c r="DR485" s="43"/>
      <c r="DS485" s="43"/>
    </row>
    <row r="486" spans="1:123" ht="14.45">
      <c r="A486"/>
      <c r="B486"/>
      <c r="C486"/>
      <c r="D486"/>
      <c r="E486"/>
      <c r="F486"/>
      <c r="G486"/>
      <c r="H486"/>
      <c r="I486"/>
      <c r="J486"/>
      <c r="K486" s="43"/>
      <c r="L486" s="43"/>
      <c r="M486" s="43"/>
      <c r="N486" s="43"/>
      <c r="O486" s="43"/>
      <c r="P486" s="43"/>
      <c r="Q486" s="43"/>
      <c r="R486" s="43"/>
      <c r="S486" s="43"/>
      <c r="T486" s="43"/>
      <c r="U486" s="43"/>
      <c r="V486" s="43"/>
      <c r="W486" s="43"/>
      <c r="X486" s="43"/>
      <c r="Y486" s="43"/>
      <c r="Z486" s="43"/>
      <c r="AA486" s="43"/>
      <c r="AB486" s="43"/>
      <c r="AC486" s="43"/>
      <c r="AD486" s="43"/>
      <c r="AE486" s="43"/>
      <c r="AF486" s="43"/>
      <c r="AG486" s="43"/>
      <c r="AH486" s="43"/>
      <c r="AI486" s="43"/>
      <c r="AJ486" s="43"/>
      <c r="AK486" s="43"/>
      <c r="AL486" s="43"/>
      <c r="AM486" s="43"/>
      <c r="AN486" s="43"/>
      <c r="AO486" s="43"/>
      <c r="AP486" s="43"/>
      <c r="AQ486" s="43"/>
      <c r="AR486" s="43"/>
      <c r="AS486" s="43"/>
      <c r="AT486" s="43"/>
      <c r="AU486" s="43"/>
      <c r="AV486" s="43"/>
      <c r="AW486" s="43"/>
      <c r="AX486" s="43"/>
      <c r="AY486" s="43"/>
      <c r="AZ486" s="43"/>
      <c r="BA486" s="43"/>
      <c r="BB486" s="43"/>
      <c r="BC486" s="43"/>
      <c r="BD486" s="43"/>
      <c r="BE486" s="43"/>
      <c r="BF486" s="43"/>
      <c r="BG486" s="43"/>
      <c r="BH486" s="43"/>
      <c r="BI486" s="43"/>
      <c r="BJ486" s="43"/>
      <c r="BK486" s="43"/>
      <c r="BL486" s="43"/>
      <c r="BM486" s="43"/>
      <c r="BN486" s="43"/>
      <c r="BO486" s="43"/>
      <c r="BP486" s="43"/>
      <c r="BQ486" s="43"/>
      <c r="BR486" s="43"/>
      <c r="BS486" s="43"/>
      <c r="BT486" s="43"/>
      <c r="BU486" s="43"/>
      <c r="BV486" s="43"/>
      <c r="BW486" s="43"/>
      <c r="BX486" s="43"/>
      <c r="BY486" s="43"/>
      <c r="BZ486" s="43"/>
      <c r="CA486" s="43"/>
      <c r="CB486" s="43"/>
      <c r="CC486" s="43"/>
      <c r="CD486" s="43"/>
      <c r="CE486" s="43"/>
      <c r="CF486" s="43"/>
      <c r="CG486" s="43"/>
      <c r="CH486" s="43"/>
      <c r="CI486" s="43"/>
      <c r="CJ486" s="43"/>
      <c r="CK486" s="43"/>
      <c r="CL486" s="43"/>
      <c r="CM486" s="43"/>
      <c r="CN486" s="43"/>
      <c r="CO486" s="43"/>
      <c r="CP486" s="43"/>
      <c r="CQ486" s="43"/>
      <c r="CR486" s="43"/>
      <c r="CS486" s="43"/>
      <c r="CT486" s="43"/>
      <c r="CU486" s="43"/>
      <c r="CV486" s="43"/>
      <c r="CW486" s="43"/>
      <c r="CX486" s="43"/>
      <c r="CY486" s="43"/>
      <c r="CZ486" s="43"/>
      <c r="DA486" s="43"/>
      <c r="DB486" s="43"/>
      <c r="DC486" s="43"/>
      <c r="DD486" s="43"/>
      <c r="DE486" s="43"/>
      <c r="DF486" s="43"/>
      <c r="DG486" s="43"/>
      <c r="DH486" s="43"/>
      <c r="DI486" s="43"/>
      <c r="DJ486" s="43"/>
      <c r="DK486" s="43"/>
      <c r="DL486" s="43"/>
      <c r="DM486" s="43"/>
      <c r="DN486" s="43"/>
      <c r="DO486" s="43"/>
      <c r="DP486" s="43"/>
      <c r="DQ486" s="43"/>
      <c r="DR486" s="43"/>
      <c r="DS486" s="43"/>
    </row>
    <row r="487" spans="1:123" ht="14.45">
      <c r="A487"/>
      <c r="B487"/>
      <c r="C487"/>
      <c r="D487"/>
      <c r="E487"/>
      <c r="F487"/>
      <c r="G487"/>
      <c r="H487"/>
      <c r="I487"/>
      <c r="J487"/>
      <c r="K487" s="43"/>
      <c r="L487" s="43"/>
      <c r="M487" s="43"/>
      <c r="N487" s="43"/>
      <c r="O487" s="43"/>
      <c r="P487" s="43"/>
      <c r="Q487" s="43"/>
      <c r="R487" s="43"/>
      <c r="S487" s="43"/>
      <c r="T487" s="43"/>
      <c r="U487" s="43"/>
      <c r="V487" s="43"/>
      <c r="W487" s="43"/>
      <c r="X487" s="43"/>
      <c r="Y487" s="43"/>
      <c r="Z487" s="43"/>
      <c r="AA487" s="43"/>
      <c r="AB487" s="43"/>
      <c r="AC487" s="43"/>
      <c r="AD487" s="43"/>
      <c r="AE487" s="43"/>
      <c r="AF487" s="43"/>
      <c r="AG487" s="43"/>
      <c r="AH487" s="43"/>
      <c r="AI487" s="43"/>
      <c r="AJ487" s="43"/>
      <c r="AK487" s="43"/>
      <c r="AL487" s="43"/>
      <c r="AM487" s="43"/>
      <c r="AN487" s="43"/>
      <c r="AO487" s="43"/>
      <c r="AP487" s="43"/>
      <c r="AQ487" s="43"/>
      <c r="AR487" s="43"/>
      <c r="AS487" s="43"/>
      <c r="AT487" s="43"/>
      <c r="AU487" s="43"/>
      <c r="AV487" s="43"/>
      <c r="AW487" s="43"/>
      <c r="AX487" s="43"/>
      <c r="AY487" s="43"/>
      <c r="AZ487" s="43"/>
      <c r="BA487" s="43"/>
      <c r="BB487" s="43"/>
      <c r="BC487" s="43"/>
      <c r="BD487" s="43"/>
      <c r="BE487" s="43"/>
      <c r="BF487" s="43"/>
      <c r="BG487" s="43"/>
      <c r="BH487" s="43"/>
      <c r="BI487" s="43"/>
      <c r="BJ487" s="43"/>
      <c r="BK487" s="43"/>
      <c r="BL487" s="43"/>
      <c r="BM487" s="43"/>
      <c r="BN487" s="43"/>
      <c r="BO487" s="43"/>
      <c r="BP487" s="43"/>
      <c r="BQ487" s="43"/>
      <c r="BR487" s="43"/>
      <c r="BS487" s="43"/>
      <c r="BT487" s="43"/>
      <c r="BU487" s="43"/>
      <c r="BV487" s="43"/>
      <c r="BW487" s="43"/>
      <c r="BX487" s="43"/>
      <c r="BY487" s="43"/>
      <c r="BZ487" s="43"/>
      <c r="CA487" s="43"/>
      <c r="CB487" s="43"/>
      <c r="CC487" s="43"/>
      <c r="CD487" s="43"/>
      <c r="CE487" s="43"/>
      <c r="CF487" s="43"/>
      <c r="CG487" s="43"/>
      <c r="CH487" s="43"/>
      <c r="CI487" s="43"/>
      <c r="CJ487" s="43"/>
      <c r="CK487" s="43"/>
      <c r="CL487" s="43"/>
      <c r="CM487" s="43"/>
      <c r="CN487" s="43"/>
      <c r="CO487" s="43"/>
      <c r="CP487" s="43"/>
      <c r="CQ487" s="43"/>
      <c r="CR487" s="43"/>
      <c r="CS487" s="43"/>
      <c r="CT487" s="43"/>
      <c r="CU487" s="43"/>
      <c r="CV487" s="43"/>
      <c r="CW487" s="43"/>
      <c r="CX487" s="43"/>
      <c r="CY487" s="43"/>
      <c r="CZ487" s="43"/>
      <c r="DA487" s="43"/>
      <c r="DB487" s="43"/>
      <c r="DC487" s="43"/>
      <c r="DD487" s="43"/>
      <c r="DE487" s="43"/>
      <c r="DF487" s="43"/>
      <c r="DG487" s="43"/>
      <c r="DH487" s="43"/>
      <c r="DI487" s="43"/>
      <c r="DJ487" s="43"/>
      <c r="DK487" s="43"/>
      <c r="DL487" s="43"/>
      <c r="DM487" s="43"/>
      <c r="DN487" s="43"/>
      <c r="DO487" s="43"/>
      <c r="DP487" s="43"/>
      <c r="DQ487" s="43"/>
      <c r="DR487" s="43"/>
      <c r="DS487" s="43"/>
    </row>
    <row r="488" spans="1:123" ht="14.45">
      <c r="A488"/>
      <c r="B488"/>
      <c r="C488"/>
      <c r="D488"/>
      <c r="E488"/>
      <c r="F488"/>
      <c r="G488"/>
      <c r="H488"/>
      <c r="I488"/>
      <c r="J488"/>
      <c r="K488" s="43"/>
      <c r="L488" s="43"/>
      <c r="M488" s="43"/>
      <c r="N488" s="43"/>
      <c r="O488" s="43"/>
      <c r="P488" s="43"/>
      <c r="Q488" s="43"/>
      <c r="R488" s="43"/>
      <c r="S488" s="43"/>
      <c r="T488" s="43"/>
      <c r="U488" s="43"/>
      <c r="V488" s="43"/>
      <c r="W488" s="43"/>
      <c r="X488" s="43"/>
      <c r="Y488" s="43"/>
      <c r="Z488" s="43"/>
      <c r="AA488" s="43"/>
      <c r="AB488" s="43"/>
      <c r="AC488" s="43"/>
      <c r="AD488" s="43"/>
      <c r="AE488" s="43"/>
      <c r="AF488" s="43"/>
      <c r="AG488" s="43"/>
      <c r="AH488" s="43"/>
      <c r="AI488" s="43"/>
      <c r="AJ488" s="43"/>
      <c r="AK488" s="43"/>
      <c r="AL488" s="43"/>
      <c r="AM488" s="43"/>
      <c r="AN488" s="43"/>
      <c r="AO488" s="43"/>
      <c r="AP488" s="43"/>
      <c r="AQ488" s="43"/>
      <c r="AR488" s="43"/>
      <c r="AS488" s="43"/>
      <c r="AT488" s="43"/>
      <c r="AU488" s="43"/>
      <c r="AV488" s="43"/>
      <c r="AW488" s="43"/>
      <c r="AX488" s="43"/>
      <c r="AY488" s="43"/>
      <c r="AZ488" s="43"/>
      <c r="BA488" s="43"/>
      <c r="BB488" s="43"/>
      <c r="BC488" s="43"/>
      <c r="BD488" s="43"/>
      <c r="BE488" s="43"/>
      <c r="BF488" s="43"/>
      <c r="BG488" s="43"/>
      <c r="BH488" s="43"/>
      <c r="BI488" s="43"/>
      <c r="BJ488" s="43"/>
      <c r="BK488" s="43"/>
      <c r="BL488" s="43"/>
      <c r="BM488" s="43"/>
      <c r="BN488" s="43"/>
      <c r="BO488" s="43"/>
      <c r="BP488" s="43"/>
      <c r="BQ488" s="43"/>
      <c r="BR488" s="43"/>
      <c r="BS488" s="43"/>
      <c r="BT488" s="43"/>
      <c r="BU488" s="43"/>
      <c r="BV488" s="43"/>
      <c r="BW488" s="43"/>
      <c r="BX488" s="43"/>
      <c r="BY488" s="43"/>
      <c r="BZ488" s="43"/>
      <c r="CA488" s="43"/>
      <c r="CB488" s="43"/>
      <c r="CC488" s="43"/>
      <c r="CD488" s="43"/>
      <c r="CE488" s="43"/>
      <c r="CF488" s="43"/>
      <c r="CG488" s="43"/>
      <c r="CH488" s="43"/>
      <c r="CI488" s="43"/>
      <c r="CJ488" s="43"/>
      <c r="CK488" s="43"/>
      <c r="CL488" s="43"/>
      <c r="CM488" s="43"/>
      <c r="CN488" s="43"/>
      <c r="CO488" s="43"/>
      <c r="CP488" s="43"/>
      <c r="CQ488" s="43"/>
      <c r="CR488" s="43"/>
      <c r="CS488" s="43"/>
      <c r="CT488" s="43"/>
      <c r="CU488" s="43"/>
      <c r="CV488" s="43"/>
      <c r="CW488" s="43"/>
      <c r="CX488" s="43"/>
      <c r="CY488" s="43"/>
      <c r="CZ488" s="43"/>
      <c r="DA488" s="43"/>
      <c r="DB488" s="43"/>
      <c r="DC488" s="43"/>
      <c r="DD488" s="43"/>
      <c r="DE488" s="43"/>
      <c r="DF488" s="43"/>
      <c r="DG488" s="43"/>
      <c r="DH488" s="43"/>
      <c r="DI488" s="43"/>
      <c r="DJ488" s="43"/>
      <c r="DK488" s="43"/>
      <c r="DL488" s="43"/>
      <c r="DM488" s="43"/>
      <c r="DN488" s="43"/>
      <c r="DO488" s="43"/>
      <c r="DP488" s="43"/>
      <c r="DQ488" s="43"/>
      <c r="DR488" s="43"/>
      <c r="DS488" s="43"/>
    </row>
    <row r="489" spans="1:123" ht="14.45">
      <c r="A489"/>
      <c r="B489"/>
      <c r="C489"/>
      <c r="D489"/>
      <c r="E489"/>
      <c r="F489"/>
      <c r="G489"/>
      <c r="H489"/>
      <c r="I489"/>
      <c r="J489"/>
      <c r="K489" s="43"/>
      <c r="L489" s="43"/>
      <c r="M489" s="43"/>
      <c r="N489" s="43"/>
      <c r="O489" s="43"/>
      <c r="P489" s="43"/>
      <c r="Q489" s="43"/>
      <c r="R489" s="43"/>
      <c r="S489" s="43"/>
      <c r="T489" s="43"/>
      <c r="U489" s="43"/>
      <c r="V489" s="43"/>
      <c r="W489" s="43"/>
      <c r="X489" s="43"/>
      <c r="Y489" s="43"/>
      <c r="Z489" s="43"/>
      <c r="AA489" s="43"/>
      <c r="AB489" s="43"/>
      <c r="AC489" s="43"/>
      <c r="AD489" s="43"/>
      <c r="AE489" s="43"/>
      <c r="AF489" s="43"/>
      <c r="AG489" s="43"/>
      <c r="AH489" s="43"/>
      <c r="AI489" s="43"/>
      <c r="AJ489" s="43"/>
      <c r="AK489" s="43"/>
      <c r="AL489" s="43"/>
      <c r="AM489" s="43"/>
      <c r="AN489" s="43"/>
      <c r="AO489" s="43"/>
      <c r="AP489" s="43"/>
      <c r="AQ489" s="43"/>
      <c r="AR489" s="43"/>
      <c r="AS489" s="43"/>
      <c r="AT489" s="43"/>
      <c r="AU489" s="43"/>
      <c r="AV489" s="43"/>
      <c r="AW489" s="43"/>
      <c r="AX489" s="43"/>
      <c r="AY489" s="43"/>
      <c r="AZ489" s="43"/>
      <c r="BA489" s="43"/>
      <c r="BB489" s="43"/>
      <c r="BC489" s="43"/>
      <c r="BD489" s="43"/>
      <c r="BE489" s="43"/>
      <c r="BF489" s="43"/>
      <c r="BG489" s="43"/>
      <c r="BH489" s="43"/>
      <c r="BI489" s="43"/>
      <c r="BJ489" s="43"/>
      <c r="BK489" s="43"/>
      <c r="BL489" s="43"/>
      <c r="BM489" s="43"/>
      <c r="BN489" s="43"/>
      <c r="BO489" s="43"/>
      <c r="BP489" s="43"/>
      <c r="BQ489" s="43"/>
      <c r="BR489" s="43"/>
      <c r="BS489" s="43"/>
      <c r="BT489" s="43"/>
      <c r="BU489" s="43"/>
      <c r="BV489" s="43"/>
      <c r="BW489" s="43"/>
      <c r="BX489" s="43"/>
      <c r="BY489" s="43"/>
      <c r="BZ489" s="43"/>
      <c r="CA489" s="43"/>
      <c r="CB489" s="43"/>
      <c r="CC489" s="43"/>
      <c r="CD489" s="43"/>
      <c r="CE489" s="43"/>
      <c r="CF489" s="43"/>
      <c r="CG489" s="43"/>
      <c r="CH489" s="43"/>
      <c r="CI489" s="43"/>
      <c r="CJ489" s="43"/>
      <c r="CK489" s="43"/>
      <c r="CL489" s="43"/>
      <c r="CM489" s="43"/>
      <c r="CN489" s="43"/>
      <c r="CO489" s="43"/>
      <c r="CP489" s="43"/>
      <c r="CQ489" s="43"/>
      <c r="CR489" s="43"/>
      <c r="CS489" s="43"/>
      <c r="CT489" s="43"/>
      <c r="CU489" s="43"/>
      <c r="CV489" s="43"/>
      <c r="CW489" s="43"/>
      <c r="CX489" s="43"/>
      <c r="CY489" s="43"/>
      <c r="CZ489" s="43"/>
      <c r="DA489" s="43"/>
      <c r="DB489" s="43"/>
      <c r="DC489" s="43"/>
      <c r="DD489" s="43"/>
      <c r="DE489" s="43"/>
      <c r="DF489" s="43"/>
      <c r="DG489" s="43"/>
      <c r="DH489" s="43"/>
      <c r="DI489" s="43"/>
      <c r="DJ489" s="43"/>
      <c r="DK489" s="43"/>
      <c r="DL489" s="43"/>
      <c r="DM489" s="43"/>
      <c r="DN489" s="43"/>
      <c r="DO489" s="43"/>
      <c r="DP489" s="43"/>
      <c r="DQ489" s="43"/>
      <c r="DR489" s="43"/>
      <c r="DS489" s="43"/>
    </row>
    <row r="490" spans="1:123" ht="14.45">
      <c r="A490"/>
      <c r="B490"/>
      <c r="C490"/>
      <c r="D490"/>
      <c r="E490"/>
      <c r="F490"/>
      <c r="G490"/>
      <c r="H490"/>
      <c r="I490"/>
      <c r="J490"/>
      <c r="K490" s="43"/>
      <c r="L490" s="43"/>
      <c r="M490" s="43"/>
      <c r="N490" s="43"/>
      <c r="O490" s="43"/>
      <c r="P490" s="43"/>
      <c r="Q490" s="43"/>
      <c r="R490" s="43"/>
      <c r="S490" s="43"/>
      <c r="T490" s="43"/>
      <c r="U490" s="43"/>
      <c r="V490" s="43"/>
      <c r="W490" s="43"/>
      <c r="X490" s="43"/>
      <c r="Y490" s="43"/>
      <c r="Z490" s="43"/>
      <c r="AA490" s="43"/>
      <c r="AB490" s="43"/>
      <c r="AC490" s="43"/>
      <c r="AD490" s="43"/>
      <c r="AE490" s="43"/>
      <c r="AF490" s="43"/>
      <c r="AG490" s="43"/>
      <c r="AH490" s="43"/>
      <c r="AI490" s="43"/>
      <c r="AJ490" s="43"/>
      <c r="AK490" s="43"/>
      <c r="AL490" s="43"/>
      <c r="AM490" s="43"/>
      <c r="AN490" s="43"/>
      <c r="AO490" s="43"/>
      <c r="AP490" s="43"/>
      <c r="AQ490" s="43"/>
      <c r="AR490" s="43"/>
      <c r="AS490" s="43"/>
      <c r="AT490" s="43"/>
      <c r="AU490" s="43"/>
      <c r="AV490" s="43"/>
      <c r="AW490" s="43"/>
      <c r="AX490" s="43"/>
      <c r="AY490" s="43"/>
      <c r="AZ490" s="43"/>
      <c r="BA490" s="43"/>
      <c r="BB490" s="43"/>
      <c r="BC490" s="43"/>
      <c r="BD490" s="43"/>
      <c r="BE490" s="43"/>
      <c r="BF490" s="43"/>
      <c r="BG490" s="43"/>
      <c r="BH490" s="43"/>
      <c r="BI490" s="43"/>
      <c r="BJ490" s="43"/>
      <c r="BK490" s="43"/>
      <c r="BL490" s="43"/>
      <c r="BM490" s="43"/>
      <c r="BN490" s="43"/>
      <c r="BO490" s="43"/>
      <c r="BP490" s="43"/>
      <c r="BQ490" s="43"/>
      <c r="BR490" s="43"/>
      <c r="BS490" s="43"/>
      <c r="BT490" s="43"/>
      <c r="BU490" s="43"/>
      <c r="BV490" s="43"/>
      <c r="BW490" s="43"/>
      <c r="BX490" s="43"/>
      <c r="BY490" s="43"/>
      <c r="BZ490" s="43"/>
      <c r="CA490" s="43"/>
      <c r="CB490" s="43"/>
      <c r="CC490" s="43"/>
      <c r="CD490" s="43"/>
      <c r="CE490" s="43"/>
      <c r="CF490" s="43"/>
      <c r="CG490" s="43"/>
      <c r="CH490" s="43"/>
      <c r="CI490" s="43"/>
      <c r="CJ490" s="43"/>
      <c r="CK490" s="43"/>
      <c r="CL490" s="43"/>
      <c r="CM490" s="43"/>
      <c r="CN490" s="43"/>
      <c r="CO490" s="43"/>
      <c r="CP490" s="43"/>
      <c r="CQ490" s="43"/>
      <c r="CR490" s="43"/>
      <c r="CS490" s="43"/>
      <c r="CT490" s="43"/>
      <c r="CU490" s="43"/>
      <c r="CV490" s="43"/>
      <c r="CW490" s="43"/>
      <c r="CX490" s="43"/>
      <c r="CY490" s="43"/>
      <c r="CZ490" s="43"/>
      <c r="DA490" s="43"/>
      <c r="DB490" s="43"/>
      <c r="DC490" s="43"/>
      <c r="DD490" s="43"/>
      <c r="DE490" s="43"/>
      <c r="DF490" s="43"/>
      <c r="DG490" s="43"/>
      <c r="DH490" s="43"/>
      <c r="DI490" s="43"/>
      <c r="DJ490" s="43"/>
      <c r="DK490" s="43"/>
      <c r="DL490" s="43"/>
      <c r="DM490" s="43"/>
      <c r="DN490" s="43"/>
      <c r="DO490" s="43"/>
      <c r="DP490" s="43"/>
      <c r="DQ490" s="43"/>
      <c r="DR490" s="43"/>
      <c r="DS490" s="43"/>
    </row>
    <row r="491" spans="1:123" ht="14.45">
      <c r="A491"/>
      <c r="B491"/>
      <c r="C491"/>
      <c r="D491"/>
      <c r="E491"/>
      <c r="F491"/>
      <c r="G491"/>
      <c r="H491"/>
      <c r="I491"/>
      <c r="J491"/>
      <c r="K491" s="43"/>
      <c r="L491" s="43"/>
      <c r="M491" s="43"/>
      <c r="N491" s="43"/>
      <c r="O491" s="43"/>
      <c r="P491" s="43"/>
      <c r="Q491" s="43"/>
      <c r="R491" s="43"/>
      <c r="S491" s="43"/>
      <c r="T491" s="43"/>
      <c r="U491" s="43"/>
      <c r="V491" s="43"/>
      <c r="W491" s="43"/>
      <c r="X491" s="43"/>
      <c r="Y491" s="43"/>
      <c r="Z491" s="43"/>
      <c r="AA491" s="43"/>
      <c r="AB491" s="43"/>
      <c r="AC491" s="43"/>
      <c r="AD491" s="43"/>
      <c r="AE491" s="43"/>
      <c r="AF491" s="43"/>
      <c r="AG491" s="43"/>
      <c r="AH491" s="43"/>
      <c r="AI491" s="43"/>
      <c r="AJ491" s="43"/>
      <c r="AK491" s="43"/>
      <c r="AL491" s="43"/>
      <c r="AM491" s="43"/>
      <c r="AN491" s="43"/>
      <c r="AO491" s="43"/>
      <c r="AP491" s="43"/>
      <c r="AQ491" s="43"/>
      <c r="AR491" s="43"/>
      <c r="AS491" s="43"/>
      <c r="AT491" s="43"/>
      <c r="AU491" s="43"/>
      <c r="AV491" s="43"/>
      <c r="AW491" s="43"/>
      <c r="AX491" s="43"/>
      <c r="AY491" s="43"/>
      <c r="AZ491" s="43"/>
      <c r="BA491" s="43"/>
      <c r="BB491" s="43"/>
      <c r="BC491" s="43"/>
      <c r="BD491" s="43"/>
      <c r="BE491" s="43"/>
      <c r="BF491" s="43"/>
      <c r="BG491" s="43"/>
      <c r="BH491" s="43"/>
      <c r="BI491" s="43"/>
      <c r="BJ491" s="43"/>
      <c r="BK491" s="43"/>
      <c r="BL491" s="43"/>
      <c r="BM491" s="43"/>
      <c r="BN491" s="43"/>
      <c r="BO491" s="43"/>
      <c r="BP491" s="43"/>
      <c r="BQ491" s="43"/>
      <c r="BR491" s="43"/>
      <c r="BS491" s="43"/>
      <c r="BT491" s="43"/>
      <c r="BU491" s="43"/>
      <c r="BV491" s="43"/>
      <c r="BW491" s="43"/>
      <c r="BX491" s="43"/>
      <c r="BY491" s="43"/>
      <c r="BZ491" s="43"/>
      <c r="CA491" s="43"/>
      <c r="CB491" s="43"/>
      <c r="CC491" s="43"/>
      <c r="CD491" s="43"/>
      <c r="CE491" s="43"/>
      <c r="CF491" s="43"/>
      <c r="CG491" s="43"/>
      <c r="CH491" s="43"/>
      <c r="CI491" s="43"/>
      <c r="CJ491" s="43"/>
      <c r="CK491" s="43"/>
      <c r="CL491" s="43"/>
      <c r="CM491" s="43"/>
      <c r="CN491" s="43"/>
      <c r="CO491" s="43"/>
      <c r="CP491" s="43"/>
      <c r="CQ491" s="43"/>
      <c r="CR491" s="43"/>
      <c r="CS491" s="43"/>
      <c r="CT491" s="43"/>
      <c r="CU491" s="43"/>
      <c r="CV491" s="43"/>
      <c r="CW491" s="43"/>
      <c r="CX491" s="43"/>
      <c r="CY491" s="43"/>
      <c r="CZ491" s="43"/>
      <c r="DA491" s="43"/>
      <c r="DB491" s="43"/>
      <c r="DC491" s="43"/>
      <c r="DD491" s="43"/>
      <c r="DE491" s="43"/>
      <c r="DF491" s="43"/>
      <c r="DG491" s="43"/>
      <c r="DH491" s="43"/>
      <c r="DI491" s="43"/>
      <c r="DJ491" s="43"/>
      <c r="DK491" s="43"/>
      <c r="DL491" s="43"/>
      <c r="DM491" s="43"/>
      <c r="DN491" s="43"/>
      <c r="DO491" s="43"/>
      <c r="DP491" s="43"/>
      <c r="DQ491" s="43"/>
      <c r="DR491" s="43"/>
      <c r="DS491" s="43"/>
    </row>
    <row r="492" spans="1:123" ht="14.45">
      <c r="A492"/>
      <c r="B492"/>
      <c r="C492"/>
      <c r="D492"/>
      <c r="E492"/>
      <c r="F492"/>
      <c r="G492"/>
      <c r="H492"/>
      <c r="I492"/>
      <c r="J492"/>
      <c r="K492" s="43"/>
      <c r="L492" s="43"/>
      <c r="M492" s="43"/>
      <c r="N492" s="43"/>
      <c r="O492" s="43"/>
      <c r="P492" s="43"/>
      <c r="Q492" s="43"/>
      <c r="R492" s="43"/>
      <c r="S492" s="43"/>
      <c r="T492" s="43"/>
      <c r="U492" s="43"/>
      <c r="V492" s="43"/>
      <c r="W492" s="43"/>
      <c r="X492" s="43"/>
      <c r="Y492" s="43"/>
      <c r="Z492" s="43"/>
      <c r="AA492" s="43"/>
      <c r="AB492" s="43"/>
      <c r="AC492" s="43"/>
      <c r="AD492" s="43"/>
      <c r="AE492" s="43"/>
      <c r="AF492" s="43"/>
      <c r="AG492" s="43"/>
      <c r="AH492" s="43"/>
      <c r="AI492" s="43"/>
      <c r="AJ492" s="43"/>
      <c r="AK492" s="43"/>
      <c r="AL492" s="43"/>
      <c r="AM492" s="43"/>
      <c r="AN492" s="43"/>
      <c r="AO492" s="43"/>
      <c r="AP492" s="43"/>
      <c r="AQ492" s="43"/>
      <c r="AR492" s="43"/>
      <c r="AS492" s="43"/>
      <c r="AT492" s="43"/>
      <c r="AU492" s="43"/>
      <c r="AV492" s="43"/>
      <c r="AW492" s="43"/>
      <c r="AX492" s="43"/>
      <c r="AY492" s="43"/>
      <c r="AZ492" s="43"/>
      <c r="BA492" s="43"/>
      <c r="BB492" s="43"/>
      <c r="BC492" s="43"/>
      <c r="BD492" s="43"/>
      <c r="BE492" s="43"/>
      <c r="BF492" s="43"/>
      <c r="BG492" s="43"/>
      <c r="BH492" s="43"/>
      <c r="BI492" s="43"/>
      <c r="BJ492" s="43"/>
      <c r="BK492" s="43"/>
      <c r="BL492" s="43"/>
      <c r="BM492" s="43"/>
      <c r="BN492" s="43"/>
      <c r="BO492" s="43"/>
      <c r="BP492" s="43"/>
      <c r="BQ492" s="43"/>
      <c r="BR492" s="43"/>
      <c r="BS492" s="43"/>
      <c r="BT492" s="43"/>
      <c r="BU492" s="43"/>
      <c r="BV492" s="43"/>
      <c r="BW492" s="43"/>
      <c r="BX492" s="43"/>
      <c r="BY492" s="43"/>
      <c r="BZ492" s="43"/>
      <c r="CA492" s="43"/>
      <c r="CB492" s="43"/>
      <c r="CC492" s="43"/>
      <c r="CD492" s="43"/>
      <c r="CE492" s="43"/>
      <c r="CF492" s="43"/>
      <c r="CG492" s="43"/>
      <c r="CH492" s="43"/>
      <c r="CI492" s="43"/>
      <c r="CJ492" s="43"/>
      <c r="CK492" s="43"/>
      <c r="CL492" s="43"/>
      <c r="CM492" s="43"/>
      <c r="CN492" s="43"/>
      <c r="CO492" s="43"/>
      <c r="CP492" s="43"/>
      <c r="CQ492" s="43"/>
      <c r="CR492" s="43"/>
      <c r="CS492" s="43"/>
      <c r="CT492" s="43"/>
      <c r="CU492" s="43"/>
      <c r="CV492" s="43"/>
      <c r="CW492" s="43"/>
      <c r="CX492" s="43"/>
      <c r="CY492" s="43"/>
      <c r="CZ492" s="43"/>
      <c r="DA492" s="43"/>
      <c r="DB492" s="43"/>
      <c r="DC492" s="43"/>
      <c r="DD492" s="43"/>
      <c r="DE492" s="43"/>
      <c r="DF492" s="43"/>
      <c r="DG492" s="43"/>
      <c r="DH492" s="43"/>
      <c r="DI492" s="43"/>
      <c r="DJ492" s="43"/>
      <c r="DK492" s="43"/>
      <c r="DL492" s="43"/>
      <c r="DM492" s="43"/>
      <c r="DN492" s="43"/>
      <c r="DO492" s="43"/>
      <c r="DP492" s="43"/>
      <c r="DQ492" s="43"/>
      <c r="DR492" s="43"/>
      <c r="DS492" s="43"/>
    </row>
    <row r="493" spans="1:123" ht="14.45">
      <c r="A493"/>
      <c r="B493"/>
      <c r="C493"/>
      <c r="D493"/>
      <c r="E493"/>
      <c r="F493"/>
      <c r="G493"/>
      <c r="H493"/>
      <c r="I493"/>
      <c r="J493"/>
      <c r="K493" s="43"/>
      <c r="L493" s="43"/>
      <c r="M493" s="43"/>
      <c r="N493" s="43"/>
      <c r="O493" s="43"/>
      <c r="P493" s="43"/>
      <c r="Q493" s="43"/>
      <c r="R493" s="43"/>
      <c r="S493" s="43"/>
      <c r="T493" s="43"/>
      <c r="U493" s="43"/>
      <c r="V493" s="43"/>
      <c r="W493" s="43"/>
      <c r="X493" s="43"/>
      <c r="Y493" s="43"/>
      <c r="Z493" s="43"/>
      <c r="AA493" s="43"/>
      <c r="AB493" s="43"/>
      <c r="AC493" s="43"/>
      <c r="AD493" s="43"/>
      <c r="AE493" s="43"/>
      <c r="AF493" s="43"/>
      <c r="AG493" s="43"/>
      <c r="AH493" s="43"/>
      <c r="AI493" s="43"/>
      <c r="AJ493" s="43"/>
      <c r="AK493" s="43"/>
      <c r="AL493" s="43"/>
      <c r="AM493" s="43"/>
      <c r="AN493" s="43"/>
      <c r="AO493" s="43"/>
      <c r="AP493" s="43"/>
      <c r="AQ493" s="43"/>
      <c r="AR493" s="43"/>
      <c r="AS493" s="43"/>
      <c r="AT493" s="43"/>
      <c r="AU493" s="43"/>
      <c r="AV493" s="43"/>
      <c r="AW493" s="43"/>
      <c r="AX493" s="43"/>
      <c r="AY493" s="43"/>
      <c r="AZ493" s="43"/>
      <c r="BA493" s="43"/>
      <c r="BB493" s="43"/>
      <c r="BC493" s="43"/>
      <c r="BD493" s="43"/>
      <c r="BE493" s="43"/>
      <c r="BF493" s="43"/>
      <c r="BG493" s="43"/>
      <c r="BH493" s="43"/>
      <c r="BI493" s="43"/>
      <c r="BJ493" s="43"/>
      <c r="BK493" s="43"/>
      <c r="BL493" s="43"/>
      <c r="BM493" s="43"/>
      <c r="BN493" s="43"/>
      <c r="BO493" s="43"/>
      <c r="BP493" s="43"/>
      <c r="BQ493" s="43"/>
      <c r="BR493" s="43"/>
      <c r="BS493" s="43"/>
      <c r="BT493" s="43"/>
      <c r="BU493" s="43"/>
      <c r="BV493" s="43"/>
      <c r="BW493" s="43"/>
      <c r="BX493" s="43"/>
      <c r="BY493" s="43"/>
      <c r="BZ493" s="43"/>
      <c r="CA493" s="43"/>
      <c r="CB493" s="43"/>
      <c r="CC493" s="43"/>
      <c r="CD493" s="43"/>
      <c r="CE493" s="43"/>
      <c r="CF493" s="43"/>
      <c r="CG493" s="43"/>
      <c r="CH493" s="43"/>
      <c r="CI493" s="43"/>
      <c r="CJ493" s="43"/>
      <c r="CK493" s="43"/>
      <c r="CL493" s="43"/>
      <c r="CM493" s="43"/>
      <c r="CN493" s="43"/>
      <c r="CO493" s="43"/>
      <c r="CP493" s="43"/>
      <c r="CQ493" s="43"/>
      <c r="CR493" s="43"/>
      <c r="CS493" s="43"/>
      <c r="CT493" s="43"/>
      <c r="CU493" s="43"/>
      <c r="CV493" s="43"/>
      <c r="CW493" s="43"/>
      <c r="CX493" s="43"/>
      <c r="CY493" s="43"/>
      <c r="CZ493" s="43"/>
      <c r="DA493" s="43"/>
      <c r="DB493" s="43"/>
      <c r="DC493" s="43"/>
      <c r="DD493" s="43"/>
      <c r="DE493" s="43"/>
      <c r="DF493" s="43"/>
      <c r="DG493" s="43"/>
      <c r="DH493" s="43"/>
      <c r="DI493" s="43"/>
      <c r="DJ493" s="43"/>
      <c r="DK493" s="43"/>
      <c r="DL493" s="43"/>
      <c r="DM493" s="43"/>
      <c r="DN493" s="43"/>
      <c r="DO493" s="43"/>
      <c r="DP493" s="43"/>
      <c r="DQ493" s="43"/>
      <c r="DR493" s="43"/>
      <c r="DS493" s="43"/>
    </row>
    <row r="494" spans="1:123" ht="14.45">
      <c r="A494"/>
      <c r="B494"/>
      <c r="C494"/>
      <c r="D494"/>
      <c r="E494"/>
      <c r="F494"/>
      <c r="G494"/>
      <c r="H494"/>
      <c r="I494"/>
      <c r="J494"/>
      <c r="K494" s="43"/>
      <c r="L494" s="43"/>
      <c r="M494" s="43"/>
      <c r="N494" s="43"/>
      <c r="O494" s="43"/>
      <c r="P494" s="43"/>
      <c r="Q494" s="43"/>
      <c r="R494" s="43"/>
      <c r="S494" s="43"/>
      <c r="T494" s="43"/>
      <c r="U494" s="43"/>
      <c r="V494" s="43"/>
      <c r="W494" s="43"/>
      <c r="X494" s="43"/>
      <c r="Y494" s="43"/>
      <c r="Z494" s="43"/>
      <c r="AA494" s="43"/>
      <c r="AB494" s="43"/>
      <c r="AC494" s="43"/>
      <c r="AD494" s="43"/>
      <c r="AE494" s="43"/>
      <c r="AF494" s="43"/>
      <c r="AG494" s="43"/>
      <c r="AH494" s="43"/>
      <c r="AI494" s="43"/>
      <c r="AJ494" s="43"/>
      <c r="AK494" s="43"/>
      <c r="AL494" s="43"/>
      <c r="AM494" s="43"/>
      <c r="AN494" s="43"/>
      <c r="AO494" s="43"/>
      <c r="AP494" s="43"/>
      <c r="AQ494" s="43"/>
      <c r="AR494" s="43"/>
      <c r="AS494" s="43"/>
      <c r="AT494" s="43"/>
      <c r="AU494" s="43"/>
      <c r="AV494" s="43"/>
      <c r="AW494" s="43"/>
      <c r="AX494" s="43"/>
      <c r="AY494" s="43"/>
      <c r="AZ494" s="43"/>
      <c r="BA494" s="43"/>
      <c r="BB494" s="43"/>
      <c r="BC494" s="43"/>
      <c r="BD494" s="43"/>
      <c r="BE494" s="43"/>
      <c r="BF494" s="43"/>
      <c r="BG494" s="43"/>
      <c r="BH494" s="43"/>
      <c r="BI494" s="43"/>
      <c r="BJ494" s="43"/>
      <c r="BK494" s="43"/>
      <c r="BL494" s="43"/>
      <c r="BM494" s="43"/>
      <c r="BN494" s="43"/>
      <c r="BO494" s="43"/>
      <c r="BP494" s="43"/>
      <c r="BQ494" s="43"/>
      <c r="BR494" s="43"/>
      <c r="BS494" s="43"/>
      <c r="BT494" s="43"/>
      <c r="BU494" s="43"/>
      <c r="BV494" s="43"/>
      <c r="BW494" s="43"/>
      <c r="BX494" s="43"/>
      <c r="BY494" s="43"/>
      <c r="BZ494" s="43"/>
      <c r="CA494" s="43"/>
      <c r="CB494" s="43"/>
      <c r="CC494" s="43"/>
      <c r="CD494" s="43"/>
      <c r="CE494" s="43"/>
      <c r="CF494" s="43"/>
      <c r="CG494" s="43"/>
      <c r="CH494" s="43"/>
      <c r="CI494" s="43"/>
      <c r="CJ494" s="43"/>
      <c r="CK494" s="43"/>
      <c r="CL494" s="43"/>
      <c r="CM494" s="43"/>
      <c r="CN494" s="43"/>
      <c r="CO494" s="43"/>
      <c r="CP494" s="43"/>
      <c r="CQ494" s="43"/>
      <c r="CR494" s="43"/>
      <c r="CS494" s="43"/>
      <c r="CT494" s="43"/>
      <c r="CU494" s="43"/>
      <c r="CV494" s="43"/>
      <c r="CW494" s="43"/>
      <c r="CX494" s="43"/>
      <c r="CY494" s="43"/>
      <c r="CZ494" s="43"/>
      <c r="DA494" s="43"/>
      <c r="DB494" s="43"/>
      <c r="DC494" s="43"/>
      <c r="DD494" s="43"/>
      <c r="DE494" s="43"/>
      <c r="DF494" s="43"/>
      <c r="DG494" s="43"/>
      <c r="DH494" s="43"/>
      <c r="DI494" s="43"/>
      <c r="DJ494" s="43"/>
      <c r="DK494" s="43"/>
      <c r="DL494" s="43"/>
      <c r="DM494" s="43"/>
      <c r="DN494" s="43"/>
      <c r="DO494" s="43"/>
      <c r="DP494" s="43"/>
      <c r="DQ494" s="43"/>
      <c r="DR494" s="43"/>
      <c r="DS494" s="43"/>
    </row>
    <row r="495" spans="1:123" ht="14.45">
      <c r="A495"/>
      <c r="B495"/>
      <c r="C495"/>
      <c r="D495"/>
      <c r="E495"/>
      <c r="F495"/>
      <c r="G495"/>
      <c r="H495"/>
      <c r="I495"/>
      <c r="J495"/>
      <c r="K495" s="43"/>
      <c r="L495" s="43"/>
      <c r="M495" s="43"/>
      <c r="N495" s="43"/>
      <c r="O495" s="43"/>
      <c r="P495" s="43"/>
      <c r="Q495" s="43"/>
      <c r="R495" s="43"/>
      <c r="S495" s="43"/>
      <c r="T495" s="43"/>
      <c r="U495" s="43"/>
      <c r="V495" s="43"/>
      <c r="W495" s="43"/>
      <c r="X495" s="43"/>
      <c r="Y495" s="43"/>
      <c r="Z495" s="43"/>
      <c r="AA495" s="43"/>
      <c r="AB495" s="43"/>
      <c r="AC495" s="43"/>
      <c r="AD495" s="43"/>
      <c r="AE495" s="43"/>
      <c r="AF495" s="43"/>
      <c r="AG495" s="43"/>
      <c r="AH495" s="43"/>
      <c r="AI495" s="43"/>
      <c r="AJ495" s="43"/>
      <c r="AK495" s="43"/>
      <c r="AL495" s="43"/>
      <c r="AM495" s="43"/>
      <c r="AN495" s="43"/>
      <c r="AO495" s="43"/>
      <c r="AP495" s="43"/>
      <c r="AQ495" s="43"/>
      <c r="AR495" s="43"/>
      <c r="AS495" s="43"/>
      <c r="AT495" s="43"/>
      <c r="AU495" s="43"/>
      <c r="AV495" s="43"/>
      <c r="AW495" s="43"/>
      <c r="AX495" s="43"/>
      <c r="AY495" s="43"/>
      <c r="AZ495" s="43"/>
      <c r="BA495" s="43"/>
      <c r="BB495" s="43"/>
      <c r="BC495" s="43"/>
      <c r="BD495" s="43"/>
      <c r="BE495" s="43"/>
      <c r="BF495" s="43"/>
      <c r="BG495" s="43"/>
      <c r="BH495" s="43"/>
      <c r="BI495" s="43"/>
      <c r="BJ495" s="43"/>
      <c r="BK495" s="43"/>
      <c r="BL495" s="43"/>
      <c r="BM495" s="43"/>
      <c r="BN495" s="43"/>
      <c r="BO495" s="43"/>
      <c r="BP495" s="43"/>
      <c r="BQ495" s="43"/>
      <c r="BR495" s="43"/>
      <c r="BS495" s="43"/>
      <c r="BT495" s="43"/>
      <c r="BU495" s="43"/>
      <c r="BV495" s="43"/>
      <c r="BW495" s="43"/>
      <c r="BX495" s="43"/>
      <c r="BY495" s="43"/>
      <c r="BZ495" s="43"/>
      <c r="CA495" s="43"/>
      <c r="CB495" s="43"/>
      <c r="CC495" s="43"/>
      <c r="CD495" s="43"/>
      <c r="CE495" s="43"/>
      <c r="CF495" s="43"/>
      <c r="CG495" s="43"/>
      <c r="CH495" s="43"/>
      <c r="CI495" s="43"/>
      <c r="CJ495" s="43"/>
      <c r="CK495" s="43"/>
      <c r="CL495" s="43"/>
      <c r="CM495" s="43"/>
      <c r="CN495" s="43"/>
      <c r="CO495" s="43"/>
      <c r="CP495" s="43"/>
      <c r="CQ495" s="43"/>
      <c r="CR495" s="43"/>
      <c r="CS495" s="43"/>
      <c r="CT495" s="43"/>
      <c r="CU495" s="43"/>
      <c r="CV495" s="43"/>
      <c r="CW495" s="43"/>
      <c r="CX495" s="43"/>
      <c r="CY495" s="43"/>
      <c r="CZ495" s="43"/>
      <c r="DA495" s="43"/>
      <c r="DB495" s="43"/>
      <c r="DC495" s="43"/>
      <c r="DD495" s="43"/>
      <c r="DE495" s="43"/>
      <c r="DF495" s="43"/>
      <c r="DG495" s="43"/>
      <c r="DH495" s="43"/>
      <c r="DI495" s="43"/>
      <c r="DJ495" s="43"/>
      <c r="DK495" s="43"/>
      <c r="DL495" s="43"/>
      <c r="DM495" s="43"/>
      <c r="DN495" s="43"/>
      <c r="DO495" s="43"/>
      <c r="DP495" s="43"/>
      <c r="DQ495" s="43"/>
      <c r="DR495" s="43"/>
      <c r="DS495" s="43"/>
    </row>
    <row r="496" spans="1:123" ht="14.45">
      <c r="A496"/>
      <c r="B496"/>
      <c r="C496"/>
      <c r="D496"/>
      <c r="E496"/>
      <c r="F496"/>
      <c r="G496"/>
      <c r="H496"/>
      <c r="I496"/>
      <c r="J496"/>
      <c r="K496" s="43"/>
      <c r="L496" s="43"/>
      <c r="M496" s="43"/>
      <c r="N496" s="43"/>
      <c r="O496" s="43"/>
      <c r="P496" s="43"/>
      <c r="Q496" s="43"/>
      <c r="R496" s="43"/>
      <c r="S496" s="43"/>
      <c r="T496" s="43"/>
      <c r="U496" s="43"/>
      <c r="V496" s="43"/>
      <c r="W496" s="43"/>
      <c r="X496" s="43"/>
      <c r="Y496" s="43"/>
      <c r="Z496" s="43"/>
      <c r="AA496" s="43"/>
      <c r="AB496" s="43"/>
      <c r="AC496" s="43"/>
      <c r="AD496" s="43"/>
      <c r="AE496" s="43"/>
      <c r="AF496" s="43"/>
      <c r="AG496" s="43"/>
      <c r="AH496" s="43"/>
      <c r="AI496" s="43"/>
      <c r="AJ496" s="43"/>
      <c r="AK496" s="43"/>
      <c r="AL496" s="43"/>
      <c r="AM496" s="43"/>
      <c r="AN496" s="43"/>
      <c r="AO496" s="43"/>
      <c r="AP496" s="43"/>
      <c r="AQ496" s="43"/>
      <c r="AR496" s="43"/>
      <c r="AS496" s="43"/>
      <c r="AT496" s="43"/>
      <c r="AU496" s="43"/>
      <c r="AV496" s="43"/>
      <c r="AW496" s="43"/>
      <c r="AX496" s="43"/>
      <c r="AY496" s="43"/>
      <c r="AZ496" s="43"/>
      <c r="BA496" s="43"/>
      <c r="BB496" s="43"/>
      <c r="BC496" s="43"/>
      <c r="BD496" s="43"/>
      <c r="BE496" s="43"/>
      <c r="BF496" s="43"/>
      <c r="BG496" s="43"/>
      <c r="BH496" s="43"/>
      <c r="BI496" s="43"/>
      <c r="BJ496" s="43"/>
      <c r="BK496" s="43"/>
      <c r="BL496" s="43"/>
      <c r="BM496" s="43"/>
      <c r="BN496" s="43"/>
      <c r="BO496" s="43"/>
      <c r="BP496" s="43"/>
      <c r="BQ496" s="43"/>
      <c r="BR496" s="43"/>
      <c r="BS496" s="43"/>
      <c r="BT496" s="43"/>
      <c r="BU496" s="43"/>
      <c r="BV496" s="43"/>
      <c r="BW496" s="43"/>
      <c r="BX496" s="43"/>
      <c r="BY496" s="43"/>
      <c r="BZ496" s="43"/>
      <c r="CA496" s="43"/>
      <c r="CB496" s="43"/>
      <c r="CC496" s="43"/>
      <c r="CD496" s="43"/>
      <c r="CE496" s="43"/>
      <c r="CF496" s="43"/>
      <c r="CG496" s="43"/>
      <c r="CH496" s="43"/>
      <c r="CI496" s="43"/>
      <c r="CJ496" s="43"/>
      <c r="CK496" s="43"/>
      <c r="CL496" s="43"/>
      <c r="CM496" s="43"/>
      <c r="CN496" s="43"/>
      <c r="CO496" s="43"/>
      <c r="CP496" s="43"/>
      <c r="CQ496" s="43"/>
      <c r="CR496" s="43"/>
      <c r="CS496" s="43"/>
      <c r="CT496" s="43"/>
      <c r="CU496" s="43"/>
      <c r="CV496" s="43"/>
      <c r="CW496" s="43"/>
      <c r="CX496" s="43"/>
      <c r="CY496" s="43"/>
      <c r="CZ496" s="43"/>
      <c r="DA496" s="43"/>
      <c r="DB496" s="43"/>
      <c r="DC496" s="43"/>
      <c r="DD496" s="43"/>
      <c r="DE496" s="43"/>
      <c r="DF496" s="43"/>
      <c r="DG496" s="43"/>
      <c r="DH496" s="43"/>
      <c r="DI496" s="43"/>
      <c r="DJ496" s="43"/>
      <c r="DK496" s="43"/>
      <c r="DL496" s="43"/>
      <c r="DM496" s="43"/>
      <c r="DN496" s="43"/>
      <c r="DO496" s="43"/>
      <c r="DP496" s="43"/>
      <c r="DQ496" s="43"/>
      <c r="DR496" s="43"/>
      <c r="DS496" s="43"/>
    </row>
    <row r="497" spans="1:123" ht="14.45">
      <c r="A497"/>
      <c r="B497"/>
      <c r="C497"/>
      <c r="D497"/>
      <c r="E497"/>
      <c r="F497"/>
      <c r="G497"/>
      <c r="H497"/>
      <c r="I497"/>
      <c r="J497"/>
      <c r="K497" s="43"/>
      <c r="L497" s="43"/>
      <c r="M497" s="43"/>
      <c r="N497" s="43"/>
      <c r="O497" s="43"/>
      <c r="P497" s="43"/>
      <c r="Q497" s="43"/>
      <c r="R497" s="43"/>
      <c r="S497" s="43"/>
      <c r="T497" s="43"/>
      <c r="U497" s="43"/>
      <c r="V497" s="43"/>
      <c r="W497" s="43"/>
      <c r="X497" s="43"/>
      <c r="Y497" s="43"/>
      <c r="Z497" s="43"/>
      <c r="AA497" s="43"/>
      <c r="AB497" s="43"/>
      <c r="AC497" s="43"/>
      <c r="AD497" s="43"/>
      <c r="AE497" s="43"/>
      <c r="AF497" s="43"/>
      <c r="AG497" s="43"/>
      <c r="AH497" s="43"/>
      <c r="AI497" s="43"/>
      <c r="AJ497" s="43"/>
      <c r="AK497" s="43"/>
      <c r="AL497" s="43"/>
      <c r="AM497" s="43"/>
      <c r="AN497" s="43"/>
      <c r="AO497" s="43"/>
      <c r="AP497" s="43"/>
      <c r="AQ497" s="43"/>
      <c r="AR497" s="43"/>
      <c r="AS497" s="43"/>
      <c r="AT497" s="43"/>
      <c r="AU497" s="43"/>
      <c r="AV497" s="43"/>
      <c r="AW497" s="43"/>
      <c r="AX497" s="43"/>
      <c r="AY497" s="43"/>
      <c r="AZ497" s="43"/>
      <c r="BA497" s="43"/>
      <c r="BB497" s="43"/>
      <c r="BC497" s="43"/>
      <c r="BD497" s="43"/>
      <c r="BE497" s="43"/>
      <c r="BF497" s="43"/>
      <c r="BG497" s="43"/>
      <c r="BH497" s="43"/>
      <c r="BI497" s="43"/>
      <c r="BJ497" s="43"/>
      <c r="BK497" s="43"/>
      <c r="BL497" s="43"/>
      <c r="BM497" s="43"/>
      <c r="BN497" s="43"/>
      <c r="BO497" s="43"/>
      <c r="BP497" s="43"/>
      <c r="BQ497" s="43"/>
      <c r="BR497" s="43"/>
      <c r="BS497" s="43"/>
      <c r="BT497" s="43"/>
      <c r="BU497" s="43"/>
      <c r="BV497" s="43"/>
      <c r="BW497" s="43"/>
      <c r="BX497" s="43"/>
      <c r="BY497" s="43"/>
      <c r="BZ497" s="43"/>
      <c r="CA497" s="43"/>
      <c r="CB497" s="43"/>
      <c r="CC497" s="43"/>
      <c r="CD497" s="43"/>
      <c r="CE497" s="43"/>
      <c r="CF497" s="43"/>
      <c r="CG497" s="43"/>
      <c r="CH497" s="43"/>
      <c r="CI497" s="43"/>
      <c r="CJ497" s="43"/>
      <c r="CK497" s="43"/>
      <c r="CL497" s="43"/>
      <c r="CM497" s="43"/>
      <c r="CN497" s="43"/>
      <c r="CO497" s="43"/>
      <c r="CP497" s="43"/>
      <c r="CQ497" s="43"/>
      <c r="CR497" s="43"/>
      <c r="CS497" s="43"/>
      <c r="CT497" s="43"/>
      <c r="CU497" s="43"/>
      <c r="CV497" s="43"/>
      <c r="CW497" s="43"/>
      <c r="CX497" s="43"/>
      <c r="CY497" s="43"/>
      <c r="CZ497" s="43"/>
      <c r="DA497" s="43"/>
      <c r="DB497" s="43"/>
      <c r="DC497" s="43"/>
      <c r="DD497" s="43"/>
      <c r="DE497" s="43"/>
      <c r="DF497" s="43"/>
      <c r="DG497" s="43"/>
      <c r="DH497" s="43"/>
      <c r="DI497" s="43"/>
      <c r="DJ497" s="43"/>
      <c r="DK497" s="43"/>
      <c r="DL497" s="43"/>
      <c r="DM497" s="43"/>
      <c r="DN497" s="43"/>
      <c r="DO497" s="43"/>
      <c r="DP497" s="43"/>
      <c r="DQ497" s="43"/>
      <c r="DR497" s="43"/>
      <c r="DS497" s="43"/>
    </row>
    <row r="498" spans="1:123" ht="14.45">
      <c r="A498"/>
      <c r="B498"/>
      <c r="C498"/>
      <c r="D498"/>
      <c r="E498"/>
      <c r="F498"/>
      <c r="G498"/>
      <c r="H498"/>
      <c r="I498"/>
      <c r="J498"/>
      <c r="K498" s="43"/>
      <c r="L498" s="43"/>
      <c r="M498" s="43"/>
      <c r="N498" s="43"/>
      <c r="O498" s="43"/>
      <c r="P498" s="43"/>
      <c r="Q498" s="43"/>
      <c r="R498" s="43"/>
      <c r="S498" s="43"/>
      <c r="T498" s="43"/>
      <c r="U498" s="43"/>
      <c r="V498" s="43"/>
      <c r="W498" s="43"/>
      <c r="X498" s="43"/>
      <c r="Y498" s="43"/>
      <c r="Z498" s="43"/>
      <c r="AA498" s="43"/>
      <c r="AB498" s="43"/>
      <c r="AC498" s="43"/>
      <c r="AD498" s="43"/>
      <c r="AE498" s="43"/>
      <c r="AF498" s="43"/>
      <c r="AG498" s="43"/>
      <c r="AH498" s="43"/>
      <c r="AI498" s="43"/>
      <c r="AJ498" s="43"/>
      <c r="AK498" s="43"/>
      <c r="AL498" s="43"/>
      <c r="AM498" s="43"/>
      <c r="AN498" s="43"/>
      <c r="AO498" s="43"/>
      <c r="AP498" s="43"/>
      <c r="AQ498" s="43"/>
      <c r="AR498" s="43"/>
      <c r="AS498" s="43"/>
      <c r="AT498" s="43"/>
      <c r="AU498" s="43"/>
      <c r="AV498" s="43"/>
      <c r="AW498" s="43"/>
      <c r="AX498" s="43"/>
      <c r="AY498" s="43"/>
      <c r="AZ498" s="43"/>
      <c r="BA498" s="43"/>
      <c r="BB498" s="43"/>
      <c r="BC498" s="43"/>
      <c r="BD498" s="43"/>
      <c r="BE498" s="43"/>
      <c r="BF498" s="43"/>
      <c r="BG498" s="43"/>
      <c r="BH498" s="43"/>
      <c r="BI498" s="43"/>
      <c r="BJ498" s="43"/>
      <c r="BK498" s="43"/>
      <c r="BL498" s="43"/>
      <c r="BM498" s="43"/>
      <c r="BN498" s="43"/>
      <c r="BO498" s="43"/>
      <c r="BP498" s="43"/>
      <c r="BQ498" s="43"/>
      <c r="BR498" s="43"/>
      <c r="BS498" s="43"/>
      <c r="BT498" s="43"/>
      <c r="BU498" s="43"/>
      <c r="BV498" s="43"/>
      <c r="BW498" s="43"/>
      <c r="BX498" s="43"/>
      <c r="BY498" s="43"/>
      <c r="BZ498" s="43"/>
      <c r="CA498" s="43"/>
      <c r="CB498" s="43"/>
      <c r="CC498" s="43"/>
      <c r="CD498" s="43"/>
      <c r="CE498" s="43"/>
      <c r="CF498" s="43"/>
      <c r="CG498" s="43"/>
      <c r="CH498" s="43"/>
      <c r="CI498" s="43"/>
      <c r="CJ498" s="43"/>
      <c r="CK498" s="43"/>
      <c r="CL498" s="43"/>
      <c r="CM498" s="43"/>
      <c r="CN498" s="43"/>
      <c r="CO498" s="43"/>
      <c r="CP498" s="43"/>
      <c r="CQ498" s="43"/>
      <c r="CR498" s="43"/>
      <c r="CS498" s="43"/>
      <c r="CT498" s="43"/>
      <c r="CU498" s="43"/>
      <c r="CV498" s="43"/>
      <c r="CW498" s="43"/>
      <c r="CX498" s="43"/>
      <c r="CY498" s="43"/>
      <c r="CZ498" s="43"/>
      <c r="DA498" s="43"/>
      <c r="DB498" s="43"/>
      <c r="DC498" s="43"/>
      <c r="DD498" s="43"/>
      <c r="DE498" s="43"/>
      <c r="DF498" s="43"/>
      <c r="DG498" s="43"/>
      <c r="DH498" s="43"/>
      <c r="DI498" s="43"/>
      <c r="DJ498" s="43"/>
      <c r="DK498" s="43"/>
      <c r="DL498" s="43"/>
      <c r="DM498" s="43"/>
      <c r="DN498" s="43"/>
      <c r="DO498" s="43"/>
      <c r="DP498" s="43"/>
      <c r="DQ498" s="43"/>
      <c r="DR498" s="43"/>
      <c r="DS498" s="43"/>
    </row>
    <row r="499" spans="1:123" ht="14.45">
      <c r="A499"/>
      <c r="B499"/>
      <c r="C499"/>
      <c r="D499"/>
      <c r="E499"/>
      <c r="F499"/>
      <c r="G499"/>
      <c r="H499"/>
      <c r="I499"/>
      <c r="J499"/>
      <c r="K499" s="43"/>
      <c r="L499" s="43"/>
      <c r="M499" s="43"/>
      <c r="N499" s="43"/>
      <c r="O499" s="43"/>
      <c r="P499" s="43"/>
      <c r="Q499" s="43"/>
      <c r="R499" s="43"/>
      <c r="S499" s="43"/>
      <c r="T499" s="43"/>
      <c r="U499" s="43"/>
      <c r="V499" s="43"/>
      <c r="W499" s="43"/>
      <c r="X499" s="43"/>
      <c r="Y499" s="43"/>
      <c r="Z499" s="43"/>
      <c r="AA499" s="43"/>
      <c r="AB499" s="43"/>
      <c r="AC499" s="43"/>
      <c r="AD499" s="43"/>
      <c r="AE499" s="43"/>
      <c r="AF499" s="43"/>
      <c r="AG499" s="43"/>
      <c r="AH499" s="43"/>
      <c r="AI499" s="43"/>
      <c r="AJ499" s="43"/>
      <c r="AK499" s="43"/>
      <c r="AL499" s="43"/>
      <c r="AM499" s="43"/>
      <c r="AN499" s="43"/>
      <c r="AO499" s="43"/>
      <c r="AP499" s="43"/>
      <c r="AQ499" s="43"/>
      <c r="AR499" s="43"/>
      <c r="AS499" s="43"/>
      <c r="AT499" s="43"/>
      <c r="AU499" s="43"/>
      <c r="AV499" s="43"/>
      <c r="AW499" s="43"/>
      <c r="AX499" s="43"/>
      <c r="AY499" s="43"/>
      <c r="AZ499" s="43"/>
      <c r="BA499" s="43"/>
      <c r="BB499" s="43"/>
      <c r="BC499" s="43"/>
      <c r="BD499" s="43"/>
      <c r="BE499" s="43"/>
      <c r="BF499" s="43"/>
      <c r="BG499" s="43"/>
      <c r="BH499" s="43"/>
      <c r="BI499" s="43"/>
      <c r="BJ499" s="43"/>
      <c r="BK499" s="43"/>
      <c r="BL499" s="43"/>
      <c r="BM499" s="43"/>
      <c r="BN499" s="43"/>
      <c r="BO499" s="43"/>
      <c r="BP499" s="43"/>
      <c r="BQ499" s="43"/>
      <c r="BR499" s="43"/>
      <c r="BS499" s="43"/>
      <c r="BT499" s="43"/>
      <c r="BU499" s="43"/>
      <c r="BV499" s="43"/>
      <c r="BW499" s="43"/>
      <c r="BX499" s="43"/>
      <c r="BY499" s="43"/>
      <c r="BZ499" s="43"/>
      <c r="CA499" s="43"/>
      <c r="CB499" s="43"/>
      <c r="CC499" s="43"/>
      <c r="CD499" s="43"/>
      <c r="CE499" s="43"/>
      <c r="CF499" s="43"/>
      <c r="CG499" s="43"/>
      <c r="CH499" s="43"/>
      <c r="CI499" s="43"/>
      <c r="CJ499" s="43"/>
      <c r="CK499" s="43"/>
      <c r="CL499" s="43"/>
      <c r="CM499" s="43"/>
      <c r="CN499" s="43"/>
      <c r="CO499" s="43"/>
      <c r="CP499" s="43"/>
      <c r="CQ499" s="43"/>
      <c r="CR499" s="43"/>
      <c r="CS499" s="43"/>
      <c r="CT499" s="43"/>
      <c r="CU499" s="43"/>
      <c r="CV499" s="43"/>
      <c r="CW499" s="43"/>
      <c r="CX499" s="43"/>
      <c r="CY499" s="43"/>
      <c r="CZ499" s="43"/>
      <c r="DA499" s="43"/>
      <c r="DB499" s="43"/>
      <c r="DC499" s="43"/>
      <c r="DD499" s="43"/>
      <c r="DE499" s="43"/>
      <c r="DF499" s="43"/>
      <c r="DG499" s="43"/>
      <c r="DH499" s="43"/>
      <c r="DI499" s="43"/>
      <c r="DJ499" s="43"/>
      <c r="DK499" s="43"/>
      <c r="DL499" s="43"/>
      <c r="DM499" s="43"/>
      <c r="DN499" s="43"/>
      <c r="DO499" s="43"/>
      <c r="DP499" s="43"/>
      <c r="DQ499" s="43"/>
      <c r="DR499" s="43"/>
      <c r="DS499" s="43"/>
    </row>
    <row r="500" spans="1:123" ht="14.45">
      <c r="A500"/>
      <c r="B500"/>
      <c r="C500"/>
      <c r="D500"/>
      <c r="E500"/>
      <c r="F500"/>
      <c r="G500"/>
      <c r="H500"/>
      <c r="I500"/>
      <c r="J500"/>
      <c r="K500" s="43"/>
      <c r="L500" s="43"/>
      <c r="M500" s="43"/>
      <c r="N500" s="43"/>
      <c r="O500" s="43"/>
      <c r="P500" s="43"/>
      <c r="Q500" s="43"/>
      <c r="R500" s="43"/>
      <c r="S500" s="43"/>
      <c r="T500" s="43"/>
      <c r="U500" s="43"/>
      <c r="V500" s="43"/>
      <c r="W500" s="43"/>
      <c r="X500" s="43"/>
      <c r="Y500" s="43"/>
      <c r="Z500" s="43"/>
      <c r="AA500" s="43"/>
      <c r="AB500" s="43"/>
      <c r="AC500" s="43"/>
      <c r="AD500" s="43"/>
      <c r="AE500" s="43"/>
      <c r="AF500" s="43"/>
      <c r="AG500" s="43"/>
      <c r="AH500" s="43"/>
      <c r="AI500" s="43"/>
      <c r="AJ500" s="43"/>
      <c r="AK500" s="43"/>
      <c r="AL500" s="43"/>
      <c r="AM500" s="43"/>
      <c r="AN500" s="43"/>
      <c r="AO500" s="43"/>
      <c r="AP500" s="43"/>
      <c r="AQ500" s="43"/>
      <c r="AR500" s="43"/>
      <c r="AS500" s="43"/>
      <c r="AT500" s="43"/>
      <c r="AU500" s="43"/>
      <c r="AV500" s="43"/>
      <c r="AW500" s="43"/>
      <c r="AX500" s="43"/>
      <c r="AY500" s="43"/>
      <c r="AZ500" s="43"/>
      <c r="BA500" s="43"/>
      <c r="BB500" s="43"/>
      <c r="BC500" s="43"/>
      <c r="BD500" s="43"/>
      <c r="BE500" s="43"/>
      <c r="BF500" s="43"/>
      <c r="BG500" s="43"/>
      <c r="BH500" s="43"/>
      <c r="BI500" s="43"/>
      <c r="BJ500" s="43"/>
      <c r="BK500" s="43"/>
      <c r="BL500" s="43"/>
      <c r="BM500" s="43"/>
      <c r="BN500" s="43"/>
      <c r="BO500" s="43"/>
      <c r="BP500" s="43"/>
      <c r="BQ500" s="43"/>
      <c r="BR500" s="43"/>
      <c r="BS500" s="43"/>
      <c r="BT500" s="43"/>
      <c r="BU500" s="43"/>
      <c r="BV500" s="43"/>
      <c r="BW500" s="43"/>
      <c r="BX500" s="43"/>
      <c r="BY500" s="43"/>
      <c r="BZ500" s="43"/>
      <c r="CA500" s="43"/>
      <c r="CB500" s="43"/>
      <c r="CC500" s="43"/>
      <c r="CD500" s="43"/>
      <c r="CE500" s="43"/>
      <c r="CF500" s="43"/>
      <c r="CG500" s="43"/>
      <c r="CH500" s="43"/>
      <c r="CI500" s="43"/>
      <c r="CJ500" s="43"/>
      <c r="CK500" s="43"/>
      <c r="CL500" s="43"/>
      <c r="CM500" s="43"/>
      <c r="CN500" s="43"/>
      <c r="CO500" s="43"/>
      <c r="CP500" s="43"/>
      <c r="CQ500" s="43"/>
      <c r="CR500" s="43"/>
      <c r="CS500" s="43"/>
      <c r="CT500" s="43"/>
      <c r="CU500" s="43"/>
      <c r="CV500" s="43"/>
      <c r="CW500" s="43"/>
      <c r="CX500" s="43"/>
      <c r="CY500" s="43"/>
      <c r="CZ500" s="43"/>
      <c r="DA500" s="43"/>
      <c r="DB500" s="43"/>
      <c r="DC500" s="43"/>
      <c r="DD500" s="43"/>
      <c r="DE500" s="43"/>
      <c r="DF500" s="43"/>
      <c r="DG500" s="43"/>
      <c r="DH500" s="43"/>
      <c r="DI500" s="43"/>
      <c r="DJ500" s="43"/>
      <c r="DK500" s="43"/>
      <c r="DL500" s="43"/>
      <c r="DM500" s="43"/>
      <c r="DN500" s="43"/>
      <c r="DO500" s="43"/>
      <c r="DP500" s="43"/>
      <c r="DQ500" s="43"/>
      <c r="DR500" s="43"/>
      <c r="DS500" s="43"/>
    </row>
    <row r="501" spans="1:123" ht="14.45">
      <c r="A501"/>
      <c r="B501"/>
      <c r="C501"/>
      <c r="D501"/>
      <c r="E501"/>
      <c r="F501"/>
      <c r="G501"/>
      <c r="H501"/>
      <c r="I501"/>
      <c r="J501"/>
      <c r="K501" s="43"/>
      <c r="L501" s="43"/>
      <c r="M501" s="43"/>
      <c r="N501" s="43"/>
      <c r="O501" s="43"/>
      <c r="P501" s="43"/>
      <c r="Q501" s="43"/>
      <c r="R501" s="43"/>
      <c r="S501" s="43"/>
      <c r="T501" s="43"/>
      <c r="U501" s="43"/>
      <c r="V501" s="43"/>
      <c r="W501" s="43"/>
      <c r="X501" s="43"/>
      <c r="Y501" s="43"/>
      <c r="Z501" s="43"/>
      <c r="AA501" s="43"/>
      <c r="AB501" s="43"/>
      <c r="AC501" s="43"/>
      <c r="AD501" s="43"/>
      <c r="AE501" s="43"/>
      <c r="AF501" s="43"/>
      <c r="AG501" s="43"/>
      <c r="AH501" s="43"/>
      <c r="AI501" s="43"/>
      <c r="AJ501" s="43"/>
      <c r="AK501" s="43"/>
      <c r="AL501" s="43"/>
      <c r="AM501" s="43"/>
      <c r="AN501" s="43"/>
      <c r="AO501" s="43"/>
      <c r="AP501" s="43"/>
      <c r="AQ501" s="43"/>
      <c r="AR501" s="43"/>
      <c r="AS501" s="43"/>
      <c r="AT501" s="43"/>
      <c r="AU501" s="43"/>
      <c r="AV501" s="43"/>
      <c r="AW501" s="43"/>
      <c r="AX501" s="43"/>
      <c r="AY501" s="43"/>
      <c r="AZ501" s="43"/>
      <c r="BA501" s="43"/>
      <c r="BB501" s="43"/>
      <c r="BC501" s="43"/>
      <c r="BD501" s="43"/>
      <c r="BE501" s="43"/>
      <c r="BF501" s="43"/>
      <c r="BG501" s="43"/>
      <c r="BH501" s="43"/>
      <c r="BI501" s="43"/>
      <c r="BJ501" s="43"/>
      <c r="BK501" s="43"/>
      <c r="BL501" s="43"/>
      <c r="BM501" s="43"/>
      <c r="BN501" s="43"/>
      <c r="BO501" s="43"/>
      <c r="BP501" s="43"/>
      <c r="BQ501" s="43"/>
      <c r="BR501" s="43"/>
      <c r="BS501" s="43"/>
      <c r="BT501" s="43"/>
      <c r="BU501" s="43"/>
      <c r="BV501" s="43"/>
      <c r="BW501" s="43"/>
      <c r="BX501" s="43"/>
      <c r="BY501" s="43"/>
      <c r="BZ501" s="43"/>
      <c r="CA501" s="43"/>
      <c r="CB501" s="43"/>
      <c r="CC501" s="43"/>
      <c r="CD501" s="43"/>
      <c r="CE501" s="43"/>
      <c r="CF501" s="43"/>
      <c r="CG501" s="43"/>
      <c r="CH501" s="43"/>
      <c r="CI501" s="43"/>
      <c r="CJ501" s="43"/>
      <c r="CK501" s="43"/>
      <c r="CL501" s="43"/>
      <c r="CM501" s="43"/>
      <c r="CN501" s="43"/>
      <c r="CO501" s="43"/>
      <c r="CP501" s="43"/>
      <c r="CQ501" s="43"/>
      <c r="CR501" s="43"/>
      <c r="CS501" s="43"/>
      <c r="CT501" s="43"/>
      <c r="CU501" s="43"/>
      <c r="CV501" s="43"/>
      <c r="CW501" s="43"/>
      <c r="CX501" s="43"/>
      <c r="CY501" s="43"/>
      <c r="CZ501" s="43"/>
      <c r="DA501" s="43"/>
      <c r="DB501" s="43"/>
      <c r="DC501" s="43"/>
      <c r="DD501" s="43"/>
      <c r="DE501" s="43"/>
      <c r="DF501" s="43"/>
      <c r="DG501" s="43"/>
      <c r="DH501" s="43"/>
      <c r="DI501" s="43"/>
      <c r="DJ501" s="43"/>
      <c r="DK501" s="43"/>
      <c r="DL501" s="43"/>
      <c r="DM501" s="43"/>
      <c r="DN501" s="43"/>
      <c r="DO501" s="43"/>
      <c r="DP501" s="43"/>
      <c r="DQ501" s="43"/>
      <c r="DR501" s="43"/>
      <c r="DS501" s="43"/>
    </row>
    <row r="502" spans="1:123" ht="14.45">
      <c r="A502"/>
      <c r="B502"/>
      <c r="C502"/>
      <c r="D502"/>
      <c r="E502"/>
      <c r="F502"/>
      <c r="G502"/>
      <c r="H502"/>
      <c r="I502"/>
      <c r="J502"/>
      <c r="K502" s="43"/>
      <c r="L502" s="43"/>
      <c r="M502" s="43"/>
      <c r="N502" s="43"/>
      <c r="O502" s="43"/>
      <c r="P502" s="43"/>
      <c r="Q502" s="43"/>
      <c r="R502" s="43"/>
      <c r="S502" s="43"/>
      <c r="T502" s="43"/>
      <c r="U502" s="43"/>
      <c r="V502" s="43"/>
      <c r="W502" s="43"/>
      <c r="X502" s="43"/>
      <c r="Y502" s="43"/>
      <c r="Z502" s="43"/>
      <c r="AA502" s="43"/>
      <c r="AB502" s="43"/>
      <c r="AC502" s="43"/>
      <c r="AD502" s="43"/>
      <c r="AE502" s="43"/>
      <c r="AF502" s="43"/>
      <c r="AG502" s="43"/>
      <c r="AH502" s="43"/>
      <c r="AI502" s="43"/>
      <c r="AJ502" s="43"/>
      <c r="AK502" s="43"/>
      <c r="AL502" s="43"/>
      <c r="AM502" s="43"/>
      <c r="AN502" s="43"/>
      <c r="AO502" s="43"/>
      <c r="AP502" s="43"/>
      <c r="AQ502" s="43"/>
      <c r="AR502" s="43"/>
      <c r="AS502" s="43"/>
      <c r="AT502" s="43"/>
      <c r="AU502" s="43"/>
      <c r="AV502" s="43"/>
      <c r="AW502" s="43"/>
      <c r="AX502" s="43"/>
      <c r="AY502" s="43"/>
      <c r="AZ502" s="43"/>
      <c r="BA502" s="43"/>
      <c r="BB502" s="43"/>
      <c r="BC502" s="43"/>
      <c r="BD502" s="43"/>
      <c r="BE502" s="43"/>
      <c r="BF502" s="43"/>
      <c r="BG502" s="43"/>
      <c r="BH502" s="43"/>
      <c r="BI502" s="43"/>
      <c r="BJ502" s="43"/>
      <c r="BK502" s="43"/>
      <c r="BL502" s="43"/>
      <c r="BM502" s="43"/>
      <c r="BN502" s="43"/>
      <c r="BO502" s="43"/>
      <c r="BP502" s="43"/>
      <c r="BQ502" s="43"/>
      <c r="BR502" s="43"/>
      <c r="BS502" s="43"/>
      <c r="BT502" s="43"/>
      <c r="BU502" s="43"/>
      <c r="BV502" s="43"/>
      <c r="BW502" s="43"/>
      <c r="BX502" s="43"/>
      <c r="BY502" s="43"/>
      <c r="BZ502" s="43"/>
      <c r="CA502" s="43"/>
      <c r="CB502" s="43"/>
      <c r="CC502" s="43"/>
      <c r="CD502" s="43"/>
      <c r="CE502" s="43"/>
      <c r="CF502" s="43"/>
      <c r="CG502" s="43"/>
      <c r="CH502" s="43"/>
      <c r="CI502" s="43"/>
      <c r="CJ502" s="43"/>
      <c r="CK502" s="43"/>
      <c r="CL502" s="43"/>
      <c r="CM502" s="43"/>
      <c r="CN502" s="43"/>
      <c r="CO502" s="43"/>
      <c r="CP502" s="43"/>
      <c r="CQ502" s="43"/>
      <c r="CR502" s="43"/>
      <c r="CS502" s="43"/>
      <c r="CT502" s="43"/>
      <c r="CU502" s="43"/>
      <c r="CV502" s="43"/>
      <c r="CW502" s="43"/>
      <c r="CX502" s="43"/>
      <c r="CY502" s="43"/>
      <c r="CZ502" s="43"/>
      <c r="DA502" s="43"/>
      <c r="DB502" s="43"/>
      <c r="DC502" s="43"/>
      <c r="DD502" s="43"/>
      <c r="DE502" s="43"/>
      <c r="DF502" s="43"/>
      <c r="DG502" s="43"/>
      <c r="DH502" s="43"/>
      <c r="DI502" s="43"/>
      <c r="DJ502" s="43"/>
      <c r="DK502" s="43"/>
      <c r="DL502" s="43"/>
      <c r="DM502" s="43"/>
      <c r="DN502" s="43"/>
      <c r="DO502" s="43"/>
      <c r="DP502" s="43"/>
      <c r="DQ502" s="43"/>
      <c r="DR502" s="43"/>
      <c r="DS502" s="43"/>
    </row>
    <row r="503" spans="1:123" ht="14.45">
      <c r="A503"/>
      <c r="B503"/>
      <c r="C503"/>
      <c r="D503"/>
      <c r="E503"/>
      <c r="F503"/>
      <c r="G503"/>
      <c r="H503"/>
      <c r="I503"/>
      <c r="J503"/>
      <c r="K503" s="43"/>
      <c r="L503" s="43"/>
      <c r="M503" s="43"/>
      <c r="N503" s="43"/>
      <c r="O503" s="43"/>
      <c r="P503" s="43"/>
      <c r="Q503" s="43"/>
      <c r="R503" s="43"/>
      <c r="S503" s="43"/>
      <c r="T503" s="43"/>
      <c r="U503" s="43"/>
      <c r="V503" s="43"/>
      <c r="W503" s="43"/>
      <c r="X503" s="43"/>
      <c r="Y503" s="43"/>
      <c r="Z503" s="43"/>
      <c r="AA503" s="43"/>
      <c r="AB503" s="43"/>
      <c r="AC503" s="43"/>
      <c r="AD503" s="43"/>
      <c r="AE503" s="43"/>
      <c r="AF503" s="43"/>
      <c r="AG503" s="43"/>
      <c r="AH503" s="43"/>
      <c r="AI503" s="43"/>
      <c r="AJ503" s="43"/>
      <c r="AK503" s="43"/>
      <c r="AL503" s="43"/>
      <c r="AM503" s="43"/>
      <c r="AN503" s="43"/>
      <c r="AO503" s="43"/>
      <c r="AP503" s="43"/>
      <c r="AQ503" s="43"/>
      <c r="AR503" s="43"/>
      <c r="AS503" s="43"/>
      <c r="AT503" s="43"/>
      <c r="AU503" s="43"/>
      <c r="AV503" s="43"/>
      <c r="AW503" s="43"/>
      <c r="AX503" s="43"/>
      <c r="AY503" s="43"/>
      <c r="AZ503" s="43"/>
      <c r="BA503" s="43"/>
      <c r="BB503" s="43"/>
      <c r="BC503" s="43"/>
      <c r="BD503" s="43"/>
      <c r="BE503" s="43"/>
      <c r="BF503" s="43"/>
      <c r="BG503" s="43"/>
      <c r="BH503" s="43"/>
      <c r="BI503" s="43"/>
      <c r="BJ503" s="43"/>
      <c r="BK503" s="43"/>
      <c r="BL503" s="43"/>
      <c r="BM503" s="43"/>
      <c r="BN503" s="43"/>
      <c r="BO503" s="43"/>
      <c r="BP503" s="43"/>
      <c r="BQ503" s="43"/>
      <c r="BR503" s="43"/>
      <c r="BS503" s="43"/>
      <c r="BT503" s="43"/>
      <c r="BU503" s="43"/>
      <c r="BV503" s="43"/>
      <c r="BW503" s="43"/>
      <c r="BX503" s="43"/>
      <c r="BY503" s="43"/>
      <c r="BZ503" s="43"/>
      <c r="CA503" s="43"/>
      <c r="CB503" s="43"/>
      <c r="CC503" s="43"/>
      <c r="CD503" s="43"/>
      <c r="CE503" s="43"/>
      <c r="CF503" s="43"/>
      <c r="CG503" s="43"/>
      <c r="CH503" s="43"/>
      <c r="CI503" s="43"/>
      <c r="CJ503" s="43"/>
      <c r="CK503" s="43"/>
      <c r="CL503" s="43"/>
      <c r="CM503" s="43"/>
      <c r="CN503" s="43"/>
      <c r="CO503" s="43"/>
      <c r="CP503" s="43"/>
      <c r="CQ503" s="43"/>
      <c r="CR503" s="43"/>
      <c r="CS503" s="43"/>
      <c r="CT503" s="43"/>
      <c r="CU503" s="43"/>
      <c r="CV503" s="43"/>
      <c r="CW503" s="43"/>
      <c r="CX503" s="43"/>
      <c r="CY503" s="43"/>
      <c r="CZ503" s="43"/>
      <c r="DA503" s="43"/>
      <c r="DB503" s="43"/>
      <c r="DC503" s="43"/>
      <c r="DD503" s="43"/>
      <c r="DE503" s="43"/>
      <c r="DF503" s="43"/>
      <c r="DG503" s="43"/>
      <c r="DH503" s="43"/>
      <c r="DI503" s="43"/>
      <c r="DJ503" s="43"/>
      <c r="DK503" s="43"/>
      <c r="DL503" s="43"/>
      <c r="DM503" s="43"/>
      <c r="DN503" s="43"/>
      <c r="DO503" s="43"/>
      <c r="DP503" s="43"/>
      <c r="DQ503" s="43"/>
      <c r="DR503" s="43"/>
      <c r="DS503" s="43"/>
    </row>
    <row r="504" spans="1:123" ht="14.45">
      <c r="A504"/>
      <c r="B504"/>
      <c r="C504"/>
      <c r="D504"/>
      <c r="E504"/>
      <c r="F504"/>
      <c r="G504"/>
      <c r="H504"/>
      <c r="I504"/>
      <c r="J504"/>
      <c r="K504" s="43"/>
      <c r="L504" s="43"/>
      <c r="M504" s="43"/>
      <c r="N504" s="43"/>
      <c r="O504" s="43"/>
      <c r="P504" s="43"/>
      <c r="Q504" s="43"/>
      <c r="R504" s="43"/>
      <c r="S504" s="43"/>
      <c r="T504" s="43"/>
      <c r="U504" s="43"/>
      <c r="V504" s="43"/>
      <c r="W504" s="43"/>
      <c r="X504" s="43"/>
      <c r="Y504" s="43"/>
      <c r="Z504" s="43"/>
      <c r="AA504" s="43"/>
      <c r="AB504" s="43"/>
      <c r="AC504" s="43"/>
      <c r="AD504" s="43"/>
      <c r="AE504" s="43"/>
      <c r="AF504" s="43"/>
      <c r="AG504" s="43"/>
      <c r="AH504" s="43"/>
      <c r="AI504" s="43"/>
      <c r="AJ504" s="43"/>
      <c r="AK504" s="43"/>
      <c r="AL504" s="43"/>
      <c r="AM504" s="43"/>
      <c r="AN504" s="43"/>
      <c r="AO504" s="43"/>
      <c r="AP504" s="43"/>
      <c r="AQ504" s="43"/>
      <c r="AR504" s="43"/>
      <c r="AS504" s="43"/>
      <c r="AT504" s="43"/>
      <c r="AU504" s="43"/>
      <c r="AV504" s="43"/>
      <c r="AW504" s="43"/>
      <c r="AX504" s="43"/>
      <c r="AY504" s="43"/>
      <c r="AZ504" s="43"/>
      <c r="BA504" s="43"/>
      <c r="BB504" s="43"/>
      <c r="BC504" s="43"/>
      <c r="BD504" s="43"/>
      <c r="BE504" s="43"/>
      <c r="BF504" s="43"/>
      <c r="BG504" s="43"/>
      <c r="BH504" s="43"/>
      <c r="BI504" s="43"/>
      <c r="BJ504" s="43"/>
      <c r="BK504" s="43"/>
      <c r="BL504" s="43"/>
      <c r="BM504" s="43"/>
      <c r="BN504" s="43"/>
      <c r="BO504" s="43"/>
      <c r="BP504" s="43"/>
      <c r="BQ504" s="43"/>
      <c r="BR504" s="43"/>
      <c r="BS504" s="43"/>
      <c r="BT504" s="43"/>
      <c r="BU504" s="43"/>
      <c r="BV504" s="43"/>
      <c r="BW504" s="43"/>
      <c r="BX504" s="43"/>
      <c r="BY504" s="43"/>
      <c r="BZ504" s="43"/>
      <c r="CA504" s="43"/>
      <c r="CB504" s="43"/>
      <c r="CC504" s="43"/>
      <c r="CD504" s="43"/>
      <c r="CE504" s="43"/>
      <c r="CF504" s="43"/>
      <c r="CG504" s="43"/>
      <c r="CH504" s="43"/>
      <c r="CI504" s="43"/>
      <c r="CJ504" s="43"/>
      <c r="CK504" s="43"/>
      <c r="CL504" s="43"/>
      <c r="CM504" s="43"/>
      <c r="CN504" s="43"/>
      <c r="CO504" s="43"/>
      <c r="CP504" s="43"/>
      <c r="CQ504" s="43"/>
      <c r="CR504" s="43"/>
      <c r="CS504" s="43"/>
      <c r="CT504" s="43"/>
      <c r="CU504" s="43"/>
      <c r="CV504" s="43"/>
      <c r="CW504" s="43"/>
      <c r="CX504" s="43"/>
      <c r="CY504" s="43"/>
      <c r="CZ504" s="43"/>
      <c r="DA504" s="43"/>
      <c r="DB504" s="43"/>
      <c r="DC504" s="43"/>
      <c r="DD504" s="43"/>
      <c r="DE504" s="43"/>
      <c r="DF504" s="43"/>
      <c r="DG504" s="43"/>
      <c r="DH504" s="43"/>
      <c r="DI504" s="43"/>
      <c r="DJ504" s="43"/>
      <c r="DK504" s="43"/>
      <c r="DL504" s="43"/>
      <c r="DM504" s="43"/>
      <c r="DN504" s="43"/>
      <c r="DO504" s="43"/>
      <c r="DP504" s="43"/>
      <c r="DQ504" s="43"/>
      <c r="DR504" s="43"/>
      <c r="DS504" s="43"/>
    </row>
    <row r="505" spans="1:123" ht="14.45">
      <c r="A505"/>
      <c r="B505"/>
      <c r="C505"/>
      <c r="D505"/>
      <c r="E505"/>
      <c r="F505"/>
      <c r="G505"/>
      <c r="H505"/>
      <c r="I505"/>
      <c r="J505"/>
      <c r="K505" s="43"/>
      <c r="L505" s="43"/>
      <c r="M505" s="43"/>
      <c r="N505" s="43"/>
      <c r="O505" s="43"/>
      <c r="P505" s="43"/>
      <c r="Q505" s="43"/>
      <c r="R505" s="43"/>
      <c r="S505" s="43"/>
      <c r="T505" s="43"/>
      <c r="U505" s="43"/>
      <c r="V505" s="43"/>
      <c r="W505" s="43"/>
      <c r="X505" s="43"/>
      <c r="Y505" s="43"/>
      <c r="Z505" s="43"/>
      <c r="AA505" s="43"/>
      <c r="AB505" s="43"/>
      <c r="AC505" s="43"/>
      <c r="AD505" s="43"/>
      <c r="AE505" s="43"/>
      <c r="AF505" s="43"/>
      <c r="AG505" s="43"/>
      <c r="AH505" s="43"/>
      <c r="AI505" s="43"/>
      <c r="AJ505" s="43"/>
      <c r="AK505" s="43"/>
      <c r="AL505" s="43"/>
      <c r="AM505" s="43"/>
      <c r="AN505" s="43"/>
      <c r="AO505" s="43"/>
      <c r="AP505" s="43"/>
      <c r="AQ505" s="43"/>
      <c r="AR505" s="43"/>
      <c r="AS505" s="43"/>
      <c r="AT505" s="43"/>
      <c r="AU505" s="43"/>
      <c r="AV505" s="43"/>
      <c r="AW505" s="43"/>
      <c r="AX505" s="43"/>
      <c r="AY505" s="43"/>
      <c r="AZ505" s="43"/>
      <c r="BA505" s="43"/>
      <c r="BB505" s="43"/>
      <c r="BC505" s="43"/>
      <c r="BD505" s="43"/>
      <c r="BE505" s="43"/>
      <c r="BF505" s="43"/>
      <c r="BG505" s="43"/>
      <c r="BH505" s="43"/>
      <c r="BI505" s="43"/>
      <c r="BJ505" s="43"/>
      <c r="BK505" s="43"/>
      <c r="BL505" s="43"/>
      <c r="BM505" s="43"/>
      <c r="BN505" s="43"/>
      <c r="BO505" s="43"/>
      <c r="BP505" s="43"/>
      <c r="BQ505" s="43"/>
      <c r="BR505" s="43"/>
      <c r="BS505" s="43"/>
      <c r="BT505" s="43"/>
      <c r="BU505" s="43"/>
      <c r="BV505" s="43"/>
      <c r="BW505" s="43"/>
      <c r="BX505" s="43"/>
      <c r="BY505" s="43"/>
      <c r="BZ505" s="43"/>
      <c r="CA505" s="43"/>
      <c r="CB505" s="43"/>
      <c r="CC505" s="43"/>
      <c r="CD505" s="43"/>
      <c r="CE505" s="43"/>
      <c r="CF505" s="43"/>
      <c r="CG505" s="43"/>
      <c r="CH505" s="43"/>
      <c r="CI505" s="43"/>
      <c r="CJ505" s="43"/>
      <c r="CK505" s="43"/>
      <c r="CL505" s="43"/>
      <c r="CM505" s="43"/>
      <c r="CN505" s="43"/>
      <c r="CO505" s="43"/>
      <c r="CP505" s="43"/>
      <c r="CQ505" s="43"/>
      <c r="CR505" s="43"/>
      <c r="CS505" s="43"/>
      <c r="CT505" s="43"/>
      <c r="CU505" s="43"/>
      <c r="CV505" s="43"/>
      <c r="CW505" s="43"/>
      <c r="CX505" s="43"/>
      <c r="CY505" s="43"/>
      <c r="CZ505" s="43"/>
      <c r="DA505" s="43"/>
      <c r="DB505" s="43"/>
      <c r="DC505" s="43"/>
      <c r="DD505" s="43"/>
      <c r="DE505" s="43"/>
      <c r="DF505" s="43"/>
      <c r="DG505" s="43"/>
      <c r="DH505" s="43"/>
      <c r="DI505" s="43"/>
      <c r="DJ505" s="43"/>
      <c r="DK505" s="43"/>
      <c r="DL505" s="43"/>
      <c r="DM505" s="43"/>
      <c r="DN505" s="43"/>
      <c r="DO505" s="43"/>
      <c r="DP505" s="43"/>
      <c r="DQ505" s="43"/>
      <c r="DR505" s="43"/>
      <c r="DS505" s="43"/>
    </row>
    <row r="506" spans="1:123" ht="14.45">
      <c r="A506"/>
      <c r="B506"/>
      <c r="C506"/>
      <c r="D506"/>
      <c r="E506"/>
      <c r="F506"/>
      <c r="G506"/>
      <c r="H506"/>
      <c r="I506"/>
      <c r="J506"/>
      <c r="K506" s="43"/>
      <c r="L506" s="43"/>
      <c r="M506" s="43"/>
      <c r="N506" s="43"/>
      <c r="O506" s="43"/>
      <c r="P506" s="43"/>
      <c r="Q506" s="43"/>
      <c r="R506" s="43"/>
      <c r="S506" s="43"/>
      <c r="T506" s="43"/>
      <c r="U506" s="43"/>
      <c r="V506" s="43"/>
      <c r="W506" s="43"/>
      <c r="X506" s="43"/>
      <c r="Y506" s="43"/>
      <c r="Z506" s="43"/>
      <c r="AA506" s="43"/>
      <c r="AB506" s="43"/>
      <c r="AC506" s="43"/>
      <c r="AD506" s="43"/>
      <c r="AE506" s="43"/>
      <c r="AF506" s="43"/>
      <c r="AG506" s="43"/>
      <c r="AH506" s="43"/>
      <c r="AI506" s="43"/>
      <c r="AJ506" s="43"/>
      <c r="AK506" s="43"/>
      <c r="AL506" s="43"/>
      <c r="AM506" s="43"/>
      <c r="AN506" s="43"/>
      <c r="AO506" s="43"/>
      <c r="AP506" s="43"/>
      <c r="AQ506" s="43"/>
      <c r="AR506" s="43"/>
      <c r="AS506" s="43"/>
      <c r="AT506" s="43"/>
      <c r="AU506" s="43"/>
      <c r="AV506" s="43"/>
      <c r="AW506" s="43"/>
      <c r="AX506" s="43"/>
      <c r="AY506" s="43"/>
      <c r="AZ506" s="43"/>
      <c r="BA506" s="43"/>
      <c r="BB506" s="43"/>
      <c r="BC506" s="43"/>
      <c r="BD506" s="43"/>
      <c r="BE506" s="43"/>
      <c r="BF506" s="43"/>
      <c r="BG506" s="43"/>
      <c r="BH506" s="43"/>
      <c r="BI506" s="43"/>
      <c r="BJ506" s="43"/>
      <c r="BK506" s="43"/>
      <c r="BL506" s="43"/>
      <c r="BM506" s="43"/>
      <c r="BN506" s="43"/>
      <c r="BO506" s="43"/>
      <c r="BP506" s="43"/>
      <c r="BQ506" s="43"/>
      <c r="BR506" s="43"/>
      <c r="BS506" s="43"/>
      <c r="BT506" s="43"/>
      <c r="BU506" s="43"/>
      <c r="BV506" s="43"/>
      <c r="BW506" s="43"/>
      <c r="BX506" s="43"/>
      <c r="BY506" s="43"/>
      <c r="BZ506" s="43"/>
      <c r="CA506" s="43"/>
      <c r="CB506" s="43"/>
      <c r="CC506" s="43"/>
      <c r="CD506" s="43"/>
      <c r="CE506" s="43"/>
      <c r="CF506" s="43"/>
      <c r="CG506" s="43"/>
      <c r="CH506" s="43"/>
      <c r="CI506" s="43"/>
      <c r="CJ506" s="43"/>
      <c r="CK506" s="43"/>
      <c r="CL506" s="43"/>
      <c r="CM506" s="43"/>
      <c r="CN506" s="43"/>
      <c r="CO506" s="43"/>
      <c r="CP506" s="43"/>
      <c r="CQ506" s="43"/>
      <c r="CR506" s="43"/>
      <c r="CS506" s="43"/>
      <c r="CT506" s="43"/>
      <c r="CU506" s="43"/>
      <c r="CV506" s="43"/>
      <c r="CW506" s="43"/>
      <c r="CX506" s="43"/>
      <c r="CY506" s="43"/>
      <c r="CZ506" s="43"/>
      <c r="DA506" s="43"/>
      <c r="DB506" s="43"/>
      <c r="DC506" s="43"/>
      <c r="DD506" s="43"/>
      <c r="DE506" s="43"/>
      <c r="DF506" s="43"/>
      <c r="DG506" s="43"/>
      <c r="DH506" s="43"/>
      <c r="DI506" s="43"/>
      <c r="DJ506" s="43"/>
      <c r="DK506" s="43"/>
      <c r="DL506" s="43"/>
      <c r="DM506" s="43"/>
      <c r="DN506" s="43"/>
      <c r="DO506" s="43"/>
      <c r="DP506" s="43"/>
      <c r="DQ506" s="43"/>
      <c r="DR506" s="43"/>
      <c r="DS506" s="43"/>
    </row>
    <row r="507" spans="1:123" ht="14.45">
      <c r="A507"/>
      <c r="B507"/>
      <c r="C507"/>
      <c r="D507"/>
      <c r="E507"/>
      <c r="F507"/>
      <c r="G507"/>
      <c r="H507"/>
      <c r="I507"/>
      <c r="J507"/>
      <c r="K507" s="43"/>
      <c r="L507" s="43"/>
      <c r="M507" s="43"/>
      <c r="N507" s="43"/>
      <c r="O507" s="43"/>
      <c r="P507" s="43"/>
      <c r="Q507" s="43"/>
      <c r="R507" s="43"/>
      <c r="S507" s="43"/>
      <c r="T507" s="43"/>
      <c r="U507" s="43"/>
      <c r="V507" s="43"/>
      <c r="W507" s="43"/>
      <c r="X507" s="43"/>
      <c r="Y507" s="43"/>
      <c r="Z507" s="43"/>
      <c r="AA507" s="43"/>
      <c r="AB507" s="43"/>
      <c r="AC507" s="43"/>
      <c r="AD507" s="43"/>
      <c r="AE507" s="43"/>
      <c r="AF507" s="43"/>
      <c r="AG507" s="43"/>
      <c r="AH507" s="43"/>
      <c r="AI507" s="43"/>
      <c r="AJ507" s="43"/>
      <c r="AK507" s="43"/>
      <c r="AL507" s="43"/>
      <c r="AM507" s="43"/>
      <c r="AN507" s="43"/>
      <c r="AO507" s="43"/>
      <c r="AP507" s="43"/>
      <c r="AQ507" s="43"/>
      <c r="AR507" s="43"/>
      <c r="AS507" s="43"/>
      <c r="AT507" s="43"/>
      <c r="AU507" s="43"/>
      <c r="AV507" s="43"/>
      <c r="AW507" s="43"/>
      <c r="AX507" s="43"/>
      <c r="AY507" s="43"/>
      <c r="AZ507" s="43"/>
      <c r="BA507" s="43"/>
      <c r="BB507" s="43"/>
      <c r="BC507" s="43"/>
      <c r="BD507" s="43"/>
      <c r="BE507" s="43"/>
      <c r="BF507" s="43"/>
      <c r="BG507" s="43"/>
      <c r="BH507" s="43"/>
      <c r="BI507" s="43"/>
      <c r="BJ507" s="43"/>
      <c r="BK507" s="43"/>
      <c r="BL507" s="43"/>
      <c r="BM507" s="43"/>
      <c r="BN507" s="43"/>
      <c r="BO507" s="43"/>
      <c r="BP507" s="43"/>
      <c r="BQ507" s="43"/>
      <c r="BR507" s="43"/>
      <c r="BS507" s="43"/>
      <c r="BT507" s="43"/>
      <c r="BU507" s="43"/>
      <c r="BV507" s="43"/>
      <c r="BW507" s="43"/>
      <c r="BX507" s="43"/>
      <c r="BY507" s="43"/>
      <c r="BZ507" s="43"/>
      <c r="CA507" s="43"/>
      <c r="CB507" s="43"/>
      <c r="CC507" s="43"/>
      <c r="CD507" s="43"/>
      <c r="CE507" s="43"/>
      <c r="CF507" s="43"/>
      <c r="CG507" s="43"/>
      <c r="CH507" s="43"/>
      <c r="CI507" s="43"/>
      <c r="CJ507" s="43"/>
      <c r="CK507" s="43"/>
      <c r="CL507" s="43"/>
      <c r="CM507" s="43"/>
      <c r="CN507" s="43"/>
      <c r="CO507" s="43"/>
      <c r="CP507" s="43"/>
      <c r="CQ507" s="43"/>
      <c r="CR507" s="43"/>
      <c r="CS507" s="43"/>
      <c r="CT507" s="43"/>
      <c r="CU507" s="43"/>
      <c r="CV507" s="43"/>
      <c r="CW507" s="43"/>
      <c r="CX507" s="43"/>
      <c r="CY507" s="43"/>
      <c r="CZ507" s="43"/>
      <c r="DA507" s="43"/>
      <c r="DB507" s="43"/>
      <c r="DC507" s="43"/>
      <c r="DD507" s="43"/>
      <c r="DE507" s="43"/>
      <c r="DF507" s="43"/>
      <c r="DG507" s="43"/>
      <c r="DH507" s="43"/>
      <c r="DI507" s="43"/>
      <c r="DJ507" s="43"/>
      <c r="DK507" s="43"/>
      <c r="DL507" s="43"/>
      <c r="DM507" s="43"/>
      <c r="DN507" s="43"/>
      <c r="DO507" s="43"/>
      <c r="DP507" s="43"/>
      <c r="DQ507" s="43"/>
      <c r="DR507" s="43"/>
      <c r="DS507" s="43"/>
    </row>
    <row r="508" spans="1:123" ht="14.45">
      <c r="A508"/>
      <c r="B508"/>
      <c r="C508"/>
      <c r="D508"/>
      <c r="E508"/>
      <c r="F508"/>
      <c r="G508"/>
      <c r="H508"/>
      <c r="I508"/>
      <c r="J508"/>
      <c r="K508" s="43"/>
      <c r="L508" s="43"/>
      <c r="M508" s="43"/>
      <c r="N508" s="43"/>
      <c r="O508" s="43"/>
      <c r="P508" s="43"/>
      <c r="Q508" s="43"/>
      <c r="R508" s="43"/>
      <c r="S508" s="43"/>
      <c r="T508" s="43"/>
      <c r="U508" s="43"/>
      <c r="V508" s="43"/>
      <c r="W508" s="43"/>
      <c r="X508" s="43"/>
      <c r="Y508" s="43"/>
      <c r="Z508" s="43"/>
      <c r="AA508" s="43"/>
      <c r="AB508" s="43"/>
      <c r="AC508" s="43"/>
      <c r="AD508" s="43"/>
      <c r="AE508" s="43"/>
      <c r="AF508" s="43"/>
      <c r="AG508" s="43"/>
      <c r="AH508" s="43"/>
      <c r="AI508" s="43"/>
      <c r="AJ508" s="43"/>
      <c r="AK508" s="43"/>
      <c r="AL508" s="43"/>
      <c r="AM508" s="43"/>
      <c r="AN508" s="43"/>
      <c r="AO508" s="43"/>
      <c r="AP508" s="43"/>
      <c r="AQ508" s="43"/>
      <c r="AR508" s="43"/>
      <c r="AS508" s="43"/>
      <c r="AT508" s="43"/>
      <c r="AU508" s="43"/>
      <c r="AV508" s="43"/>
      <c r="AW508" s="43"/>
      <c r="AX508" s="43"/>
      <c r="AY508" s="43"/>
      <c r="AZ508" s="43"/>
      <c r="BA508" s="43"/>
      <c r="BB508" s="43"/>
      <c r="BC508" s="43"/>
      <c r="BD508" s="43"/>
      <c r="BE508" s="43"/>
      <c r="BF508" s="43"/>
      <c r="BG508" s="43"/>
      <c r="BH508" s="43"/>
      <c r="BI508" s="43"/>
      <c r="BJ508" s="43"/>
      <c r="BK508" s="43"/>
      <c r="BL508" s="43"/>
      <c r="BM508" s="43"/>
      <c r="BN508" s="43"/>
      <c r="BO508" s="43"/>
      <c r="BP508" s="43"/>
      <c r="BQ508" s="43"/>
      <c r="BR508" s="43"/>
      <c r="BS508" s="43"/>
      <c r="BT508" s="43"/>
      <c r="BU508" s="43"/>
      <c r="BV508" s="43"/>
      <c r="BW508" s="43"/>
      <c r="BX508" s="43"/>
      <c r="BY508" s="43"/>
      <c r="BZ508" s="43"/>
      <c r="CA508" s="43"/>
      <c r="CB508" s="43"/>
      <c r="CC508" s="43"/>
      <c r="CD508" s="43"/>
      <c r="CE508" s="43"/>
      <c r="CF508" s="43"/>
      <c r="CG508" s="43"/>
      <c r="CH508" s="43"/>
      <c r="CI508" s="43"/>
      <c r="CJ508" s="43"/>
      <c r="CK508" s="43"/>
      <c r="CL508" s="43"/>
      <c r="CM508" s="43"/>
      <c r="CN508" s="43"/>
      <c r="CO508" s="43"/>
      <c r="CP508" s="43"/>
      <c r="CQ508" s="43"/>
      <c r="CR508" s="43"/>
      <c r="CS508" s="43"/>
      <c r="CT508" s="43"/>
      <c r="CU508" s="43"/>
      <c r="CV508" s="43"/>
      <c r="CW508" s="43"/>
      <c r="CX508" s="43"/>
      <c r="CY508" s="43"/>
      <c r="CZ508" s="43"/>
      <c r="DA508" s="43"/>
      <c r="DB508" s="43"/>
      <c r="DC508" s="43"/>
      <c r="DD508" s="43"/>
      <c r="DE508" s="43"/>
      <c r="DF508" s="43"/>
      <c r="DG508" s="43"/>
      <c r="DH508" s="43"/>
      <c r="DI508" s="43"/>
      <c r="DJ508" s="43"/>
      <c r="DK508" s="43"/>
      <c r="DL508" s="43"/>
      <c r="DM508" s="43"/>
      <c r="DN508" s="43"/>
      <c r="DO508" s="43"/>
      <c r="DP508" s="43"/>
      <c r="DQ508" s="43"/>
      <c r="DR508" s="43"/>
      <c r="DS508" s="43"/>
    </row>
    <row r="509" spans="1:123" ht="14.45">
      <c r="A509"/>
      <c r="B509"/>
      <c r="C509"/>
      <c r="D509"/>
      <c r="E509"/>
      <c r="F509"/>
      <c r="G509"/>
      <c r="H509"/>
      <c r="I509"/>
      <c r="J509"/>
      <c r="K509" s="43"/>
      <c r="L509" s="43"/>
      <c r="M509" s="43"/>
      <c r="N509" s="43"/>
      <c r="O509" s="43"/>
      <c r="P509" s="43"/>
      <c r="Q509" s="43"/>
      <c r="R509" s="43"/>
      <c r="S509" s="43"/>
      <c r="T509" s="43"/>
      <c r="U509" s="43"/>
      <c r="V509" s="43"/>
      <c r="W509" s="43"/>
      <c r="X509" s="43"/>
      <c r="Y509" s="43"/>
      <c r="Z509" s="43"/>
      <c r="AA509" s="43"/>
      <c r="AB509" s="43"/>
      <c r="AC509" s="43"/>
      <c r="AD509" s="43"/>
      <c r="AE509" s="43"/>
      <c r="AF509" s="43"/>
      <c r="AG509" s="43"/>
      <c r="AH509" s="43"/>
      <c r="AI509" s="43"/>
      <c r="AJ509" s="43"/>
      <c r="AK509" s="43"/>
      <c r="AL509" s="43"/>
      <c r="AM509" s="43"/>
      <c r="AN509" s="43"/>
      <c r="AO509" s="43"/>
      <c r="AP509" s="43"/>
      <c r="AQ509" s="43"/>
      <c r="AR509" s="43"/>
      <c r="AS509" s="43"/>
      <c r="AT509" s="43"/>
      <c r="AU509" s="43"/>
      <c r="AV509" s="43"/>
      <c r="AW509" s="43"/>
      <c r="AX509" s="43"/>
      <c r="AY509" s="43"/>
      <c r="AZ509" s="43"/>
      <c r="BA509" s="43"/>
      <c r="BB509" s="43"/>
      <c r="BC509" s="43"/>
      <c r="BD509" s="43"/>
      <c r="BE509" s="43"/>
      <c r="BF509" s="43"/>
      <c r="BG509" s="43"/>
      <c r="BH509" s="43"/>
      <c r="BI509" s="43"/>
      <c r="BJ509" s="43"/>
      <c r="BK509" s="43"/>
      <c r="BL509" s="43"/>
      <c r="BM509" s="43"/>
      <c r="BN509" s="43"/>
      <c r="BO509" s="43"/>
      <c r="BP509" s="43"/>
      <c r="BQ509" s="43"/>
      <c r="BR509" s="43"/>
      <c r="BS509" s="43"/>
      <c r="BT509" s="43"/>
      <c r="BU509" s="43"/>
      <c r="BV509" s="43"/>
      <c r="BW509" s="43"/>
      <c r="BX509" s="43"/>
      <c r="BY509" s="43"/>
      <c r="BZ509" s="43"/>
      <c r="CA509" s="43"/>
      <c r="CB509" s="43"/>
      <c r="CC509" s="43"/>
      <c r="CD509" s="43"/>
      <c r="CE509" s="43"/>
      <c r="CF509" s="43"/>
      <c r="CG509" s="43"/>
      <c r="CH509" s="43"/>
      <c r="CI509" s="43"/>
      <c r="CJ509" s="43"/>
      <c r="CK509" s="43"/>
      <c r="CL509" s="43"/>
      <c r="CM509" s="43"/>
      <c r="CN509" s="43"/>
      <c r="CO509" s="43"/>
      <c r="CP509" s="43"/>
      <c r="CQ509" s="43"/>
      <c r="CR509" s="43"/>
      <c r="CS509" s="43"/>
      <c r="CT509" s="43"/>
      <c r="CU509" s="43"/>
      <c r="CV509" s="43"/>
      <c r="CW509" s="43"/>
      <c r="CX509" s="43"/>
      <c r="CY509" s="43"/>
      <c r="CZ509" s="43"/>
      <c r="DA509" s="43"/>
      <c r="DB509" s="43"/>
      <c r="DC509" s="43"/>
      <c r="DD509" s="43"/>
      <c r="DE509" s="43"/>
      <c r="DF509" s="43"/>
      <c r="DG509" s="43"/>
      <c r="DH509" s="43"/>
      <c r="DI509" s="43"/>
      <c r="DJ509" s="43"/>
      <c r="DK509" s="43"/>
      <c r="DL509" s="43"/>
      <c r="DM509" s="43"/>
      <c r="DN509" s="43"/>
      <c r="DO509" s="43"/>
      <c r="DP509" s="43"/>
      <c r="DQ509" s="43"/>
      <c r="DR509" s="43"/>
      <c r="DS509" s="43"/>
    </row>
    <row r="510" spans="1:123" ht="14.45">
      <c r="A510"/>
      <c r="B510"/>
      <c r="C510"/>
      <c r="D510"/>
      <c r="E510"/>
      <c r="F510"/>
      <c r="G510"/>
      <c r="H510"/>
      <c r="I510"/>
      <c r="J510"/>
      <c r="K510" s="43"/>
      <c r="L510" s="43"/>
      <c r="M510" s="43"/>
      <c r="N510" s="43"/>
      <c r="O510" s="43"/>
      <c r="P510" s="43"/>
      <c r="Q510" s="43"/>
      <c r="R510" s="43"/>
      <c r="S510" s="43"/>
      <c r="T510" s="43"/>
      <c r="U510" s="43"/>
      <c r="V510" s="43"/>
      <c r="W510" s="43"/>
      <c r="X510" s="43"/>
      <c r="Y510" s="43"/>
      <c r="Z510" s="43"/>
      <c r="AA510" s="43"/>
      <c r="AB510" s="43"/>
      <c r="AC510" s="43"/>
      <c r="AD510" s="43"/>
      <c r="AE510" s="43"/>
      <c r="AF510" s="43"/>
      <c r="AG510" s="43"/>
      <c r="AH510" s="43"/>
      <c r="AI510" s="43"/>
      <c r="AJ510" s="43"/>
      <c r="AK510" s="43"/>
      <c r="AL510" s="43"/>
      <c r="AM510" s="43"/>
      <c r="AN510" s="43"/>
      <c r="AO510" s="43"/>
      <c r="AP510" s="43"/>
      <c r="AQ510" s="43"/>
      <c r="AR510" s="43"/>
      <c r="AS510" s="43"/>
      <c r="AT510" s="43"/>
      <c r="AU510" s="43"/>
      <c r="AV510" s="43"/>
      <c r="AW510" s="43"/>
      <c r="AX510" s="43"/>
      <c r="AY510" s="43"/>
      <c r="AZ510" s="43"/>
      <c r="BA510" s="43"/>
      <c r="BB510" s="43"/>
      <c r="BC510" s="43"/>
      <c r="BD510" s="43"/>
      <c r="BE510" s="43"/>
      <c r="BF510" s="43"/>
      <c r="BG510" s="43"/>
      <c r="BH510" s="43"/>
      <c r="BI510" s="43"/>
      <c r="BJ510" s="43"/>
      <c r="BK510" s="43"/>
      <c r="BL510" s="43"/>
      <c r="BM510" s="43"/>
      <c r="BN510" s="43"/>
      <c r="BO510" s="43"/>
      <c r="BP510" s="43"/>
      <c r="BQ510" s="43"/>
      <c r="BR510" s="43"/>
      <c r="BS510" s="43"/>
      <c r="BT510" s="43"/>
      <c r="BU510" s="43"/>
      <c r="BV510" s="43"/>
      <c r="BW510" s="43"/>
      <c r="BX510" s="43"/>
      <c r="BY510" s="43"/>
      <c r="BZ510" s="43"/>
      <c r="CA510" s="43"/>
      <c r="CB510" s="43"/>
      <c r="CC510" s="43"/>
      <c r="CD510" s="43"/>
      <c r="CE510" s="43"/>
      <c r="CF510" s="43"/>
      <c r="CG510" s="43"/>
      <c r="CH510" s="43"/>
      <c r="CI510" s="43"/>
      <c r="CJ510" s="43"/>
      <c r="CK510" s="43"/>
      <c r="CL510" s="43"/>
      <c r="CM510" s="43"/>
      <c r="CN510" s="43"/>
      <c r="CO510" s="43"/>
      <c r="CP510" s="43"/>
      <c r="CQ510" s="43"/>
      <c r="CR510" s="43"/>
      <c r="CS510" s="43"/>
      <c r="CT510" s="43"/>
      <c r="CU510" s="43"/>
      <c r="CV510" s="43"/>
      <c r="CW510" s="43"/>
      <c r="CX510" s="43"/>
      <c r="CY510" s="43"/>
      <c r="CZ510" s="43"/>
      <c r="DA510" s="43"/>
      <c r="DB510" s="43"/>
      <c r="DC510" s="43"/>
      <c r="DD510" s="43"/>
      <c r="DE510" s="43"/>
      <c r="DF510" s="43"/>
      <c r="DG510" s="43"/>
      <c r="DH510" s="43"/>
      <c r="DI510" s="43"/>
      <c r="DJ510" s="43"/>
      <c r="DK510" s="43"/>
      <c r="DL510" s="43"/>
      <c r="DM510" s="43"/>
      <c r="DN510" s="43"/>
      <c r="DO510" s="43"/>
      <c r="DP510" s="43"/>
      <c r="DQ510" s="43"/>
      <c r="DR510" s="43"/>
      <c r="DS510" s="43"/>
    </row>
    <row r="511" spans="1:123" ht="14.45">
      <c r="A511"/>
      <c r="B511"/>
      <c r="C511"/>
      <c r="D511"/>
      <c r="E511"/>
      <c r="F511"/>
      <c r="G511"/>
      <c r="H511"/>
      <c r="I511"/>
      <c r="J511"/>
      <c r="K511" s="43"/>
      <c r="L511" s="43"/>
      <c r="M511" s="43"/>
      <c r="N511" s="43"/>
      <c r="O511" s="43"/>
      <c r="P511" s="43"/>
      <c r="Q511" s="43"/>
      <c r="R511" s="43"/>
      <c r="S511" s="43"/>
      <c r="T511" s="43"/>
      <c r="U511" s="43"/>
      <c r="V511" s="43"/>
      <c r="W511" s="43"/>
      <c r="X511" s="43"/>
      <c r="Y511" s="43"/>
      <c r="Z511" s="43"/>
      <c r="AA511" s="43"/>
      <c r="AB511" s="43"/>
      <c r="AC511" s="43"/>
      <c r="AD511" s="43"/>
      <c r="AE511" s="43"/>
      <c r="AF511" s="43"/>
      <c r="AG511" s="43"/>
      <c r="AH511" s="43"/>
      <c r="AI511" s="43"/>
      <c r="AJ511" s="43"/>
      <c r="AK511" s="43"/>
      <c r="AL511" s="43"/>
      <c r="AM511" s="43"/>
      <c r="AN511" s="43"/>
      <c r="AO511" s="43"/>
      <c r="AP511" s="43"/>
      <c r="AQ511" s="43"/>
      <c r="AR511" s="43"/>
      <c r="AS511" s="43"/>
      <c r="AT511" s="43"/>
      <c r="AU511" s="43"/>
      <c r="AV511" s="43"/>
      <c r="AW511" s="43"/>
      <c r="AX511" s="43"/>
      <c r="AY511" s="43"/>
      <c r="AZ511" s="43"/>
      <c r="BA511" s="43"/>
      <c r="BB511" s="43"/>
      <c r="BC511" s="43"/>
      <c r="BD511" s="43"/>
      <c r="BE511" s="43"/>
      <c r="BF511" s="43"/>
      <c r="BG511" s="43"/>
      <c r="BH511" s="43"/>
      <c r="BI511" s="43"/>
      <c r="BJ511" s="43"/>
      <c r="BK511" s="43"/>
      <c r="BL511" s="43"/>
      <c r="BM511" s="43"/>
      <c r="BN511" s="43"/>
      <c r="BO511" s="43"/>
      <c r="BP511" s="43"/>
      <c r="BQ511" s="43"/>
      <c r="BR511" s="43"/>
      <c r="BS511" s="43"/>
      <c r="BT511" s="43"/>
      <c r="BU511" s="43"/>
      <c r="BV511" s="43"/>
      <c r="BW511" s="43"/>
      <c r="BX511" s="43"/>
      <c r="BY511" s="43"/>
      <c r="BZ511" s="43"/>
      <c r="CA511" s="43"/>
      <c r="CB511" s="43"/>
      <c r="CC511" s="43"/>
      <c r="CD511" s="43"/>
      <c r="CE511" s="43"/>
      <c r="CF511" s="43"/>
      <c r="CG511" s="43"/>
      <c r="CH511" s="43"/>
      <c r="CI511" s="43"/>
      <c r="CJ511" s="43"/>
      <c r="CK511" s="43"/>
      <c r="CL511" s="43"/>
      <c r="CM511" s="43"/>
      <c r="CN511" s="43"/>
      <c r="CO511" s="43"/>
      <c r="CP511" s="43"/>
      <c r="CQ511" s="43"/>
      <c r="CR511" s="43"/>
      <c r="CS511" s="43"/>
      <c r="CT511" s="43"/>
      <c r="CU511" s="43"/>
      <c r="CV511" s="43"/>
      <c r="CW511" s="43"/>
      <c r="CX511" s="43"/>
      <c r="CY511" s="43"/>
      <c r="CZ511" s="43"/>
      <c r="DA511" s="43"/>
      <c r="DB511" s="43"/>
      <c r="DC511" s="43"/>
      <c r="DD511" s="43"/>
      <c r="DE511" s="43"/>
      <c r="DF511" s="43"/>
      <c r="DG511" s="43"/>
      <c r="DH511" s="43"/>
      <c r="DI511" s="43"/>
      <c r="DJ511" s="43"/>
      <c r="DK511" s="43"/>
      <c r="DL511" s="43"/>
      <c r="DM511" s="43"/>
      <c r="DN511" s="43"/>
      <c r="DO511" s="43"/>
      <c r="DP511" s="43"/>
      <c r="DQ511" s="43"/>
      <c r="DR511" s="43"/>
      <c r="DS511" s="43"/>
    </row>
    <row r="512" spans="1:123" ht="14.45">
      <c r="A512"/>
      <c r="B512"/>
      <c r="C512"/>
      <c r="D512"/>
      <c r="E512"/>
      <c r="F512"/>
      <c r="G512"/>
      <c r="H512"/>
      <c r="I512"/>
      <c r="J512"/>
      <c r="K512" s="43"/>
      <c r="L512" s="43"/>
      <c r="M512" s="43"/>
      <c r="N512" s="43"/>
      <c r="O512" s="43"/>
      <c r="P512" s="43"/>
      <c r="Q512" s="43"/>
      <c r="R512" s="43"/>
      <c r="S512" s="43"/>
      <c r="T512" s="43"/>
      <c r="U512" s="43"/>
      <c r="V512" s="43"/>
      <c r="W512" s="43"/>
      <c r="X512" s="43"/>
      <c r="Y512" s="43"/>
      <c r="Z512" s="43"/>
      <c r="AA512" s="43"/>
      <c r="AB512" s="43"/>
      <c r="AC512" s="43"/>
      <c r="AD512" s="43"/>
      <c r="AE512" s="43"/>
      <c r="AF512" s="43"/>
      <c r="AG512" s="43"/>
      <c r="AH512" s="43"/>
      <c r="AI512" s="43"/>
      <c r="AJ512" s="43"/>
      <c r="AK512" s="43"/>
      <c r="AL512" s="43"/>
      <c r="AM512" s="43"/>
      <c r="AN512" s="43"/>
      <c r="AO512" s="43"/>
      <c r="AP512" s="43"/>
      <c r="AQ512" s="43"/>
      <c r="AR512" s="43"/>
      <c r="AS512" s="43"/>
      <c r="AT512" s="43"/>
      <c r="AU512" s="43"/>
      <c r="AV512" s="43"/>
      <c r="AW512" s="43"/>
      <c r="AX512" s="43"/>
      <c r="AY512" s="43"/>
      <c r="AZ512" s="43"/>
      <c r="BA512" s="43"/>
      <c r="BB512" s="43"/>
      <c r="BC512" s="43"/>
      <c r="BD512" s="43"/>
      <c r="BE512" s="43"/>
      <c r="BF512" s="43"/>
      <c r="BG512" s="43"/>
      <c r="BH512" s="43"/>
      <c r="BI512" s="43"/>
      <c r="BJ512" s="43"/>
      <c r="BK512" s="43"/>
      <c r="BL512" s="43"/>
      <c r="BM512" s="43"/>
      <c r="BN512" s="43"/>
      <c r="BO512" s="43"/>
      <c r="BP512" s="43"/>
      <c r="BQ512" s="43"/>
      <c r="BR512" s="43"/>
      <c r="BS512" s="43"/>
      <c r="BT512" s="43"/>
      <c r="BU512" s="43"/>
      <c r="BV512" s="43"/>
      <c r="BW512" s="43"/>
      <c r="BX512" s="43"/>
      <c r="BY512" s="43"/>
      <c r="BZ512" s="43"/>
      <c r="CA512" s="43"/>
      <c r="CB512" s="43"/>
      <c r="CC512" s="43"/>
      <c r="CD512" s="43"/>
      <c r="CE512" s="43"/>
      <c r="CF512" s="43"/>
      <c r="CG512" s="43"/>
      <c r="CH512" s="43"/>
      <c r="CI512" s="43"/>
      <c r="CJ512" s="43"/>
      <c r="CK512" s="43"/>
      <c r="CL512" s="43"/>
      <c r="CM512" s="43"/>
      <c r="CN512" s="43"/>
      <c r="CO512" s="43"/>
      <c r="CP512" s="43"/>
      <c r="CQ512" s="43"/>
      <c r="CR512" s="43"/>
      <c r="CS512" s="43"/>
      <c r="CT512" s="43"/>
      <c r="CU512" s="43"/>
      <c r="CV512" s="43"/>
      <c r="CW512" s="43"/>
      <c r="CX512" s="43"/>
      <c r="CY512" s="43"/>
      <c r="CZ512" s="43"/>
      <c r="DA512" s="43"/>
      <c r="DB512" s="43"/>
      <c r="DC512" s="43"/>
      <c r="DD512" s="43"/>
      <c r="DE512" s="43"/>
      <c r="DF512" s="43"/>
      <c r="DG512" s="43"/>
      <c r="DH512" s="43"/>
      <c r="DI512" s="43"/>
      <c r="DJ512" s="43"/>
      <c r="DK512" s="43"/>
      <c r="DL512" s="43"/>
      <c r="DM512" s="43"/>
      <c r="DN512" s="43"/>
      <c r="DO512" s="43"/>
      <c r="DP512" s="43"/>
      <c r="DQ512" s="43"/>
      <c r="DR512" s="43"/>
      <c r="DS512" s="43"/>
    </row>
    <row r="513" spans="1:123" ht="14.45">
      <c r="A513"/>
      <c r="B513"/>
      <c r="C513"/>
      <c r="D513"/>
      <c r="E513"/>
      <c r="F513"/>
      <c r="G513"/>
      <c r="H513"/>
      <c r="I513"/>
      <c r="J513"/>
      <c r="K513" s="43"/>
      <c r="L513" s="43"/>
      <c r="M513" s="43"/>
      <c r="N513" s="43"/>
      <c r="O513" s="43"/>
      <c r="P513" s="43"/>
      <c r="Q513" s="43"/>
      <c r="R513" s="43"/>
      <c r="S513" s="43"/>
      <c r="T513" s="43"/>
      <c r="U513" s="43"/>
      <c r="V513" s="43"/>
      <c r="W513" s="43"/>
      <c r="X513" s="43"/>
      <c r="Y513" s="43"/>
      <c r="Z513" s="43"/>
      <c r="AA513" s="43"/>
      <c r="AB513" s="43"/>
      <c r="AC513" s="43"/>
      <c r="AD513" s="43"/>
      <c r="AE513" s="43"/>
      <c r="AF513" s="43"/>
      <c r="AG513" s="43"/>
      <c r="AH513" s="43"/>
      <c r="AI513" s="43"/>
      <c r="AJ513" s="43"/>
      <c r="AK513" s="43"/>
      <c r="AL513" s="43"/>
      <c r="AM513" s="43"/>
      <c r="AN513" s="43"/>
      <c r="AO513" s="43"/>
      <c r="AP513" s="43"/>
      <c r="AQ513" s="43"/>
      <c r="AR513" s="43"/>
      <c r="AS513" s="43"/>
      <c r="AT513" s="43"/>
      <c r="AU513" s="43"/>
      <c r="AV513" s="43"/>
      <c r="AW513" s="43"/>
      <c r="AX513" s="43"/>
      <c r="AY513" s="43"/>
      <c r="AZ513" s="43"/>
      <c r="BA513" s="43"/>
      <c r="BB513" s="43"/>
      <c r="BC513" s="43"/>
      <c r="BD513" s="43"/>
      <c r="BE513" s="43"/>
      <c r="BF513" s="43"/>
      <c r="BG513" s="43"/>
      <c r="BH513" s="43"/>
      <c r="BI513" s="43"/>
      <c r="BJ513" s="43"/>
      <c r="BK513" s="43"/>
      <c r="BL513" s="43"/>
      <c r="BM513" s="43"/>
      <c r="BN513" s="43"/>
      <c r="BO513" s="43"/>
      <c r="BP513" s="43"/>
      <c r="BQ513" s="43"/>
      <c r="BR513" s="43"/>
      <c r="BS513" s="43"/>
      <c r="BT513" s="43"/>
      <c r="BU513" s="43"/>
      <c r="BV513" s="43"/>
      <c r="BW513" s="43"/>
      <c r="BX513" s="43"/>
      <c r="BY513" s="43"/>
      <c r="BZ513" s="43"/>
      <c r="CA513" s="43"/>
      <c r="CB513" s="43"/>
      <c r="CC513" s="43"/>
      <c r="CD513" s="43"/>
      <c r="CE513" s="43"/>
      <c r="CF513" s="43"/>
      <c r="CG513" s="43"/>
      <c r="CH513" s="43"/>
      <c r="CI513" s="43"/>
      <c r="CJ513" s="43"/>
      <c r="CK513" s="43"/>
      <c r="CL513" s="43"/>
      <c r="CM513" s="43"/>
      <c r="CN513" s="43"/>
      <c r="CO513" s="43"/>
      <c r="CP513" s="43"/>
      <c r="CQ513" s="43"/>
      <c r="CR513" s="43"/>
      <c r="CS513" s="43"/>
      <c r="CT513" s="43"/>
      <c r="CU513" s="43"/>
      <c r="CV513" s="43"/>
      <c r="CW513" s="43"/>
      <c r="CX513" s="43"/>
      <c r="CY513" s="43"/>
      <c r="CZ513" s="43"/>
      <c r="DA513" s="43"/>
      <c r="DB513" s="43"/>
      <c r="DC513" s="43"/>
      <c r="DD513" s="43"/>
      <c r="DE513" s="43"/>
      <c r="DF513" s="43"/>
      <c r="DG513" s="43"/>
      <c r="DH513" s="43"/>
      <c r="DI513" s="43"/>
      <c r="DJ513" s="43"/>
      <c r="DK513" s="43"/>
      <c r="DL513" s="43"/>
      <c r="DM513" s="43"/>
      <c r="DN513" s="43"/>
      <c r="DO513" s="43"/>
      <c r="DP513" s="43"/>
      <c r="DQ513" s="43"/>
      <c r="DR513" s="43"/>
      <c r="DS513" s="43"/>
    </row>
    <row r="514" spans="1:123" ht="14.45">
      <c r="A514"/>
      <c r="B514"/>
      <c r="C514"/>
      <c r="D514"/>
      <c r="E514"/>
      <c r="F514"/>
      <c r="G514"/>
      <c r="H514"/>
      <c r="I514"/>
      <c r="J514"/>
      <c r="K514" s="43"/>
      <c r="L514" s="43"/>
      <c r="M514" s="43"/>
      <c r="N514" s="43"/>
      <c r="O514" s="43"/>
      <c r="P514" s="43"/>
      <c r="Q514" s="43"/>
      <c r="R514" s="43"/>
      <c r="S514" s="43"/>
      <c r="T514" s="43"/>
      <c r="U514" s="43"/>
      <c r="V514" s="43"/>
      <c r="W514" s="43"/>
      <c r="X514" s="43"/>
      <c r="Y514" s="43"/>
      <c r="Z514" s="43"/>
      <c r="AA514" s="43"/>
      <c r="AB514" s="43"/>
      <c r="AC514" s="43"/>
      <c r="AD514" s="43"/>
      <c r="AE514" s="43"/>
      <c r="AF514" s="43"/>
      <c r="AG514" s="43"/>
      <c r="AH514" s="43"/>
      <c r="AI514" s="43"/>
      <c r="AJ514" s="43"/>
      <c r="AK514" s="43"/>
      <c r="AL514" s="43"/>
      <c r="AM514" s="43"/>
      <c r="AN514" s="43"/>
      <c r="AO514" s="43"/>
      <c r="AP514" s="43"/>
      <c r="AQ514" s="43"/>
      <c r="AR514" s="43"/>
      <c r="AS514" s="43"/>
      <c r="AT514" s="43"/>
      <c r="AU514" s="43"/>
      <c r="AV514" s="43"/>
      <c r="AW514" s="43"/>
      <c r="AX514" s="43"/>
      <c r="AY514" s="43"/>
      <c r="AZ514" s="43"/>
      <c r="BA514" s="43"/>
      <c r="BB514" s="43"/>
      <c r="BC514" s="43"/>
      <c r="BD514" s="43"/>
      <c r="BE514" s="43"/>
      <c r="BF514" s="43"/>
      <c r="BG514" s="43"/>
      <c r="BH514" s="43"/>
      <c r="BI514" s="43"/>
      <c r="BJ514" s="43"/>
      <c r="BK514" s="43"/>
      <c r="BL514" s="43"/>
      <c r="BM514" s="43"/>
      <c r="BN514" s="43"/>
      <c r="BO514" s="43"/>
      <c r="BP514" s="43"/>
      <c r="BQ514" s="43"/>
      <c r="BR514" s="43"/>
      <c r="BS514" s="43"/>
      <c r="BT514" s="43"/>
      <c r="BU514" s="43"/>
      <c r="BV514" s="43"/>
      <c r="BW514" s="43"/>
      <c r="BX514" s="43"/>
      <c r="BY514" s="43"/>
      <c r="BZ514" s="43"/>
      <c r="CA514" s="43"/>
      <c r="CB514" s="43"/>
      <c r="CC514" s="43"/>
      <c r="CD514" s="43"/>
      <c r="CE514" s="43"/>
      <c r="CF514" s="43"/>
      <c r="CG514" s="43"/>
      <c r="CH514" s="43"/>
      <c r="CI514" s="43"/>
      <c r="CJ514" s="43"/>
      <c r="CK514" s="43"/>
      <c r="CL514" s="43"/>
      <c r="CM514" s="43"/>
      <c r="CN514" s="43"/>
      <c r="CO514" s="43"/>
      <c r="CP514" s="43"/>
      <c r="CQ514" s="43"/>
      <c r="CR514" s="43"/>
      <c r="CS514" s="43"/>
      <c r="CT514" s="43"/>
      <c r="CU514" s="43"/>
      <c r="CV514" s="43"/>
      <c r="CW514" s="43"/>
      <c r="CX514" s="43"/>
      <c r="CY514" s="43"/>
      <c r="CZ514" s="43"/>
      <c r="DA514" s="43"/>
      <c r="DB514" s="43"/>
      <c r="DC514" s="43"/>
      <c r="DD514" s="43"/>
      <c r="DE514" s="43"/>
      <c r="DF514" s="43"/>
      <c r="DG514" s="43"/>
      <c r="DH514" s="43"/>
      <c r="DI514" s="43"/>
      <c r="DJ514" s="43"/>
      <c r="DK514" s="43"/>
      <c r="DL514" s="43"/>
      <c r="DM514" s="43"/>
      <c r="DN514" s="43"/>
      <c r="DO514" s="43"/>
      <c r="DP514" s="43"/>
      <c r="DQ514" s="43"/>
      <c r="DR514" s="43"/>
      <c r="DS514" s="43"/>
    </row>
    <row r="515" spans="1:123" ht="14.45">
      <c r="A515"/>
      <c r="B515"/>
      <c r="C515"/>
      <c r="D515"/>
      <c r="E515"/>
      <c r="F515"/>
      <c r="G515"/>
      <c r="H515"/>
      <c r="I515"/>
      <c r="J515"/>
      <c r="K515" s="43"/>
      <c r="L515" s="43"/>
      <c r="M515" s="43"/>
      <c r="N515" s="43"/>
      <c r="O515" s="43"/>
      <c r="P515" s="43"/>
      <c r="Q515" s="43"/>
      <c r="R515" s="43"/>
      <c r="S515" s="43"/>
      <c r="T515" s="43"/>
      <c r="U515" s="43"/>
      <c r="V515" s="43"/>
      <c r="W515" s="43"/>
      <c r="X515" s="43"/>
      <c r="Y515" s="43"/>
      <c r="Z515" s="43"/>
      <c r="AA515" s="43"/>
      <c r="AB515" s="43"/>
      <c r="AC515" s="43"/>
      <c r="AD515" s="43"/>
      <c r="AE515" s="43"/>
      <c r="AF515" s="43"/>
      <c r="AG515" s="43"/>
      <c r="AH515" s="43"/>
      <c r="AI515" s="43"/>
      <c r="AJ515" s="43"/>
      <c r="AK515" s="43"/>
      <c r="AL515" s="43"/>
      <c r="AM515" s="43"/>
      <c r="AN515" s="43"/>
      <c r="AO515" s="43"/>
      <c r="AP515" s="43"/>
      <c r="AQ515" s="43"/>
      <c r="AR515" s="43"/>
      <c r="AS515" s="43"/>
      <c r="AT515" s="43"/>
      <c r="AU515" s="43"/>
      <c r="AV515" s="43"/>
      <c r="AW515" s="43"/>
      <c r="AX515" s="43"/>
      <c r="AY515" s="43"/>
      <c r="AZ515" s="43"/>
      <c r="BA515" s="43"/>
      <c r="BB515" s="43"/>
      <c r="BC515" s="43"/>
      <c r="BD515" s="43"/>
      <c r="BE515" s="43"/>
      <c r="BF515" s="43"/>
      <c r="BG515" s="43"/>
      <c r="BH515" s="43"/>
      <c r="BI515" s="43"/>
      <c r="BJ515" s="43"/>
      <c r="BK515" s="43"/>
      <c r="BL515" s="43"/>
      <c r="BM515" s="43"/>
      <c r="BN515" s="43"/>
      <c r="BO515" s="43"/>
      <c r="BP515" s="43"/>
      <c r="BQ515" s="43"/>
      <c r="BR515" s="43"/>
      <c r="BS515" s="43"/>
      <c r="BT515" s="43"/>
      <c r="BU515" s="43"/>
      <c r="BV515" s="43"/>
      <c r="BW515" s="43"/>
      <c r="BX515" s="43"/>
      <c r="BY515" s="43"/>
      <c r="BZ515" s="43"/>
      <c r="CA515" s="43"/>
      <c r="CB515" s="43"/>
      <c r="CC515" s="43"/>
      <c r="CD515" s="43"/>
      <c r="CE515" s="43"/>
      <c r="CF515" s="43"/>
      <c r="CG515" s="43"/>
      <c r="CH515" s="43"/>
      <c r="CI515" s="43"/>
      <c r="CJ515" s="43"/>
      <c r="CK515" s="43"/>
      <c r="CL515" s="43"/>
      <c r="CM515" s="43"/>
      <c r="CN515" s="43"/>
      <c r="CO515" s="43"/>
      <c r="CP515" s="43"/>
      <c r="CQ515" s="43"/>
      <c r="CR515" s="43"/>
      <c r="CS515" s="43"/>
      <c r="CT515" s="43"/>
      <c r="CU515" s="43"/>
      <c r="CV515" s="43"/>
      <c r="CW515" s="43"/>
      <c r="CX515" s="43"/>
      <c r="CY515" s="43"/>
      <c r="CZ515" s="43"/>
      <c r="DA515" s="43"/>
      <c r="DB515" s="43"/>
      <c r="DC515" s="43"/>
      <c r="DD515" s="43"/>
      <c r="DE515" s="43"/>
      <c r="DF515" s="43"/>
      <c r="DG515" s="43"/>
      <c r="DH515" s="43"/>
      <c r="DI515" s="43"/>
      <c r="DJ515" s="43"/>
      <c r="DK515" s="43"/>
      <c r="DL515" s="43"/>
      <c r="DM515" s="43"/>
      <c r="DN515" s="43"/>
      <c r="DO515" s="43"/>
      <c r="DP515" s="43"/>
      <c r="DQ515" s="43"/>
      <c r="DR515" s="43"/>
      <c r="DS515" s="43"/>
    </row>
    <row r="516" spans="1:123" ht="14.45">
      <c r="A516"/>
      <c r="B516"/>
      <c r="C516"/>
      <c r="D516"/>
      <c r="E516"/>
      <c r="F516"/>
      <c r="G516"/>
      <c r="H516"/>
      <c r="I516"/>
      <c r="J516"/>
      <c r="K516" s="43"/>
      <c r="L516" s="43"/>
      <c r="M516" s="43"/>
      <c r="N516" s="43"/>
      <c r="O516" s="43"/>
      <c r="P516" s="43"/>
      <c r="Q516" s="43"/>
      <c r="R516" s="43"/>
      <c r="S516" s="43"/>
      <c r="T516" s="43"/>
      <c r="U516" s="43"/>
      <c r="V516" s="43"/>
      <c r="W516" s="43"/>
      <c r="X516" s="43"/>
      <c r="Y516" s="43"/>
      <c r="Z516" s="43"/>
      <c r="AA516" s="43"/>
      <c r="AB516" s="43"/>
      <c r="AC516" s="43"/>
      <c r="AD516" s="43"/>
      <c r="AE516" s="43"/>
      <c r="AF516" s="43"/>
      <c r="AG516" s="43"/>
      <c r="AH516" s="43"/>
      <c r="AI516" s="43"/>
      <c r="AJ516" s="43"/>
      <c r="AK516" s="43"/>
      <c r="AL516" s="43"/>
      <c r="AM516" s="43"/>
      <c r="AN516" s="43"/>
      <c r="AO516" s="43"/>
      <c r="AP516" s="43"/>
      <c r="AQ516" s="43"/>
      <c r="AR516" s="43"/>
      <c r="AS516" s="43"/>
      <c r="AT516" s="43"/>
      <c r="AU516" s="43"/>
      <c r="AV516" s="43"/>
      <c r="AW516" s="43"/>
      <c r="AX516" s="43"/>
      <c r="AY516" s="43"/>
      <c r="AZ516" s="43"/>
      <c r="BA516" s="43"/>
      <c r="BB516" s="43"/>
      <c r="BC516" s="43"/>
      <c r="BD516" s="43"/>
      <c r="BE516" s="43"/>
      <c r="BF516" s="43"/>
      <c r="BG516" s="43"/>
      <c r="BH516" s="43"/>
      <c r="BI516" s="43"/>
      <c r="BJ516" s="43"/>
      <c r="BK516" s="43"/>
      <c r="BL516" s="43"/>
      <c r="BM516" s="43"/>
      <c r="BN516" s="43"/>
      <c r="BO516" s="43"/>
      <c r="BP516" s="43"/>
      <c r="BQ516" s="43"/>
      <c r="BR516" s="43"/>
      <c r="BS516" s="43"/>
      <c r="BT516" s="43"/>
      <c r="BU516" s="43"/>
      <c r="BV516" s="43"/>
      <c r="BW516" s="43"/>
      <c r="BX516" s="43"/>
      <c r="BY516" s="43"/>
      <c r="BZ516" s="43"/>
      <c r="CA516" s="43"/>
      <c r="CB516" s="43"/>
      <c r="CC516" s="43"/>
      <c r="CD516" s="43"/>
      <c r="CE516" s="43"/>
      <c r="CF516" s="43"/>
      <c r="CG516" s="43"/>
      <c r="CH516" s="43"/>
      <c r="CI516" s="43"/>
      <c r="CJ516" s="43"/>
      <c r="CK516" s="43"/>
      <c r="CL516" s="43"/>
      <c r="CM516" s="43"/>
      <c r="CN516" s="43"/>
      <c r="CO516" s="43"/>
      <c r="CP516" s="43"/>
      <c r="CQ516" s="43"/>
      <c r="CR516" s="43"/>
      <c r="CS516" s="43"/>
      <c r="CT516" s="43"/>
      <c r="CU516" s="43"/>
      <c r="CV516" s="43"/>
      <c r="CW516" s="43"/>
      <c r="CX516" s="43"/>
      <c r="CY516" s="43"/>
      <c r="CZ516" s="43"/>
      <c r="DA516" s="43"/>
      <c r="DB516" s="43"/>
      <c r="DC516" s="43"/>
      <c r="DD516" s="43"/>
      <c r="DE516" s="43"/>
      <c r="DF516" s="43"/>
      <c r="DG516" s="43"/>
      <c r="DH516" s="43"/>
      <c r="DI516" s="43"/>
      <c r="DJ516" s="43"/>
      <c r="DK516" s="43"/>
      <c r="DL516" s="43"/>
      <c r="DM516" s="43"/>
      <c r="DN516" s="43"/>
      <c r="DO516" s="43"/>
      <c r="DP516" s="43"/>
      <c r="DQ516" s="43"/>
      <c r="DR516" s="43"/>
      <c r="DS516" s="43"/>
    </row>
    <row r="517" spans="1:123" ht="14.45">
      <c r="A517"/>
      <c r="B517"/>
      <c r="C517"/>
      <c r="D517"/>
      <c r="E517"/>
      <c r="F517"/>
      <c r="G517"/>
      <c r="H517"/>
      <c r="I517"/>
      <c r="J517"/>
      <c r="K517" s="43"/>
      <c r="L517" s="43"/>
      <c r="M517" s="43"/>
      <c r="N517" s="43"/>
      <c r="O517" s="43"/>
      <c r="P517" s="43"/>
      <c r="Q517" s="43"/>
      <c r="R517" s="43"/>
      <c r="S517" s="43"/>
      <c r="T517" s="43"/>
      <c r="U517" s="43"/>
      <c r="V517" s="43"/>
      <c r="W517" s="43"/>
      <c r="X517" s="43"/>
      <c r="Y517" s="43"/>
      <c r="Z517" s="43"/>
      <c r="AA517" s="43"/>
      <c r="AB517" s="43"/>
      <c r="AC517" s="43"/>
      <c r="AD517" s="43"/>
      <c r="AE517" s="43"/>
      <c r="AF517" s="43"/>
      <c r="AG517" s="43"/>
      <c r="AH517" s="43"/>
      <c r="AI517" s="43"/>
      <c r="AJ517" s="43"/>
      <c r="AK517" s="43"/>
      <c r="AL517" s="43"/>
      <c r="AM517" s="43"/>
      <c r="AN517" s="43"/>
      <c r="AO517" s="43"/>
      <c r="AP517" s="43"/>
      <c r="AQ517" s="43"/>
      <c r="AR517" s="43"/>
      <c r="AS517" s="43"/>
      <c r="AT517" s="43"/>
      <c r="AU517" s="43"/>
      <c r="AV517" s="43"/>
      <c r="AW517" s="43"/>
      <c r="AX517" s="43"/>
      <c r="AY517" s="43"/>
      <c r="AZ517" s="43"/>
      <c r="BA517" s="43"/>
      <c r="BB517" s="43"/>
      <c r="BC517" s="43"/>
      <c r="BD517" s="43"/>
      <c r="BE517" s="43"/>
      <c r="BF517" s="43"/>
      <c r="BG517" s="43"/>
      <c r="BH517" s="43"/>
      <c r="BI517" s="43"/>
      <c r="BJ517" s="43"/>
      <c r="BK517" s="43"/>
      <c r="BL517" s="43"/>
      <c r="BM517" s="43"/>
      <c r="BN517" s="43"/>
      <c r="BO517" s="43"/>
      <c r="BP517" s="43"/>
      <c r="BQ517" s="43"/>
      <c r="BR517" s="43"/>
      <c r="BS517" s="43"/>
      <c r="BT517" s="43"/>
      <c r="BU517" s="43"/>
      <c r="BV517" s="43"/>
      <c r="BW517" s="43"/>
      <c r="BX517" s="43"/>
      <c r="BY517" s="43"/>
      <c r="BZ517" s="43"/>
      <c r="CA517" s="43"/>
      <c r="CB517" s="43"/>
      <c r="CC517" s="43"/>
      <c r="CD517" s="43"/>
      <c r="CE517" s="43"/>
      <c r="CF517" s="43"/>
      <c r="CG517" s="43"/>
      <c r="CH517" s="43"/>
      <c r="CI517" s="43"/>
      <c r="CJ517" s="43"/>
      <c r="CK517" s="43"/>
      <c r="CL517" s="43"/>
      <c r="CM517" s="43"/>
      <c r="CN517" s="43"/>
      <c r="CO517" s="43"/>
      <c r="CP517" s="43"/>
      <c r="CQ517" s="43"/>
      <c r="CR517" s="43"/>
      <c r="CS517" s="43"/>
      <c r="CT517" s="43"/>
      <c r="CU517" s="43"/>
      <c r="CV517" s="43"/>
      <c r="CW517" s="43"/>
      <c r="CX517" s="43"/>
      <c r="CY517" s="43"/>
      <c r="CZ517" s="43"/>
      <c r="DA517" s="43"/>
      <c r="DB517" s="43"/>
      <c r="DC517" s="43"/>
      <c r="DD517" s="43"/>
      <c r="DE517" s="43"/>
      <c r="DF517" s="43"/>
      <c r="DG517" s="43"/>
      <c r="DH517" s="43"/>
      <c r="DI517" s="43"/>
      <c r="DJ517" s="43"/>
      <c r="DK517" s="43"/>
      <c r="DL517" s="43"/>
      <c r="DM517" s="43"/>
      <c r="DN517" s="43"/>
      <c r="DO517" s="43"/>
      <c r="DP517" s="43"/>
      <c r="DQ517" s="43"/>
      <c r="DR517" s="43"/>
      <c r="DS517" s="43"/>
    </row>
    <row r="518" spans="1:123" ht="14.45">
      <c r="A518"/>
      <c r="B518"/>
      <c r="C518"/>
      <c r="D518"/>
      <c r="E518"/>
      <c r="F518"/>
      <c r="G518"/>
      <c r="H518"/>
      <c r="I518"/>
      <c r="J518"/>
      <c r="K518" s="43"/>
      <c r="L518" s="43"/>
      <c r="M518" s="43"/>
      <c r="N518" s="43"/>
      <c r="O518" s="43"/>
      <c r="P518" s="43"/>
      <c r="Q518" s="43"/>
      <c r="R518" s="43"/>
      <c r="S518" s="43"/>
      <c r="T518" s="43"/>
      <c r="U518" s="43"/>
      <c r="V518" s="43"/>
      <c r="W518" s="43"/>
      <c r="X518" s="43"/>
      <c r="Y518" s="43"/>
      <c r="Z518" s="43"/>
      <c r="AA518" s="43"/>
      <c r="AB518" s="43"/>
      <c r="AC518" s="43"/>
      <c r="AD518" s="43"/>
      <c r="AE518" s="43"/>
      <c r="AF518" s="43"/>
      <c r="AG518" s="43"/>
      <c r="AH518" s="43"/>
      <c r="AI518" s="43"/>
      <c r="AJ518" s="43"/>
      <c r="AK518" s="43"/>
      <c r="AL518" s="43"/>
      <c r="AM518" s="43"/>
      <c r="AN518" s="43"/>
      <c r="AO518" s="43"/>
      <c r="AP518" s="43"/>
      <c r="AQ518" s="43"/>
      <c r="AR518" s="43"/>
      <c r="AS518" s="43"/>
      <c r="AT518" s="43"/>
      <c r="AU518" s="43"/>
      <c r="AV518" s="43"/>
      <c r="AW518" s="43"/>
      <c r="AX518" s="43"/>
      <c r="AY518" s="43"/>
      <c r="AZ518" s="43"/>
      <c r="BA518" s="43"/>
      <c r="BB518" s="43"/>
      <c r="BC518" s="43"/>
      <c r="BD518" s="43"/>
      <c r="BE518" s="43"/>
      <c r="BF518" s="43"/>
      <c r="BG518" s="43"/>
      <c r="BH518" s="43"/>
      <c r="BI518" s="43"/>
      <c r="BJ518" s="43"/>
      <c r="BK518" s="43"/>
      <c r="BL518" s="43"/>
      <c r="BM518" s="43"/>
      <c r="BN518" s="43"/>
      <c r="BO518" s="43"/>
      <c r="BP518" s="43"/>
      <c r="BQ518" s="43"/>
      <c r="BR518" s="43"/>
      <c r="BS518" s="43"/>
      <c r="BT518" s="43"/>
      <c r="BU518" s="43"/>
      <c r="BV518" s="43"/>
      <c r="BW518" s="43"/>
      <c r="BX518" s="43"/>
      <c r="BY518" s="43"/>
      <c r="BZ518" s="43"/>
      <c r="CA518" s="43"/>
      <c r="CB518" s="43"/>
      <c r="CC518" s="43"/>
      <c r="CD518" s="43"/>
      <c r="CE518" s="43"/>
      <c r="CF518" s="43"/>
      <c r="CG518" s="43"/>
      <c r="CH518" s="43"/>
      <c r="CI518" s="43"/>
      <c r="CJ518" s="43"/>
      <c r="CK518" s="43"/>
      <c r="CL518" s="43"/>
      <c r="CM518" s="43"/>
      <c r="CN518" s="43"/>
      <c r="CO518" s="43"/>
      <c r="CP518" s="43"/>
      <c r="CQ518" s="43"/>
      <c r="CR518" s="43"/>
      <c r="CS518" s="43"/>
      <c r="CT518" s="43"/>
      <c r="CU518" s="43"/>
      <c r="CV518" s="43"/>
      <c r="CW518" s="43"/>
      <c r="CX518" s="43"/>
      <c r="CY518" s="43"/>
      <c r="CZ518" s="43"/>
      <c r="DA518" s="43"/>
      <c r="DB518" s="43"/>
      <c r="DC518" s="43"/>
      <c r="DD518" s="43"/>
      <c r="DE518" s="43"/>
      <c r="DF518" s="43"/>
      <c r="DG518" s="43"/>
      <c r="DH518" s="43"/>
      <c r="DI518" s="43"/>
      <c r="DJ518" s="43"/>
      <c r="DK518" s="43"/>
      <c r="DL518" s="43"/>
      <c r="DM518" s="43"/>
      <c r="DN518" s="43"/>
      <c r="DO518" s="43"/>
      <c r="DP518" s="43"/>
      <c r="DQ518" s="43"/>
      <c r="DR518" s="43"/>
      <c r="DS518" s="43"/>
    </row>
    <row r="519" spans="1:123" ht="14.45">
      <c r="A519"/>
      <c r="B519"/>
      <c r="C519"/>
      <c r="D519"/>
      <c r="E519"/>
      <c r="F519"/>
      <c r="G519"/>
      <c r="H519"/>
      <c r="I519"/>
      <c r="J519"/>
      <c r="K519" s="43"/>
      <c r="L519" s="43"/>
      <c r="M519" s="43"/>
      <c r="N519" s="43"/>
      <c r="O519" s="43"/>
      <c r="P519" s="43"/>
      <c r="Q519" s="43"/>
      <c r="R519" s="43"/>
      <c r="S519" s="43"/>
      <c r="T519" s="43"/>
      <c r="U519" s="43"/>
      <c r="V519" s="43"/>
      <c r="W519" s="43"/>
      <c r="X519" s="43"/>
      <c r="Y519" s="43"/>
      <c r="Z519" s="43"/>
      <c r="AA519" s="43"/>
      <c r="AB519" s="43"/>
      <c r="AC519" s="43"/>
      <c r="AD519" s="43"/>
      <c r="AE519" s="43"/>
      <c r="AF519" s="43"/>
      <c r="AG519" s="43"/>
      <c r="AH519" s="43"/>
      <c r="AI519" s="43"/>
      <c r="AJ519" s="43"/>
      <c r="AK519" s="43"/>
      <c r="AL519" s="43"/>
      <c r="AM519" s="43"/>
      <c r="AN519" s="43"/>
      <c r="AO519" s="43"/>
      <c r="AP519" s="43"/>
      <c r="AQ519" s="43"/>
      <c r="AR519" s="43"/>
      <c r="AS519" s="43"/>
      <c r="AT519" s="43"/>
      <c r="AU519" s="43"/>
      <c r="AV519" s="43"/>
      <c r="AW519" s="43"/>
      <c r="AX519" s="43"/>
      <c r="AY519" s="43"/>
      <c r="AZ519" s="43"/>
      <c r="BA519" s="43"/>
      <c r="BB519" s="43"/>
      <c r="BC519" s="43"/>
      <c r="BD519" s="43"/>
      <c r="BE519" s="43"/>
      <c r="BF519" s="43"/>
      <c r="BG519" s="43"/>
      <c r="BH519" s="43"/>
      <c r="BI519" s="43"/>
      <c r="BJ519" s="43"/>
      <c r="BK519" s="43"/>
      <c r="BL519" s="43"/>
      <c r="BM519" s="43"/>
      <c r="BN519" s="43"/>
      <c r="BO519" s="43"/>
      <c r="BP519" s="43"/>
      <c r="BQ519" s="43"/>
      <c r="BR519" s="43"/>
      <c r="BS519" s="43"/>
      <c r="BT519" s="43"/>
      <c r="BU519" s="43"/>
      <c r="BV519" s="43"/>
      <c r="BW519" s="43"/>
      <c r="BX519" s="43"/>
      <c r="BY519" s="43"/>
      <c r="BZ519" s="43"/>
      <c r="CA519" s="43"/>
      <c r="CB519" s="43"/>
      <c r="CC519" s="43"/>
      <c r="CD519" s="43"/>
      <c r="CE519" s="43"/>
      <c r="CF519" s="43"/>
      <c r="CG519" s="43"/>
      <c r="CH519" s="43"/>
      <c r="CI519" s="43"/>
      <c r="CJ519" s="43"/>
      <c r="CK519" s="43"/>
      <c r="CL519" s="43"/>
      <c r="CM519" s="43"/>
      <c r="CN519" s="43"/>
      <c r="CO519" s="43"/>
      <c r="CP519" s="43"/>
      <c r="CQ519" s="43"/>
      <c r="CR519" s="43"/>
      <c r="CS519" s="43"/>
      <c r="CT519" s="43"/>
      <c r="CU519" s="43"/>
      <c r="CV519" s="43"/>
      <c r="CW519" s="43"/>
      <c r="CX519" s="43"/>
      <c r="CY519" s="43"/>
      <c r="CZ519" s="43"/>
      <c r="DA519" s="43"/>
      <c r="DB519" s="43"/>
      <c r="DC519" s="43"/>
      <c r="DD519" s="43"/>
      <c r="DE519" s="43"/>
      <c r="DF519" s="43"/>
      <c r="DG519" s="43"/>
      <c r="DH519" s="43"/>
      <c r="DI519" s="43"/>
      <c r="DJ519" s="43"/>
      <c r="DK519" s="43"/>
      <c r="DL519" s="43"/>
      <c r="DM519" s="43"/>
      <c r="DN519" s="43"/>
      <c r="DO519" s="43"/>
      <c r="DP519" s="43"/>
      <c r="DQ519" s="43"/>
      <c r="DR519" s="43"/>
      <c r="DS519" s="43"/>
    </row>
    <row r="520" spans="1:123" ht="14.45">
      <c r="A520"/>
      <c r="B520"/>
      <c r="C520"/>
      <c r="D520"/>
      <c r="E520"/>
      <c r="F520"/>
      <c r="G520"/>
      <c r="H520"/>
      <c r="I520"/>
      <c r="J520"/>
      <c r="K520" s="43"/>
      <c r="L520" s="43"/>
      <c r="M520" s="43"/>
      <c r="N520" s="43"/>
      <c r="O520" s="43"/>
      <c r="P520" s="43"/>
      <c r="Q520" s="43"/>
      <c r="R520" s="43"/>
      <c r="S520" s="43"/>
      <c r="T520" s="43"/>
      <c r="U520" s="43"/>
      <c r="V520" s="43"/>
      <c r="W520" s="43"/>
      <c r="X520" s="43"/>
      <c r="Y520" s="43"/>
      <c r="Z520" s="43"/>
      <c r="AA520" s="43"/>
      <c r="AB520" s="43"/>
      <c r="AC520" s="43"/>
      <c r="AD520" s="43"/>
      <c r="AE520" s="43"/>
      <c r="AF520" s="43"/>
      <c r="AG520" s="43"/>
      <c r="AH520" s="43"/>
      <c r="AI520" s="43"/>
      <c r="AJ520" s="43"/>
      <c r="AK520" s="43"/>
      <c r="AL520" s="43"/>
      <c r="AM520" s="43"/>
      <c r="AN520" s="43"/>
      <c r="AO520" s="43"/>
      <c r="AP520" s="43"/>
      <c r="AQ520" s="43"/>
      <c r="AR520" s="43"/>
      <c r="AS520" s="43"/>
      <c r="AT520" s="43"/>
      <c r="AU520" s="43"/>
      <c r="AV520" s="43"/>
      <c r="AW520" s="43"/>
      <c r="AX520" s="43"/>
      <c r="AY520" s="43"/>
      <c r="AZ520" s="43"/>
      <c r="BA520" s="43"/>
      <c r="BB520" s="43"/>
      <c r="BC520" s="43"/>
      <c r="BD520" s="43"/>
      <c r="BE520" s="43"/>
      <c r="BF520" s="43"/>
      <c r="BG520" s="43"/>
      <c r="BH520" s="43"/>
      <c r="BI520" s="43"/>
      <c r="BJ520" s="43"/>
      <c r="BK520" s="43"/>
      <c r="BL520" s="43"/>
      <c r="BM520" s="43"/>
      <c r="BN520" s="43"/>
      <c r="BO520" s="43"/>
      <c r="BP520" s="43"/>
      <c r="BQ520" s="43"/>
      <c r="BR520" s="43"/>
      <c r="BS520" s="43"/>
      <c r="BT520" s="43"/>
      <c r="BU520" s="43"/>
      <c r="BV520" s="43"/>
      <c r="BW520" s="43"/>
      <c r="BX520" s="43"/>
      <c r="BY520" s="43"/>
      <c r="BZ520" s="43"/>
      <c r="CA520" s="43"/>
      <c r="CB520" s="43"/>
      <c r="CC520" s="43"/>
      <c r="CD520" s="43"/>
      <c r="CE520" s="43"/>
      <c r="CF520" s="43"/>
      <c r="CG520" s="43"/>
      <c r="CH520" s="43"/>
      <c r="CI520" s="43"/>
      <c r="CJ520" s="43"/>
      <c r="CK520" s="43"/>
      <c r="CL520" s="43"/>
      <c r="CM520" s="43"/>
      <c r="CN520" s="43"/>
      <c r="CO520" s="43"/>
      <c r="CP520" s="43"/>
      <c r="CQ520" s="43"/>
      <c r="CR520" s="43"/>
      <c r="CS520" s="43"/>
      <c r="CT520" s="43"/>
      <c r="CU520" s="43"/>
      <c r="CV520" s="43"/>
      <c r="CW520" s="43"/>
      <c r="CX520" s="43"/>
      <c r="CY520" s="43"/>
      <c r="CZ520" s="43"/>
      <c r="DA520" s="43"/>
      <c r="DB520" s="43"/>
      <c r="DC520" s="43"/>
      <c r="DD520" s="43"/>
      <c r="DE520" s="43"/>
      <c r="DF520" s="43"/>
      <c r="DG520" s="43"/>
      <c r="DH520" s="43"/>
      <c r="DI520" s="43"/>
      <c r="DJ520" s="43"/>
      <c r="DK520" s="43"/>
      <c r="DL520" s="43"/>
      <c r="DM520" s="43"/>
      <c r="DN520" s="43"/>
      <c r="DO520" s="43"/>
      <c r="DP520" s="43"/>
      <c r="DQ520" s="43"/>
      <c r="DR520" s="43"/>
      <c r="DS520" s="43"/>
    </row>
    <row r="521" spans="1:123" ht="14.45">
      <c r="A521"/>
      <c r="B521"/>
      <c r="C521"/>
      <c r="D521"/>
      <c r="E521"/>
      <c r="F521"/>
      <c r="G521"/>
      <c r="H521"/>
      <c r="I521"/>
      <c r="J521"/>
      <c r="K521" s="43"/>
      <c r="L521" s="43"/>
      <c r="M521" s="43"/>
      <c r="N521" s="43"/>
      <c r="O521" s="43"/>
      <c r="P521" s="43"/>
      <c r="Q521" s="43"/>
      <c r="R521" s="43"/>
      <c r="S521" s="43"/>
      <c r="T521" s="43"/>
      <c r="U521" s="43"/>
      <c r="V521" s="43"/>
      <c r="W521" s="43"/>
      <c r="X521" s="43"/>
      <c r="Y521" s="43"/>
      <c r="Z521" s="43"/>
      <c r="AA521" s="43"/>
      <c r="AB521" s="43"/>
      <c r="AC521" s="43"/>
      <c r="AD521" s="43"/>
      <c r="AE521" s="43"/>
      <c r="AF521" s="43"/>
      <c r="AG521" s="43"/>
      <c r="AH521" s="43"/>
      <c r="AI521" s="43"/>
      <c r="AJ521" s="43"/>
      <c r="AK521" s="43"/>
      <c r="AL521" s="43"/>
      <c r="AM521" s="43"/>
      <c r="AN521" s="43"/>
      <c r="AO521" s="43"/>
      <c r="AP521" s="43"/>
      <c r="AQ521" s="43"/>
      <c r="AR521" s="43"/>
      <c r="AS521" s="43"/>
      <c r="AT521" s="43"/>
      <c r="AU521" s="43"/>
      <c r="AV521" s="43"/>
      <c r="AW521" s="43"/>
      <c r="AX521" s="43"/>
      <c r="AY521" s="43"/>
      <c r="AZ521" s="43"/>
      <c r="BA521" s="43"/>
      <c r="BB521" s="43"/>
      <c r="BC521" s="43"/>
      <c r="BD521" s="43"/>
      <c r="BE521" s="43"/>
      <c r="BF521" s="43"/>
      <c r="BG521" s="43"/>
      <c r="BH521" s="43"/>
      <c r="BI521" s="43"/>
      <c r="BJ521" s="43"/>
      <c r="BK521" s="43"/>
      <c r="BL521" s="43"/>
      <c r="BM521" s="43"/>
      <c r="BN521" s="43"/>
      <c r="BO521" s="43"/>
      <c r="BP521" s="43"/>
      <c r="BQ521" s="43"/>
      <c r="BR521" s="43"/>
      <c r="BS521" s="43"/>
      <c r="BT521" s="43"/>
      <c r="BU521" s="43"/>
      <c r="BV521" s="43"/>
      <c r="BW521" s="43"/>
      <c r="BX521" s="43"/>
      <c r="BY521" s="43"/>
      <c r="BZ521" s="43"/>
      <c r="CA521" s="43"/>
      <c r="CB521" s="43"/>
      <c r="CC521" s="43"/>
      <c r="CD521" s="43"/>
      <c r="CE521" s="43"/>
      <c r="CF521" s="43"/>
      <c r="CG521" s="43"/>
      <c r="CH521" s="43"/>
      <c r="CI521" s="43"/>
      <c r="CJ521" s="43"/>
      <c r="CK521" s="43"/>
      <c r="CL521" s="43"/>
      <c r="CM521" s="43"/>
      <c r="CN521" s="43"/>
      <c r="CO521" s="43"/>
      <c r="CP521" s="43"/>
      <c r="CQ521" s="43"/>
      <c r="CR521" s="43"/>
      <c r="CS521" s="43"/>
      <c r="CT521" s="43"/>
      <c r="CU521" s="43"/>
      <c r="CV521" s="43"/>
      <c r="CW521" s="43"/>
      <c r="CX521" s="43"/>
      <c r="CY521" s="43"/>
      <c r="CZ521" s="43"/>
      <c r="DA521" s="43"/>
      <c r="DB521" s="43"/>
      <c r="DC521" s="43"/>
      <c r="DD521" s="43"/>
      <c r="DE521" s="43"/>
      <c r="DF521" s="43"/>
      <c r="DG521" s="43"/>
      <c r="DH521" s="43"/>
      <c r="DI521" s="43"/>
      <c r="DJ521" s="43"/>
      <c r="DK521" s="43"/>
      <c r="DL521" s="43"/>
      <c r="DM521" s="43"/>
      <c r="DN521" s="43"/>
      <c r="DO521" s="43"/>
      <c r="DP521" s="43"/>
      <c r="DQ521" s="43"/>
      <c r="DR521" s="43"/>
      <c r="DS521" s="43"/>
    </row>
    <row r="522" spans="1:123" ht="14.45">
      <c r="A522"/>
      <c r="B522"/>
      <c r="C522"/>
      <c r="D522"/>
      <c r="E522"/>
      <c r="F522"/>
      <c r="G522"/>
      <c r="H522"/>
      <c r="I522"/>
      <c r="J522"/>
      <c r="K522" s="43"/>
      <c r="L522" s="43"/>
      <c r="M522" s="43"/>
      <c r="N522" s="43"/>
      <c r="O522" s="43"/>
      <c r="P522" s="43"/>
      <c r="Q522" s="43"/>
      <c r="R522" s="43"/>
      <c r="S522" s="43"/>
      <c r="T522" s="43"/>
      <c r="U522" s="43"/>
      <c r="V522" s="43"/>
      <c r="W522" s="43"/>
      <c r="X522" s="43"/>
      <c r="Y522" s="43"/>
      <c r="Z522" s="43"/>
      <c r="AA522" s="43"/>
      <c r="AB522" s="43"/>
      <c r="AC522" s="43"/>
      <c r="AD522" s="43"/>
      <c r="AE522" s="43"/>
      <c r="AF522" s="43"/>
      <c r="AG522" s="43"/>
      <c r="AH522" s="43"/>
      <c r="AI522" s="43"/>
      <c r="AJ522" s="43"/>
      <c r="AK522" s="43"/>
      <c r="AL522" s="43"/>
      <c r="AM522" s="43"/>
      <c r="AN522" s="43"/>
      <c r="AO522" s="43"/>
      <c r="AP522" s="43"/>
      <c r="AQ522" s="43"/>
      <c r="AR522" s="43"/>
      <c r="AS522" s="43"/>
      <c r="AT522" s="43"/>
      <c r="AU522" s="43"/>
      <c r="AV522" s="43"/>
      <c r="AW522" s="43"/>
      <c r="AX522" s="43"/>
      <c r="AY522" s="43"/>
      <c r="AZ522" s="43"/>
      <c r="BA522" s="43"/>
      <c r="BB522" s="43"/>
      <c r="BC522" s="43"/>
      <c r="BD522" s="43"/>
      <c r="BE522" s="43"/>
      <c r="BF522" s="43"/>
      <c r="BG522" s="43"/>
      <c r="BH522" s="43"/>
      <c r="BI522" s="43"/>
      <c r="BJ522" s="43"/>
      <c r="BK522" s="43"/>
      <c r="BL522" s="43"/>
      <c r="BM522" s="43"/>
      <c r="BN522" s="43"/>
      <c r="BO522" s="43"/>
      <c r="BP522" s="43"/>
      <c r="BQ522" s="43"/>
      <c r="BR522" s="43"/>
      <c r="BS522" s="43"/>
      <c r="BT522" s="43"/>
      <c r="BU522" s="43"/>
      <c r="BV522" s="43"/>
      <c r="BW522" s="43"/>
      <c r="BX522" s="43"/>
      <c r="BY522" s="43"/>
      <c r="BZ522" s="43"/>
      <c r="CA522" s="43"/>
      <c r="CB522" s="43"/>
      <c r="CC522" s="43"/>
      <c r="CD522" s="43"/>
      <c r="CE522" s="43"/>
      <c r="CF522" s="43"/>
      <c r="CG522" s="43"/>
      <c r="CH522" s="43"/>
      <c r="CI522" s="43"/>
      <c r="CJ522" s="43"/>
      <c r="CK522" s="43"/>
      <c r="CL522" s="43"/>
      <c r="CM522" s="43"/>
      <c r="CN522" s="43"/>
      <c r="CO522" s="43"/>
      <c r="CP522" s="43"/>
      <c r="CQ522" s="43"/>
      <c r="CR522" s="43"/>
      <c r="CS522" s="43"/>
      <c r="CT522" s="43"/>
      <c r="CU522" s="43"/>
      <c r="CV522" s="43"/>
      <c r="CW522" s="43"/>
      <c r="CX522" s="43"/>
      <c r="CY522" s="43"/>
      <c r="CZ522" s="43"/>
      <c r="DA522" s="43"/>
      <c r="DB522" s="43"/>
      <c r="DC522" s="43"/>
      <c r="DD522" s="43"/>
      <c r="DE522" s="43"/>
      <c r="DF522" s="43"/>
      <c r="DG522" s="43"/>
      <c r="DH522" s="43"/>
      <c r="DI522" s="43"/>
      <c r="DJ522" s="43"/>
      <c r="DK522" s="43"/>
      <c r="DL522" s="43"/>
      <c r="DM522" s="43"/>
      <c r="DN522" s="43"/>
      <c r="DO522" s="43"/>
      <c r="DP522" s="43"/>
      <c r="DQ522" s="43"/>
      <c r="DR522" s="43"/>
      <c r="DS522" s="43"/>
    </row>
    <row r="523" spans="1:123" ht="14.45">
      <c r="A523"/>
      <c r="B523"/>
      <c r="C523"/>
      <c r="D523"/>
      <c r="E523"/>
      <c r="F523"/>
      <c r="G523"/>
      <c r="H523"/>
      <c r="I523"/>
      <c r="J523"/>
      <c r="K523" s="43"/>
      <c r="L523" s="43"/>
      <c r="M523" s="43"/>
      <c r="N523" s="43"/>
      <c r="O523" s="43"/>
      <c r="P523" s="43"/>
      <c r="Q523" s="43"/>
      <c r="R523" s="43"/>
      <c r="S523" s="43"/>
      <c r="T523" s="43"/>
      <c r="U523" s="43"/>
      <c r="V523" s="43"/>
      <c r="W523" s="43"/>
      <c r="X523" s="43"/>
      <c r="Y523" s="43"/>
      <c r="Z523" s="43"/>
      <c r="AA523" s="43"/>
      <c r="AB523" s="43"/>
      <c r="AC523" s="43"/>
      <c r="AD523" s="43"/>
      <c r="AE523" s="43"/>
      <c r="AF523" s="43"/>
      <c r="AG523" s="43"/>
      <c r="AH523" s="43"/>
      <c r="AI523" s="43"/>
      <c r="AJ523" s="43"/>
      <c r="AK523" s="43"/>
      <c r="AL523" s="43"/>
      <c r="AM523" s="43"/>
      <c r="AN523" s="43"/>
      <c r="AO523" s="43"/>
      <c r="AP523" s="43"/>
      <c r="AQ523" s="43"/>
      <c r="AR523" s="43"/>
      <c r="AS523" s="43"/>
      <c r="AT523" s="43"/>
      <c r="AU523" s="43"/>
      <c r="AV523" s="43"/>
      <c r="AW523" s="43"/>
      <c r="AX523" s="43"/>
      <c r="AY523" s="43"/>
      <c r="AZ523" s="43"/>
      <c r="BA523" s="43"/>
      <c r="BB523" s="43"/>
      <c r="BC523" s="43"/>
      <c r="BD523" s="43"/>
      <c r="BE523" s="43"/>
      <c r="BF523" s="43"/>
      <c r="BG523" s="43"/>
      <c r="BH523" s="43"/>
      <c r="BI523" s="43"/>
      <c r="BJ523" s="43"/>
      <c r="BK523" s="43"/>
      <c r="BL523" s="43"/>
      <c r="BM523" s="43"/>
      <c r="BN523" s="43"/>
      <c r="BO523" s="43"/>
      <c r="BP523" s="43"/>
      <c r="BQ523" s="43"/>
      <c r="BR523" s="43"/>
      <c r="BS523" s="43"/>
      <c r="BT523" s="43"/>
      <c r="BU523" s="43"/>
      <c r="BV523" s="43"/>
      <c r="BW523" s="43"/>
      <c r="BX523" s="43"/>
      <c r="BY523" s="43"/>
      <c r="BZ523" s="43"/>
      <c r="CA523" s="43"/>
      <c r="CB523" s="43"/>
      <c r="CC523" s="43"/>
      <c r="CD523" s="43"/>
      <c r="CE523" s="43"/>
      <c r="CF523" s="43"/>
      <c r="CG523" s="43"/>
      <c r="CH523" s="43"/>
      <c r="CI523" s="43"/>
      <c r="CJ523" s="43"/>
      <c r="CK523" s="43"/>
      <c r="CL523" s="43"/>
      <c r="CM523" s="43"/>
      <c r="CN523" s="43"/>
      <c r="CO523" s="43"/>
      <c r="CP523" s="43"/>
      <c r="CQ523" s="43"/>
      <c r="CR523" s="43"/>
      <c r="CS523" s="43"/>
      <c r="CT523" s="43"/>
      <c r="CU523" s="43"/>
      <c r="CV523" s="43"/>
      <c r="CW523" s="43"/>
      <c r="CX523" s="43"/>
      <c r="CY523" s="43"/>
      <c r="CZ523" s="43"/>
      <c r="DA523" s="43"/>
      <c r="DB523" s="43"/>
      <c r="DC523" s="43"/>
      <c r="DD523" s="43"/>
      <c r="DE523" s="43"/>
      <c r="DF523" s="43"/>
      <c r="DG523" s="43"/>
      <c r="DH523" s="43"/>
      <c r="DI523" s="43"/>
      <c r="DJ523" s="43"/>
      <c r="DK523" s="43"/>
      <c r="DL523" s="43"/>
      <c r="DM523" s="43"/>
      <c r="DN523" s="43"/>
      <c r="DO523" s="43"/>
      <c r="DP523" s="43"/>
      <c r="DQ523" s="43"/>
      <c r="DR523" s="43"/>
      <c r="DS523" s="43"/>
    </row>
    <row r="524" spans="1:123" ht="14.45">
      <c r="A524"/>
      <c r="B524"/>
      <c r="C524"/>
      <c r="D524"/>
      <c r="E524"/>
      <c r="F524"/>
      <c r="G524"/>
      <c r="H524"/>
      <c r="I524"/>
      <c r="J524"/>
      <c r="K524" s="43"/>
      <c r="L524" s="43"/>
      <c r="M524" s="43"/>
      <c r="N524" s="43"/>
      <c r="O524" s="43"/>
      <c r="P524" s="43"/>
      <c r="Q524" s="43"/>
      <c r="R524" s="43"/>
      <c r="S524" s="43"/>
      <c r="T524" s="43"/>
      <c r="U524" s="43"/>
      <c r="V524" s="43"/>
      <c r="W524" s="43"/>
      <c r="X524" s="43"/>
      <c r="Y524" s="43"/>
      <c r="Z524" s="43"/>
      <c r="AA524" s="43"/>
      <c r="AB524" s="43"/>
      <c r="AC524" s="43"/>
      <c r="AD524" s="43"/>
      <c r="AE524" s="43"/>
      <c r="AF524" s="43"/>
      <c r="AG524" s="43"/>
      <c r="AH524" s="43"/>
      <c r="AI524" s="43"/>
      <c r="AJ524" s="43"/>
      <c r="AK524" s="43"/>
      <c r="AL524" s="43"/>
      <c r="AM524" s="43"/>
      <c r="AN524" s="43"/>
      <c r="AO524" s="43"/>
      <c r="AP524" s="43"/>
      <c r="AQ524" s="43"/>
      <c r="AR524" s="43"/>
      <c r="AS524" s="43"/>
      <c r="AT524" s="43"/>
      <c r="AU524" s="43"/>
      <c r="AV524" s="43"/>
      <c r="AW524" s="43"/>
      <c r="AX524" s="43"/>
      <c r="AY524" s="43"/>
      <c r="AZ524" s="43"/>
      <c r="BA524" s="43"/>
      <c r="BB524" s="43"/>
      <c r="BC524" s="43"/>
      <c r="BD524" s="43"/>
      <c r="BE524" s="43"/>
      <c r="BF524" s="43"/>
      <c r="BG524" s="43"/>
      <c r="BH524" s="43"/>
      <c r="BI524" s="43"/>
      <c r="BJ524" s="43"/>
      <c r="BK524" s="43"/>
      <c r="BL524" s="43"/>
      <c r="BM524" s="43"/>
      <c r="BN524" s="43"/>
      <c r="BO524" s="43"/>
      <c r="BP524" s="43"/>
      <c r="BQ524" s="43"/>
      <c r="BR524" s="43"/>
      <c r="BS524" s="43"/>
      <c r="BT524" s="43"/>
      <c r="BU524" s="43"/>
      <c r="BV524" s="43"/>
      <c r="BW524" s="43"/>
      <c r="BX524" s="43"/>
      <c r="BY524" s="43"/>
      <c r="BZ524" s="43"/>
      <c r="CA524" s="43"/>
      <c r="CB524" s="43"/>
      <c r="CC524" s="43"/>
      <c r="CD524" s="43"/>
      <c r="CE524" s="43"/>
      <c r="CF524" s="43"/>
      <c r="CG524" s="43"/>
      <c r="CH524" s="43"/>
      <c r="CI524" s="43"/>
      <c r="CJ524" s="43"/>
      <c r="CK524" s="43"/>
      <c r="CL524" s="43"/>
      <c r="CM524" s="43"/>
      <c r="CN524" s="43"/>
      <c r="CO524" s="43"/>
      <c r="CP524" s="43"/>
      <c r="CQ524" s="43"/>
      <c r="CR524" s="43"/>
      <c r="CS524" s="43"/>
      <c r="CT524" s="43"/>
      <c r="CU524" s="43"/>
      <c r="CV524" s="43"/>
      <c r="CW524" s="43"/>
      <c r="CX524" s="43"/>
      <c r="CY524" s="43"/>
      <c r="CZ524" s="43"/>
      <c r="DA524" s="43"/>
      <c r="DB524" s="43"/>
      <c r="DC524" s="43"/>
      <c r="DD524" s="43"/>
      <c r="DE524" s="43"/>
      <c r="DF524" s="43"/>
      <c r="DG524" s="43"/>
      <c r="DH524" s="43"/>
      <c r="DI524" s="43"/>
      <c r="DJ524" s="43"/>
      <c r="DK524" s="43"/>
      <c r="DL524" s="43"/>
      <c r="DM524" s="43"/>
      <c r="DN524" s="43"/>
      <c r="DO524" s="43"/>
      <c r="DP524" s="43"/>
      <c r="DQ524" s="43"/>
      <c r="DR524" s="43"/>
      <c r="DS524" s="43"/>
    </row>
    <row r="525" spans="1:123" ht="14.45">
      <c r="A525"/>
      <c r="B525"/>
      <c r="C525"/>
      <c r="D525"/>
      <c r="E525"/>
      <c r="F525"/>
      <c r="G525"/>
      <c r="H525"/>
      <c r="I525"/>
      <c r="J525"/>
      <c r="K525" s="43"/>
      <c r="L525" s="43"/>
      <c r="M525" s="43"/>
      <c r="N525" s="43"/>
      <c r="O525" s="43"/>
      <c r="P525" s="43"/>
      <c r="Q525" s="43"/>
      <c r="R525" s="43"/>
      <c r="S525" s="43"/>
      <c r="T525" s="43"/>
      <c r="U525" s="43"/>
      <c r="V525" s="43"/>
      <c r="W525" s="43"/>
      <c r="X525" s="43"/>
      <c r="Y525" s="43"/>
      <c r="Z525" s="43"/>
      <c r="AA525" s="43"/>
      <c r="AB525" s="43"/>
      <c r="AC525" s="43"/>
      <c r="AD525" s="43"/>
      <c r="AE525" s="43"/>
      <c r="AF525" s="43"/>
      <c r="AG525" s="43"/>
      <c r="AH525" s="43"/>
      <c r="AI525" s="43"/>
      <c r="AJ525" s="43"/>
      <c r="AK525" s="43"/>
      <c r="AL525" s="43"/>
      <c r="AM525" s="43"/>
      <c r="AN525" s="43"/>
      <c r="AO525" s="43"/>
      <c r="AP525" s="43"/>
      <c r="AQ525" s="43"/>
      <c r="AR525" s="43"/>
      <c r="AS525" s="43"/>
      <c r="AT525" s="43"/>
      <c r="AU525" s="43"/>
      <c r="AV525" s="43"/>
      <c r="AW525" s="43"/>
      <c r="AX525" s="43"/>
      <c r="AY525" s="43"/>
      <c r="AZ525" s="43"/>
      <c r="BA525" s="43"/>
      <c r="BB525" s="43"/>
      <c r="BC525" s="43"/>
      <c r="BD525" s="43"/>
      <c r="BE525" s="43"/>
      <c r="BF525" s="43"/>
      <c r="BG525" s="43"/>
      <c r="BH525" s="43"/>
      <c r="BI525" s="43"/>
      <c r="BJ525" s="43"/>
      <c r="BK525" s="43"/>
      <c r="BL525" s="43"/>
      <c r="BM525" s="43"/>
      <c r="BN525" s="43"/>
      <c r="BO525" s="43"/>
      <c r="BP525" s="43"/>
      <c r="BQ525" s="43"/>
      <c r="BR525" s="43"/>
      <c r="BS525" s="43"/>
      <c r="BT525" s="43"/>
      <c r="BU525" s="43"/>
      <c r="BV525" s="43"/>
      <c r="BW525" s="43"/>
      <c r="BX525" s="43"/>
      <c r="BY525" s="43"/>
      <c r="BZ525" s="43"/>
      <c r="CA525" s="43"/>
      <c r="CB525" s="43"/>
      <c r="CC525" s="43"/>
      <c r="CD525" s="43"/>
      <c r="CE525" s="43"/>
      <c r="CF525" s="43"/>
      <c r="CG525" s="43"/>
      <c r="CH525" s="43"/>
      <c r="CI525" s="43"/>
      <c r="CJ525" s="43"/>
      <c r="CK525" s="43"/>
      <c r="CL525" s="43"/>
      <c r="CM525" s="43"/>
      <c r="CN525" s="43"/>
      <c r="CO525" s="43"/>
      <c r="CP525" s="43"/>
      <c r="CQ525" s="43"/>
      <c r="CR525" s="43"/>
      <c r="CS525" s="43"/>
      <c r="CT525" s="43"/>
      <c r="CU525" s="43"/>
      <c r="CV525" s="43"/>
      <c r="CW525" s="43"/>
      <c r="CX525" s="43"/>
      <c r="CY525" s="43"/>
      <c r="CZ525" s="43"/>
      <c r="DA525" s="43"/>
      <c r="DB525" s="43"/>
      <c r="DC525" s="43"/>
      <c r="DD525" s="43"/>
      <c r="DE525" s="43"/>
      <c r="DF525" s="43"/>
      <c r="DG525" s="43"/>
      <c r="DH525" s="43"/>
      <c r="DI525" s="43"/>
      <c r="DJ525" s="43"/>
      <c r="DK525" s="43"/>
      <c r="DL525" s="43"/>
      <c r="DM525" s="43"/>
      <c r="DN525" s="43"/>
      <c r="DO525" s="43"/>
      <c r="DP525" s="43"/>
      <c r="DQ525" s="43"/>
      <c r="DR525" s="43"/>
      <c r="DS525" s="43"/>
    </row>
    <row r="526" spans="1:123" ht="14.45">
      <c r="A526"/>
      <c r="B526"/>
      <c r="C526"/>
      <c r="D526"/>
      <c r="E526"/>
      <c r="F526"/>
      <c r="G526"/>
      <c r="H526"/>
      <c r="I526"/>
      <c r="J526"/>
      <c r="K526" s="43"/>
      <c r="L526" s="43"/>
      <c r="M526" s="43"/>
      <c r="N526" s="43"/>
      <c r="O526" s="43"/>
      <c r="P526" s="43"/>
      <c r="Q526" s="43"/>
      <c r="R526" s="43"/>
      <c r="S526" s="43"/>
      <c r="T526" s="43"/>
      <c r="U526" s="43"/>
      <c r="V526" s="43"/>
      <c r="W526" s="43"/>
      <c r="X526" s="43"/>
      <c r="Y526" s="43"/>
      <c r="Z526" s="43"/>
      <c r="AA526" s="43"/>
      <c r="AB526" s="43"/>
      <c r="AC526" s="43"/>
      <c r="AD526" s="43"/>
      <c r="AE526" s="43"/>
      <c r="AF526" s="43"/>
      <c r="AG526" s="43"/>
      <c r="AH526" s="43"/>
      <c r="AI526" s="43"/>
      <c r="AJ526" s="43"/>
      <c r="AK526" s="43"/>
      <c r="AL526" s="43"/>
      <c r="AM526" s="43"/>
      <c r="AN526" s="43"/>
      <c r="AO526" s="43"/>
      <c r="AP526" s="43"/>
      <c r="AQ526" s="43"/>
      <c r="AR526" s="43"/>
      <c r="AS526" s="43"/>
      <c r="AT526" s="43"/>
      <c r="AU526" s="43"/>
      <c r="AV526" s="43"/>
      <c r="AW526" s="43"/>
      <c r="AX526" s="43"/>
      <c r="AY526" s="43"/>
      <c r="AZ526" s="43"/>
      <c r="BA526" s="43"/>
      <c r="BB526" s="43"/>
      <c r="BC526" s="43"/>
      <c r="BD526" s="43"/>
      <c r="BE526" s="43"/>
      <c r="BF526" s="43"/>
      <c r="BG526" s="43"/>
      <c r="BH526" s="43"/>
      <c r="BI526" s="43"/>
      <c r="BJ526" s="43"/>
      <c r="BK526" s="43"/>
      <c r="BL526" s="43"/>
      <c r="BM526" s="43"/>
      <c r="BN526" s="43"/>
      <c r="BO526" s="43"/>
      <c r="BP526" s="43"/>
      <c r="BQ526" s="43"/>
      <c r="BR526" s="43"/>
      <c r="BS526" s="43"/>
      <c r="BT526" s="43"/>
      <c r="BU526" s="43"/>
      <c r="BV526" s="43"/>
      <c r="BW526" s="43"/>
      <c r="BX526" s="43"/>
      <c r="BY526" s="43"/>
      <c r="BZ526" s="43"/>
      <c r="CA526" s="43"/>
      <c r="CB526" s="43"/>
      <c r="CC526" s="43"/>
      <c r="CD526" s="43"/>
      <c r="CE526" s="43"/>
      <c r="CF526" s="43"/>
      <c r="CG526" s="43"/>
      <c r="CH526" s="43"/>
      <c r="CI526" s="43"/>
      <c r="CJ526" s="43"/>
      <c r="CK526" s="43"/>
      <c r="CL526" s="43"/>
      <c r="CM526" s="43"/>
      <c r="CN526" s="43"/>
      <c r="CO526" s="43"/>
      <c r="CP526" s="43"/>
      <c r="CQ526" s="43"/>
      <c r="CR526" s="43"/>
      <c r="CS526" s="43"/>
      <c r="CT526" s="43"/>
      <c r="CU526" s="43"/>
      <c r="CV526" s="43"/>
      <c r="CW526" s="43"/>
      <c r="CX526" s="43"/>
      <c r="CY526" s="43"/>
      <c r="CZ526" s="43"/>
      <c r="DA526" s="43"/>
      <c r="DB526" s="43"/>
      <c r="DC526" s="43"/>
      <c r="DD526" s="43"/>
      <c r="DE526" s="43"/>
      <c r="DF526" s="43"/>
      <c r="DG526" s="43"/>
      <c r="DH526" s="43"/>
      <c r="DI526" s="43"/>
      <c r="DJ526" s="43"/>
      <c r="DK526" s="43"/>
      <c r="DL526" s="43"/>
      <c r="DM526" s="43"/>
      <c r="DN526" s="43"/>
      <c r="DO526" s="43"/>
      <c r="DP526" s="43"/>
      <c r="DQ526" s="43"/>
      <c r="DR526" s="43"/>
      <c r="DS526" s="43"/>
    </row>
    <row r="527" spans="1:123" ht="14.45">
      <c r="A527"/>
      <c r="B527"/>
      <c r="C527"/>
      <c r="D527"/>
      <c r="E527"/>
      <c r="F527"/>
      <c r="G527"/>
      <c r="H527"/>
      <c r="I527"/>
      <c r="J527"/>
      <c r="K527" s="43"/>
      <c r="L527" s="43"/>
      <c r="M527" s="43"/>
      <c r="N527" s="43"/>
      <c r="O527" s="43"/>
      <c r="P527" s="43"/>
      <c r="Q527" s="43"/>
      <c r="R527" s="43"/>
      <c r="S527" s="43"/>
      <c r="T527" s="43"/>
      <c r="U527" s="43"/>
      <c r="V527" s="43"/>
      <c r="W527" s="43"/>
      <c r="X527" s="43"/>
      <c r="Y527" s="43"/>
      <c r="Z527" s="43"/>
      <c r="AA527" s="43"/>
      <c r="AB527" s="43"/>
      <c r="AC527" s="43"/>
      <c r="AD527" s="43"/>
      <c r="AE527" s="43"/>
      <c r="AF527" s="43"/>
      <c r="AG527" s="43"/>
      <c r="AH527" s="43"/>
      <c r="AI527" s="43"/>
      <c r="AJ527" s="43"/>
      <c r="AK527" s="43"/>
      <c r="AL527" s="43"/>
      <c r="AM527" s="43"/>
      <c r="AN527" s="43"/>
      <c r="AO527" s="43"/>
      <c r="AP527" s="43"/>
      <c r="AQ527" s="43"/>
      <c r="AR527" s="43"/>
      <c r="AS527" s="43"/>
      <c r="AT527" s="43"/>
      <c r="AU527" s="43"/>
      <c r="AV527" s="43"/>
      <c r="AW527" s="43"/>
      <c r="AX527" s="43"/>
      <c r="AY527" s="43"/>
      <c r="AZ527" s="43"/>
      <c r="BA527" s="43"/>
      <c r="BB527" s="43"/>
      <c r="BC527" s="43"/>
      <c r="BD527" s="43"/>
      <c r="BE527" s="43"/>
      <c r="BF527" s="43"/>
      <c r="BG527" s="43"/>
      <c r="BH527" s="43"/>
      <c r="BI527" s="43"/>
      <c r="BJ527" s="43"/>
      <c r="BK527" s="43"/>
      <c r="BL527" s="43"/>
      <c r="BM527" s="43"/>
      <c r="BN527" s="43"/>
      <c r="BO527" s="43"/>
      <c r="BP527" s="43"/>
      <c r="BQ527" s="43"/>
      <c r="BR527" s="43"/>
      <c r="BS527" s="43"/>
      <c r="BT527" s="43"/>
      <c r="BU527" s="43"/>
      <c r="BV527" s="43"/>
      <c r="BW527" s="43"/>
      <c r="BX527" s="43"/>
      <c r="BY527" s="43"/>
      <c r="BZ527" s="43"/>
      <c r="CA527" s="43"/>
      <c r="CB527" s="43"/>
      <c r="CC527" s="43"/>
      <c r="CD527" s="43"/>
      <c r="CE527" s="43"/>
      <c r="CF527" s="43"/>
      <c r="CG527" s="43"/>
      <c r="CH527" s="43"/>
      <c r="CI527" s="43"/>
      <c r="CJ527" s="43"/>
      <c r="CK527" s="43"/>
      <c r="CL527" s="43"/>
      <c r="CM527" s="43"/>
      <c r="CN527" s="43"/>
      <c r="CO527" s="43"/>
      <c r="CP527" s="43"/>
      <c r="CQ527" s="43"/>
      <c r="CR527" s="43"/>
      <c r="CS527" s="43"/>
      <c r="CT527" s="43"/>
      <c r="CU527" s="43"/>
      <c r="CV527" s="43"/>
      <c r="CW527" s="43"/>
      <c r="CX527" s="43"/>
      <c r="CY527" s="43"/>
      <c r="CZ527" s="43"/>
      <c r="DA527" s="43"/>
      <c r="DB527" s="43"/>
      <c r="DC527" s="43"/>
      <c r="DD527" s="43"/>
      <c r="DE527" s="43"/>
      <c r="DF527" s="43"/>
      <c r="DG527" s="43"/>
      <c r="DH527" s="43"/>
      <c r="DI527" s="43"/>
      <c r="DJ527" s="43"/>
      <c r="DK527" s="43"/>
      <c r="DL527" s="43"/>
      <c r="DM527" s="43"/>
      <c r="DN527" s="43"/>
      <c r="DO527" s="43"/>
      <c r="DP527" s="43"/>
      <c r="DQ527" s="43"/>
      <c r="DR527" s="43"/>
      <c r="DS527" s="43"/>
    </row>
    <row r="528" spans="1:123" ht="14.45">
      <c r="A528"/>
      <c r="B528"/>
      <c r="C528"/>
      <c r="D528"/>
      <c r="E528"/>
      <c r="F528"/>
      <c r="G528"/>
      <c r="H528"/>
      <c r="I528"/>
      <c r="J528"/>
      <c r="K528" s="43"/>
      <c r="L528" s="43"/>
      <c r="M528" s="43"/>
      <c r="N528" s="43"/>
      <c r="O528" s="43"/>
      <c r="P528" s="43"/>
      <c r="Q528" s="43"/>
      <c r="R528" s="43"/>
      <c r="S528" s="43"/>
      <c r="T528" s="43"/>
      <c r="U528" s="43"/>
      <c r="V528" s="43"/>
      <c r="W528" s="43"/>
      <c r="X528" s="43"/>
      <c r="Y528" s="43"/>
      <c r="Z528" s="43"/>
      <c r="AA528" s="43"/>
      <c r="AB528" s="43"/>
      <c r="AC528" s="43"/>
      <c r="AD528" s="43"/>
      <c r="AE528" s="43"/>
      <c r="AF528" s="43"/>
      <c r="AG528" s="43"/>
      <c r="AH528" s="43"/>
      <c r="AI528" s="43"/>
      <c r="AJ528" s="43"/>
      <c r="AK528" s="43"/>
      <c r="AL528" s="43"/>
      <c r="AM528" s="43"/>
      <c r="AN528" s="43"/>
      <c r="AO528" s="43"/>
      <c r="AP528" s="43"/>
      <c r="AQ528" s="43"/>
      <c r="AR528" s="43"/>
      <c r="AS528" s="43"/>
      <c r="AT528" s="43"/>
      <c r="AU528" s="43"/>
      <c r="AV528" s="43"/>
      <c r="AW528" s="43"/>
      <c r="AX528" s="43"/>
      <c r="AY528" s="43"/>
      <c r="AZ528" s="43"/>
      <c r="BA528" s="43"/>
      <c r="BB528" s="43"/>
      <c r="BC528" s="43"/>
      <c r="BD528" s="43"/>
      <c r="BE528" s="43"/>
      <c r="BF528" s="43"/>
      <c r="BG528" s="43"/>
      <c r="BH528" s="43"/>
      <c r="BI528" s="43"/>
      <c r="BJ528" s="43"/>
      <c r="BK528" s="43"/>
      <c r="BL528" s="43"/>
      <c r="BM528" s="43"/>
      <c r="BN528" s="43"/>
      <c r="BO528" s="43"/>
      <c r="BP528" s="43"/>
      <c r="BQ528" s="43"/>
      <c r="BR528" s="43"/>
      <c r="BS528" s="43"/>
      <c r="BT528" s="43"/>
      <c r="BU528" s="43"/>
      <c r="BV528" s="43"/>
      <c r="BW528" s="43"/>
      <c r="BX528" s="43"/>
      <c r="BY528" s="43"/>
      <c r="BZ528" s="43"/>
      <c r="CA528" s="43"/>
      <c r="CB528" s="43"/>
      <c r="CC528" s="43"/>
      <c r="CD528" s="43"/>
      <c r="CE528" s="43"/>
      <c r="CF528" s="43"/>
      <c r="CG528" s="43"/>
      <c r="CH528" s="43"/>
      <c r="CI528" s="43"/>
      <c r="CJ528" s="43"/>
      <c r="CK528" s="43"/>
      <c r="CL528" s="43"/>
      <c r="CM528" s="43"/>
      <c r="CN528" s="43"/>
      <c r="CO528" s="43"/>
      <c r="CP528" s="43"/>
      <c r="CQ528" s="43"/>
      <c r="CR528" s="43"/>
      <c r="CS528" s="43"/>
      <c r="CT528" s="43"/>
      <c r="CU528" s="43"/>
      <c r="CV528" s="43"/>
      <c r="CW528" s="43"/>
      <c r="CX528" s="43"/>
      <c r="CY528" s="43"/>
      <c r="CZ528" s="43"/>
      <c r="DA528" s="43"/>
      <c r="DB528" s="43"/>
      <c r="DC528" s="43"/>
      <c r="DD528" s="43"/>
      <c r="DE528" s="43"/>
      <c r="DF528" s="43"/>
      <c r="DG528" s="43"/>
      <c r="DH528" s="43"/>
      <c r="DI528" s="43"/>
      <c r="DJ528" s="43"/>
      <c r="DK528" s="43"/>
      <c r="DL528" s="43"/>
      <c r="DM528" s="43"/>
      <c r="DN528" s="43"/>
      <c r="DO528" s="43"/>
      <c r="DP528" s="43"/>
      <c r="DQ528" s="43"/>
      <c r="DR528" s="43"/>
      <c r="DS528" s="43"/>
    </row>
    <row r="529" spans="1:123" ht="14.45">
      <c r="A529"/>
      <c r="B529"/>
      <c r="C529"/>
      <c r="D529"/>
      <c r="E529"/>
      <c r="F529"/>
      <c r="G529"/>
      <c r="H529"/>
      <c r="I529"/>
      <c r="J529"/>
      <c r="K529" s="43"/>
      <c r="L529" s="43"/>
      <c r="M529" s="43"/>
      <c r="N529" s="43"/>
      <c r="O529" s="43"/>
      <c r="P529" s="43"/>
      <c r="Q529" s="43"/>
      <c r="R529" s="43"/>
      <c r="S529" s="43"/>
      <c r="T529" s="43"/>
      <c r="U529" s="43"/>
      <c r="V529" s="43"/>
      <c r="W529" s="43"/>
      <c r="X529" s="43"/>
      <c r="Y529" s="43"/>
      <c r="Z529" s="43"/>
      <c r="AA529" s="43"/>
      <c r="AB529" s="43"/>
      <c r="AC529" s="43"/>
      <c r="AD529" s="43"/>
      <c r="AE529" s="43"/>
      <c r="AF529" s="43"/>
      <c r="AG529" s="43"/>
      <c r="AH529" s="43"/>
      <c r="AI529" s="43"/>
      <c r="AJ529" s="43"/>
      <c r="AK529" s="43"/>
      <c r="AL529" s="43"/>
      <c r="AM529" s="43"/>
      <c r="AN529" s="43"/>
      <c r="AO529" s="43"/>
      <c r="AP529" s="43"/>
      <c r="AQ529" s="43"/>
      <c r="AR529" s="43"/>
      <c r="AS529" s="43"/>
      <c r="AT529" s="43"/>
      <c r="AU529" s="43"/>
      <c r="AV529" s="43"/>
      <c r="AW529" s="43"/>
      <c r="AX529" s="43"/>
      <c r="AY529" s="43"/>
      <c r="AZ529" s="43"/>
      <c r="BA529" s="43"/>
      <c r="BB529" s="43"/>
      <c r="BC529" s="43"/>
      <c r="BD529" s="43"/>
      <c r="BE529" s="43"/>
      <c r="BF529" s="43"/>
      <c r="BG529" s="43"/>
      <c r="BH529" s="43"/>
      <c r="BI529" s="43"/>
      <c r="BJ529" s="43"/>
      <c r="BK529" s="43"/>
      <c r="BL529" s="43"/>
      <c r="BM529" s="43"/>
      <c r="BN529" s="43"/>
      <c r="BO529" s="43"/>
      <c r="BP529" s="43"/>
      <c r="BQ529" s="43"/>
      <c r="BR529" s="43"/>
      <c r="BS529" s="43"/>
      <c r="BT529" s="43"/>
      <c r="BU529" s="43"/>
      <c r="BV529" s="43"/>
      <c r="BW529" s="43"/>
      <c r="BX529" s="43"/>
      <c r="BY529" s="43"/>
      <c r="BZ529" s="43"/>
      <c r="CA529" s="43"/>
      <c r="CB529" s="43"/>
      <c r="CC529" s="43"/>
      <c r="CD529" s="43"/>
      <c r="CE529" s="43"/>
      <c r="CF529" s="43"/>
      <c r="CG529" s="43"/>
      <c r="CH529" s="43"/>
      <c r="CI529" s="43"/>
      <c r="CJ529" s="43"/>
      <c r="CK529" s="43"/>
      <c r="CL529" s="43"/>
      <c r="CM529" s="43"/>
      <c r="CN529" s="43"/>
      <c r="CO529" s="43"/>
      <c r="CP529" s="43"/>
      <c r="CQ529" s="43"/>
      <c r="CR529" s="43"/>
      <c r="CS529" s="43"/>
      <c r="CT529" s="43"/>
      <c r="CU529" s="43"/>
      <c r="CV529" s="43"/>
      <c r="CW529" s="43"/>
      <c r="CX529" s="43"/>
      <c r="CY529" s="43"/>
      <c r="CZ529" s="43"/>
      <c r="DA529" s="43"/>
      <c r="DB529" s="43"/>
      <c r="DC529" s="43"/>
      <c r="DD529" s="43"/>
      <c r="DE529" s="43"/>
      <c r="DF529" s="43"/>
      <c r="DG529" s="43"/>
      <c r="DH529" s="43"/>
      <c r="DI529" s="43"/>
      <c r="DJ529" s="43"/>
      <c r="DK529" s="43"/>
      <c r="DL529" s="43"/>
      <c r="DM529" s="43"/>
      <c r="DN529" s="43"/>
      <c r="DO529" s="43"/>
      <c r="DP529" s="43"/>
      <c r="DQ529" s="43"/>
      <c r="DR529" s="43"/>
      <c r="DS529" s="43"/>
    </row>
    <row r="530" spans="1:123" ht="14.45">
      <c r="A530"/>
      <c r="B530"/>
      <c r="C530"/>
      <c r="D530"/>
      <c r="E530"/>
      <c r="F530"/>
      <c r="G530"/>
      <c r="H530"/>
      <c r="I530"/>
      <c r="J530"/>
      <c r="K530" s="43"/>
      <c r="L530" s="43"/>
      <c r="M530" s="43"/>
      <c r="N530" s="43"/>
      <c r="O530" s="43"/>
      <c r="P530" s="43"/>
      <c r="Q530" s="43"/>
      <c r="R530" s="43"/>
      <c r="S530" s="43"/>
      <c r="T530" s="43"/>
      <c r="U530" s="43"/>
      <c r="V530" s="43"/>
      <c r="W530" s="43"/>
      <c r="X530" s="43"/>
      <c r="Y530" s="43"/>
      <c r="Z530" s="43"/>
      <c r="AA530" s="43"/>
      <c r="AB530" s="43"/>
      <c r="AC530" s="43"/>
      <c r="AD530" s="43"/>
      <c r="AE530" s="43"/>
      <c r="AF530" s="43"/>
      <c r="AG530" s="43"/>
      <c r="AH530" s="43"/>
      <c r="AI530" s="43"/>
      <c r="AJ530" s="43"/>
      <c r="AK530" s="43"/>
      <c r="AL530" s="43"/>
      <c r="AM530" s="43"/>
      <c r="AN530" s="43"/>
      <c r="AO530" s="43"/>
      <c r="AP530" s="43"/>
      <c r="AQ530" s="43"/>
      <c r="AR530" s="43"/>
      <c r="AS530" s="43"/>
      <c r="AT530" s="43"/>
      <c r="AU530" s="43"/>
      <c r="AV530" s="43"/>
      <c r="AW530" s="43"/>
      <c r="AX530" s="43"/>
      <c r="AY530" s="43"/>
      <c r="AZ530" s="43"/>
      <c r="BA530" s="43"/>
      <c r="BB530" s="43"/>
      <c r="BC530" s="43"/>
      <c r="BD530" s="43"/>
      <c r="BE530" s="43"/>
      <c r="BF530" s="43"/>
      <c r="BG530" s="43"/>
      <c r="BH530" s="43"/>
      <c r="BI530" s="43"/>
      <c r="BJ530" s="43"/>
      <c r="BK530" s="43"/>
      <c r="BL530" s="43"/>
      <c r="BM530" s="43"/>
      <c r="BN530" s="43"/>
      <c r="BO530" s="43"/>
      <c r="BP530" s="43"/>
      <c r="BQ530" s="43"/>
      <c r="BR530" s="43"/>
      <c r="BS530" s="43"/>
      <c r="BT530" s="43"/>
      <c r="BU530" s="43"/>
      <c r="BV530" s="43"/>
      <c r="BW530" s="43"/>
      <c r="BX530" s="43"/>
      <c r="BY530" s="43"/>
      <c r="BZ530" s="43"/>
      <c r="CA530" s="43"/>
      <c r="CB530" s="43"/>
      <c r="CC530" s="43"/>
      <c r="CD530" s="43"/>
      <c r="CE530" s="43"/>
      <c r="CF530" s="43"/>
      <c r="CG530" s="43"/>
      <c r="CH530" s="43"/>
      <c r="CI530" s="43"/>
      <c r="CJ530" s="43"/>
      <c r="CK530" s="43"/>
      <c r="CL530" s="43"/>
      <c r="CM530" s="43"/>
      <c r="CN530" s="43"/>
      <c r="CO530" s="43"/>
      <c r="CP530" s="43"/>
      <c r="CQ530" s="43"/>
      <c r="CR530" s="43"/>
      <c r="CS530" s="43"/>
      <c r="CT530" s="43"/>
      <c r="CU530" s="43"/>
      <c r="CV530" s="43"/>
      <c r="CW530" s="43"/>
      <c r="CX530" s="43"/>
      <c r="CY530" s="43"/>
      <c r="CZ530" s="43"/>
      <c r="DA530" s="43"/>
      <c r="DB530" s="43"/>
      <c r="DC530" s="43"/>
      <c r="DD530" s="43"/>
      <c r="DE530" s="43"/>
      <c r="DF530" s="43"/>
      <c r="DG530" s="43"/>
      <c r="DH530" s="43"/>
      <c r="DI530" s="43"/>
      <c r="DJ530" s="43"/>
      <c r="DK530" s="43"/>
      <c r="DL530" s="43"/>
      <c r="DM530" s="43"/>
      <c r="DN530" s="43"/>
      <c r="DO530" s="43"/>
      <c r="DP530" s="43"/>
      <c r="DQ530" s="43"/>
      <c r="DR530" s="43"/>
      <c r="DS530" s="43"/>
    </row>
    <row r="531" spans="1:123" ht="14.45">
      <c r="A531"/>
      <c r="B531"/>
      <c r="C531"/>
      <c r="D531"/>
      <c r="E531"/>
      <c r="F531"/>
      <c r="G531"/>
      <c r="H531"/>
      <c r="I531"/>
      <c r="J531"/>
      <c r="K531" s="43"/>
      <c r="L531" s="43"/>
      <c r="M531" s="43"/>
      <c r="N531" s="43"/>
      <c r="O531" s="43"/>
      <c r="P531" s="43"/>
      <c r="Q531" s="43"/>
      <c r="R531" s="43"/>
      <c r="S531" s="43"/>
      <c r="T531" s="43"/>
      <c r="U531" s="43"/>
      <c r="V531" s="43"/>
      <c r="W531" s="43"/>
      <c r="X531" s="43"/>
      <c r="Y531" s="43"/>
      <c r="Z531" s="43"/>
      <c r="AA531" s="43"/>
      <c r="AB531" s="43"/>
      <c r="AC531" s="43"/>
      <c r="AD531" s="43"/>
      <c r="AE531" s="43"/>
      <c r="AF531" s="43"/>
      <c r="AG531" s="43"/>
      <c r="AH531" s="43"/>
      <c r="AI531" s="43"/>
      <c r="AJ531" s="43"/>
      <c r="AK531" s="43"/>
      <c r="AL531" s="43"/>
      <c r="AM531" s="43"/>
      <c r="AN531" s="43"/>
      <c r="AO531" s="43"/>
      <c r="AP531" s="43"/>
      <c r="AQ531" s="43"/>
      <c r="AR531" s="43"/>
      <c r="AS531" s="43"/>
      <c r="AT531" s="43"/>
      <c r="AU531" s="43"/>
      <c r="AV531" s="43"/>
      <c r="AW531" s="43"/>
      <c r="AX531" s="43"/>
      <c r="AY531" s="43"/>
      <c r="AZ531" s="43"/>
      <c r="BA531" s="43"/>
      <c r="BB531" s="43"/>
      <c r="BC531" s="43"/>
      <c r="BD531" s="43"/>
      <c r="BE531" s="43"/>
      <c r="BF531" s="43"/>
      <c r="BG531" s="43"/>
      <c r="BH531" s="43"/>
      <c r="BI531" s="43"/>
      <c r="BJ531" s="43"/>
      <c r="BK531" s="43"/>
      <c r="BL531" s="43"/>
      <c r="BM531" s="43"/>
      <c r="BN531" s="43"/>
      <c r="BO531" s="43"/>
      <c r="BP531" s="43"/>
      <c r="BQ531" s="43"/>
      <c r="BR531" s="43"/>
      <c r="BS531" s="43"/>
      <c r="BT531" s="43"/>
      <c r="BU531" s="43"/>
      <c r="BV531" s="43"/>
      <c r="BW531" s="43"/>
      <c r="BX531" s="43"/>
      <c r="BY531" s="43"/>
      <c r="BZ531" s="43"/>
      <c r="CA531" s="43"/>
      <c r="CB531" s="43"/>
      <c r="CC531" s="43"/>
      <c r="CD531" s="43"/>
      <c r="CE531" s="43"/>
      <c r="CF531" s="43"/>
      <c r="CG531" s="43"/>
      <c r="CH531" s="43"/>
      <c r="CI531" s="43"/>
      <c r="CJ531" s="43"/>
      <c r="CK531" s="43"/>
      <c r="CL531" s="43"/>
      <c r="CM531" s="43"/>
      <c r="CN531" s="43"/>
      <c r="CO531" s="43"/>
      <c r="CP531" s="43"/>
      <c r="CQ531" s="43"/>
      <c r="CR531" s="43"/>
      <c r="CS531" s="43"/>
      <c r="CT531" s="43"/>
      <c r="CU531" s="43"/>
      <c r="CV531" s="43"/>
      <c r="CW531" s="43"/>
      <c r="CX531" s="43"/>
      <c r="CY531" s="43"/>
      <c r="CZ531" s="43"/>
      <c r="DA531" s="43"/>
      <c r="DB531" s="43"/>
      <c r="DC531" s="43"/>
      <c r="DD531" s="43"/>
      <c r="DE531" s="43"/>
      <c r="DF531" s="43"/>
      <c r="DG531" s="43"/>
      <c r="DH531" s="43"/>
      <c r="DI531" s="43"/>
      <c r="DJ531" s="43"/>
      <c r="DK531" s="43"/>
      <c r="DL531" s="43"/>
      <c r="DM531" s="43"/>
      <c r="DN531" s="43"/>
      <c r="DO531" s="43"/>
      <c r="DP531" s="43"/>
      <c r="DQ531" s="43"/>
      <c r="DR531" s="43"/>
      <c r="DS531" s="43"/>
    </row>
    <row r="532" spans="1:123" ht="14.45">
      <c r="A532"/>
      <c r="B532"/>
      <c r="C532"/>
      <c r="D532"/>
      <c r="E532"/>
      <c r="F532"/>
      <c r="G532"/>
      <c r="H532"/>
      <c r="I532"/>
      <c r="J532"/>
      <c r="K532" s="43"/>
      <c r="L532" s="43"/>
      <c r="M532" s="43"/>
      <c r="N532" s="43"/>
      <c r="O532" s="43"/>
      <c r="P532" s="43"/>
      <c r="Q532" s="43"/>
      <c r="R532" s="43"/>
      <c r="S532" s="43"/>
      <c r="T532" s="43"/>
      <c r="U532" s="43"/>
      <c r="V532" s="43"/>
      <c r="W532" s="43"/>
      <c r="X532" s="43"/>
      <c r="Y532" s="43"/>
      <c r="Z532" s="43"/>
      <c r="AA532" s="43"/>
      <c r="AB532" s="43"/>
      <c r="AC532" s="43"/>
      <c r="AD532" s="43"/>
      <c r="AE532" s="43"/>
      <c r="AF532" s="43"/>
      <c r="AG532" s="43"/>
      <c r="AH532" s="43"/>
      <c r="AI532" s="43"/>
      <c r="AJ532" s="43"/>
      <c r="AK532" s="43"/>
      <c r="AL532" s="43"/>
      <c r="AM532" s="43"/>
      <c r="AN532" s="43"/>
      <c r="AO532" s="43"/>
      <c r="AP532" s="43"/>
      <c r="AQ532" s="43"/>
      <c r="AR532" s="43"/>
      <c r="AS532" s="43"/>
      <c r="AT532" s="43"/>
      <c r="AU532" s="43"/>
      <c r="AV532" s="43"/>
      <c r="AW532" s="43"/>
      <c r="AX532" s="43"/>
      <c r="AY532" s="43"/>
      <c r="AZ532" s="43"/>
      <c r="BA532" s="43"/>
      <c r="BB532" s="43"/>
      <c r="BC532" s="43"/>
      <c r="BD532" s="43"/>
      <c r="BE532" s="43"/>
      <c r="BF532" s="43"/>
      <c r="BG532" s="43"/>
      <c r="BH532" s="43"/>
      <c r="BI532" s="43"/>
      <c r="BJ532" s="43"/>
      <c r="BK532" s="43"/>
      <c r="BL532" s="43"/>
      <c r="BM532" s="43"/>
      <c r="BN532" s="43"/>
      <c r="BO532" s="43"/>
      <c r="BP532" s="43"/>
      <c r="BQ532" s="43"/>
      <c r="BR532" s="43"/>
      <c r="BS532" s="43"/>
      <c r="BT532" s="43"/>
      <c r="BU532" s="43"/>
      <c r="BV532" s="43"/>
      <c r="BW532" s="43"/>
      <c r="BX532" s="43"/>
      <c r="BY532" s="43"/>
      <c r="BZ532" s="43"/>
      <c r="CA532" s="43"/>
      <c r="CB532" s="43"/>
      <c r="CC532" s="43"/>
      <c r="CD532" s="43"/>
      <c r="CE532" s="43"/>
      <c r="CF532" s="43"/>
      <c r="CG532" s="43"/>
      <c r="CH532" s="43"/>
      <c r="CI532" s="43"/>
      <c r="CJ532" s="43"/>
      <c r="CK532" s="43"/>
      <c r="CL532" s="43"/>
      <c r="CM532" s="43"/>
      <c r="CN532" s="43"/>
      <c r="CO532" s="43"/>
      <c r="CP532" s="43"/>
      <c r="CQ532" s="43"/>
      <c r="CR532" s="43"/>
      <c r="CS532" s="43"/>
      <c r="CT532" s="43"/>
      <c r="CU532" s="43"/>
      <c r="CV532" s="43"/>
      <c r="CW532" s="43"/>
      <c r="CX532" s="43"/>
      <c r="CY532" s="43"/>
      <c r="CZ532" s="43"/>
      <c r="DA532" s="43"/>
      <c r="DB532" s="43"/>
      <c r="DC532" s="43"/>
      <c r="DD532" s="43"/>
      <c r="DE532" s="43"/>
      <c r="DF532" s="43"/>
      <c r="DG532" s="43"/>
      <c r="DH532" s="43"/>
      <c r="DI532" s="43"/>
      <c r="DJ532" s="43"/>
      <c r="DK532" s="43"/>
      <c r="DL532" s="43"/>
      <c r="DM532" s="43"/>
      <c r="DN532" s="43"/>
      <c r="DO532" s="43"/>
      <c r="DP532" s="43"/>
      <c r="DQ532" s="43"/>
      <c r="DR532" s="43"/>
      <c r="DS532" s="43"/>
    </row>
    <row r="533" spans="1:123" ht="14.45">
      <c r="A533"/>
      <c r="B533"/>
      <c r="C533"/>
      <c r="D533"/>
      <c r="E533"/>
      <c r="F533"/>
      <c r="G533"/>
      <c r="H533"/>
      <c r="I533"/>
      <c r="J533"/>
      <c r="K533" s="43"/>
      <c r="L533" s="43"/>
      <c r="M533" s="43"/>
      <c r="N533" s="43"/>
      <c r="O533" s="43"/>
      <c r="P533" s="43"/>
      <c r="Q533" s="43"/>
      <c r="R533" s="43"/>
      <c r="S533" s="43"/>
      <c r="T533" s="43"/>
      <c r="U533" s="43"/>
      <c r="V533" s="43"/>
      <c r="W533" s="43"/>
      <c r="X533" s="43"/>
      <c r="Y533" s="43"/>
      <c r="Z533" s="43"/>
      <c r="AA533" s="43"/>
      <c r="AB533" s="43"/>
      <c r="AC533" s="43"/>
      <c r="AD533" s="43"/>
      <c r="AE533" s="43"/>
      <c r="AF533" s="43"/>
      <c r="AG533" s="43"/>
      <c r="AH533" s="43"/>
      <c r="AI533" s="43"/>
      <c r="AJ533" s="43"/>
      <c r="AK533" s="43"/>
      <c r="AL533" s="43"/>
      <c r="AM533" s="43"/>
      <c r="AN533" s="43"/>
      <c r="AO533" s="43"/>
      <c r="AP533" s="43"/>
      <c r="AQ533" s="43"/>
      <c r="AR533" s="43"/>
      <c r="AS533" s="43"/>
      <c r="AT533" s="43"/>
      <c r="AU533" s="43"/>
      <c r="AV533" s="43"/>
      <c r="AW533" s="43"/>
      <c r="AX533" s="43"/>
      <c r="AY533" s="43"/>
      <c r="AZ533" s="43"/>
      <c r="BA533" s="43"/>
      <c r="BB533" s="43"/>
      <c r="BC533" s="43"/>
      <c r="BD533" s="43"/>
      <c r="BE533" s="43"/>
      <c r="BF533" s="43"/>
      <c r="BG533" s="43"/>
      <c r="BH533" s="43"/>
      <c r="BI533" s="43"/>
      <c r="BJ533" s="43"/>
      <c r="BK533" s="43"/>
      <c r="BL533" s="43"/>
      <c r="BM533" s="43"/>
      <c r="BN533" s="43"/>
      <c r="BO533" s="43"/>
      <c r="BP533" s="43"/>
      <c r="BQ533" s="43"/>
      <c r="BR533" s="43"/>
      <c r="BS533" s="43"/>
      <c r="BT533" s="43"/>
      <c r="BU533" s="43"/>
      <c r="BV533" s="43"/>
      <c r="BW533" s="43"/>
      <c r="BX533" s="43"/>
      <c r="BY533" s="43"/>
      <c r="BZ533" s="43"/>
      <c r="CA533" s="43"/>
      <c r="CB533" s="43"/>
      <c r="CC533" s="43"/>
      <c r="CD533" s="43"/>
      <c r="CE533" s="43"/>
      <c r="CF533" s="43"/>
      <c r="CG533" s="43"/>
      <c r="CH533" s="43"/>
      <c r="CI533" s="43"/>
      <c r="CJ533" s="43"/>
      <c r="CK533" s="43"/>
      <c r="CL533" s="43"/>
      <c r="CM533" s="43"/>
      <c r="CN533" s="43"/>
      <c r="CO533" s="43"/>
      <c r="CP533" s="43"/>
      <c r="CQ533" s="43"/>
      <c r="CR533" s="43"/>
      <c r="CS533" s="43"/>
      <c r="CT533" s="43"/>
      <c r="CU533" s="43"/>
      <c r="CV533" s="43"/>
      <c r="CW533" s="43"/>
      <c r="CX533" s="43"/>
      <c r="CY533" s="43"/>
      <c r="CZ533" s="43"/>
      <c r="DA533" s="43"/>
      <c r="DB533" s="43"/>
      <c r="DC533" s="43"/>
      <c r="DD533" s="43"/>
      <c r="DE533" s="43"/>
      <c r="DF533" s="43"/>
      <c r="DG533" s="43"/>
      <c r="DH533" s="43"/>
      <c r="DI533" s="43"/>
      <c r="DJ533" s="43"/>
      <c r="DK533" s="43"/>
      <c r="DL533" s="43"/>
      <c r="DM533" s="43"/>
      <c r="DN533" s="43"/>
      <c r="DO533" s="43"/>
      <c r="DP533" s="43"/>
      <c r="DQ533" s="43"/>
      <c r="DR533" s="43"/>
      <c r="DS533" s="43"/>
    </row>
    <row r="534" spans="1:123" ht="14.45">
      <c r="A534"/>
      <c r="B534"/>
      <c r="C534"/>
      <c r="D534"/>
      <c r="E534"/>
      <c r="F534"/>
      <c r="G534"/>
      <c r="H534"/>
      <c r="I534"/>
      <c r="J534"/>
      <c r="K534" s="43"/>
      <c r="L534" s="43"/>
      <c r="M534" s="43"/>
      <c r="N534" s="43"/>
      <c r="O534" s="43"/>
      <c r="P534" s="43"/>
      <c r="Q534" s="43"/>
      <c r="R534" s="43"/>
      <c r="S534" s="43"/>
      <c r="T534" s="43"/>
      <c r="U534" s="43"/>
      <c r="V534" s="43"/>
      <c r="W534" s="43"/>
      <c r="X534" s="43"/>
      <c r="Y534" s="43"/>
      <c r="Z534" s="43"/>
      <c r="AA534" s="43"/>
      <c r="AB534" s="43"/>
      <c r="AC534" s="43"/>
      <c r="AD534" s="43"/>
      <c r="AE534" s="43"/>
      <c r="AF534" s="43"/>
      <c r="AG534" s="43"/>
      <c r="AH534" s="43"/>
      <c r="AI534" s="43"/>
      <c r="AJ534" s="43"/>
      <c r="AK534" s="43"/>
      <c r="AL534" s="43"/>
      <c r="AM534" s="43"/>
      <c r="AN534" s="43"/>
      <c r="AO534" s="43"/>
      <c r="AP534" s="43"/>
      <c r="AQ534" s="43"/>
      <c r="AR534" s="43"/>
      <c r="AS534" s="43"/>
      <c r="AT534" s="43"/>
      <c r="AU534" s="43"/>
      <c r="AV534" s="43"/>
      <c r="AW534" s="43"/>
      <c r="AX534" s="43"/>
      <c r="AY534" s="43"/>
      <c r="AZ534" s="43"/>
      <c r="BA534" s="43"/>
      <c r="BB534" s="43"/>
      <c r="BC534" s="43"/>
      <c r="BD534" s="43"/>
      <c r="BE534" s="43"/>
      <c r="BF534" s="43"/>
      <c r="BG534" s="43"/>
      <c r="BH534" s="43"/>
      <c r="BI534" s="43"/>
      <c r="BJ534" s="43"/>
      <c r="BK534" s="43"/>
      <c r="BL534" s="43"/>
      <c r="BM534" s="43"/>
      <c r="BN534" s="43"/>
      <c r="BO534" s="43"/>
      <c r="BP534" s="43"/>
      <c r="BQ534" s="43"/>
      <c r="BR534" s="43"/>
      <c r="BS534" s="43"/>
      <c r="BT534" s="43"/>
      <c r="BU534" s="43"/>
      <c r="BV534" s="43"/>
      <c r="BW534" s="43"/>
      <c r="BX534" s="43"/>
      <c r="BY534" s="43"/>
      <c r="BZ534" s="43"/>
      <c r="CA534" s="43"/>
      <c r="CB534" s="43"/>
      <c r="CC534" s="43"/>
      <c r="CD534" s="43"/>
      <c r="CE534" s="43"/>
      <c r="CF534" s="43"/>
      <c r="CG534" s="43"/>
      <c r="CH534" s="43"/>
      <c r="CI534" s="43"/>
      <c r="CJ534" s="43"/>
      <c r="CK534" s="43"/>
      <c r="CL534" s="43"/>
      <c r="CM534" s="43"/>
      <c r="CN534" s="43"/>
      <c r="CO534" s="43"/>
      <c r="CP534" s="43"/>
      <c r="CQ534" s="43"/>
      <c r="CR534" s="43"/>
      <c r="CS534" s="43"/>
      <c r="CT534" s="43"/>
      <c r="CU534" s="43"/>
      <c r="CV534" s="43"/>
      <c r="CW534" s="43"/>
      <c r="CX534" s="43"/>
      <c r="CY534" s="43"/>
      <c r="CZ534" s="43"/>
      <c r="DA534" s="43"/>
      <c r="DB534" s="43"/>
      <c r="DC534" s="43"/>
      <c r="DD534" s="43"/>
      <c r="DE534" s="43"/>
      <c r="DF534" s="43"/>
      <c r="DG534" s="43"/>
      <c r="DH534" s="43"/>
      <c r="DI534" s="43"/>
      <c r="DJ534" s="43"/>
      <c r="DK534" s="43"/>
      <c r="DL534" s="43"/>
      <c r="DM534" s="43"/>
      <c r="DN534" s="43"/>
      <c r="DO534" s="43"/>
      <c r="DP534" s="43"/>
      <c r="DQ534" s="43"/>
      <c r="DR534" s="43"/>
      <c r="DS534" s="43"/>
    </row>
    <row r="535" spans="1:123" ht="14.45">
      <c r="A535"/>
      <c r="B535"/>
      <c r="C535"/>
      <c r="D535"/>
      <c r="E535"/>
      <c r="F535"/>
      <c r="G535"/>
      <c r="H535"/>
      <c r="I535"/>
      <c r="J535"/>
      <c r="K535" s="43"/>
      <c r="L535" s="43"/>
      <c r="M535" s="43"/>
      <c r="N535" s="43"/>
      <c r="O535" s="43"/>
      <c r="P535" s="43"/>
      <c r="Q535" s="43"/>
      <c r="R535" s="43"/>
      <c r="S535" s="43"/>
      <c r="T535" s="43"/>
      <c r="U535" s="43"/>
      <c r="V535" s="43"/>
      <c r="W535" s="43"/>
      <c r="X535" s="43"/>
      <c r="Y535" s="43"/>
      <c r="Z535" s="43"/>
      <c r="AA535" s="43"/>
      <c r="AB535" s="43"/>
      <c r="AC535" s="43"/>
      <c r="AD535" s="43"/>
      <c r="AE535" s="43"/>
      <c r="AF535" s="43"/>
      <c r="AG535" s="43"/>
      <c r="AH535" s="43"/>
      <c r="AI535" s="43"/>
      <c r="AJ535" s="43"/>
      <c r="AK535" s="43"/>
      <c r="AL535" s="43"/>
      <c r="AM535" s="43"/>
      <c r="AN535" s="43"/>
      <c r="AO535" s="43"/>
      <c r="AP535" s="43"/>
      <c r="AQ535" s="43"/>
      <c r="AR535" s="43"/>
      <c r="AS535" s="43"/>
      <c r="AT535" s="43"/>
      <c r="AU535" s="43"/>
      <c r="AV535" s="43"/>
      <c r="AW535" s="43"/>
      <c r="AX535" s="43"/>
      <c r="AY535" s="43"/>
      <c r="AZ535" s="43"/>
      <c r="BA535" s="43"/>
      <c r="BB535" s="43"/>
      <c r="BC535" s="43"/>
      <c r="BD535" s="43"/>
      <c r="BE535" s="43"/>
      <c r="BF535" s="43"/>
      <c r="BG535" s="43"/>
      <c r="BH535" s="43"/>
      <c r="BI535" s="43"/>
      <c r="BJ535" s="43"/>
      <c r="BK535" s="43"/>
      <c r="BL535" s="43"/>
      <c r="BM535" s="43"/>
      <c r="BN535" s="43"/>
      <c r="BO535" s="43"/>
      <c r="BP535" s="43"/>
      <c r="BQ535" s="43"/>
      <c r="BR535" s="43"/>
      <c r="BS535" s="43"/>
      <c r="BT535" s="43"/>
      <c r="BU535" s="43"/>
      <c r="BV535" s="43"/>
      <c r="BW535" s="43"/>
      <c r="BX535" s="43"/>
      <c r="BY535" s="43"/>
      <c r="BZ535" s="43"/>
      <c r="CA535" s="43"/>
      <c r="CB535" s="43"/>
      <c r="CC535" s="43"/>
      <c r="CD535" s="43"/>
      <c r="CE535" s="43"/>
      <c r="CF535" s="43"/>
      <c r="CG535" s="43"/>
      <c r="CH535" s="43"/>
      <c r="CI535" s="43"/>
      <c r="CJ535" s="43"/>
      <c r="CK535" s="43"/>
      <c r="CL535" s="43"/>
      <c r="CM535" s="43"/>
      <c r="CN535" s="43"/>
      <c r="CO535" s="43"/>
      <c r="CP535" s="43"/>
      <c r="CQ535" s="43"/>
      <c r="CR535" s="43"/>
      <c r="CS535" s="43"/>
      <c r="CT535" s="43"/>
      <c r="CU535" s="43"/>
      <c r="CV535" s="43"/>
      <c r="CW535" s="43"/>
      <c r="CX535" s="43"/>
      <c r="CY535" s="43"/>
      <c r="CZ535" s="43"/>
      <c r="DA535" s="43"/>
      <c r="DB535" s="43"/>
      <c r="DC535" s="43"/>
      <c r="DD535" s="43"/>
      <c r="DE535" s="43"/>
      <c r="DF535" s="43"/>
      <c r="DG535" s="43"/>
      <c r="DH535" s="43"/>
      <c r="DI535" s="43"/>
      <c r="DJ535" s="43"/>
      <c r="DK535" s="43"/>
      <c r="DL535" s="43"/>
      <c r="DM535" s="43"/>
      <c r="DN535" s="43"/>
      <c r="DO535" s="43"/>
      <c r="DP535" s="43"/>
      <c r="DQ535" s="43"/>
      <c r="DR535" s="43"/>
      <c r="DS535" s="43"/>
    </row>
    <row r="536" spans="1:123" ht="14.45">
      <c r="A536"/>
      <c r="B536"/>
      <c r="C536"/>
      <c r="D536"/>
      <c r="E536"/>
      <c r="F536"/>
      <c r="G536"/>
      <c r="H536"/>
      <c r="I536"/>
      <c r="J536"/>
      <c r="K536" s="43"/>
      <c r="L536" s="43"/>
      <c r="M536" s="43"/>
      <c r="N536" s="43"/>
      <c r="O536" s="43"/>
      <c r="P536" s="43"/>
      <c r="Q536" s="43"/>
      <c r="R536" s="43"/>
      <c r="S536" s="43"/>
      <c r="T536" s="43"/>
      <c r="U536" s="43"/>
      <c r="V536" s="43"/>
      <c r="W536" s="43"/>
      <c r="X536" s="43"/>
      <c r="Y536" s="43"/>
      <c r="Z536" s="43"/>
      <c r="AA536" s="43"/>
      <c r="AB536" s="43"/>
      <c r="AC536" s="43"/>
      <c r="AD536" s="43"/>
      <c r="AE536" s="43"/>
      <c r="AF536" s="43"/>
      <c r="AG536" s="43"/>
      <c r="AH536" s="43"/>
      <c r="AI536" s="43"/>
      <c r="AJ536" s="43"/>
      <c r="AK536" s="43"/>
      <c r="AL536" s="43"/>
      <c r="AM536" s="43"/>
      <c r="AN536" s="43"/>
      <c r="AO536" s="43"/>
      <c r="AP536" s="43"/>
      <c r="AQ536" s="43"/>
      <c r="AR536" s="43"/>
      <c r="AS536" s="43"/>
      <c r="AT536" s="43"/>
      <c r="AU536" s="43"/>
      <c r="AV536" s="43"/>
      <c r="AW536" s="43"/>
      <c r="AX536" s="43"/>
      <c r="AY536" s="43"/>
      <c r="AZ536" s="43"/>
      <c r="BA536" s="43"/>
      <c r="BB536" s="43"/>
      <c r="BC536" s="43"/>
      <c r="BD536" s="43"/>
      <c r="BE536" s="43"/>
      <c r="BF536" s="43"/>
      <c r="BG536" s="43"/>
      <c r="BH536" s="43"/>
      <c r="BI536" s="43"/>
      <c r="BJ536" s="43"/>
      <c r="BK536" s="43"/>
      <c r="BL536" s="43"/>
      <c r="BM536" s="43"/>
      <c r="BN536" s="43"/>
      <c r="BO536" s="43"/>
      <c r="BP536" s="43"/>
      <c r="BQ536" s="43"/>
      <c r="BR536" s="43"/>
      <c r="BS536" s="43"/>
      <c r="BT536" s="43"/>
      <c r="BU536" s="43"/>
      <c r="BV536" s="43"/>
      <c r="BW536" s="43"/>
      <c r="BX536" s="43"/>
      <c r="BY536" s="43"/>
      <c r="BZ536" s="43"/>
      <c r="CA536" s="43"/>
      <c r="CB536" s="43"/>
      <c r="CC536" s="43"/>
      <c r="CD536" s="43"/>
      <c r="CE536" s="43"/>
      <c r="CF536" s="43"/>
      <c r="CG536" s="43"/>
      <c r="CH536" s="43"/>
      <c r="CI536" s="43"/>
      <c r="CJ536" s="43"/>
      <c r="CK536" s="43"/>
      <c r="CL536" s="43"/>
      <c r="CM536" s="43"/>
      <c r="CN536" s="43"/>
      <c r="CO536" s="43"/>
      <c r="CP536" s="43"/>
      <c r="CQ536" s="43"/>
      <c r="CR536" s="43"/>
      <c r="CS536" s="43"/>
      <c r="CT536" s="43"/>
      <c r="CU536" s="43"/>
      <c r="CV536" s="43"/>
      <c r="CW536" s="43"/>
      <c r="CX536" s="43"/>
      <c r="CY536" s="43"/>
      <c r="CZ536" s="43"/>
      <c r="DA536" s="43"/>
      <c r="DB536" s="43"/>
      <c r="DC536" s="43"/>
      <c r="DD536" s="43"/>
      <c r="DE536" s="43"/>
      <c r="DF536" s="43"/>
      <c r="DG536" s="43"/>
      <c r="DH536" s="43"/>
      <c r="DI536" s="43"/>
      <c r="DJ536" s="43"/>
      <c r="DK536" s="43"/>
      <c r="DL536" s="43"/>
      <c r="DM536" s="43"/>
      <c r="DN536" s="43"/>
      <c r="DO536" s="43"/>
      <c r="DP536" s="43"/>
      <c r="DQ536" s="43"/>
      <c r="DR536" s="43"/>
      <c r="DS536" s="43"/>
    </row>
    <row r="537" spans="1:123" ht="14.45">
      <c r="A537"/>
      <c r="B537"/>
      <c r="C537"/>
      <c r="D537"/>
      <c r="E537"/>
      <c r="F537"/>
      <c r="G537"/>
      <c r="H537"/>
      <c r="I537"/>
      <c r="J537"/>
      <c r="K537" s="43"/>
      <c r="L537" s="43"/>
      <c r="M537" s="43"/>
      <c r="N537" s="43"/>
      <c r="O537" s="43"/>
      <c r="P537" s="43"/>
      <c r="Q537" s="43"/>
      <c r="R537" s="43"/>
      <c r="S537" s="43"/>
      <c r="T537" s="43"/>
      <c r="U537" s="43"/>
      <c r="V537" s="43"/>
      <c r="W537" s="43"/>
      <c r="X537" s="43"/>
      <c r="Y537" s="43"/>
      <c r="Z537" s="43"/>
      <c r="AA537" s="43"/>
      <c r="AB537" s="43"/>
      <c r="AC537" s="43"/>
      <c r="AD537" s="43"/>
      <c r="AE537" s="43"/>
      <c r="AF537" s="43"/>
      <c r="AG537" s="43"/>
      <c r="AH537" s="43"/>
      <c r="AI537" s="43"/>
      <c r="AJ537" s="43"/>
      <c r="AK537" s="43"/>
      <c r="AL537" s="43"/>
      <c r="AM537" s="43"/>
      <c r="AN537" s="43"/>
      <c r="AO537" s="43"/>
      <c r="AP537" s="43"/>
      <c r="AQ537" s="43"/>
      <c r="AR537" s="43"/>
      <c r="AS537" s="43"/>
      <c r="AT537" s="43"/>
      <c r="AU537" s="43"/>
      <c r="AV537" s="43"/>
      <c r="AW537" s="43"/>
      <c r="AX537" s="43"/>
      <c r="AY537" s="43"/>
      <c r="AZ537" s="43"/>
      <c r="BA537" s="43"/>
      <c r="BB537" s="43"/>
      <c r="BC537" s="43"/>
      <c r="BD537" s="43"/>
      <c r="BE537" s="43"/>
      <c r="BF537" s="43"/>
      <c r="BG537" s="43"/>
      <c r="BH537" s="43"/>
      <c r="BI537" s="43"/>
      <c r="BJ537" s="43"/>
      <c r="BK537" s="43"/>
      <c r="BL537" s="43"/>
      <c r="BM537" s="43"/>
      <c r="BN537" s="43"/>
      <c r="BO537" s="43"/>
      <c r="BP537" s="43"/>
      <c r="BQ537" s="43"/>
      <c r="BR537" s="43"/>
      <c r="BS537" s="43"/>
      <c r="BT537" s="43"/>
      <c r="BU537" s="43"/>
      <c r="BV537" s="43"/>
      <c r="BW537" s="43"/>
      <c r="BX537" s="43"/>
      <c r="BY537" s="43"/>
      <c r="BZ537" s="43"/>
      <c r="CA537" s="43"/>
      <c r="CB537" s="43"/>
      <c r="CC537" s="43"/>
      <c r="CD537" s="43"/>
      <c r="CE537" s="43"/>
      <c r="CF537" s="43"/>
      <c r="CG537" s="43"/>
      <c r="CH537" s="43"/>
      <c r="CI537" s="43"/>
      <c r="CJ537" s="43"/>
      <c r="CK537" s="43"/>
      <c r="CL537" s="43"/>
      <c r="CM537" s="43"/>
      <c r="CN537" s="43"/>
      <c r="CO537" s="43"/>
      <c r="CP537" s="43"/>
      <c r="CQ537" s="43"/>
      <c r="CR537" s="43"/>
      <c r="CS537" s="43"/>
      <c r="CT537" s="43"/>
      <c r="CU537" s="43"/>
      <c r="CV537" s="43"/>
      <c r="CW537" s="43"/>
      <c r="CX537" s="43"/>
      <c r="CY537" s="43"/>
      <c r="CZ537" s="43"/>
      <c r="DA537" s="43"/>
      <c r="DB537" s="43"/>
      <c r="DC537" s="43"/>
      <c r="DD537" s="43"/>
      <c r="DE537" s="43"/>
      <c r="DF537" s="43"/>
      <c r="DG537" s="43"/>
      <c r="DH537" s="43"/>
      <c r="DI537" s="43"/>
      <c r="DJ537" s="43"/>
      <c r="DK537" s="43"/>
      <c r="DL537" s="43"/>
      <c r="DM537" s="43"/>
      <c r="DN537" s="43"/>
      <c r="DO537" s="43"/>
      <c r="DP537" s="43"/>
      <c r="DQ537" s="43"/>
      <c r="DR537" s="43"/>
      <c r="DS537" s="43"/>
    </row>
    <row r="538" spans="1:123" ht="14.45">
      <c r="A538"/>
      <c r="B538"/>
      <c r="C538"/>
      <c r="D538"/>
      <c r="E538"/>
      <c r="F538"/>
      <c r="G538"/>
      <c r="H538"/>
      <c r="I538"/>
      <c r="J538"/>
      <c r="K538" s="43"/>
      <c r="L538" s="43"/>
      <c r="M538" s="43"/>
      <c r="N538" s="43"/>
      <c r="O538" s="43"/>
      <c r="P538" s="43"/>
      <c r="Q538" s="43"/>
      <c r="R538" s="43"/>
      <c r="S538" s="43"/>
      <c r="T538" s="43"/>
      <c r="U538" s="43"/>
      <c r="V538" s="43"/>
      <c r="W538" s="43"/>
      <c r="X538" s="43"/>
      <c r="Y538" s="43"/>
      <c r="Z538" s="43"/>
      <c r="AA538" s="43"/>
      <c r="AB538" s="43"/>
      <c r="AC538" s="43"/>
      <c r="AD538" s="43"/>
      <c r="AE538" s="43"/>
      <c r="AF538" s="43"/>
      <c r="AG538" s="43"/>
      <c r="AH538" s="43"/>
      <c r="AI538" s="43"/>
      <c r="AJ538" s="43"/>
      <c r="AK538" s="43"/>
      <c r="AL538" s="43"/>
      <c r="AM538" s="43"/>
      <c r="AN538" s="43"/>
      <c r="AO538" s="43"/>
      <c r="AP538" s="43"/>
      <c r="AQ538" s="43"/>
      <c r="AR538" s="43"/>
      <c r="AS538" s="43"/>
      <c r="AT538" s="43"/>
      <c r="AU538" s="43"/>
      <c r="AV538" s="43"/>
      <c r="AW538" s="43"/>
      <c r="AX538" s="43"/>
      <c r="AY538" s="43"/>
      <c r="AZ538" s="43"/>
      <c r="BA538" s="43"/>
      <c r="BB538" s="43"/>
      <c r="BC538" s="43"/>
      <c r="BD538" s="43"/>
      <c r="BE538" s="43"/>
      <c r="BF538" s="43"/>
      <c r="BG538" s="43"/>
      <c r="BH538" s="43"/>
      <c r="BI538" s="43"/>
      <c r="BJ538" s="43"/>
      <c r="BK538" s="43"/>
      <c r="BL538" s="43"/>
      <c r="BM538" s="43"/>
      <c r="BN538" s="43"/>
      <c r="BO538" s="43"/>
      <c r="BP538" s="43"/>
      <c r="BQ538" s="43"/>
      <c r="BR538" s="43"/>
      <c r="BS538" s="43"/>
      <c r="BT538" s="43"/>
      <c r="BU538" s="43"/>
      <c r="BV538" s="43"/>
      <c r="BW538" s="43"/>
      <c r="BX538" s="43"/>
      <c r="BY538" s="43"/>
      <c r="BZ538" s="43"/>
      <c r="CA538" s="43"/>
      <c r="CB538" s="43"/>
      <c r="CC538" s="43"/>
      <c r="CD538" s="43"/>
      <c r="CE538" s="43"/>
      <c r="CF538" s="43"/>
      <c r="CG538" s="43"/>
      <c r="CH538" s="43"/>
      <c r="CI538" s="43"/>
      <c r="CJ538" s="43"/>
      <c r="CK538" s="43"/>
      <c r="CL538" s="43"/>
      <c r="CM538" s="43"/>
      <c r="CN538" s="43"/>
      <c r="CO538" s="43"/>
      <c r="CP538" s="43"/>
      <c r="CQ538" s="43"/>
      <c r="CR538" s="43"/>
      <c r="CS538" s="43"/>
      <c r="CT538" s="43"/>
      <c r="CU538" s="43"/>
      <c r="CV538" s="43"/>
      <c r="CW538" s="43"/>
      <c r="CX538" s="43"/>
      <c r="CY538" s="43"/>
      <c r="CZ538" s="43"/>
      <c r="DA538" s="43"/>
      <c r="DB538" s="43"/>
      <c r="DC538" s="43"/>
      <c r="DD538" s="43"/>
      <c r="DE538" s="43"/>
      <c r="DF538" s="43"/>
      <c r="DG538" s="43"/>
      <c r="DH538" s="43"/>
      <c r="DI538" s="43"/>
      <c r="DJ538" s="43"/>
      <c r="DK538" s="43"/>
      <c r="DL538" s="43"/>
      <c r="DM538" s="43"/>
      <c r="DN538" s="43"/>
      <c r="DO538" s="43"/>
      <c r="DP538" s="43"/>
      <c r="DQ538" s="43"/>
      <c r="DR538" s="43"/>
      <c r="DS538" s="43"/>
    </row>
    <row r="539" spans="1:123" ht="14.45">
      <c r="A539"/>
      <c r="B539"/>
      <c r="C539"/>
      <c r="D539"/>
      <c r="E539"/>
      <c r="F539"/>
      <c r="G539"/>
      <c r="H539"/>
      <c r="I539"/>
      <c r="J539"/>
      <c r="K539" s="43"/>
      <c r="L539" s="43"/>
      <c r="M539" s="43"/>
      <c r="N539" s="43"/>
      <c r="O539" s="43"/>
      <c r="P539" s="43"/>
      <c r="Q539" s="43"/>
      <c r="R539" s="43"/>
      <c r="S539" s="43"/>
      <c r="T539" s="43"/>
      <c r="U539" s="43"/>
      <c r="V539" s="43"/>
      <c r="W539" s="43"/>
      <c r="X539" s="43"/>
      <c r="Y539" s="43"/>
      <c r="Z539" s="43"/>
      <c r="AA539" s="43"/>
      <c r="AB539" s="43"/>
      <c r="AC539" s="43"/>
      <c r="AD539" s="43"/>
      <c r="AE539" s="43"/>
      <c r="AF539" s="43"/>
      <c r="AG539" s="43"/>
      <c r="AH539" s="43"/>
      <c r="AI539" s="43"/>
      <c r="AJ539" s="43"/>
      <c r="AK539" s="43"/>
      <c r="AL539" s="43"/>
      <c r="AM539" s="43"/>
      <c r="AN539" s="43"/>
      <c r="AO539" s="43"/>
      <c r="AP539" s="43"/>
      <c r="AQ539" s="43"/>
      <c r="AR539" s="43"/>
      <c r="AS539" s="43"/>
      <c r="AT539" s="43"/>
      <c r="AU539" s="43"/>
      <c r="AV539" s="43"/>
      <c r="AW539" s="43"/>
      <c r="AX539" s="43"/>
      <c r="AY539" s="43"/>
      <c r="AZ539" s="43"/>
      <c r="BA539" s="43"/>
      <c r="BB539" s="43"/>
      <c r="BC539" s="43"/>
      <c r="BD539" s="43"/>
      <c r="BE539" s="43"/>
      <c r="BF539" s="43"/>
      <c r="BG539" s="43"/>
      <c r="BH539" s="43"/>
      <c r="BI539" s="43"/>
      <c r="BJ539" s="43"/>
      <c r="BK539" s="43"/>
      <c r="BL539" s="43"/>
      <c r="BM539" s="43"/>
      <c r="BN539" s="43"/>
      <c r="BO539" s="43"/>
      <c r="BP539" s="43"/>
      <c r="BQ539" s="43"/>
      <c r="BR539" s="43"/>
      <c r="BS539" s="43"/>
      <c r="BT539" s="43"/>
      <c r="BU539" s="43"/>
      <c r="BV539" s="43"/>
      <c r="BW539" s="43"/>
      <c r="BX539" s="43"/>
      <c r="BY539" s="43"/>
      <c r="BZ539" s="43"/>
      <c r="CA539" s="43"/>
      <c r="CB539" s="43"/>
      <c r="CC539" s="43"/>
      <c r="CD539" s="43"/>
      <c r="CE539" s="43"/>
      <c r="CF539" s="43"/>
      <c r="CG539" s="43"/>
      <c r="CH539" s="43"/>
      <c r="CI539" s="43"/>
      <c r="CJ539" s="43"/>
      <c r="CK539" s="43"/>
      <c r="CL539" s="43"/>
      <c r="CM539" s="43"/>
      <c r="CN539" s="43"/>
      <c r="CO539" s="43"/>
      <c r="CP539" s="43"/>
      <c r="CQ539" s="43"/>
      <c r="CR539" s="43"/>
      <c r="CS539" s="43"/>
      <c r="CT539" s="43"/>
      <c r="CU539" s="43"/>
      <c r="CV539" s="43"/>
      <c r="CW539" s="43"/>
      <c r="CX539" s="43"/>
      <c r="CY539" s="43"/>
      <c r="CZ539" s="43"/>
      <c r="DA539" s="43"/>
      <c r="DB539" s="43"/>
      <c r="DC539" s="43"/>
      <c r="DD539" s="43"/>
      <c r="DE539" s="43"/>
      <c r="DF539" s="43"/>
      <c r="DG539" s="43"/>
      <c r="DH539" s="43"/>
      <c r="DI539" s="43"/>
      <c r="DJ539" s="43"/>
      <c r="DK539" s="43"/>
      <c r="DL539" s="43"/>
      <c r="DM539" s="43"/>
      <c r="DN539" s="43"/>
      <c r="DO539" s="43"/>
      <c r="DP539" s="43"/>
      <c r="DQ539" s="43"/>
      <c r="DR539" s="43"/>
      <c r="DS539" s="43"/>
    </row>
    <row r="540" spans="1:123" ht="14.45">
      <c r="A540"/>
      <c r="B540"/>
      <c r="C540"/>
      <c r="D540"/>
      <c r="E540"/>
      <c r="F540"/>
      <c r="G540"/>
      <c r="H540"/>
      <c r="I540"/>
      <c r="J540"/>
      <c r="K540" s="43"/>
      <c r="L540" s="43"/>
      <c r="M540" s="43"/>
      <c r="N540" s="43"/>
      <c r="O540" s="43"/>
      <c r="P540" s="43"/>
      <c r="Q540" s="43"/>
      <c r="R540" s="43"/>
      <c r="S540" s="43"/>
      <c r="T540" s="43"/>
      <c r="U540" s="43"/>
      <c r="V540" s="43"/>
      <c r="W540" s="43"/>
      <c r="X540" s="43"/>
      <c r="Y540" s="43"/>
      <c r="Z540" s="43"/>
      <c r="AA540" s="43"/>
      <c r="AB540" s="43"/>
      <c r="AC540" s="43"/>
      <c r="AD540" s="43"/>
      <c r="AE540" s="43"/>
      <c r="AF540" s="43"/>
      <c r="AG540" s="43"/>
      <c r="AH540" s="43"/>
      <c r="AI540" s="43"/>
      <c r="AJ540" s="43"/>
      <c r="AK540" s="43"/>
      <c r="AL540" s="43"/>
      <c r="AM540" s="43"/>
      <c r="AN540" s="43"/>
      <c r="AO540" s="43"/>
      <c r="AP540" s="43"/>
      <c r="AQ540" s="43"/>
      <c r="AR540" s="43"/>
      <c r="AS540" s="43"/>
      <c r="AT540" s="43"/>
      <c r="AU540" s="43"/>
      <c r="AV540" s="43"/>
      <c r="AW540" s="43"/>
      <c r="AX540" s="43"/>
      <c r="AY540" s="43"/>
      <c r="AZ540" s="43"/>
      <c r="BA540" s="43"/>
      <c r="BB540" s="43"/>
      <c r="BC540" s="43"/>
      <c r="BD540" s="43"/>
      <c r="BE540" s="43"/>
      <c r="BF540" s="43"/>
      <c r="BG540" s="43"/>
      <c r="BH540" s="43"/>
      <c r="BI540" s="43"/>
      <c r="BJ540" s="43"/>
      <c r="BK540" s="43"/>
      <c r="BL540" s="43"/>
      <c r="BM540" s="43"/>
      <c r="BN540" s="43"/>
      <c r="BO540" s="43"/>
      <c r="BP540" s="43"/>
      <c r="BQ540" s="43"/>
      <c r="BR540" s="43"/>
      <c r="BS540" s="43"/>
      <c r="BT540" s="43"/>
      <c r="BU540" s="43"/>
      <c r="BV540" s="43"/>
      <c r="BW540" s="43"/>
      <c r="BX540" s="43"/>
      <c r="BY540" s="43"/>
      <c r="BZ540" s="43"/>
      <c r="CA540" s="43"/>
      <c r="CB540" s="43"/>
      <c r="CC540" s="43"/>
      <c r="CD540" s="43"/>
      <c r="CE540" s="43"/>
      <c r="CF540" s="43"/>
      <c r="CG540" s="43"/>
      <c r="CH540" s="43"/>
      <c r="CI540" s="43"/>
      <c r="CJ540" s="43"/>
      <c r="CK540" s="43"/>
      <c r="CL540" s="43"/>
      <c r="CM540" s="43"/>
      <c r="CN540" s="43"/>
      <c r="CO540" s="43"/>
      <c r="CP540" s="43"/>
      <c r="CQ540" s="43"/>
      <c r="CR540" s="43"/>
      <c r="CS540" s="43"/>
      <c r="CT540" s="43"/>
      <c r="CU540" s="43"/>
      <c r="CV540" s="43"/>
      <c r="CW540" s="43"/>
      <c r="CX540" s="43"/>
      <c r="CY540" s="43"/>
      <c r="CZ540" s="43"/>
      <c r="DA540" s="43"/>
      <c r="DB540" s="43"/>
      <c r="DC540" s="43"/>
      <c r="DD540" s="43"/>
      <c r="DE540" s="43"/>
      <c r="DF540" s="43"/>
      <c r="DG540" s="43"/>
      <c r="DH540" s="43"/>
      <c r="DI540" s="43"/>
      <c r="DJ540" s="43"/>
      <c r="DK540" s="43"/>
      <c r="DL540" s="43"/>
      <c r="DM540" s="43"/>
      <c r="DN540" s="43"/>
      <c r="DO540" s="43"/>
      <c r="DP540" s="43"/>
      <c r="DQ540" s="43"/>
      <c r="DR540" s="43"/>
      <c r="DS540" s="43"/>
    </row>
    <row r="541" spans="1:123" ht="14.45">
      <c r="A541"/>
      <c r="B541"/>
      <c r="C541"/>
      <c r="D541"/>
      <c r="E541"/>
      <c r="F541"/>
      <c r="G541"/>
      <c r="H541"/>
      <c r="I541"/>
      <c r="J541"/>
      <c r="K541" s="43"/>
      <c r="L541" s="43"/>
      <c r="M541" s="43"/>
      <c r="N541" s="43"/>
      <c r="O541" s="43"/>
      <c r="P541" s="43"/>
      <c r="Q541" s="43"/>
      <c r="R541" s="43"/>
      <c r="S541" s="43"/>
      <c r="T541" s="43"/>
      <c r="U541" s="43"/>
      <c r="V541" s="43"/>
      <c r="W541" s="43"/>
      <c r="X541" s="43"/>
      <c r="Y541" s="43"/>
      <c r="Z541" s="43"/>
      <c r="AA541" s="43"/>
      <c r="AB541" s="43"/>
      <c r="AC541" s="43"/>
      <c r="AD541" s="43"/>
      <c r="AE541" s="43"/>
      <c r="AF541" s="43"/>
      <c r="AG541" s="43"/>
      <c r="AH541" s="43"/>
      <c r="AI541" s="43"/>
      <c r="AJ541" s="43"/>
      <c r="AK541" s="43"/>
      <c r="AL541" s="43"/>
      <c r="AM541" s="43"/>
      <c r="AN541" s="43"/>
      <c r="AO541" s="43"/>
      <c r="AP541" s="43"/>
      <c r="AQ541" s="43"/>
      <c r="AR541" s="43"/>
      <c r="AS541" s="43"/>
      <c r="AT541" s="43"/>
      <c r="AU541" s="43"/>
      <c r="AV541" s="43"/>
      <c r="AW541" s="43"/>
      <c r="AX541" s="43"/>
      <c r="AY541" s="43"/>
      <c r="AZ541" s="43"/>
      <c r="BA541" s="43"/>
      <c r="BB541" s="43"/>
      <c r="BC541" s="43"/>
      <c r="BD541" s="43"/>
      <c r="BE541" s="43"/>
      <c r="BF541" s="43"/>
      <c r="BG541" s="43"/>
      <c r="BH541" s="43"/>
      <c r="BI541" s="43"/>
      <c r="BJ541" s="43"/>
      <c r="BK541" s="43"/>
      <c r="BL541" s="43"/>
      <c r="BM541" s="43"/>
      <c r="BN541" s="43"/>
      <c r="BO541" s="43"/>
      <c r="BP541" s="43"/>
      <c r="BQ541" s="43"/>
      <c r="BR541" s="43"/>
      <c r="BS541" s="43"/>
      <c r="BT541" s="43"/>
      <c r="BU541" s="43"/>
      <c r="BV541" s="43"/>
      <c r="BW541" s="43"/>
      <c r="BX541" s="43"/>
      <c r="BY541" s="43"/>
      <c r="BZ541" s="43"/>
      <c r="CA541" s="43"/>
      <c r="CB541" s="43"/>
      <c r="CC541" s="43"/>
      <c r="CD541" s="43"/>
      <c r="CE541" s="43"/>
      <c r="CF541" s="43"/>
      <c r="CG541" s="43"/>
      <c r="CH541" s="43"/>
      <c r="CI541" s="43"/>
      <c r="CJ541" s="43"/>
      <c r="CK541" s="43"/>
      <c r="CL541" s="43"/>
      <c r="CM541" s="43"/>
      <c r="CN541" s="43"/>
      <c r="CO541" s="43"/>
      <c r="CP541" s="43"/>
      <c r="CQ541" s="43"/>
      <c r="CR541" s="43"/>
      <c r="CS541" s="43"/>
      <c r="CT541" s="43"/>
      <c r="CU541" s="43"/>
      <c r="CV541" s="43"/>
      <c r="CW541" s="43"/>
      <c r="CX541" s="43"/>
      <c r="CY541" s="43"/>
      <c r="CZ541" s="43"/>
      <c r="DA541" s="43"/>
      <c r="DB541" s="43"/>
      <c r="DC541" s="43"/>
      <c r="DD541" s="43"/>
      <c r="DE541" s="43"/>
      <c r="DF541" s="43"/>
      <c r="DG541" s="43"/>
      <c r="DH541" s="43"/>
      <c r="DI541" s="43"/>
      <c r="DJ541" s="43"/>
      <c r="DK541" s="43"/>
      <c r="DL541" s="43"/>
      <c r="DM541" s="43"/>
      <c r="DN541" s="43"/>
      <c r="DO541" s="43"/>
      <c r="DP541" s="43"/>
      <c r="DQ541" s="43"/>
      <c r="DR541" s="43"/>
      <c r="DS541" s="43"/>
    </row>
    <row r="542" spans="1:123" ht="14.45">
      <c r="A542"/>
      <c r="B542"/>
      <c r="C542"/>
      <c r="D542"/>
      <c r="E542"/>
      <c r="F542"/>
      <c r="G542"/>
      <c r="H542"/>
      <c r="I542"/>
      <c r="J542"/>
      <c r="K542" s="43"/>
      <c r="L542" s="43"/>
      <c r="M542" s="43"/>
      <c r="N542" s="43"/>
      <c r="O542" s="43"/>
      <c r="P542" s="43"/>
      <c r="Q542" s="43"/>
      <c r="R542" s="43"/>
      <c r="S542" s="43"/>
      <c r="T542" s="43"/>
      <c r="U542" s="43"/>
      <c r="V542" s="43"/>
      <c r="W542" s="43"/>
      <c r="X542" s="43"/>
      <c r="Y542" s="43"/>
      <c r="Z542" s="43"/>
      <c r="AA542" s="43"/>
      <c r="AB542" s="43"/>
      <c r="AC542" s="43"/>
      <c r="AD542" s="43"/>
      <c r="AE542" s="43"/>
      <c r="AF542" s="43"/>
      <c r="AG542" s="43"/>
      <c r="AH542" s="43"/>
      <c r="AI542" s="43"/>
      <c r="AJ542" s="43"/>
      <c r="AK542" s="43"/>
      <c r="AL542" s="43"/>
      <c r="AM542" s="43"/>
      <c r="AN542" s="43"/>
      <c r="AO542" s="43"/>
      <c r="AP542" s="43"/>
      <c r="AQ542" s="43"/>
      <c r="AR542" s="43"/>
      <c r="AS542" s="43"/>
      <c r="AT542" s="43"/>
      <c r="AU542" s="43"/>
      <c r="AV542" s="43"/>
      <c r="AW542" s="43"/>
      <c r="AX542" s="43"/>
      <c r="AY542" s="43"/>
      <c r="AZ542" s="43"/>
      <c r="BA542" s="43"/>
      <c r="BB542" s="43"/>
      <c r="BC542" s="43"/>
      <c r="BD542" s="43"/>
      <c r="BE542" s="43"/>
      <c r="BF542" s="43"/>
      <c r="BG542" s="43"/>
      <c r="BH542" s="43"/>
      <c r="BI542" s="43"/>
      <c r="BJ542" s="43"/>
      <c r="BK542" s="43"/>
      <c r="BL542" s="43"/>
      <c r="BM542" s="43"/>
      <c r="BN542" s="43"/>
      <c r="BO542" s="43"/>
      <c r="BP542" s="43"/>
      <c r="BQ542" s="43"/>
      <c r="BR542" s="43"/>
      <c r="BS542" s="43"/>
      <c r="BT542" s="43"/>
      <c r="BU542" s="43"/>
      <c r="BV542" s="43"/>
      <c r="BW542" s="43"/>
      <c r="BX542" s="43"/>
      <c r="BY542" s="43"/>
      <c r="BZ542" s="43"/>
      <c r="CA542" s="43"/>
      <c r="CB542" s="43"/>
      <c r="CC542" s="43"/>
      <c r="CD542" s="43"/>
      <c r="CE542" s="43"/>
      <c r="CF542" s="43"/>
      <c r="CG542" s="43"/>
      <c r="CH542" s="43"/>
      <c r="CI542" s="43"/>
      <c r="CJ542" s="43"/>
      <c r="CK542" s="43"/>
      <c r="CL542" s="43"/>
      <c r="CM542" s="43"/>
      <c r="CN542" s="43"/>
      <c r="CO542" s="43"/>
      <c r="CP542" s="43"/>
      <c r="CQ542" s="43"/>
      <c r="CR542" s="43"/>
      <c r="CS542" s="43"/>
      <c r="CT542" s="43"/>
      <c r="CU542" s="43"/>
      <c r="CV542" s="43"/>
      <c r="CW542" s="43"/>
      <c r="CX542" s="43"/>
      <c r="CY542" s="43"/>
      <c r="CZ542" s="43"/>
      <c r="DA542" s="43"/>
      <c r="DB542" s="43"/>
      <c r="DC542" s="43"/>
      <c r="DD542" s="43"/>
      <c r="DE542" s="43"/>
      <c r="DF542" s="43"/>
      <c r="DG542" s="43"/>
      <c r="DH542" s="43"/>
      <c r="DI542" s="43"/>
      <c r="DJ542" s="43"/>
      <c r="DK542" s="43"/>
      <c r="DL542" s="43"/>
      <c r="DM542" s="43"/>
      <c r="DN542" s="43"/>
      <c r="DO542" s="43"/>
      <c r="DP542" s="43"/>
      <c r="DQ542" s="43"/>
      <c r="DR542" s="43"/>
      <c r="DS542" s="43"/>
    </row>
    <row r="543" spans="1:123" ht="14.45">
      <c r="A543"/>
      <c r="B543"/>
      <c r="C543"/>
      <c r="D543"/>
      <c r="E543"/>
      <c r="F543"/>
      <c r="G543"/>
      <c r="H543"/>
      <c r="I543"/>
      <c r="J543"/>
      <c r="K543" s="43"/>
      <c r="L543" s="43"/>
      <c r="M543" s="43"/>
      <c r="N543" s="43"/>
      <c r="O543" s="43"/>
      <c r="P543" s="43"/>
      <c r="Q543" s="43"/>
      <c r="R543" s="43"/>
      <c r="S543" s="43"/>
      <c r="T543" s="43"/>
      <c r="U543" s="43"/>
      <c r="V543" s="43"/>
      <c r="W543" s="43"/>
      <c r="X543" s="43"/>
      <c r="Y543" s="43"/>
      <c r="Z543" s="43"/>
      <c r="AA543" s="43"/>
      <c r="AB543" s="43"/>
      <c r="AC543" s="43"/>
      <c r="AD543" s="43"/>
      <c r="AE543" s="43"/>
      <c r="AF543" s="43"/>
      <c r="AG543" s="43"/>
      <c r="AH543" s="43"/>
      <c r="AI543" s="43"/>
      <c r="AJ543" s="43"/>
      <c r="AK543" s="43"/>
      <c r="AL543" s="43"/>
      <c r="AM543" s="43"/>
      <c r="AN543" s="43"/>
      <c r="AO543" s="43"/>
      <c r="AP543" s="43"/>
      <c r="AQ543" s="43"/>
      <c r="AR543" s="43"/>
      <c r="AS543" s="43"/>
      <c r="AT543" s="43"/>
      <c r="AU543" s="43"/>
      <c r="AV543" s="43"/>
      <c r="AW543" s="43"/>
      <c r="AX543" s="43"/>
      <c r="AY543" s="43"/>
      <c r="AZ543" s="43"/>
      <c r="BA543" s="43"/>
      <c r="BB543" s="43"/>
      <c r="BC543" s="43"/>
      <c r="BD543" s="43"/>
      <c r="BE543" s="43"/>
      <c r="BF543" s="43"/>
      <c r="BG543" s="43"/>
      <c r="BH543" s="43"/>
      <c r="BI543" s="43"/>
      <c r="BJ543" s="43"/>
      <c r="BK543" s="43"/>
      <c r="BL543" s="43"/>
      <c r="BM543" s="43"/>
      <c r="BN543" s="43"/>
      <c r="BO543" s="43"/>
      <c r="BP543" s="43"/>
      <c r="BQ543" s="43"/>
      <c r="BR543" s="43"/>
      <c r="BS543" s="43"/>
      <c r="BT543" s="43"/>
      <c r="BU543" s="43"/>
      <c r="BV543" s="43"/>
      <c r="BW543" s="43"/>
      <c r="BX543" s="43"/>
      <c r="BY543" s="43"/>
      <c r="BZ543" s="43"/>
      <c r="CA543" s="43"/>
      <c r="CB543" s="43"/>
      <c r="CC543" s="43"/>
      <c r="CD543" s="43"/>
      <c r="CE543" s="43"/>
      <c r="CF543" s="43"/>
      <c r="CG543" s="43"/>
      <c r="CH543" s="43"/>
      <c r="CI543" s="43"/>
      <c r="CJ543" s="43"/>
      <c r="CK543" s="43"/>
      <c r="CL543" s="43"/>
      <c r="CM543" s="43"/>
      <c r="CN543" s="43"/>
      <c r="CO543" s="43"/>
      <c r="CP543" s="43"/>
      <c r="CQ543" s="43"/>
      <c r="CR543" s="43"/>
      <c r="CS543" s="43"/>
      <c r="CT543" s="43"/>
      <c r="CU543" s="43"/>
      <c r="CV543" s="43"/>
      <c r="CW543" s="43"/>
      <c r="CX543" s="43"/>
      <c r="CY543" s="43"/>
      <c r="CZ543" s="43"/>
      <c r="DA543" s="43"/>
      <c r="DB543" s="43"/>
      <c r="DC543" s="43"/>
      <c r="DD543" s="43"/>
      <c r="DE543" s="43"/>
      <c r="DF543" s="43"/>
      <c r="DG543" s="43"/>
      <c r="DH543" s="43"/>
      <c r="DI543" s="43"/>
      <c r="DJ543" s="43"/>
      <c r="DK543" s="43"/>
      <c r="DL543" s="43"/>
      <c r="DM543" s="43"/>
      <c r="DN543" s="43"/>
      <c r="DO543" s="43"/>
      <c r="DP543" s="43"/>
      <c r="DQ543" s="43"/>
      <c r="DR543" s="43"/>
      <c r="DS543" s="43"/>
    </row>
    <row r="544" spans="1:123" ht="14.45">
      <c r="A544"/>
      <c r="B544"/>
      <c r="C544"/>
      <c r="D544"/>
      <c r="E544"/>
      <c r="F544"/>
      <c r="G544"/>
      <c r="H544"/>
      <c r="I544"/>
      <c r="J544"/>
      <c r="K544" s="43"/>
      <c r="L544" s="43"/>
      <c r="M544" s="43"/>
      <c r="N544" s="43"/>
      <c r="O544" s="43"/>
      <c r="P544" s="43"/>
      <c r="Q544" s="43"/>
      <c r="R544" s="43"/>
      <c r="S544" s="43"/>
      <c r="T544" s="43"/>
      <c r="U544" s="43"/>
      <c r="V544" s="43"/>
      <c r="W544" s="43"/>
      <c r="X544" s="43"/>
      <c r="Y544" s="43"/>
      <c r="Z544" s="43"/>
      <c r="AA544" s="43"/>
      <c r="AB544" s="43"/>
      <c r="AC544" s="43"/>
      <c r="AD544" s="43"/>
      <c r="AE544" s="43"/>
      <c r="AF544" s="43"/>
      <c r="AG544" s="43"/>
      <c r="AH544" s="43"/>
      <c r="AI544" s="43"/>
      <c r="AJ544" s="43"/>
      <c r="AK544" s="43"/>
      <c r="AL544" s="43"/>
      <c r="AM544" s="43"/>
      <c r="AN544" s="43"/>
      <c r="AO544" s="43"/>
      <c r="AP544" s="43"/>
      <c r="AQ544" s="43"/>
      <c r="AR544" s="43"/>
      <c r="AS544" s="43"/>
      <c r="AT544" s="43"/>
      <c r="AU544" s="43"/>
      <c r="AV544" s="43"/>
      <c r="AW544" s="43"/>
      <c r="AX544" s="43"/>
      <c r="AY544" s="43"/>
      <c r="AZ544" s="43"/>
      <c r="BA544" s="43"/>
      <c r="BB544" s="43"/>
      <c r="BC544" s="43"/>
      <c r="BD544" s="43"/>
      <c r="BE544" s="43"/>
      <c r="BF544" s="43"/>
      <c r="BG544" s="43"/>
      <c r="BH544" s="43"/>
      <c r="BI544" s="43"/>
      <c r="BJ544" s="43"/>
      <c r="BK544" s="43"/>
      <c r="BL544" s="43"/>
      <c r="BM544" s="43"/>
      <c r="BN544" s="43"/>
      <c r="BO544" s="43"/>
      <c r="BP544" s="43"/>
      <c r="BQ544" s="43"/>
      <c r="BR544" s="43"/>
      <c r="BS544" s="43"/>
      <c r="BT544" s="43"/>
      <c r="BU544" s="43"/>
      <c r="BV544" s="43"/>
      <c r="BW544" s="43"/>
      <c r="BX544" s="43"/>
      <c r="BY544" s="43"/>
      <c r="BZ544" s="43"/>
      <c r="CA544" s="43"/>
      <c r="CB544" s="43"/>
      <c r="CC544" s="43"/>
      <c r="CD544" s="43"/>
      <c r="CE544" s="43"/>
      <c r="CF544" s="43"/>
      <c r="CG544" s="43"/>
      <c r="CH544" s="43"/>
      <c r="CI544" s="43"/>
      <c r="CJ544" s="43"/>
      <c r="CK544" s="43"/>
      <c r="CL544" s="43"/>
      <c r="CM544" s="43"/>
      <c r="CN544" s="43"/>
      <c r="CO544" s="43"/>
      <c r="CP544" s="43"/>
      <c r="CQ544" s="43"/>
      <c r="CR544" s="43"/>
      <c r="CS544" s="43"/>
      <c r="CT544" s="43"/>
      <c r="CU544" s="43"/>
      <c r="CV544" s="43"/>
      <c r="CW544" s="43"/>
      <c r="CX544" s="43"/>
      <c r="CY544" s="43"/>
      <c r="CZ544" s="43"/>
      <c r="DA544" s="43"/>
      <c r="DB544" s="43"/>
      <c r="DC544" s="43"/>
      <c r="DD544" s="43"/>
      <c r="DE544" s="43"/>
      <c r="DF544" s="43"/>
      <c r="DG544" s="43"/>
      <c r="DH544" s="43"/>
      <c r="DI544" s="43"/>
      <c r="DJ544" s="43"/>
      <c r="DK544" s="43"/>
      <c r="DL544" s="43"/>
      <c r="DM544" s="43"/>
      <c r="DN544" s="43"/>
      <c r="DO544" s="43"/>
      <c r="DP544" s="43"/>
      <c r="DQ544" s="43"/>
      <c r="DR544" s="43"/>
      <c r="DS544" s="43"/>
    </row>
    <row r="545" spans="1:123" ht="14.45">
      <c r="A545"/>
      <c r="B545"/>
      <c r="C545"/>
      <c r="D545"/>
      <c r="E545"/>
      <c r="F545"/>
      <c r="G545"/>
      <c r="H545"/>
      <c r="I545"/>
      <c r="J545"/>
      <c r="K545" s="43"/>
      <c r="L545" s="43"/>
      <c r="M545" s="43"/>
      <c r="N545" s="43"/>
      <c r="O545" s="43"/>
      <c r="P545" s="43"/>
      <c r="Q545" s="43"/>
      <c r="R545" s="43"/>
      <c r="S545" s="43"/>
      <c r="T545" s="43"/>
      <c r="U545" s="43"/>
      <c r="V545" s="43"/>
      <c r="W545" s="43"/>
      <c r="X545" s="43"/>
      <c r="Y545" s="43"/>
      <c r="Z545" s="43"/>
      <c r="AA545" s="43"/>
      <c r="AB545" s="43"/>
      <c r="AC545" s="43"/>
      <c r="AD545" s="43"/>
      <c r="AE545" s="43"/>
      <c r="AF545" s="43"/>
      <c r="AG545" s="43"/>
      <c r="AH545" s="43"/>
      <c r="AI545" s="43"/>
      <c r="AJ545" s="43"/>
      <c r="AK545" s="43"/>
      <c r="AL545" s="43"/>
      <c r="AM545" s="43"/>
      <c r="AN545" s="43"/>
      <c r="AO545" s="43"/>
      <c r="AP545" s="43"/>
      <c r="AQ545" s="43"/>
      <c r="AR545" s="43"/>
      <c r="AS545" s="43"/>
      <c r="AT545" s="43"/>
      <c r="AU545" s="43"/>
      <c r="AV545" s="43"/>
      <c r="AW545" s="43"/>
      <c r="AX545" s="43"/>
      <c r="AY545" s="43"/>
      <c r="AZ545" s="43"/>
      <c r="BA545" s="43"/>
      <c r="BB545" s="43"/>
      <c r="BC545" s="43"/>
      <c r="BD545" s="43"/>
      <c r="BE545" s="43"/>
      <c r="BF545" s="43"/>
      <c r="BG545" s="43"/>
      <c r="BH545" s="43"/>
      <c r="BI545" s="43"/>
      <c r="BJ545" s="43"/>
      <c r="BK545" s="43"/>
      <c r="BL545" s="43"/>
      <c r="BM545" s="43"/>
      <c r="BN545" s="43"/>
      <c r="BO545" s="43"/>
      <c r="BP545" s="43"/>
      <c r="BQ545" s="43"/>
      <c r="BR545" s="43"/>
      <c r="BS545" s="43"/>
      <c r="BT545" s="43"/>
      <c r="BU545" s="43"/>
      <c r="BV545" s="43"/>
      <c r="BW545" s="43"/>
      <c r="BX545" s="43"/>
      <c r="BY545" s="43"/>
      <c r="BZ545" s="43"/>
      <c r="CA545" s="43"/>
      <c r="CB545" s="43"/>
      <c r="CC545" s="43"/>
      <c r="CD545" s="43"/>
      <c r="CE545" s="43"/>
      <c r="CF545" s="43"/>
      <c r="CG545" s="43"/>
      <c r="CH545" s="43"/>
      <c r="CI545" s="43"/>
      <c r="CJ545" s="43"/>
      <c r="CK545" s="43"/>
      <c r="CL545" s="43"/>
      <c r="CM545" s="43"/>
      <c r="CN545" s="43"/>
      <c r="CO545" s="43"/>
      <c r="CP545" s="43"/>
      <c r="CQ545" s="43"/>
      <c r="CR545" s="43"/>
      <c r="CS545" s="43"/>
      <c r="CT545" s="43"/>
      <c r="CU545" s="43"/>
      <c r="CV545" s="43"/>
      <c r="CW545" s="43"/>
      <c r="CX545" s="43"/>
      <c r="CY545" s="43"/>
      <c r="CZ545" s="43"/>
      <c r="DA545" s="43"/>
      <c r="DB545" s="43"/>
      <c r="DC545" s="43"/>
      <c r="DD545" s="43"/>
      <c r="DE545" s="43"/>
      <c r="DF545" s="43"/>
      <c r="DG545" s="43"/>
      <c r="DH545" s="43"/>
      <c r="DI545" s="43"/>
      <c r="DJ545" s="43"/>
      <c r="DK545" s="43"/>
      <c r="DL545" s="43"/>
      <c r="DM545" s="43"/>
      <c r="DN545" s="43"/>
      <c r="DO545" s="43"/>
      <c r="DP545" s="43"/>
      <c r="DQ545" s="43"/>
      <c r="DR545" s="43"/>
      <c r="DS545" s="43"/>
    </row>
    <row r="546" spans="1:123" ht="14.45">
      <c r="A546"/>
      <c r="B546"/>
      <c r="C546"/>
      <c r="D546"/>
      <c r="E546"/>
      <c r="F546"/>
      <c r="G546"/>
      <c r="H546"/>
      <c r="I546"/>
      <c r="J546"/>
      <c r="K546" s="43"/>
      <c r="L546" s="43"/>
      <c r="M546" s="43"/>
      <c r="N546" s="43"/>
      <c r="O546" s="43"/>
      <c r="P546" s="43"/>
      <c r="Q546" s="43"/>
      <c r="R546" s="43"/>
      <c r="S546" s="43"/>
      <c r="T546" s="43"/>
      <c r="U546" s="43"/>
      <c r="V546" s="43"/>
      <c r="W546" s="43"/>
      <c r="X546" s="43"/>
      <c r="Y546" s="43"/>
      <c r="Z546" s="43"/>
      <c r="AA546" s="43"/>
      <c r="AB546" s="43"/>
      <c r="AC546" s="43"/>
      <c r="AD546" s="43"/>
      <c r="AE546" s="43"/>
      <c r="AF546" s="43"/>
      <c r="AG546" s="43"/>
      <c r="AH546" s="43"/>
      <c r="AI546" s="43"/>
      <c r="AJ546" s="43"/>
      <c r="AK546" s="43"/>
      <c r="AL546" s="43"/>
      <c r="AM546" s="43"/>
      <c r="AN546" s="43"/>
      <c r="AO546" s="43"/>
      <c r="AP546" s="43"/>
      <c r="AQ546" s="43"/>
      <c r="AR546" s="43"/>
      <c r="AS546" s="43"/>
      <c r="AT546" s="43"/>
      <c r="AU546" s="43"/>
      <c r="AV546" s="43"/>
      <c r="AW546" s="43"/>
      <c r="AX546" s="43"/>
      <c r="AY546" s="43"/>
      <c r="AZ546" s="43"/>
      <c r="BA546" s="43"/>
      <c r="BB546" s="43"/>
      <c r="BC546" s="43"/>
      <c r="BD546" s="43"/>
      <c r="BE546" s="43"/>
      <c r="BF546" s="43"/>
      <c r="BG546" s="43"/>
      <c r="BH546" s="43"/>
      <c r="BI546" s="43"/>
      <c r="BJ546" s="43"/>
      <c r="BK546" s="43"/>
      <c r="BL546" s="43"/>
      <c r="BM546" s="43"/>
      <c r="BN546" s="43"/>
      <c r="BO546" s="43"/>
      <c r="BP546" s="43"/>
      <c r="BQ546" s="43"/>
      <c r="BR546" s="43"/>
      <c r="BS546" s="43"/>
      <c r="BT546" s="43"/>
      <c r="BU546" s="43"/>
      <c r="BV546" s="43"/>
      <c r="BW546" s="43"/>
      <c r="BX546" s="43"/>
      <c r="BY546" s="43"/>
      <c r="BZ546" s="43"/>
      <c r="CA546" s="43"/>
      <c r="CB546" s="43"/>
      <c r="CC546" s="43"/>
      <c r="CD546" s="43"/>
      <c r="CE546" s="43"/>
      <c r="CF546" s="43"/>
      <c r="CG546" s="43"/>
      <c r="CH546" s="43"/>
      <c r="CI546" s="43"/>
      <c r="CJ546" s="43"/>
      <c r="CK546" s="43"/>
      <c r="CL546" s="43"/>
      <c r="CM546" s="43"/>
      <c r="CN546" s="43"/>
      <c r="CO546" s="43"/>
      <c r="CP546" s="43"/>
      <c r="CQ546" s="43"/>
      <c r="CR546" s="43"/>
      <c r="CS546" s="43"/>
      <c r="CT546" s="43"/>
      <c r="CU546" s="43"/>
      <c r="CV546" s="43"/>
      <c r="CW546" s="43"/>
      <c r="CX546" s="43"/>
      <c r="CY546" s="43"/>
      <c r="CZ546" s="43"/>
      <c r="DA546" s="43"/>
      <c r="DB546" s="43"/>
      <c r="DC546" s="43"/>
      <c r="DD546" s="43"/>
      <c r="DE546" s="43"/>
      <c r="DF546" s="43"/>
      <c r="DG546" s="43"/>
      <c r="DH546" s="43"/>
      <c r="DI546" s="43"/>
      <c r="DJ546" s="43"/>
      <c r="DK546" s="43"/>
      <c r="DL546" s="43"/>
      <c r="DM546" s="43"/>
      <c r="DN546" s="43"/>
      <c r="DO546" s="43"/>
      <c r="DP546" s="43"/>
      <c r="DQ546" s="43"/>
      <c r="DR546" s="43"/>
      <c r="DS546" s="43"/>
    </row>
    <row r="547" spans="1:123" ht="14.45">
      <c r="A547"/>
      <c r="B547"/>
      <c r="C547"/>
      <c r="D547"/>
      <c r="E547"/>
      <c r="F547"/>
      <c r="G547"/>
      <c r="H547"/>
      <c r="I547"/>
      <c r="J547"/>
      <c r="K547" s="43"/>
      <c r="L547" s="43"/>
      <c r="M547" s="43"/>
      <c r="N547" s="43"/>
      <c r="O547" s="43"/>
      <c r="P547" s="43"/>
      <c r="Q547" s="43"/>
      <c r="R547" s="43"/>
      <c r="S547" s="43"/>
      <c r="T547" s="43"/>
      <c r="U547" s="43"/>
      <c r="V547" s="43"/>
      <c r="W547" s="43"/>
      <c r="X547" s="43"/>
      <c r="Y547" s="43"/>
      <c r="Z547" s="43"/>
      <c r="AA547" s="43"/>
      <c r="AB547" s="43"/>
      <c r="AC547" s="43"/>
      <c r="AD547" s="43"/>
      <c r="AE547" s="43"/>
      <c r="AF547" s="43"/>
      <c r="AG547" s="43"/>
      <c r="AH547" s="43"/>
      <c r="AI547" s="43"/>
      <c r="AJ547" s="43"/>
      <c r="AK547" s="43"/>
      <c r="AL547" s="43"/>
      <c r="AM547" s="43"/>
      <c r="AN547" s="43"/>
      <c r="AO547" s="43"/>
      <c r="AP547" s="43"/>
      <c r="AQ547" s="43"/>
      <c r="AR547" s="43"/>
      <c r="AS547" s="43"/>
      <c r="AT547" s="43"/>
      <c r="AU547" s="43"/>
      <c r="AV547" s="43"/>
      <c r="AW547" s="43"/>
      <c r="AX547" s="43"/>
      <c r="AY547" s="43"/>
      <c r="AZ547" s="43"/>
      <c r="BA547" s="43"/>
      <c r="BB547" s="43"/>
      <c r="BC547" s="43"/>
      <c r="BD547" s="43"/>
      <c r="BE547" s="43"/>
      <c r="BF547" s="43"/>
      <c r="BG547" s="43"/>
      <c r="BH547" s="43"/>
      <c r="BI547" s="43"/>
      <c r="BJ547" s="43"/>
      <c r="BK547" s="43"/>
      <c r="BL547" s="43"/>
      <c r="BM547" s="43"/>
      <c r="BN547" s="43"/>
      <c r="BO547" s="43"/>
      <c r="BP547" s="43"/>
      <c r="BQ547" s="43"/>
      <c r="BR547" s="43"/>
      <c r="BS547" s="43"/>
      <c r="BT547" s="43"/>
      <c r="BU547" s="43"/>
      <c r="BV547" s="43"/>
      <c r="BW547" s="43"/>
      <c r="BX547" s="43"/>
      <c r="BY547" s="43"/>
      <c r="BZ547" s="43"/>
      <c r="CA547" s="43"/>
      <c r="CB547" s="43"/>
      <c r="CC547" s="43"/>
      <c r="CD547" s="43"/>
      <c r="CE547" s="43"/>
      <c r="CF547" s="43"/>
      <c r="CG547" s="43"/>
      <c r="CH547" s="43"/>
      <c r="CI547" s="43"/>
      <c r="CJ547" s="43"/>
      <c r="CK547" s="43"/>
      <c r="CL547" s="43"/>
      <c r="CM547" s="43"/>
      <c r="CN547" s="43"/>
      <c r="CO547" s="43"/>
      <c r="CP547" s="43"/>
      <c r="CQ547" s="43"/>
      <c r="CR547" s="43"/>
      <c r="CS547" s="43"/>
      <c r="CT547" s="43"/>
      <c r="CU547" s="43"/>
      <c r="CV547" s="43"/>
      <c r="CW547" s="43"/>
      <c r="CX547" s="43"/>
      <c r="CY547" s="43"/>
      <c r="CZ547" s="43"/>
      <c r="DA547" s="43"/>
      <c r="DB547" s="43"/>
      <c r="DC547" s="43"/>
      <c r="DD547" s="43"/>
      <c r="DE547" s="43"/>
      <c r="DF547" s="43"/>
      <c r="DG547" s="43"/>
      <c r="DH547" s="43"/>
      <c r="DI547" s="43"/>
      <c r="DJ547" s="43"/>
      <c r="DK547" s="43"/>
      <c r="DL547" s="43"/>
      <c r="DM547" s="43"/>
      <c r="DN547" s="43"/>
      <c r="DO547" s="43"/>
      <c r="DP547" s="43"/>
      <c r="DQ547" s="43"/>
      <c r="DR547" s="43"/>
      <c r="DS547" s="43"/>
    </row>
    <row r="548" spans="1:123" ht="14.45">
      <c r="A548"/>
      <c r="B548"/>
      <c r="C548"/>
      <c r="D548"/>
      <c r="E548"/>
      <c r="F548"/>
      <c r="G548"/>
      <c r="H548"/>
      <c r="I548"/>
      <c r="J548"/>
      <c r="K548" s="43"/>
      <c r="L548" s="43"/>
      <c r="M548" s="43"/>
      <c r="N548" s="43"/>
      <c r="O548" s="43"/>
      <c r="P548" s="43"/>
      <c r="Q548" s="43"/>
      <c r="R548" s="43"/>
      <c r="S548" s="43"/>
      <c r="T548" s="43"/>
      <c r="U548" s="43"/>
      <c r="V548" s="43"/>
      <c r="W548" s="43"/>
      <c r="X548" s="43"/>
      <c r="Y548" s="43"/>
      <c r="Z548" s="43"/>
      <c r="AA548" s="43"/>
      <c r="AB548" s="43"/>
      <c r="AC548" s="43"/>
      <c r="AD548" s="43"/>
      <c r="AE548" s="43"/>
      <c r="AF548" s="43"/>
      <c r="AG548" s="43"/>
      <c r="AH548" s="43"/>
      <c r="AI548" s="43"/>
      <c r="AJ548" s="43"/>
      <c r="AK548" s="43"/>
      <c r="AL548" s="43"/>
      <c r="AM548" s="43"/>
      <c r="AN548" s="43"/>
      <c r="AO548" s="43"/>
      <c r="AP548" s="43"/>
      <c r="AQ548" s="43"/>
      <c r="AR548" s="43"/>
      <c r="AS548" s="43"/>
      <c r="AT548" s="43"/>
      <c r="AU548" s="43"/>
      <c r="AV548" s="43"/>
      <c r="AW548" s="43"/>
      <c r="AX548" s="43"/>
      <c r="AY548" s="43"/>
      <c r="AZ548" s="43"/>
      <c r="BA548" s="43"/>
      <c r="BB548" s="43"/>
      <c r="BC548" s="43"/>
      <c r="BD548" s="43"/>
      <c r="BE548" s="43"/>
      <c r="BF548" s="43"/>
      <c r="BG548" s="43"/>
      <c r="BH548" s="43"/>
      <c r="BI548" s="43"/>
      <c r="BJ548" s="43"/>
      <c r="BK548" s="43"/>
      <c r="BL548" s="43"/>
      <c r="BM548" s="43"/>
      <c r="BN548" s="43"/>
      <c r="BO548" s="43"/>
      <c r="BP548" s="43"/>
      <c r="BQ548" s="43"/>
      <c r="BR548" s="43"/>
      <c r="BS548" s="43"/>
      <c r="BT548" s="43"/>
      <c r="BU548" s="43"/>
      <c r="BV548" s="43"/>
      <c r="BW548" s="43"/>
      <c r="BX548" s="43"/>
      <c r="BY548" s="43"/>
      <c r="BZ548" s="43"/>
      <c r="CA548" s="43"/>
      <c r="CB548" s="43"/>
      <c r="CC548" s="43"/>
      <c r="CD548" s="43"/>
      <c r="CE548" s="43"/>
      <c r="CF548" s="43"/>
      <c r="CG548" s="43"/>
      <c r="CH548" s="43"/>
      <c r="CI548" s="43"/>
      <c r="CJ548" s="43"/>
      <c r="CK548" s="43"/>
      <c r="CL548" s="43"/>
      <c r="CM548" s="43"/>
      <c r="CN548" s="43"/>
      <c r="CO548" s="43"/>
      <c r="CP548" s="43"/>
      <c r="CQ548" s="43"/>
      <c r="CR548" s="43"/>
      <c r="CS548" s="43"/>
      <c r="CT548" s="43"/>
      <c r="CU548" s="43"/>
      <c r="CV548" s="43"/>
      <c r="CW548" s="43"/>
      <c r="CX548" s="43"/>
      <c r="CY548" s="43"/>
      <c r="CZ548" s="43"/>
      <c r="DA548" s="43"/>
      <c r="DB548" s="43"/>
      <c r="DC548" s="43"/>
      <c r="DD548" s="43"/>
      <c r="DE548" s="43"/>
      <c r="DF548" s="43"/>
      <c r="DG548" s="43"/>
      <c r="DH548" s="43"/>
      <c r="DI548" s="43"/>
      <c r="DJ548" s="43"/>
      <c r="DK548" s="43"/>
      <c r="DL548" s="43"/>
      <c r="DM548" s="43"/>
      <c r="DN548" s="43"/>
      <c r="DO548" s="43"/>
      <c r="DP548" s="43"/>
      <c r="DQ548" s="43"/>
      <c r="DR548" s="43"/>
      <c r="DS548" s="43"/>
    </row>
    <row r="549" spans="1:123" ht="14.45">
      <c r="A549"/>
      <c r="B549"/>
      <c r="C549"/>
      <c r="D549"/>
      <c r="E549"/>
      <c r="F549"/>
      <c r="G549"/>
      <c r="H549"/>
      <c r="I549"/>
      <c r="J549"/>
      <c r="K549" s="43"/>
      <c r="L549" s="43"/>
      <c r="M549" s="43"/>
      <c r="N549" s="43"/>
      <c r="O549" s="43"/>
      <c r="P549" s="43"/>
      <c r="Q549" s="43"/>
      <c r="R549" s="43"/>
      <c r="S549" s="43"/>
      <c r="T549" s="43"/>
      <c r="U549" s="43"/>
      <c r="V549" s="43"/>
      <c r="W549" s="43"/>
      <c r="X549" s="43"/>
      <c r="Y549" s="43"/>
      <c r="Z549" s="43"/>
      <c r="AA549" s="43"/>
      <c r="AB549" s="43"/>
      <c r="AC549" s="43"/>
      <c r="AD549" s="43"/>
      <c r="AE549" s="43"/>
      <c r="AF549" s="43"/>
      <c r="AG549" s="43"/>
      <c r="AH549" s="43"/>
      <c r="AI549" s="43"/>
      <c r="AJ549" s="43"/>
      <c r="AK549" s="43"/>
      <c r="AL549" s="43"/>
      <c r="AM549" s="43"/>
      <c r="AN549" s="43"/>
      <c r="AO549" s="43"/>
      <c r="AP549" s="43"/>
      <c r="AQ549" s="43"/>
      <c r="AR549" s="43"/>
      <c r="AS549" s="43"/>
      <c r="AT549" s="43"/>
      <c r="AU549" s="43"/>
      <c r="AV549" s="43"/>
      <c r="AW549" s="43"/>
      <c r="AX549" s="43"/>
      <c r="AY549" s="43"/>
      <c r="AZ549" s="43"/>
      <c r="BA549" s="43"/>
      <c r="BB549" s="43"/>
      <c r="BC549" s="43"/>
      <c r="BD549" s="43"/>
      <c r="BE549" s="43"/>
      <c r="BF549" s="43"/>
      <c r="BG549" s="43"/>
      <c r="BH549" s="43"/>
      <c r="BI549" s="43"/>
      <c r="BJ549" s="43"/>
      <c r="BK549" s="43"/>
      <c r="BL549" s="43"/>
      <c r="BM549" s="43"/>
      <c r="BN549" s="43"/>
      <c r="BO549" s="43"/>
      <c r="BP549" s="43"/>
      <c r="BQ549" s="43"/>
      <c r="BR549" s="43"/>
      <c r="BS549" s="43"/>
      <c r="BT549" s="43"/>
      <c r="BU549" s="43"/>
      <c r="BV549" s="43"/>
      <c r="BW549" s="43"/>
      <c r="BX549" s="43"/>
      <c r="BY549" s="43"/>
      <c r="BZ549" s="43"/>
      <c r="CA549" s="43"/>
      <c r="CB549" s="43"/>
      <c r="CC549" s="43"/>
      <c r="CD549" s="43"/>
      <c r="CE549" s="43"/>
      <c r="CF549" s="43"/>
      <c r="CG549" s="43"/>
      <c r="CH549" s="43"/>
      <c r="CI549" s="43"/>
      <c r="CJ549" s="43"/>
      <c r="CK549" s="43"/>
      <c r="CL549" s="43"/>
      <c r="CM549" s="43"/>
      <c r="CN549" s="43"/>
      <c r="CO549" s="43"/>
      <c r="CP549" s="43"/>
      <c r="CQ549" s="43"/>
      <c r="CR549" s="43"/>
      <c r="CS549" s="43"/>
      <c r="CT549" s="43"/>
      <c r="CU549" s="43"/>
      <c r="CV549" s="43"/>
      <c r="CW549" s="43"/>
      <c r="CX549" s="43"/>
      <c r="CY549" s="43"/>
      <c r="CZ549" s="43"/>
      <c r="DA549" s="43"/>
      <c r="DB549" s="43"/>
      <c r="DC549" s="43"/>
      <c r="DD549" s="43"/>
      <c r="DE549" s="43"/>
      <c r="DF549" s="43"/>
      <c r="DG549" s="43"/>
      <c r="DH549" s="43"/>
      <c r="DI549" s="43"/>
      <c r="DJ549" s="43"/>
      <c r="DK549" s="43"/>
      <c r="DL549" s="43"/>
      <c r="DM549" s="43"/>
      <c r="DN549" s="43"/>
      <c r="DO549" s="43"/>
      <c r="DP549" s="43"/>
      <c r="DQ549" s="43"/>
      <c r="DR549" s="43"/>
      <c r="DS549" s="43"/>
    </row>
    <row r="550" spans="1:123" ht="14.45">
      <c r="A550"/>
      <c r="B550"/>
      <c r="C550"/>
      <c r="D550"/>
      <c r="E550"/>
      <c r="F550"/>
      <c r="G550"/>
      <c r="H550"/>
      <c r="I550"/>
      <c r="J550"/>
      <c r="K550" s="43"/>
      <c r="L550" s="43"/>
      <c r="M550" s="43"/>
      <c r="N550" s="43"/>
      <c r="O550" s="43"/>
      <c r="P550" s="43"/>
      <c r="Q550" s="43"/>
      <c r="R550" s="43"/>
      <c r="S550" s="43"/>
      <c r="T550" s="43"/>
      <c r="U550" s="43"/>
      <c r="V550" s="43"/>
      <c r="W550" s="43"/>
      <c r="X550" s="43"/>
      <c r="Y550" s="43"/>
      <c r="Z550" s="43"/>
      <c r="AA550" s="43"/>
      <c r="AB550" s="43"/>
      <c r="AC550" s="43"/>
      <c r="AD550" s="43"/>
      <c r="AE550" s="43"/>
      <c r="AF550" s="43"/>
      <c r="AG550" s="43"/>
      <c r="AH550" s="43"/>
      <c r="AI550" s="43"/>
      <c r="AJ550" s="43"/>
      <c r="AK550" s="43"/>
      <c r="AL550" s="43"/>
      <c r="AM550" s="43"/>
      <c r="AN550" s="43"/>
      <c r="AO550" s="43"/>
      <c r="AP550" s="43"/>
      <c r="AQ550" s="43"/>
      <c r="AR550" s="43"/>
      <c r="AS550" s="43"/>
      <c r="AT550" s="43"/>
      <c r="AU550" s="43"/>
      <c r="AV550" s="43"/>
      <c r="AW550" s="43"/>
      <c r="AX550" s="43"/>
      <c r="AY550" s="43"/>
      <c r="AZ550" s="43"/>
      <c r="BA550" s="43"/>
      <c r="BB550" s="43"/>
      <c r="BC550" s="43"/>
      <c r="BD550" s="43"/>
      <c r="BE550" s="43"/>
      <c r="BF550" s="43"/>
      <c r="BG550" s="43"/>
      <c r="BH550" s="43"/>
      <c r="BI550" s="43"/>
      <c r="BJ550" s="43"/>
      <c r="BK550" s="43"/>
      <c r="BL550" s="43"/>
      <c r="BM550" s="43"/>
      <c r="BN550" s="43"/>
      <c r="BO550" s="43"/>
      <c r="BP550" s="43"/>
      <c r="BQ550" s="43"/>
      <c r="BR550" s="43"/>
      <c r="BS550" s="43"/>
      <c r="BT550" s="43"/>
      <c r="BU550" s="43"/>
      <c r="BV550" s="43"/>
      <c r="BW550" s="43"/>
      <c r="BX550" s="43"/>
      <c r="BY550" s="43"/>
      <c r="BZ550" s="43"/>
      <c r="CA550" s="43"/>
      <c r="CB550" s="43"/>
      <c r="CC550" s="43"/>
      <c r="CD550" s="43"/>
      <c r="CE550" s="43"/>
      <c r="CF550" s="43"/>
      <c r="CG550" s="43"/>
      <c r="CH550" s="43"/>
      <c r="CI550" s="43"/>
      <c r="CJ550" s="43"/>
      <c r="CK550" s="43"/>
      <c r="CL550" s="43"/>
      <c r="CM550" s="43"/>
      <c r="CN550" s="43"/>
      <c r="CO550" s="43"/>
      <c r="CP550" s="43"/>
      <c r="CQ550" s="43"/>
      <c r="CR550" s="43"/>
      <c r="CS550" s="43"/>
      <c r="CT550" s="43"/>
      <c r="CU550" s="43"/>
      <c r="CV550" s="43"/>
      <c r="CW550" s="43"/>
      <c r="CX550" s="43"/>
      <c r="CY550" s="43"/>
      <c r="CZ550" s="43"/>
      <c r="DA550" s="43"/>
      <c r="DB550" s="43"/>
      <c r="DC550" s="43"/>
      <c r="DD550" s="43"/>
      <c r="DE550" s="43"/>
      <c r="DF550" s="43"/>
      <c r="DG550" s="43"/>
      <c r="DH550" s="43"/>
      <c r="DI550" s="43"/>
      <c r="DJ550" s="43"/>
      <c r="DK550" s="43"/>
      <c r="DL550" s="43"/>
      <c r="DM550" s="43"/>
      <c r="DN550" s="43"/>
      <c r="DO550" s="43"/>
      <c r="DP550" s="43"/>
      <c r="DQ550" s="43"/>
      <c r="DR550" s="43"/>
      <c r="DS550" s="43"/>
    </row>
    <row r="551" spans="1:123" ht="14.45">
      <c r="A551"/>
      <c r="B551"/>
      <c r="C551"/>
      <c r="D551"/>
      <c r="E551"/>
      <c r="F551"/>
      <c r="G551"/>
      <c r="H551"/>
      <c r="I551"/>
      <c r="J551"/>
      <c r="K551" s="43"/>
      <c r="L551" s="43"/>
      <c r="M551" s="43"/>
      <c r="N551" s="43"/>
      <c r="O551" s="43"/>
      <c r="P551" s="43"/>
      <c r="Q551" s="43"/>
      <c r="R551" s="43"/>
      <c r="S551" s="43"/>
      <c r="T551" s="43"/>
      <c r="U551" s="43"/>
      <c r="V551" s="43"/>
      <c r="W551" s="43"/>
      <c r="X551" s="43"/>
      <c r="Y551" s="43"/>
      <c r="Z551" s="43"/>
      <c r="AA551" s="43"/>
      <c r="AB551" s="43"/>
      <c r="AC551" s="43"/>
      <c r="AD551" s="43"/>
      <c r="AE551" s="43"/>
      <c r="AF551" s="43"/>
      <c r="AG551" s="43"/>
      <c r="AH551" s="43"/>
      <c r="AI551" s="43"/>
      <c r="AJ551" s="43"/>
      <c r="AK551" s="43"/>
      <c r="AL551" s="43"/>
      <c r="AM551" s="43"/>
      <c r="AN551" s="43"/>
      <c r="AO551" s="43"/>
      <c r="AP551" s="43"/>
      <c r="AQ551" s="43"/>
      <c r="AR551" s="43"/>
      <c r="AS551" s="43"/>
      <c r="AT551" s="43"/>
      <c r="AU551" s="43"/>
      <c r="AV551" s="43"/>
      <c r="AW551" s="43"/>
      <c r="AX551" s="43"/>
      <c r="AY551" s="43"/>
      <c r="AZ551" s="43"/>
      <c r="BA551" s="43"/>
      <c r="BB551" s="43"/>
      <c r="BC551" s="43"/>
      <c r="BD551" s="43"/>
      <c r="BE551" s="43"/>
      <c r="BF551" s="43"/>
      <c r="BG551" s="43"/>
      <c r="BH551" s="43"/>
      <c r="BI551" s="43"/>
      <c r="BJ551" s="43"/>
      <c r="BK551" s="43"/>
      <c r="BL551" s="43"/>
      <c r="BM551" s="43"/>
      <c r="BN551" s="43"/>
      <c r="BO551" s="43"/>
      <c r="BP551" s="43"/>
      <c r="BQ551" s="43"/>
      <c r="BR551" s="43"/>
      <c r="BS551" s="43"/>
      <c r="BT551" s="43"/>
      <c r="BU551" s="43"/>
      <c r="BV551" s="43"/>
      <c r="BW551" s="43"/>
      <c r="BX551" s="43"/>
      <c r="BY551" s="43"/>
      <c r="BZ551" s="43"/>
      <c r="CA551" s="43"/>
      <c r="CB551" s="43"/>
      <c r="CC551" s="43"/>
      <c r="CD551" s="43"/>
      <c r="CE551" s="43"/>
      <c r="CF551" s="43"/>
      <c r="CG551" s="43"/>
      <c r="CH551" s="43"/>
      <c r="CI551" s="43"/>
      <c r="CJ551" s="43"/>
      <c r="CK551" s="43"/>
      <c r="CL551" s="43"/>
      <c r="CM551" s="43"/>
      <c r="CN551" s="43"/>
      <c r="CO551" s="43"/>
      <c r="CP551" s="43"/>
      <c r="CQ551" s="43"/>
      <c r="CR551" s="43"/>
      <c r="CS551" s="43"/>
      <c r="CT551" s="43"/>
      <c r="CU551" s="43"/>
      <c r="CV551" s="43"/>
      <c r="CW551" s="43"/>
      <c r="CX551" s="43"/>
      <c r="CY551" s="43"/>
      <c r="CZ551" s="43"/>
      <c r="DA551" s="43"/>
      <c r="DB551" s="43"/>
      <c r="DC551" s="43"/>
      <c r="DD551" s="43"/>
      <c r="DE551" s="43"/>
      <c r="DF551" s="43"/>
      <c r="DG551" s="43"/>
      <c r="DH551" s="43"/>
      <c r="DI551" s="43"/>
      <c r="DJ551" s="43"/>
      <c r="DK551" s="43"/>
      <c r="DL551" s="43"/>
      <c r="DM551" s="43"/>
      <c r="DN551" s="43"/>
      <c r="DO551" s="43"/>
      <c r="DP551" s="43"/>
      <c r="DQ551" s="43"/>
      <c r="DR551" s="43"/>
      <c r="DS551" s="43"/>
    </row>
    <row r="552" spans="1:123" ht="14.45">
      <c r="A552"/>
      <c r="B552"/>
      <c r="C552"/>
      <c r="D552"/>
      <c r="E552"/>
      <c r="F552"/>
      <c r="G552"/>
      <c r="H552"/>
      <c r="I552"/>
      <c r="J552"/>
      <c r="K552" s="43"/>
      <c r="L552" s="43"/>
      <c r="M552" s="43"/>
      <c r="N552" s="43"/>
      <c r="O552" s="43"/>
      <c r="P552" s="43"/>
      <c r="Q552" s="43"/>
      <c r="R552" s="43"/>
      <c r="S552" s="43"/>
      <c r="T552" s="43"/>
      <c r="U552" s="43"/>
      <c r="V552" s="43"/>
      <c r="W552" s="43"/>
      <c r="X552" s="43"/>
      <c r="Y552" s="43"/>
      <c r="Z552" s="43"/>
      <c r="AA552" s="43"/>
      <c r="AB552" s="43"/>
      <c r="AC552" s="43"/>
      <c r="AD552" s="43"/>
      <c r="AE552" s="43"/>
      <c r="AF552" s="43"/>
      <c r="AG552" s="43"/>
      <c r="AH552" s="43"/>
      <c r="AI552" s="43"/>
      <c r="AJ552" s="43"/>
      <c r="AK552" s="43"/>
      <c r="AL552" s="43"/>
      <c r="AM552" s="43"/>
      <c r="AN552" s="43"/>
      <c r="AO552" s="43"/>
      <c r="AP552" s="43"/>
      <c r="AQ552" s="43"/>
      <c r="AR552" s="43"/>
      <c r="AS552" s="43"/>
      <c r="AT552" s="43"/>
      <c r="AU552" s="43"/>
      <c r="AV552" s="43"/>
      <c r="AW552" s="43"/>
      <c r="AX552" s="43"/>
      <c r="AY552" s="43"/>
      <c r="AZ552" s="43"/>
      <c r="BA552" s="43"/>
      <c r="BB552" s="43"/>
      <c r="BC552" s="43"/>
      <c r="BD552" s="43"/>
      <c r="BE552" s="43"/>
      <c r="BF552" s="43"/>
      <c r="BG552" s="43"/>
      <c r="BH552" s="43"/>
      <c r="BI552" s="43"/>
      <c r="BJ552" s="43"/>
      <c r="BK552" s="43"/>
      <c r="BL552" s="43"/>
      <c r="BM552" s="43"/>
      <c r="BN552" s="43"/>
      <c r="BO552" s="43"/>
      <c r="BP552" s="43"/>
      <c r="BQ552" s="43"/>
      <c r="BR552" s="43"/>
      <c r="BS552" s="43"/>
      <c r="BT552" s="43"/>
      <c r="BU552" s="43"/>
      <c r="BV552" s="43"/>
      <c r="BW552" s="43"/>
      <c r="BX552" s="43"/>
      <c r="BY552" s="43"/>
      <c r="BZ552" s="43"/>
      <c r="CA552" s="43"/>
      <c r="CB552" s="43"/>
      <c r="CC552" s="43"/>
      <c r="CD552" s="43"/>
      <c r="CE552" s="43"/>
      <c r="CF552" s="43"/>
      <c r="CG552" s="43"/>
      <c r="CH552" s="43"/>
      <c r="CI552" s="43"/>
      <c r="CJ552" s="43"/>
      <c r="CK552" s="43"/>
      <c r="CL552" s="43"/>
      <c r="CM552" s="43"/>
      <c r="CN552" s="43"/>
      <c r="CO552" s="43"/>
      <c r="CP552" s="43"/>
      <c r="CQ552" s="43"/>
      <c r="CR552" s="43"/>
      <c r="CS552" s="43"/>
      <c r="CT552" s="43"/>
      <c r="CU552" s="43"/>
      <c r="CV552" s="43"/>
      <c r="CW552" s="43"/>
      <c r="CX552" s="43"/>
      <c r="CY552" s="43"/>
      <c r="CZ552" s="43"/>
      <c r="DA552" s="43"/>
      <c r="DB552" s="43"/>
      <c r="DC552" s="43"/>
      <c r="DD552" s="43"/>
      <c r="DE552" s="43"/>
      <c r="DF552" s="43"/>
      <c r="DG552" s="43"/>
      <c r="DH552" s="43"/>
      <c r="DI552" s="43"/>
      <c r="DJ552" s="43"/>
      <c r="DK552" s="43"/>
      <c r="DL552" s="43"/>
      <c r="DM552" s="43"/>
      <c r="DN552" s="43"/>
      <c r="DO552" s="43"/>
      <c r="DP552" s="43"/>
      <c r="DQ552" s="43"/>
      <c r="DR552" s="43"/>
      <c r="DS552" s="43"/>
    </row>
    <row r="553" spans="1:123" ht="14.45">
      <c r="A553"/>
      <c r="B553"/>
      <c r="C553"/>
      <c r="D553"/>
      <c r="E553"/>
      <c r="F553"/>
      <c r="G553"/>
      <c r="H553"/>
      <c r="I553"/>
      <c r="J553"/>
      <c r="K553" s="43"/>
      <c r="L553" s="43"/>
      <c r="M553" s="43"/>
      <c r="N553" s="43"/>
      <c r="O553" s="43"/>
      <c r="P553" s="43"/>
      <c r="Q553" s="43"/>
      <c r="R553" s="43"/>
      <c r="S553" s="43"/>
      <c r="T553" s="43"/>
      <c r="U553" s="43"/>
      <c r="V553" s="43"/>
      <c r="W553" s="43"/>
      <c r="X553" s="43"/>
      <c r="Y553" s="43"/>
      <c r="Z553" s="43"/>
      <c r="AA553" s="43"/>
      <c r="AB553" s="43"/>
      <c r="AC553" s="43"/>
      <c r="AD553" s="43"/>
      <c r="AE553" s="43"/>
      <c r="AF553" s="43"/>
      <c r="AG553" s="43"/>
      <c r="AH553" s="43"/>
      <c r="AI553" s="43"/>
      <c r="AJ553" s="43"/>
      <c r="AK553" s="43"/>
      <c r="AL553" s="43"/>
      <c r="AM553" s="43"/>
      <c r="AN553" s="43"/>
      <c r="AO553" s="43"/>
      <c r="AP553" s="43"/>
      <c r="AQ553" s="43"/>
      <c r="AR553" s="43"/>
      <c r="AS553" s="43"/>
      <c r="AT553" s="43"/>
      <c r="AU553" s="43"/>
      <c r="AV553" s="43"/>
      <c r="AW553" s="43"/>
      <c r="AX553" s="43"/>
      <c r="AY553" s="43"/>
      <c r="AZ553" s="43"/>
      <c r="BA553" s="43"/>
      <c r="BB553" s="43"/>
      <c r="BC553" s="43"/>
      <c r="BD553" s="43"/>
      <c r="BE553" s="43"/>
      <c r="BF553" s="43"/>
      <c r="BG553" s="43"/>
      <c r="BH553" s="43"/>
      <c r="BI553" s="43"/>
      <c r="BJ553" s="43"/>
      <c r="BK553" s="43"/>
      <c r="BL553" s="43"/>
      <c r="BM553" s="43"/>
      <c r="BN553" s="43"/>
      <c r="BO553" s="43"/>
      <c r="BP553" s="43"/>
      <c r="BQ553" s="43"/>
      <c r="BR553" s="43"/>
      <c r="BS553" s="43"/>
      <c r="BT553" s="43"/>
      <c r="BU553" s="43"/>
      <c r="BV553" s="43"/>
      <c r="BW553" s="43"/>
      <c r="BX553" s="43"/>
      <c r="BY553" s="43"/>
      <c r="BZ553" s="43"/>
      <c r="CA553" s="43"/>
      <c r="CB553" s="43"/>
      <c r="CC553" s="43"/>
      <c r="CD553" s="43"/>
      <c r="CE553" s="43"/>
      <c r="CF553" s="43"/>
      <c r="CG553" s="43"/>
      <c r="CH553" s="43"/>
      <c r="CI553" s="43"/>
      <c r="CJ553" s="43"/>
      <c r="CK553" s="43"/>
      <c r="CL553" s="43"/>
      <c r="CM553" s="43"/>
      <c r="CN553" s="43"/>
      <c r="CO553" s="43"/>
      <c r="CP553" s="43"/>
      <c r="CQ553" s="43"/>
      <c r="CR553" s="43"/>
      <c r="CS553" s="43"/>
      <c r="CT553" s="43"/>
      <c r="CU553" s="43"/>
      <c r="CV553" s="43"/>
      <c r="CW553" s="43"/>
      <c r="CX553" s="43"/>
      <c r="CY553" s="43"/>
      <c r="CZ553" s="43"/>
      <c r="DA553" s="43"/>
      <c r="DB553" s="43"/>
      <c r="DC553" s="43"/>
      <c r="DD553" s="43"/>
      <c r="DE553" s="43"/>
      <c r="DF553" s="43"/>
      <c r="DG553" s="43"/>
      <c r="DH553" s="43"/>
      <c r="DI553" s="43"/>
      <c r="DJ553" s="43"/>
      <c r="DK553" s="43"/>
      <c r="DL553" s="43"/>
      <c r="DM553" s="43"/>
      <c r="DN553" s="43"/>
      <c r="DO553" s="43"/>
      <c r="DP553" s="43"/>
      <c r="DQ553" s="43"/>
      <c r="DR553" s="43"/>
      <c r="DS553" s="43"/>
    </row>
    <row r="554" spans="1:123" ht="14.45">
      <c r="A554"/>
      <c r="B554"/>
      <c r="C554"/>
      <c r="D554"/>
      <c r="E554"/>
      <c r="F554"/>
      <c r="G554"/>
      <c r="H554"/>
      <c r="I554"/>
      <c r="J554"/>
      <c r="K554" s="43"/>
      <c r="L554" s="43"/>
      <c r="M554" s="43"/>
      <c r="N554" s="43"/>
      <c r="O554" s="43"/>
      <c r="P554" s="43"/>
      <c r="Q554" s="43"/>
      <c r="R554" s="43"/>
      <c r="S554" s="43"/>
      <c r="T554" s="43"/>
      <c r="U554" s="43"/>
      <c r="V554" s="43"/>
      <c r="W554" s="43"/>
      <c r="X554" s="43"/>
      <c r="Y554" s="43"/>
      <c r="Z554" s="43"/>
      <c r="AA554" s="43"/>
      <c r="AB554" s="43"/>
      <c r="AC554" s="43"/>
      <c r="AD554" s="43"/>
      <c r="AE554" s="43"/>
      <c r="AF554" s="43"/>
      <c r="AG554" s="43"/>
      <c r="AH554" s="43"/>
      <c r="AI554" s="43"/>
      <c r="AJ554" s="43"/>
      <c r="AK554" s="43"/>
      <c r="AL554" s="43"/>
      <c r="AM554" s="43"/>
      <c r="AN554" s="43"/>
      <c r="AO554" s="43"/>
      <c r="AP554" s="43"/>
      <c r="AQ554" s="43"/>
      <c r="AR554" s="43"/>
      <c r="AS554" s="43"/>
      <c r="AT554" s="43"/>
      <c r="AU554" s="43"/>
      <c r="AV554" s="43"/>
      <c r="AW554" s="43"/>
      <c r="AX554" s="43"/>
      <c r="AY554" s="43"/>
      <c r="AZ554" s="43"/>
      <c r="BA554" s="43"/>
      <c r="BB554" s="43"/>
      <c r="BC554" s="43"/>
      <c r="BD554" s="43"/>
      <c r="BE554" s="43"/>
      <c r="BF554" s="43"/>
      <c r="BG554" s="43"/>
      <c r="BH554" s="43"/>
      <c r="BI554" s="43"/>
      <c r="BJ554" s="43"/>
      <c r="BK554" s="43"/>
      <c r="BL554" s="43"/>
      <c r="BM554" s="43"/>
      <c r="BN554" s="43"/>
      <c r="BO554" s="43"/>
      <c r="BP554" s="43"/>
      <c r="BQ554" s="43"/>
      <c r="BR554" s="43"/>
      <c r="BS554" s="43"/>
      <c r="BT554" s="43"/>
      <c r="BU554" s="43"/>
      <c r="BV554" s="43"/>
      <c r="BW554" s="43"/>
      <c r="BX554" s="43"/>
      <c r="BY554" s="43"/>
      <c r="BZ554" s="43"/>
      <c r="CA554" s="43"/>
      <c r="CB554" s="43"/>
      <c r="CC554" s="43"/>
      <c r="CD554" s="43"/>
      <c r="CE554" s="43"/>
      <c r="CF554" s="43"/>
      <c r="CG554" s="43"/>
      <c r="CH554" s="43"/>
      <c r="CI554" s="43"/>
      <c r="CJ554" s="43"/>
      <c r="CK554" s="43"/>
      <c r="CL554" s="43"/>
      <c r="CM554" s="43"/>
      <c r="CN554" s="43"/>
      <c r="CO554" s="43"/>
      <c r="CP554" s="43"/>
      <c r="CQ554" s="43"/>
      <c r="CR554" s="43"/>
      <c r="CS554" s="43"/>
      <c r="CT554" s="43"/>
      <c r="CU554" s="43"/>
      <c r="CV554" s="43"/>
      <c r="CW554" s="43"/>
      <c r="CX554" s="43"/>
      <c r="CY554" s="43"/>
      <c r="CZ554" s="43"/>
      <c r="DA554" s="43"/>
      <c r="DB554" s="43"/>
      <c r="DC554" s="43"/>
      <c r="DD554" s="43"/>
      <c r="DE554" s="43"/>
      <c r="DF554" s="43"/>
      <c r="DG554" s="43"/>
      <c r="DH554" s="43"/>
      <c r="DI554" s="43"/>
      <c r="DJ554" s="43"/>
      <c r="DK554" s="43"/>
      <c r="DL554" s="43"/>
      <c r="DM554" s="43"/>
      <c r="DN554" s="43"/>
      <c r="DO554" s="43"/>
      <c r="DP554" s="43"/>
      <c r="DQ554" s="43"/>
      <c r="DR554" s="43"/>
      <c r="DS554" s="43"/>
    </row>
    <row r="555" spans="1:123" ht="14.45">
      <c r="A555"/>
      <c r="B555"/>
      <c r="C555"/>
      <c r="D555"/>
      <c r="E555"/>
      <c r="F555"/>
      <c r="G555"/>
      <c r="H555"/>
      <c r="I555"/>
      <c r="J555"/>
      <c r="K555" s="43"/>
      <c r="L555" s="43"/>
      <c r="M555" s="43"/>
      <c r="N555" s="43"/>
      <c r="O555" s="43"/>
      <c r="P555" s="43"/>
      <c r="Q555" s="43"/>
      <c r="R555" s="43"/>
      <c r="S555" s="43"/>
      <c r="T555" s="43"/>
      <c r="U555" s="43"/>
      <c r="V555" s="43"/>
      <c r="W555" s="43"/>
      <c r="X555" s="43"/>
      <c r="Y555" s="43"/>
      <c r="Z555" s="43"/>
      <c r="AA555" s="43"/>
      <c r="AB555" s="43"/>
      <c r="AC555" s="43"/>
      <c r="AD555" s="43"/>
      <c r="AE555" s="43"/>
      <c r="AF555" s="43"/>
      <c r="AG555" s="43"/>
      <c r="AH555" s="43"/>
      <c r="AI555" s="43"/>
      <c r="AJ555" s="43"/>
      <c r="AK555" s="43"/>
      <c r="AL555" s="43"/>
      <c r="AM555" s="43"/>
      <c r="AN555" s="43"/>
      <c r="AO555" s="43"/>
      <c r="AP555" s="43"/>
      <c r="AQ555" s="43"/>
      <c r="AR555" s="43"/>
      <c r="AS555" s="43"/>
      <c r="AT555" s="43"/>
      <c r="AU555" s="43"/>
      <c r="AV555" s="43"/>
      <c r="AW555" s="43"/>
      <c r="AX555" s="43"/>
      <c r="AY555" s="43"/>
      <c r="AZ555" s="43"/>
      <c r="BA555" s="43"/>
      <c r="BB555" s="43"/>
      <c r="BC555" s="43"/>
      <c r="BD555" s="43"/>
      <c r="BE555" s="43"/>
      <c r="BF555" s="43"/>
      <c r="BG555" s="43"/>
      <c r="BH555" s="43"/>
      <c r="BI555" s="43"/>
      <c r="BJ555" s="43"/>
      <c r="BK555" s="43"/>
      <c r="BL555" s="43"/>
      <c r="BM555" s="43"/>
      <c r="BN555" s="43"/>
      <c r="BO555" s="43"/>
      <c r="BP555" s="43"/>
      <c r="BQ555" s="43"/>
      <c r="BR555" s="43"/>
      <c r="BS555" s="43"/>
      <c r="BT555" s="43"/>
      <c r="BU555" s="43"/>
      <c r="BV555" s="43"/>
      <c r="BW555" s="43"/>
      <c r="BX555" s="43"/>
      <c r="BY555" s="43"/>
      <c r="BZ555" s="43"/>
      <c r="CA555" s="43"/>
      <c r="CB555" s="43"/>
      <c r="CC555" s="43"/>
      <c r="CD555" s="43"/>
      <c r="CE555" s="43"/>
      <c r="CF555" s="43"/>
      <c r="CG555" s="43"/>
      <c r="CH555" s="43"/>
      <c r="CI555" s="43"/>
      <c r="CJ555" s="43"/>
      <c r="CK555" s="43"/>
      <c r="CL555" s="43"/>
      <c r="CM555" s="43"/>
      <c r="CN555" s="43"/>
      <c r="CO555" s="43"/>
      <c r="CP555" s="43"/>
      <c r="CQ555" s="43"/>
      <c r="CR555" s="43"/>
      <c r="CS555" s="43"/>
      <c r="CT555" s="43"/>
      <c r="CU555" s="43"/>
      <c r="CV555" s="43"/>
      <c r="CW555" s="43"/>
      <c r="CX555" s="43"/>
      <c r="CY555" s="43"/>
      <c r="CZ555" s="43"/>
      <c r="DA555" s="43"/>
      <c r="DB555" s="43"/>
      <c r="DC555" s="43"/>
      <c r="DD555" s="43"/>
      <c r="DE555" s="43"/>
      <c r="DF555" s="43"/>
      <c r="DG555" s="43"/>
      <c r="DH555" s="43"/>
      <c r="DI555" s="43"/>
      <c r="DJ555" s="43"/>
      <c r="DK555" s="43"/>
      <c r="DL555" s="43"/>
      <c r="DM555" s="43"/>
      <c r="DN555" s="43"/>
      <c r="DO555" s="43"/>
      <c r="DP555" s="43"/>
      <c r="DQ555" s="43"/>
      <c r="DR555" s="43"/>
      <c r="DS555" s="43"/>
    </row>
    <row r="556" spans="1:123" ht="14.45">
      <c r="A556"/>
      <c r="B556"/>
      <c r="C556"/>
      <c r="D556"/>
      <c r="E556"/>
      <c r="F556"/>
      <c r="G556"/>
      <c r="H556"/>
      <c r="I556"/>
      <c r="J556"/>
      <c r="K556" s="43"/>
      <c r="L556" s="43"/>
      <c r="M556" s="43"/>
      <c r="N556" s="43"/>
      <c r="O556" s="43"/>
      <c r="P556" s="43"/>
      <c r="Q556" s="43"/>
      <c r="R556" s="43"/>
      <c r="S556" s="43"/>
      <c r="T556" s="43"/>
      <c r="U556" s="43"/>
      <c r="V556" s="43"/>
      <c r="W556" s="43"/>
      <c r="X556" s="43"/>
      <c r="Y556" s="43"/>
      <c r="Z556" s="43"/>
      <c r="AA556" s="43"/>
      <c r="AB556" s="43"/>
      <c r="AC556" s="43"/>
      <c r="AD556" s="43"/>
      <c r="AE556" s="43"/>
      <c r="AF556" s="43"/>
      <c r="AG556" s="43"/>
      <c r="AH556" s="43"/>
      <c r="AI556" s="43"/>
      <c r="AJ556" s="43"/>
      <c r="AK556" s="43"/>
      <c r="AL556" s="43"/>
      <c r="AM556" s="43"/>
      <c r="AN556" s="43"/>
      <c r="AO556" s="43"/>
      <c r="AP556" s="43"/>
      <c r="AQ556" s="43"/>
      <c r="AR556" s="43"/>
      <c r="AS556" s="43"/>
      <c r="AT556" s="43"/>
      <c r="AU556" s="43"/>
      <c r="AV556" s="43"/>
      <c r="AW556" s="43"/>
      <c r="AX556" s="43"/>
      <c r="AY556" s="43"/>
      <c r="AZ556" s="43"/>
      <c r="BA556" s="43"/>
      <c r="BB556" s="43"/>
      <c r="BC556" s="43"/>
      <c r="BD556" s="43"/>
      <c r="BE556" s="43"/>
      <c r="BF556" s="43"/>
      <c r="BG556" s="43"/>
      <c r="BH556" s="43"/>
      <c r="BI556" s="43"/>
      <c r="BJ556" s="43"/>
      <c r="BK556" s="43"/>
      <c r="BL556" s="43"/>
      <c r="BM556" s="43"/>
      <c r="BN556" s="43"/>
      <c r="BO556" s="43"/>
      <c r="BP556" s="43"/>
      <c r="BQ556" s="43"/>
      <c r="BR556" s="43"/>
      <c r="BS556" s="43"/>
      <c r="BT556" s="43"/>
      <c r="BU556" s="43"/>
      <c r="BV556" s="43"/>
      <c r="BW556" s="43"/>
      <c r="BX556" s="43"/>
      <c r="BY556" s="43"/>
      <c r="BZ556" s="43"/>
      <c r="CA556" s="43"/>
      <c r="CB556" s="43"/>
      <c r="CC556" s="43"/>
      <c r="CD556" s="43"/>
      <c r="CE556" s="43"/>
      <c r="CF556" s="43"/>
      <c r="CG556" s="43"/>
      <c r="CH556" s="43"/>
      <c r="CI556" s="43"/>
      <c r="CJ556" s="43"/>
      <c r="CK556" s="43"/>
      <c r="CL556" s="43"/>
      <c r="CM556" s="43"/>
      <c r="CN556" s="43"/>
      <c r="CO556" s="43"/>
      <c r="CP556" s="43"/>
      <c r="CQ556" s="43"/>
      <c r="CR556" s="43"/>
      <c r="CS556" s="43"/>
      <c r="CT556" s="43"/>
      <c r="CU556" s="43"/>
      <c r="CV556" s="43"/>
      <c r="CW556" s="43"/>
      <c r="CX556" s="43"/>
      <c r="CY556" s="43"/>
      <c r="CZ556" s="43"/>
      <c r="DA556" s="43"/>
      <c r="DB556" s="43"/>
      <c r="DC556" s="43"/>
      <c r="DD556" s="43"/>
      <c r="DE556" s="43"/>
      <c r="DF556" s="43"/>
      <c r="DG556" s="43"/>
      <c r="DH556" s="43"/>
      <c r="DI556" s="43"/>
      <c r="DJ556" s="43"/>
      <c r="DK556" s="43"/>
      <c r="DL556" s="43"/>
      <c r="DM556" s="43"/>
      <c r="DN556" s="43"/>
      <c r="DO556" s="43"/>
      <c r="DP556" s="43"/>
      <c r="DQ556" s="43"/>
      <c r="DR556" s="43"/>
      <c r="DS556" s="43"/>
    </row>
    <row r="557" spans="1:123" ht="14.45">
      <c r="A557"/>
      <c r="B557"/>
      <c r="C557"/>
      <c r="D557"/>
      <c r="E557"/>
      <c r="F557"/>
      <c r="G557"/>
      <c r="H557"/>
      <c r="I557"/>
      <c r="J557"/>
      <c r="K557" s="43"/>
      <c r="L557" s="43"/>
      <c r="M557" s="43"/>
      <c r="N557" s="43"/>
      <c r="O557" s="43"/>
      <c r="P557" s="43"/>
      <c r="Q557" s="43"/>
      <c r="R557" s="43"/>
      <c r="S557" s="43"/>
      <c r="T557" s="43"/>
      <c r="U557" s="43"/>
      <c r="V557" s="43"/>
      <c r="W557" s="43"/>
      <c r="X557" s="43"/>
      <c r="Y557" s="43"/>
      <c r="Z557" s="43"/>
      <c r="AA557" s="43"/>
      <c r="AB557" s="43"/>
      <c r="AC557" s="43"/>
      <c r="AD557" s="43"/>
      <c r="AE557" s="43"/>
      <c r="AF557" s="43"/>
      <c r="AG557" s="43"/>
      <c r="AH557" s="43"/>
      <c r="AI557" s="43"/>
      <c r="AJ557" s="43"/>
      <c r="AK557" s="43"/>
      <c r="AL557" s="43"/>
      <c r="AM557" s="43"/>
      <c r="AN557" s="43"/>
      <c r="AO557" s="43"/>
      <c r="AP557" s="43"/>
      <c r="AQ557" s="43"/>
      <c r="AR557" s="43"/>
      <c r="AS557" s="43"/>
      <c r="AT557" s="43"/>
      <c r="AU557" s="43"/>
      <c r="AV557" s="43"/>
      <c r="AW557" s="43"/>
      <c r="AX557" s="43"/>
      <c r="AY557" s="43"/>
      <c r="AZ557" s="43"/>
      <c r="BA557" s="43"/>
      <c r="BB557" s="43"/>
      <c r="BC557" s="43"/>
      <c r="BD557" s="43"/>
      <c r="BE557" s="43"/>
      <c r="BF557" s="43"/>
      <c r="BG557" s="43"/>
      <c r="BH557" s="43"/>
      <c r="BI557" s="43"/>
      <c r="BJ557" s="43"/>
      <c r="BK557" s="43"/>
      <c r="BL557" s="43"/>
      <c r="BM557" s="43"/>
      <c r="BN557" s="43"/>
      <c r="BO557" s="43"/>
      <c r="BP557" s="43"/>
      <c r="BQ557" s="43"/>
      <c r="BR557" s="43"/>
      <c r="BS557" s="43"/>
      <c r="BT557" s="43"/>
      <c r="BU557" s="43"/>
      <c r="BV557" s="43"/>
      <c r="BW557" s="43"/>
      <c r="BX557" s="43"/>
      <c r="BY557" s="43"/>
      <c r="BZ557" s="43"/>
      <c r="CA557" s="43"/>
      <c r="CB557" s="43"/>
      <c r="CC557" s="43"/>
      <c r="CD557" s="43"/>
      <c r="CE557" s="43"/>
      <c r="CF557" s="43"/>
      <c r="CG557" s="43"/>
      <c r="CH557" s="43"/>
      <c r="CI557" s="43"/>
      <c r="CJ557" s="43"/>
      <c r="CK557" s="43"/>
      <c r="CL557" s="43"/>
      <c r="CM557" s="43"/>
      <c r="CN557" s="43"/>
      <c r="CO557" s="43"/>
      <c r="CP557" s="43"/>
      <c r="CQ557" s="43"/>
      <c r="CR557" s="43"/>
      <c r="CS557" s="43"/>
      <c r="CT557" s="43"/>
      <c r="CU557" s="43"/>
      <c r="CV557" s="43"/>
      <c r="CW557" s="43"/>
      <c r="CX557" s="43"/>
      <c r="CY557" s="43"/>
      <c r="CZ557" s="43"/>
      <c r="DA557" s="43"/>
      <c r="DB557" s="43"/>
      <c r="DC557" s="43"/>
      <c r="DD557" s="43"/>
      <c r="DE557" s="43"/>
      <c r="DF557" s="43"/>
      <c r="DG557" s="43"/>
      <c r="DH557" s="43"/>
      <c r="DI557" s="43"/>
      <c r="DJ557" s="43"/>
      <c r="DK557" s="43"/>
      <c r="DL557" s="43"/>
      <c r="DM557" s="43"/>
      <c r="DN557" s="43"/>
      <c r="DO557" s="43"/>
      <c r="DP557" s="43"/>
      <c r="DQ557" s="43"/>
      <c r="DR557" s="43"/>
      <c r="DS557" s="43"/>
    </row>
    <row r="558" spans="1:123" ht="14.45">
      <c r="A558"/>
      <c r="B558"/>
      <c r="C558"/>
      <c r="D558"/>
      <c r="E558"/>
      <c r="F558"/>
      <c r="G558"/>
      <c r="H558"/>
      <c r="I558"/>
      <c r="J558"/>
      <c r="K558" s="43"/>
      <c r="L558" s="43"/>
      <c r="M558" s="43"/>
      <c r="N558" s="43"/>
      <c r="O558" s="43"/>
      <c r="P558" s="43"/>
      <c r="Q558" s="43"/>
      <c r="R558" s="43"/>
      <c r="S558" s="43"/>
      <c r="T558" s="43"/>
      <c r="U558" s="43"/>
      <c r="V558" s="43"/>
      <c r="W558" s="43"/>
      <c r="X558" s="43"/>
      <c r="Y558" s="43"/>
      <c r="Z558" s="43"/>
      <c r="AA558" s="43"/>
      <c r="AB558" s="43"/>
      <c r="AC558" s="43"/>
      <c r="AD558" s="43"/>
      <c r="AE558" s="43"/>
      <c r="AF558" s="43"/>
      <c r="AG558" s="43"/>
      <c r="AH558" s="43"/>
      <c r="AI558" s="43"/>
      <c r="AJ558" s="43"/>
      <c r="AK558" s="43"/>
      <c r="AL558" s="43"/>
      <c r="AM558" s="43"/>
      <c r="AN558" s="43"/>
      <c r="AO558" s="43"/>
      <c r="AP558" s="43"/>
      <c r="AQ558" s="43"/>
      <c r="AR558" s="43"/>
      <c r="AS558" s="43"/>
      <c r="AT558" s="43"/>
      <c r="AU558" s="43"/>
      <c r="AV558" s="43"/>
      <c r="AW558" s="43"/>
      <c r="AX558" s="43"/>
      <c r="AY558" s="43"/>
      <c r="AZ558" s="43"/>
      <c r="BA558" s="43"/>
      <c r="BB558" s="43"/>
      <c r="BC558" s="43"/>
      <c r="BD558" s="43"/>
      <c r="BE558" s="43"/>
      <c r="BF558" s="43"/>
      <c r="BG558" s="43"/>
      <c r="BH558" s="43"/>
      <c r="BI558" s="43"/>
      <c r="BJ558" s="43"/>
      <c r="BK558" s="43"/>
      <c r="BL558" s="43"/>
      <c r="BM558" s="43"/>
      <c r="BN558" s="43"/>
      <c r="BO558" s="43"/>
      <c r="BP558" s="43"/>
      <c r="BQ558" s="43"/>
      <c r="BR558" s="43"/>
      <c r="BS558" s="43"/>
      <c r="BT558" s="43"/>
      <c r="BU558" s="43"/>
      <c r="BV558" s="43"/>
      <c r="BW558" s="43"/>
      <c r="BX558" s="43"/>
      <c r="BY558" s="43"/>
      <c r="BZ558" s="43"/>
      <c r="CA558" s="43"/>
      <c r="CB558" s="43"/>
      <c r="CC558" s="43"/>
      <c r="CD558" s="43"/>
      <c r="CE558" s="43"/>
      <c r="CF558" s="43"/>
      <c r="CG558" s="43"/>
      <c r="CH558" s="43"/>
      <c r="CI558" s="43"/>
      <c r="CJ558" s="43"/>
      <c r="CK558" s="43"/>
      <c r="CL558" s="43"/>
      <c r="CM558" s="43"/>
      <c r="CN558" s="43"/>
      <c r="CO558" s="43"/>
      <c r="CP558" s="43"/>
      <c r="CQ558" s="43"/>
      <c r="CR558" s="43"/>
      <c r="CS558" s="43"/>
      <c r="CT558" s="43"/>
      <c r="CU558" s="43"/>
      <c r="CV558" s="43"/>
      <c r="CW558" s="43"/>
      <c r="CX558" s="43"/>
      <c r="CY558" s="43"/>
      <c r="CZ558" s="43"/>
      <c r="DA558" s="43"/>
      <c r="DB558" s="43"/>
      <c r="DC558" s="43"/>
      <c r="DD558" s="43"/>
      <c r="DE558" s="43"/>
      <c r="DF558" s="43"/>
      <c r="DG558" s="43"/>
      <c r="DH558" s="43"/>
      <c r="DI558" s="43"/>
      <c r="DJ558" s="43"/>
      <c r="DK558" s="43"/>
      <c r="DL558" s="43"/>
      <c r="DM558" s="43"/>
      <c r="DN558" s="43"/>
      <c r="DO558" s="43"/>
      <c r="DP558" s="43"/>
      <c r="DQ558" s="43"/>
      <c r="DR558" s="43"/>
      <c r="DS558" s="43"/>
    </row>
    <row r="559" spans="1:123" ht="14.45">
      <c r="A559"/>
      <c r="B559"/>
      <c r="C559"/>
      <c r="D559"/>
      <c r="E559"/>
      <c r="F559"/>
      <c r="G559"/>
      <c r="H559"/>
      <c r="I559"/>
      <c r="J559"/>
      <c r="K559" s="43"/>
      <c r="L559" s="43"/>
      <c r="M559" s="43"/>
      <c r="N559" s="43"/>
      <c r="O559" s="43"/>
      <c r="P559" s="43"/>
      <c r="Q559" s="43"/>
      <c r="R559" s="43"/>
      <c r="S559" s="43"/>
      <c r="T559" s="43"/>
      <c r="U559" s="43"/>
      <c r="V559" s="43"/>
      <c r="W559" s="43"/>
      <c r="X559" s="43"/>
      <c r="Y559" s="43"/>
      <c r="Z559" s="43"/>
      <c r="AA559" s="43"/>
      <c r="AB559" s="43"/>
      <c r="AC559" s="43"/>
      <c r="AD559" s="43"/>
      <c r="AE559" s="43"/>
      <c r="AF559" s="43"/>
      <c r="AG559" s="43"/>
      <c r="AH559" s="43"/>
      <c r="AI559" s="43"/>
      <c r="AJ559" s="43"/>
      <c r="AK559" s="43"/>
      <c r="AL559" s="43"/>
      <c r="AM559" s="43"/>
      <c r="AN559" s="43"/>
      <c r="AO559" s="43"/>
      <c r="AP559" s="43"/>
      <c r="AQ559" s="43"/>
      <c r="AR559" s="43"/>
      <c r="AS559" s="43"/>
      <c r="AT559" s="43"/>
      <c r="AU559" s="43"/>
      <c r="AV559" s="43"/>
      <c r="AW559" s="43"/>
      <c r="AX559" s="43"/>
      <c r="AY559" s="43"/>
      <c r="AZ559" s="43"/>
      <c r="BA559" s="43"/>
      <c r="BB559" s="43"/>
      <c r="BC559" s="43"/>
      <c r="BD559" s="43"/>
      <c r="BE559" s="43"/>
      <c r="BF559" s="43"/>
      <c r="BG559" s="43"/>
      <c r="BH559" s="43"/>
      <c r="BI559" s="43"/>
      <c r="BJ559" s="43"/>
      <c r="BK559" s="43"/>
      <c r="BL559" s="43"/>
      <c r="BM559" s="43"/>
      <c r="BN559" s="43"/>
      <c r="BO559" s="43"/>
      <c r="BP559" s="43"/>
      <c r="BQ559" s="43"/>
      <c r="BR559" s="43"/>
      <c r="BS559" s="43"/>
      <c r="BT559" s="43"/>
      <c r="BU559" s="43"/>
      <c r="BV559" s="43"/>
      <c r="BW559" s="43"/>
      <c r="BX559" s="43"/>
      <c r="BY559" s="43"/>
      <c r="BZ559" s="43"/>
      <c r="CA559" s="43"/>
      <c r="CB559" s="43"/>
      <c r="CC559" s="43"/>
      <c r="CD559" s="43"/>
      <c r="CE559" s="43"/>
      <c r="CF559" s="43"/>
      <c r="CG559" s="43"/>
      <c r="CH559" s="43"/>
      <c r="CI559" s="43"/>
      <c r="CJ559" s="43"/>
      <c r="CK559" s="43"/>
      <c r="CL559" s="43"/>
      <c r="CM559" s="43"/>
      <c r="CN559" s="43"/>
      <c r="CO559" s="43"/>
      <c r="CP559" s="43"/>
      <c r="CQ559" s="43"/>
      <c r="CR559" s="43"/>
      <c r="CS559" s="43"/>
      <c r="CT559" s="43"/>
      <c r="CU559" s="43"/>
      <c r="CV559" s="43"/>
      <c r="CW559" s="43"/>
      <c r="CX559" s="43"/>
      <c r="CY559" s="43"/>
      <c r="CZ559" s="43"/>
      <c r="DA559" s="43"/>
      <c r="DB559" s="43"/>
      <c r="DC559" s="43"/>
      <c r="DD559" s="43"/>
      <c r="DE559" s="43"/>
      <c r="DF559" s="43"/>
      <c r="DG559" s="43"/>
      <c r="DH559" s="43"/>
      <c r="DI559" s="43"/>
      <c r="DJ559" s="43"/>
      <c r="DK559" s="43"/>
      <c r="DL559" s="43"/>
      <c r="DM559" s="43"/>
      <c r="DN559" s="43"/>
      <c r="DO559" s="43"/>
      <c r="DP559" s="43"/>
      <c r="DQ559" s="43"/>
      <c r="DR559" s="43"/>
      <c r="DS559" s="43"/>
    </row>
    <row r="560" spans="1:123" ht="14.45">
      <c r="A560"/>
      <c r="B560"/>
      <c r="C560"/>
      <c r="D560"/>
      <c r="E560"/>
      <c r="F560"/>
      <c r="G560"/>
      <c r="H560"/>
      <c r="I560"/>
      <c r="J560"/>
      <c r="K560" s="43"/>
      <c r="L560" s="43"/>
      <c r="M560" s="43"/>
      <c r="N560" s="43"/>
      <c r="O560" s="43"/>
      <c r="P560" s="43"/>
      <c r="Q560" s="43"/>
      <c r="R560" s="43"/>
      <c r="S560" s="43"/>
      <c r="T560" s="43"/>
      <c r="U560" s="43"/>
      <c r="V560" s="43"/>
      <c r="W560" s="43"/>
      <c r="X560" s="43"/>
      <c r="Y560" s="43"/>
      <c r="Z560" s="43"/>
      <c r="AA560" s="43"/>
      <c r="AB560" s="43"/>
      <c r="AC560" s="43"/>
      <c r="AD560" s="43"/>
      <c r="AE560" s="43"/>
      <c r="AF560" s="43"/>
      <c r="AG560" s="43"/>
      <c r="AH560" s="43"/>
      <c r="AI560" s="43"/>
      <c r="AJ560" s="43"/>
      <c r="AK560" s="43"/>
      <c r="AL560" s="43"/>
      <c r="AM560" s="43"/>
      <c r="AN560" s="43"/>
      <c r="AO560" s="43"/>
      <c r="AP560" s="43"/>
      <c r="AQ560" s="43"/>
      <c r="AR560" s="43"/>
      <c r="AS560" s="43"/>
      <c r="AT560" s="43"/>
      <c r="AU560" s="43"/>
      <c r="AV560" s="43"/>
      <c r="AW560" s="43"/>
      <c r="AX560" s="43"/>
      <c r="AY560" s="43"/>
      <c r="AZ560" s="43"/>
      <c r="BA560" s="43"/>
      <c r="BB560" s="43"/>
      <c r="BC560" s="43"/>
      <c r="BD560" s="43"/>
      <c r="BE560" s="43"/>
      <c r="BF560" s="43"/>
      <c r="BG560" s="43"/>
      <c r="BH560" s="43"/>
      <c r="BI560" s="43"/>
      <c r="BJ560" s="43"/>
      <c r="BK560" s="43"/>
      <c r="BL560" s="43"/>
      <c r="BM560" s="43"/>
      <c r="BN560" s="43"/>
      <c r="BO560" s="43"/>
      <c r="BP560" s="43"/>
      <c r="BQ560" s="43"/>
      <c r="BR560" s="43"/>
      <c r="BS560" s="43"/>
      <c r="BT560" s="43"/>
      <c r="BU560" s="43"/>
      <c r="BV560" s="43"/>
      <c r="BW560" s="43"/>
      <c r="BX560" s="43"/>
      <c r="BY560" s="43"/>
      <c r="BZ560" s="43"/>
      <c r="CA560" s="43"/>
      <c r="CB560" s="43"/>
      <c r="CC560" s="43"/>
      <c r="CD560" s="43"/>
      <c r="CE560" s="43"/>
      <c r="CF560" s="43"/>
      <c r="CG560" s="43"/>
      <c r="CH560" s="43"/>
      <c r="CI560" s="43"/>
      <c r="CJ560" s="43"/>
      <c r="CK560" s="43"/>
      <c r="CL560" s="43"/>
      <c r="CM560" s="43"/>
      <c r="CN560" s="43"/>
      <c r="CO560" s="43"/>
      <c r="CP560" s="43"/>
      <c r="CQ560" s="43"/>
      <c r="CR560" s="43"/>
      <c r="CS560" s="43"/>
      <c r="CT560" s="43"/>
      <c r="CU560" s="43"/>
      <c r="CV560" s="43"/>
      <c r="CW560" s="43"/>
      <c r="CX560" s="43"/>
      <c r="CY560" s="43"/>
      <c r="CZ560" s="43"/>
      <c r="DA560" s="43"/>
      <c r="DB560" s="43"/>
      <c r="DC560" s="43"/>
      <c r="DD560" s="43"/>
      <c r="DE560" s="43"/>
      <c r="DF560" s="43"/>
      <c r="DG560" s="43"/>
      <c r="DH560" s="43"/>
      <c r="DI560" s="43"/>
      <c r="DJ560" s="43"/>
      <c r="DK560" s="43"/>
      <c r="DL560" s="43"/>
      <c r="DM560" s="43"/>
      <c r="DN560" s="43"/>
      <c r="DO560" s="43"/>
      <c r="DP560" s="43"/>
      <c r="DQ560" s="43"/>
      <c r="DR560" s="43"/>
      <c r="DS560" s="43"/>
    </row>
    <row r="561" spans="1:123" ht="14.45">
      <c r="A561"/>
      <c r="B561"/>
      <c r="C561"/>
      <c r="D561"/>
      <c r="E561"/>
      <c r="F561"/>
      <c r="G561"/>
      <c r="H561"/>
      <c r="I561"/>
      <c r="J561"/>
      <c r="K561" s="43"/>
      <c r="L561" s="43"/>
      <c r="M561" s="43"/>
      <c r="N561" s="43"/>
      <c r="O561" s="43"/>
      <c r="P561" s="43"/>
      <c r="Q561" s="43"/>
      <c r="R561" s="43"/>
      <c r="S561" s="43"/>
      <c r="T561" s="43"/>
      <c r="U561" s="43"/>
      <c r="V561" s="43"/>
      <c r="W561" s="43"/>
      <c r="X561" s="43"/>
      <c r="Y561" s="43"/>
      <c r="Z561" s="43"/>
      <c r="AA561" s="43"/>
      <c r="AB561" s="43"/>
      <c r="AC561" s="43"/>
      <c r="AD561" s="43"/>
      <c r="AE561" s="43"/>
      <c r="AF561" s="43"/>
      <c r="AG561" s="43"/>
      <c r="AH561" s="43"/>
      <c r="AI561" s="43"/>
      <c r="AJ561" s="43"/>
      <c r="AK561" s="43"/>
      <c r="AL561" s="43"/>
      <c r="AM561" s="43"/>
      <c r="AN561" s="43"/>
      <c r="AO561" s="43"/>
      <c r="AP561" s="43"/>
      <c r="AQ561" s="43"/>
      <c r="AR561" s="43"/>
      <c r="AS561" s="43"/>
      <c r="AT561" s="43"/>
      <c r="AU561" s="43"/>
      <c r="AV561" s="43"/>
      <c r="AW561" s="43"/>
      <c r="AX561" s="43"/>
      <c r="AY561" s="43"/>
      <c r="AZ561" s="43"/>
      <c r="BA561" s="43"/>
      <c r="BB561" s="43"/>
      <c r="BC561" s="43"/>
      <c r="BD561" s="43"/>
      <c r="BE561" s="43"/>
      <c r="BF561" s="43"/>
      <c r="BG561" s="43"/>
      <c r="BH561" s="43"/>
      <c r="BI561" s="43"/>
      <c r="BJ561" s="43"/>
      <c r="BK561" s="43"/>
      <c r="BL561" s="43"/>
      <c r="BM561" s="43"/>
      <c r="BN561" s="43"/>
      <c r="BO561" s="43"/>
      <c r="BP561" s="43"/>
      <c r="BQ561" s="43"/>
      <c r="BR561" s="43"/>
      <c r="BS561" s="43"/>
      <c r="BT561" s="43"/>
      <c r="BU561" s="43"/>
      <c r="BV561" s="43"/>
      <c r="BW561" s="43"/>
      <c r="BX561" s="43"/>
      <c r="BY561" s="43"/>
      <c r="BZ561" s="43"/>
      <c r="CA561" s="43"/>
      <c r="CB561" s="43"/>
      <c r="CC561" s="43"/>
      <c r="CD561" s="43"/>
      <c r="CE561" s="43"/>
      <c r="CF561" s="43"/>
      <c r="CG561" s="43"/>
      <c r="CH561" s="43"/>
      <c r="CI561" s="43"/>
      <c r="CJ561" s="43"/>
      <c r="CK561" s="43"/>
      <c r="CL561" s="43"/>
      <c r="CM561" s="43"/>
      <c r="CN561" s="43"/>
      <c r="CO561" s="43"/>
      <c r="CP561" s="43"/>
      <c r="CQ561" s="43"/>
      <c r="CR561" s="43"/>
      <c r="CS561" s="43"/>
      <c r="CT561" s="43"/>
      <c r="CU561" s="43"/>
      <c r="CV561" s="43"/>
      <c r="CW561" s="43"/>
      <c r="CX561" s="43"/>
      <c r="CY561" s="43"/>
      <c r="CZ561" s="43"/>
      <c r="DA561" s="43"/>
      <c r="DB561" s="43"/>
      <c r="DC561" s="43"/>
      <c r="DD561" s="43"/>
      <c r="DE561" s="43"/>
      <c r="DF561" s="43"/>
      <c r="DG561" s="43"/>
      <c r="DH561" s="43"/>
      <c r="DI561" s="43"/>
      <c r="DJ561" s="43"/>
      <c r="DK561" s="43"/>
      <c r="DL561" s="43"/>
      <c r="DM561" s="43"/>
      <c r="DN561" s="43"/>
      <c r="DO561" s="43"/>
      <c r="DP561" s="43"/>
      <c r="DQ561" s="43"/>
      <c r="DR561" s="43"/>
      <c r="DS561" s="43"/>
    </row>
    <row r="562" spans="1:123" ht="14.45">
      <c r="A562"/>
      <c r="B562"/>
      <c r="C562"/>
      <c r="D562"/>
      <c r="E562"/>
      <c r="F562"/>
      <c r="G562"/>
      <c r="H562"/>
      <c r="I562"/>
      <c r="J562"/>
      <c r="K562" s="43"/>
      <c r="L562" s="43"/>
      <c r="M562" s="43"/>
      <c r="N562" s="43"/>
      <c r="O562" s="43"/>
      <c r="P562" s="43"/>
      <c r="Q562" s="43"/>
      <c r="R562" s="43"/>
      <c r="S562" s="43"/>
      <c r="T562" s="43"/>
      <c r="U562" s="43"/>
      <c r="V562" s="43"/>
      <c r="W562" s="43"/>
      <c r="X562" s="43"/>
      <c r="Y562" s="43"/>
      <c r="Z562" s="43"/>
      <c r="AA562" s="43"/>
      <c r="AB562" s="43"/>
      <c r="AC562" s="43"/>
      <c r="AD562" s="43"/>
      <c r="AE562" s="43"/>
      <c r="AF562" s="43"/>
      <c r="AG562" s="43"/>
      <c r="AH562" s="43"/>
      <c r="AI562" s="43"/>
      <c r="AJ562" s="43"/>
      <c r="AK562" s="43"/>
      <c r="AL562" s="43"/>
      <c r="AM562" s="43"/>
      <c r="AN562" s="43"/>
      <c r="AO562" s="43"/>
      <c r="AP562" s="43"/>
      <c r="AQ562" s="43"/>
      <c r="AR562" s="43"/>
      <c r="AS562" s="43"/>
      <c r="AT562" s="43"/>
      <c r="AU562" s="43"/>
      <c r="AV562" s="43"/>
      <c r="AW562" s="43"/>
      <c r="AX562" s="43"/>
      <c r="AY562" s="43"/>
      <c r="AZ562" s="43"/>
      <c r="BA562" s="43"/>
      <c r="BB562" s="43"/>
      <c r="BC562" s="43"/>
      <c r="BD562" s="43"/>
      <c r="BE562" s="43"/>
      <c r="BF562" s="43"/>
      <c r="BG562" s="43"/>
      <c r="BH562" s="43"/>
      <c r="BI562" s="43"/>
      <c r="BJ562" s="43"/>
      <c r="BK562" s="43"/>
      <c r="BL562" s="43"/>
      <c r="BM562" s="43"/>
      <c r="BN562" s="43"/>
      <c r="BO562" s="43"/>
      <c r="BP562" s="43"/>
      <c r="BQ562" s="43"/>
      <c r="BR562" s="43"/>
      <c r="BS562" s="43"/>
      <c r="BT562" s="43"/>
      <c r="BU562" s="43"/>
      <c r="BV562" s="43"/>
      <c r="BW562" s="43"/>
      <c r="BX562" s="43"/>
      <c r="BY562" s="43"/>
      <c r="BZ562" s="43"/>
      <c r="CA562" s="43"/>
      <c r="CB562" s="43"/>
      <c r="CC562" s="43"/>
      <c r="CD562" s="43"/>
      <c r="CE562" s="43"/>
      <c r="CF562" s="43"/>
      <c r="CG562" s="43"/>
      <c r="CH562" s="43"/>
      <c r="CI562" s="43"/>
      <c r="CJ562" s="43"/>
      <c r="CK562" s="43"/>
      <c r="CL562" s="43"/>
      <c r="CM562" s="43"/>
      <c r="CN562" s="43"/>
      <c r="CO562" s="43"/>
      <c r="CP562" s="43"/>
      <c r="CQ562" s="43"/>
      <c r="CR562" s="43"/>
      <c r="CS562" s="43"/>
      <c r="CT562" s="43"/>
      <c r="CU562" s="43"/>
      <c r="CV562" s="43"/>
      <c r="CW562" s="43"/>
      <c r="CX562" s="43"/>
      <c r="CY562" s="43"/>
      <c r="CZ562" s="43"/>
      <c r="DA562" s="43"/>
      <c r="DB562" s="43"/>
      <c r="DC562" s="43"/>
      <c r="DD562" s="43"/>
      <c r="DE562" s="43"/>
      <c r="DF562" s="43"/>
      <c r="DG562" s="43"/>
      <c r="DH562" s="43"/>
      <c r="DI562" s="43"/>
      <c r="DJ562" s="43"/>
      <c r="DK562" s="43"/>
      <c r="DL562" s="43"/>
      <c r="DM562" s="43"/>
      <c r="DN562" s="43"/>
      <c r="DO562" s="43"/>
      <c r="DP562" s="43"/>
      <c r="DQ562" s="43"/>
      <c r="DR562" s="43"/>
      <c r="DS562" s="43"/>
    </row>
    <row r="563" spans="1:123" ht="14.45">
      <c r="A563"/>
      <c r="B563"/>
      <c r="C563"/>
      <c r="D563"/>
      <c r="E563"/>
      <c r="F563"/>
      <c r="G563"/>
      <c r="H563"/>
      <c r="I563"/>
      <c r="J563"/>
      <c r="K563" s="43"/>
      <c r="L563" s="43"/>
      <c r="M563" s="43"/>
      <c r="N563" s="43"/>
      <c r="O563" s="43"/>
      <c r="P563" s="43"/>
      <c r="Q563" s="43"/>
      <c r="R563" s="43"/>
      <c r="S563" s="43"/>
      <c r="T563" s="43"/>
      <c r="U563" s="43"/>
      <c r="V563" s="43"/>
      <c r="W563" s="43"/>
      <c r="X563" s="43"/>
      <c r="Y563" s="43"/>
      <c r="Z563" s="43"/>
      <c r="AA563" s="43"/>
      <c r="AB563" s="43"/>
      <c r="AC563" s="43"/>
      <c r="AD563" s="43"/>
      <c r="AE563" s="43"/>
      <c r="AF563" s="43"/>
      <c r="AG563" s="43"/>
      <c r="AH563" s="43"/>
      <c r="AI563" s="43"/>
      <c r="AJ563" s="43"/>
      <c r="AK563" s="43"/>
      <c r="AL563" s="43"/>
      <c r="AM563" s="43"/>
      <c r="AN563" s="43"/>
      <c r="AO563" s="43"/>
      <c r="AP563" s="43"/>
      <c r="AQ563" s="43"/>
      <c r="AR563" s="43"/>
      <c r="AS563" s="43"/>
      <c r="AT563" s="43"/>
      <c r="AU563" s="43"/>
      <c r="AV563" s="43"/>
      <c r="AW563" s="43"/>
      <c r="AX563" s="43"/>
      <c r="AY563" s="43"/>
      <c r="AZ563" s="43"/>
      <c r="BA563" s="43"/>
      <c r="BB563" s="43"/>
      <c r="BC563" s="43"/>
      <c r="BD563" s="43"/>
      <c r="BE563" s="43"/>
      <c r="BF563" s="43"/>
      <c r="BG563" s="43"/>
      <c r="BH563" s="43"/>
      <c r="BI563" s="43"/>
      <c r="BJ563" s="43"/>
      <c r="BK563" s="43"/>
      <c r="BL563" s="43"/>
      <c r="BM563" s="43"/>
      <c r="BN563" s="43"/>
      <c r="BO563" s="43"/>
      <c r="BP563" s="43"/>
      <c r="BQ563" s="43"/>
      <c r="BR563" s="43"/>
      <c r="BS563" s="43"/>
      <c r="BT563" s="43"/>
      <c r="BU563" s="43"/>
      <c r="BV563" s="43"/>
      <c r="BW563" s="43"/>
      <c r="BX563" s="43"/>
      <c r="BY563" s="43"/>
      <c r="BZ563" s="43"/>
      <c r="CA563" s="43"/>
      <c r="CB563" s="43"/>
      <c r="CC563" s="43"/>
      <c r="CD563" s="43"/>
      <c r="CE563" s="43"/>
      <c r="CF563" s="43"/>
      <c r="CG563" s="43"/>
      <c r="CH563" s="43"/>
      <c r="CI563" s="43"/>
      <c r="CJ563" s="43"/>
      <c r="CK563" s="43"/>
      <c r="CL563" s="43"/>
      <c r="CM563" s="43"/>
      <c r="CN563" s="43"/>
      <c r="CO563" s="43"/>
      <c r="CP563" s="43"/>
      <c r="CQ563" s="43"/>
      <c r="CR563" s="43"/>
      <c r="CS563" s="43"/>
      <c r="CT563" s="43"/>
      <c r="CU563" s="43"/>
      <c r="CV563" s="43"/>
      <c r="CW563" s="43"/>
      <c r="CX563" s="43"/>
      <c r="CY563" s="43"/>
      <c r="CZ563" s="43"/>
      <c r="DA563" s="43"/>
      <c r="DB563" s="43"/>
      <c r="DC563" s="43"/>
      <c r="DD563" s="43"/>
      <c r="DE563" s="43"/>
      <c r="DF563" s="43"/>
      <c r="DG563" s="43"/>
      <c r="DH563" s="43"/>
      <c r="DI563" s="43"/>
      <c r="DJ563" s="43"/>
      <c r="DK563" s="43"/>
      <c r="DL563" s="43"/>
      <c r="DM563" s="43"/>
      <c r="DN563" s="43"/>
      <c r="DO563" s="43"/>
      <c r="DP563" s="43"/>
      <c r="DQ563" s="43"/>
      <c r="DR563" s="43"/>
      <c r="DS563" s="43"/>
    </row>
    <row r="564" spans="1:123" ht="14.45">
      <c r="A564"/>
      <c r="B564"/>
      <c r="C564"/>
      <c r="D564"/>
      <c r="E564"/>
      <c r="F564"/>
      <c r="G564"/>
      <c r="H564"/>
      <c r="I564"/>
      <c r="J564"/>
      <c r="K564" s="43"/>
      <c r="L564" s="43"/>
      <c r="M564" s="43"/>
      <c r="N564" s="43"/>
      <c r="O564" s="43"/>
      <c r="P564" s="43"/>
      <c r="Q564" s="43"/>
      <c r="R564" s="43"/>
      <c r="S564" s="43"/>
      <c r="T564" s="43"/>
      <c r="U564" s="43"/>
      <c r="V564" s="43"/>
      <c r="W564" s="43"/>
      <c r="X564" s="43"/>
      <c r="Y564" s="43"/>
      <c r="Z564" s="43"/>
      <c r="AA564" s="43"/>
      <c r="AB564" s="43"/>
      <c r="AC564" s="43"/>
      <c r="AD564" s="43"/>
      <c r="AE564" s="43"/>
      <c r="AF564" s="43"/>
      <c r="AG564" s="43"/>
      <c r="AH564" s="43"/>
      <c r="AI564" s="43"/>
      <c r="AJ564" s="43"/>
      <c r="AK564" s="43"/>
      <c r="AL564" s="43"/>
      <c r="AM564" s="43"/>
      <c r="AN564" s="43"/>
      <c r="AO564" s="43"/>
      <c r="AP564" s="43"/>
      <c r="AQ564" s="43"/>
      <c r="AR564" s="43"/>
      <c r="AS564" s="43"/>
      <c r="AT564" s="43"/>
      <c r="AU564" s="43"/>
      <c r="AV564" s="43"/>
      <c r="AW564" s="43"/>
      <c r="AX564" s="43"/>
      <c r="AY564" s="43"/>
      <c r="AZ564" s="43"/>
      <c r="BA564" s="43"/>
      <c r="BB564" s="43"/>
      <c r="BC564" s="43"/>
      <c r="BD564" s="43"/>
      <c r="BE564" s="43"/>
      <c r="BF564" s="43"/>
      <c r="BG564" s="43"/>
      <c r="BH564" s="43"/>
      <c r="BI564" s="43"/>
      <c r="BJ564" s="43"/>
      <c r="BK564" s="43"/>
      <c r="BL564" s="43"/>
      <c r="BM564" s="43"/>
      <c r="BN564" s="43"/>
      <c r="BO564" s="43"/>
      <c r="BP564" s="43"/>
      <c r="BQ564" s="43"/>
      <c r="BR564" s="43"/>
      <c r="BS564" s="43"/>
      <c r="BT564" s="43"/>
      <c r="BU564" s="43"/>
      <c r="BV564" s="43"/>
      <c r="BW564" s="43"/>
      <c r="BX564" s="43"/>
      <c r="BY564" s="43"/>
      <c r="BZ564" s="43"/>
      <c r="CA564" s="43"/>
      <c r="CB564" s="43"/>
      <c r="CC564" s="43"/>
      <c r="CD564" s="43"/>
      <c r="CE564" s="43"/>
      <c r="CF564" s="43"/>
      <c r="CG564" s="43"/>
      <c r="CH564" s="43"/>
      <c r="CI564" s="43"/>
      <c r="CJ564" s="43"/>
      <c r="CK564" s="43"/>
      <c r="CL564" s="43"/>
      <c r="CM564" s="43"/>
      <c r="CN564" s="43"/>
      <c r="CO564" s="43"/>
      <c r="CP564" s="43"/>
      <c r="CQ564" s="43"/>
      <c r="CR564" s="43"/>
      <c r="CS564" s="43"/>
      <c r="CT564" s="43"/>
      <c r="CU564" s="43"/>
      <c r="CV564" s="43"/>
      <c r="CW564" s="43"/>
      <c r="CX564" s="43"/>
      <c r="CY564" s="43"/>
      <c r="CZ564" s="43"/>
      <c r="DA564" s="43"/>
      <c r="DB564" s="43"/>
      <c r="DC564" s="43"/>
      <c r="DD564" s="43"/>
      <c r="DE564" s="43"/>
      <c r="DF564" s="43"/>
      <c r="DG564" s="43"/>
      <c r="DH564" s="43"/>
      <c r="DI564" s="43"/>
      <c r="DJ564" s="43"/>
      <c r="DK564" s="43"/>
      <c r="DL564" s="43"/>
      <c r="DM564" s="43"/>
      <c r="DN564" s="43"/>
      <c r="DO564" s="43"/>
      <c r="DP564" s="43"/>
      <c r="DQ564" s="43"/>
      <c r="DR564" s="43"/>
      <c r="DS564" s="43"/>
    </row>
    <row r="565" spans="1:123" ht="14.45">
      <c r="A565"/>
      <c r="B565"/>
      <c r="C565"/>
      <c r="D565"/>
      <c r="E565"/>
      <c r="F565"/>
      <c r="G565"/>
      <c r="H565"/>
      <c r="I565"/>
      <c r="J565"/>
      <c r="K565" s="43"/>
      <c r="L565" s="43"/>
      <c r="M565" s="43"/>
      <c r="N565" s="43"/>
      <c r="O565" s="43"/>
      <c r="P565" s="43"/>
      <c r="Q565" s="43"/>
      <c r="R565" s="43"/>
      <c r="S565" s="43"/>
      <c r="T565" s="43"/>
      <c r="U565" s="43"/>
      <c r="V565" s="43"/>
      <c r="W565" s="43"/>
      <c r="X565" s="43"/>
      <c r="Y565" s="43"/>
      <c r="Z565" s="43"/>
      <c r="AA565" s="43"/>
      <c r="AB565" s="43"/>
      <c r="AC565" s="43"/>
      <c r="AD565" s="43"/>
      <c r="AE565" s="43"/>
      <c r="AF565" s="43"/>
      <c r="AG565" s="43"/>
      <c r="AH565" s="43"/>
      <c r="AI565" s="43"/>
      <c r="AJ565" s="43"/>
      <c r="AK565" s="43"/>
      <c r="AL565" s="43"/>
      <c r="AM565" s="43"/>
      <c r="AN565" s="43"/>
      <c r="AO565" s="43"/>
      <c r="AP565" s="43"/>
      <c r="AQ565" s="43"/>
      <c r="AR565" s="43"/>
      <c r="AS565" s="43"/>
      <c r="AT565" s="43"/>
      <c r="AU565" s="43"/>
      <c r="AV565" s="43"/>
      <c r="AW565" s="43"/>
      <c r="AX565" s="43"/>
      <c r="AY565" s="43"/>
      <c r="AZ565" s="43"/>
      <c r="BA565" s="43"/>
      <c r="BB565" s="43"/>
      <c r="BC565" s="43"/>
      <c r="BD565" s="43"/>
      <c r="BE565" s="43"/>
      <c r="BF565" s="43"/>
      <c r="BG565" s="43"/>
      <c r="BH565" s="43"/>
      <c r="BI565" s="43"/>
      <c r="BJ565" s="43"/>
      <c r="BK565" s="43"/>
      <c r="BL565" s="43"/>
      <c r="BM565" s="43"/>
      <c r="BN565" s="43"/>
      <c r="BO565" s="43"/>
      <c r="BP565" s="43"/>
      <c r="BQ565" s="43"/>
      <c r="BR565" s="43"/>
      <c r="BS565" s="43"/>
      <c r="BT565" s="43"/>
      <c r="BU565" s="43"/>
      <c r="BV565" s="43"/>
      <c r="BW565" s="43"/>
      <c r="BX565" s="43"/>
      <c r="BY565" s="43"/>
      <c r="BZ565" s="43"/>
      <c r="CA565" s="43"/>
      <c r="CB565" s="43"/>
      <c r="CC565" s="43"/>
      <c r="CD565" s="43"/>
      <c r="CE565" s="43"/>
      <c r="CF565" s="43"/>
      <c r="CG565" s="43"/>
      <c r="CH565" s="43"/>
      <c r="CI565" s="43"/>
      <c r="CJ565" s="43"/>
      <c r="CK565" s="43"/>
      <c r="CL565" s="43"/>
      <c r="CM565" s="43"/>
      <c r="CN565" s="43"/>
      <c r="CO565" s="43"/>
      <c r="CP565" s="43"/>
      <c r="CQ565" s="43"/>
      <c r="CR565" s="43"/>
      <c r="CS565" s="43"/>
      <c r="CT565" s="43"/>
      <c r="CU565" s="43"/>
      <c r="CV565" s="43"/>
      <c r="CW565" s="43"/>
      <c r="CX565" s="43"/>
      <c r="CY565" s="43"/>
      <c r="CZ565" s="43"/>
      <c r="DA565" s="43"/>
      <c r="DB565" s="43"/>
      <c r="DC565" s="43"/>
      <c r="DD565" s="43"/>
      <c r="DE565" s="43"/>
      <c r="DF565" s="43"/>
      <c r="DG565" s="43"/>
      <c r="DH565" s="43"/>
      <c r="DI565" s="43"/>
      <c r="DJ565" s="43"/>
      <c r="DK565" s="43"/>
      <c r="DL565" s="43"/>
      <c r="DM565" s="43"/>
      <c r="DN565" s="43"/>
      <c r="DO565" s="43"/>
      <c r="DP565" s="43"/>
      <c r="DQ565" s="43"/>
      <c r="DR565" s="43"/>
      <c r="DS565" s="43"/>
    </row>
    <row r="566" spans="1:123" ht="14.45">
      <c r="A566"/>
      <c r="B566"/>
      <c r="C566"/>
      <c r="D566"/>
      <c r="E566"/>
      <c r="F566"/>
      <c r="G566"/>
      <c r="H566"/>
      <c r="I566"/>
      <c r="J566"/>
      <c r="K566" s="43"/>
      <c r="L566" s="43"/>
      <c r="M566" s="43"/>
      <c r="N566" s="43"/>
      <c r="O566" s="43"/>
      <c r="P566" s="43"/>
      <c r="Q566" s="43"/>
      <c r="R566" s="43"/>
      <c r="S566" s="43"/>
      <c r="T566" s="43"/>
      <c r="U566" s="43"/>
      <c r="V566" s="43"/>
      <c r="W566" s="43"/>
      <c r="X566" s="43"/>
      <c r="Y566" s="43"/>
      <c r="Z566" s="43"/>
      <c r="AA566" s="43"/>
      <c r="AB566" s="43"/>
      <c r="AC566" s="43"/>
      <c r="AD566" s="43"/>
      <c r="AE566" s="43"/>
      <c r="AF566" s="43"/>
      <c r="AG566" s="43"/>
      <c r="AH566" s="43"/>
      <c r="AI566" s="43"/>
      <c r="AJ566" s="43"/>
      <c r="AK566" s="43"/>
      <c r="AL566" s="43"/>
      <c r="AM566" s="43"/>
      <c r="AN566" s="43"/>
      <c r="AO566" s="43"/>
      <c r="AP566" s="43"/>
      <c r="AQ566" s="43"/>
      <c r="AR566" s="43"/>
      <c r="AS566" s="43"/>
      <c r="AT566" s="43"/>
      <c r="AU566" s="43"/>
      <c r="AV566" s="43"/>
      <c r="AW566" s="43"/>
      <c r="AX566" s="43"/>
      <c r="AY566" s="43"/>
      <c r="AZ566" s="43"/>
      <c r="BA566" s="43"/>
      <c r="BB566" s="43"/>
      <c r="BC566" s="43"/>
      <c r="BD566" s="43"/>
      <c r="BE566" s="43"/>
      <c r="BF566" s="43"/>
      <c r="BG566" s="43"/>
      <c r="BH566" s="43"/>
      <c r="BI566" s="43"/>
      <c r="BJ566" s="43"/>
      <c r="BK566" s="43"/>
      <c r="BL566" s="43"/>
      <c r="BM566" s="43"/>
      <c r="BN566" s="43"/>
      <c r="BO566" s="43"/>
      <c r="BP566" s="43"/>
      <c r="BQ566" s="43"/>
      <c r="BR566" s="43"/>
      <c r="BS566" s="43"/>
      <c r="BT566" s="43"/>
      <c r="BU566" s="43"/>
      <c r="BV566" s="43"/>
      <c r="BW566" s="43"/>
      <c r="BX566" s="43"/>
      <c r="BY566" s="43"/>
      <c r="BZ566" s="43"/>
      <c r="CA566" s="43"/>
      <c r="CB566" s="43"/>
      <c r="CC566" s="43"/>
      <c r="CD566" s="43"/>
      <c r="CE566" s="43"/>
      <c r="CF566" s="43"/>
      <c r="CG566" s="43"/>
      <c r="CH566" s="43"/>
      <c r="CI566" s="43"/>
      <c r="CJ566" s="43"/>
      <c r="CK566" s="43"/>
      <c r="CL566" s="43"/>
      <c r="CM566" s="43"/>
      <c r="CN566" s="43"/>
      <c r="CO566" s="43"/>
      <c r="CP566" s="43"/>
      <c r="CQ566" s="43"/>
      <c r="CR566" s="43"/>
      <c r="CS566" s="43"/>
      <c r="CT566" s="43"/>
      <c r="CU566" s="43"/>
      <c r="CV566" s="43"/>
      <c r="CW566" s="43"/>
      <c r="CX566" s="43"/>
      <c r="CY566" s="43"/>
      <c r="CZ566" s="43"/>
      <c r="DA566" s="43"/>
      <c r="DB566" s="43"/>
      <c r="DC566" s="43"/>
      <c r="DD566" s="43"/>
      <c r="DE566" s="43"/>
      <c r="DF566" s="43"/>
      <c r="DG566" s="43"/>
      <c r="DH566" s="43"/>
      <c r="DI566" s="43"/>
      <c r="DJ566" s="43"/>
      <c r="DK566" s="43"/>
      <c r="DL566" s="43"/>
      <c r="DM566" s="43"/>
      <c r="DN566" s="43"/>
      <c r="DO566" s="43"/>
      <c r="DP566" s="43"/>
      <c r="DQ566" s="43"/>
      <c r="DR566" s="43"/>
      <c r="DS566" s="43"/>
    </row>
    <row r="567" spans="1:123" ht="14.45">
      <c r="A567"/>
      <c r="B567"/>
      <c r="C567"/>
      <c r="D567"/>
      <c r="E567"/>
      <c r="F567"/>
      <c r="G567"/>
      <c r="H567"/>
      <c r="I567"/>
      <c r="J567"/>
      <c r="K567" s="43"/>
      <c r="L567" s="43"/>
      <c r="M567" s="43"/>
      <c r="N567" s="43"/>
      <c r="O567" s="43"/>
      <c r="P567" s="43"/>
      <c r="Q567" s="43"/>
      <c r="R567" s="43"/>
      <c r="S567" s="43"/>
      <c r="T567" s="43"/>
      <c r="U567" s="43"/>
      <c r="V567" s="43"/>
      <c r="W567" s="43"/>
      <c r="X567" s="43"/>
      <c r="Y567" s="43"/>
      <c r="Z567" s="43"/>
      <c r="AA567" s="43"/>
      <c r="AB567" s="43"/>
      <c r="AC567" s="43"/>
      <c r="AD567" s="43"/>
      <c r="AE567" s="43"/>
      <c r="AF567" s="43"/>
      <c r="AG567" s="43"/>
      <c r="AH567" s="43"/>
      <c r="AI567" s="43"/>
      <c r="AJ567" s="43"/>
      <c r="AK567" s="43"/>
      <c r="AL567" s="43"/>
      <c r="AM567" s="43"/>
      <c r="AN567" s="43"/>
      <c r="AO567" s="43"/>
      <c r="AP567" s="43"/>
      <c r="AQ567" s="43"/>
      <c r="AR567" s="43"/>
      <c r="AS567" s="43"/>
      <c r="AT567" s="43"/>
      <c r="AU567" s="43"/>
      <c r="AV567" s="43"/>
      <c r="AW567" s="43"/>
      <c r="AX567" s="43"/>
      <c r="AY567" s="43"/>
      <c r="AZ567" s="43"/>
      <c r="BA567" s="43"/>
      <c r="BB567" s="43"/>
      <c r="BC567" s="43"/>
      <c r="BD567" s="43"/>
      <c r="BE567" s="43"/>
      <c r="BF567" s="43"/>
      <c r="BG567" s="43"/>
      <c r="BH567" s="43"/>
      <c r="BI567" s="43"/>
      <c r="BJ567" s="43"/>
      <c r="BK567" s="43"/>
      <c r="BL567" s="43"/>
      <c r="BM567" s="43"/>
      <c r="BN567" s="43"/>
      <c r="BO567" s="43"/>
      <c r="BP567" s="43"/>
      <c r="BQ567" s="43"/>
      <c r="BR567" s="43"/>
      <c r="BS567" s="43"/>
      <c r="BT567" s="43"/>
      <c r="BU567" s="43"/>
      <c r="BV567" s="43"/>
      <c r="BW567" s="43"/>
      <c r="BX567" s="43"/>
      <c r="BY567" s="43"/>
      <c r="BZ567" s="43"/>
      <c r="CA567" s="43"/>
      <c r="CB567" s="43"/>
      <c r="CC567" s="43"/>
      <c r="CD567" s="43"/>
      <c r="CE567" s="43"/>
      <c r="CF567" s="43"/>
      <c r="CG567" s="43"/>
      <c r="CH567" s="43"/>
      <c r="CI567" s="43"/>
      <c r="CJ567" s="43"/>
      <c r="CK567" s="43"/>
      <c r="CL567" s="43"/>
      <c r="CM567" s="43"/>
      <c r="CN567" s="43"/>
      <c r="CO567" s="43"/>
      <c r="CP567" s="43"/>
      <c r="CQ567" s="43"/>
      <c r="CR567" s="43"/>
      <c r="CS567" s="43"/>
      <c r="CT567" s="43"/>
      <c r="CU567" s="43"/>
      <c r="CV567" s="43"/>
      <c r="CW567" s="43"/>
      <c r="CX567" s="43"/>
      <c r="CY567" s="43"/>
      <c r="CZ567" s="43"/>
      <c r="DA567" s="43"/>
      <c r="DB567" s="43"/>
      <c r="DC567" s="43"/>
      <c r="DD567" s="43"/>
      <c r="DE567" s="43"/>
      <c r="DF567" s="43"/>
      <c r="DG567" s="43"/>
      <c r="DH567" s="43"/>
      <c r="DI567" s="43"/>
      <c r="DJ567" s="43"/>
      <c r="DK567" s="43"/>
      <c r="DL567" s="43"/>
      <c r="DM567" s="43"/>
      <c r="DN567" s="43"/>
      <c r="DO567" s="43"/>
      <c r="DP567" s="43"/>
      <c r="DQ567" s="43"/>
      <c r="DR567" s="43"/>
      <c r="DS567" s="43"/>
    </row>
    <row r="568" spans="1:123" ht="14.45">
      <c r="A568"/>
      <c r="B568"/>
      <c r="C568"/>
      <c r="D568"/>
      <c r="E568"/>
      <c r="F568"/>
      <c r="G568"/>
      <c r="H568"/>
      <c r="I568"/>
      <c r="J568"/>
      <c r="K568" s="43"/>
      <c r="L568" s="43"/>
      <c r="M568" s="43"/>
      <c r="N568" s="43"/>
      <c r="O568" s="43"/>
      <c r="P568" s="43"/>
      <c r="Q568" s="43"/>
      <c r="R568" s="43"/>
      <c r="S568" s="43"/>
      <c r="T568" s="43"/>
      <c r="U568" s="43"/>
      <c r="V568" s="43"/>
      <c r="W568" s="43"/>
      <c r="X568" s="43"/>
      <c r="Y568" s="43"/>
      <c r="Z568" s="43"/>
      <c r="AA568" s="43"/>
      <c r="AB568" s="43"/>
      <c r="AC568" s="43"/>
      <c r="AD568" s="43"/>
      <c r="AE568" s="43"/>
      <c r="AF568" s="43"/>
      <c r="AG568" s="43"/>
      <c r="AH568" s="43"/>
      <c r="AI568" s="43"/>
      <c r="AJ568" s="43"/>
      <c r="AK568" s="43"/>
      <c r="AL568" s="43"/>
      <c r="AM568" s="43"/>
      <c r="AN568" s="43"/>
      <c r="AO568" s="43"/>
      <c r="AP568" s="43"/>
      <c r="AQ568" s="43"/>
      <c r="AR568" s="43"/>
      <c r="AS568" s="43"/>
      <c r="AT568" s="43"/>
      <c r="AU568" s="43"/>
      <c r="AV568" s="43"/>
      <c r="AW568" s="43"/>
      <c r="AX568" s="43"/>
      <c r="AY568" s="43"/>
      <c r="AZ568" s="43"/>
      <c r="BA568" s="43"/>
      <c r="BB568" s="43"/>
      <c r="BC568" s="43"/>
      <c r="BD568" s="43"/>
      <c r="BE568" s="43"/>
      <c r="BF568" s="43"/>
      <c r="BG568" s="43"/>
      <c r="BH568" s="43"/>
      <c r="BI568" s="43"/>
      <c r="BJ568" s="43"/>
      <c r="BK568" s="43"/>
      <c r="BL568" s="43"/>
      <c r="BM568" s="43"/>
      <c r="BN568" s="43"/>
      <c r="BO568" s="43"/>
      <c r="BP568" s="43"/>
      <c r="BQ568" s="43"/>
      <c r="BR568" s="43"/>
      <c r="BS568" s="43"/>
      <c r="BT568" s="43"/>
      <c r="BU568" s="43"/>
      <c r="BV568" s="43"/>
      <c r="BW568" s="43"/>
      <c r="BX568" s="43"/>
      <c r="BY568" s="43"/>
      <c r="BZ568" s="43"/>
      <c r="CA568" s="43"/>
      <c r="CB568" s="43"/>
      <c r="CC568" s="43"/>
      <c r="CD568" s="43"/>
      <c r="CE568" s="43"/>
      <c r="CF568" s="43"/>
      <c r="CG568" s="43"/>
      <c r="CH568" s="43"/>
      <c r="CI568" s="43"/>
      <c r="CJ568" s="43"/>
      <c r="CK568" s="43"/>
      <c r="CL568" s="43"/>
      <c r="CM568" s="43"/>
      <c r="CN568" s="43"/>
      <c r="CO568" s="43"/>
      <c r="CP568" s="43"/>
      <c r="CQ568" s="43"/>
      <c r="CR568" s="43"/>
      <c r="CS568" s="43"/>
      <c r="CT568" s="43"/>
      <c r="CU568" s="43"/>
      <c r="CV568" s="43"/>
      <c r="CW568" s="43"/>
      <c r="CX568" s="43"/>
      <c r="CY568" s="43"/>
      <c r="CZ568" s="43"/>
      <c r="DA568" s="43"/>
      <c r="DB568" s="43"/>
      <c r="DC568" s="43"/>
      <c r="DD568" s="43"/>
      <c r="DE568" s="43"/>
      <c r="DF568" s="43"/>
      <c r="DG568" s="43"/>
      <c r="DH568" s="43"/>
      <c r="DI568" s="43"/>
      <c r="DJ568" s="43"/>
      <c r="DK568" s="43"/>
      <c r="DL568" s="43"/>
      <c r="DM568" s="43"/>
      <c r="DN568" s="43"/>
      <c r="DO568" s="43"/>
      <c r="DP568" s="43"/>
      <c r="DQ568" s="43"/>
      <c r="DR568" s="43"/>
      <c r="DS568" s="43"/>
    </row>
    <row r="569" spans="1:123" ht="14.45">
      <c r="A569"/>
      <c r="B569"/>
      <c r="C569"/>
      <c r="D569"/>
      <c r="E569"/>
      <c r="F569"/>
      <c r="G569"/>
      <c r="H569"/>
      <c r="I569"/>
      <c r="J569"/>
      <c r="K569" s="43"/>
      <c r="L569" s="43"/>
      <c r="M569" s="43"/>
      <c r="N569" s="43"/>
      <c r="O569" s="43"/>
      <c r="P569" s="43"/>
      <c r="Q569" s="43"/>
      <c r="R569" s="43"/>
      <c r="S569" s="43"/>
      <c r="T569" s="43"/>
      <c r="U569" s="43"/>
      <c r="V569" s="43"/>
      <c r="W569" s="43"/>
      <c r="X569" s="43"/>
      <c r="Y569" s="43"/>
      <c r="Z569" s="43"/>
      <c r="AA569" s="43"/>
      <c r="AB569" s="43"/>
      <c r="AC569" s="43"/>
      <c r="AD569" s="43"/>
      <c r="AE569" s="43"/>
      <c r="AF569" s="43"/>
      <c r="AG569" s="43"/>
      <c r="AH569" s="43"/>
      <c r="AI569" s="43"/>
      <c r="AJ569" s="43"/>
      <c r="AK569" s="43"/>
      <c r="AL569" s="43"/>
      <c r="AM569" s="43"/>
      <c r="AN569" s="43"/>
      <c r="AO569" s="43"/>
      <c r="AP569" s="43"/>
      <c r="AQ569" s="43"/>
      <c r="AR569" s="43"/>
      <c r="AS569" s="43"/>
      <c r="AT569" s="43"/>
      <c r="AU569" s="43"/>
      <c r="AV569" s="43"/>
      <c r="AW569" s="43"/>
      <c r="AX569" s="43"/>
      <c r="AY569" s="43"/>
      <c r="AZ569" s="43"/>
      <c r="BA569" s="43"/>
      <c r="BB569" s="43"/>
      <c r="BC569" s="43"/>
      <c r="BD569" s="43"/>
      <c r="BE569" s="43"/>
      <c r="BF569" s="43"/>
      <c r="BG569" s="43"/>
      <c r="BH569" s="43"/>
      <c r="BI569" s="43"/>
      <c r="BJ569" s="43"/>
      <c r="BK569" s="43"/>
      <c r="BL569" s="43"/>
      <c r="BM569" s="43"/>
      <c r="BN569" s="43"/>
      <c r="BO569" s="43"/>
      <c r="BP569" s="43"/>
      <c r="BQ569" s="43"/>
      <c r="BR569" s="43"/>
      <c r="BS569" s="43"/>
      <c r="BT569" s="43"/>
      <c r="BU569" s="43"/>
      <c r="BV569" s="43"/>
      <c r="BW569" s="43"/>
      <c r="BX569" s="43"/>
      <c r="BY569" s="43"/>
      <c r="BZ569" s="43"/>
      <c r="CA569" s="43"/>
      <c r="CB569" s="43"/>
      <c r="CC569" s="43"/>
      <c r="CD569" s="43"/>
      <c r="CE569" s="43"/>
      <c r="CF569" s="43"/>
      <c r="CG569" s="43"/>
      <c r="CH569" s="43"/>
      <c r="CI569" s="43"/>
      <c r="CJ569" s="43"/>
      <c r="CK569" s="43"/>
      <c r="CL569" s="43"/>
      <c r="CM569" s="43"/>
      <c r="CN569" s="43"/>
      <c r="CO569" s="43"/>
      <c r="CP569" s="43"/>
      <c r="CQ569" s="43"/>
      <c r="CR569" s="43"/>
      <c r="CS569" s="43"/>
      <c r="CT569" s="43"/>
      <c r="CU569" s="43"/>
      <c r="CV569" s="43"/>
      <c r="CW569" s="43"/>
      <c r="CX569" s="43"/>
      <c r="CY569" s="43"/>
      <c r="CZ569" s="43"/>
      <c r="DA569" s="43"/>
      <c r="DB569" s="43"/>
      <c r="DC569" s="43"/>
      <c r="DD569" s="43"/>
      <c r="DE569" s="43"/>
      <c r="DF569" s="43"/>
      <c r="DG569" s="43"/>
      <c r="DH569" s="43"/>
      <c r="DI569" s="43"/>
      <c r="DJ569" s="43"/>
      <c r="DK569" s="43"/>
      <c r="DL569" s="43"/>
      <c r="DM569" s="43"/>
      <c r="DN569" s="43"/>
      <c r="DO569" s="43"/>
      <c r="DP569" s="43"/>
      <c r="DQ569" s="43"/>
      <c r="DR569" s="43"/>
      <c r="DS569" s="43"/>
    </row>
    <row r="570" spans="1:123" ht="14.45">
      <c r="A570"/>
      <c r="B570"/>
      <c r="C570"/>
      <c r="D570"/>
      <c r="E570"/>
      <c r="F570"/>
      <c r="G570"/>
      <c r="H570"/>
      <c r="I570"/>
      <c r="J570"/>
      <c r="K570" s="43"/>
      <c r="L570" s="43"/>
      <c r="M570" s="43"/>
      <c r="N570" s="43"/>
      <c r="O570" s="43"/>
      <c r="P570" s="43"/>
      <c r="Q570" s="43"/>
      <c r="R570" s="43"/>
      <c r="S570" s="43"/>
      <c r="T570" s="43"/>
      <c r="U570" s="43"/>
      <c r="V570" s="43"/>
      <c r="W570" s="43"/>
      <c r="X570" s="43"/>
      <c r="Y570" s="43"/>
      <c r="Z570" s="43"/>
      <c r="AA570" s="43"/>
      <c r="AB570" s="43"/>
      <c r="AC570" s="43"/>
      <c r="AD570" s="43"/>
      <c r="AE570" s="43"/>
      <c r="AF570" s="43"/>
      <c r="AG570" s="43"/>
      <c r="AH570" s="43"/>
      <c r="AI570" s="43"/>
      <c r="AJ570" s="43"/>
      <c r="AK570" s="43"/>
      <c r="AL570" s="43"/>
      <c r="AM570" s="43"/>
      <c r="AN570" s="43"/>
      <c r="AO570" s="43"/>
      <c r="AP570" s="43"/>
      <c r="AQ570" s="43"/>
      <c r="AR570" s="43"/>
      <c r="AS570" s="43"/>
      <c r="AT570" s="43"/>
      <c r="AU570" s="43"/>
      <c r="AV570" s="43"/>
      <c r="AW570" s="43"/>
      <c r="AX570" s="43"/>
      <c r="AY570" s="43"/>
      <c r="AZ570" s="43"/>
      <c r="BA570" s="43"/>
      <c r="BB570" s="43"/>
      <c r="BC570" s="43"/>
      <c r="BD570" s="43"/>
      <c r="BE570" s="43"/>
      <c r="BF570" s="43"/>
      <c r="BG570" s="43"/>
      <c r="BH570" s="43"/>
      <c r="BI570" s="43"/>
      <c r="BJ570" s="43"/>
      <c r="BK570" s="43"/>
      <c r="BL570" s="43"/>
      <c r="BM570" s="43"/>
      <c r="BN570" s="43"/>
      <c r="BO570" s="43"/>
      <c r="BP570" s="43"/>
      <c r="BQ570" s="43"/>
      <c r="BR570" s="43"/>
      <c r="BS570" s="43"/>
      <c r="BT570" s="43"/>
      <c r="BU570" s="43"/>
      <c r="BV570" s="43"/>
      <c r="BW570" s="43"/>
      <c r="BX570" s="43"/>
      <c r="BY570" s="43"/>
      <c r="BZ570" s="43"/>
      <c r="CA570" s="43"/>
      <c r="CB570" s="43"/>
      <c r="CC570" s="43"/>
      <c r="CD570" s="43"/>
      <c r="CE570" s="43"/>
      <c r="CF570" s="43"/>
      <c r="CG570" s="43"/>
      <c r="CH570" s="43"/>
      <c r="CI570" s="43"/>
      <c r="CJ570" s="43"/>
      <c r="CK570" s="43"/>
      <c r="CL570" s="43"/>
      <c r="CM570" s="43"/>
      <c r="CN570" s="43"/>
      <c r="CO570" s="43"/>
      <c r="CP570" s="43"/>
      <c r="CQ570" s="43"/>
      <c r="CR570" s="43"/>
      <c r="CS570" s="43"/>
      <c r="CT570" s="43"/>
      <c r="CU570" s="43"/>
      <c r="CV570" s="43"/>
      <c r="CW570" s="43"/>
      <c r="CX570" s="43"/>
      <c r="CY570" s="43"/>
      <c r="CZ570" s="43"/>
      <c r="DA570" s="43"/>
      <c r="DB570" s="43"/>
      <c r="DC570" s="43"/>
      <c r="DD570" s="43"/>
      <c r="DE570" s="43"/>
      <c r="DF570" s="43"/>
      <c r="DG570" s="43"/>
      <c r="DH570" s="43"/>
      <c r="DI570" s="43"/>
      <c r="DJ570" s="43"/>
      <c r="DK570" s="43"/>
      <c r="DL570" s="43"/>
      <c r="DM570" s="43"/>
      <c r="DN570" s="43"/>
      <c r="DO570" s="43"/>
      <c r="DP570" s="43"/>
      <c r="DQ570" s="43"/>
      <c r="DR570" s="43"/>
      <c r="DS570" s="43"/>
    </row>
    <row r="571" spans="1:123" ht="14.45">
      <c r="A571"/>
      <c r="B571"/>
      <c r="C571"/>
      <c r="D571"/>
      <c r="E571"/>
      <c r="F571"/>
      <c r="G571"/>
      <c r="H571"/>
      <c r="I571"/>
      <c r="J571"/>
      <c r="K571" s="43"/>
      <c r="L571" s="43"/>
      <c r="M571" s="43"/>
      <c r="N571" s="43"/>
      <c r="O571" s="43"/>
      <c r="P571" s="43"/>
      <c r="Q571" s="43"/>
      <c r="R571" s="43"/>
      <c r="S571" s="43"/>
      <c r="T571" s="43"/>
      <c r="U571" s="43"/>
      <c r="V571" s="43"/>
      <c r="W571" s="43"/>
      <c r="X571" s="43"/>
      <c r="Y571" s="43"/>
      <c r="Z571" s="43"/>
      <c r="AA571" s="43"/>
      <c r="AB571" s="43"/>
      <c r="AC571" s="43"/>
      <c r="AD571" s="43"/>
      <c r="AE571" s="43"/>
      <c r="AF571" s="43"/>
      <c r="AG571" s="43"/>
      <c r="AH571" s="43"/>
      <c r="AI571" s="43"/>
      <c r="AJ571" s="43"/>
      <c r="AK571" s="43"/>
      <c r="AL571" s="43"/>
      <c r="AM571" s="43"/>
      <c r="AN571" s="43"/>
      <c r="AO571" s="43"/>
      <c r="AP571" s="43"/>
      <c r="AQ571" s="43"/>
      <c r="AR571" s="43"/>
      <c r="AS571" s="43"/>
      <c r="AT571" s="43"/>
      <c r="AU571" s="43"/>
      <c r="AV571" s="43"/>
      <c r="AW571" s="43"/>
      <c r="AX571" s="43"/>
      <c r="AY571" s="43"/>
      <c r="AZ571" s="43"/>
      <c r="BA571" s="43"/>
      <c r="BB571" s="43"/>
      <c r="BC571" s="43"/>
      <c r="BD571" s="43"/>
      <c r="BE571" s="43"/>
      <c r="BF571" s="43"/>
      <c r="BG571" s="43"/>
      <c r="BH571" s="43"/>
      <c r="BI571" s="43"/>
      <c r="BJ571" s="43"/>
      <c r="BK571" s="43"/>
      <c r="BL571" s="43"/>
      <c r="BM571" s="43"/>
      <c r="BN571" s="43"/>
      <c r="BO571" s="43"/>
      <c r="BP571" s="43"/>
      <c r="BQ571" s="43"/>
      <c r="BR571" s="43"/>
      <c r="BS571" s="43"/>
      <c r="BT571" s="43"/>
      <c r="BU571" s="43"/>
      <c r="BV571" s="43"/>
      <c r="BW571" s="43"/>
      <c r="BX571" s="43"/>
      <c r="BY571" s="43"/>
      <c r="BZ571" s="43"/>
      <c r="CA571" s="43"/>
      <c r="CB571" s="43"/>
      <c r="CC571" s="43"/>
      <c r="CD571" s="43"/>
      <c r="CE571" s="43"/>
      <c r="CF571" s="43"/>
      <c r="CG571" s="43"/>
      <c r="CH571" s="43"/>
      <c r="CI571" s="43"/>
      <c r="CJ571" s="43"/>
      <c r="CK571" s="43"/>
      <c r="CL571" s="43"/>
      <c r="CM571" s="43"/>
      <c r="CN571" s="43"/>
      <c r="CO571" s="43"/>
      <c r="CP571" s="43"/>
      <c r="CQ571" s="43"/>
      <c r="CR571" s="43"/>
      <c r="CS571" s="43"/>
      <c r="CT571" s="43"/>
      <c r="CU571" s="43"/>
      <c r="CV571" s="43"/>
      <c r="CW571" s="43"/>
      <c r="CX571" s="43"/>
      <c r="CY571" s="43"/>
      <c r="CZ571" s="43"/>
      <c r="DA571" s="43"/>
      <c r="DB571" s="43"/>
      <c r="DC571" s="43"/>
      <c r="DD571" s="43"/>
      <c r="DE571" s="43"/>
      <c r="DF571" s="43"/>
      <c r="DG571" s="43"/>
      <c r="DH571" s="43"/>
      <c r="DI571" s="43"/>
      <c r="DJ571" s="43"/>
      <c r="DK571" s="43"/>
      <c r="DL571" s="43"/>
      <c r="DM571" s="43"/>
      <c r="DN571" s="43"/>
      <c r="DO571" s="43"/>
      <c r="DP571" s="43"/>
      <c r="DQ571" s="43"/>
      <c r="DR571" s="43"/>
      <c r="DS571" s="43"/>
    </row>
    <row r="572" spans="1:123" ht="14.45">
      <c r="A572"/>
      <c r="B572"/>
      <c r="C572"/>
      <c r="D572"/>
      <c r="E572"/>
      <c r="F572"/>
      <c r="G572"/>
      <c r="H572"/>
      <c r="I572"/>
      <c r="J572"/>
      <c r="K572" s="43"/>
      <c r="L572" s="43"/>
      <c r="M572" s="43"/>
      <c r="N572" s="43"/>
      <c r="O572" s="43"/>
      <c r="P572" s="43"/>
      <c r="Q572" s="43"/>
      <c r="R572" s="43"/>
      <c r="S572" s="43"/>
      <c r="T572" s="43"/>
      <c r="U572" s="43"/>
      <c r="V572" s="43"/>
      <c r="W572" s="43"/>
      <c r="X572" s="43"/>
      <c r="Y572" s="43"/>
      <c r="Z572" s="43"/>
      <c r="AA572" s="43"/>
      <c r="AB572" s="43"/>
      <c r="AC572" s="43"/>
      <c r="AD572" s="43"/>
      <c r="AE572" s="43"/>
      <c r="AF572" s="43"/>
      <c r="AG572" s="43"/>
      <c r="AH572" s="43"/>
      <c r="AI572" s="43"/>
      <c r="AJ572" s="43"/>
      <c r="AK572" s="43"/>
      <c r="AL572" s="43"/>
      <c r="AM572" s="43"/>
      <c r="AN572" s="43"/>
      <c r="AO572" s="43"/>
      <c r="AP572" s="43"/>
      <c r="AQ572" s="43"/>
      <c r="AR572" s="43"/>
      <c r="AS572" s="43"/>
      <c r="AT572" s="43"/>
      <c r="AU572" s="43"/>
      <c r="AV572" s="43"/>
      <c r="AW572" s="43"/>
      <c r="AX572" s="43"/>
      <c r="AY572" s="43"/>
      <c r="AZ572" s="43"/>
      <c r="BA572" s="43"/>
      <c r="BB572" s="43"/>
      <c r="BC572" s="43"/>
      <c r="BD572" s="43"/>
      <c r="BE572" s="43"/>
      <c r="BF572" s="43"/>
      <c r="BG572" s="43"/>
      <c r="BH572" s="43"/>
      <c r="BI572" s="43"/>
      <c r="BJ572" s="43"/>
      <c r="BK572" s="43"/>
      <c r="BL572" s="43"/>
      <c r="BM572" s="43"/>
      <c r="BN572" s="43"/>
      <c r="BO572" s="43"/>
      <c r="BP572" s="43"/>
      <c r="BQ572" s="43"/>
      <c r="BR572" s="43"/>
      <c r="BS572" s="43"/>
      <c r="BT572" s="43"/>
      <c r="BU572" s="43"/>
      <c r="BV572" s="43"/>
      <c r="BW572" s="43"/>
      <c r="BX572" s="43"/>
      <c r="BY572" s="43"/>
      <c r="BZ572" s="43"/>
      <c r="CA572" s="43"/>
      <c r="CB572" s="43"/>
      <c r="CC572" s="43"/>
      <c r="CD572" s="43"/>
      <c r="CE572" s="43"/>
      <c r="CF572" s="43"/>
      <c r="CG572" s="43"/>
      <c r="CH572" s="43"/>
      <c r="CI572" s="43"/>
      <c r="CJ572" s="43"/>
      <c r="CK572" s="43"/>
      <c r="CL572" s="43"/>
      <c r="CM572" s="43"/>
      <c r="CN572" s="43"/>
      <c r="CO572" s="43"/>
      <c r="CP572" s="43"/>
      <c r="CQ572" s="43"/>
      <c r="CR572" s="43"/>
      <c r="CS572" s="43"/>
      <c r="CT572" s="43"/>
      <c r="CU572" s="43"/>
      <c r="CV572" s="43"/>
      <c r="CW572" s="43"/>
      <c r="CX572" s="43"/>
      <c r="CY572" s="43"/>
      <c r="CZ572" s="43"/>
      <c r="DA572" s="43"/>
      <c r="DB572" s="43"/>
      <c r="DC572" s="43"/>
      <c r="DD572" s="43"/>
      <c r="DE572" s="43"/>
      <c r="DF572" s="43"/>
      <c r="DG572" s="43"/>
      <c r="DH572" s="43"/>
      <c r="DI572" s="43"/>
      <c r="DJ572" s="43"/>
      <c r="DK572" s="43"/>
      <c r="DL572" s="43"/>
      <c r="DM572" s="43"/>
      <c r="DN572" s="43"/>
      <c r="DO572" s="43"/>
      <c r="DP572" s="43"/>
      <c r="DQ572" s="43"/>
      <c r="DR572" s="43"/>
      <c r="DS572" s="43"/>
    </row>
    <row r="573" spans="1:123" ht="14.45">
      <c r="A573"/>
      <c r="B573"/>
      <c r="C573"/>
      <c r="D573"/>
      <c r="E573"/>
      <c r="F573"/>
      <c r="G573"/>
      <c r="H573"/>
      <c r="I573"/>
      <c r="J573"/>
      <c r="K573" s="43"/>
      <c r="L573" s="43"/>
      <c r="M573" s="43"/>
      <c r="N573" s="43"/>
      <c r="O573" s="43"/>
      <c r="P573" s="43"/>
      <c r="Q573" s="43"/>
      <c r="R573" s="43"/>
      <c r="S573" s="43"/>
      <c r="T573" s="43"/>
      <c r="U573" s="43"/>
      <c r="V573" s="43"/>
      <c r="W573" s="43"/>
      <c r="X573" s="43"/>
      <c r="Y573" s="43"/>
      <c r="Z573" s="43"/>
      <c r="AA573" s="43"/>
      <c r="AB573" s="43"/>
      <c r="AC573" s="43"/>
      <c r="AD573" s="43"/>
      <c r="AE573" s="43"/>
      <c r="AF573" s="43"/>
      <c r="AG573" s="43"/>
      <c r="AH573" s="43"/>
      <c r="AI573" s="43"/>
      <c r="AJ573" s="43"/>
      <c r="AK573" s="43"/>
      <c r="AL573" s="43"/>
      <c r="AM573" s="43"/>
      <c r="AN573" s="43"/>
      <c r="AO573" s="43"/>
      <c r="AP573" s="43"/>
      <c r="AQ573" s="43"/>
      <c r="AR573" s="43"/>
      <c r="AS573" s="43"/>
      <c r="AT573" s="43"/>
      <c r="AU573" s="43"/>
      <c r="AV573" s="43"/>
      <c r="AW573" s="43"/>
      <c r="AX573" s="43"/>
      <c r="AY573" s="43"/>
      <c r="AZ573" s="43"/>
      <c r="BA573" s="43"/>
      <c r="BB573" s="43"/>
      <c r="BC573" s="43"/>
      <c r="BD573" s="43"/>
      <c r="BE573" s="43"/>
      <c r="BF573" s="43"/>
      <c r="BG573" s="43"/>
      <c r="BH573" s="43"/>
      <c r="BI573" s="43"/>
      <c r="BJ573" s="43"/>
      <c r="BK573" s="43"/>
      <c r="BL573" s="43"/>
      <c r="BM573" s="43"/>
      <c r="BN573" s="43"/>
      <c r="BO573" s="43"/>
      <c r="BP573" s="43"/>
      <c r="BQ573" s="43"/>
      <c r="BR573" s="43"/>
      <c r="BS573" s="43"/>
      <c r="BT573" s="43"/>
      <c r="BU573" s="43"/>
      <c r="BV573" s="43"/>
      <c r="BW573" s="43"/>
      <c r="BX573" s="43"/>
      <c r="BY573" s="43"/>
      <c r="BZ573" s="43"/>
      <c r="CA573" s="43"/>
      <c r="CB573" s="43"/>
      <c r="CC573" s="43"/>
      <c r="CD573" s="43"/>
      <c r="CE573" s="43"/>
      <c r="CF573" s="43"/>
      <c r="CG573" s="43"/>
      <c r="CH573" s="43"/>
      <c r="CI573" s="43"/>
      <c r="CJ573" s="43"/>
      <c r="CK573" s="43"/>
      <c r="CL573" s="43"/>
      <c r="CM573" s="43"/>
      <c r="CN573" s="43"/>
      <c r="CO573" s="43"/>
      <c r="CP573" s="43"/>
      <c r="CQ573" s="43"/>
      <c r="CR573" s="43"/>
      <c r="CS573" s="43"/>
      <c r="CT573" s="43"/>
      <c r="CU573" s="43"/>
      <c r="CV573" s="43"/>
      <c r="CW573" s="43"/>
      <c r="CX573" s="43"/>
      <c r="CY573" s="43"/>
      <c r="CZ573" s="43"/>
      <c r="DA573" s="43"/>
      <c r="DB573" s="43"/>
      <c r="DC573" s="43"/>
      <c r="DD573" s="43"/>
      <c r="DE573" s="43"/>
      <c r="DF573" s="43"/>
      <c r="DG573" s="43"/>
      <c r="DH573" s="43"/>
      <c r="DI573" s="43"/>
      <c r="DJ573" s="43"/>
      <c r="DK573" s="43"/>
      <c r="DL573" s="43"/>
      <c r="DM573" s="43"/>
      <c r="DN573" s="43"/>
      <c r="DO573" s="43"/>
      <c r="DP573" s="43"/>
      <c r="DQ573" s="43"/>
      <c r="DR573" s="43"/>
      <c r="DS573" s="43"/>
    </row>
    <row r="574" spans="1:123" ht="14.45">
      <c r="A574"/>
      <c r="B574"/>
      <c r="C574"/>
      <c r="D574"/>
      <c r="E574"/>
      <c r="F574"/>
      <c r="G574"/>
      <c r="H574"/>
      <c r="I574"/>
      <c r="J574"/>
      <c r="K574" s="43"/>
      <c r="L574" s="43"/>
      <c r="M574" s="43"/>
      <c r="N574" s="43"/>
      <c r="O574" s="43"/>
      <c r="P574" s="43"/>
      <c r="Q574" s="43"/>
      <c r="R574" s="43"/>
      <c r="S574" s="43"/>
      <c r="T574" s="43"/>
      <c r="U574" s="43"/>
      <c r="V574" s="43"/>
      <c r="W574" s="43"/>
      <c r="X574" s="43"/>
      <c r="Y574" s="43"/>
      <c r="Z574" s="43"/>
      <c r="AA574" s="43"/>
      <c r="AB574" s="43"/>
      <c r="AC574" s="43"/>
      <c r="AD574" s="43"/>
      <c r="AE574" s="43"/>
      <c r="AF574" s="43"/>
      <c r="AG574" s="43"/>
      <c r="AH574" s="43"/>
      <c r="AI574" s="43"/>
      <c r="AJ574" s="43"/>
      <c r="AK574" s="43"/>
      <c r="AL574" s="43"/>
      <c r="AM574" s="43"/>
      <c r="AN574" s="43"/>
      <c r="AO574" s="43"/>
      <c r="AP574" s="43"/>
      <c r="AQ574" s="43"/>
      <c r="AR574" s="43"/>
      <c r="AS574" s="43"/>
      <c r="AT574" s="43"/>
      <c r="AU574" s="43"/>
      <c r="AV574" s="43"/>
      <c r="AW574" s="43"/>
      <c r="AX574" s="43"/>
      <c r="AY574" s="43"/>
      <c r="AZ574" s="43"/>
      <c r="BA574" s="43"/>
      <c r="BB574" s="43"/>
      <c r="BC574" s="43"/>
      <c r="BD574" s="43"/>
      <c r="BE574" s="43"/>
      <c r="BF574" s="43"/>
      <c r="BG574" s="43"/>
      <c r="BH574" s="43"/>
      <c r="BI574" s="43"/>
      <c r="BJ574" s="43"/>
      <c r="BK574" s="43"/>
      <c r="BL574" s="43"/>
      <c r="BM574" s="43"/>
      <c r="BN574" s="43"/>
      <c r="BO574" s="43"/>
      <c r="BP574" s="43"/>
      <c r="BQ574" s="43"/>
      <c r="BR574" s="43"/>
      <c r="BS574" s="43"/>
      <c r="BT574" s="43"/>
      <c r="BU574" s="43"/>
      <c r="BV574" s="43"/>
      <c r="BW574" s="43"/>
      <c r="BX574" s="43"/>
      <c r="BY574" s="43"/>
      <c r="BZ574" s="43"/>
      <c r="CA574" s="43"/>
      <c r="CB574" s="43"/>
      <c r="CC574" s="43"/>
      <c r="CD574" s="43"/>
      <c r="CE574" s="43"/>
      <c r="CF574" s="43"/>
      <c r="CG574" s="43"/>
      <c r="CH574" s="43"/>
      <c r="CI574" s="43"/>
      <c r="CJ574" s="43"/>
      <c r="CK574" s="43"/>
      <c r="CL574" s="43"/>
      <c r="CM574" s="43"/>
      <c r="CN574" s="43"/>
      <c r="CO574" s="43"/>
      <c r="CP574" s="43"/>
      <c r="CQ574" s="43"/>
      <c r="CR574" s="43"/>
      <c r="CS574" s="43"/>
      <c r="CT574" s="43"/>
      <c r="CU574" s="43"/>
      <c r="CV574" s="43"/>
      <c r="CW574" s="43"/>
      <c r="CX574" s="43"/>
      <c r="CY574" s="43"/>
      <c r="CZ574" s="43"/>
      <c r="DA574" s="43"/>
      <c r="DB574" s="43"/>
      <c r="DC574" s="43"/>
      <c r="DD574" s="43"/>
      <c r="DE574" s="43"/>
      <c r="DF574" s="43"/>
      <c r="DG574" s="43"/>
      <c r="DH574" s="43"/>
      <c r="DI574" s="43"/>
      <c r="DJ574" s="43"/>
      <c r="DK574" s="43"/>
      <c r="DL574" s="43"/>
      <c r="DM574" s="43"/>
      <c r="DN574" s="43"/>
      <c r="DO574" s="43"/>
      <c r="DP574" s="43"/>
      <c r="DQ574" s="43"/>
      <c r="DR574" s="43"/>
      <c r="DS574" s="43"/>
    </row>
    <row r="575" spans="1:123" ht="14.45">
      <c r="A575"/>
      <c r="B575"/>
      <c r="C575"/>
      <c r="D575"/>
      <c r="E575"/>
      <c r="F575"/>
      <c r="G575"/>
      <c r="H575"/>
      <c r="I575"/>
      <c r="J575"/>
      <c r="K575" s="43"/>
      <c r="L575" s="43"/>
      <c r="M575" s="43"/>
      <c r="N575" s="43"/>
      <c r="O575" s="43"/>
      <c r="P575" s="43"/>
      <c r="Q575" s="43"/>
      <c r="R575" s="43"/>
      <c r="S575" s="43"/>
      <c r="T575" s="43"/>
      <c r="U575" s="43"/>
      <c r="V575" s="43"/>
      <c r="W575" s="43"/>
      <c r="X575" s="43"/>
      <c r="Y575" s="43"/>
      <c r="Z575" s="43"/>
      <c r="AA575" s="43"/>
      <c r="AB575" s="43"/>
      <c r="AC575" s="43"/>
      <c r="AD575" s="43"/>
      <c r="AE575" s="43"/>
      <c r="AF575" s="43"/>
      <c r="AG575" s="43"/>
      <c r="AH575" s="43"/>
      <c r="AI575" s="43"/>
      <c r="AJ575" s="43"/>
      <c r="AK575" s="43"/>
      <c r="AL575" s="43"/>
      <c r="AM575" s="43"/>
      <c r="AN575" s="43"/>
      <c r="AO575" s="43"/>
      <c r="AP575" s="43"/>
      <c r="AQ575" s="43"/>
      <c r="AR575" s="43"/>
      <c r="AS575" s="43"/>
      <c r="AT575" s="43"/>
      <c r="AU575" s="43"/>
      <c r="AV575" s="43"/>
      <c r="AW575" s="43"/>
      <c r="AX575" s="43"/>
      <c r="AY575" s="43"/>
      <c r="AZ575" s="43"/>
      <c r="BA575" s="43"/>
      <c r="BB575" s="43"/>
      <c r="BC575" s="43"/>
      <c r="BD575" s="43"/>
      <c r="BE575" s="43"/>
      <c r="BF575" s="43"/>
      <c r="BG575" s="43"/>
      <c r="BH575" s="43"/>
      <c r="BI575" s="43"/>
      <c r="BJ575" s="43"/>
      <c r="BK575" s="43"/>
      <c r="BL575" s="43"/>
      <c r="BM575" s="43"/>
      <c r="BN575" s="43"/>
      <c r="BO575" s="43"/>
      <c r="BP575" s="43"/>
      <c r="BQ575" s="43"/>
      <c r="BR575" s="43"/>
      <c r="BS575" s="43"/>
      <c r="BT575" s="43"/>
      <c r="BU575" s="43"/>
      <c r="BV575" s="43"/>
      <c r="BW575" s="43"/>
      <c r="BX575" s="43"/>
      <c r="BY575" s="43"/>
      <c r="BZ575" s="43"/>
      <c r="CA575" s="43"/>
      <c r="CB575" s="43"/>
      <c r="CC575" s="43"/>
      <c r="CD575" s="43"/>
      <c r="CE575" s="43"/>
      <c r="CF575" s="43"/>
      <c r="CG575" s="43"/>
      <c r="CH575" s="43"/>
      <c r="CI575" s="43"/>
      <c r="CJ575" s="43"/>
      <c r="CK575" s="43"/>
      <c r="CL575" s="43"/>
      <c r="CM575" s="43"/>
      <c r="CN575" s="43"/>
      <c r="CO575" s="43"/>
      <c r="CP575" s="43"/>
      <c r="CQ575" s="43"/>
      <c r="CR575" s="43"/>
      <c r="CS575" s="43"/>
      <c r="CT575" s="43"/>
      <c r="CU575" s="43"/>
      <c r="CV575" s="43"/>
      <c r="CW575" s="43"/>
      <c r="CX575" s="43"/>
      <c r="CY575" s="43"/>
      <c r="CZ575" s="43"/>
      <c r="DA575" s="43"/>
      <c r="DB575" s="43"/>
      <c r="DC575" s="43"/>
      <c r="DD575" s="43"/>
      <c r="DE575" s="43"/>
      <c r="DF575" s="43"/>
      <c r="DG575" s="43"/>
      <c r="DH575" s="43"/>
      <c r="DI575" s="43"/>
      <c r="DJ575" s="43"/>
      <c r="DK575" s="43"/>
      <c r="DL575" s="43"/>
      <c r="DM575" s="43"/>
      <c r="DN575" s="43"/>
      <c r="DO575" s="43"/>
      <c r="DP575" s="43"/>
      <c r="DQ575" s="43"/>
      <c r="DR575" s="43"/>
      <c r="DS575" s="43"/>
    </row>
    <row r="576" spans="1:123" ht="14.45">
      <c r="A576"/>
      <c r="B576"/>
      <c r="C576"/>
      <c r="D576"/>
      <c r="E576"/>
      <c r="F576"/>
      <c r="G576"/>
      <c r="H576"/>
      <c r="I576"/>
      <c r="J576"/>
      <c r="K576" s="43"/>
      <c r="L576" s="43"/>
      <c r="M576" s="43"/>
      <c r="N576" s="43"/>
      <c r="O576" s="43"/>
      <c r="P576" s="43"/>
      <c r="Q576" s="43"/>
      <c r="R576" s="43"/>
      <c r="S576" s="43"/>
      <c r="T576" s="43"/>
      <c r="U576" s="43"/>
      <c r="V576" s="43"/>
      <c r="W576" s="43"/>
      <c r="X576" s="43"/>
      <c r="Y576" s="43"/>
      <c r="Z576" s="43"/>
      <c r="AA576" s="43"/>
      <c r="AB576" s="43"/>
      <c r="AC576" s="43"/>
      <c r="AD576" s="43"/>
      <c r="AE576" s="43"/>
      <c r="AF576" s="43"/>
      <c r="AG576" s="43"/>
      <c r="AH576" s="43"/>
      <c r="AI576" s="43"/>
      <c r="AJ576" s="43"/>
      <c r="AK576" s="43"/>
      <c r="AL576" s="43"/>
      <c r="AM576" s="43"/>
      <c r="AN576" s="43"/>
      <c r="AO576" s="43"/>
      <c r="AP576" s="43"/>
      <c r="AQ576" s="43"/>
      <c r="AR576" s="43"/>
      <c r="AS576" s="43"/>
      <c r="AT576" s="43"/>
      <c r="AU576" s="43"/>
      <c r="AV576" s="43"/>
      <c r="AW576" s="43"/>
      <c r="AX576" s="43"/>
      <c r="AY576" s="43"/>
      <c r="AZ576" s="43"/>
      <c r="BA576" s="43"/>
      <c r="BB576" s="43"/>
      <c r="BC576" s="43"/>
      <c r="BD576" s="43"/>
      <c r="BE576" s="43"/>
      <c r="BF576" s="43"/>
      <c r="BG576" s="43"/>
      <c r="BH576" s="43"/>
      <c r="BI576" s="43"/>
      <c r="BJ576" s="43"/>
      <c r="BK576" s="43"/>
      <c r="BL576" s="43"/>
      <c r="BM576" s="43"/>
      <c r="BN576" s="43"/>
      <c r="BO576" s="43"/>
      <c r="BP576" s="43"/>
      <c r="BQ576" s="43"/>
      <c r="BR576" s="43"/>
      <c r="BS576" s="43"/>
      <c r="BT576" s="43"/>
      <c r="BU576" s="43"/>
      <c r="BV576" s="43"/>
      <c r="BW576" s="43"/>
      <c r="BX576" s="43"/>
      <c r="BY576" s="43"/>
      <c r="BZ576" s="43"/>
      <c r="CA576" s="43"/>
      <c r="CB576" s="43"/>
      <c r="CC576" s="43"/>
      <c r="CD576" s="43"/>
      <c r="CE576" s="43"/>
      <c r="CF576" s="43"/>
      <c r="CG576" s="43"/>
      <c r="CH576" s="43"/>
      <c r="CI576" s="43"/>
      <c r="CJ576" s="43"/>
      <c r="CK576" s="43"/>
      <c r="CL576" s="43"/>
      <c r="CM576" s="43"/>
      <c r="CN576" s="43"/>
      <c r="CO576" s="43"/>
      <c r="CP576" s="43"/>
      <c r="CQ576" s="43"/>
      <c r="CR576" s="43"/>
      <c r="CS576" s="43"/>
      <c r="CT576" s="43"/>
      <c r="CU576" s="43"/>
      <c r="CV576" s="43"/>
      <c r="CW576" s="43"/>
      <c r="CX576" s="43"/>
      <c r="CY576" s="43"/>
      <c r="CZ576" s="43"/>
      <c r="DA576" s="43"/>
      <c r="DB576" s="43"/>
      <c r="DC576" s="43"/>
      <c r="DD576" s="43"/>
      <c r="DE576" s="43"/>
      <c r="DF576" s="43"/>
      <c r="DG576" s="43"/>
      <c r="DH576" s="43"/>
      <c r="DI576" s="43"/>
      <c r="DJ576" s="43"/>
      <c r="DK576" s="43"/>
      <c r="DL576" s="43"/>
      <c r="DM576" s="43"/>
      <c r="DN576" s="43"/>
      <c r="DO576" s="43"/>
      <c r="DP576" s="43"/>
      <c r="DQ576" s="43"/>
      <c r="DR576" s="43"/>
      <c r="DS576" s="43"/>
    </row>
    <row r="577" spans="1:123" ht="14.45">
      <c r="A577"/>
      <c r="B577"/>
      <c r="C577"/>
      <c r="D577"/>
      <c r="E577"/>
      <c r="F577"/>
      <c r="G577"/>
      <c r="H577"/>
      <c r="I577"/>
      <c r="J577"/>
      <c r="K577" s="43"/>
      <c r="L577" s="43"/>
      <c r="M577" s="43"/>
      <c r="N577" s="43"/>
      <c r="O577" s="43"/>
      <c r="P577" s="43"/>
      <c r="Q577" s="43"/>
      <c r="R577" s="43"/>
      <c r="S577" s="43"/>
      <c r="T577" s="43"/>
      <c r="U577" s="43"/>
      <c r="V577" s="43"/>
      <c r="W577" s="43"/>
      <c r="X577" s="43"/>
      <c r="Y577" s="43"/>
      <c r="Z577" s="43"/>
      <c r="AA577" s="43"/>
      <c r="AB577" s="43"/>
      <c r="AC577" s="43"/>
      <c r="AD577" s="43"/>
      <c r="AE577" s="43"/>
      <c r="AF577" s="43"/>
      <c r="AG577" s="43"/>
      <c r="AH577" s="43"/>
      <c r="AI577" s="43"/>
      <c r="AJ577" s="43"/>
      <c r="AK577" s="43"/>
      <c r="AL577" s="43"/>
      <c r="AM577" s="43"/>
      <c r="AN577" s="43"/>
      <c r="AO577" s="43"/>
      <c r="AP577" s="43"/>
      <c r="AQ577" s="43"/>
      <c r="AR577" s="43"/>
      <c r="AS577" s="43"/>
      <c r="AT577" s="43"/>
      <c r="AU577" s="43"/>
      <c r="AV577" s="43"/>
      <c r="AW577" s="43"/>
      <c r="AX577" s="43"/>
      <c r="AY577" s="43"/>
      <c r="AZ577" s="43"/>
      <c r="BA577" s="43"/>
      <c r="BB577" s="43"/>
      <c r="BC577" s="43"/>
      <c r="BD577" s="43"/>
      <c r="BE577" s="43"/>
      <c r="BF577" s="43"/>
      <c r="BG577" s="43"/>
      <c r="BH577" s="43"/>
      <c r="BI577" s="43"/>
      <c r="BJ577" s="43"/>
      <c r="BK577" s="43"/>
      <c r="BL577" s="43"/>
      <c r="BM577" s="43"/>
      <c r="BN577" s="43"/>
      <c r="BO577" s="43"/>
      <c r="BP577" s="43"/>
      <c r="BQ577" s="43"/>
      <c r="BR577" s="43"/>
      <c r="BS577" s="43"/>
      <c r="BT577" s="43"/>
      <c r="BU577" s="43"/>
      <c r="BV577" s="43"/>
      <c r="BW577" s="43"/>
      <c r="BX577" s="43"/>
      <c r="BY577" s="43"/>
      <c r="BZ577" s="43"/>
      <c r="CA577" s="43"/>
      <c r="CB577" s="43"/>
      <c r="CC577" s="43"/>
      <c r="CD577" s="43"/>
      <c r="CE577" s="43"/>
      <c r="CF577" s="43"/>
      <c r="CG577" s="43"/>
      <c r="CH577" s="43"/>
      <c r="CI577" s="43"/>
      <c r="CJ577" s="43"/>
      <c r="CK577" s="43"/>
      <c r="CL577" s="43"/>
      <c r="CM577" s="43"/>
      <c r="CN577" s="43"/>
      <c r="CO577" s="43"/>
      <c r="CP577" s="43"/>
      <c r="CQ577" s="43"/>
      <c r="CR577" s="43"/>
      <c r="CS577" s="43"/>
      <c r="CT577" s="43"/>
      <c r="CU577" s="43"/>
      <c r="CV577" s="43"/>
      <c r="CW577" s="43"/>
      <c r="CX577" s="43"/>
      <c r="CY577" s="43"/>
      <c r="CZ577" s="43"/>
      <c r="DA577" s="43"/>
      <c r="DB577" s="43"/>
      <c r="DC577" s="43"/>
      <c r="DD577" s="43"/>
      <c r="DE577" s="43"/>
      <c r="DF577" s="43"/>
      <c r="DG577" s="43"/>
      <c r="DH577" s="43"/>
      <c r="DI577" s="43"/>
      <c r="DJ577" s="43"/>
      <c r="DK577" s="43"/>
      <c r="DL577" s="43"/>
      <c r="DM577" s="43"/>
      <c r="DN577" s="43"/>
      <c r="DO577" s="43"/>
      <c r="DP577" s="43"/>
      <c r="DQ577" s="43"/>
      <c r="DR577" s="43"/>
      <c r="DS577" s="43"/>
    </row>
    <row r="578" spans="1:123" ht="14.45">
      <c r="A578"/>
      <c r="B578"/>
      <c r="C578"/>
      <c r="D578"/>
      <c r="E578"/>
      <c r="F578"/>
      <c r="G578"/>
      <c r="H578"/>
      <c r="I578"/>
      <c r="J578"/>
      <c r="K578" s="43"/>
      <c r="L578" s="43"/>
      <c r="M578" s="43"/>
      <c r="N578" s="43"/>
      <c r="O578" s="43"/>
      <c r="P578" s="43"/>
      <c r="Q578" s="43"/>
      <c r="R578" s="43"/>
      <c r="S578" s="43"/>
      <c r="T578" s="43"/>
      <c r="U578" s="43"/>
      <c r="V578" s="43"/>
      <c r="W578" s="43"/>
      <c r="X578" s="43"/>
      <c r="Y578" s="43"/>
      <c r="Z578" s="43"/>
      <c r="AA578" s="43"/>
      <c r="AB578" s="43"/>
      <c r="AC578" s="43"/>
      <c r="AD578" s="43"/>
      <c r="AE578" s="43"/>
      <c r="AF578" s="43"/>
      <c r="AG578" s="43"/>
      <c r="AH578" s="43"/>
      <c r="AI578" s="43"/>
      <c r="AJ578" s="43"/>
      <c r="AK578" s="43"/>
      <c r="AL578" s="43"/>
      <c r="AM578" s="43"/>
      <c r="AN578" s="43"/>
      <c r="AO578" s="43"/>
      <c r="AP578" s="43"/>
      <c r="AQ578" s="43"/>
      <c r="AR578" s="43"/>
      <c r="AS578" s="43"/>
      <c r="AT578" s="43"/>
      <c r="AU578" s="43"/>
      <c r="AV578" s="43"/>
      <c r="AW578" s="43"/>
      <c r="AX578" s="43"/>
      <c r="AY578" s="43"/>
      <c r="AZ578" s="43"/>
      <c r="BA578" s="43"/>
      <c r="BB578" s="43"/>
      <c r="BC578" s="43"/>
      <c r="BD578" s="43"/>
      <c r="BE578" s="43"/>
      <c r="BF578" s="43"/>
      <c r="BG578" s="43"/>
      <c r="BH578" s="43"/>
      <c r="BI578" s="43"/>
      <c r="BJ578" s="43"/>
      <c r="BK578" s="43"/>
      <c r="BL578" s="43"/>
      <c r="BM578" s="43"/>
      <c r="BN578" s="43"/>
      <c r="BO578" s="43"/>
      <c r="BP578" s="43"/>
      <c r="BQ578" s="43"/>
      <c r="BR578" s="43"/>
      <c r="BS578" s="43"/>
      <c r="BT578" s="43"/>
      <c r="BU578" s="43"/>
      <c r="BV578" s="43"/>
      <c r="BW578" s="43"/>
      <c r="BX578" s="43"/>
      <c r="BY578" s="43"/>
      <c r="BZ578" s="43"/>
      <c r="CA578" s="43"/>
      <c r="CB578" s="43"/>
      <c r="CC578" s="43"/>
      <c r="CD578" s="43"/>
      <c r="CE578" s="43"/>
      <c r="CF578" s="43"/>
      <c r="CG578" s="43"/>
      <c r="CH578" s="43"/>
      <c r="CI578" s="43"/>
      <c r="CJ578" s="43"/>
      <c r="CK578" s="43"/>
      <c r="CL578" s="43"/>
      <c r="CM578" s="43"/>
      <c r="CN578" s="43"/>
      <c r="CO578" s="43"/>
      <c r="CP578" s="43"/>
      <c r="CQ578" s="43"/>
      <c r="CR578" s="43"/>
      <c r="CS578" s="43"/>
      <c r="CT578" s="43"/>
      <c r="CU578" s="43"/>
      <c r="CV578" s="43"/>
      <c r="CW578" s="43"/>
      <c r="CX578" s="43"/>
      <c r="CY578" s="43"/>
      <c r="CZ578" s="43"/>
      <c r="DA578" s="43"/>
      <c r="DB578" s="43"/>
      <c r="DC578" s="43"/>
      <c r="DD578" s="43"/>
      <c r="DE578" s="43"/>
      <c r="DF578" s="43"/>
      <c r="DG578" s="43"/>
      <c r="DH578" s="43"/>
      <c r="DI578" s="43"/>
      <c r="DJ578" s="43"/>
      <c r="DK578" s="43"/>
      <c r="DL578" s="43"/>
      <c r="DM578" s="43"/>
      <c r="DN578" s="43"/>
      <c r="DO578" s="43"/>
      <c r="DP578" s="43"/>
      <c r="DQ578" s="43"/>
      <c r="DR578" s="43"/>
      <c r="DS578" s="43"/>
    </row>
    <row r="579" spans="1:123" ht="14.45">
      <c r="A579"/>
      <c r="B579"/>
      <c r="C579"/>
      <c r="D579"/>
      <c r="E579"/>
      <c r="F579"/>
      <c r="G579"/>
      <c r="H579"/>
      <c r="I579"/>
      <c r="J579"/>
      <c r="K579" s="43"/>
      <c r="L579" s="43"/>
      <c r="M579" s="43"/>
      <c r="N579" s="43"/>
      <c r="O579" s="43"/>
      <c r="P579" s="43"/>
      <c r="Q579" s="43"/>
      <c r="R579" s="43"/>
      <c r="S579" s="43"/>
      <c r="T579" s="43"/>
      <c r="U579" s="43"/>
      <c r="V579" s="43"/>
      <c r="W579" s="43"/>
      <c r="X579" s="43"/>
      <c r="Y579" s="43"/>
      <c r="Z579" s="43"/>
      <c r="AA579" s="43"/>
      <c r="AB579" s="43"/>
      <c r="AC579" s="43"/>
      <c r="AD579" s="43"/>
      <c r="AE579" s="43"/>
      <c r="AF579" s="43"/>
      <c r="AG579" s="43"/>
      <c r="AH579" s="43"/>
      <c r="AI579" s="43"/>
      <c r="AJ579" s="43"/>
      <c r="AK579" s="43"/>
      <c r="AL579" s="43"/>
      <c r="AM579" s="43"/>
      <c r="AN579" s="43"/>
      <c r="AO579" s="43"/>
      <c r="AP579" s="43"/>
      <c r="AQ579" s="43"/>
      <c r="AR579" s="43"/>
      <c r="AS579" s="43"/>
      <c r="AT579" s="43"/>
      <c r="AU579" s="43"/>
      <c r="AV579" s="43"/>
      <c r="AW579" s="43"/>
      <c r="AX579" s="43"/>
      <c r="AY579" s="43"/>
      <c r="AZ579" s="43"/>
      <c r="BA579" s="43"/>
      <c r="BB579" s="43"/>
      <c r="BC579" s="43"/>
      <c r="BD579" s="43"/>
      <c r="BE579" s="43"/>
      <c r="BF579" s="43"/>
      <c r="BG579" s="43"/>
      <c r="BH579" s="43"/>
      <c r="BI579" s="43"/>
      <c r="BJ579" s="43"/>
      <c r="BK579" s="43"/>
      <c r="BL579" s="43"/>
      <c r="BM579" s="43"/>
      <c r="BN579" s="43"/>
      <c r="BO579" s="43"/>
      <c r="BP579" s="43"/>
      <c r="BQ579" s="43"/>
      <c r="BR579" s="43"/>
      <c r="BS579" s="43"/>
      <c r="BT579" s="43"/>
      <c r="BU579" s="43"/>
      <c r="BV579" s="43"/>
      <c r="BW579" s="43"/>
      <c r="BX579" s="43"/>
      <c r="BY579" s="43"/>
      <c r="BZ579" s="43"/>
      <c r="CA579" s="43"/>
      <c r="CB579" s="43"/>
      <c r="CC579" s="43"/>
      <c r="CD579" s="43"/>
      <c r="CE579" s="43"/>
      <c r="CF579" s="43"/>
      <c r="CG579" s="43"/>
      <c r="CH579" s="43"/>
      <c r="CI579" s="43"/>
      <c r="CJ579" s="43"/>
      <c r="CK579" s="43"/>
      <c r="CL579" s="43"/>
      <c r="CM579" s="43"/>
      <c r="CN579" s="43"/>
      <c r="CO579" s="43"/>
      <c r="CP579" s="43"/>
      <c r="CQ579" s="43"/>
      <c r="CR579" s="43"/>
      <c r="CS579" s="43"/>
      <c r="CT579" s="43"/>
      <c r="CU579" s="43"/>
      <c r="CV579" s="43"/>
      <c r="CW579" s="43"/>
      <c r="CX579" s="43"/>
      <c r="CY579" s="43"/>
      <c r="CZ579" s="43"/>
      <c r="DA579" s="43"/>
      <c r="DB579" s="43"/>
      <c r="DC579" s="43"/>
      <c r="DD579" s="43"/>
      <c r="DE579" s="43"/>
      <c r="DF579" s="43"/>
      <c r="DG579" s="43"/>
      <c r="DH579" s="43"/>
      <c r="DI579" s="43"/>
      <c r="DJ579" s="43"/>
      <c r="DK579" s="43"/>
      <c r="DL579" s="43"/>
      <c r="DM579" s="43"/>
      <c r="DN579" s="43"/>
      <c r="DO579" s="43"/>
      <c r="DP579" s="43"/>
      <c r="DQ579" s="43"/>
      <c r="DR579" s="43"/>
      <c r="DS579" s="43"/>
    </row>
    <row r="580" spans="1:123" ht="14.45">
      <c r="A580"/>
      <c r="B580"/>
      <c r="C580"/>
      <c r="D580"/>
      <c r="E580"/>
      <c r="F580"/>
      <c r="G580"/>
      <c r="H580"/>
      <c r="I580"/>
      <c r="J580"/>
      <c r="K580" s="43"/>
      <c r="L580" s="43"/>
      <c r="M580" s="43"/>
      <c r="N580" s="43"/>
      <c r="O580" s="43"/>
      <c r="P580" s="43"/>
      <c r="Q580" s="43"/>
      <c r="R580" s="43"/>
      <c r="S580" s="43"/>
      <c r="T580" s="43"/>
      <c r="U580" s="43"/>
      <c r="V580" s="43"/>
      <c r="W580" s="43"/>
      <c r="X580" s="43"/>
      <c r="Y580" s="43"/>
      <c r="Z580" s="43"/>
      <c r="AA580" s="43"/>
      <c r="AB580" s="43"/>
      <c r="AC580" s="43"/>
      <c r="AD580" s="43"/>
      <c r="AE580" s="43"/>
      <c r="AF580" s="43"/>
      <c r="AG580" s="43"/>
      <c r="AH580" s="43"/>
      <c r="AI580" s="43"/>
      <c r="AJ580" s="43"/>
      <c r="AK580" s="43"/>
      <c r="AL580" s="43"/>
      <c r="AM580" s="43"/>
      <c r="AN580" s="43"/>
      <c r="AO580" s="43"/>
      <c r="AP580" s="43"/>
      <c r="AQ580" s="43"/>
      <c r="AR580" s="43"/>
      <c r="AS580" s="43"/>
      <c r="AT580" s="43"/>
      <c r="AU580" s="43"/>
      <c r="AV580" s="43"/>
      <c r="AW580" s="43"/>
      <c r="AX580" s="43"/>
      <c r="AY580" s="43"/>
      <c r="AZ580" s="43"/>
      <c r="BA580" s="43"/>
      <c r="BB580" s="43"/>
      <c r="BC580" s="43"/>
      <c r="BD580" s="43"/>
      <c r="BE580" s="43"/>
      <c r="BF580" s="43"/>
      <c r="BG580" s="43"/>
      <c r="BH580" s="43"/>
      <c r="BI580" s="43"/>
      <c r="BJ580" s="43"/>
      <c r="BK580" s="43"/>
      <c r="BL580" s="43"/>
      <c r="BM580" s="43"/>
      <c r="BN580" s="43"/>
      <c r="BO580" s="43"/>
      <c r="BP580" s="43"/>
      <c r="BQ580" s="43"/>
      <c r="BR580" s="43"/>
      <c r="BS580" s="43"/>
      <c r="BT580" s="43"/>
      <c r="BU580" s="43"/>
      <c r="BV580" s="43"/>
      <c r="BW580" s="43"/>
      <c r="BX580" s="43"/>
      <c r="BY580" s="43"/>
      <c r="BZ580" s="43"/>
      <c r="CA580" s="43"/>
      <c r="CB580" s="43"/>
      <c r="CC580" s="43"/>
      <c r="CD580" s="43"/>
      <c r="CE580" s="43"/>
      <c r="CF580" s="43"/>
      <c r="CG580" s="43"/>
      <c r="CH580" s="43"/>
      <c r="CI580" s="43"/>
      <c r="CJ580" s="43"/>
      <c r="CK580" s="43"/>
      <c r="CL580" s="43"/>
      <c r="CM580" s="43"/>
      <c r="CN580" s="43"/>
      <c r="CO580" s="43"/>
      <c r="CP580" s="43"/>
      <c r="CQ580" s="43"/>
      <c r="CR580" s="43"/>
      <c r="CS580" s="43"/>
      <c r="CT580" s="43"/>
      <c r="CU580" s="43"/>
      <c r="CV580" s="43"/>
      <c r="CW580" s="43"/>
      <c r="CX580" s="43"/>
      <c r="CY580" s="43"/>
      <c r="CZ580" s="43"/>
      <c r="DA580" s="43"/>
      <c r="DB580" s="43"/>
      <c r="DC580" s="43"/>
      <c r="DD580" s="43"/>
      <c r="DE580" s="43"/>
      <c r="DF580" s="43"/>
      <c r="DG580" s="43"/>
      <c r="DH580" s="43"/>
      <c r="DI580" s="43"/>
      <c r="DJ580" s="43"/>
      <c r="DK580" s="43"/>
      <c r="DL580" s="43"/>
      <c r="DM580" s="43"/>
      <c r="DN580" s="43"/>
      <c r="DO580" s="43"/>
      <c r="DP580" s="43"/>
      <c r="DQ580" s="43"/>
      <c r="DR580" s="43"/>
      <c r="DS580" s="43"/>
    </row>
    <row r="581" spans="1:123" ht="14.45">
      <c r="A581"/>
      <c r="B581"/>
      <c r="C581"/>
      <c r="D581"/>
      <c r="E581"/>
      <c r="F581"/>
      <c r="G581"/>
      <c r="H581"/>
      <c r="I581"/>
      <c r="J581"/>
      <c r="K581" s="43"/>
      <c r="L581" s="43"/>
      <c r="M581" s="43"/>
      <c r="N581" s="43"/>
      <c r="O581" s="43"/>
      <c r="P581" s="43"/>
      <c r="Q581" s="43"/>
      <c r="R581" s="43"/>
      <c r="S581" s="43"/>
      <c r="T581" s="43"/>
      <c r="U581" s="43"/>
      <c r="V581" s="43"/>
      <c r="W581" s="43"/>
      <c r="X581" s="43"/>
      <c r="Y581" s="43"/>
      <c r="Z581" s="43"/>
      <c r="AA581" s="43"/>
      <c r="AB581" s="43"/>
      <c r="AC581" s="43"/>
      <c r="AD581" s="43"/>
      <c r="AE581" s="43"/>
      <c r="AF581" s="43"/>
      <c r="AG581" s="43"/>
      <c r="AH581" s="43"/>
      <c r="AI581" s="43"/>
      <c r="AJ581" s="43"/>
      <c r="AK581" s="43"/>
      <c r="AL581" s="43"/>
      <c r="AM581" s="43"/>
      <c r="AN581" s="43"/>
      <c r="AO581" s="43"/>
      <c r="AP581" s="43"/>
      <c r="AQ581" s="43"/>
      <c r="AR581" s="43"/>
      <c r="AS581" s="43"/>
      <c r="AT581" s="43"/>
      <c r="AU581" s="43"/>
      <c r="AV581" s="43"/>
      <c r="AW581" s="43"/>
      <c r="AX581" s="43"/>
      <c r="AY581" s="43"/>
      <c r="AZ581" s="43"/>
      <c r="BA581" s="43"/>
      <c r="BB581" s="43"/>
      <c r="BC581" s="43"/>
      <c r="BD581" s="43"/>
      <c r="BE581" s="43"/>
      <c r="BF581" s="43"/>
      <c r="BG581" s="43"/>
      <c r="BH581" s="43"/>
      <c r="BI581" s="43"/>
      <c r="BJ581" s="43"/>
      <c r="BK581" s="43"/>
      <c r="BL581" s="43"/>
      <c r="BM581" s="43"/>
      <c r="BN581" s="43"/>
      <c r="BO581" s="43"/>
      <c r="BP581" s="43"/>
      <c r="BQ581" s="43"/>
      <c r="BR581" s="43"/>
      <c r="BS581" s="43"/>
      <c r="BT581" s="43"/>
      <c r="BU581" s="43"/>
      <c r="BV581" s="43"/>
      <c r="BW581" s="43"/>
      <c r="BX581" s="43"/>
      <c r="BY581" s="43"/>
      <c r="BZ581" s="43"/>
      <c r="CA581" s="43"/>
      <c r="CB581" s="43"/>
      <c r="CC581" s="43"/>
      <c r="CD581" s="43"/>
      <c r="CE581" s="43"/>
      <c r="CF581" s="43"/>
      <c r="CG581" s="43"/>
      <c r="CH581" s="43"/>
      <c r="CI581" s="43"/>
      <c r="CJ581" s="43"/>
      <c r="CK581" s="43"/>
      <c r="CL581" s="43"/>
      <c r="CM581" s="43"/>
      <c r="CN581" s="43"/>
      <c r="CO581" s="43"/>
      <c r="CP581" s="43"/>
      <c r="CQ581" s="43"/>
      <c r="CR581" s="43"/>
      <c r="CS581" s="43"/>
      <c r="CT581" s="43"/>
      <c r="CU581" s="43"/>
      <c r="CV581" s="43"/>
      <c r="CW581" s="43"/>
      <c r="CX581" s="43"/>
      <c r="CY581" s="43"/>
      <c r="CZ581" s="43"/>
      <c r="DA581" s="43"/>
      <c r="DB581" s="43"/>
      <c r="DC581" s="43"/>
      <c r="DD581" s="43"/>
      <c r="DE581" s="43"/>
      <c r="DF581" s="43"/>
      <c r="DG581" s="43"/>
      <c r="DH581" s="43"/>
      <c r="DI581" s="43"/>
      <c r="DJ581" s="43"/>
      <c r="DK581" s="43"/>
      <c r="DL581" s="43"/>
      <c r="DM581" s="43"/>
      <c r="DN581" s="43"/>
      <c r="DO581" s="43"/>
      <c r="DP581" s="43"/>
      <c r="DQ581" s="43"/>
      <c r="DR581" s="43"/>
      <c r="DS581" s="43"/>
    </row>
    <row r="582" spans="1:123" ht="14.45">
      <c r="A582"/>
      <c r="B582"/>
      <c r="C582"/>
      <c r="D582"/>
      <c r="E582"/>
      <c r="F582"/>
      <c r="G582"/>
      <c r="H582"/>
      <c r="I582"/>
      <c r="J582"/>
      <c r="K582" s="43"/>
      <c r="L582" s="43"/>
      <c r="M582" s="43"/>
      <c r="N582" s="43"/>
      <c r="O582" s="43"/>
      <c r="P582" s="43"/>
      <c r="Q582" s="43"/>
      <c r="R582" s="43"/>
      <c r="S582" s="43"/>
      <c r="T582" s="43"/>
      <c r="U582" s="43"/>
      <c r="V582" s="43"/>
      <c r="W582" s="43"/>
      <c r="X582" s="43"/>
      <c r="Y582" s="43"/>
      <c r="Z582" s="43"/>
      <c r="AA582" s="43"/>
      <c r="AB582" s="43"/>
      <c r="AC582" s="43"/>
      <c r="AD582" s="43"/>
      <c r="AE582" s="43"/>
      <c r="AF582" s="43"/>
      <c r="AG582" s="43"/>
      <c r="AH582" s="43"/>
      <c r="AI582" s="43"/>
      <c r="AJ582" s="43"/>
      <c r="AK582" s="43"/>
      <c r="AL582" s="43"/>
      <c r="AM582" s="43"/>
      <c r="AN582" s="43"/>
      <c r="AO582" s="43"/>
      <c r="AP582" s="43"/>
      <c r="AQ582" s="43"/>
      <c r="AR582" s="43"/>
      <c r="AS582" s="43"/>
      <c r="AT582" s="43"/>
      <c r="AU582" s="43"/>
      <c r="AV582" s="43"/>
      <c r="AW582" s="43"/>
      <c r="AX582" s="43"/>
      <c r="AY582" s="43"/>
      <c r="AZ582" s="43"/>
      <c r="BA582" s="43"/>
      <c r="BB582" s="43"/>
      <c r="BC582" s="43"/>
      <c r="BD582" s="43"/>
      <c r="BE582" s="43"/>
      <c r="BF582" s="43"/>
      <c r="BG582" s="43"/>
      <c r="BH582" s="43"/>
      <c r="BI582" s="43"/>
      <c r="BJ582" s="43"/>
      <c r="BK582" s="43"/>
      <c r="BL582" s="43"/>
      <c r="BM582" s="43"/>
      <c r="BN582" s="43"/>
      <c r="BO582" s="43"/>
      <c r="BP582" s="43"/>
      <c r="BQ582" s="43"/>
      <c r="BR582" s="43"/>
      <c r="BS582" s="43"/>
      <c r="BT582" s="43"/>
      <c r="BU582" s="43"/>
      <c r="BV582" s="43"/>
      <c r="BW582" s="43"/>
      <c r="BX582" s="43"/>
      <c r="BY582" s="43"/>
      <c r="BZ582" s="43"/>
      <c r="CA582" s="43"/>
      <c r="CB582" s="43"/>
      <c r="CC582" s="43"/>
      <c r="CD582" s="43"/>
      <c r="CE582" s="43"/>
      <c r="CF582" s="43"/>
      <c r="CG582" s="43"/>
      <c r="CH582" s="43"/>
      <c r="CI582" s="43"/>
      <c r="CJ582" s="43"/>
      <c r="CK582" s="43"/>
      <c r="CL582" s="43"/>
      <c r="CM582" s="43"/>
      <c r="CN582" s="43"/>
      <c r="CO582" s="43"/>
      <c r="CP582" s="43"/>
      <c r="CQ582" s="43"/>
      <c r="CR582" s="43"/>
      <c r="CS582" s="43"/>
      <c r="CT582" s="43"/>
      <c r="CU582" s="43"/>
      <c r="CV582" s="43"/>
      <c r="CW582" s="43"/>
      <c r="CX582" s="43"/>
      <c r="CY582" s="43"/>
      <c r="CZ582" s="43"/>
      <c r="DA582" s="43"/>
      <c r="DB582" s="43"/>
      <c r="DC582" s="43"/>
      <c r="DD582" s="43"/>
      <c r="DE582" s="43"/>
      <c r="DF582" s="43"/>
      <c r="DG582" s="43"/>
      <c r="DH582" s="43"/>
      <c r="DI582" s="43"/>
      <c r="DJ582" s="43"/>
      <c r="DK582" s="43"/>
      <c r="DL582" s="43"/>
      <c r="DM582" s="43"/>
      <c r="DN582" s="43"/>
      <c r="DO582" s="43"/>
      <c r="DP582" s="43"/>
      <c r="DQ582" s="43"/>
      <c r="DR582" s="43"/>
      <c r="DS582" s="43"/>
    </row>
    <row r="583" spans="1:123" ht="14.45">
      <c r="A583"/>
      <c r="B583"/>
      <c r="C583"/>
      <c r="D583"/>
      <c r="E583"/>
      <c r="F583"/>
      <c r="G583"/>
      <c r="H583"/>
      <c r="I583"/>
      <c r="J583"/>
      <c r="K583" s="43"/>
      <c r="L583" s="43"/>
      <c r="M583" s="43"/>
      <c r="N583" s="43"/>
      <c r="O583" s="43"/>
      <c r="P583" s="43"/>
      <c r="Q583" s="43"/>
      <c r="R583" s="43"/>
      <c r="S583" s="43"/>
      <c r="T583" s="43"/>
      <c r="U583" s="43"/>
      <c r="V583" s="43"/>
      <c r="W583" s="43"/>
      <c r="X583" s="43"/>
      <c r="Y583" s="43"/>
      <c r="Z583" s="43"/>
      <c r="AA583" s="43"/>
      <c r="AB583" s="43"/>
      <c r="AC583" s="43"/>
      <c r="AD583" s="43"/>
      <c r="AE583" s="43"/>
      <c r="AF583" s="43"/>
      <c r="AG583" s="43"/>
      <c r="AH583" s="43"/>
      <c r="AI583" s="43"/>
      <c r="AJ583" s="43"/>
      <c r="AK583" s="43"/>
      <c r="AL583" s="43"/>
      <c r="AM583" s="43"/>
      <c r="AN583" s="43"/>
      <c r="AO583" s="43"/>
      <c r="AP583" s="43"/>
      <c r="AQ583" s="43"/>
      <c r="AR583" s="43"/>
      <c r="AS583" s="43"/>
      <c r="AT583" s="43"/>
      <c r="AU583" s="43"/>
      <c r="AV583" s="43"/>
      <c r="AW583" s="43"/>
      <c r="AX583" s="43"/>
      <c r="AY583" s="43"/>
      <c r="AZ583" s="43"/>
      <c r="BA583" s="43"/>
      <c r="BB583" s="43"/>
      <c r="BC583" s="43"/>
      <c r="BD583" s="43"/>
      <c r="BE583" s="43"/>
      <c r="BF583" s="43"/>
      <c r="BG583" s="43"/>
      <c r="BH583" s="43"/>
      <c r="BI583" s="43"/>
      <c r="BJ583" s="43"/>
      <c r="BK583" s="43"/>
      <c r="BL583" s="43"/>
      <c r="BM583" s="43"/>
      <c r="BN583" s="43"/>
      <c r="BO583" s="43"/>
      <c r="BP583" s="43"/>
      <c r="BQ583" s="43"/>
      <c r="BR583" s="43"/>
      <c r="BS583" s="43"/>
      <c r="BT583" s="43"/>
      <c r="BU583" s="43"/>
      <c r="BV583" s="43"/>
      <c r="BW583" s="43"/>
      <c r="BX583" s="43"/>
      <c r="BY583" s="43"/>
      <c r="BZ583" s="43"/>
      <c r="CA583" s="43"/>
      <c r="CB583" s="43"/>
      <c r="CC583" s="43"/>
      <c r="CD583" s="43"/>
      <c r="CE583" s="43"/>
      <c r="CF583" s="43"/>
      <c r="CG583" s="43"/>
      <c r="CH583" s="43"/>
      <c r="CI583" s="43"/>
      <c r="CJ583" s="43"/>
      <c r="CK583" s="43"/>
      <c r="CL583" s="43"/>
      <c r="CM583" s="43"/>
      <c r="CN583" s="43"/>
      <c r="CO583" s="43"/>
      <c r="CP583" s="43"/>
      <c r="CQ583" s="43"/>
      <c r="CR583" s="43"/>
      <c r="CS583" s="43"/>
      <c r="CT583" s="43"/>
      <c r="CU583" s="43"/>
      <c r="CV583" s="43"/>
      <c r="CW583" s="43"/>
      <c r="CX583" s="43"/>
      <c r="CY583" s="43"/>
      <c r="CZ583" s="43"/>
      <c r="DA583" s="43"/>
      <c r="DB583" s="43"/>
      <c r="DC583" s="43"/>
      <c r="DD583" s="43"/>
      <c r="DE583" s="43"/>
      <c r="DF583" s="43"/>
      <c r="DG583" s="43"/>
      <c r="DH583" s="43"/>
      <c r="DI583" s="43"/>
      <c r="DJ583" s="43"/>
      <c r="DK583" s="43"/>
      <c r="DL583" s="43"/>
      <c r="DM583" s="43"/>
      <c r="DN583" s="43"/>
      <c r="DO583" s="43"/>
      <c r="DP583" s="43"/>
      <c r="DQ583" s="43"/>
      <c r="DR583" s="43"/>
      <c r="DS583" s="43"/>
    </row>
    <row r="584" spans="1:123" ht="14.45">
      <c r="A584"/>
      <c r="B584"/>
      <c r="C584"/>
      <c r="D584"/>
      <c r="E584"/>
      <c r="F584"/>
      <c r="G584"/>
      <c r="H584"/>
      <c r="I584"/>
      <c r="J584"/>
      <c r="K584" s="43"/>
      <c r="L584" s="43"/>
      <c r="M584" s="43"/>
      <c r="N584" s="43"/>
      <c r="O584" s="43"/>
      <c r="P584" s="43"/>
      <c r="Q584" s="43"/>
      <c r="R584" s="43"/>
      <c r="S584" s="43"/>
      <c r="T584" s="43"/>
      <c r="U584" s="43"/>
      <c r="V584" s="43"/>
      <c r="W584" s="43"/>
      <c r="X584" s="43"/>
      <c r="Y584" s="43"/>
      <c r="Z584" s="43"/>
      <c r="AA584" s="43"/>
      <c r="AB584" s="43"/>
      <c r="AC584" s="43"/>
      <c r="AD584" s="43"/>
      <c r="AE584" s="43"/>
      <c r="AF584" s="43"/>
      <c r="AG584" s="43"/>
      <c r="AH584" s="43"/>
      <c r="AI584" s="43"/>
      <c r="AJ584" s="43"/>
      <c r="AK584" s="43"/>
      <c r="AL584" s="43"/>
      <c r="AM584" s="43"/>
      <c r="AN584" s="43"/>
      <c r="AO584" s="43"/>
      <c r="AP584" s="43"/>
      <c r="AQ584" s="43"/>
      <c r="AR584" s="43"/>
      <c r="AS584" s="43"/>
      <c r="AT584" s="43"/>
      <c r="AU584" s="43"/>
      <c r="AV584" s="43"/>
      <c r="AW584" s="43"/>
      <c r="AX584" s="43"/>
      <c r="AY584" s="43"/>
      <c r="AZ584" s="43"/>
      <c r="BA584" s="43"/>
      <c r="BB584" s="43"/>
      <c r="BC584" s="43"/>
      <c r="BD584" s="43"/>
      <c r="BE584" s="43"/>
      <c r="BF584" s="43"/>
      <c r="BG584" s="43"/>
      <c r="BH584" s="43"/>
      <c r="BI584" s="43"/>
      <c r="BJ584" s="43"/>
      <c r="BK584" s="43"/>
      <c r="BL584" s="43"/>
      <c r="BM584" s="43"/>
      <c r="BN584" s="43"/>
      <c r="BO584" s="43"/>
      <c r="BP584" s="43"/>
      <c r="BQ584" s="43"/>
      <c r="BR584" s="43"/>
      <c r="BS584" s="43"/>
      <c r="BT584" s="43"/>
      <c r="BU584" s="43"/>
      <c r="BV584" s="43"/>
      <c r="BW584" s="43"/>
      <c r="BX584" s="43"/>
      <c r="BY584" s="43"/>
      <c r="BZ584" s="43"/>
      <c r="CA584" s="43"/>
      <c r="CB584" s="43"/>
      <c r="CC584" s="43"/>
      <c r="CD584" s="43"/>
      <c r="CE584" s="43"/>
      <c r="CF584" s="43"/>
      <c r="CG584" s="43"/>
      <c r="CH584" s="43"/>
      <c r="CI584" s="43"/>
      <c r="CJ584" s="43"/>
      <c r="CK584" s="43"/>
      <c r="CL584" s="43"/>
      <c r="CM584" s="43"/>
      <c r="CN584" s="43"/>
      <c r="CO584" s="43"/>
      <c r="CP584" s="43"/>
      <c r="CQ584" s="43"/>
      <c r="CR584" s="43"/>
      <c r="CS584" s="43"/>
      <c r="CT584" s="43"/>
      <c r="CU584" s="43"/>
      <c r="CV584" s="43"/>
      <c r="CW584" s="43"/>
      <c r="CX584" s="43"/>
      <c r="CY584" s="43"/>
      <c r="CZ584" s="43"/>
      <c r="DA584" s="43"/>
      <c r="DB584" s="43"/>
      <c r="DC584" s="43"/>
      <c r="DD584" s="43"/>
      <c r="DE584" s="43"/>
      <c r="DF584" s="43"/>
      <c r="DG584" s="43"/>
      <c r="DH584" s="43"/>
      <c r="DI584" s="43"/>
      <c r="DJ584" s="43"/>
      <c r="DK584" s="43"/>
      <c r="DL584" s="43"/>
      <c r="DM584" s="43"/>
      <c r="DN584" s="43"/>
      <c r="DO584" s="43"/>
      <c r="DP584" s="43"/>
      <c r="DQ584" s="43"/>
      <c r="DR584" s="43"/>
      <c r="DS584" s="43"/>
    </row>
    <row r="585" spans="1:123" ht="14.45">
      <c r="A585"/>
      <c r="B585"/>
      <c r="C585"/>
      <c r="D585"/>
      <c r="E585"/>
      <c r="F585"/>
      <c r="G585"/>
      <c r="H585"/>
      <c r="I585"/>
      <c r="J585"/>
      <c r="K585" s="43"/>
      <c r="L585" s="43"/>
      <c r="M585" s="43"/>
      <c r="N585" s="43"/>
      <c r="O585" s="43"/>
      <c r="P585" s="43"/>
      <c r="Q585" s="43"/>
      <c r="R585" s="43"/>
      <c r="S585" s="43"/>
      <c r="T585" s="43"/>
      <c r="U585" s="43"/>
      <c r="V585" s="43"/>
      <c r="W585" s="43"/>
      <c r="X585" s="43"/>
      <c r="Y585" s="43"/>
      <c r="Z585" s="43"/>
      <c r="AA585" s="43"/>
      <c r="AB585" s="43"/>
      <c r="AC585" s="43"/>
      <c r="AD585" s="43"/>
      <c r="AE585" s="43"/>
      <c r="AF585" s="43"/>
      <c r="AG585" s="43"/>
      <c r="AH585" s="43"/>
      <c r="AI585" s="43"/>
      <c r="AJ585" s="43"/>
      <c r="AK585" s="43"/>
      <c r="AL585" s="43"/>
      <c r="AM585" s="43"/>
      <c r="AN585" s="43"/>
      <c r="AO585" s="43"/>
      <c r="AP585" s="43"/>
      <c r="AQ585" s="43"/>
      <c r="AR585" s="43"/>
      <c r="AS585" s="43"/>
      <c r="AT585" s="43"/>
      <c r="AU585" s="43"/>
      <c r="AV585" s="43"/>
      <c r="AW585" s="43"/>
      <c r="AX585" s="43"/>
      <c r="AY585" s="43"/>
      <c r="AZ585" s="43"/>
      <c r="BA585" s="43"/>
      <c r="BB585" s="43"/>
      <c r="BC585" s="43"/>
      <c r="BD585" s="43"/>
      <c r="BE585" s="43"/>
      <c r="BF585" s="43"/>
      <c r="BG585" s="43"/>
      <c r="BH585" s="43"/>
      <c r="BI585" s="43"/>
      <c r="BJ585" s="43"/>
      <c r="BK585" s="43"/>
      <c r="BL585" s="43"/>
      <c r="BM585" s="43"/>
      <c r="BN585" s="43"/>
      <c r="BO585" s="43"/>
      <c r="BP585" s="43"/>
      <c r="BQ585" s="43"/>
      <c r="BR585" s="43"/>
      <c r="BS585" s="43"/>
      <c r="BT585" s="43"/>
      <c r="BU585" s="43"/>
      <c r="BV585" s="43"/>
      <c r="BW585" s="43"/>
      <c r="BX585" s="43"/>
      <c r="BY585" s="43"/>
      <c r="BZ585" s="43"/>
      <c r="CA585" s="43"/>
      <c r="CB585" s="43"/>
      <c r="CC585" s="43"/>
      <c r="CD585" s="43"/>
      <c r="CE585" s="43"/>
      <c r="CF585" s="43"/>
      <c r="CG585" s="43"/>
      <c r="CH585" s="43"/>
      <c r="CI585" s="43"/>
      <c r="CJ585" s="43"/>
      <c r="CK585" s="43"/>
      <c r="CL585" s="43"/>
      <c r="CM585" s="43"/>
      <c r="CN585" s="43"/>
      <c r="CO585" s="43"/>
      <c r="CP585" s="43"/>
      <c r="CQ585" s="43"/>
      <c r="CR585" s="43"/>
      <c r="CS585" s="43"/>
      <c r="CT585" s="43"/>
      <c r="CU585" s="43"/>
      <c r="CV585" s="43"/>
      <c r="CW585" s="43"/>
      <c r="CX585" s="43"/>
      <c r="CY585" s="43"/>
      <c r="CZ585" s="43"/>
      <c r="DA585" s="43"/>
      <c r="DB585" s="43"/>
      <c r="DC585" s="43"/>
      <c r="DD585" s="43"/>
      <c r="DE585" s="43"/>
      <c r="DF585" s="43"/>
      <c r="DG585" s="43"/>
      <c r="DH585" s="43"/>
      <c r="DI585" s="43"/>
      <c r="DJ585" s="43"/>
      <c r="DK585" s="43"/>
      <c r="DL585" s="43"/>
      <c r="DM585" s="43"/>
      <c r="DN585" s="43"/>
      <c r="DO585" s="43"/>
      <c r="DP585" s="43"/>
      <c r="DQ585" s="43"/>
      <c r="DR585" s="43"/>
      <c r="DS585" s="43"/>
    </row>
    <row r="586" spans="1:123" ht="14.45">
      <c r="A586"/>
      <c r="B586"/>
      <c r="C586"/>
      <c r="D586"/>
      <c r="E586"/>
      <c r="F586"/>
      <c r="G586"/>
      <c r="H586"/>
      <c r="I586"/>
      <c r="J586"/>
      <c r="K586" s="43"/>
      <c r="L586" s="43"/>
      <c r="M586" s="43"/>
      <c r="N586" s="43"/>
      <c r="O586" s="43"/>
      <c r="P586" s="43"/>
      <c r="Q586" s="43"/>
      <c r="R586" s="43"/>
      <c r="S586" s="43"/>
      <c r="T586" s="43"/>
      <c r="U586" s="43"/>
      <c r="V586" s="43"/>
      <c r="W586" s="43"/>
      <c r="X586" s="43"/>
      <c r="Y586" s="43"/>
      <c r="Z586" s="43"/>
      <c r="AA586" s="43"/>
      <c r="AB586" s="43"/>
      <c r="AC586" s="43"/>
      <c r="AD586" s="43"/>
      <c r="AE586" s="43"/>
      <c r="AF586" s="43"/>
      <c r="AG586" s="43"/>
      <c r="AH586" s="43"/>
      <c r="AI586" s="43"/>
      <c r="AJ586" s="43"/>
      <c r="AK586" s="43"/>
      <c r="AL586" s="43"/>
      <c r="AM586" s="43"/>
      <c r="AN586" s="43"/>
      <c r="AO586" s="43"/>
      <c r="AP586" s="43"/>
      <c r="AQ586" s="43"/>
      <c r="AR586" s="43"/>
      <c r="AS586" s="43"/>
      <c r="AT586" s="43"/>
      <c r="AU586" s="43"/>
      <c r="AV586" s="43"/>
      <c r="AW586" s="43"/>
      <c r="AX586" s="43"/>
      <c r="AY586" s="43"/>
      <c r="AZ586" s="43"/>
      <c r="BA586" s="43"/>
      <c r="BB586" s="43"/>
      <c r="BC586" s="43"/>
      <c r="BD586" s="43"/>
      <c r="BE586" s="43"/>
      <c r="BF586" s="43"/>
      <c r="BG586" s="43"/>
      <c r="BH586" s="43"/>
      <c r="BI586" s="43"/>
      <c r="BJ586" s="43"/>
      <c r="BK586" s="43"/>
      <c r="BL586" s="43"/>
      <c r="BM586" s="43"/>
      <c r="BN586" s="43"/>
      <c r="BO586" s="43"/>
      <c r="BP586" s="43"/>
      <c r="BQ586" s="43"/>
      <c r="BR586" s="43"/>
      <c r="BS586" s="43"/>
      <c r="BT586" s="43"/>
      <c r="BU586" s="43"/>
      <c r="BV586" s="43"/>
      <c r="BW586" s="43"/>
      <c r="BX586" s="43"/>
      <c r="BY586" s="43"/>
      <c r="BZ586" s="43"/>
      <c r="CA586" s="43"/>
      <c r="CB586" s="43"/>
      <c r="CC586" s="43"/>
      <c r="CD586" s="43"/>
      <c r="CE586" s="43"/>
      <c r="CF586" s="43"/>
      <c r="CG586" s="43"/>
      <c r="CH586" s="43"/>
      <c r="CI586" s="43"/>
      <c r="CJ586" s="43"/>
      <c r="CK586" s="43"/>
      <c r="CL586" s="43"/>
      <c r="CM586" s="43"/>
      <c r="CN586" s="43"/>
      <c r="CO586" s="43"/>
      <c r="CP586" s="43"/>
      <c r="CQ586" s="43"/>
      <c r="CR586" s="43"/>
      <c r="CS586" s="43"/>
      <c r="CT586" s="43"/>
      <c r="CU586" s="43"/>
      <c r="CV586" s="43"/>
      <c r="CW586" s="43"/>
      <c r="CX586" s="43"/>
      <c r="CY586" s="43"/>
      <c r="CZ586" s="43"/>
      <c r="DA586" s="43"/>
      <c r="DB586" s="43"/>
      <c r="DC586" s="43"/>
      <c r="DD586" s="43"/>
      <c r="DE586" s="43"/>
      <c r="DF586" s="43"/>
      <c r="DG586" s="43"/>
      <c r="DH586" s="43"/>
      <c r="DI586" s="43"/>
      <c r="DJ586" s="43"/>
      <c r="DK586" s="43"/>
      <c r="DL586" s="43"/>
      <c r="DM586" s="43"/>
      <c r="DN586" s="43"/>
      <c r="DO586" s="43"/>
      <c r="DP586" s="43"/>
      <c r="DQ586" s="43"/>
      <c r="DR586" s="43"/>
      <c r="DS586" s="43"/>
    </row>
    <row r="587" spans="1:123" ht="14.45">
      <c r="A587"/>
      <c r="B587"/>
      <c r="C587"/>
      <c r="D587"/>
      <c r="E587"/>
      <c r="F587"/>
      <c r="G587"/>
      <c r="H587"/>
      <c r="I587"/>
      <c r="J587"/>
      <c r="K587" s="43"/>
      <c r="L587" s="43"/>
      <c r="M587" s="43"/>
      <c r="N587" s="43"/>
      <c r="O587" s="43"/>
      <c r="P587" s="43"/>
      <c r="Q587" s="43"/>
      <c r="R587" s="43"/>
      <c r="S587" s="43"/>
      <c r="T587" s="43"/>
      <c r="U587" s="43"/>
      <c r="V587" s="43"/>
      <c r="W587" s="43"/>
      <c r="X587" s="43"/>
      <c r="Y587" s="43"/>
      <c r="Z587" s="43"/>
      <c r="AA587" s="43"/>
      <c r="AB587" s="43"/>
      <c r="AC587" s="43"/>
      <c r="AD587" s="43"/>
      <c r="AE587" s="43"/>
      <c r="AF587" s="43"/>
      <c r="AG587" s="43"/>
      <c r="AH587" s="43"/>
      <c r="AI587" s="43"/>
      <c r="AJ587" s="43"/>
      <c r="AK587" s="43"/>
      <c r="AL587" s="43"/>
      <c r="AM587" s="43"/>
      <c r="AN587" s="43"/>
      <c r="AO587" s="43"/>
      <c r="AP587" s="43"/>
      <c r="AQ587" s="43"/>
      <c r="AR587" s="43"/>
      <c r="AS587" s="43"/>
      <c r="AT587" s="43"/>
      <c r="AU587" s="43"/>
      <c r="AV587" s="43"/>
      <c r="AW587" s="43"/>
      <c r="AX587" s="43"/>
      <c r="AY587" s="43"/>
      <c r="AZ587" s="43"/>
      <c r="BA587" s="43"/>
      <c r="BB587" s="43"/>
      <c r="BC587" s="43"/>
      <c r="BD587" s="43"/>
      <c r="BE587" s="43"/>
      <c r="BF587" s="43"/>
      <c r="BG587" s="43"/>
      <c r="BH587" s="43"/>
      <c r="BI587" s="43"/>
      <c r="BJ587" s="43"/>
      <c r="BK587" s="43"/>
      <c r="BL587" s="43"/>
      <c r="BM587" s="43"/>
      <c r="BN587" s="43"/>
      <c r="BO587" s="43"/>
      <c r="BP587" s="43"/>
      <c r="BQ587" s="43"/>
      <c r="BR587" s="43"/>
      <c r="BS587" s="43"/>
      <c r="BT587" s="43"/>
      <c r="BU587" s="43"/>
      <c r="BV587" s="43"/>
      <c r="BW587" s="43"/>
      <c r="BX587" s="43"/>
      <c r="BY587" s="43"/>
      <c r="BZ587" s="43"/>
      <c r="CA587" s="43"/>
      <c r="CB587" s="43"/>
      <c r="CC587" s="43"/>
      <c r="CD587" s="43"/>
      <c r="CE587" s="43"/>
      <c r="CF587" s="43"/>
      <c r="CG587" s="43"/>
      <c r="CH587" s="43"/>
      <c r="CI587" s="43"/>
      <c r="CJ587" s="43"/>
      <c r="CK587" s="43"/>
      <c r="CL587" s="43"/>
      <c r="CM587" s="43"/>
      <c r="CN587" s="43"/>
      <c r="CO587" s="43"/>
      <c r="CP587" s="43"/>
      <c r="CQ587" s="43"/>
      <c r="CR587" s="43"/>
      <c r="CS587" s="43"/>
      <c r="CT587" s="43"/>
      <c r="CU587" s="43"/>
      <c r="CV587" s="43"/>
      <c r="CW587" s="43"/>
      <c r="CX587" s="43"/>
      <c r="CY587" s="43"/>
      <c r="CZ587" s="43"/>
      <c r="DA587" s="43"/>
      <c r="DB587" s="43"/>
      <c r="DC587" s="43"/>
      <c r="DD587" s="43"/>
      <c r="DE587" s="43"/>
      <c r="DF587" s="43"/>
      <c r="DG587" s="43"/>
      <c r="DH587" s="43"/>
      <c r="DI587" s="43"/>
      <c r="DJ587" s="43"/>
      <c r="DK587" s="43"/>
      <c r="DL587" s="43"/>
      <c r="DM587" s="43"/>
      <c r="DN587" s="43"/>
      <c r="DO587" s="43"/>
      <c r="DP587" s="43"/>
      <c r="DQ587" s="43"/>
      <c r="DR587" s="43"/>
      <c r="DS587" s="43"/>
    </row>
    <row r="588" spans="1:123" ht="14.45">
      <c r="A588"/>
      <c r="B588"/>
      <c r="C588"/>
      <c r="D588"/>
      <c r="E588"/>
      <c r="F588"/>
      <c r="G588"/>
      <c r="H588"/>
      <c r="I588"/>
      <c r="J588"/>
      <c r="K588" s="43"/>
      <c r="L588" s="43"/>
      <c r="M588" s="43"/>
      <c r="N588" s="43"/>
      <c r="O588" s="43"/>
      <c r="P588" s="43"/>
      <c r="Q588" s="43"/>
      <c r="R588" s="43"/>
      <c r="S588" s="43"/>
      <c r="T588" s="43"/>
      <c r="U588" s="43"/>
      <c r="V588" s="43"/>
      <c r="W588" s="43"/>
      <c r="X588" s="43"/>
      <c r="Y588" s="43"/>
      <c r="Z588" s="43"/>
      <c r="AA588" s="43"/>
      <c r="AB588" s="43"/>
      <c r="AC588" s="43"/>
      <c r="AD588" s="43"/>
      <c r="AE588" s="43"/>
      <c r="AF588" s="43"/>
      <c r="AG588" s="43"/>
      <c r="AH588" s="43"/>
      <c r="AI588" s="43"/>
      <c r="AJ588" s="43"/>
      <c r="AK588" s="43"/>
      <c r="AL588" s="43"/>
      <c r="AM588" s="43"/>
      <c r="AN588" s="43"/>
      <c r="AO588" s="43"/>
      <c r="AP588" s="43"/>
      <c r="AQ588" s="43"/>
      <c r="AR588" s="43"/>
      <c r="AS588" s="43"/>
      <c r="AT588" s="43"/>
      <c r="AU588" s="43"/>
      <c r="AV588" s="43"/>
      <c r="AW588" s="43"/>
      <c r="AX588" s="43"/>
      <c r="AY588" s="43"/>
      <c r="AZ588" s="43"/>
      <c r="BA588" s="43"/>
      <c r="BB588" s="43"/>
      <c r="BC588" s="43"/>
      <c r="BD588" s="43"/>
      <c r="BE588" s="43"/>
      <c r="BF588" s="43"/>
      <c r="BG588" s="43"/>
      <c r="BH588" s="43"/>
      <c r="BI588" s="43"/>
      <c r="BJ588" s="43"/>
      <c r="BK588" s="43"/>
      <c r="BL588" s="43"/>
      <c r="BM588" s="43"/>
      <c r="BN588" s="43"/>
      <c r="BO588" s="43"/>
      <c r="BP588" s="43"/>
      <c r="BQ588" s="43"/>
      <c r="BR588" s="43"/>
      <c r="BS588" s="43"/>
      <c r="BT588" s="43"/>
      <c r="BU588" s="43"/>
      <c r="BV588" s="43"/>
      <c r="BW588" s="43"/>
      <c r="BX588" s="43"/>
      <c r="BY588" s="43"/>
      <c r="BZ588" s="43"/>
      <c r="CA588" s="43"/>
      <c r="CB588" s="43"/>
      <c r="CC588" s="43"/>
      <c r="CD588" s="43"/>
      <c r="CE588" s="43"/>
      <c r="CF588" s="43"/>
      <c r="CG588" s="43"/>
      <c r="CH588" s="43"/>
      <c r="CI588" s="43"/>
      <c r="CJ588" s="43"/>
      <c r="CK588" s="43"/>
      <c r="CL588" s="43"/>
      <c r="CM588" s="43"/>
      <c r="CN588" s="43"/>
      <c r="CO588" s="43"/>
      <c r="CP588" s="43"/>
      <c r="CQ588" s="43"/>
      <c r="CR588" s="43"/>
      <c r="CS588" s="43"/>
      <c r="CT588" s="43"/>
      <c r="CU588" s="43"/>
      <c r="CV588" s="43"/>
      <c r="CW588" s="43"/>
      <c r="CX588" s="43"/>
      <c r="CY588" s="43"/>
      <c r="CZ588" s="43"/>
      <c r="DA588" s="43"/>
      <c r="DB588" s="43"/>
      <c r="DC588" s="43"/>
      <c r="DD588" s="43"/>
      <c r="DE588" s="43"/>
      <c r="DF588" s="43"/>
      <c r="DG588" s="43"/>
      <c r="DH588" s="43"/>
      <c r="DI588" s="43"/>
      <c r="DJ588" s="43"/>
      <c r="DK588" s="43"/>
      <c r="DL588" s="43"/>
      <c r="DM588" s="43"/>
      <c r="DN588" s="43"/>
      <c r="DO588" s="43"/>
      <c r="DP588" s="43"/>
      <c r="DQ588" s="43"/>
      <c r="DR588" s="43"/>
      <c r="DS588" s="43"/>
    </row>
    <row r="589" spans="1:123" ht="14.45">
      <c r="A589"/>
      <c r="B589"/>
      <c r="C589"/>
      <c r="D589"/>
      <c r="E589"/>
      <c r="F589"/>
      <c r="G589"/>
      <c r="H589"/>
      <c r="I589"/>
      <c r="J589"/>
      <c r="K589" s="43"/>
      <c r="L589" s="43"/>
      <c r="M589" s="43"/>
      <c r="N589" s="43"/>
      <c r="O589" s="43"/>
      <c r="P589" s="43"/>
      <c r="Q589" s="43"/>
      <c r="R589" s="43"/>
      <c r="S589" s="43"/>
      <c r="T589" s="43"/>
      <c r="U589" s="43"/>
      <c r="V589" s="43"/>
      <c r="W589" s="43"/>
      <c r="X589" s="43"/>
      <c r="Y589" s="43"/>
      <c r="Z589" s="43"/>
      <c r="AA589" s="43"/>
      <c r="AB589" s="43"/>
      <c r="AC589" s="43"/>
      <c r="AD589" s="43"/>
      <c r="AE589" s="43"/>
      <c r="AF589" s="43"/>
      <c r="AG589" s="43"/>
      <c r="AH589" s="43"/>
      <c r="AI589" s="43"/>
      <c r="AJ589" s="43"/>
      <c r="AK589" s="43"/>
      <c r="AL589" s="43"/>
      <c r="AM589" s="43"/>
      <c r="AN589" s="43"/>
      <c r="AO589" s="43"/>
      <c r="AP589" s="43"/>
      <c r="AQ589" s="43"/>
      <c r="AR589" s="43"/>
      <c r="AS589" s="43"/>
      <c r="AT589" s="43"/>
      <c r="AU589" s="43"/>
      <c r="AV589" s="43"/>
      <c r="AW589" s="43"/>
      <c r="AX589" s="43"/>
      <c r="AY589" s="43"/>
      <c r="AZ589" s="43"/>
      <c r="BA589" s="43"/>
      <c r="BB589" s="43"/>
      <c r="BC589" s="43"/>
      <c r="BD589" s="43"/>
      <c r="BE589" s="43"/>
      <c r="BF589" s="43"/>
      <c r="BG589" s="43"/>
      <c r="BH589" s="43"/>
      <c r="BI589" s="43"/>
      <c r="BJ589" s="43"/>
      <c r="BK589" s="43"/>
      <c r="BL589" s="43"/>
      <c r="BM589" s="43"/>
      <c r="BN589" s="43"/>
      <c r="BO589" s="43"/>
      <c r="BP589" s="43"/>
      <c r="BQ589" s="43"/>
      <c r="BR589" s="43"/>
      <c r="BS589" s="43"/>
      <c r="BT589" s="43"/>
      <c r="BU589" s="43"/>
      <c r="BV589" s="43"/>
      <c r="BW589" s="43"/>
      <c r="BX589" s="43"/>
      <c r="BY589" s="43"/>
      <c r="BZ589" s="43"/>
      <c r="CA589" s="43"/>
      <c r="CB589" s="43"/>
      <c r="CC589" s="43"/>
      <c r="CD589" s="43"/>
      <c r="CE589" s="43"/>
      <c r="CF589" s="43"/>
      <c r="CG589" s="43"/>
      <c r="CH589" s="43"/>
      <c r="CI589" s="43"/>
      <c r="CJ589" s="43"/>
      <c r="CK589" s="43"/>
      <c r="CL589" s="43"/>
      <c r="CM589" s="43"/>
      <c r="CN589" s="43"/>
      <c r="CO589" s="43"/>
      <c r="CP589" s="43"/>
      <c r="CQ589" s="43"/>
      <c r="CR589" s="43"/>
      <c r="CS589" s="43"/>
      <c r="CT589" s="43"/>
      <c r="CU589" s="43"/>
      <c r="CV589" s="43"/>
      <c r="CW589" s="43"/>
      <c r="CX589" s="43"/>
      <c r="CY589" s="43"/>
      <c r="CZ589" s="43"/>
      <c r="DA589" s="43"/>
      <c r="DB589" s="43"/>
      <c r="DC589" s="43"/>
      <c r="DD589" s="43"/>
      <c r="DE589" s="43"/>
      <c r="DF589" s="43"/>
      <c r="DG589" s="43"/>
      <c r="DH589" s="43"/>
      <c r="DI589" s="43"/>
      <c r="DJ589" s="43"/>
      <c r="DK589" s="43"/>
      <c r="DL589" s="43"/>
      <c r="DM589" s="43"/>
      <c r="DN589" s="43"/>
      <c r="DO589" s="43"/>
      <c r="DP589" s="43"/>
      <c r="DQ589" s="43"/>
      <c r="DR589" s="43"/>
      <c r="DS589" s="43"/>
    </row>
    <row r="590" spans="1:123" ht="14.45">
      <c r="A590"/>
      <c r="B590"/>
      <c r="C590"/>
      <c r="D590"/>
      <c r="E590"/>
      <c r="F590"/>
      <c r="G590"/>
      <c r="H590"/>
      <c r="I590"/>
      <c r="J590"/>
      <c r="K590" s="43"/>
      <c r="L590" s="43"/>
      <c r="M590" s="43"/>
      <c r="N590" s="43"/>
      <c r="O590" s="43"/>
      <c r="P590" s="43"/>
      <c r="Q590" s="43"/>
      <c r="R590" s="43"/>
      <c r="S590" s="43"/>
      <c r="T590" s="43"/>
      <c r="U590" s="43"/>
      <c r="V590" s="43"/>
      <c r="W590" s="43"/>
      <c r="X590" s="43"/>
      <c r="Y590" s="43"/>
      <c r="Z590" s="43"/>
      <c r="AA590" s="43"/>
      <c r="AB590" s="43"/>
      <c r="AC590" s="43"/>
      <c r="AD590" s="43"/>
      <c r="AE590" s="43"/>
      <c r="AF590" s="43"/>
      <c r="AG590" s="43"/>
      <c r="AH590" s="43"/>
      <c r="AI590" s="43"/>
      <c r="AJ590" s="43"/>
      <c r="AK590" s="43"/>
      <c r="AL590" s="43"/>
      <c r="AM590" s="43"/>
      <c r="AN590" s="43"/>
      <c r="AO590" s="43"/>
      <c r="AP590" s="43"/>
      <c r="AQ590" s="43"/>
      <c r="AR590" s="43"/>
      <c r="AS590" s="43"/>
      <c r="AT590" s="43"/>
      <c r="AU590" s="43"/>
      <c r="AV590" s="43"/>
      <c r="AW590" s="43"/>
      <c r="AX590" s="43"/>
      <c r="AY590" s="43"/>
      <c r="AZ590" s="43"/>
      <c r="BA590" s="43"/>
      <c r="BB590" s="43"/>
      <c r="BC590" s="43"/>
      <c r="BD590" s="43"/>
      <c r="BE590" s="43"/>
      <c r="BF590" s="43"/>
      <c r="BG590" s="43"/>
      <c r="BH590" s="43"/>
      <c r="BI590" s="43"/>
      <c r="BJ590" s="43"/>
      <c r="BK590" s="43"/>
      <c r="BL590" s="43"/>
      <c r="BM590" s="43"/>
      <c r="BN590" s="43"/>
      <c r="BO590" s="43"/>
      <c r="BP590" s="43"/>
      <c r="BQ590" s="43"/>
      <c r="BR590" s="43"/>
      <c r="BS590" s="43"/>
      <c r="BT590" s="43"/>
      <c r="BU590" s="43"/>
      <c r="BV590" s="43"/>
      <c r="BW590" s="43"/>
      <c r="BX590" s="43"/>
      <c r="BY590" s="43"/>
      <c r="BZ590" s="43"/>
      <c r="CA590" s="43"/>
      <c r="CB590" s="43"/>
      <c r="CC590" s="43"/>
      <c r="CD590" s="43"/>
      <c r="CE590" s="43"/>
      <c r="CF590" s="43"/>
      <c r="CG590" s="43"/>
      <c r="CH590" s="43"/>
      <c r="CI590" s="43"/>
      <c r="CJ590" s="43"/>
      <c r="CK590" s="43"/>
      <c r="CL590" s="43"/>
      <c r="CM590" s="43"/>
      <c r="CN590" s="43"/>
      <c r="CO590" s="43"/>
      <c r="CP590" s="43"/>
      <c r="CQ590" s="43"/>
      <c r="CR590" s="43"/>
      <c r="CS590" s="43"/>
      <c r="CT590" s="43"/>
      <c r="CU590" s="43"/>
      <c r="CV590" s="43"/>
      <c r="CW590" s="43"/>
      <c r="CX590" s="43"/>
      <c r="CY590" s="43"/>
      <c r="CZ590" s="43"/>
      <c r="DA590" s="43"/>
      <c r="DB590" s="43"/>
      <c r="DC590" s="43"/>
      <c r="DD590" s="43"/>
      <c r="DE590" s="43"/>
      <c r="DF590" s="43"/>
      <c r="DG590" s="43"/>
      <c r="DH590" s="43"/>
      <c r="DI590" s="43"/>
      <c r="DJ590" s="43"/>
      <c r="DK590" s="43"/>
      <c r="DL590" s="43"/>
      <c r="DM590" s="43"/>
      <c r="DN590" s="43"/>
      <c r="DO590" s="43"/>
      <c r="DP590" s="43"/>
      <c r="DQ590" s="43"/>
      <c r="DR590" s="43"/>
      <c r="DS590" s="43"/>
    </row>
    <row r="591" spans="1:123" ht="14.45">
      <c r="A591"/>
      <c r="B591"/>
      <c r="C591"/>
      <c r="D591"/>
      <c r="E591"/>
      <c r="F591"/>
      <c r="G591"/>
      <c r="H591"/>
      <c r="I591"/>
      <c r="J591"/>
      <c r="K591" s="43"/>
      <c r="L591" s="43"/>
      <c r="M591" s="43"/>
      <c r="N591" s="43"/>
      <c r="O591" s="43"/>
      <c r="P591" s="43"/>
      <c r="Q591" s="43"/>
      <c r="R591" s="43"/>
      <c r="S591" s="43"/>
      <c r="T591" s="43"/>
      <c r="U591" s="43"/>
      <c r="V591" s="43"/>
      <c r="W591" s="43"/>
      <c r="X591" s="43"/>
      <c r="Y591" s="43"/>
      <c r="Z591" s="43"/>
      <c r="AA591" s="43"/>
      <c r="AB591" s="43"/>
      <c r="AC591" s="43"/>
      <c r="AD591" s="43"/>
      <c r="AE591" s="43"/>
      <c r="AF591" s="43"/>
      <c r="AG591" s="43"/>
      <c r="AH591" s="43"/>
      <c r="AI591" s="43"/>
      <c r="AJ591" s="43"/>
      <c r="AK591" s="43"/>
      <c r="AL591" s="43"/>
      <c r="AM591" s="43"/>
      <c r="AN591" s="43"/>
      <c r="AO591" s="43"/>
      <c r="AP591" s="43"/>
      <c r="AQ591" s="43"/>
      <c r="AR591" s="43"/>
      <c r="AS591" s="43"/>
      <c r="AT591" s="43"/>
      <c r="AU591" s="43"/>
      <c r="AV591" s="43"/>
      <c r="AW591" s="43"/>
      <c r="AX591" s="43"/>
      <c r="AY591" s="43"/>
      <c r="AZ591" s="43"/>
      <c r="BA591" s="43"/>
      <c r="BB591" s="43"/>
      <c r="BC591" s="43"/>
      <c r="BD591" s="43"/>
      <c r="BE591" s="43"/>
      <c r="BF591" s="43"/>
      <c r="BG591" s="43"/>
      <c r="BH591" s="43"/>
      <c r="BI591" s="43"/>
      <c r="BJ591" s="43"/>
      <c r="BK591" s="43"/>
      <c r="BL591" s="43"/>
      <c r="BM591" s="43"/>
      <c r="BN591" s="43"/>
      <c r="BO591" s="43"/>
      <c r="BP591" s="43"/>
      <c r="BQ591" s="43"/>
      <c r="BR591" s="43"/>
      <c r="BS591" s="43"/>
      <c r="BT591" s="43"/>
      <c r="BU591" s="43"/>
      <c r="BV591" s="43"/>
      <c r="BW591" s="43"/>
      <c r="BX591" s="43"/>
      <c r="BY591" s="43"/>
      <c r="BZ591" s="43"/>
      <c r="CA591" s="43"/>
      <c r="CB591" s="43"/>
      <c r="CC591" s="43"/>
      <c r="CD591" s="43"/>
      <c r="CE591" s="43"/>
      <c r="CF591" s="43"/>
      <c r="CG591" s="43"/>
      <c r="CH591" s="43"/>
      <c r="CI591" s="43"/>
      <c r="CJ591" s="43"/>
      <c r="CK591" s="43"/>
      <c r="CL591" s="43"/>
      <c r="CM591" s="43"/>
      <c r="CN591" s="43"/>
      <c r="CO591" s="43"/>
      <c r="CP591" s="43"/>
      <c r="CQ591" s="43"/>
      <c r="CR591" s="43"/>
      <c r="CS591" s="43"/>
      <c r="CT591" s="43"/>
      <c r="CU591" s="43"/>
      <c r="CV591" s="43"/>
      <c r="CW591" s="43"/>
      <c r="CX591" s="43"/>
      <c r="CY591" s="43"/>
      <c r="CZ591" s="43"/>
      <c r="DA591" s="43"/>
      <c r="DB591" s="43"/>
      <c r="DC591" s="43"/>
      <c r="DD591" s="43"/>
      <c r="DE591" s="43"/>
      <c r="DF591" s="43"/>
      <c r="DG591" s="43"/>
      <c r="DH591" s="43"/>
      <c r="DI591" s="43"/>
      <c r="DJ591" s="43"/>
      <c r="DK591" s="43"/>
      <c r="DL591" s="43"/>
      <c r="DM591" s="43"/>
      <c r="DN591" s="43"/>
      <c r="DO591" s="43"/>
      <c r="DP591" s="43"/>
      <c r="DQ591" s="43"/>
      <c r="DR591" s="43"/>
      <c r="DS591" s="43"/>
    </row>
    <row r="592" spans="1:123" ht="14.45">
      <c r="A592"/>
      <c r="B592"/>
      <c r="C592"/>
      <c r="D592"/>
      <c r="E592"/>
      <c r="F592"/>
      <c r="G592"/>
      <c r="H592"/>
      <c r="I592"/>
      <c r="J592"/>
      <c r="K592" s="43"/>
      <c r="L592" s="43"/>
      <c r="M592" s="43"/>
      <c r="N592" s="43"/>
      <c r="O592" s="43"/>
      <c r="P592" s="43"/>
      <c r="Q592" s="43"/>
      <c r="R592" s="43"/>
      <c r="S592" s="43"/>
      <c r="T592" s="43"/>
      <c r="U592" s="43"/>
      <c r="V592" s="43"/>
      <c r="W592" s="43"/>
      <c r="X592" s="43"/>
      <c r="Y592" s="43"/>
      <c r="Z592" s="43"/>
      <c r="AA592" s="43"/>
      <c r="AB592" s="43"/>
      <c r="AC592" s="43"/>
      <c r="AD592" s="43"/>
      <c r="AE592" s="43"/>
      <c r="AF592" s="43"/>
      <c r="AG592" s="43"/>
      <c r="AH592" s="43"/>
      <c r="AI592" s="43"/>
      <c r="AJ592" s="43"/>
      <c r="AK592" s="43"/>
      <c r="AL592" s="43"/>
      <c r="AM592" s="43"/>
      <c r="AN592" s="43"/>
      <c r="AO592" s="43"/>
      <c r="AP592" s="43"/>
      <c r="AQ592" s="43"/>
      <c r="AR592" s="43"/>
      <c r="AS592" s="43"/>
      <c r="AT592" s="43"/>
      <c r="AU592" s="43"/>
      <c r="AV592" s="43"/>
      <c r="AW592" s="43"/>
      <c r="AX592" s="43"/>
      <c r="AY592" s="43"/>
      <c r="AZ592" s="43"/>
      <c r="BA592" s="43"/>
      <c r="BB592" s="43"/>
      <c r="BC592" s="43"/>
      <c r="BD592" s="43"/>
      <c r="BE592" s="43"/>
      <c r="BF592" s="43"/>
      <c r="BG592" s="43"/>
      <c r="BH592" s="43"/>
      <c r="BI592" s="43"/>
      <c r="BJ592" s="43"/>
      <c r="BK592" s="43"/>
      <c r="BL592" s="43"/>
      <c r="BM592" s="43"/>
      <c r="BN592" s="43"/>
      <c r="BO592" s="43"/>
      <c r="BP592" s="43"/>
      <c r="BQ592" s="43"/>
      <c r="BR592" s="43"/>
      <c r="BS592" s="43"/>
      <c r="BT592" s="43"/>
      <c r="BU592" s="43"/>
      <c r="BV592" s="43"/>
      <c r="BW592" s="43"/>
      <c r="BX592" s="43"/>
      <c r="BY592" s="43"/>
      <c r="BZ592" s="43"/>
      <c r="CA592" s="43"/>
      <c r="CB592" s="43"/>
      <c r="CC592" s="43"/>
      <c r="CD592" s="43"/>
      <c r="CE592" s="43"/>
      <c r="CF592" s="43"/>
      <c r="CG592" s="43"/>
      <c r="CH592" s="43"/>
      <c r="CI592" s="43"/>
      <c r="CJ592" s="43"/>
      <c r="CK592" s="43"/>
      <c r="CL592" s="43"/>
      <c r="CM592" s="43"/>
      <c r="CN592" s="43"/>
      <c r="CO592" s="43"/>
      <c r="CP592" s="43"/>
      <c r="CQ592" s="43"/>
      <c r="CR592" s="43"/>
      <c r="CS592" s="43"/>
      <c r="CT592" s="43"/>
      <c r="CU592" s="43"/>
      <c r="CV592" s="43"/>
      <c r="CW592" s="43"/>
      <c r="CX592" s="43"/>
      <c r="CY592" s="43"/>
      <c r="CZ592" s="43"/>
      <c r="DA592" s="43"/>
      <c r="DB592" s="43"/>
      <c r="DC592" s="43"/>
      <c r="DD592" s="43"/>
      <c r="DE592" s="43"/>
      <c r="DF592" s="43"/>
      <c r="DG592" s="43"/>
      <c r="DH592" s="43"/>
      <c r="DI592" s="43"/>
      <c r="DJ592" s="43"/>
      <c r="DK592" s="43"/>
      <c r="DL592" s="43"/>
      <c r="DM592" s="43"/>
      <c r="DN592" s="43"/>
      <c r="DO592" s="43"/>
      <c r="DP592" s="43"/>
      <c r="DQ592" s="43"/>
      <c r="DR592" s="43"/>
      <c r="DS592" s="43"/>
    </row>
    <row r="593" spans="1:123" ht="14.45">
      <c r="A593"/>
      <c r="B593"/>
      <c r="C593"/>
      <c r="D593"/>
      <c r="E593"/>
      <c r="F593"/>
      <c r="G593"/>
      <c r="H593"/>
      <c r="I593"/>
      <c r="J593"/>
      <c r="K593" s="43"/>
      <c r="L593" s="43"/>
      <c r="M593" s="43"/>
      <c r="N593" s="43"/>
      <c r="O593" s="43"/>
      <c r="P593" s="43"/>
      <c r="Q593" s="43"/>
      <c r="R593" s="43"/>
      <c r="S593" s="43"/>
      <c r="T593" s="43"/>
      <c r="U593" s="43"/>
      <c r="V593" s="43"/>
      <c r="W593" s="43"/>
      <c r="X593" s="43"/>
      <c r="Y593" s="43"/>
      <c r="Z593" s="43"/>
      <c r="AA593" s="43"/>
      <c r="AB593" s="43"/>
      <c r="AC593" s="43"/>
      <c r="AD593" s="43"/>
      <c r="AE593" s="43"/>
      <c r="AF593" s="43"/>
      <c r="AG593" s="43"/>
      <c r="AH593" s="43"/>
      <c r="AI593" s="43"/>
      <c r="AJ593" s="43"/>
      <c r="AK593" s="43"/>
      <c r="AL593" s="43"/>
      <c r="AM593" s="43"/>
      <c r="AN593" s="43"/>
      <c r="AO593" s="43"/>
      <c r="AP593" s="43"/>
      <c r="AQ593" s="43"/>
      <c r="AR593" s="43"/>
      <c r="AS593" s="43"/>
      <c r="AT593" s="43"/>
      <c r="AU593" s="43"/>
      <c r="AV593" s="43"/>
      <c r="AW593" s="43"/>
      <c r="AX593" s="43"/>
      <c r="AY593" s="43"/>
      <c r="AZ593" s="43"/>
      <c r="BA593" s="43"/>
      <c r="BB593" s="43"/>
      <c r="BC593" s="43"/>
      <c r="BD593" s="43"/>
      <c r="BE593" s="43"/>
      <c r="BF593" s="43"/>
      <c r="BG593" s="43"/>
      <c r="BH593" s="43"/>
      <c r="BI593" s="43"/>
      <c r="BJ593" s="43"/>
      <c r="BK593" s="43"/>
      <c r="BL593" s="43"/>
      <c r="BM593" s="43"/>
      <c r="BN593" s="43"/>
      <c r="BO593" s="43"/>
      <c r="BP593" s="43"/>
      <c r="BQ593" s="43"/>
      <c r="BR593" s="43"/>
      <c r="BS593" s="43"/>
      <c r="BT593" s="43"/>
      <c r="BU593" s="43"/>
      <c r="BV593" s="43"/>
      <c r="BW593" s="43"/>
      <c r="BX593" s="43"/>
      <c r="BY593" s="43"/>
      <c r="BZ593" s="43"/>
      <c r="CA593" s="43"/>
      <c r="CB593" s="43"/>
      <c r="CC593" s="43"/>
      <c r="CD593" s="43"/>
      <c r="CE593" s="43"/>
      <c r="CF593" s="43"/>
      <c r="CG593" s="43"/>
      <c r="CH593" s="43"/>
      <c r="CI593" s="43"/>
      <c r="CJ593" s="43"/>
      <c r="CK593" s="43"/>
      <c r="CL593" s="43"/>
      <c r="CM593" s="43"/>
      <c r="CN593" s="43"/>
      <c r="CO593" s="43"/>
      <c r="CP593" s="43"/>
      <c r="CQ593" s="43"/>
      <c r="CR593" s="43"/>
      <c r="CS593" s="43"/>
      <c r="CT593" s="43"/>
      <c r="CU593" s="43"/>
      <c r="CV593" s="43"/>
      <c r="CW593" s="43"/>
      <c r="CX593" s="43"/>
      <c r="CY593" s="43"/>
      <c r="CZ593" s="43"/>
      <c r="DA593" s="43"/>
      <c r="DB593" s="43"/>
      <c r="DC593" s="43"/>
      <c r="DD593" s="43"/>
      <c r="DE593" s="43"/>
      <c r="DF593" s="43"/>
      <c r="DG593" s="43"/>
      <c r="DH593" s="43"/>
      <c r="DI593" s="43"/>
      <c r="DJ593" s="43"/>
      <c r="DK593" s="43"/>
      <c r="DL593" s="43"/>
      <c r="DM593" s="43"/>
      <c r="DN593" s="43"/>
      <c r="DO593" s="43"/>
      <c r="DP593" s="43"/>
      <c r="DQ593" s="43"/>
      <c r="DR593" s="43"/>
      <c r="DS593" s="43"/>
    </row>
    <row r="594" spans="1:123" ht="14.45">
      <c r="A594"/>
      <c r="B594"/>
      <c r="C594"/>
      <c r="D594"/>
      <c r="E594"/>
      <c r="F594"/>
      <c r="G594"/>
      <c r="H594"/>
      <c r="I594"/>
      <c r="J594"/>
      <c r="K594" s="43"/>
      <c r="L594" s="43"/>
      <c r="M594" s="43"/>
      <c r="N594" s="43"/>
      <c r="O594" s="43"/>
      <c r="P594" s="43"/>
      <c r="Q594" s="43"/>
      <c r="R594" s="43"/>
      <c r="S594" s="43"/>
      <c r="T594" s="43"/>
      <c r="U594" s="43"/>
      <c r="V594" s="43"/>
      <c r="W594" s="43"/>
      <c r="X594" s="43"/>
      <c r="Y594" s="43"/>
      <c r="Z594" s="43"/>
      <c r="AA594" s="43"/>
      <c r="AB594" s="43"/>
      <c r="AC594" s="43"/>
      <c r="AD594" s="43"/>
      <c r="AE594" s="43"/>
      <c r="AF594" s="43"/>
      <c r="AG594" s="43"/>
      <c r="AH594" s="43"/>
      <c r="AI594" s="43"/>
      <c r="AJ594" s="43"/>
      <c r="AK594" s="43"/>
      <c r="AL594" s="43"/>
      <c r="AM594" s="43"/>
      <c r="AN594" s="43"/>
      <c r="AO594" s="43"/>
      <c r="AP594" s="43"/>
      <c r="AQ594" s="43"/>
      <c r="AR594" s="43"/>
      <c r="AS594" s="43"/>
      <c r="AT594" s="43"/>
      <c r="AU594" s="43"/>
      <c r="AV594" s="43"/>
      <c r="AW594" s="43"/>
      <c r="AX594" s="43"/>
      <c r="AY594" s="43"/>
      <c r="AZ594" s="43"/>
      <c r="BA594" s="43"/>
      <c r="BB594" s="43"/>
      <c r="BC594" s="43"/>
      <c r="BD594" s="43"/>
      <c r="BE594" s="43"/>
      <c r="BF594" s="43"/>
      <c r="BG594" s="43"/>
      <c r="BH594" s="43"/>
      <c r="BI594" s="43"/>
      <c r="BJ594" s="43"/>
      <c r="BK594" s="43"/>
      <c r="BL594" s="43"/>
      <c r="BM594" s="43"/>
      <c r="BN594" s="43"/>
      <c r="BO594" s="43"/>
      <c r="BP594" s="43"/>
      <c r="BQ594" s="43"/>
      <c r="BR594" s="43"/>
      <c r="BS594" s="43"/>
      <c r="BT594" s="43"/>
      <c r="BU594" s="43"/>
      <c r="BV594" s="43"/>
      <c r="BW594" s="43"/>
      <c r="BX594" s="43"/>
      <c r="BY594" s="43"/>
      <c r="BZ594" s="43"/>
      <c r="CA594" s="43"/>
      <c r="CB594" s="43"/>
      <c r="CC594" s="43"/>
      <c r="CD594" s="43"/>
      <c r="CE594" s="43"/>
      <c r="CF594" s="43"/>
      <c r="CG594" s="43"/>
      <c r="CH594" s="43"/>
      <c r="CI594" s="43"/>
      <c r="CJ594" s="43"/>
      <c r="CK594" s="43"/>
      <c r="CL594" s="43"/>
      <c r="CM594" s="43"/>
      <c r="CN594" s="43"/>
      <c r="CO594" s="43"/>
      <c r="CP594" s="43"/>
      <c r="CQ594" s="43"/>
      <c r="CR594" s="43"/>
      <c r="CS594" s="43"/>
      <c r="CT594" s="43"/>
      <c r="CU594" s="43"/>
      <c r="CV594" s="43"/>
      <c r="CW594" s="43"/>
      <c r="CX594" s="43"/>
      <c r="CY594" s="43"/>
      <c r="CZ594" s="43"/>
      <c r="DA594" s="43"/>
      <c r="DB594" s="43"/>
      <c r="DC594" s="43"/>
      <c r="DD594" s="43"/>
      <c r="DE594" s="43"/>
      <c r="DF594" s="43"/>
      <c r="DG594" s="43"/>
      <c r="DH594" s="43"/>
      <c r="DI594" s="43"/>
      <c r="DJ594" s="43"/>
      <c r="DK594" s="43"/>
      <c r="DL594" s="43"/>
      <c r="DM594" s="43"/>
      <c r="DN594" s="43"/>
      <c r="DO594" s="43"/>
      <c r="DP594" s="43"/>
      <c r="DQ594" s="43"/>
      <c r="DR594" s="43"/>
      <c r="DS594" s="43"/>
    </row>
    <row r="595" spans="1:123" ht="14.45">
      <c r="A595"/>
      <c r="B595"/>
      <c r="C595"/>
      <c r="D595"/>
      <c r="E595"/>
      <c r="F595"/>
      <c r="G595"/>
      <c r="H595"/>
      <c r="I595"/>
      <c r="J595"/>
      <c r="K595" s="43"/>
      <c r="L595" s="43"/>
      <c r="M595" s="43"/>
      <c r="N595" s="43"/>
      <c r="O595" s="43"/>
      <c r="P595" s="43"/>
      <c r="Q595" s="43"/>
      <c r="R595" s="43"/>
      <c r="S595" s="43"/>
      <c r="T595" s="43"/>
      <c r="U595" s="43"/>
      <c r="V595" s="43"/>
      <c r="W595" s="43"/>
      <c r="X595" s="43"/>
      <c r="Y595" s="43"/>
      <c r="Z595" s="43"/>
      <c r="AA595" s="43"/>
      <c r="AB595" s="43"/>
      <c r="AC595" s="43"/>
      <c r="AD595" s="43"/>
      <c r="AE595" s="43"/>
      <c r="AF595" s="43"/>
      <c r="AG595" s="43"/>
      <c r="AH595" s="43"/>
      <c r="AI595" s="43"/>
      <c r="AJ595" s="43"/>
      <c r="AK595" s="43"/>
      <c r="AL595" s="43"/>
      <c r="AM595" s="43"/>
      <c r="AN595" s="43"/>
      <c r="AO595" s="43"/>
      <c r="AP595" s="43"/>
      <c r="AQ595" s="43"/>
      <c r="AR595" s="43"/>
      <c r="AS595" s="43"/>
      <c r="AT595" s="43"/>
      <c r="AU595" s="43"/>
      <c r="AV595" s="43"/>
      <c r="AW595" s="43"/>
      <c r="AX595" s="43"/>
      <c r="AY595" s="43"/>
      <c r="AZ595" s="43"/>
      <c r="BA595" s="43"/>
      <c r="BB595" s="43"/>
      <c r="BC595" s="43"/>
      <c r="BD595" s="43"/>
      <c r="BE595" s="43"/>
      <c r="BF595" s="43"/>
      <c r="BG595" s="43"/>
      <c r="BH595" s="43"/>
      <c r="BI595" s="43"/>
      <c r="BJ595" s="43"/>
      <c r="BK595" s="43"/>
      <c r="BL595" s="43"/>
      <c r="BM595" s="43"/>
      <c r="BN595" s="43"/>
      <c r="BO595" s="43"/>
      <c r="BP595" s="43"/>
      <c r="BQ595" s="43"/>
      <c r="BR595" s="43"/>
      <c r="BS595" s="43"/>
      <c r="BT595" s="43"/>
      <c r="BU595" s="43"/>
      <c r="BV595" s="43"/>
      <c r="BW595" s="43"/>
      <c r="BX595" s="43"/>
      <c r="BY595" s="43"/>
      <c r="BZ595" s="43"/>
      <c r="CA595" s="43"/>
      <c r="CB595" s="43"/>
      <c r="CC595" s="43"/>
      <c r="CD595" s="43"/>
      <c r="CE595" s="43"/>
      <c r="CF595" s="43"/>
      <c r="CG595" s="43"/>
      <c r="CH595" s="43"/>
      <c r="CI595" s="43"/>
      <c r="CJ595" s="43"/>
      <c r="CK595" s="43"/>
      <c r="CL595" s="43"/>
      <c r="CM595" s="43"/>
      <c r="CN595" s="43"/>
      <c r="CO595" s="43"/>
      <c r="CP595" s="43"/>
      <c r="CQ595" s="43"/>
      <c r="CR595" s="43"/>
      <c r="CS595" s="43"/>
      <c r="CT595" s="43"/>
      <c r="CU595" s="43"/>
      <c r="CV595" s="43"/>
      <c r="CW595" s="43"/>
      <c r="CX595" s="43"/>
      <c r="CY595" s="43"/>
      <c r="CZ595" s="43"/>
      <c r="DA595" s="43"/>
      <c r="DB595" s="43"/>
      <c r="DC595" s="43"/>
      <c r="DD595" s="43"/>
      <c r="DE595" s="43"/>
      <c r="DF595" s="43"/>
      <c r="DG595" s="43"/>
      <c r="DH595" s="43"/>
      <c r="DI595" s="43"/>
      <c r="DJ595" s="43"/>
      <c r="DK595" s="43"/>
      <c r="DL595" s="43"/>
      <c r="DM595" s="43"/>
      <c r="DN595" s="43"/>
      <c r="DO595" s="43"/>
      <c r="DP595" s="43"/>
      <c r="DQ595" s="43"/>
      <c r="DR595" s="43"/>
      <c r="DS595" s="43"/>
    </row>
    <row r="596" spans="1:123" ht="14.45">
      <c r="A596"/>
      <c r="B596"/>
      <c r="C596"/>
      <c r="D596"/>
      <c r="E596"/>
      <c r="F596"/>
      <c r="G596"/>
      <c r="H596"/>
      <c r="I596"/>
      <c r="J596"/>
      <c r="K596" s="43"/>
      <c r="L596" s="43"/>
      <c r="M596" s="43"/>
      <c r="N596" s="43"/>
      <c r="O596" s="43"/>
      <c r="P596" s="43"/>
      <c r="Q596" s="43"/>
      <c r="R596" s="43"/>
      <c r="S596" s="43"/>
      <c r="T596" s="43"/>
      <c r="U596" s="43"/>
      <c r="V596" s="43"/>
      <c r="W596" s="43"/>
      <c r="X596" s="43"/>
      <c r="Y596" s="43"/>
      <c r="Z596" s="43"/>
      <c r="AA596" s="43"/>
      <c r="AB596" s="43"/>
      <c r="AC596" s="43"/>
      <c r="AD596" s="43"/>
      <c r="AE596" s="43"/>
      <c r="AF596" s="43"/>
      <c r="AG596" s="43"/>
      <c r="AH596" s="43"/>
      <c r="AI596" s="43"/>
      <c r="AJ596" s="43"/>
      <c r="AK596" s="43"/>
      <c r="AL596" s="43"/>
      <c r="AM596" s="43"/>
      <c r="AN596" s="43"/>
      <c r="AO596" s="43"/>
      <c r="AP596" s="43"/>
      <c r="AQ596" s="43"/>
      <c r="AR596" s="43"/>
      <c r="AS596" s="43"/>
      <c r="AT596" s="43"/>
      <c r="AU596" s="43"/>
      <c r="AV596" s="43"/>
      <c r="AW596" s="43"/>
      <c r="AX596" s="43"/>
      <c r="AY596" s="43"/>
      <c r="AZ596" s="43"/>
      <c r="BA596" s="43"/>
      <c r="BB596" s="43"/>
      <c r="BC596" s="43"/>
      <c r="BD596" s="43"/>
      <c r="BE596" s="43"/>
      <c r="BF596" s="43"/>
      <c r="BG596" s="43"/>
      <c r="BH596" s="43"/>
      <c r="BI596" s="43"/>
      <c r="BJ596" s="43"/>
      <c r="BK596" s="43"/>
      <c r="BL596" s="43"/>
      <c r="BM596" s="43"/>
      <c r="BN596" s="43"/>
      <c r="BO596" s="43"/>
      <c r="BP596" s="43"/>
      <c r="BQ596" s="43"/>
      <c r="BR596" s="43"/>
      <c r="BS596" s="43"/>
      <c r="BT596" s="43"/>
      <c r="BU596" s="43"/>
      <c r="BV596" s="43"/>
      <c r="BW596" s="43"/>
      <c r="BX596" s="43"/>
      <c r="BY596" s="43"/>
      <c r="BZ596" s="43"/>
      <c r="CA596" s="43"/>
      <c r="CB596" s="43"/>
      <c r="CC596" s="43"/>
      <c r="CD596" s="43"/>
      <c r="CE596" s="43"/>
      <c r="CF596" s="43"/>
      <c r="CG596" s="43"/>
      <c r="CH596" s="43"/>
      <c r="CI596" s="43"/>
      <c r="CJ596" s="43"/>
      <c r="CK596" s="43"/>
      <c r="CL596" s="43"/>
      <c r="CM596" s="43"/>
      <c r="CN596" s="43"/>
      <c r="CO596" s="43"/>
      <c r="CP596" s="43"/>
      <c r="CQ596" s="43"/>
      <c r="CR596" s="43"/>
      <c r="CS596" s="43"/>
      <c r="CT596" s="43"/>
      <c r="CU596" s="43"/>
      <c r="CV596" s="43"/>
      <c r="CW596" s="43"/>
      <c r="CX596" s="43"/>
      <c r="CY596" s="43"/>
      <c r="CZ596" s="43"/>
      <c r="DA596" s="43"/>
      <c r="DB596" s="43"/>
      <c r="DC596" s="43"/>
      <c r="DD596" s="43"/>
      <c r="DE596" s="43"/>
      <c r="DF596" s="43"/>
      <c r="DG596" s="43"/>
      <c r="DH596" s="43"/>
      <c r="DI596" s="43"/>
      <c r="DJ596" s="43"/>
      <c r="DK596" s="43"/>
      <c r="DL596" s="43"/>
      <c r="DM596" s="43"/>
      <c r="DN596" s="43"/>
      <c r="DO596" s="43"/>
      <c r="DP596" s="43"/>
      <c r="DQ596" s="43"/>
      <c r="DR596" s="43"/>
      <c r="DS596" s="43"/>
    </row>
    <row r="597" spans="1:123" ht="14.45">
      <c r="A597"/>
      <c r="B597"/>
      <c r="C597"/>
      <c r="D597"/>
      <c r="E597"/>
      <c r="F597"/>
      <c r="G597"/>
      <c r="H597"/>
      <c r="I597"/>
      <c r="J597"/>
      <c r="K597" s="43"/>
      <c r="L597" s="43"/>
      <c r="M597" s="43"/>
      <c r="N597" s="43"/>
      <c r="O597" s="43"/>
      <c r="P597" s="43"/>
      <c r="Q597" s="43"/>
      <c r="R597" s="43"/>
      <c r="S597" s="43"/>
      <c r="T597" s="43"/>
      <c r="U597" s="43"/>
      <c r="V597" s="43"/>
      <c r="W597" s="43"/>
      <c r="X597" s="43"/>
      <c r="Y597" s="43"/>
      <c r="Z597" s="43"/>
      <c r="AA597" s="43"/>
      <c r="AB597" s="43"/>
      <c r="AC597" s="43"/>
      <c r="AD597" s="43"/>
      <c r="AE597" s="43"/>
      <c r="AF597" s="43"/>
      <c r="AG597" s="43"/>
      <c r="AH597" s="43"/>
      <c r="AI597" s="43"/>
      <c r="AJ597" s="43"/>
      <c r="AK597" s="43"/>
      <c r="AL597" s="43"/>
      <c r="AM597" s="43"/>
      <c r="AN597" s="43"/>
      <c r="AO597" s="43"/>
      <c r="AP597" s="43"/>
      <c r="AQ597" s="43"/>
      <c r="AR597" s="43"/>
      <c r="AS597" s="43"/>
      <c r="AT597" s="43"/>
      <c r="AU597" s="43"/>
      <c r="AV597" s="43"/>
      <c r="AW597" s="43"/>
      <c r="AX597" s="43"/>
      <c r="AY597" s="43"/>
      <c r="AZ597" s="43"/>
      <c r="BA597" s="43"/>
      <c r="BB597" s="43"/>
      <c r="BC597" s="43"/>
      <c r="BD597" s="43"/>
      <c r="BE597" s="43"/>
      <c r="BF597" s="43"/>
      <c r="BG597" s="43"/>
      <c r="BH597" s="43"/>
      <c r="BI597" s="43"/>
      <c r="BJ597" s="43"/>
      <c r="BK597" s="43"/>
      <c r="BL597" s="43"/>
      <c r="BM597" s="43"/>
      <c r="BN597" s="43"/>
      <c r="BO597" s="43"/>
      <c r="BP597" s="43"/>
      <c r="BQ597" s="43"/>
      <c r="BR597" s="43"/>
      <c r="BS597" s="43"/>
      <c r="BT597" s="43"/>
      <c r="BU597" s="43"/>
      <c r="BV597" s="43"/>
      <c r="BW597" s="43"/>
      <c r="BX597" s="43"/>
      <c r="BY597" s="43"/>
      <c r="BZ597" s="43"/>
      <c r="CA597" s="43"/>
      <c r="CB597" s="43"/>
      <c r="CC597" s="43"/>
      <c r="CD597" s="43"/>
      <c r="CE597" s="43"/>
      <c r="CF597" s="43"/>
      <c r="CG597" s="43"/>
      <c r="CH597" s="43"/>
      <c r="CI597" s="43"/>
      <c r="CJ597" s="43"/>
      <c r="CK597" s="43"/>
      <c r="CL597" s="43"/>
      <c r="CM597" s="43"/>
      <c r="CN597" s="43"/>
      <c r="CO597" s="43"/>
      <c r="CP597" s="43"/>
      <c r="CQ597" s="43"/>
      <c r="CR597" s="43"/>
      <c r="CS597" s="43"/>
      <c r="CT597" s="43"/>
      <c r="CU597" s="43"/>
      <c r="CV597" s="43"/>
      <c r="CW597" s="43"/>
      <c r="CX597" s="43"/>
      <c r="CY597" s="43"/>
      <c r="CZ597" s="43"/>
      <c r="DA597" s="43"/>
      <c r="DB597" s="43"/>
      <c r="DC597" s="43"/>
      <c r="DD597" s="43"/>
      <c r="DE597" s="43"/>
      <c r="DF597" s="43"/>
      <c r="DG597" s="43"/>
      <c r="DH597" s="43"/>
      <c r="DI597" s="43"/>
      <c r="DJ597" s="43"/>
      <c r="DK597" s="43"/>
      <c r="DL597" s="43"/>
      <c r="DM597" s="43"/>
      <c r="DN597" s="43"/>
      <c r="DO597" s="43"/>
      <c r="DP597" s="43"/>
      <c r="DQ597" s="43"/>
      <c r="DR597" s="43"/>
      <c r="DS597" s="43"/>
    </row>
    <row r="598" spans="1:123" ht="14.45">
      <c r="A598"/>
      <c r="B598"/>
      <c r="C598"/>
      <c r="D598"/>
      <c r="E598"/>
      <c r="F598"/>
      <c r="G598"/>
      <c r="H598"/>
      <c r="I598"/>
      <c r="J598"/>
      <c r="K598" s="43"/>
      <c r="L598" s="43"/>
      <c r="M598" s="43"/>
      <c r="N598" s="43"/>
      <c r="O598" s="43"/>
      <c r="P598" s="43"/>
      <c r="Q598" s="43"/>
      <c r="R598" s="43"/>
      <c r="S598" s="43"/>
      <c r="T598" s="43"/>
      <c r="U598" s="43"/>
      <c r="V598" s="43"/>
      <c r="W598" s="43"/>
      <c r="X598" s="43"/>
      <c r="Y598" s="43"/>
      <c r="Z598" s="43"/>
      <c r="AA598" s="43"/>
      <c r="AB598" s="43"/>
      <c r="AC598" s="43"/>
      <c r="AD598" s="43"/>
      <c r="AE598" s="43"/>
      <c r="AF598" s="43"/>
      <c r="AG598" s="43"/>
      <c r="AH598" s="43"/>
      <c r="AI598" s="43"/>
      <c r="AJ598" s="43"/>
      <c r="AK598" s="43"/>
      <c r="AL598" s="43"/>
      <c r="AM598" s="43"/>
      <c r="AN598" s="43"/>
      <c r="AO598" s="43"/>
      <c r="AP598" s="43"/>
      <c r="AQ598" s="43"/>
      <c r="AR598" s="43"/>
      <c r="AS598" s="43"/>
      <c r="AT598" s="43"/>
      <c r="AU598" s="43"/>
      <c r="AV598" s="43"/>
      <c r="AW598" s="43"/>
      <c r="AX598" s="43"/>
      <c r="AY598" s="43"/>
      <c r="AZ598" s="43"/>
      <c r="BA598" s="43"/>
      <c r="BB598" s="43"/>
      <c r="BC598" s="43"/>
      <c r="BD598" s="43"/>
      <c r="BE598" s="43"/>
      <c r="BF598" s="43"/>
      <c r="BG598" s="43"/>
      <c r="BH598" s="43"/>
      <c r="BI598" s="43"/>
      <c r="BJ598" s="43"/>
      <c r="BK598" s="43"/>
      <c r="BL598" s="43"/>
      <c r="BM598" s="43"/>
      <c r="BN598" s="43"/>
      <c r="BO598" s="43"/>
      <c r="BP598" s="43"/>
      <c r="BQ598" s="43"/>
      <c r="BR598" s="43"/>
      <c r="BS598" s="43"/>
      <c r="BT598" s="43"/>
      <c r="BU598" s="43"/>
      <c r="BV598" s="43"/>
      <c r="BW598" s="43"/>
      <c r="BX598" s="43"/>
      <c r="BY598" s="43"/>
      <c r="BZ598" s="43"/>
      <c r="CA598" s="43"/>
      <c r="CB598" s="43"/>
      <c r="CC598" s="43"/>
      <c r="CD598" s="43"/>
      <c r="CE598" s="43"/>
      <c r="CF598" s="43"/>
      <c r="CG598" s="43"/>
      <c r="CH598" s="43"/>
      <c r="CI598" s="43"/>
      <c r="CJ598" s="43"/>
      <c r="CK598" s="43"/>
      <c r="CL598" s="43"/>
      <c r="CM598" s="43"/>
      <c r="CN598" s="43"/>
      <c r="CO598" s="43"/>
      <c r="CP598" s="43"/>
      <c r="CQ598" s="43"/>
      <c r="CR598" s="43"/>
      <c r="CS598" s="43"/>
      <c r="CT598" s="43"/>
      <c r="CU598" s="43"/>
      <c r="CV598" s="43"/>
      <c r="CW598" s="43"/>
      <c r="CX598" s="43"/>
      <c r="CY598" s="43"/>
      <c r="CZ598" s="43"/>
      <c r="DA598" s="43"/>
      <c r="DB598" s="43"/>
      <c r="DC598" s="43"/>
      <c r="DD598" s="43"/>
      <c r="DE598" s="43"/>
      <c r="DF598" s="43"/>
      <c r="DG598" s="43"/>
      <c r="DH598" s="43"/>
      <c r="DI598" s="43"/>
      <c r="DJ598" s="43"/>
      <c r="DK598" s="43"/>
      <c r="DL598" s="43"/>
      <c r="DM598" s="43"/>
      <c r="DN598" s="43"/>
      <c r="DO598" s="43"/>
      <c r="DP598" s="43"/>
      <c r="DQ598" s="43"/>
      <c r="DR598" s="43"/>
      <c r="DS598" s="43"/>
    </row>
    <row r="599" spans="1:123" ht="14.45">
      <c r="A599"/>
      <c r="B599"/>
      <c r="C599"/>
      <c r="D599"/>
      <c r="E599"/>
      <c r="F599"/>
      <c r="G599"/>
      <c r="H599"/>
      <c r="I599"/>
      <c r="J599"/>
      <c r="K599" s="43"/>
      <c r="L599" s="43"/>
      <c r="M599" s="43"/>
      <c r="N599" s="43"/>
      <c r="O599" s="43"/>
      <c r="P599" s="43"/>
      <c r="Q599" s="43"/>
      <c r="R599" s="43"/>
      <c r="S599" s="43"/>
      <c r="T599" s="43"/>
      <c r="U599" s="43"/>
      <c r="V599" s="43"/>
      <c r="W599" s="43"/>
      <c r="X599" s="43"/>
      <c r="Y599" s="43"/>
      <c r="Z599" s="43"/>
      <c r="AA599" s="43"/>
      <c r="AB599" s="43"/>
      <c r="AC599" s="43"/>
      <c r="AD599" s="43"/>
      <c r="AE599" s="43"/>
      <c r="AF599" s="43"/>
      <c r="AG599" s="43"/>
      <c r="AH599" s="43"/>
      <c r="AI599" s="43"/>
      <c r="AJ599" s="43"/>
      <c r="AK599" s="43"/>
      <c r="AL599" s="43"/>
      <c r="AM599" s="43"/>
      <c r="AN599" s="43"/>
      <c r="AO599" s="43"/>
      <c r="AP599" s="43"/>
      <c r="AQ599" s="43"/>
      <c r="AR599" s="43"/>
      <c r="AS599" s="43"/>
      <c r="AT599" s="43"/>
      <c r="AU599" s="43"/>
      <c r="AV599" s="43"/>
      <c r="AW599" s="43"/>
      <c r="AX599" s="43"/>
      <c r="AY599" s="43"/>
      <c r="AZ599" s="43"/>
      <c r="BA599" s="43"/>
      <c r="BB599" s="43"/>
      <c r="BC599" s="43"/>
      <c r="BD599" s="43"/>
      <c r="BE599" s="43"/>
      <c r="BF599" s="43"/>
      <c r="BG599" s="43"/>
      <c r="BH599" s="43"/>
      <c r="BI599" s="43"/>
      <c r="BJ599" s="43"/>
      <c r="BK599" s="43"/>
      <c r="BL599" s="43"/>
      <c r="BM599" s="43"/>
      <c r="BN599" s="43"/>
      <c r="BO599" s="43"/>
      <c r="BP599" s="43"/>
      <c r="BQ599" s="43"/>
      <c r="BR599" s="43"/>
      <c r="BS599" s="43"/>
      <c r="BT599" s="43"/>
      <c r="BU599" s="43"/>
      <c r="BV599" s="43"/>
      <c r="BW599" s="43"/>
      <c r="BX599" s="43"/>
      <c r="BY599" s="43"/>
      <c r="BZ599" s="43"/>
      <c r="CA599" s="43"/>
      <c r="CB599" s="43"/>
      <c r="CC599" s="43"/>
      <c r="CD599" s="43"/>
      <c r="CE599" s="43"/>
      <c r="CF599" s="43"/>
      <c r="CG599" s="43"/>
      <c r="CH599" s="43"/>
      <c r="CI599" s="43"/>
      <c r="CJ599" s="43"/>
      <c r="CK599" s="43"/>
      <c r="CL599" s="43"/>
      <c r="CM599" s="43"/>
      <c r="CN599" s="43"/>
      <c r="CO599" s="43"/>
      <c r="CP599" s="43"/>
      <c r="CQ599" s="43"/>
      <c r="CR599" s="43"/>
      <c r="CS599" s="43"/>
      <c r="CT599" s="43"/>
      <c r="CU599" s="43"/>
      <c r="CV599" s="43"/>
      <c r="CW599" s="43"/>
      <c r="CX599" s="43"/>
      <c r="CY599" s="43"/>
      <c r="CZ599" s="43"/>
      <c r="DA599" s="43"/>
      <c r="DB599" s="43"/>
      <c r="DC599" s="43"/>
      <c r="DD599" s="43"/>
      <c r="DE599" s="43"/>
      <c r="DF599" s="43"/>
      <c r="DG599" s="43"/>
      <c r="DH599" s="43"/>
      <c r="DI599" s="43"/>
      <c r="DJ599" s="43"/>
      <c r="DK599" s="43"/>
      <c r="DL599" s="43"/>
      <c r="DM599" s="43"/>
      <c r="DN599" s="43"/>
      <c r="DO599" s="43"/>
      <c r="DP599" s="43"/>
      <c r="DQ599" s="43"/>
      <c r="DR599" s="43"/>
      <c r="DS599" s="43"/>
    </row>
    <row r="600" spans="1:123" ht="14.45">
      <c r="A600"/>
      <c r="B600"/>
      <c r="C600"/>
      <c r="D600"/>
      <c r="E600"/>
      <c r="F600"/>
      <c r="G600"/>
      <c r="H600"/>
      <c r="I600"/>
      <c r="J600"/>
      <c r="K600" s="43"/>
      <c r="L600" s="43"/>
      <c r="M600" s="43"/>
      <c r="N600" s="43"/>
      <c r="O600" s="43"/>
      <c r="P600" s="43"/>
      <c r="Q600" s="43"/>
      <c r="R600" s="43"/>
      <c r="S600" s="43"/>
      <c r="T600" s="43"/>
      <c r="U600" s="43"/>
      <c r="V600" s="43"/>
      <c r="W600" s="43"/>
      <c r="X600" s="43"/>
      <c r="Y600" s="43"/>
      <c r="Z600" s="43"/>
      <c r="AA600" s="43"/>
      <c r="AB600" s="43"/>
      <c r="AC600" s="43"/>
      <c r="AD600" s="43"/>
      <c r="AE600" s="43"/>
      <c r="AF600" s="43"/>
      <c r="AG600" s="43"/>
      <c r="AH600" s="43"/>
      <c r="AI600" s="43"/>
      <c r="AJ600" s="43"/>
      <c r="AK600" s="43"/>
      <c r="AL600" s="43"/>
      <c r="AM600" s="43"/>
      <c r="AN600" s="43"/>
      <c r="AO600" s="43"/>
      <c r="AP600" s="43"/>
      <c r="AQ600" s="43"/>
      <c r="AR600" s="43"/>
      <c r="AS600" s="43"/>
      <c r="AT600" s="43"/>
      <c r="AU600" s="43"/>
      <c r="AV600" s="43"/>
      <c r="AW600" s="43"/>
      <c r="AX600" s="43"/>
      <c r="AY600" s="43"/>
      <c r="AZ600" s="43"/>
      <c r="BA600" s="43"/>
      <c r="BB600" s="43"/>
      <c r="BC600" s="43"/>
      <c r="BD600" s="43"/>
      <c r="BE600" s="43"/>
      <c r="BF600" s="43"/>
      <c r="BG600" s="43"/>
      <c r="BH600" s="43"/>
      <c r="BI600" s="43"/>
      <c r="BJ600" s="43"/>
      <c r="BK600" s="43"/>
      <c r="BL600" s="43"/>
      <c r="BM600" s="43"/>
      <c r="BN600" s="43"/>
      <c r="BO600" s="43"/>
      <c r="BP600" s="43"/>
      <c r="BQ600" s="43"/>
      <c r="BR600" s="43"/>
      <c r="BS600" s="43"/>
      <c r="BT600" s="43"/>
      <c r="BU600" s="43"/>
      <c r="BV600" s="43"/>
      <c r="BW600" s="43"/>
      <c r="BX600" s="43"/>
      <c r="BY600" s="43"/>
      <c r="BZ600" s="43"/>
      <c r="CA600" s="43"/>
      <c r="CB600" s="43"/>
      <c r="CC600" s="43"/>
      <c r="CD600" s="43"/>
      <c r="CE600" s="43"/>
      <c r="CF600" s="43"/>
      <c r="CG600" s="43"/>
      <c r="CH600" s="43"/>
      <c r="CI600" s="43"/>
      <c r="CJ600" s="43"/>
      <c r="CK600" s="43"/>
      <c r="CL600" s="43"/>
      <c r="CM600" s="43"/>
      <c r="CN600" s="43"/>
      <c r="CO600" s="43"/>
      <c r="CP600" s="43"/>
      <c r="CQ600" s="43"/>
      <c r="CR600" s="43"/>
      <c r="CS600" s="43"/>
      <c r="CT600" s="43"/>
      <c r="CU600" s="43"/>
      <c r="CV600" s="43"/>
      <c r="CW600" s="43"/>
      <c r="CX600" s="43"/>
      <c r="CY600" s="43"/>
      <c r="CZ600" s="43"/>
      <c r="DA600" s="43"/>
      <c r="DB600" s="43"/>
      <c r="DC600" s="43"/>
      <c r="DD600" s="43"/>
      <c r="DE600" s="43"/>
      <c r="DF600" s="43"/>
      <c r="DG600" s="43"/>
      <c r="DH600" s="43"/>
      <c r="DI600" s="43"/>
      <c r="DJ600" s="43"/>
      <c r="DK600" s="43"/>
      <c r="DL600" s="43"/>
      <c r="DM600" s="43"/>
      <c r="DN600" s="43"/>
      <c r="DO600" s="43"/>
      <c r="DP600" s="43"/>
      <c r="DQ600" s="43"/>
      <c r="DR600" s="43"/>
      <c r="DS600" s="43"/>
    </row>
    <row r="601" spans="1:123" ht="14.45">
      <c r="A601"/>
      <c r="B601"/>
      <c r="C601"/>
      <c r="D601"/>
      <c r="E601"/>
      <c r="F601"/>
      <c r="G601"/>
      <c r="H601"/>
      <c r="I601"/>
      <c r="J601"/>
      <c r="K601" s="43"/>
      <c r="L601" s="43"/>
      <c r="M601" s="43"/>
      <c r="N601" s="43"/>
      <c r="O601" s="43"/>
      <c r="P601" s="43"/>
      <c r="Q601" s="43"/>
      <c r="R601" s="43"/>
      <c r="S601" s="43"/>
      <c r="T601" s="43"/>
      <c r="U601" s="43"/>
      <c r="V601" s="43"/>
      <c r="W601" s="43"/>
      <c r="X601" s="43"/>
      <c r="Y601" s="43"/>
      <c r="Z601" s="43"/>
      <c r="AA601" s="43"/>
      <c r="AB601" s="43"/>
      <c r="AC601" s="43"/>
      <c r="AD601" s="43"/>
      <c r="AE601" s="43"/>
      <c r="AF601" s="43"/>
      <c r="AG601" s="43"/>
      <c r="AH601" s="43"/>
      <c r="AI601" s="43"/>
      <c r="AJ601" s="43"/>
      <c r="AK601" s="43"/>
      <c r="AL601" s="43"/>
      <c r="AM601" s="43"/>
      <c r="AN601" s="43"/>
      <c r="AO601" s="43"/>
      <c r="AP601" s="43"/>
      <c r="AQ601" s="43"/>
      <c r="AR601" s="43"/>
      <c r="AS601" s="43"/>
      <c r="AT601" s="43"/>
      <c r="AU601" s="43"/>
      <c r="AV601" s="43"/>
      <c r="AW601" s="43"/>
      <c r="AX601" s="43"/>
      <c r="AY601" s="43"/>
      <c r="AZ601" s="43"/>
      <c r="BA601" s="43"/>
      <c r="BB601" s="43"/>
      <c r="BC601" s="43"/>
      <c r="BD601" s="43"/>
      <c r="BE601" s="43"/>
      <c r="BF601" s="43"/>
      <c r="BG601" s="43"/>
      <c r="BH601" s="43"/>
      <c r="BI601" s="43"/>
      <c r="BJ601" s="43"/>
      <c r="BK601" s="43"/>
      <c r="BL601" s="43"/>
      <c r="BM601" s="43"/>
      <c r="BN601" s="43"/>
      <c r="BO601" s="43"/>
      <c r="BP601" s="43"/>
      <c r="BQ601" s="43"/>
      <c r="BR601" s="43"/>
      <c r="BS601" s="43"/>
      <c r="BT601" s="43"/>
      <c r="BU601" s="43"/>
      <c r="BV601" s="43"/>
      <c r="BW601" s="43"/>
      <c r="BX601" s="43"/>
      <c r="BY601" s="43"/>
      <c r="BZ601" s="43"/>
      <c r="CA601" s="43"/>
      <c r="CB601" s="43"/>
      <c r="CC601" s="43"/>
      <c r="CD601" s="43"/>
      <c r="CE601" s="43"/>
      <c r="CF601" s="43"/>
      <c r="CG601" s="43"/>
      <c r="CH601" s="43"/>
      <c r="CI601" s="43"/>
      <c r="CJ601" s="43"/>
      <c r="CK601" s="43"/>
      <c r="CL601" s="43"/>
      <c r="CM601" s="43"/>
      <c r="CN601" s="43"/>
      <c r="CO601" s="43"/>
      <c r="CP601" s="43"/>
      <c r="CQ601" s="43"/>
      <c r="CR601" s="43"/>
      <c r="CS601" s="43"/>
      <c r="CT601" s="43"/>
      <c r="CU601" s="43"/>
      <c r="CV601" s="43"/>
      <c r="CW601" s="43"/>
      <c r="CX601" s="43"/>
      <c r="CY601" s="43"/>
      <c r="CZ601" s="43"/>
      <c r="DA601" s="43"/>
      <c r="DB601" s="43"/>
      <c r="DC601" s="43"/>
      <c r="DD601" s="43"/>
      <c r="DE601" s="43"/>
      <c r="DF601" s="43"/>
      <c r="DG601" s="43"/>
      <c r="DH601" s="43"/>
      <c r="DI601" s="43"/>
      <c r="DJ601" s="43"/>
      <c r="DK601" s="43"/>
      <c r="DL601" s="43"/>
      <c r="DM601" s="43"/>
      <c r="DN601" s="43"/>
      <c r="DO601" s="43"/>
      <c r="DP601" s="43"/>
      <c r="DQ601" s="43"/>
      <c r="DR601" s="43"/>
      <c r="DS601" s="43"/>
    </row>
    <row r="602" spans="1:123" ht="14.45">
      <c r="A602"/>
      <c r="B602"/>
      <c r="C602"/>
      <c r="D602"/>
      <c r="E602"/>
      <c r="F602"/>
      <c r="G602"/>
      <c r="H602"/>
      <c r="I602"/>
      <c r="J602"/>
      <c r="K602" s="43"/>
      <c r="L602" s="43"/>
      <c r="M602" s="43"/>
      <c r="N602" s="43"/>
      <c r="O602" s="43"/>
      <c r="P602" s="43"/>
      <c r="Q602" s="43"/>
      <c r="R602" s="43"/>
      <c r="S602" s="43"/>
      <c r="T602" s="43"/>
      <c r="U602" s="43"/>
      <c r="V602" s="43"/>
      <c r="W602" s="43"/>
      <c r="X602" s="43"/>
      <c r="Y602" s="43"/>
      <c r="Z602" s="43"/>
      <c r="AA602" s="43"/>
      <c r="AB602" s="43"/>
      <c r="AC602" s="43"/>
      <c r="AD602" s="43"/>
      <c r="AE602" s="43"/>
      <c r="AF602" s="43"/>
      <c r="AG602" s="43"/>
      <c r="AH602" s="43"/>
      <c r="AI602" s="43"/>
      <c r="AJ602" s="43"/>
      <c r="AK602" s="43"/>
      <c r="AL602" s="43"/>
      <c r="AM602" s="43"/>
      <c r="AN602" s="43"/>
      <c r="AO602" s="43"/>
      <c r="AP602" s="43"/>
      <c r="AQ602" s="43"/>
      <c r="AR602" s="43"/>
      <c r="AS602" s="43"/>
      <c r="AT602" s="43"/>
      <c r="AU602" s="43"/>
      <c r="AV602" s="43"/>
      <c r="AW602" s="43"/>
      <c r="AX602" s="43"/>
      <c r="AY602" s="43"/>
      <c r="AZ602" s="43"/>
      <c r="BA602" s="43"/>
      <c r="BB602" s="43"/>
      <c r="BC602" s="43"/>
      <c r="BD602" s="43"/>
      <c r="BE602" s="43"/>
      <c r="BF602" s="43"/>
      <c r="BG602" s="43"/>
      <c r="BH602" s="43"/>
      <c r="BI602" s="43"/>
      <c r="BJ602" s="43"/>
      <c r="BK602" s="43"/>
      <c r="BL602" s="43"/>
      <c r="BM602" s="43"/>
      <c r="BN602" s="43"/>
      <c r="BO602" s="43"/>
      <c r="BP602" s="43"/>
      <c r="BQ602" s="43"/>
      <c r="BR602" s="43"/>
      <c r="BS602" s="43"/>
      <c r="BT602" s="43"/>
      <c r="BU602" s="43"/>
      <c r="BV602" s="43"/>
      <c r="BW602" s="43"/>
      <c r="BX602" s="43"/>
      <c r="BY602" s="43"/>
      <c r="BZ602" s="43"/>
      <c r="CA602" s="43"/>
      <c r="CB602" s="43"/>
      <c r="CC602" s="43"/>
      <c r="CD602" s="43"/>
      <c r="CE602" s="43"/>
      <c r="CF602" s="43"/>
      <c r="CG602" s="43"/>
      <c r="CH602" s="43"/>
      <c r="CI602" s="43"/>
      <c r="CJ602" s="43"/>
      <c r="CK602" s="43"/>
      <c r="CL602" s="43"/>
      <c r="CM602" s="43"/>
      <c r="CN602" s="43"/>
      <c r="CO602" s="43"/>
      <c r="CP602" s="43"/>
      <c r="CQ602" s="43"/>
      <c r="CR602" s="43"/>
      <c r="CS602" s="43"/>
      <c r="CT602" s="43"/>
      <c r="CU602" s="43"/>
      <c r="CV602" s="43"/>
      <c r="CW602" s="43"/>
      <c r="CX602" s="43"/>
      <c r="CY602" s="43"/>
      <c r="CZ602" s="43"/>
      <c r="DA602" s="43"/>
      <c r="DB602" s="43"/>
      <c r="DC602" s="43"/>
      <c r="DD602" s="43"/>
      <c r="DE602" s="43"/>
      <c r="DF602" s="43"/>
      <c r="DG602" s="43"/>
      <c r="DH602" s="43"/>
      <c r="DI602" s="43"/>
      <c r="DJ602" s="43"/>
      <c r="DK602" s="43"/>
      <c r="DL602" s="43"/>
      <c r="DM602" s="43"/>
      <c r="DN602" s="43"/>
      <c r="DO602" s="43"/>
      <c r="DP602" s="43"/>
      <c r="DQ602" s="43"/>
      <c r="DR602" s="43"/>
      <c r="DS602" s="43"/>
    </row>
    <row r="603" spans="1:123" ht="14.45">
      <c r="A603"/>
      <c r="B603"/>
      <c r="C603"/>
      <c r="D603"/>
      <c r="E603"/>
      <c r="F603"/>
      <c r="G603"/>
      <c r="H603"/>
      <c r="I603"/>
      <c r="J603"/>
      <c r="K603" s="43"/>
      <c r="L603" s="43"/>
      <c r="M603" s="43"/>
      <c r="N603" s="43"/>
      <c r="O603" s="43"/>
      <c r="P603" s="43"/>
      <c r="Q603" s="43"/>
      <c r="R603" s="43"/>
      <c r="S603" s="43"/>
      <c r="T603" s="43"/>
      <c r="U603" s="43"/>
      <c r="V603" s="43"/>
      <c r="W603" s="43"/>
      <c r="X603" s="43"/>
      <c r="Y603" s="43"/>
      <c r="Z603" s="43"/>
      <c r="AA603" s="43"/>
      <c r="AB603" s="43"/>
      <c r="AC603" s="43"/>
      <c r="AD603" s="43"/>
      <c r="AE603" s="43"/>
      <c r="AF603" s="43"/>
      <c r="AG603" s="43"/>
      <c r="AH603" s="43"/>
      <c r="AI603" s="43"/>
      <c r="AJ603" s="43"/>
      <c r="AK603" s="43"/>
      <c r="AL603" s="43"/>
      <c r="AM603" s="43"/>
      <c r="AN603" s="43"/>
      <c r="AO603" s="43"/>
      <c r="AP603" s="43"/>
      <c r="AQ603" s="43"/>
      <c r="AR603" s="43"/>
      <c r="AS603" s="43"/>
      <c r="AT603" s="43"/>
      <c r="AU603" s="43"/>
      <c r="AV603" s="43"/>
      <c r="AW603" s="43"/>
      <c r="AX603" s="43"/>
      <c r="AY603" s="43"/>
      <c r="AZ603" s="43"/>
      <c r="BA603" s="43"/>
      <c r="BB603" s="43"/>
      <c r="BC603" s="43"/>
      <c r="BD603" s="43"/>
      <c r="BE603" s="43"/>
      <c r="BF603" s="43"/>
      <c r="BG603" s="43"/>
      <c r="BH603" s="43"/>
      <c r="BI603" s="43"/>
      <c r="BJ603" s="43"/>
      <c r="BK603" s="43"/>
      <c r="BL603" s="43"/>
      <c r="BM603" s="43"/>
      <c r="BN603" s="43"/>
      <c r="BO603" s="43"/>
      <c r="BP603" s="43"/>
      <c r="BQ603" s="43"/>
      <c r="BR603" s="43"/>
      <c r="BS603" s="43"/>
      <c r="BT603" s="43"/>
      <c r="BU603" s="43"/>
      <c r="BV603" s="43"/>
      <c r="BW603" s="43"/>
      <c r="BX603" s="43"/>
      <c r="BY603" s="43"/>
      <c r="BZ603" s="43"/>
      <c r="CA603" s="43"/>
      <c r="CB603" s="43"/>
      <c r="CC603" s="43"/>
      <c r="CD603" s="43"/>
      <c r="CE603" s="43"/>
      <c r="CF603" s="43"/>
      <c r="CG603" s="43"/>
      <c r="CH603" s="43"/>
      <c r="CI603" s="43"/>
      <c r="CJ603" s="43"/>
      <c r="CK603" s="43"/>
      <c r="CL603" s="43"/>
      <c r="CM603" s="43"/>
      <c r="CN603" s="43"/>
      <c r="CO603" s="43"/>
      <c r="CP603" s="43"/>
      <c r="CQ603" s="43"/>
      <c r="CR603" s="43"/>
      <c r="CS603" s="43"/>
      <c r="CT603" s="43"/>
      <c r="CU603" s="43"/>
      <c r="CV603" s="43"/>
      <c r="CW603" s="43"/>
      <c r="CX603" s="43"/>
      <c r="CY603" s="43"/>
      <c r="CZ603" s="43"/>
      <c r="DA603" s="43"/>
      <c r="DB603" s="43"/>
      <c r="DC603" s="43"/>
      <c r="DD603" s="43"/>
      <c r="DE603" s="43"/>
      <c r="DF603" s="43"/>
      <c r="DG603" s="43"/>
      <c r="DH603" s="43"/>
      <c r="DI603" s="43"/>
      <c r="DJ603" s="43"/>
      <c r="DK603" s="43"/>
      <c r="DL603" s="43"/>
      <c r="DM603" s="43"/>
      <c r="DN603" s="43"/>
      <c r="DO603" s="43"/>
      <c r="DP603" s="43"/>
      <c r="DQ603" s="43"/>
      <c r="DR603" s="43"/>
      <c r="DS603" s="43"/>
    </row>
    <row r="604" spans="1:123" ht="14.45">
      <c r="A604"/>
      <c r="B604"/>
      <c r="C604"/>
      <c r="D604"/>
      <c r="E604"/>
      <c r="F604"/>
      <c r="G604"/>
      <c r="H604"/>
      <c r="I604"/>
      <c r="J604"/>
      <c r="K604" s="43"/>
      <c r="L604" s="43"/>
      <c r="M604" s="43"/>
      <c r="N604" s="43"/>
      <c r="O604" s="43"/>
      <c r="P604" s="43"/>
      <c r="Q604" s="43"/>
      <c r="R604" s="43"/>
      <c r="S604" s="43"/>
      <c r="T604" s="43"/>
      <c r="U604" s="43"/>
      <c r="V604" s="43"/>
      <c r="W604" s="43"/>
      <c r="X604" s="43"/>
      <c r="Y604" s="43"/>
      <c r="Z604" s="43"/>
      <c r="AA604" s="43"/>
      <c r="AB604" s="43"/>
      <c r="AC604" s="43"/>
      <c r="AD604" s="43"/>
      <c r="AE604" s="43"/>
      <c r="AF604" s="43"/>
      <c r="AG604" s="43"/>
      <c r="AH604" s="43"/>
      <c r="AI604" s="43"/>
      <c r="AJ604" s="43"/>
      <c r="AK604" s="43"/>
      <c r="AL604" s="43"/>
      <c r="AM604" s="43"/>
      <c r="AN604" s="43"/>
      <c r="AO604" s="43"/>
      <c r="AP604" s="43"/>
      <c r="AQ604" s="43"/>
      <c r="AR604" s="43"/>
      <c r="AS604" s="43"/>
      <c r="AT604" s="43"/>
      <c r="AU604" s="43"/>
      <c r="AV604" s="43"/>
      <c r="AW604" s="43"/>
      <c r="AX604" s="43"/>
      <c r="AY604" s="43"/>
      <c r="AZ604" s="43"/>
      <c r="BA604" s="43"/>
      <c r="BB604" s="43"/>
      <c r="BC604" s="43"/>
      <c r="BD604" s="43"/>
      <c r="BE604" s="43"/>
      <c r="BF604" s="43"/>
      <c r="BG604" s="43"/>
      <c r="BH604" s="43"/>
      <c r="BI604" s="43"/>
      <c r="BJ604" s="43"/>
      <c r="BK604" s="43"/>
      <c r="BL604" s="43"/>
      <c r="BM604" s="43"/>
      <c r="BN604" s="43"/>
      <c r="BO604" s="43"/>
      <c r="BP604" s="43"/>
      <c r="BQ604" s="43"/>
      <c r="BR604" s="43"/>
      <c r="BS604" s="43"/>
      <c r="BT604" s="43"/>
      <c r="BU604" s="43"/>
      <c r="BV604" s="43"/>
      <c r="BW604" s="43"/>
      <c r="BX604" s="43"/>
      <c r="BY604" s="43"/>
      <c r="BZ604" s="43"/>
      <c r="CA604" s="43"/>
      <c r="CB604" s="43"/>
      <c r="CC604" s="43"/>
      <c r="CD604" s="43"/>
      <c r="CE604" s="43"/>
      <c r="CF604" s="43"/>
      <c r="CG604" s="43"/>
      <c r="CH604" s="43"/>
      <c r="CI604" s="43"/>
      <c r="CJ604" s="43"/>
      <c r="CK604" s="43"/>
      <c r="CL604" s="43"/>
      <c r="CM604" s="43"/>
      <c r="CN604" s="43"/>
      <c r="CO604" s="43"/>
      <c r="CP604" s="43"/>
      <c r="CQ604" s="43"/>
      <c r="CR604" s="43"/>
      <c r="CS604" s="43"/>
      <c r="CT604" s="43"/>
      <c r="CU604" s="43"/>
      <c r="CV604" s="43"/>
      <c r="CW604" s="43"/>
      <c r="CX604" s="43"/>
      <c r="CY604" s="43"/>
      <c r="CZ604" s="43"/>
      <c r="DA604" s="43"/>
      <c r="DB604" s="43"/>
      <c r="DC604" s="43"/>
      <c r="DD604" s="43"/>
      <c r="DE604" s="43"/>
      <c r="DF604" s="43"/>
      <c r="DG604" s="43"/>
      <c r="DH604" s="43"/>
      <c r="DI604" s="43"/>
      <c r="DJ604" s="43"/>
      <c r="DK604" s="43"/>
      <c r="DL604" s="43"/>
      <c r="DM604" s="43"/>
      <c r="DN604" s="43"/>
      <c r="DO604" s="43"/>
      <c r="DP604" s="43"/>
      <c r="DQ604" s="43"/>
      <c r="DR604" s="43"/>
      <c r="DS604" s="43"/>
    </row>
    <row r="605" spans="1:123" ht="14.45">
      <c r="A605"/>
      <c r="B605"/>
      <c r="C605"/>
      <c r="D605"/>
      <c r="E605"/>
      <c r="F605"/>
      <c r="G605"/>
      <c r="H605"/>
      <c r="I605"/>
      <c r="J605"/>
      <c r="K605" s="43"/>
      <c r="L605" s="43"/>
      <c r="M605" s="43"/>
      <c r="N605" s="43"/>
      <c r="O605" s="43"/>
      <c r="P605" s="43"/>
      <c r="Q605" s="43"/>
      <c r="R605" s="43"/>
      <c r="S605" s="43"/>
      <c r="T605" s="43"/>
      <c r="U605" s="43"/>
      <c r="V605" s="43"/>
      <c r="W605" s="43"/>
      <c r="X605" s="43"/>
      <c r="Y605" s="43"/>
      <c r="Z605" s="43"/>
      <c r="AA605" s="43"/>
      <c r="AB605" s="43"/>
      <c r="AC605" s="43"/>
      <c r="AD605" s="43"/>
      <c r="AE605" s="43"/>
      <c r="AF605" s="43"/>
      <c r="AG605" s="43"/>
      <c r="AH605" s="43"/>
      <c r="AI605" s="43"/>
      <c r="AJ605" s="43"/>
      <c r="AK605" s="43"/>
      <c r="AL605" s="43"/>
      <c r="AM605" s="43"/>
      <c r="AN605" s="43"/>
      <c r="AO605" s="43"/>
      <c r="AP605" s="43"/>
      <c r="AQ605" s="43"/>
      <c r="AR605" s="43"/>
      <c r="AS605" s="43"/>
      <c r="AT605" s="43"/>
      <c r="AU605" s="43"/>
      <c r="AV605" s="43"/>
      <c r="AW605" s="43"/>
      <c r="AX605" s="43"/>
      <c r="AY605" s="43"/>
      <c r="AZ605" s="43"/>
      <c r="BA605" s="43"/>
      <c r="BB605" s="43"/>
      <c r="BC605" s="43"/>
      <c r="BD605" s="43"/>
      <c r="BE605" s="43"/>
      <c r="BF605" s="43"/>
      <c r="BG605" s="43"/>
      <c r="BH605" s="43"/>
      <c r="BI605" s="43"/>
      <c r="BJ605" s="43"/>
      <c r="BK605" s="43"/>
      <c r="BL605" s="43"/>
      <c r="BM605" s="43"/>
      <c r="BN605" s="43"/>
      <c r="BO605" s="43"/>
      <c r="BP605" s="43"/>
      <c r="BQ605" s="43"/>
      <c r="BR605" s="43"/>
      <c r="BS605" s="43"/>
      <c r="BT605" s="43"/>
      <c r="BU605" s="43"/>
      <c r="BV605" s="43"/>
      <c r="BW605" s="43"/>
      <c r="BX605" s="43"/>
      <c r="BY605" s="43"/>
      <c r="BZ605" s="43"/>
      <c r="CA605" s="43"/>
      <c r="CB605" s="43"/>
      <c r="CC605" s="43"/>
      <c r="CD605" s="43"/>
      <c r="CE605" s="43"/>
      <c r="CF605" s="43"/>
      <c r="CG605" s="43"/>
      <c r="CH605" s="43"/>
      <c r="CI605" s="43"/>
      <c r="CJ605" s="43"/>
      <c r="CK605" s="43"/>
      <c r="CL605" s="43"/>
      <c r="CM605" s="43"/>
      <c r="CN605" s="43"/>
      <c r="CO605" s="43"/>
      <c r="CP605" s="43"/>
      <c r="CQ605" s="43"/>
      <c r="CR605" s="43"/>
      <c r="CS605" s="43"/>
      <c r="CT605" s="43"/>
      <c r="CU605" s="43"/>
      <c r="CV605" s="43"/>
      <c r="CW605" s="43"/>
      <c r="CX605" s="43"/>
      <c r="CY605" s="43"/>
      <c r="CZ605" s="43"/>
      <c r="DA605" s="43"/>
      <c r="DB605" s="43"/>
      <c r="DC605" s="43"/>
      <c r="DD605" s="43"/>
      <c r="DE605" s="43"/>
      <c r="DF605" s="43"/>
      <c r="DG605" s="43"/>
      <c r="DH605" s="43"/>
      <c r="DI605" s="43"/>
      <c r="DJ605" s="43"/>
      <c r="DK605" s="43"/>
      <c r="DL605" s="43"/>
      <c r="DM605" s="43"/>
      <c r="DN605" s="43"/>
      <c r="DO605" s="43"/>
      <c r="DP605" s="43"/>
      <c r="DQ605" s="43"/>
      <c r="DR605" s="43"/>
      <c r="DS605" s="43"/>
    </row>
    <row r="606" spans="1:123" ht="14.45">
      <c r="A606"/>
      <c r="B606"/>
      <c r="C606"/>
      <c r="D606"/>
      <c r="E606"/>
      <c r="F606"/>
      <c r="G606"/>
      <c r="H606"/>
      <c r="I606"/>
      <c r="J606"/>
      <c r="K606" s="43"/>
      <c r="L606" s="43"/>
      <c r="M606" s="43"/>
      <c r="N606" s="43"/>
      <c r="O606" s="43"/>
      <c r="P606" s="43"/>
      <c r="Q606" s="43"/>
      <c r="R606" s="43"/>
      <c r="S606" s="43"/>
      <c r="T606" s="43"/>
      <c r="U606" s="43"/>
      <c r="V606" s="43"/>
      <c r="W606" s="43"/>
      <c r="X606" s="43"/>
      <c r="Y606" s="43"/>
      <c r="Z606" s="43"/>
      <c r="AA606" s="43"/>
      <c r="AB606" s="43"/>
      <c r="AC606" s="43"/>
      <c r="AD606" s="43"/>
      <c r="AE606" s="43"/>
      <c r="AF606" s="43"/>
      <c r="AG606" s="43"/>
      <c r="AH606" s="43"/>
      <c r="AI606" s="43"/>
      <c r="AJ606" s="43"/>
      <c r="AK606" s="43"/>
      <c r="AL606" s="43"/>
      <c r="AM606" s="43"/>
      <c r="AN606" s="43"/>
      <c r="AO606" s="43"/>
      <c r="AP606" s="43"/>
      <c r="AQ606" s="43"/>
      <c r="AR606" s="43"/>
      <c r="AS606" s="43"/>
      <c r="AT606" s="43"/>
      <c r="AU606" s="43"/>
      <c r="AV606" s="43"/>
      <c r="AW606" s="43"/>
      <c r="AX606" s="43"/>
      <c r="AY606" s="43"/>
      <c r="AZ606" s="43"/>
      <c r="BA606" s="43"/>
      <c r="BB606" s="43"/>
      <c r="BC606" s="43"/>
      <c r="BD606" s="43"/>
      <c r="BE606" s="43"/>
      <c r="BF606" s="43"/>
      <c r="BG606" s="43"/>
      <c r="BH606" s="43"/>
      <c r="BI606" s="43"/>
      <c r="BJ606" s="43"/>
      <c r="BK606" s="43"/>
      <c r="BL606" s="43"/>
      <c r="BM606" s="43"/>
      <c r="BN606" s="43"/>
      <c r="BO606" s="43"/>
      <c r="BP606" s="43"/>
      <c r="BQ606" s="43"/>
      <c r="BR606" s="43"/>
      <c r="BS606" s="43"/>
      <c r="BT606" s="43"/>
      <c r="BU606" s="43"/>
      <c r="BV606" s="43"/>
      <c r="BW606" s="43"/>
      <c r="BX606" s="43"/>
      <c r="BY606" s="43"/>
      <c r="BZ606" s="43"/>
      <c r="CA606" s="43"/>
      <c r="CB606" s="43"/>
      <c r="CC606" s="43"/>
      <c r="CD606" s="43"/>
      <c r="CE606" s="43"/>
      <c r="CF606" s="43"/>
      <c r="CG606" s="43"/>
      <c r="CH606" s="43"/>
      <c r="CI606" s="43"/>
      <c r="CJ606" s="43"/>
      <c r="CK606" s="43"/>
      <c r="CL606" s="43"/>
      <c r="CM606" s="43"/>
      <c r="CN606" s="43"/>
      <c r="CO606" s="43"/>
      <c r="CP606" s="43"/>
      <c r="CQ606" s="43"/>
      <c r="CR606" s="43"/>
      <c r="CS606" s="43"/>
      <c r="CT606" s="43"/>
      <c r="CU606" s="43"/>
      <c r="CV606" s="43"/>
      <c r="CW606" s="43"/>
      <c r="CX606" s="43"/>
      <c r="CY606" s="43"/>
      <c r="CZ606" s="43"/>
      <c r="DA606" s="43"/>
      <c r="DB606" s="43"/>
      <c r="DC606" s="43"/>
      <c r="DD606" s="43"/>
      <c r="DE606" s="43"/>
      <c r="DF606" s="43"/>
      <c r="DG606" s="43"/>
      <c r="DH606" s="43"/>
      <c r="DI606" s="43"/>
      <c r="DJ606" s="43"/>
      <c r="DK606" s="43"/>
      <c r="DL606" s="43"/>
      <c r="DM606" s="43"/>
      <c r="DN606" s="43"/>
      <c r="DO606" s="43"/>
      <c r="DP606" s="43"/>
      <c r="DQ606" s="43"/>
      <c r="DR606" s="43"/>
      <c r="DS606" s="43"/>
    </row>
    <row r="607" spans="1:123" ht="14.45">
      <c r="A607"/>
      <c r="B607"/>
      <c r="C607"/>
      <c r="D607"/>
      <c r="E607"/>
      <c r="F607"/>
      <c r="G607"/>
      <c r="H607"/>
      <c r="I607"/>
      <c r="J607"/>
      <c r="K607" s="43"/>
      <c r="L607" s="43"/>
      <c r="M607" s="43"/>
      <c r="N607" s="43"/>
      <c r="O607" s="43"/>
      <c r="P607" s="43"/>
      <c r="Q607" s="43"/>
      <c r="R607" s="43"/>
      <c r="S607" s="43"/>
      <c r="T607" s="43"/>
      <c r="U607" s="43"/>
      <c r="V607" s="43"/>
      <c r="W607" s="43"/>
      <c r="X607" s="43"/>
      <c r="Y607" s="43"/>
      <c r="Z607" s="43"/>
      <c r="AA607" s="43"/>
      <c r="AB607" s="43"/>
      <c r="AC607" s="43"/>
      <c r="AD607" s="43"/>
      <c r="AE607" s="43"/>
      <c r="AF607" s="43"/>
      <c r="AG607" s="43"/>
      <c r="AH607" s="43"/>
      <c r="AI607" s="43"/>
      <c r="AJ607" s="43"/>
      <c r="AK607" s="43"/>
      <c r="AL607" s="43"/>
      <c r="AM607" s="43"/>
      <c r="AN607" s="43"/>
      <c r="AO607" s="43"/>
      <c r="AP607" s="43"/>
      <c r="AQ607" s="43"/>
      <c r="AR607" s="43"/>
      <c r="AS607" s="43"/>
      <c r="AT607" s="43"/>
      <c r="AU607" s="43"/>
      <c r="AV607" s="43"/>
      <c r="AW607" s="43"/>
      <c r="AX607" s="43"/>
      <c r="AY607" s="43"/>
      <c r="AZ607" s="43"/>
      <c r="BA607" s="43"/>
      <c r="BB607" s="43"/>
      <c r="BC607" s="43"/>
      <c r="BD607" s="43"/>
      <c r="BE607" s="43"/>
      <c r="BF607" s="43"/>
      <c r="BG607" s="43"/>
      <c r="BH607" s="43"/>
      <c r="BI607" s="43"/>
      <c r="BJ607" s="43"/>
      <c r="BK607" s="43"/>
      <c r="BL607" s="43"/>
      <c r="BM607" s="43"/>
      <c r="BN607" s="43"/>
      <c r="BO607" s="43"/>
      <c r="BP607" s="43"/>
      <c r="BQ607" s="43"/>
      <c r="BR607" s="43"/>
      <c r="BS607" s="43"/>
      <c r="BT607" s="43"/>
      <c r="BU607" s="43"/>
      <c r="BV607" s="43"/>
      <c r="BW607" s="43"/>
      <c r="BX607" s="43"/>
      <c r="BY607" s="43"/>
      <c r="BZ607" s="43"/>
      <c r="CA607" s="43"/>
      <c r="CB607" s="43"/>
      <c r="CC607" s="43"/>
      <c r="CD607" s="43"/>
      <c r="CE607" s="43"/>
      <c r="CF607" s="43"/>
      <c r="CG607" s="43"/>
      <c r="CH607" s="43"/>
      <c r="CI607" s="43"/>
      <c r="CJ607" s="43"/>
      <c r="CK607" s="43"/>
      <c r="CL607" s="43"/>
      <c r="CM607" s="43"/>
      <c r="CN607" s="43"/>
      <c r="CO607" s="43"/>
      <c r="CP607" s="43"/>
      <c r="CQ607" s="43"/>
      <c r="CR607" s="43"/>
      <c r="CS607" s="43"/>
      <c r="CT607" s="43"/>
      <c r="CU607" s="43"/>
      <c r="CV607" s="43"/>
      <c r="CW607" s="43"/>
      <c r="CX607" s="43"/>
      <c r="CY607" s="43"/>
      <c r="CZ607" s="43"/>
      <c r="DA607" s="43"/>
      <c r="DB607" s="43"/>
      <c r="DC607" s="43"/>
      <c r="DD607" s="43"/>
      <c r="DE607" s="43"/>
      <c r="DF607" s="43"/>
      <c r="DG607" s="43"/>
      <c r="DH607" s="43"/>
      <c r="DI607" s="43"/>
      <c r="DJ607" s="43"/>
      <c r="DK607" s="43"/>
      <c r="DL607" s="43"/>
      <c r="DM607" s="43"/>
      <c r="DN607" s="43"/>
      <c r="DO607" s="43"/>
      <c r="DP607" s="43"/>
      <c r="DQ607" s="43"/>
      <c r="DR607" s="43"/>
      <c r="DS607" s="43"/>
    </row>
    <row r="608" spans="1:123" ht="14.45">
      <c r="A608"/>
      <c r="B608"/>
      <c r="C608"/>
      <c r="D608"/>
      <c r="E608"/>
      <c r="F608"/>
      <c r="G608"/>
      <c r="H608"/>
      <c r="I608"/>
      <c r="J608"/>
      <c r="K608" s="43"/>
      <c r="L608" s="43"/>
      <c r="M608" s="43"/>
      <c r="N608" s="43"/>
      <c r="O608" s="43"/>
      <c r="P608" s="43"/>
      <c r="Q608" s="43"/>
      <c r="R608" s="43"/>
      <c r="S608" s="43"/>
      <c r="T608" s="43"/>
      <c r="U608" s="43"/>
      <c r="V608" s="43"/>
      <c r="W608" s="43"/>
      <c r="X608" s="43"/>
      <c r="Y608" s="43"/>
      <c r="Z608" s="43"/>
      <c r="AA608" s="43"/>
      <c r="AB608" s="43"/>
      <c r="AC608" s="43"/>
      <c r="AD608" s="43"/>
      <c r="AE608" s="43"/>
      <c r="AF608" s="43"/>
      <c r="AG608" s="43"/>
      <c r="AH608" s="43"/>
      <c r="AI608" s="43"/>
      <c r="AJ608" s="43"/>
      <c r="AK608" s="43"/>
      <c r="AL608" s="43"/>
      <c r="AM608" s="43"/>
      <c r="AN608" s="43"/>
      <c r="AO608" s="43"/>
      <c r="AP608" s="43"/>
      <c r="AQ608" s="43"/>
      <c r="AR608" s="43"/>
      <c r="AS608" s="43"/>
      <c r="AT608" s="43"/>
      <c r="AU608" s="43"/>
      <c r="AV608" s="43"/>
      <c r="AW608" s="43"/>
      <c r="AX608" s="43"/>
      <c r="AY608" s="43"/>
      <c r="AZ608" s="43"/>
      <c r="BA608" s="43"/>
      <c r="BB608" s="43"/>
      <c r="BC608" s="43"/>
      <c r="BD608" s="43"/>
      <c r="BE608" s="43"/>
      <c r="BF608" s="43"/>
      <c r="BG608" s="43"/>
      <c r="BH608" s="43"/>
      <c r="BI608" s="43"/>
      <c r="BJ608" s="43"/>
      <c r="BK608" s="43"/>
      <c r="BL608" s="43"/>
      <c r="BM608" s="43"/>
      <c r="BN608" s="43"/>
      <c r="BO608" s="43"/>
      <c r="BP608" s="43"/>
      <c r="BQ608" s="43"/>
      <c r="BR608" s="43"/>
      <c r="BS608" s="43"/>
      <c r="BT608" s="43"/>
      <c r="BU608" s="43"/>
      <c r="BV608" s="43"/>
      <c r="BW608" s="43"/>
      <c r="BX608" s="43"/>
      <c r="BY608" s="43"/>
      <c r="BZ608" s="43"/>
      <c r="CA608" s="43"/>
      <c r="CB608" s="43"/>
      <c r="CC608" s="43"/>
      <c r="CD608" s="43"/>
      <c r="CE608" s="43"/>
      <c r="CF608" s="43"/>
      <c r="CG608" s="43"/>
      <c r="CH608" s="43"/>
      <c r="CI608" s="43"/>
      <c r="CJ608" s="43"/>
      <c r="CK608" s="43"/>
      <c r="CL608" s="43"/>
      <c r="CM608" s="43"/>
      <c r="CN608" s="43"/>
      <c r="CO608" s="43"/>
      <c r="CP608" s="43"/>
      <c r="CQ608" s="43"/>
      <c r="CR608" s="43"/>
      <c r="CS608" s="43"/>
      <c r="CT608" s="43"/>
      <c r="CU608" s="43"/>
      <c r="CV608" s="43"/>
      <c r="CW608" s="43"/>
      <c r="CX608" s="43"/>
      <c r="CY608" s="43"/>
      <c r="CZ608" s="43"/>
      <c r="DA608" s="43"/>
      <c r="DB608" s="43"/>
      <c r="DC608" s="43"/>
      <c r="DD608" s="43"/>
      <c r="DE608" s="43"/>
      <c r="DF608" s="43"/>
      <c r="DG608" s="43"/>
      <c r="DH608" s="43"/>
      <c r="DI608" s="43"/>
      <c r="DJ608" s="43"/>
      <c r="DK608" s="43"/>
      <c r="DL608" s="43"/>
      <c r="DM608" s="43"/>
      <c r="DN608" s="43"/>
      <c r="DO608" s="43"/>
      <c r="DP608" s="43"/>
      <c r="DQ608" s="43"/>
      <c r="DR608" s="43"/>
      <c r="DS608" s="43"/>
    </row>
    <row r="609" spans="1:123" ht="14.45">
      <c r="A609"/>
      <c r="B609"/>
      <c r="C609"/>
      <c r="D609"/>
      <c r="E609"/>
      <c r="F609"/>
      <c r="G609"/>
      <c r="H609"/>
      <c r="I609"/>
      <c r="J609"/>
      <c r="K609" s="43"/>
      <c r="L609" s="43"/>
      <c r="M609" s="43"/>
      <c r="N609" s="43"/>
      <c r="O609" s="43"/>
      <c r="P609" s="43"/>
      <c r="Q609" s="43"/>
      <c r="R609" s="43"/>
      <c r="S609" s="43"/>
      <c r="T609" s="43"/>
      <c r="U609" s="43"/>
      <c r="V609" s="43"/>
      <c r="W609" s="43"/>
      <c r="X609" s="43"/>
      <c r="Y609" s="43"/>
      <c r="Z609" s="43"/>
      <c r="AA609" s="43"/>
      <c r="AB609" s="43"/>
      <c r="AC609" s="43"/>
      <c r="AD609" s="43"/>
      <c r="AE609" s="43"/>
      <c r="AF609" s="43"/>
      <c r="AG609" s="43"/>
      <c r="AH609" s="43"/>
      <c r="AI609" s="43"/>
      <c r="AJ609" s="43"/>
      <c r="AK609" s="43"/>
      <c r="AL609" s="43"/>
      <c r="AM609" s="43"/>
      <c r="AN609" s="43"/>
      <c r="AO609" s="43"/>
      <c r="AP609" s="43"/>
      <c r="AQ609" s="43"/>
      <c r="AR609" s="43"/>
      <c r="AS609" s="43"/>
      <c r="AT609" s="43"/>
      <c r="AU609" s="43"/>
      <c r="AV609" s="43"/>
      <c r="AW609" s="43"/>
      <c r="AX609" s="43"/>
      <c r="AY609" s="43"/>
      <c r="AZ609" s="43"/>
      <c r="BA609" s="43"/>
      <c r="BB609" s="43"/>
      <c r="BC609" s="43"/>
      <c r="BD609" s="43"/>
      <c r="BE609" s="43"/>
      <c r="BF609" s="43"/>
      <c r="BG609" s="43"/>
      <c r="BH609" s="43"/>
      <c r="BI609" s="43"/>
      <c r="BJ609" s="43"/>
      <c r="BK609" s="43"/>
      <c r="BL609" s="43"/>
      <c r="BM609" s="43"/>
      <c r="BN609" s="43"/>
      <c r="BO609" s="43"/>
      <c r="BP609" s="43"/>
      <c r="BQ609" s="43"/>
      <c r="BR609" s="43"/>
      <c r="BS609" s="43"/>
      <c r="BT609" s="43"/>
      <c r="BU609" s="43"/>
      <c r="BV609" s="43"/>
      <c r="BW609" s="43"/>
      <c r="BX609" s="43"/>
      <c r="BY609" s="43"/>
      <c r="BZ609" s="43"/>
      <c r="CA609" s="43"/>
      <c r="CB609" s="43"/>
      <c r="CC609" s="43"/>
      <c r="CD609" s="43"/>
      <c r="CE609" s="43"/>
      <c r="CF609" s="43"/>
      <c r="CG609" s="43"/>
      <c r="CH609" s="43"/>
      <c r="CI609" s="43"/>
      <c r="CJ609" s="43"/>
      <c r="CK609" s="43"/>
      <c r="CL609" s="43"/>
      <c r="CM609" s="43"/>
      <c r="CN609" s="43"/>
      <c r="CO609" s="43"/>
      <c r="CP609" s="43"/>
      <c r="CQ609" s="43"/>
      <c r="CR609" s="43"/>
      <c r="CS609" s="43"/>
      <c r="CT609" s="43"/>
      <c r="CU609" s="43"/>
      <c r="CV609" s="43"/>
      <c r="CW609" s="43"/>
      <c r="CX609" s="43"/>
      <c r="CY609" s="43"/>
      <c r="CZ609" s="43"/>
      <c r="DA609" s="43"/>
      <c r="DB609" s="43"/>
      <c r="DC609" s="43"/>
      <c r="DD609" s="43"/>
      <c r="DE609" s="43"/>
      <c r="DF609" s="43"/>
      <c r="DG609" s="43"/>
      <c r="DH609" s="43"/>
      <c r="DI609" s="43"/>
      <c r="DJ609" s="43"/>
      <c r="DK609" s="43"/>
      <c r="DL609" s="43"/>
      <c r="DM609" s="43"/>
      <c r="DN609" s="43"/>
      <c r="DO609" s="43"/>
      <c r="DP609" s="43"/>
      <c r="DQ609" s="43"/>
      <c r="DR609" s="43"/>
      <c r="DS609" s="43"/>
    </row>
    <row r="610" spans="1:123" ht="14.45">
      <c r="A610"/>
      <c r="B610"/>
      <c r="C610"/>
      <c r="D610"/>
      <c r="E610"/>
      <c r="F610"/>
      <c r="G610"/>
      <c r="H610"/>
      <c r="I610"/>
      <c r="J610"/>
      <c r="K610" s="43"/>
      <c r="L610" s="43"/>
      <c r="M610" s="43"/>
      <c r="N610" s="43"/>
      <c r="O610" s="43"/>
      <c r="P610" s="43"/>
      <c r="Q610" s="43"/>
      <c r="R610" s="43"/>
      <c r="S610" s="43"/>
      <c r="T610" s="43"/>
      <c r="U610" s="43"/>
      <c r="V610" s="43"/>
      <c r="W610" s="43"/>
      <c r="X610" s="43"/>
      <c r="Y610" s="43"/>
      <c r="Z610" s="43"/>
      <c r="AA610" s="43"/>
      <c r="AB610" s="43"/>
      <c r="AC610" s="43"/>
      <c r="AD610" s="43"/>
      <c r="AE610" s="43"/>
      <c r="AF610" s="43"/>
      <c r="AG610" s="43"/>
      <c r="AH610" s="43"/>
      <c r="AI610" s="43"/>
      <c r="AJ610" s="43"/>
      <c r="AK610" s="43"/>
      <c r="AL610" s="43"/>
      <c r="AM610" s="43"/>
      <c r="AN610" s="43"/>
      <c r="AO610" s="43"/>
      <c r="AP610" s="43"/>
      <c r="AQ610" s="43"/>
      <c r="AR610" s="43"/>
      <c r="AS610" s="43"/>
      <c r="AT610" s="43"/>
      <c r="AU610" s="43"/>
      <c r="AV610" s="43"/>
      <c r="AW610" s="43"/>
      <c r="AX610" s="43"/>
      <c r="AY610" s="43"/>
      <c r="AZ610" s="43"/>
      <c r="BA610" s="43"/>
      <c r="BB610" s="43"/>
      <c r="BC610" s="43"/>
      <c r="BD610" s="43"/>
      <c r="BE610" s="43"/>
      <c r="BF610" s="43"/>
      <c r="BG610" s="43"/>
      <c r="BH610" s="43"/>
      <c r="BI610" s="43"/>
      <c r="BJ610" s="43"/>
      <c r="BK610" s="43"/>
      <c r="BL610" s="43"/>
      <c r="BM610" s="43"/>
      <c r="BN610" s="43"/>
      <c r="BO610" s="43"/>
      <c r="BP610" s="43"/>
      <c r="BQ610" s="43"/>
      <c r="BR610" s="43"/>
      <c r="BS610" s="43"/>
      <c r="BT610" s="43"/>
      <c r="BU610" s="43"/>
      <c r="BV610" s="43"/>
      <c r="BW610" s="43"/>
      <c r="BX610" s="43"/>
      <c r="BY610" s="43"/>
      <c r="BZ610" s="43"/>
      <c r="CA610" s="43"/>
      <c r="CB610" s="43"/>
      <c r="CC610" s="43"/>
      <c r="CD610" s="43"/>
      <c r="CE610" s="43"/>
      <c r="CF610" s="43"/>
      <c r="CG610" s="43"/>
      <c r="CH610" s="43"/>
      <c r="CI610" s="43"/>
      <c r="CJ610" s="43"/>
      <c r="CK610" s="43"/>
      <c r="CL610" s="43"/>
      <c r="CM610" s="43"/>
      <c r="CN610" s="43"/>
      <c r="CO610" s="43"/>
      <c r="CP610" s="43"/>
      <c r="CQ610" s="43"/>
      <c r="CR610" s="43"/>
      <c r="CS610" s="43"/>
      <c r="CT610" s="43"/>
      <c r="CU610" s="43"/>
      <c r="CV610" s="43"/>
      <c r="CW610" s="43"/>
      <c r="CX610" s="43"/>
      <c r="CY610" s="43"/>
      <c r="CZ610" s="43"/>
      <c r="DA610" s="43"/>
      <c r="DB610" s="43"/>
      <c r="DC610" s="43"/>
      <c r="DD610" s="43"/>
      <c r="DE610" s="43"/>
      <c r="DF610" s="43"/>
      <c r="DG610" s="43"/>
      <c r="DH610" s="43"/>
      <c r="DI610" s="43"/>
      <c r="DJ610" s="43"/>
      <c r="DK610" s="43"/>
      <c r="DL610" s="43"/>
      <c r="DM610" s="43"/>
      <c r="DN610" s="43"/>
      <c r="DO610" s="43"/>
      <c r="DP610" s="43"/>
      <c r="DQ610" s="43"/>
      <c r="DR610" s="43"/>
      <c r="DS610" s="43"/>
    </row>
    <row r="611" spans="1:123" ht="14.45">
      <c r="A611"/>
      <c r="B611"/>
      <c r="C611"/>
      <c r="D611"/>
      <c r="E611"/>
      <c r="F611"/>
      <c r="G611"/>
      <c r="H611"/>
      <c r="I611"/>
      <c r="J611"/>
      <c r="K611" s="43"/>
      <c r="L611" s="43"/>
      <c r="M611" s="43"/>
      <c r="N611" s="43"/>
      <c r="O611" s="43"/>
      <c r="P611" s="43"/>
      <c r="Q611" s="43"/>
      <c r="R611" s="43"/>
      <c r="S611" s="43"/>
      <c r="T611" s="43"/>
      <c r="U611" s="43"/>
      <c r="V611" s="43"/>
      <c r="W611" s="43"/>
      <c r="X611" s="43"/>
      <c r="Y611" s="43"/>
      <c r="Z611" s="43"/>
      <c r="AA611" s="43"/>
      <c r="AB611" s="43"/>
      <c r="AC611" s="43"/>
      <c r="AD611" s="43"/>
      <c r="AE611" s="43"/>
      <c r="AF611" s="43"/>
      <c r="AG611" s="43"/>
      <c r="AH611" s="43"/>
      <c r="AI611" s="43"/>
      <c r="AJ611" s="43"/>
      <c r="AK611" s="43"/>
      <c r="AL611" s="43"/>
      <c r="AM611" s="43"/>
      <c r="AN611" s="43"/>
      <c r="AO611" s="43"/>
      <c r="AP611" s="43"/>
      <c r="AQ611" s="43"/>
      <c r="AR611" s="43"/>
      <c r="AS611" s="43"/>
      <c r="AT611" s="43"/>
      <c r="AU611" s="43"/>
      <c r="AV611" s="43"/>
      <c r="AW611" s="43"/>
      <c r="AX611" s="43"/>
      <c r="AY611" s="43"/>
      <c r="AZ611" s="43"/>
      <c r="BA611" s="43"/>
      <c r="BB611" s="43"/>
      <c r="BC611" s="43"/>
      <c r="BD611" s="43"/>
      <c r="BE611" s="43"/>
      <c r="BF611" s="43"/>
      <c r="BG611" s="43"/>
      <c r="BH611" s="43"/>
      <c r="BI611" s="43"/>
      <c r="BJ611" s="43"/>
      <c r="BK611" s="43"/>
      <c r="BL611" s="43"/>
      <c r="BM611" s="43"/>
      <c r="BN611" s="43"/>
      <c r="BO611" s="43"/>
      <c r="BP611" s="43"/>
      <c r="BQ611" s="43"/>
      <c r="BR611" s="43"/>
      <c r="BS611" s="43"/>
      <c r="BT611" s="43"/>
      <c r="BU611" s="43"/>
      <c r="BV611" s="43"/>
      <c r="BW611" s="43"/>
      <c r="BX611" s="43"/>
      <c r="BY611" s="43"/>
      <c r="BZ611" s="43"/>
      <c r="CA611" s="43"/>
      <c r="CB611" s="43"/>
      <c r="CC611" s="43"/>
      <c r="CD611" s="43"/>
      <c r="CE611" s="43"/>
      <c r="CF611" s="43"/>
      <c r="CG611" s="43"/>
      <c r="CH611" s="43"/>
      <c r="CI611" s="43"/>
      <c r="CJ611" s="43"/>
      <c r="CK611" s="43"/>
      <c r="CL611" s="43"/>
      <c r="CM611" s="43"/>
      <c r="CN611" s="43"/>
      <c r="CO611" s="43"/>
      <c r="CP611" s="43"/>
      <c r="CQ611" s="43"/>
      <c r="CR611" s="43"/>
      <c r="CS611" s="43"/>
      <c r="CT611" s="43"/>
      <c r="CU611" s="43"/>
      <c r="CV611" s="43"/>
      <c r="CW611" s="43"/>
      <c r="CX611" s="43"/>
      <c r="CY611" s="43"/>
      <c r="CZ611" s="43"/>
      <c r="DA611" s="43"/>
      <c r="DB611" s="43"/>
      <c r="DC611" s="43"/>
      <c r="DD611" s="43"/>
      <c r="DE611" s="43"/>
      <c r="DF611" s="43"/>
      <c r="DG611" s="43"/>
      <c r="DH611" s="43"/>
      <c r="DI611" s="43"/>
      <c r="DJ611" s="43"/>
      <c r="DK611" s="43"/>
      <c r="DL611" s="43"/>
      <c r="DM611" s="43"/>
      <c r="DN611" s="43"/>
      <c r="DO611" s="43"/>
      <c r="DP611" s="43"/>
      <c r="DQ611" s="43"/>
      <c r="DR611" s="43"/>
      <c r="DS611" s="43"/>
    </row>
    <row r="612" spans="1:123" ht="14.45">
      <c r="A612"/>
      <c r="B612"/>
      <c r="C612"/>
      <c r="D612"/>
      <c r="E612"/>
      <c r="F612"/>
      <c r="G612"/>
      <c r="H612"/>
      <c r="I612"/>
      <c r="J612"/>
      <c r="K612" s="43"/>
      <c r="L612" s="43"/>
      <c r="M612" s="43"/>
      <c r="N612" s="43"/>
      <c r="O612" s="43"/>
      <c r="P612" s="43"/>
      <c r="Q612" s="43"/>
      <c r="R612" s="43"/>
      <c r="S612" s="43"/>
      <c r="T612" s="43"/>
      <c r="U612" s="43"/>
      <c r="V612" s="43"/>
      <c r="W612" s="43"/>
      <c r="X612" s="43"/>
      <c r="Y612" s="43"/>
      <c r="Z612" s="43"/>
      <c r="AA612" s="43"/>
      <c r="AB612" s="43"/>
      <c r="AC612" s="43"/>
      <c r="AD612" s="43"/>
      <c r="AE612" s="43"/>
      <c r="AF612" s="43"/>
      <c r="AG612" s="43"/>
      <c r="AH612" s="43"/>
      <c r="AI612" s="43"/>
      <c r="AJ612" s="43"/>
      <c r="AK612" s="43"/>
      <c r="AL612" s="43"/>
      <c r="AM612" s="43"/>
      <c r="AN612" s="43"/>
      <c r="AO612" s="43"/>
      <c r="AP612" s="43"/>
      <c r="AQ612" s="43"/>
      <c r="AR612" s="43"/>
      <c r="AS612" s="43"/>
      <c r="AT612" s="43"/>
      <c r="AU612" s="43"/>
      <c r="AV612" s="43"/>
      <c r="AW612" s="43"/>
      <c r="AX612" s="43"/>
      <c r="AY612" s="43"/>
      <c r="AZ612" s="43"/>
      <c r="BA612" s="43"/>
      <c r="BB612" s="43"/>
      <c r="BC612" s="43"/>
      <c r="BD612" s="43"/>
      <c r="BE612" s="43"/>
      <c r="BF612" s="43"/>
      <c r="BG612" s="43"/>
      <c r="BH612" s="43"/>
      <c r="BI612" s="43"/>
      <c r="BJ612" s="43"/>
      <c r="BK612" s="43"/>
      <c r="BL612" s="43"/>
      <c r="BM612" s="43"/>
      <c r="BN612" s="43"/>
      <c r="BO612" s="43"/>
      <c r="BP612" s="43"/>
      <c r="BQ612" s="43"/>
      <c r="BR612" s="43"/>
      <c r="BS612" s="43"/>
      <c r="BT612" s="43"/>
      <c r="BU612" s="43"/>
      <c r="BV612" s="43"/>
      <c r="BW612" s="43"/>
      <c r="BX612" s="43"/>
      <c r="BY612" s="43"/>
      <c r="BZ612" s="43"/>
      <c r="CA612" s="43"/>
      <c r="CB612" s="43"/>
      <c r="CC612" s="43"/>
      <c r="CD612" s="43"/>
      <c r="CE612" s="43"/>
      <c r="CF612" s="43"/>
      <c r="CG612" s="43"/>
      <c r="CH612" s="43"/>
      <c r="CI612" s="43"/>
      <c r="CJ612" s="43"/>
      <c r="CK612" s="43"/>
      <c r="CL612" s="43"/>
      <c r="CM612" s="43"/>
      <c r="CN612" s="43"/>
      <c r="CO612" s="43"/>
      <c r="CP612" s="43"/>
      <c r="CQ612" s="43"/>
      <c r="CR612" s="43"/>
      <c r="CS612" s="43"/>
      <c r="CT612" s="43"/>
      <c r="CU612" s="43"/>
      <c r="CV612" s="43"/>
      <c r="CW612" s="43"/>
      <c r="CX612" s="43"/>
      <c r="CY612" s="43"/>
      <c r="CZ612" s="43"/>
      <c r="DA612" s="43"/>
      <c r="DB612" s="43"/>
      <c r="DC612" s="43"/>
      <c r="DD612" s="43"/>
      <c r="DE612" s="43"/>
      <c r="DF612" s="43"/>
      <c r="DG612" s="43"/>
      <c r="DH612" s="43"/>
      <c r="DI612" s="43"/>
      <c r="DJ612" s="43"/>
      <c r="DK612" s="43"/>
      <c r="DL612" s="43"/>
      <c r="DM612" s="43"/>
      <c r="DN612" s="43"/>
      <c r="DO612" s="43"/>
      <c r="DP612" s="43"/>
      <c r="DQ612" s="43"/>
      <c r="DR612" s="43"/>
      <c r="DS612" s="43"/>
    </row>
    <row r="613" spans="1:123" ht="14.45">
      <c r="A613"/>
      <c r="B613"/>
      <c r="C613"/>
      <c r="D613"/>
      <c r="E613"/>
      <c r="F613"/>
      <c r="G613"/>
      <c r="H613"/>
      <c r="I613"/>
      <c r="J613"/>
      <c r="K613" s="43"/>
      <c r="L613" s="43"/>
      <c r="M613" s="43"/>
      <c r="N613" s="43"/>
      <c r="O613" s="43"/>
      <c r="P613" s="43"/>
      <c r="Q613" s="43"/>
      <c r="R613" s="43"/>
      <c r="S613" s="43"/>
      <c r="T613" s="43"/>
      <c r="U613" s="43"/>
      <c r="V613" s="43"/>
      <c r="W613" s="43"/>
      <c r="X613" s="43"/>
      <c r="Y613" s="43"/>
      <c r="Z613" s="43"/>
      <c r="AA613" s="43"/>
      <c r="AB613" s="43"/>
      <c r="AC613" s="43"/>
      <c r="AD613" s="43"/>
      <c r="AE613" s="43"/>
      <c r="AF613" s="43"/>
      <c r="AG613" s="43"/>
      <c r="AH613" s="43"/>
      <c r="AI613" s="43"/>
      <c r="AJ613" s="43"/>
      <c r="AK613" s="43"/>
      <c r="AL613" s="43"/>
      <c r="AM613" s="43"/>
      <c r="AN613" s="43"/>
      <c r="AO613" s="43"/>
      <c r="AP613" s="43"/>
      <c r="AQ613" s="43"/>
      <c r="AR613" s="43"/>
      <c r="AS613" s="43"/>
      <c r="AT613" s="43"/>
      <c r="AU613" s="43"/>
      <c r="AV613" s="43"/>
      <c r="AW613" s="43"/>
      <c r="AX613" s="43"/>
      <c r="AY613" s="43"/>
      <c r="AZ613" s="43"/>
      <c r="BA613" s="43"/>
      <c r="BB613" s="43"/>
      <c r="BC613" s="43"/>
      <c r="BD613" s="43"/>
      <c r="BE613" s="43"/>
      <c r="BF613" s="43"/>
      <c r="BG613" s="43"/>
      <c r="BH613" s="43"/>
      <c r="BI613" s="43"/>
      <c r="BJ613" s="43"/>
      <c r="BK613" s="43"/>
      <c r="BL613" s="43"/>
      <c r="BM613" s="43"/>
      <c r="BN613" s="43"/>
      <c r="BO613" s="43"/>
      <c r="BP613" s="43"/>
      <c r="BQ613" s="43"/>
      <c r="BR613" s="43"/>
      <c r="BS613" s="43"/>
      <c r="BT613" s="43"/>
      <c r="BU613" s="43"/>
      <c r="BV613" s="43"/>
      <c r="BW613" s="43"/>
      <c r="BX613" s="43"/>
      <c r="BY613" s="43"/>
      <c r="BZ613" s="43"/>
      <c r="CA613" s="43"/>
      <c r="CB613" s="43"/>
      <c r="CC613" s="43"/>
      <c r="CD613" s="43"/>
      <c r="CE613" s="43"/>
      <c r="CF613" s="43"/>
      <c r="CG613" s="43"/>
      <c r="CH613" s="43"/>
      <c r="CI613" s="43"/>
      <c r="CJ613" s="43"/>
      <c r="CK613" s="43"/>
      <c r="CL613" s="43"/>
      <c r="CM613" s="43"/>
      <c r="CN613" s="43"/>
      <c r="CO613" s="43"/>
      <c r="CP613" s="43"/>
      <c r="CQ613" s="43"/>
      <c r="CR613" s="43"/>
      <c r="CS613" s="43"/>
      <c r="CT613" s="43"/>
      <c r="CU613" s="43"/>
      <c r="CV613" s="43"/>
      <c r="CW613" s="43"/>
      <c r="CX613" s="43"/>
      <c r="CY613" s="43"/>
      <c r="CZ613" s="43"/>
      <c r="DA613" s="43"/>
      <c r="DB613" s="43"/>
      <c r="DC613" s="43"/>
      <c r="DD613" s="43"/>
      <c r="DE613" s="43"/>
      <c r="DF613" s="43"/>
      <c r="DG613" s="43"/>
      <c r="DH613" s="43"/>
      <c r="DI613" s="43"/>
      <c r="DJ613" s="43"/>
      <c r="DK613" s="43"/>
      <c r="DL613" s="43"/>
      <c r="DM613" s="43"/>
      <c r="DN613" s="43"/>
      <c r="DO613" s="43"/>
      <c r="DP613" s="43"/>
      <c r="DQ613" s="43"/>
      <c r="DR613" s="43"/>
      <c r="DS613" s="43"/>
    </row>
    <row r="614" spans="1:123" ht="14.45">
      <c r="A614"/>
      <c r="B614"/>
      <c r="C614"/>
      <c r="D614"/>
      <c r="E614"/>
      <c r="F614"/>
      <c r="G614"/>
      <c r="H614"/>
      <c r="I614"/>
      <c r="J614"/>
      <c r="K614" s="43"/>
      <c r="L614" s="43"/>
      <c r="M614" s="43"/>
      <c r="N614" s="43"/>
      <c r="O614" s="43"/>
      <c r="P614" s="43"/>
      <c r="Q614" s="43"/>
      <c r="R614" s="43"/>
      <c r="S614" s="43"/>
      <c r="T614" s="43"/>
      <c r="U614" s="43"/>
      <c r="V614" s="43"/>
      <c r="W614" s="43"/>
      <c r="X614" s="43"/>
      <c r="Y614" s="43"/>
      <c r="Z614" s="43"/>
      <c r="AA614" s="43"/>
      <c r="AB614" s="43"/>
      <c r="AC614" s="43"/>
      <c r="AD614" s="43"/>
      <c r="AE614" s="43"/>
      <c r="AF614" s="43"/>
      <c r="AG614" s="43"/>
      <c r="AH614" s="43"/>
      <c r="AI614" s="43"/>
      <c r="AJ614" s="43"/>
      <c r="AK614" s="43"/>
      <c r="AL614" s="43"/>
      <c r="AM614" s="43"/>
      <c r="AN614" s="43"/>
      <c r="AO614" s="43"/>
      <c r="AP614" s="43"/>
      <c r="AQ614" s="43"/>
      <c r="AR614" s="43"/>
      <c r="AS614" s="43"/>
      <c r="AT614" s="43"/>
      <c r="AU614" s="43"/>
      <c r="AV614" s="43"/>
      <c r="AW614" s="43"/>
      <c r="AX614" s="43"/>
      <c r="AY614" s="43"/>
      <c r="AZ614" s="43"/>
      <c r="BA614" s="43"/>
      <c r="BB614" s="43"/>
      <c r="BC614" s="43"/>
      <c r="BD614" s="43"/>
      <c r="BE614" s="43"/>
      <c r="BF614" s="43"/>
      <c r="BG614" s="43"/>
      <c r="BH614" s="43"/>
      <c r="BI614" s="43"/>
      <c r="BJ614" s="43"/>
      <c r="BK614" s="43"/>
      <c r="BL614" s="43"/>
      <c r="BM614" s="43"/>
      <c r="BN614" s="43"/>
      <c r="BO614" s="43"/>
      <c r="BP614" s="43"/>
      <c r="BQ614" s="43"/>
      <c r="BR614" s="43"/>
      <c r="BS614" s="43"/>
      <c r="BT614" s="43"/>
      <c r="BU614" s="43"/>
      <c r="BV614" s="43"/>
      <c r="BW614" s="43"/>
      <c r="BX614" s="43"/>
      <c r="BY614" s="43"/>
      <c r="BZ614" s="43"/>
      <c r="CA614" s="43"/>
      <c r="CB614" s="43"/>
      <c r="CC614" s="43"/>
      <c r="CD614" s="43"/>
      <c r="CE614" s="43"/>
      <c r="CF614" s="43"/>
      <c r="CG614" s="43"/>
      <c r="CH614" s="43"/>
      <c r="CI614" s="43"/>
      <c r="CJ614" s="43"/>
      <c r="CK614" s="43"/>
      <c r="CL614" s="43"/>
      <c r="CM614" s="43"/>
      <c r="CN614" s="43"/>
      <c r="CO614" s="43"/>
      <c r="CP614" s="43"/>
      <c r="CQ614" s="43"/>
      <c r="CR614" s="43"/>
      <c r="CS614" s="43"/>
      <c r="CT614" s="43"/>
      <c r="CU614" s="43"/>
      <c r="CV614" s="43"/>
      <c r="CW614" s="43"/>
      <c r="CX614" s="43"/>
      <c r="CY614" s="43"/>
      <c r="CZ614" s="43"/>
      <c r="DA614" s="43"/>
      <c r="DB614" s="43"/>
      <c r="DC614" s="43"/>
      <c r="DD614" s="43"/>
      <c r="DE614" s="43"/>
      <c r="DF614" s="43"/>
      <c r="DG614" s="43"/>
      <c r="DH614" s="43"/>
      <c r="DI614" s="43"/>
      <c r="DJ614" s="43"/>
      <c r="DK614" s="43"/>
      <c r="DL614" s="43"/>
      <c r="DM614" s="43"/>
      <c r="DN614" s="43"/>
      <c r="DO614" s="43"/>
      <c r="DP614" s="43"/>
      <c r="DQ614" s="43"/>
      <c r="DR614" s="43"/>
      <c r="DS614" s="43"/>
    </row>
    <row r="615" spans="1:123" ht="14.45">
      <c r="A615"/>
      <c r="B615"/>
      <c r="C615"/>
      <c r="D615"/>
      <c r="E615"/>
      <c r="F615"/>
      <c r="G615"/>
      <c r="H615"/>
      <c r="I615"/>
      <c r="J615"/>
      <c r="K615" s="43"/>
      <c r="L615" s="43"/>
      <c r="M615" s="43"/>
      <c r="N615" s="43"/>
      <c r="O615" s="43"/>
      <c r="P615" s="43"/>
      <c r="Q615" s="43"/>
      <c r="R615" s="43"/>
      <c r="S615" s="43"/>
      <c r="T615" s="43"/>
      <c r="U615" s="43"/>
      <c r="V615" s="43"/>
      <c r="W615" s="43"/>
      <c r="X615" s="43"/>
      <c r="Y615" s="43"/>
      <c r="Z615" s="43"/>
      <c r="AA615" s="43"/>
      <c r="AB615" s="43"/>
      <c r="AC615" s="43"/>
      <c r="AD615" s="43"/>
      <c r="AE615" s="43"/>
      <c r="AF615" s="43"/>
      <c r="AG615" s="43"/>
      <c r="AH615" s="43"/>
      <c r="AI615" s="43"/>
      <c r="AJ615" s="43"/>
      <c r="AK615" s="43"/>
      <c r="AL615" s="43"/>
      <c r="AM615" s="43"/>
      <c r="AN615" s="43"/>
      <c r="AO615" s="43"/>
      <c r="AP615" s="43"/>
      <c r="AQ615" s="43"/>
      <c r="AR615" s="43"/>
      <c r="AS615" s="43"/>
      <c r="AT615" s="43"/>
      <c r="AU615" s="43"/>
      <c r="AV615" s="43"/>
      <c r="AW615" s="43"/>
      <c r="AX615" s="43"/>
      <c r="AY615" s="43"/>
      <c r="AZ615" s="43"/>
      <c r="BA615" s="43"/>
      <c r="BB615" s="43"/>
      <c r="BC615" s="43"/>
      <c r="BD615" s="43"/>
      <c r="BE615" s="43"/>
      <c r="BF615" s="43"/>
      <c r="BG615" s="43"/>
      <c r="BH615" s="43"/>
      <c r="BI615" s="43"/>
      <c r="BJ615" s="43"/>
      <c r="BK615" s="43"/>
      <c r="BL615" s="43"/>
      <c r="BM615" s="43"/>
      <c r="BN615" s="43"/>
      <c r="BO615" s="43"/>
      <c r="BP615" s="43"/>
      <c r="BQ615" s="43"/>
      <c r="BR615" s="43"/>
      <c r="BS615" s="43"/>
      <c r="BT615" s="43"/>
      <c r="BU615" s="43"/>
      <c r="BV615" s="43"/>
      <c r="BW615" s="43"/>
      <c r="BX615" s="43"/>
      <c r="BY615" s="43"/>
      <c r="BZ615" s="43"/>
      <c r="CA615" s="43"/>
      <c r="CB615" s="43"/>
      <c r="CC615" s="43"/>
      <c r="CD615" s="43"/>
      <c r="CE615" s="43"/>
      <c r="CF615" s="43"/>
      <c r="CG615" s="43"/>
      <c r="CH615" s="43"/>
      <c r="CI615" s="43"/>
      <c r="CJ615" s="43"/>
      <c r="CK615" s="43"/>
      <c r="CL615" s="43"/>
      <c r="CM615" s="43"/>
      <c r="CN615" s="43"/>
      <c r="CO615" s="43"/>
      <c r="CP615" s="43"/>
      <c r="CQ615" s="43"/>
      <c r="CR615" s="43"/>
      <c r="CS615" s="43"/>
      <c r="CT615" s="43"/>
      <c r="CU615" s="43"/>
      <c r="CV615" s="43"/>
      <c r="CW615" s="43"/>
      <c r="CX615" s="43"/>
      <c r="CY615" s="43"/>
      <c r="CZ615" s="43"/>
      <c r="DA615" s="43"/>
      <c r="DB615" s="43"/>
      <c r="DC615" s="43"/>
      <c r="DD615" s="43"/>
      <c r="DE615" s="43"/>
      <c r="DF615" s="43"/>
      <c r="DG615" s="43"/>
      <c r="DH615" s="43"/>
      <c r="DI615" s="43"/>
      <c r="DJ615" s="43"/>
      <c r="DK615" s="43"/>
      <c r="DL615" s="43"/>
      <c r="DM615" s="43"/>
      <c r="DN615" s="43"/>
      <c r="DO615" s="43"/>
      <c r="DP615" s="43"/>
      <c r="DQ615" s="43"/>
      <c r="DR615" s="43"/>
      <c r="DS615" s="43"/>
    </row>
    <row r="616" spans="1:123" ht="14.45">
      <c r="A616"/>
      <c r="B616"/>
      <c r="C616"/>
      <c r="D616"/>
      <c r="E616"/>
      <c r="F616"/>
      <c r="G616"/>
      <c r="H616"/>
      <c r="I616"/>
      <c r="J616"/>
      <c r="K616" s="43"/>
      <c r="L616" s="43"/>
      <c r="M616" s="43"/>
      <c r="N616" s="43"/>
      <c r="O616" s="43"/>
      <c r="P616" s="43"/>
      <c r="Q616" s="43"/>
      <c r="R616" s="43"/>
      <c r="S616" s="43"/>
      <c r="T616" s="43"/>
      <c r="U616" s="43"/>
      <c r="V616" s="43"/>
      <c r="W616" s="43"/>
      <c r="X616" s="43"/>
      <c r="Y616" s="43"/>
      <c r="Z616" s="43"/>
      <c r="AA616" s="43"/>
      <c r="AB616" s="43"/>
      <c r="AC616" s="43"/>
      <c r="AD616" s="43"/>
      <c r="AE616" s="43"/>
      <c r="AF616" s="43"/>
      <c r="AG616" s="43"/>
      <c r="AH616" s="43"/>
      <c r="AI616" s="43"/>
      <c r="AJ616" s="43"/>
      <c r="AK616" s="43"/>
      <c r="AL616" s="43"/>
      <c r="AM616" s="43"/>
      <c r="AN616" s="43"/>
      <c r="AO616" s="43"/>
      <c r="AP616" s="43"/>
      <c r="AQ616" s="43"/>
      <c r="AR616" s="43"/>
      <c r="AS616" s="43"/>
      <c r="AT616" s="43"/>
      <c r="AU616" s="43"/>
      <c r="AV616" s="43"/>
      <c r="AW616" s="43"/>
      <c r="AX616" s="43"/>
      <c r="AY616" s="43"/>
      <c r="AZ616" s="43"/>
      <c r="BA616" s="43"/>
      <c r="BB616" s="43"/>
      <c r="BC616" s="43"/>
      <c r="BD616" s="43"/>
      <c r="BE616" s="43"/>
      <c r="BF616" s="43"/>
      <c r="BG616" s="43"/>
      <c r="BH616" s="43"/>
      <c r="BI616" s="43"/>
      <c r="BJ616" s="43"/>
      <c r="BK616" s="43"/>
      <c r="BL616" s="43"/>
      <c r="BM616" s="43"/>
      <c r="BN616" s="43"/>
      <c r="BO616" s="43"/>
      <c r="BP616" s="43"/>
      <c r="BQ616" s="43"/>
      <c r="BR616" s="43"/>
      <c r="BS616" s="43"/>
      <c r="BT616" s="43"/>
      <c r="BU616" s="43"/>
      <c r="BV616" s="43"/>
      <c r="BW616" s="43"/>
      <c r="BX616" s="43"/>
      <c r="BY616" s="43"/>
      <c r="BZ616" s="43"/>
      <c r="CA616" s="43"/>
      <c r="CB616" s="43"/>
      <c r="CC616" s="43"/>
      <c r="CD616" s="43"/>
      <c r="CE616" s="43"/>
      <c r="CF616" s="43"/>
      <c r="CG616" s="43"/>
      <c r="CH616" s="43"/>
      <c r="CI616" s="43"/>
      <c r="CJ616" s="43"/>
      <c r="CK616" s="43"/>
      <c r="CL616" s="43"/>
      <c r="CM616" s="43"/>
      <c r="CN616" s="43"/>
      <c r="CO616" s="43"/>
      <c r="CP616" s="43"/>
      <c r="CQ616" s="43"/>
      <c r="CR616" s="43"/>
      <c r="CS616" s="43"/>
      <c r="CT616" s="43"/>
      <c r="CU616" s="43"/>
      <c r="CV616" s="43"/>
      <c r="CW616" s="43"/>
      <c r="CX616" s="43"/>
      <c r="CY616" s="43"/>
      <c r="CZ616" s="43"/>
      <c r="DA616" s="43"/>
      <c r="DB616" s="43"/>
      <c r="DC616" s="43"/>
      <c r="DD616" s="43"/>
      <c r="DE616" s="43"/>
      <c r="DF616" s="43"/>
      <c r="DG616" s="43"/>
      <c r="DH616" s="43"/>
      <c r="DI616" s="43"/>
      <c r="DJ616" s="43"/>
      <c r="DK616" s="43"/>
      <c r="DL616" s="43"/>
      <c r="DM616" s="43"/>
      <c r="DN616" s="43"/>
      <c r="DO616" s="43"/>
      <c r="DP616" s="43"/>
      <c r="DQ616" s="43"/>
      <c r="DR616" s="43"/>
      <c r="DS616" s="43"/>
    </row>
    <row r="617" spans="1:123" ht="14.45">
      <c r="A617"/>
      <c r="B617"/>
      <c r="C617"/>
      <c r="D617"/>
      <c r="E617"/>
      <c r="F617"/>
      <c r="G617"/>
      <c r="H617"/>
      <c r="I617"/>
      <c r="J617"/>
      <c r="K617" s="43"/>
      <c r="L617" s="43"/>
      <c r="M617" s="43"/>
      <c r="N617" s="43"/>
      <c r="O617" s="43"/>
      <c r="P617" s="43"/>
      <c r="Q617" s="43"/>
      <c r="R617" s="43"/>
      <c r="S617" s="43"/>
      <c r="T617" s="43"/>
      <c r="U617" s="43"/>
      <c r="V617" s="43"/>
      <c r="W617" s="43"/>
      <c r="X617" s="43"/>
      <c r="Y617" s="43"/>
      <c r="Z617" s="43"/>
      <c r="AA617" s="43"/>
      <c r="AB617" s="43"/>
      <c r="AC617" s="43"/>
      <c r="AD617" s="43"/>
      <c r="AE617" s="43"/>
      <c r="AF617" s="43"/>
      <c r="AG617" s="43"/>
      <c r="AH617" s="43"/>
      <c r="AI617" s="43"/>
      <c r="AJ617" s="43"/>
      <c r="AK617" s="43"/>
      <c r="AL617" s="43"/>
      <c r="AM617" s="43"/>
      <c r="AN617" s="43"/>
      <c r="AO617" s="43"/>
      <c r="AP617" s="43"/>
      <c r="AQ617" s="43"/>
      <c r="AR617" s="43"/>
      <c r="AS617" s="43"/>
      <c r="AT617" s="43"/>
      <c r="AU617" s="43"/>
      <c r="AV617" s="43"/>
      <c r="AW617" s="43"/>
      <c r="AX617" s="43"/>
      <c r="AY617" s="43"/>
      <c r="AZ617" s="43"/>
      <c r="BA617" s="43"/>
      <c r="BB617" s="43"/>
      <c r="BC617" s="43"/>
      <c r="BD617" s="43"/>
      <c r="BE617" s="43"/>
      <c r="BF617" s="43"/>
      <c r="BG617" s="43"/>
      <c r="BH617" s="43"/>
      <c r="BI617" s="43"/>
      <c r="BJ617" s="43"/>
      <c r="BK617" s="43"/>
      <c r="BL617" s="43"/>
      <c r="BM617" s="43"/>
      <c r="BN617" s="43"/>
      <c r="BO617" s="43"/>
      <c r="BP617" s="43"/>
      <c r="BQ617" s="43"/>
      <c r="BR617" s="43"/>
      <c r="BS617" s="43"/>
      <c r="BT617" s="43"/>
      <c r="BU617" s="43"/>
      <c r="BV617" s="43"/>
      <c r="BW617" s="43"/>
      <c r="BX617" s="43"/>
      <c r="BY617" s="43"/>
      <c r="BZ617" s="43"/>
      <c r="CA617" s="43"/>
      <c r="CB617" s="43"/>
      <c r="CC617" s="43"/>
      <c r="CD617" s="43"/>
      <c r="CE617" s="43"/>
      <c r="CF617" s="43"/>
      <c r="CG617" s="43"/>
      <c r="CH617" s="43"/>
      <c r="CI617" s="43"/>
      <c r="CJ617" s="43"/>
      <c r="CK617" s="43"/>
      <c r="CL617" s="43"/>
      <c r="CM617" s="43"/>
      <c r="CN617" s="43"/>
      <c r="CO617" s="43"/>
      <c r="CP617" s="43"/>
      <c r="CQ617" s="43"/>
      <c r="CR617" s="43"/>
      <c r="CS617" s="43"/>
      <c r="CT617" s="43"/>
      <c r="CU617" s="43"/>
      <c r="CV617" s="43"/>
      <c r="CW617" s="43"/>
      <c r="CX617" s="43"/>
      <c r="CY617" s="43"/>
      <c r="CZ617" s="43"/>
      <c r="DA617" s="43"/>
      <c r="DB617" s="43"/>
      <c r="DC617" s="43"/>
      <c r="DD617" s="43"/>
      <c r="DE617" s="43"/>
      <c r="DF617" s="43"/>
      <c r="DG617" s="43"/>
      <c r="DH617" s="43"/>
      <c r="DI617" s="43"/>
      <c r="DJ617" s="43"/>
      <c r="DK617" s="43"/>
      <c r="DL617" s="43"/>
      <c r="DM617" s="43"/>
      <c r="DN617" s="43"/>
      <c r="DO617" s="43"/>
      <c r="DP617" s="43"/>
      <c r="DQ617" s="43"/>
      <c r="DR617" s="43"/>
      <c r="DS617" s="43"/>
    </row>
    <row r="618" spans="1:123" ht="14.45">
      <c r="A618"/>
      <c r="B618"/>
      <c r="C618"/>
      <c r="D618"/>
      <c r="E618"/>
      <c r="F618"/>
      <c r="G618"/>
      <c r="H618"/>
      <c r="I618"/>
      <c r="J618"/>
      <c r="K618" s="43"/>
      <c r="L618" s="43"/>
      <c r="M618" s="43"/>
      <c r="N618" s="43"/>
      <c r="O618" s="43"/>
      <c r="P618" s="43"/>
      <c r="Q618" s="43"/>
      <c r="R618" s="43"/>
      <c r="S618" s="43"/>
      <c r="T618" s="43"/>
      <c r="U618" s="43"/>
      <c r="V618" s="43"/>
      <c r="W618" s="43"/>
      <c r="X618" s="43"/>
      <c r="Y618" s="43"/>
      <c r="Z618" s="43"/>
      <c r="AA618" s="43"/>
      <c r="AB618" s="43"/>
      <c r="AC618" s="43"/>
      <c r="AD618" s="43"/>
      <c r="AE618" s="43"/>
      <c r="AF618" s="43"/>
      <c r="AG618" s="43"/>
      <c r="AH618" s="43"/>
      <c r="AI618" s="43"/>
      <c r="AJ618" s="43"/>
      <c r="AK618" s="43"/>
      <c r="AL618" s="43"/>
      <c r="AM618" s="43"/>
      <c r="AN618" s="43"/>
      <c r="AO618" s="43"/>
      <c r="AP618" s="43"/>
      <c r="AQ618" s="43"/>
      <c r="AR618" s="43"/>
      <c r="AS618" s="43"/>
      <c r="AT618" s="43"/>
      <c r="AU618" s="43"/>
      <c r="AV618" s="43"/>
      <c r="AW618" s="43"/>
      <c r="AX618" s="43"/>
      <c r="AY618" s="43"/>
      <c r="AZ618" s="43"/>
      <c r="BA618" s="43"/>
      <c r="BB618" s="43"/>
      <c r="BC618" s="43"/>
      <c r="BD618" s="43"/>
      <c r="BE618" s="43"/>
      <c r="BF618" s="43"/>
      <c r="BG618" s="43"/>
      <c r="BH618" s="43"/>
      <c r="BI618" s="43"/>
      <c r="BJ618" s="43"/>
      <c r="BK618" s="43"/>
      <c r="BL618" s="43"/>
      <c r="BM618" s="43"/>
      <c r="BN618" s="43"/>
      <c r="BO618" s="43"/>
      <c r="BP618" s="43"/>
      <c r="BQ618" s="43"/>
      <c r="BR618" s="43"/>
      <c r="BS618" s="43"/>
      <c r="BT618" s="43"/>
      <c r="BU618" s="43"/>
      <c r="BV618" s="43"/>
      <c r="BW618" s="43"/>
      <c r="BX618" s="43"/>
      <c r="BY618" s="43"/>
      <c r="BZ618" s="43"/>
      <c r="CA618" s="43"/>
      <c r="CB618" s="43"/>
      <c r="CC618" s="43"/>
      <c r="CD618" s="43"/>
      <c r="CE618" s="43"/>
      <c r="CF618" s="43"/>
      <c r="CG618" s="43"/>
      <c r="CH618" s="43"/>
      <c r="CI618" s="43"/>
      <c r="CJ618" s="43"/>
      <c r="CK618" s="43"/>
      <c r="CL618" s="43"/>
      <c r="CM618" s="43"/>
      <c r="CN618" s="43"/>
      <c r="CO618" s="43"/>
      <c r="CP618" s="43"/>
      <c r="CQ618" s="43"/>
      <c r="CR618" s="43"/>
      <c r="CS618" s="43"/>
      <c r="CT618" s="43"/>
      <c r="CU618" s="43"/>
      <c r="CV618" s="43"/>
      <c r="CW618" s="43"/>
      <c r="CX618" s="43"/>
      <c r="CY618" s="43"/>
      <c r="CZ618" s="43"/>
      <c r="DA618" s="43"/>
      <c r="DB618" s="43"/>
      <c r="DC618" s="43"/>
      <c r="DD618" s="43"/>
      <c r="DE618" s="43"/>
      <c r="DF618" s="43"/>
      <c r="DG618" s="43"/>
      <c r="DH618" s="43"/>
      <c r="DI618" s="43"/>
      <c r="DJ618" s="43"/>
      <c r="DK618" s="43"/>
      <c r="DL618" s="43"/>
      <c r="DM618" s="43"/>
      <c r="DN618" s="43"/>
      <c r="DO618" s="43"/>
      <c r="DP618" s="43"/>
      <c r="DQ618" s="43"/>
      <c r="DR618" s="43"/>
      <c r="DS618" s="43"/>
    </row>
    <row r="619" spans="1:123" ht="14.45">
      <c r="A619"/>
      <c r="B619"/>
      <c r="C619"/>
      <c r="D619"/>
      <c r="E619"/>
      <c r="F619"/>
      <c r="G619"/>
      <c r="H619"/>
      <c r="I619"/>
      <c r="J619"/>
      <c r="K619" s="43"/>
      <c r="L619" s="43"/>
      <c r="M619" s="43"/>
      <c r="N619" s="43"/>
      <c r="O619" s="43"/>
      <c r="P619" s="43"/>
      <c r="Q619" s="43"/>
      <c r="R619" s="43"/>
      <c r="S619" s="43"/>
      <c r="T619" s="43"/>
      <c r="U619" s="43"/>
      <c r="V619" s="43"/>
      <c r="W619" s="43"/>
      <c r="X619" s="43"/>
      <c r="Y619" s="43"/>
      <c r="Z619" s="43"/>
      <c r="AA619" s="43"/>
      <c r="AB619" s="43"/>
      <c r="AC619" s="43"/>
      <c r="AD619" s="43"/>
      <c r="AE619" s="43"/>
      <c r="AF619" s="43"/>
      <c r="AG619" s="43"/>
      <c r="AH619" s="43"/>
      <c r="AI619" s="43"/>
      <c r="AJ619" s="43"/>
      <c r="AK619" s="43"/>
      <c r="AL619" s="43"/>
      <c r="AM619" s="43"/>
      <c r="AN619" s="43"/>
      <c r="AO619" s="43"/>
      <c r="AP619" s="43"/>
      <c r="AQ619" s="43"/>
      <c r="AR619" s="43"/>
      <c r="AS619" s="43"/>
      <c r="AT619" s="43"/>
      <c r="AU619" s="43"/>
      <c r="AV619" s="43"/>
      <c r="AW619" s="43"/>
      <c r="AX619" s="43"/>
      <c r="AY619" s="43"/>
      <c r="AZ619" s="43"/>
      <c r="BA619" s="43"/>
      <c r="BB619" s="43"/>
      <c r="BC619" s="43"/>
      <c r="BD619" s="43"/>
      <c r="BE619" s="43"/>
      <c r="BF619" s="43"/>
      <c r="BG619" s="43"/>
      <c r="BH619" s="43"/>
      <c r="BI619" s="43"/>
      <c r="BJ619" s="43"/>
      <c r="BK619" s="43"/>
      <c r="BL619" s="43"/>
      <c r="BM619" s="43"/>
      <c r="BN619" s="43"/>
      <c r="BO619" s="43"/>
      <c r="BP619" s="43"/>
      <c r="BQ619" s="43"/>
      <c r="BR619" s="43"/>
      <c r="BS619" s="43"/>
      <c r="BT619" s="43"/>
      <c r="BU619" s="43"/>
      <c r="BV619" s="43"/>
      <c r="BW619" s="43"/>
      <c r="BX619" s="43"/>
      <c r="BY619" s="43"/>
      <c r="BZ619" s="43"/>
      <c r="CA619" s="43"/>
      <c r="CB619" s="43"/>
      <c r="CC619" s="43"/>
      <c r="CD619" s="43"/>
      <c r="CE619" s="43"/>
      <c r="CF619" s="43"/>
      <c r="CG619" s="43"/>
      <c r="CH619" s="43"/>
      <c r="CI619" s="43"/>
      <c r="CJ619" s="43"/>
      <c r="CK619" s="43"/>
      <c r="CL619" s="43"/>
      <c r="CM619" s="43"/>
      <c r="CN619" s="43"/>
      <c r="CO619" s="43"/>
      <c r="CP619" s="43"/>
      <c r="CQ619" s="43"/>
      <c r="CR619" s="43"/>
      <c r="CS619" s="43"/>
      <c r="CT619" s="43"/>
      <c r="CU619" s="43"/>
      <c r="CV619" s="43"/>
      <c r="CW619" s="43"/>
      <c r="CX619" s="43"/>
      <c r="CY619" s="43"/>
      <c r="CZ619" s="43"/>
      <c r="DA619" s="43"/>
      <c r="DB619" s="43"/>
      <c r="DC619" s="43"/>
      <c r="DD619" s="43"/>
      <c r="DE619" s="43"/>
      <c r="DF619" s="43"/>
      <c r="DG619" s="43"/>
      <c r="DH619" s="43"/>
      <c r="DI619" s="43"/>
      <c r="DJ619" s="43"/>
      <c r="DK619" s="43"/>
      <c r="DL619" s="43"/>
      <c r="DM619" s="43"/>
      <c r="DN619" s="43"/>
      <c r="DO619" s="43"/>
      <c r="DP619" s="43"/>
      <c r="DQ619" s="43"/>
      <c r="DR619" s="43"/>
      <c r="DS619" s="43"/>
    </row>
    <row r="620" spans="1:123" ht="14.45">
      <c r="A620"/>
      <c r="B620"/>
      <c r="C620"/>
      <c r="D620"/>
      <c r="E620"/>
      <c r="F620"/>
      <c r="G620"/>
      <c r="H620"/>
      <c r="I620"/>
      <c r="J620"/>
      <c r="K620" s="43"/>
      <c r="L620" s="43"/>
      <c r="M620" s="43"/>
      <c r="N620" s="43"/>
      <c r="O620" s="43"/>
      <c r="P620" s="43"/>
      <c r="Q620" s="43"/>
      <c r="R620" s="43"/>
      <c r="S620" s="43"/>
      <c r="T620" s="43"/>
      <c r="U620" s="43"/>
      <c r="V620" s="43"/>
      <c r="W620" s="43"/>
      <c r="X620" s="43"/>
      <c r="Y620" s="43"/>
      <c r="Z620" s="43"/>
      <c r="AA620" s="43"/>
      <c r="AB620" s="43"/>
      <c r="AC620" s="43"/>
      <c r="AD620" s="43"/>
      <c r="AE620" s="43"/>
      <c r="AF620" s="43"/>
      <c r="AG620" s="43"/>
      <c r="AH620" s="43"/>
      <c r="AI620" s="43"/>
      <c r="AJ620" s="43"/>
      <c r="AK620" s="43"/>
      <c r="AL620" s="43"/>
      <c r="AM620" s="43"/>
      <c r="AN620" s="43"/>
      <c r="AO620" s="43"/>
      <c r="AP620" s="43"/>
      <c r="AQ620" s="43"/>
      <c r="AR620" s="43"/>
      <c r="AS620" s="43"/>
      <c r="AT620" s="43"/>
      <c r="AU620" s="43"/>
      <c r="AV620" s="43"/>
      <c r="AW620" s="43"/>
      <c r="AX620" s="43"/>
      <c r="AY620" s="43"/>
      <c r="AZ620" s="43"/>
      <c r="BA620" s="43"/>
      <c r="BB620" s="43"/>
      <c r="BC620" s="43"/>
      <c r="BD620" s="43"/>
      <c r="BE620" s="43"/>
      <c r="BF620" s="43"/>
      <c r="BG620" s="43"/>
      <c r="BH620" s="43"/>
      <c r="BI620" s="43"/>
      <c r="BJ620" s="43"/>
      <c r="BK620" s="43"/>
      <c r="BL620" s="43"/>
      <c r="BM620" s="43"/>
      <c r="BN620" s="43"/>
      <c r="BO620" s="43"/>
      <c r="BP620" s="43"/>
      <c r="BQ620" s="43"/>
      <c r="BR620" s="43"/>
      <c r="BS620" s="43"/>
      <c r="BT620" s="43"/>
      <c r="BU620" s="43"/>
      <c r="BV620" s="43"/>
      <c r="BW620" s="43"/>
      <c r="BX620" s="43"/>
      <c r="BY620" s="43"/>
      <c r="BZ620" s="43"/>
      <c r="CA620" s="43"/>
      <c r="CB620" s="43"/>
      <c r="CC620" s="43"/>
      <c r="CD620" s="43"/>
      <c r="CE620" s="43"/>
      <c r="CF620" s="43"/>
      <c r="CG620" s="43"/>
      <c r="CH620" s="43"/>
      <c r="CI620" s="43"/>
      <c r="CJ620" s="43"/>
      <c r="CK620" s="43"/>
      <c r="CL620" s="43"/>
      <c r="CM620" s="43"/>
      <c r="CN620" s="43"/>
      <c r="CO620" s="43"/>
      <c r="CP620" s="43"/>
      <c r="CQ620" s="43"/>
      <c r="CR620" s="43"/>
      <c r="CS620" s="43"/>
      <c r="CT620" s="43"/>
      <c r="CU620" s="43"/>
      <c r="CV620" s="43"/>
      <c r="CW620" s="43"/>
      <c r="CX620" s="43"/>
      <c r="CY620" s="43"/>
      <c r="CZ620" s="43"/>
      <c r="DA620" s="43"/>
      <c r="DB620" s="43"/>
      <c r="DC620" s="43"/>
      <c r="DD620" s="43"/>
      <c r="DE620" s="43"/>
      <c r="DF620" s="43"/>
      <c r="DG620" s="43"/>
      <c r="DH620" s="43"/>
      <c r="DI620" s="43"/>
      <c r="DJ620" s="43"/>
      <c r="DK620" s="43"/>
      <c r="DL620" s="43"/>
      <c r="DM620" s="43"/>
      <c r="DN620" s="43"/>
      <c r="DO620" s="43"/>
      <c r="DP620" s="43"/>
      <c r="DQ620" s="43"/>
      <c r="DR620" s="43"/>
      <c r="DS620" s="43"/>
    </row>
    <row r="621" spans="1:123" ht="14.45">
      <c r="A621"/>
      <c r="B621"/>
      <c r="C621"/>
      <c r="D621"/>
      <c r="E621"/>
      <c r="F621"/>
      <c r="G621"/>
      <c r="H621"/>
      <c r="I621"/>
      <c r="J621"/>
      <c r="K621" s="43"/>
      <c r="L621" s="43"/>
      <c r="M621" s="43"/>
      <c r="N621" s="43"/>
      <c r="O621" s="43"/>
      <c r="P621" s="43"/>
      <c r="Q621" s="43"/>
      <c r="R621" s="43"/>
      <c r="S621" s="43"/>
      <c r="T621" s="43"/>
      <c r="U621" s="43"/>
      <c r="V621" s="43"/>
      <c r="W621" s="43"/>
      <c r="X621" s="43"/>
      <c r="Y621" s="43"/>
      <c r="Z621" s="43"/>
      <c r="AA621" s="43"/>
      <c r="AB621" s="43"/>
      <c r="AC621" s="43"/>
      <c r="AD621" s="43"/>
      <c r="AE621" s="43"/>
      <c r="AF621" s="43"/>
      <c r="AG621" s="43"/>
      <c r="AH621" s="43"/>
      <c r="AI621" s="43"/>
      <c r="AJ621" s="43"/>
      <c r="AK621" s="43"/>
      <c r="AL621" s="43"/>
      <c r="AM621" s="43"/>
      <c r="AN621" s="43"/>
      <c r="AO621" s="43"/>
      <c r="AP621" s="43"/>
      <c r="AQ621" s="43"/>
      <c r="AR621" s="43"/>
      <c r="AS621" s="43"/>
      <c r="AT621" s="43"/>
      <c r="AU621" s="43"/>
      <c r="AV621" s="43"/>
      <c r="AW621" s="43"/>
      <c r="AX621" s="43"/>
      <c r="AY621" s="43"/>
      <c r="AZ621" s="43"/>
      <c r="BA621" s="43"/>
      <c r="BB621" s="43"/>
      <c r="BC621" s="43"/>
      <c r="BD621" s="43"/>
      <c r="BE621" s="43"/>
      <c r="BF621" s="43"/>
      <c r="BG621" s="43"/>
      <c r="BH621" s="43"/>
      <c r="BI621" s="43"/>
      <c r="BJ621" s="43"/>
      <c r="BK621" s="43"/>
      <c r="BL621" s="43"/>
      <c r="BM621" s="43"/>
      <c r="BN621" s="43"/>
      <c r="BO621" s="43"/>
      <c r="BP621" s="43"/>
      <c r="BQ621" s="43"/>
      <c r="BR621" s="43"/>
      <c r="BS621" s="43"/>
      <c r="BT621" s="43"/>
      <c r="BU621" s="43"/>
      <c r="BV621" s="43"/>
      <c r="BW621" s="43"/>
      <c r="BX621" s="43"/>
      <c r="BY621" s="43"/>
      <c r="BZ621" s="43"/>
      <c r="CA621" s="43"/>
      <c r="CB621" s="43"/>
      <c r="CC621" s="43"/>
      <c r="CD621" s="43"/>
      <c r="CE621" s="43"/>
      <c r="CF621" s="43"/>
      <c r="CG621" s="43"/>
      <c r="CH621" s="43"/>
      <c r="CI621" s="43"/>
      <c r="CJ621" s="43"/>
      <c r="CK621" s="43"/>
      <c r="CL621" s="43"/>
      <c r="CM621" s="43"/>
      <c r="CN621" s="43"/>
      <c r="CO621" s="43"/>
      <c r="CP621" s="43"/>
      <c r="CQ621" s="43"/>
      <c r="CR621" s="43"/>
      <c r="CS621" s="43"/>
      <c r="CT621" s="43"/>
      <c r="CU621" s="43"/>
      <c r="CV621" s="43"/>
      <c r="CW621" s="43"/>
      <c r="CX621" s="43"/>
      <c r="CY621" s="43"/>
      <c r="CZ621" s="43"/>
      <c r="DA621" s="43"/>
      <c r="DB621" s="43"/>
      <c r="DC621" s="43"/>
      <c r="DD621" s="43"/>
      <c r="DE621" s="43"/>
      <c r="DF621" s="43"/>
      <c r="DG621" s="43"/>
      <c r="DH621" s="43"/>
      <c r="DI621" s="43"/>
      <c r="DJ621" s="43"/>
      <c r="DK621" s="43"/>
      <c r="DL621" s="43"/>
      <c r="DM621" s="43"/>
      <c r="DN621" s="43"/>
      <c r="DO621" s="43"/>
      <c r="DP621" s="43"/>
      <c r="DQ621" s="43"/>
      <c r="DR621" s="43"/>
      <c r="DS621" s="43"/>
    </row>
    <row r="622" spans="1:123" ht="14.45">
      <c r="A622"/>
      <c r="B622"/>
      <c r="C622"/>
      <c r="D622"/>
      <c r="E622"/>
      <c r="F622"/>
      <c r="G622"/>
      <c r="H622"/>
      <c r="I622"/>
      <c r="J622"/>
      <c r="K622" s="43"/>
      <c r="L622" s="43"/>
      <c r="M622" s="43"/>
      <c r="N622" s="43"/>
      <c r="O622" s="43"/>
      <c r="P622" s="43"/>
      <c r="Q622" s="43"/>
      <c r="R622" s="43"/>
      <c r="S622" s="43"/>
      <c r="T622" s="43"/>
      <c r="U622" s="43"/>
      <c r="V622" s="43"/>
      <c r="W622" s="43"/>
      <c r="X622" s="43"/>
      <c r="Y622" s="43"/>
      <c r="Z622" s="43"/>
      <c r="AA622" s="43"/>
      <c r="AB622" s="43"/>
      <c r="AC622" s="43"/>
      <c r="AD622" s="43"/>
      <c r="AE622" s="43"/>
      <c r="AF622" s="43"/>
      <c r="AG622" s="43"/>
      <c r="AH622" s="43"/>
      <c r="AI622" s="43"/>
      <c r="AJ622" s="43"/>
      <c r="AK622" s="43"/>
      <c r="AL622" s="43"/>
      <c r="AM622" s="43"/>
      <c r="AN622" s="43"/>
      <c r="AO622" s="43"/>
      <c r="AP622" s="43"/>
      <c r="AQ622" s="43"/>
      <c r="AR622" s="43"/>
      <c r="AS622" s="43"/>
      <c r="AT622" s="43"/>
      <c r="AU622" s="43"/>
      <c r="AV622" s="43"/>
      <c r="AW622" s="43"/>
      <c r="AX622" s="43"/>
      <c r="AY622" s="43"/>
      <c r="AZ622" s="43"/>
      <c r="BA622" s="43"/>
      <c r="BB622" s="43"/>
      <c r="BC622" s="43"/>
      <c r="BD622" s="43"/>
      <c r="BE622" s="43"/>
      <c r="BF622" s="43"/>
      <c r="BG622" s="43"/>
      <c r="BH622" s="43"/>
      <c r="BI622" s="43"/>
      <c r="BJ622" s="43"/>
      <c r="BK622" s="43"/>
      <c r="BL622" s="43"/>
      <c r="BM622" s="43"/>
      <c r="BN622" s="43"/>
      <c r="BO622" s="43"/>
      <c r="BP622" s="43"/>
      <c r="BQ622" s="43"/>
      <c r="BR622" s="43"/>
      <c r="BS622" s="43"/>
      <c r="BT622" s="43"/>
      <c r="BU622" s="43"/>
      <c r="BV622" s="43"/>
      <c r="BW622" s="43"/>
      <c r="BX622" s="43"/>
      <c r="BY622" s="43"/>
      <c r="BZ622" s="43"/>
      <c r="CA622" s="43"/>
      <c r="CB622" s="43"/>
      <c r="CC622" s="43"/>
      <c r="CD622" s="43"/>
      <c r="CE622" s="43"/>
      <c r="CF622" s="43"/>
      <c r="CG622" s="43"/>
      <c r="CH622" s="43"/>
      <c r="CI622" s="43"/>
      <c r="CJ622" s="43"/>
      <c r="CK622" s="43"/>
      <c r="CL622" s="43"/>
      <c r="CM622" s="43"/>
      <c r="CN622" s="43"/>
      <c r="CO622" s="43"/>
      <c r="CP622" s="43"/>
      <c r="CQ622" s="43"/>
      <c r="CR622" s="43"/>
      <c r="CS622" s="43"/>
      <c r="CT622" s="43"/>
      <c r="CU622" s="43"/>
      <c r="CV622" s="43"/>
      <c r="CW622" s="43"/>
      <c r="CX622" s="43"/>
      <c r="CY622" s="43"/>
      <c r="CZ622" s="43"/>
      <c r="DA622" s="43"/>
      <c r="DB622" s="43"/>
      <c r="DC622" s="43"/>
      <c r="DD622" s="43"/>
      <c r="DE622" s="43"/>
      <c r="DF622" s="43"/>
      <c r="DG622" s="43"/>
      <c r="DH622" s="43"/>
      <c r="DI622" s="43"/>
      <c r="DJ622" s="43"/>
      <c r="DK622" s="43"/>
      <c r="DL622" s="43"/>
      <c r="DM622" s="43"/>
      <c r="DN622" s="43"/>
      <c r="DO622" s="43"/>
      <c r="DP622" s="43"/>
      <c r="DQ622" s="43"/>
      <c r="DR622" s="43"/>
      <c r="DS622" s="43"/>
    </row>
    <row r="623" spans="1:123" ht="14.45">
      <c r="A623"/>
      <c r="B623"/>
      <c r="C623"/>
      <c r="D623"/>
      <c r="E623"/>
      <c r="F623"/>
      <c r="G623"/>
      <c r="H623"/>
      <c r="I623"/>
      <c r="J623"/>
      <c r="K623" s="43"/>
      <c r="L623" s="43"/>
      <c r="M623" s="43"/>
      <c r="N623" s="43"/>
      <c r="O623" s="43"/>
      <c r="P623" s="43"/>
      <c r="Q623" s="43"/>
      <c r="R623" s="43"/>
      <c r="S623" s="43"/>
      <c r="T623" s="43"/>
      <c r="U623" s="43"/>
      <c r="V623" s="43"/>
      <c r="W623" s="43"/>
      <c r="X623" s="43"/>
      <c r="Y623" s="43"/>
      <c r="Z623" s="43"/>
      <c r="AA623" s="43"/>
      <c r="AB623" s="43"/>
      <c r="AC623" s="43"/>
      <c r="AD623" s="43"/>
      <c r="AE623" s="43"/>
      <c r="AF623" s="43"/>
      <c r="AG623" s="43"/>
      <c r="AH623" s="43"/>
      <c r="AI623" s="43"/>
      <c r="AJ623" s="43"/>
      <c r="AK623" s="43"/>
      <c r="AL623" s="43"/>
      <c r="AM623" s="43"/>
      <c r="AN623" s="43"/>
      <c r="AO623" s="43"/>
      <c r="AP623" s="43"/>
      <c r="AQ623" s="43"/>
      <c r="AR623" s="43"/>
      <c r="AS623" s="43"/>
      <c r="AT623" s="43"/>
      <c r="AU623" s="43"/>
      <c r="AV623" s="43"/>
      <c r="AW623" s="43"/>
      <c r="AX623" s="43"/>
      <c r="AY623" s="43"/>
      <c r="AZ623" s="43"/>
      <c r="BA623" s="43"/>
      <c r="BB623" s="43"/>
      <c r="BC623" s="43"/>
      <c r="BD623" s="43"/>
      <c r="BE623" s="43"/>
      <c r="BF623" s="43"/>
      <c r="BG623" s="43"/>
      <c r="BH623" s="43"/>
      <c r="BI623" s="43"/>
      <c r="BJ623" s="43"/>
      <c r="BK623" s="43"/>
      <c r="BL623" s="43"/>
      <c r="BM623" s="43"/>
      <c r="BN623" s="43"/>
      <c r="BO623" s="43"/>
      <c r="BP623" s="43"/>
      <c r="BQ623" s="43"/>
      <c r="BR623" s="43"/>
      <c r="BS623" s="43"/>
      <c r="BT623" s="43"/>
      <c r="BU623" s="43"/>
      <c r="BV623" s="43"/>
      <c r="BW623" s="43"/>
      <c r="BX623" s="43"/>
      <c r="BY623" s="43"/>
      <c r="BZ623" s="43"/>
      <c r="CA623" s="43"/>
      <c r="CB623" s="43"/>
      <c r="CC623" s="43"/>
      <c r="CD623" s="43"/>
      <c r="CE623" s="43"/>
      <c r="CF623" s="43"/>
      <c r="CG623" s="43"/>
      <c r="CH623" s="43"/>
      <c r="CI623" s="43"/>
      <c r="CJ623" s="43"/>
      <c r="CK623" s="43"/>
      <c r="CL623" s="43"/>
      <c r="CM623" s="43"/>
      <c r="CN623" s="43"/>
      <c r="CO623" s="43"/>
      <c r="CP623" s="43"/>
      <c r="CQ623" s="43"/>
      <c r="CR623" s="43"/>
      <c r="CS623" s="43"/>
      <c r="CT623" s="43"/>
      <c r="CU623" s="43"/>
      <c r="CV623" s="43"/>
      <c r="CW623" s="43"/>
      <c r="CX623" s="43"/>
      <c r="CY623" s="43"/>
      <c r="CZ623" s="43"/>
      <c r="DA623" s="43"/>
      <c r="DB623" s="43"/>
      <c r="DC623" s="43"/>
      <c r="DD623" s="43"/>
      <c r="DE623" s="43"/>
      <c r="DF623" s="43"/>
      <c r="DG623" s="43"/>
      <c r="DH623" s="43"/>
      <c r="DI623" s="43"/>
      <c r="DJ623" s="43"/>
      <c r="DK623" s="43"/>
      <c r="DL623" s="43"/>
      <c r="DM623" s="43"/>
      <c r="DN623" s="43"/>
      <c r="DO623" s="43"/>
      <c r="DP623" s="43"/>
      <c r="DQ623" s="43"/>
      <c r="DR623" s="43"/>
      <c r="DS623" s="43"/>
    </row>
    <row r="624" spans="1:123" ht="14.45">
      <c r="A624"/>
      <c r="B624"/>
      <c r="C624"/>
      <c r="D624"/>
      <c r="E624"/>
      <c r="F624"/>
      <c r="G624"/>
      <c r="H624"/>
      <c r="I624"/>
      <c r="J624"/>
      <c r="K624" s="43"/>
      <c r="L624" s="43"/>
      <c r="M624" s="43"/>
      <c r="N624" s="43"/>
      <c r="O624" s="43"/>
      <c r="P624" s="43"/>
      <c r="Q624" s="43"/>
      <c r="R624" s="43"/>
      <c r="S624" s="43"/>
      <c r="T624" s="43"/>
      <c r="U624" s="43"/>
      <c r="V624" s="43"/>
      <c r="W624" s="43"/>
      <c r="X624" s="43"/>
      <c r="Y624" s="43"/>
      <c r="Z624" s="43"/>
      <c r="AA624" s="43"/>
      <c r="AB624" s="43"/>
      <c r="AC624" s="43"/>
      <c r="AD624" s="43"/>
      <c r="AE624" s="43"/>
      <c r="AF624" s="43"/>
      <c r="AG624" s="43"/>
      <c r="AH624" s="43"/>
      <c r="AI624" s="43"/>
      <c r="AJ624" s="43"/>
      <c r="AK624" s="43"/>
      <c r="AL624" s="43"/>
      <c r="AM624" s="43"/>
      <c r="AN624" s="43"/>
      <c r="AO624" s="43"/>
      <c r="AP624" s="43"/>
      <c r="AQ624" s="43"/>
      <c r="AR624" s="43"/>
      <c r="AS624" s="43"/>
      <c r="AT624" s="43"/>
      <c r="AU624" s="43"/>
      <c r="AV624" s="43"/>
      <c r="AW624" s="43"/>
      <c r="AX624" s="43"/>
      <c r="AY624" s="43"/>
      <c r="AZ624" s="43"/>
      <c r="BA624" s="43"/>
      <c r="BB624" s="43"/>
      <c r="BC624" s="43"/>
      <c r="BD624" s="43"/>
      <c r="BE624" s="43"/>
      <c r="BF624" s="43"/>
      <c r="BG624" s="43"/>
      <c r="BH624" s="43"/>
      <c r="BI624" s="43"/>
      <c r="BJ624" s="43"/>
      <c r="BK624" s="43"/>
      <c r="BL624" s="43"/>
      <c r="BM624" s="43"/>
      <c r="BN624" s="43"/>
      <c r="BO624" s="43"/>
      <c r="BP624" s="43"/>
      <c r="BQ624" s="43"/>
      <c r="BR624" s="43"/>
      <c r="BS624" s="43"/>
      <c r="BT624" s="43"/>
      <c r="BU624" s="43"/>
      <c r="BV624" s="43"/>
      <c r="BW624" s="43"/>
      <c r="BX624" s="43"/>
      <c r="BY624" s="43"/>
      <c r="BZ624" s="43"/>
      <c r="CA624" s="43"/>
      <c r="CB624" s="43"/>
      <c r="CC624" s="43"/>
      <c r="CD624" s="43"/>
      <c r="CE624" s="43"/>
      <c r="CF624" s="43"/>
      <c r="CG624" s="43"/>
      <c r="CH624" s="43"/>
      <c r="CI624" s="43"/>
      <c r="CJ624" s="43"/>
      <c r="CK624" s="43"/>
      <c r="CL624" s="43"/>
      <c r="CM624" s="43"/>
      <c r="CN624" s="43"/>
      <c r="CO624" s="43"/>
      <c r="CP624" s="43"/>
      <c r="CQ624" s="43"/>
      <c r="CR624" s="43"/>
      <c r="CS624" s="43"/>
      <c r="CT624" s="43"/>
      <c r="CU624" s="43"/>
      <c r="CV624" s="43"/>
      <c r="CW624" s="43"/>
      <c r="CX624" s="43"/>
      <c r="CY624" s="43"/>
      <c r="CZ624" s="43"/>
      <c r="DA624" s="43"/>
      <c r="DB624" s="43"/>
      <c r="DC624" s="43"/>
      <c r="DD624" s="43"/>
      <c r="DE624" s="43"/>
      <c r="DF624" s="43"/>
      <c r="DG624" s="43"/>
      <c r="DH624" s="43"/>
      <c r="DI624" s="43"/>
      <c r="DJ624" s="43"/>
      <c r="DK624" s="43"/>
      <c r="DL624" s="43"/>
      <c r="DM624" s="43"/>
      <c r="DN624" s="43"/>
      <c r="DO624" s="43"/>
      <c r="DP624" s="43"/>
      <c r="DQ624" s="43"/>
      <c r="DR624" s="43"/>
      <c r="DS624" s="43"/>
    </row>
    <row r="625" spans="1:123" ht="14.45">
      <c r="A625"/>
      <c r="B625"/>
      <c r="C625"/>
      <c r="D625"/>
      <c r="E625"/>
      <c r="F625"/>
      <c r="G625"/>
      <c r="H625"/>
      <c r="I625"/>
      <c r="J625"/>
      <c r="K625" s="43"/>
      <c r="L625" s="43"/>
      <c r="M625" s="43"/>
      <c r="N625" s="43"/>
      <c r="O625" s="43"/>
      <c r="P625" s="43"/>
      <c r="Q625" s="43"/>
      <c r="R625" s="43"/>
      <c r="S625" s="43"/>
      <c r="T625" s="43"/>
      <c r="U625" s="43"/>
      <c r="V625" s="43"/>
      <c r="W625" s="43"/>
      <c r="X625" s="43"/>
      <c r="Y625" s="43"/>
      <c r="Z625" s="43"/>
      <c r="AA625" s="43"/>
      <c r="AB625" s="43"/>
      <c r="AC625" s="43"/>
      <c r="AD625" s="43"/>
      <c r="AE625" s="43"/>
      <c r="AF625" s="43"/>
      <c r="AG625" s="43"/>
      <c r="AH625" s="43"/>
      <c r="AI625" s="43"/>
      <c r="AJ625" s="43"/>
      <c r="AK625" s="43"/>
      <c r="AL625" s="43"/>
      <c r="AM625" s="43"/>
      <c r="AN625" s="43"/>
      <c r="AO625" s="43"/>
      <c r="AP625" s="43"/>
      <c r="AQ625" s="43"/>
      <c r="AR625" s="43"/>
      <c r="AS625" s="43"/>
      <c r="AT625" s="43"/>
      <c r="AU625" s="43"/>
      <c r="AV625" s="43"/>
      <c r="AW625" s="43"/>
      <c r="AX625" s="43"/>
      <c r="AY625" s="43"/>
      <c r="AZ625" s="43"/>
      <c r="BA625" s="43"/>
      <c r="BB625" s="43"/>
      <c r="BC625" s="43"/>
      <c r="BD625" s="43"/>
      <c r="BE625" s="43"/>
      <c r="BF625" s="43"/>
      <c r="BG625" s="43"/>
      <c r="BH625" s="43"/>
      <c r="BI625" s="43"/>
      <c r="BJ625" s="43"/>
      <c r="BK625" s="43"/>
      <c r="BL625" s="43"/>
      <c r="BM625" s="43"/>
      <c r="BN625" s="43"/>
      <c r="BO625" s="43"/>
      <c r="BP625" s="43"/>
      <c r="BQ625" s="43"/>
      <c r="BR625" s="43"/>
      <c r="BS625" s="43"/>
      <c r="BT625" s="43"/>
      <c r="BU625" s="43"/>
      <c r="BV625" s="43"/>
      <c r="BW625" s="43"/>
      <c r="BX625" s="43"/>
      <c r="BY625" s="43"/>
      <c r="BZ625" s="43"/>
      <c r="CA625" s="43"/>
      <c r="CB625" s="43"/>
      <c r="CC625" s="43"/>
      <c r="CD625" s="43"/>
      <c r="CE625" s="43"/>
      <c r="CF625" s="43"/>
      <c r="CG625" s="43"/>
      <c r="CH625" s="43"/>
      <c r="CI625" s="43"/>
      <c r="CJ625" s="43"/>
      <c r="CK625" s="43"/>
      <c r="CL625" s="43"/>
      <c r="CM625" s="43"/>
      <c r="CN625" s="43"/>
      <c r="CO625" s="43"/>
      <c r="CP625" s="43"/>
      <c r="CQ625" s="43"/>
      <c r="CR625" s="43"/>
      <c r="CS625" s="43"/>
      <c r="CT625" s="43"/>
      <c r="CU625" s="43"/>
      <c r="CV625" s="43"/>
      <c r="CW625" s="43"/>
      <c r="CX625" s="43"/>
      <c r="CY625" s="43"/>
      <c r="CZ625" s="43"/>
      <c r="DA625" s="43"/>
      <c r="DB625" s="43"/>
      <c r="DC625" s="43"/>
      <c r="DD625" s="43"/>
      <c r="DE625" s="43"/>
      <c r="DF625" s="43"/>
      <c r="DG625" s="43"/>
      <c r="DH625" s="43"/>
      <c r="DI625" s="43"/>
      <c r="DJ625" s="43"/>
      <c r="DK625" s="43"/>
      <c r="DL625" s="43"/>
      <c r="DM625" s="43"/>
      <c r="DN625" s="43"/>
      <c r="DO625" s="43"/>
      <c r="DP625" s="43"/>
      <c r="DQ625" s="43"/>
      <c r="DR625" s="43"/>
      <c r="DS625" s="43"/>
    </row>
    <row r="626" spans="1:123" ht="14.45">
      <c r="A626"/>
      <c r="B626"/>
      <c r="C626"/>
      <c r="D626"/>
      <c r="E626"/>
      <c r="F626"/>
      <c r="G626"/>
      <c r="H626"/>
      <c r="I626"/>
      <c r="J626"/>
      <c r="K626" s="43"/>
      <c r="L626" s="43"/>
      <c r="M626" s="43"/>
      <c r="N626" s="43"/>
      <c r="O626" s="43"/>
      <c r="P626" s="43"/>
      <c r="Q626" s="43"/>
      <c r="R626" s="43"/>
      <c r="S626" s="43"/>
      <c r="T626" s="43"/>
      <c r="U626" s="43"/>
      <c r="V626" s="43"/>
      <c r="W626" s="43"/>
      <c r="X626" s="43"/>
      <c r="Y626" s="43"/>
      <c r="Z626" s="43"/>
      <c r="AA626" s="43"/>
      <c r="AB626" s="43"/>
      <c r="AC626" s="43"/>
      <c r="AD626" s="43"/>
      <c r="AE626" s="43"/>
      <c r="AF626" s="43"/>
      <c r="AG626" s="43"/>
      <c r="AH626" s="43"/>
      <c r="AI626" s="43"/>
      <c r="AJ626" s="43"/>
      <c r="AK626" s="43"/>
      <c r="AL626" s="43"/>
      <c r="AM626" s="43"/>
      <c r="AN626" s="43"/>
      <c r="AO626" s="43"/>
      <c r="AP626" s="43"/>
      <c r="AQ626" s="43"/>
      <c r="AR626" s="43"/>
      <c r="AS626" s="43"/>
      <c r="AT626" s="43"/>
      <c r="AU626" s="43"/>
      <c r="AV626" s="43"/>
      <c r="AW626" s="43"/>
      <c r="AX626" s="43"/>
      <c r="AY626" s="43"/>
      <c r="AZ626" s="43"/>
      <c r="BA626" s="43"/>
      <c r="BB626" s="43"/>
      <c r="BC626" s="43"/>
      <c r="BD626" s="43"/>
      <c r="BE626" s="43"/>
      <c r="BF626" s="43"/>
      <c r="BG626" s="43"/>
      <c r="BH626" s="43"/>
      <c r="BI626" s="43"/>
      <c r="BJ626" s="43"/>
      <c r="BK626" s="43"/>
      <c r="BL626" s="43"/>
      <c r="BM626" s="43"/>
      <c r="BN626" s="43"/>
      <c r="BO626" s="43"/>
      <c r="BP626" s="43"/>
      <c r="BQ626" s="43"/>
      <c r="BR626" s="43"/>
      <c r="BS626" s="43"/>
      <c r="BT626" s="43"/>
      <c r="BU626" s="43"/>
      <c r="BV626" s="43"/>
      <c r="BW626" s="43"/>
      <c r="BX626" s="43"/>
      <c r="BY626" s="43"/>
      <c r="BZ626" s="43"/>
      <c r="CA626" s="43"/>
      <c r="CB626" s="43"/>
      <c r="CC626" s="43"/>
      <c r="CD626" s="43"/>
      <c r="CE626" s="43"/>
      <c r="CF626" s="43"/>
      <c r="CG626" s="43"/>
      <c r="CH626" s="43"/>
      <c r="CI626" s="43"/>
      <c r="CJ626" s="43"/>
      <c r="CK626" s="43"/>
      <c r="CL626" s="43"/>
      <c r="CM626" s="43"/>
      <c r="CN626" s="43"/>
      <c r="CO626" s="43"/>
      <c r="CP626" s="43"/>
      <c r="CQ626" s="43"/>
      <c r="CR626" s="43"/>
      <c r="CS626" s="43"/>
      <c r="CT626" s="43"/>
      <c r="CU626" s="43"/>
      <c r="CV626" s="43"/>
      <c r="CW626" s="43"/>
      <c r="CX626" s="43"/>
      <c r="CY626" s="43"/>
      <c r="CZ626" s="43"/>
      <c r="DA626" s="43"/>
      <c r="DB626" s="43"/>
      <c r="DC626" s="43"/>
      <c r="DD626" s="43"/>
      <c r="DE626" s="43"/>
      <c r="DF626" s="43"/>
      <c r="DG626" s="43"/>
      <c r="DH626" s="43"/>
      <c r="DI626" s="43"/>
      <c r="DJ626" s="43"/>
      <c r="DK626" s="43"/>
      <c r="DL626" s="43"/>
      <c r="DM626" s="43"/>
      <c r="DN626" s="43"/>
      <c r="DO626" s="43"/>
      <c r="DP626" s="43"/>
      <c r="DQ626" s="43"/>
      <c r="DR626" s="43"/>
      <c r="DS626" s="43"/>
    </row>
    <row r="627" spans="1:123" ht="14.45">
      <c r="A627"/>
      <c r="B627"/>
      <c r="C627"/>
      <c r="D627"/>
      <c r="E627"/>
      <c r="F627"/>
      <c r="G627"/>
      <c r="H627"/>
      <c r="I627"/>
      <c r="J627"/>
      <c r="K627" s="43"/>
      <c r="L627" s="43"/>
      <c r="M627" s="43"/>
      <c r="N627" s="43"/>
      <c r="O627" s="43"/>
      <c r="P627" s="43"/>
      <c r="Q627" s="43"/>
      <c r="R627" s="43"/>
      <c r="S627" s="43"/>
      <c r="T627" s="43"/>
      <c r="U627" s="43"/>
      <c r="V627" s="43"/>
      <c r="W627" s="43"/>
      <c r="X627" s="43"/>
      <c r="Y627" s="43"/>
      <c r="Z627" s="43"/>
      <c r="AA627" s="43"/>
      <c r="AB627" s="43"/>
      <c r="AC627" s="43"/>
      <c r="AD627" s="43"/>
      <c r="AE627" s="43"/>
      <c r="AF627" s="43"/>
      <c r="AG627" s="43"/>
      <c r="AH627" s="43"/>
      <c r="AI627" s="43"/>
      <c r="AJ627" s="43"/>
      <c r="AK627" s="43"/>
      <c r="AL627" s="43"/>
      <c r="AM627" s="43"/>
      <c r="AN627" s="43"/>
      <c r="AO627" s="43"/>
      <c r="AP627" s="43"/>
      <c r="AQ627" s="43"/>
      <c r="AR627" s="43"/>
      <c r="AS627" s="43"/>
      <c r="AT627" s="43"/>
      <c r="AU627" s="43"/>
      <c r="AV627" s="43"/>
      <c r="AW627" s="43"/>
      <c r="AX627" s="43"/>
      <c r="AY627" s="43"/>
      <c r="AZ627" s="43"/>
      <c r="BA627" s="43"/>
      <c r="BB627" s="43"/>
      <c r="BC627" s="43"/>
      <c r="BD627" s="43"/>
      <c r="BE627" s="43"/>
      <c r="BF627" s="43"/>
      <c r="BG627" s="43"/>
      <c r="BH627" s="43"/>
      <c r="BI627" s="43"/>
      <c r="BJ627" s="43"/>
      <c r="BK627" s="43"/>
      <c r="BL627" s="43"/>
      <c r="BM627" s="43"/>
      <c r="BN627" s="43"/>
      <c r="BO627" s="43"/>
      <c r="BP627" s="43"/>
      <c r="BQ627" s="43"/>
      <c r="BR627" s="43"/>
      <c r="BS627" s="43"/>
      <c r="BT627" s="43"/>
      <c r="BU627" s="43"/>
      <c r="BV627" s="43"/>
      <c r="BW627" s="43"/>
      <c r="BX627" s="43"/>
      <c r="BY627" s="43"/>
      <c r="BZ627" s="43"/>
      <c r="CA627" s="43"/>
      <c r="CB627" s="43"/>
      <c r="CC627" s="43"/>
      <c r="CD627" s="43"/>
      <c r="CE627" s="43"/>
      <c r="CF627" s="43"/>
      <c r="CG627" s="43"/>
      <c r="CH627" s="43"/>
      <c r="CI627" s="43"/>
      <c r="CJ627" s="43"/>
      <c r="CK627" s="43"/>
      <c r="CL627" s="43"/>
      <c r="CM627" s="43"/>
      <c r="CN627" s="43"/>
      <c r="CO627" s="43"/>
      <c r="CP627" s="43"/>
      <c r="CQ627" s="43"/>
      <c r="CR627" s="43"/>
      <c r="CS627" s="43"/>
      <c r="CT627" s="43"/>
      <c r="CU627" s="43"/>
      <c r="CV627" s="43"/>
      <c r="CW627" s="43"/>
      <c r="CX627" s="43"/>
      <c r="CY627" s="43"/>
      <c r="CZ627" s="43"/>
      <c r="DA627" s="43"/>
      <c r="DB627" s="43"/>
      <c r="DC627" s="43"/>
      <c r="DD627" s="43"/>
      <c r="DE627" s="43"/>
      <c r="DF627" s="43"/>
      <c r="DG627" s="43"/>
      <c r="DH627" s="43"/>
      <c r="DI627" s="43"/>
      <c r="DJ627" s="43"/>
      <c r="DK627" s="43"/>
      <c r="DL627" s="43"/>
      <c r="DM627" s="43"/>
      <c r="DN627" s="43"/>
      <c r="DO627" s="43"/>
      <c r="DP627" s="43"/>
      <c r="DQ627" s="43"/>
      <c r="DR627" s="43"/>
      <c r="DS627" s="43"/>
    </row>
    <row r="628" spans="1:123" ht="14.45">
      <c r="A628"/>
      <c r="B628"/>
      <c r="C628"/>
      <c r="D628"/>
      <c r="E628"/>
      <c r="F628"/>
      <c r="G628"/>
      <c r="H628"/>
      <c r="I628"/>
      <c r="J628"/>
      <c r="K628" s="43"/>
      <c r="L628" s="43"/>
      <c r="M628" s="43"/>
      <c r="N628" s="43"/>
      <c r="O628" s="43"/>
      <c r="P628" s="43"/>
      <c r="Q628" s="43"/>
      <c r="R628" s="43"/>
      <c r="S628" s="43"/>
      <c r="T628" s="43"/>
      <c r="U628" s="43"/>
      <c r="V628" s="43"/>
      <c r="W628" s="43"/>
      <c r="X628" s="43"/>
      <c r="Y628" s="43"/>
      <c r="Z628" s="43"/>
      <c r="AA628" s="43"/>
      <c r="AB628" s="43"/>
      <c r="AC628" s="43"/>
      <c r="AD628" s="43"/>
      <c r="AE628" s="43"/>
      <c r="AF628" s="43"/>
      <c r="AG628" s="43"/>
      <c r="AH628" s="43"/>
      <c r="AI628" s="43"/>
      <c r="AJ628" s="43"/>
      <c r="AK628" s="43"/>
      <c r="AL628" s="43"/>
      <c r="AM628" s="43"/>
      <c r="AN628" s="43"/>
      <c r="AO628" s="43"/>
      <c r="AP628" s="43"/>
      <c r="AQ628" s="43"/>
      <c r="AR628" s="43"/>
      <c r="AS628" s="43"/>
      <c r="AT628" s="43"/>
      <c r="AU628" s="43"/>
      <c r="AV628" s="43"/>
      <c r="AW628" s="43"/>
      <c r="AX628" s="43"/>
      <c r="AY628" s="43"/>
      <c r="AZ628" s="43"/>
      <c r="BA628" s="43"/>
      <c r="BB628" s="43"/>
      <c r="BC628" s="43"/>
      <c r="BD628" s="43"/>
      <c r="BE628" s="43"/>
      <c r="BF628" s="43"/>
      <c r="BG628" s="43"/>
      <c r="BH628" s="43"/>
      <c r="BI628" s="43"/>
      <c r="BJ628" s="43"/>
      <c r="BK628" s="43"/>
      <c r="BL628" s="43"/>
      <c r="BM628" s="43"/>
      <c r="BN628" s="43"/>
      <c r="BO628" s="43"/>
      <c r="BP628" s="43"/>
      <c r="BQ628" s="43"/>
      <c r="BR628" s="43"/>
      <c r="BS628" s="43"/>
      <c r="BT628" s="43"/>
      <c r="BU628" s="43"/>
      <c r="BV628" s="43"/>
      <c r="BW628" s="43"/>
      <c r="BX628" s="43"/>
      <c r="BY628" s="43"/>
      <c r="BZ628" s="43"/>
      <c r="CA628" s="43"/>
      <c r="CB628" s="43"/>
      <c r="CC628" s="43"/>
      <c r="CD628" s="43"/>
      <c r="CE628" s="43"/>
      <c r="CF628" s="43"/>
      <c r="CG628" s="43"/>
      <c r="CH628" s="43"/>
      <c r="CI628" s="43"/>
      <c r="CJ628" s="43"/>
      <c r="CK628" s="43"/>
      <c r="CL628" s="43"/>
      <c r="CM628" s="43"/>
      <c r="CN628" s="43"/>
      <c r="CO628" s="43"/>
      <c r="CP628" s="43"/>
      <c r="CQ628" s="43"/>
      <c r="CR628" s="43"/>
      <c r="CS628" s="43"/>
      <c r="CT628" s="43"/>
      <c r="CU628" s="43"/>
      <c r="CV628" s="43"/>
      <c r="CW628" s="43"/>
      <c r="CX628" s="43"/>
      <c r="CY628" s="43"/>
      <c r="CZ628" s="43"/>
      <c r="DA628" s="43"/>
      <c r="DB628" s="43"/>
      <c r="DC628" s="43"/>
      <c r="DD628" s="43"/>
      <c r="DE628" s="43"/>
      <c r="DF628" s="43"/>
      <c r="DG628" s="43"/>
      <c r="DH628" s="43"/>
      <c r="DI628" s="43"/>
      <c r="DJ628" s="43"/>
      <c r="DK628" s="43"/>
      <c r="DL628" s="43"/>
      <c r="DM628" s="43"/>
      <c r="DN628" s="43"/>
      <c r="DO628" s="43"/>
      <c r="DP628" s="43"/>
      <c r="DQ628" s="43"/>
      <c r="DR628" s="43"/>
      <c r="DS628" s="43"/>
    </row>
    <row r="629" spans="1:123" ht="14.45">
      <c r="A629"/>
      <c r="B629"/>
      <c r="C629"/>
      <c r="D629"/>
      <c r="E629"/>
      <c r="F629"/>
      <c r="G629"/>
      <c r="H629"/>
      <c r="I629"/>
      <c r="J629"/>
      <c r="K629" s="43"/>
      <c r="L629" s="43"/>
      <c r="M629" s="43"/>
      <c r="N629" s="43"/>
      <c r="O629" s="43"/>
      <c r="P629" s="43"/>
      <c r="Q629" s="43"/>
      <c r="R629" s="43"/>
      <c r="S629" s="43"/>
      <c r="T629" s="43"/>
      <c r="U629" s="43"/>
      <c r="V629" s="43"/>
      <c r="W629" s="43"/>
      <c r="X629" s="43"/>
      <c r="Y629" s="43"/>
      <c r="Z629" s="43"/>
      <c r="AA629" s="43"/>
      <c r="AB629" s="43"/>
      <c r="AC629" s="43"/>
      <c r="AD629" s="43"/>
      <c r="AE629" s="43"/>
      <c r="AF629" s="43"/>
      <c r="AG629" s="43"/>
      <c r="AH629" s="43"/>
      <c r="AI629" s="43"/>
      <c r="AJ629" s="43"/>
      <c r="AK629" s="43"/>
      <c r="AL629" s="43"/>
      <c r="AM629" s="43"/>
      <c r="AN629" s="43"/>
      <c r="AO629" s="43"/>
      <c r="AP629" s="43"/>
      <c r="AQ629" s="43"/>
      <c r="AR629" s="43"/>
      <c r="AS629" s="43"/>
      <c r="AT629" s="43"/>
      <c r="AU629" s="43"/>
      <c r="AV629" s="43"/>
      <c r="AW629" s="43"/>
      <c r="AX629" s="43"/>
      <c r="AY629" s="43"/>
      <c r="AZ629" s="43"/>
      <c r="BA629" s="43"/>
      <c r="BB629" s="43"/>
      <c r="BC629" s="43"/>
      <c r="BD629" s="43"/>
      <c r="BE629" s="43"/>
      <c r="BF629" s="43"/>
      <c r="BG629" s="43"/>
      <c r="BH629" s="43"/>
      <c r="BI629" s="43"/>
      <c r="BJ629" s="43"/>
      <c r="BK629" s="43"/>
      <c r="BL629" s="43"/>
      <c r="BM629" s="43"/>
      <c r="BN629" s="43"/>
      <c r="BO629" s="43"/>
      <c r="BP629" s="43"/>
      <c r="BQ629" s="43"/>
      <c r="BR629" s="43"/>
      <c r="BS629" s="43"/>
      <c r="BT629" s="43"/>
      <c r="BU629" s="43"/>
      <c r="BV629" s="43"/>
      <c r="BW629" s="43"/>
      <c r="BX629" s="43"/>
      <c r="BY629" s="43"/>
      <c r="BZ629" s="43"/>
      <c r="CA629" s="43"/>
      <c r="CB629" s="43"/>
      <c r="CC629" s="43"/>
      <c r="CD629" s="43"/>
      <c r="CE629" s="43"/>
      <c r="CF629" s="43"/>
      <c r="CG629" s="43"/>
      <c r="CH629" s="43"/>
      <c r="CI629" s="43"/>
      <c r="CJ629" s="43"/>
      <c r="CK629" s="43"/>
      <c r="CL629" s="43"/>
      <c r="CM629" s="43"/>
      <c r="CN629" s="43"/>
      <c r="CO629" s="43"/>
      <c r="CP629" s="43"/>
      <c r="CQ629" s="43"/>
      <c r="CR629" s="43"/>
      <c r="CS629" s="43"/>
      <c r="CT629" s="43"/>
      <c r="CU629" s="43"/>
      <c r="CV629" s="43"/>
      <c r="CW629" s="43"/>
      <c r="CX629" s="43"/>
      <c r="CY629" s="43"/>
      <c r="CZ629" s="43"/>
      <c r="DA629" s="43"/>
      <c r="DB629" s="43"/>
      <c r="DC629" s="43"/>
      <c r="DD629" s="43"/>
      <c r="DE629" s="43"/>
      <c r="DF629" s="43"/>
      <c r="DG629" s="43"/>
      <c r="DH629" s="43"/>
      <c r="DI629" s="43"/>
      <c r="DJ629" s="43"/>
      <c r="DK629" s="43"/>
      <c r="DL629" s="43"/>
      <c r="DM629" s="43"/>
      <c r="DN629" s="43"/>
      <c r="DO629" s="43"/>
      <c r="DP629" s="43"/>
      <c r="DQ629" s="43"/>
      <c r="DR629" s="43"/>
      <c r="DS629" s="43"/>
    </row>
    <row r="630" spans="1:123" ht="14.45">
      <c r="A630"/>
      <c r="B630"/>
      <c r="C630"/>
      <c r="D630"/>
      <c r="E630"/>
      <c r="F630"/>
      <c r="G630"/>
      <c r="H630"/>
      <c r="I630"/>
      <c r="J630"/>
      <c r="K630" s="43"/>
      <c r="L630" s="43"/>
      <c r="M630" s="43"/>
      <c r="N630" s="43"/>
      <c r="O630" s="43"/>
      <c r="P630" s="43"/>
      <c r="Q630" s="43"/>
      <c r="R630" s="43"/>
      <c r="S630" s="43"/>
      <c r="T630" s="43"/>
      <c r="U630" s="43"/>
      <c r="V630" s="43"/>
      <c r="W630" s="43"/>
      <c r="X630" s="43"/>
      <c r="Y630" s="43"/>
      <c r="Z630" s="43"/>
      <c r="AA630" s="43"/>
      <c r="AB630" s="43"/>
      <c r="AC630" s="43"/>
      <c r="AD630" s="43"/>
      <c r="AE630" s="43"/>
      <c r="AF630" s="43"/>
      <c r="AG630" s="43"/>
      <c r="AH630" s="43"/>
      <c r="AI630" s="43"/>
      <c r="AJ630" s="43"/>
      <c r="AK630" s="43"/>
      <c r="AL630" s="43"/>
      <c r="AM630" s="43"/>
      <c r="AN630" s="43"/>
      <c r="AO630" s="43"/>
      <c r="AP630" s="43"/>
      <c r="AQ630" s="43"/>
      <c r="AR630" s="43"/>
      <c r="AS630" s="43"/>
      <c r="AT630" s="43"/>
      <c r="AU630" s="43"/>
      <c r="AV630" s="43"/>
      <c r="AW630" s="43"/>
      <c r="AX630" s="43"/>
      <c r="AY630" s="43"/>
      <c r="AZ630" s="43"/>
      <c r="BA630" s="43"/>
      <c r="BB630" s="43"/>
      <c r="BC630" s="43"/>
      <c r="BD630" s="43"/>
      <c r="BE630" s="43"/>
      <c r="BF630" s="43"/>
      <c r="BG630" s="43"/>
      <c r="BH630" s="43"/>
      <c r="BI630" s="43"/>
      <c r="BJ630" s="43"/>
      <c r="BK630" s="43"/>
      <c r="BL630" s="43"/>
      <c r="BM630" s="43"/>
      <c r="BN630" s="43"/>
      <c r="BO630" s="43"/>
      <c r="BP630" s="43"/>
      <c r="BQ630" s="43"/>
      <c r="BR630" s="43"/>
      <c r="BS630" s="43"/>
      <c r="BT630" s="43"/>
      <c r="BU630" s="43"/>
      <c r="BV630" s="43"/>
      <c r="BW630" s="43"/>
      <c r="BX630" s="43"/>
      <c r="BY630" s="43"/>
      <c r="BZ630" s="43"/>
      <c r="CA630" s="43"/>
      <c r="CB630" s="43"/>
      <c r="CC630" s="43"/>
      <c r="CD630" s="43"/>
      <c r="CE630" s="43"/>
      <c r="CF630" s="43"/>
      <c r="CG630" s="43"/>
      <c r="CH630" s="43"/>
      <c r="CI630" s="43"/>
      <c r="CJ630" s="43"/>
      <c r="CK630" s="43"/>
      <c r="CL630" s="43"/>
      <c r="CM630" s="43"/>
      <c r="CN630" s="43"/>
      <c r="CO630" s="43"/>
      <c r="CP630" s="43"/>
      <c r="CQ630" s="43"/>
      <c r="CR630" s="43"/>
      <c r="CS630" s="43"/>
      <c r="CT630" s="43"/>
      <c r="CU630" s="43"/>
      <c r="CV630" s="43"/>
      <c r="CW630" s="43"/>
      <c r="CX630" s="43"/>
      <c r="CY630" s="43"/>
      <c r="CZ630" s="43"/>
      <c r="DA630" s="43"/>
      <c r="DB630" s="43"/>
      <c r="DC630" s="43"/>
      <c r="DD630" s="43"/>
      <c r="DE630" s="43"/>
      <c r="DF630" s="43"/>
      <c r="DG630" s="43"/>
      <c r="DH630" s="43"/>
      <c r="DI630" s="43"/>
      <c r="DJ630" s="43"/>
      <c r="DK630" s="43"/>
      <c r="DL630" s="43"/>
      <c r="DM630" s="43"/>
      <c r="DN630" s="43"/>
      <c r="DO630" s="43"/>
      <c r="DP630" s="43"/>
      <c r="DQ630" s="43"/>
      <c r="DR630" s="43"/>
      <c r="DS630" s="43"/>
    </row>
    <row r="631" spans="1:123" ht="14.45">
      <c r="A631"/>
      <c r="B631"/>
      <c r="C631"/>
      <c r="D631"/>
      <c r="E631"/>
      <c r="F631"/>
      <c r="G631"/>
      <c r="H631"/>
      <c r="I631"/>
      <c r="J631"/>
      <c r="K631" s="43"/>
      <c r="L631" s="43"/>
      <c r="M631" s="43"/>
      <c r="N631" s="43"/>
      <c r="O631" s="43"/>
      <c r="P631" s="43"/>
      <c r="Q631" s="43"/>
      <c r="R631" s="43"/>
      <c r="S631" s="43"/>
      <c r="T631" s="43"/>
      <c r="U631" s="43"/>
      <c r="V631" s="43"/>
      <c r="W631" s="43"/>
      <c r="X631" s="43"/>
      <c r="Y631" s="43"/>
      <c r="Z631" s="43"/>
      <c r="AA631" s="43"/>
      <c r="AB631" s="43"/>
      <c r="AC631" s="43"/>
      <c r="AD631" s="43"/>
      <c r="AE631" s="43"/>
      <c r="AF631" s="43"/>
      <c r="AG631" s="43"/>
      <c r="AH631" s="43"/>
      <c r="AI631" s="43"/>
      <c r="AJ631" s="43"/>
      <c r="AK631" s="43"/>
      <c r="AL631" s="43"/>
      <c r="AM631" s="43"/>
      <c r="AN631" s="43"/>
      <c r="AO631" s="43"/>
      <c r="AP631" s="43"/>
      <c r="AQ631" s="43"/>
      <c r="AR631" s="43"/>
      <c r="AS631" s="43"/>
      <c r="AT631" s="43"/>
      <c r="AU631" s="43"/>
      <c r="AV631" s="43"/>
      <c r="AW631" s="43"/>
      <c r="AX631" s="43"/>
      <c r="AY631" s="43"/>
      <c r="AZ631" s="43"/>
      <c r="BA631" s="43"/>
      <c r="BB631" s="43"/>
      <c r="BC631" s="43"/>
      <c r="BD631" s="43"/>
      <c r="BE631" s="43"/>
      <c r="BF631" s="43"/>
      <c r="BG631" s="43"/>
      <c r="BH631" s="43"/>
      <c r="BI631" s="43"/>
      <c r="BJ631" s="43"/>
      <c r="BK631" s="43"/>
      <c r="BL631" s="43"/>
      <c r="BM631" s="43"/>
      <c r="BN631" s="43"/>
      <c r="BO631" s="43"/>
      <c r="BP631" s="43"/>
      <c r="BQ631" s="43"/>
      <c r="BR631" s="43"/>
      <c r="BS631" s="43"/>
      <c r="BT631" s="43"/>
      <c r="BU631" s="43"/>
      <c r="BV631" s="43"/>
      <c r="BW631" s="43"/>
      <c r="BX631" s="43"/>
      <c r="BY631" s="43"/>
      <c r="BZ631" s="43"/>
      <c r="CA631" s="43"/>
      <c r="CB631" s="43"/>
      <c r="CC631" s="43"/>
      <c r="CD631" s="43"/>
      <c r="CE631" s="43"/>
      <c r="CF631" s="43"/>
      <c r="CG631" s="43"/>
      <c r="CH631" s="43"/>
      <c r="CI631" s="43"/>
      <c r="CJ631" s="43"/>
      <c r="CK631" s="43"/>
      <c r="CL631" s="43"/>
      <c r="CM631" s="43"/>
      <c r="CN631" s="43"/>
      <c r="CO631" s="43"/>
      <c r="CP631" s="43"/>
      <c r="CQ631" s="43"/>
      <c r="CR631" s="43"/>
      <c r="CS631" s="43"/>
      <c r="CT631" s="43"/>
      <c r="CU631" s="43"/>
      <c r="CV631" s="43"/>
      <c r="CW631" s="43"/>
      <c r="CX631" s="43"/>
      <c r="CY631" s="43"/>
      <c r="CZ631" s="43"/>
      <c r="DA631" s="43"/>
      <c r="DB631" s="43"/>
      <c r="DC631" s="43"/>
      <c r="DD631" s="43"/>
      <c r="DE631" s="43"/>
      <c r="DF631" s="43"/>
      <c r="DG631" s="43"/>
      <c r="DH631" s="43"/>
      <c r="DI631" s="43"/>
      <c r="DJ631" s="43"/>
      <c r="DK631" s="43"/>
      <c r="DL631" s="43"/>
      <c r="DM631" s="43"/>
      <c r="DN631" s="43"/>
      <c r="DO631" s="43"/>
      <c r="DP631" s="43"/>
      <c r="DQ631" s="43"/>
      <c r="DR631" s="43"/>
      <c r="DS631" s="43"/>
    </row>
    <row r="632" spans="1:123" ht="14.45">
      <c r="A632"/>
      <c r="B632"/>
      <c r="C632"/>
      <c r="D632"/>
      <c r="E632"/>
      <c r="F632"/>
      <c r="G632"/>
      <c r="H632"/>
      <c r="I632"/>
      <c r="J632"/>
      <c r="K632" s="43"/>
      <c r="L632" s="43"/>
      <c r="M632" s="43"/>
      <c r="N632" s="43"/>
      <c r="O632" s="43"/>
      <c r="P632" s="43"/>
      <c r="Q632" s="43"/>
      <c r="R632" s="43"/>
      <c r="S632" s="43"/>
      <c r="T632" s="43"/>
      <c r="U632" s="43"/>
      <c r="V632" s="43"/>
      <c r="W632" s="43"/>
      <c r="X632" s="43"/>
      <c r="Y632" s="43"/>
      <c r="Z632" s="43"/>
      <c r="AA632" s="43"/>
      <c r="AB632" s="43"/>
      <c r="AC632" s="43"/>
      <c r="AD632" s="43"/>
      <c r="AE632" s="43"/>
      <c r="AF632" s="43"/>
      <c r="AG632" s="43"/>
      <c r="AH632" s="43"/>
      <c r="AI632" s="43"/>
      <c r="AJ632" s="43"/>
      <c r="AK632" s="43"/>
      <c r="AL632" s="43"/>
      <c r="AM632" s="43"/>
      <c r="AN632" s="43"/>
      <c r="AO632" s="43"/>
      <c r="AP632" s="43"/>
      <c r="AQ632" s="43"/>
      <c r="AR632" s="43"/>
      <c r="AS632" s="43"/>
      <c r="AT632" s="43"/>
      <c r="AU632" s="43"/>
      <c r="AV632" s="43"/>
      <c r="AW632" s="43"/>
      <c r="AX632" s="43"/>
      <c r="AY632" s="43"/>
      <c r="AZ632" s="43"/>
      <c r="BA632" s="43"/>
      <c r="BB632" s="43"/>
      <c r="BC632" s="43"/>
      <c r="BD632" s="43"/>
      <c r="BE632" s="43"/>
      <c r="BF632" s="43"/>
      <c r="BG632" s="43"/>
      <c r="BH632" s="43"/>
      <c r="BI632" s="43"/>
      <c r="BJ632" s="43"/>
      <c r="BK632" s="43"/>
      <c r="BL632" s="43"/>
      <c r="BM632" s="43"/>
      <c r="BN632" s="43"/>
      <c r="BO632" s="43"/>
      <c r="BP632" s="43"/>
      <c r="BQ632" s="43"/>
      <c r="BR632" s="43"/>
      <c r="BS632" s="43"/>
      <c r="BT632" s="43"/>
      <c r="BU632" s="43"/>
      <c r="BV632" s="43"/>
      <c r="BW632" s="43"/>
      <c r="BX632" s="43"/>
      <c r="BY632" s="43"/>
      <c r="BZ632" s="43"/>
      <c r="CA632" s="43"/>
      <c r="CB632" s="43"/>
      <c r="CC632" s="43"/>
      <c r="CD632" s="43"/>
      <c r="CE632" s="43"/>
      <c r="CF632" s="43"/>
      <c r="CG632" s="43"/>
      <c r="CH632" s="43"/>
      <c r="CI632" s="43"/>
      <c r="CJ632" s="43"/>
      <c r="CK632" s="43"/>
      <c r="CL632" s="43"/>
      <c r="CM632" s="43"/>
      <c r="CN632" s="43"/>
      <c r="CO632" s="43"/>
      <c r="CP632" s="43"/>
      <c r="CQ632" s="43"/>
      <c r="CR632" s="43"/>
      <c r="CS632" s="43"/>
      <c r="CT632" s="43"/>
      <c r="CU632" s="43"/>
      <c r="CV632" s="43"/>
      <c r="CW632" s="43"/>
      <c r="CX632" s="43"/>
      <c r="CY632" s="43"/>
      <c r="CZ632" s="43"/>
      <c r="DA632" s="43"/>
      <c r="DB632" s="43"/>
      <c r="DC632" s="43"/>
      <c r="DD632" s="43"/>
      <c r="DE632" s="43"/>
      <c r="DF632" s="43"/>
      <c r="DG632" s="43"/>
      <c r="DH632" s="43"/>
      <c r="DI632" s="43"/>
      <c r="DJ632" s="43"/>
      <c r="DK632" s="43"/>
      <c r="DL632" s="43"/>
      <c r="DM632" s="43"/>
      <c r="DN632" s="43"/>
      <c r="DO632" s="43"/>
      <c r="DP632" s="43"/>
      <c r="DQ632" s="43"/>
      <c r="DR632" s="43"/>
      <c r="DS632" s="43"/>
    </row>
    <row r="633" spans="1:123" ht="14.45">
      <c r="A633"/>
      <c r="B633"/>
      <c r="C633"/>
      <c r="D633"/>
      <c r="E633"/>
      <c r="F633"/>
      <c r="G633"/>
      <c r="H633"/>
      <c r="I633"/>
      <c r="J633"/>
      <c r="K633" s="43"/>
      <c r="L633" s="43"/>
      <c r="M633" s="43"/>
      <c r="N633" s="43"/>
      <c r="O633" s="43"/>
      <c r="P633" s="43"/>
      <c r="Q633" s="43"/>
      <c r="R633" s="43"/>
      <c r="S633" s="43"/>
      <c r="T633" s="43"/>
      <c r="U633" s="43"/>
      <c r="V633" s="43"/>
      <c r="W633" s="43"/>
      <c r="X633" s="43"/>
      <c r="Y633" s="43"/>
      <c r="Z633" s="43"/>
      <c r="AA633" s="43"/>
      <c r="AB633" s="43"/>
      <c r="AC633" s="43"/>
      <c r="AD633" s="43"/>
      <c r="AE633" s="43"/>
      <c r="AF633" s="43"/>
      <c r="AG633" s="43"/>
      <c r="AH633" s="43"/>
      <c r="AI633" s="43"/>
      <c r="AJ633" s="43"/>
      <c r="AK633" s="43"/>
      <c r="AL633" s="43"/>
      <c r="AM633" s="43"/>
      <c r="AN633" s="43"/>
      <c r="AO633" s="43"/>
      <c r="AP633" s="43"/>
      <c r="AQ633" s="43"/>
      <c r="AR633" s="43"/>
      <c r="AS633" s="43"/>
      <c r="AT633" s="43"/>
      <c r="AU633" s="43"/>
      <c r="AV633" s="43"/>
      <c r="AW633" s="43"/>
      <c r="AX633" s="43"/>
      <c r="AY633" s="43"/>
      <c r="AZ633" s="43"/>
      <c r="BA633" s="43"/>
      <c r="BB633" s="43"/>
      <c r="BC633" s="43"/>
      <c r="BD633" s="43"/>
      <c r="BE633" s="43"/>
      <c r="BF633" s="43"/>
      <c r="BG633" s="43"/>
      <c r="BH633" s="43"/>
      <c r="BI633" s="43"/>
      <c r="BJ633" s="43"/>
      <c r="BK633" s="43"/>
      <c r="BL633" s="43"/>
      <c r="BM633" s="43"/>
      <c r="BN633" s="43"/>
      <c r="BO633" s="43"/>
      <c r="BP633" s="43"/>
      <c r="BQ633" s="43"/>
      <c r="BR633" s="43"/>
      <c r="BS633" s="43"/>
      <c r="BT633" s="43"/>
      <c r="BU633" s="43"/>
      <c r="BV633" s="43"/>
      <c r="BW633" s="43"/>
      <c r="BX633" s="43"/>
      <c r="BY633" s="43"/>
      <c r="BZ633" s="43"/>
      <c r="CA633" s="43"/>
      <c r="CB633" s="43"/>
      <c r="CC633" s="43"/>
      <c r="CD633" s="43"/>
      <c r="CE633" s="43"/>
      <c r="CF633" s="43"/>
      <c r="CG633" s="43"/>
      <c r="CH633" s="43"/>
      <c r="CI633" s="43"/>
      <c r="CJ633" s="43"/>
      <c r="CK633" s="43"/>
      <c r="CL633" s="43"/>
      <c r="CM633" s="43"/>
      <c r="CN633" s="43"/>
      <c r="CO633" s="43"/>
      <c r="CP633" s="43"/>
      <c r="CQ633" s="43"/>
      <c r="CR633" s="43"/>
      <c r="CS633" s="43"/>
      <c r="CT633" s="43"/>
      <c r="CU633" s="43"/>
      <c r="CV633" s="43"/>
      <c r="CW633" s="43"/>
      <c r="CX633" s="43"/>
      <c r="CY633" s="43"/>
      <c r="CZ633" s="43"/>
      <c r="DA633" s="43"/>
      <c r="DB633" s="43"/>
      <c r="DC633" s="43"/>
      <c r="DD633" s="43"/>
      <c r="DE633" s="43"/>
      <c r="DF633" s="43"/>
      <c r="DG633" s="43"/>
      <c r="DH633" s="43"/>
      <c r="DI633" s="43"/>
      <c r="DJ633" s="43"/>
      <c r="DK633" s="43"/>
      <c r="DL633" s="43"/>
      <c r="DM633" s="43"/>
      <c r="DN633" s="43"/>
      <c r="DO633" s="43"/>
      <c r="DP633" s="43"/>
      <c r="DQ633" s="43"/>
      <c r="DR633" s="43"/>
      <c r="DS633" s="43"/>
    </row>
    <row r="634" spans="1:123" ht="14.45">
      <c r="A634"/>
      <c r="B634"/>
      <c r="C634"/>
      <c r="D634"/>
      <c r="E634"/>
      <c r="F634"/>
      <c r="G634"/>
      <c r="H634"/>
      <c r="I634"/>
      <c r="J634"/>
      <c r="K634" s="43"/>
      <c r="L634" s="43"/>
      <c r="M634" s="43"/>
      <c r="N634" s="43"/>
      <c r="O634" s="43"/>
      <c r="P634" s="43"/>
      <c r="Q634" s="43"/>
      <c r="R634" s="43"/>
      <c r="S634" s="43"/>
      <c r="T634" s="43"/>
      <c r="U634" s="43"/>
      <c r="V634" s="43"/>
      <c r="W634" s="43"/>
      <c r="X634" s="43"/>
      <c r="Y634" s="43"/>
      <c r="Z634" s="43"/>
      <c r="AA634" s="43"/>
      <c r="AB634" s="43"/>
      <c r="AC634" s="43"/>
      <c r="AD634" s="43"/>
      <c r="AE634" s="43"/>
      <c r="AF634" s="43"/>
      <c r="AG634" s="43"/>
      <c r="AH634" s="43"/>
      <c r="AI634" s="43"/>
      <c r="AJ634" s="43"/>
      <c r="AK634" s="43"/>
      <c r="AL634" s="43"/>
      <c r="AM634" s="43"/>
      <c r="AN634" s="43"/>
      <c r="AO634" s="43"/>
      <c r="AP634" s="43"/>
      <c r="AQ634" s="43"/>
      <c r="AR634" s="43"/>
      <c r="AS634" s="43"/>
      <c r="AT634" s="43"/>
      <c r="AU634" s="43"/>
      <c r="AV634" s="43"/>
      <c r="AW634" s="43"/>
      <c r="AX634" s="43"/>
      <c r="AY634" s="43"/>
      <c r="AZ634" s="43"/>
      <c r="BA634" s="43"/>
      <c r="BB634" s="43"/>
      <c r="BC634" s="43"/>
      <c r="BD634" s="43"/>
      <c r="BE634" s="43"/>
      <c r="BF634" s="43"/>
      <c r="BG634" s="43"/>
      <c r="BH634" s="43"/>
      <c r="BI634" s="43"/>
      <c r="BJ634" s="43"/>
      <c r="BK634" s="43"/>
      <c r="BL634" s="43"/>
      <c r="BM634" s="43"/>
      <c r="BN634" s="43"/>
      <c r="BO634" s="43"/>
      <c r="BP634" s="43"/>
      <c r="BQ634" s="43"/>
      <c r="BR634" s="43"/>
      <c r="BS634" s="43"/>
      <c r="BT634" s="43"/>
      <c r="BU634" s="43"/>
      <c r="BV634" s="43"/>
      <c r="BW634" s="43"/>
      <c r="BX634" s="43"/>
      <c r="BY634" s="43"/>
      <c r="BZ634" s="43"/>
      <c r="CA634" s="43"/>
      <c r="CB634" s="43"/>
      <c r="CC634" s="43"/>
      <c r="CD634" s="43"/>
      <c r="CE634" s="43"/>
      <c r="CF634" s="43"/>
      <c r="CG634" s="43"/>
      <c r="CH634" s="43"/>
      <c r="CI634" s="43"/>
      <c r="CJ634" s="43"/>
      <c r="CK634" s="43"/>
      <c r="CL634" s="43"/>
      <c r="CM634" s="43"/>
      <c r="CN634" s="43"/>
      <c r="CO634" s="43"/>
      <c r="CP634" s="43"/>
      <c r="CQ634" s="43"/>
      <c r="CR634" s="43"/>
      <c r="CS634" s="43"/>
      <c r="CT634" s="43"/>
      <c r="CU634" s="43"/>
      <c r="CV634" s="43"/>
      <c r="CW634" s="43"/>
      <c r="CX634" s="43"/>
      <c r="CY634" s="43"/>
      <c r="CZ634" s="43"/>
      <c r="DA634" s="43"/>
      <c r="DB634" s="43"/>
      <c r="DC634" s="43"/>
      <c r="DD634" s="43"/>
      <c r="DE634" s="43"/>
      <c r="DF634" s="43"/>
      <c r="DG634" s="43"/>
      <c r="DH634" s="43"/>
      <c r="DI634" s="43"/>
      <c r="DJ634" s="43"/>
      <c r="DK634" s="43"/>
      <c r="DL634" s="43"/>
      <c r="DM634" s="43"/>
      <c r="DN634" s="43"/>
      <c r="DO634" s="43"/>
      <c r="DP634" s="43"/>
      <c r="DQ634" s="43"/>
      <c r="DR634" s="43"/>
      <c r="DS634" s="43"/>
    </row>
    <row r="635" spans="1:123" ht="14.45">
      <c r="A635"/>
      <c r="B635"/>
      <c r="C635"/>
      <c r="D635"/>
      <c r="E635"/>
      <c r="F635"/>
      <c r="G635"/>
      <c r="H635"/>
      <c r="I635"/>
      <c r="J635"/>
      <c r="K635" s="43"/>
      <c r="L635" s="43"/>
      <c r="M635" s="43"/>
      <c r="N635" s="43"/>
      <c r="O635" s="43"/>
      <c r="P635" s="43"/>
      <c r="Q635" s="43"/>
      <c r="R635" s="43"/>
      <c r="S635" s="43"/>
      <c r="T635" s="43"/>
      <c r="U635" s="43"/>
      <c r="V635" s="43"/>
      <c r="W635" s="43"/>
      <c r="X635" s="43"/>
      <c r="Y635" s="43"/>
      <c r="Z635" s="43"/>
      <c r="AA635" s="43"/>
      <c r="AB635" s="43"/>
      <c r="AC635" s="43"/>
      <c r="AD635" s="43"/>
      <c r="AE635" s="43"/>
      <c r="AF635" s="43"/>
      <c r="AG635" s="43"/>
      <c r="AH635" s="43"/>
      <c r="AI635" s="43"/>
      <c r="AJ635" s="43"/>
      <c r="AK635" s="43"/>
      <c r="AL635" s="43"/>
      <c r="AM635" s="43"/>
      <c r="AN635" s="43"/>
      <c r="AO635" s="43"/>
      <c r="AP635" s="43"/>
      <c r="AQ635" s="43"/>
      <c r="AR635" s="43"/>
      <c r="AS635" s="43"/>
      <c r="AT635" s="43"/>
      <c r="AU635" s="43"/>
      <c r="AV635" s="43"/>
      <c r="AW635" s="43"/>
      <c r="AX635" s="43"/>
      <c r="AY635" s="43"/>
      <c r="AZ635" s="43"/>
      <c r="BA635" s="43"/>
      <c r="BB635" s="43"/>
      <c r="BC635" s="43"/>
      <c r="BD635" s="43"/>
      <c r="BE635" s="43"/>
      <c r="BF635" s="43"/>
      <c r="BG635" s="43"/>
      <c r="BH635" s="43"/>
      <c r="BI635" s="43"/>
      <c r="BJ635" s="43"/>
      <c r="BK635" s="43"/>
      <c r="BL635" s="43"/>
      <c r="BM635" s="43"/>
      <c r="BN635" s="43"/>
      <c r="BO635" s="43"/>
      <c r="BP635" s="43"/>
      <c r="BQ635" s="43"/>
      <c r="BR635" s="43"/>
      <c r="BS635" s="43"/>
      <c r="BT635" s="43"/>
      <c r="BU635" s="43"/>
      <c r="BV635" s="43"/>
      <c r="BW635" s="43"/>
      <c r="BX635" s="43"/>
      <c r="BY635" s="43"/>
      <c r="BZ635" s="43"/>
      <c r="CA635" s="43"/>
      <c r="CB635" s="43"/>
      <c r="CC635" s="43"/>
      <c r="CD635" s="43"/>
      <c r="CE635" s="43"/>
      <c r="CF635" s="43"/>
      <c r="CG635" s="43"/>
      <c r="CH635" s="43"/>
      <c r="CI635" s="43"/>
      <c r="CJ635" s="43"/>
      <c r="CK635" s="43"/>
      <c r="CL635" s="43"/>
      <c r="CM635" s="43"/>
      <c r="CN635" s="43"/>
      <c r="CO635" s="43"/>
      <c r="CP635" s="43"/>
      <c r="CQ635" s="43"/>
      <c r="CR635" s="43"/>
      <c r="CS635" s="43"/>
      <c r="CT635" s="43"/>
      <c r="CU635" s="43"/>
      <c r="CV635" s="43"/>
      <c r="CW635" s="43"/>
      <c r="CX635" s="43"/>
      <c r="CY635" s="43"/>
      <c r="CZ635" s="43"/>
      <c r="DA635" s="43"/>
      <c r="DB635" s="43"/>
      <c r="DC635" s="43"/>
      <c r="DD635" s="43"/>
      <c r="DE635" s="43"/>
      <c r="DF635" s="43"/>
      <c r="DG635" s="43"/>
      <c r="DH635" s="43"/>
      <c r="DI635" s="43"/>
      <c r="DJ635" s="43"/>
      <c r="DK635" s="43"/>
      <c r="DL635" s="43"/>
      <c r="DM635" s="43"/>
      <c r="DN635" s="43"/>
      <c r="DO635" s="43"/>
      <c r="DP635" s="43"/>
      <c r="DQ635" s="43"/>
      <c r="DR635" s="43"/>
      <c r="DS635" s="43"/>
    </row>
    <row r="636" spans="1:123" ht="14.45">
      <c r="A636"/>
      <c r="B636"/>
      <c r="C636"/>
      <c r="D636"/>
      <c r="E636"/>
      <c r="F636"/>
      <c r="G636"/>
      <c r="H636"/>
      <c r="I636"/>
      <c r="J636"/>
      <c r="K636" s="43"/>
      <c r="L636" s="43"/>
      <c r="M636" s="43"/>
      <c r="N636" s="43"/>
      <c r="O636" s="43"/>
      <c r="P636" s="43"/>
      <c r="Q636" s="43"/>
      <c r="R636" s="43"/>
      <c r="S636" s="43"/>
      <c r="T636" s="43"/>
      <c r="U636" s="43"/>
      <c r="V636" s="43"/>
      <c r="W636" s="43"/>
      <c r="X636" s="43"/>
      <c r="Y636" s="43"/>
      <c r="Z636" s="43"/>
      <c r="AA636" s="43"/>
      <c r="AB636" s="43"/>
      <c r="AC636" s="43"/>
      <c r="AD636" s="43"/>
      <c r="AE636" s="43"/>
      <c r="AF636" s="43"/>
      <c r="AG636" s="43"/>
      <c r="AH636" s="43"/>
      <c r="AI636" s="43"/>
      <c r="AJ636" s="43"/>
      <c r="AK636" s="43"/>
      <c r="AL636" s="43"/>
      <c r="AM636" s="43"/>
      <c r="AN636" s="43"/>
      <c r="AO636" s="43"/>
      <c r="AP636" s="43"/>
      <c r="AQ636" s="43"/>
      <c r="AR636" s="43"/>
      <c r="AS636" s="43"/>
      <c r="AT636" s="43"/>
      <c r="AU636" s="43"/>
      <c r="AV636" s="43"/>
      <c r="AW636" s="43"/>
      <c r="AX636" s="43"/>
      <c r="AY636" s="43"/>
      <c r="AZ636" s="43"/>
      <c r="BA636" s="43"/>
      <c r="BB636" s="43"/>
      <c r="BC636" s="43"/>
      <c r="BD636" s="43"/>
      <c r="BE636" s="43"/>
      <c r="BF636" s="43"/>
      <c r="BG636" s="43"/>
      <c r="BH636" s="43"/>
      <c r="BI636" s="43"/>
      <c r="BJ636" s="43"/>
      <c r="BK636" s="43"/>
      <c r="BL636" s="43"/>
      <c r="BM636" s="43"/>
      <c r="BN636" s="43"/>
      <c r="BO636" s="43"/>
      <c r="BP636" s="43"/>
      <c r="BQ636" s="43"/>
      <c r="BR636" s="43"/>
      <c r="BS636" s="43"/>
      <c r="BT636" s="43"/>
      <c r="BU636" s="43"/>
      <c r="BV636" s="43"/>
      <c r="BW636" s="43"/>
      <c r="BX636" s="43"/>
      <c r="BY636" s="43"/>
      <c r="BZ636" s="43"/>
      <c r="CA636" s="43"/>
      <c r="CB636" s="43"/>
      <c r="CC636" s="43"/>
      <c r="CD636" s="43"/>
      <c r="CE636" s="43"/>
      <c r="CF636" s="43"/>
      <c r="CG636" s="43"/>
      <c r="CH636" s="43"/>
      <c r="CI636" s="43"/>
      <c r="CJ636" s="43"/>
      <c r="CK636" s="43"/>
      <c r="CL636" s="43"/>
      <c r="CM636" s="43"/>
      <c r="CN636" s="43"/>
      <c r="CO636" s="43"/>
      <c r="CP636" s="43"/>
      <c r="CQ636" s="43"/>
      <c r="CR636" s="43"/>
      <c r="CS636" s="43"/>
      <c r="CT636" s="43"/>
      <c r="CU636" s="43"/>
      <c r="CV636" s="43"/>
      <c r="CW636" s="43"/>
      <c r="CX636" s="43"/>
      <c r="CY636" s="43"/>
      <c r="CZ636" s="43"/>
      <c r="DA636" s="43"/>
      <c r="DB636" s="43"/>
      <c r="DC636" s="43"/>
      <c r="DD636" s="43"/>
      <c r="DE636" s="43"/>
      <c r="DF636" s="43"/>
      <c r="DG636" s="43"/>
      <c r="DH636" s="43"/>
      <c r="DI636" s="43"/>
      <c r="DJ636" s="43"/>
      <c r="DK636" s="43"/>
      <c r="DL636" s="43"/>
      <c r="DM636" s="43"/>
      <c r="DN636" s="43"/>
      <c r="DO636" s="43"/>
      <c r="DP636" s="43"/>
      <c r="DQ636" s="43"/>
      <c r="DR636" s="43"/>
      <c r="DS636" s="43"/>
    </row>
    <row r="637" spans="1:123" ht="14.45">
      <c r="A637"/>
      <c r="B637"/>
      <c r="C637"/>
      <c r="D637"/>
      <c r="E637"/>
      <c r="F637"/>
      <c r="G637"/>
      <c r="H637"/>
      <c r="I637"/>
      <c r="J637"/>
      <c r="K637" s="43"/>
      <c r="L637" s="43"/>
      <c r="M637" s="43"/>
      <c r="N637" s="43"/>
      <c r="O637" s="43"/>
      <c r="P637" s="43"/>
      <c r="Q637" s="43"/>
      <c r="R637" s="43"/>
      <c r="S637" s="43"/>
      <c r="T637" s="43"/>
      <c r="U637" s="43"/>
      <c r="V637" s="43"/>
      <c r="W637" s="43"/>
      <c r="X637" s="43"/>
      <c r="Y637" s="43"/>
      <c r="Z637" s="43"/>
      <c r="AA637" s="43"/>
      <c r="AB637" s="43"/>
      <c r="AC637" s="43"/>
      <c r="AD637" s="43"/>
      <c r="AE637" s="43"/>
      <c r="AF637" s="43"/>
      <c r="AG637" s="43"/>
      <c r="AH637" s="43"/>
      <c r="AI637" s="43"/>
      <c r="AJ637" s="43"/>
      <c r="AK637" s="43"/>
      <c r="AL637" s="43"/>
      <c r="AM637" s="43"/>
      <c r="AN637" s="43"/>
      <c r="AO637" s="43"/>
      <c r="AP637" s="43"/>
      <c r="AQ637" s="43"/>
      <c r="AR637" s="43"/>
      <c r="AS637" s="43"/>
      <c r="AT637" s="43"/>
      <c r="AU637" s="43"/>
      <c r="AV637" s="43"/>
      <c r="AW637" s="43"/>
      <c r="AX637" s="43"/>
      <c r="AY637" s="43"/>
      <c r="AZ637" s="43"/>
      <c r="BA637" s="43"/>
      <c r="BB637" s="43"/>
      <c r="BC637" s="43"/>
      <c r="BD637" s="43"/>
      <c r="BE637" s="43"/>
      <c r="BF637" s="43"/>
      <c r="BG637" s="43"/>
      <c r="BH637" s="43"/>
      <c r="BI637" s="43"/>
      <c r="BJ637" s="43"/>
      <c r="BK637" s="43"/>
      <c r="BL637" s="43"/>
      <c r="BM637" s="43"/>
      <c r="BN637" s="43"/>
      <c r="BO637" s="43"/>
      <c r="BP637" s="43"/>
      <c r="BQ637" s="43"/>
      <c r="BR637" s="43"/>
      <c r="BS637" s="43"/>
      <c r="BT637" s="43"/>
      <c r="BU637" s="43"/>
      <c r="BV637" s="43"/>
      <c r="BW637" s="43"/>
      <c r="BX637" s="43"/>
      <c r="BY637" s="43"/>
      <c r="BZ637" s="43"/>
      <c r="CA637" s="43"/>
      <c r="CB637" s="43"/>
      <c r="CC637" s="43"/>
      <c r="CD637" s="43"/>
      <c r="CE637" s="43"/>
      <c r="CF637" s="43"/>
      <c r="CG637" s="43"/>
      <c r="CH637" s="43"/>
      <c r="CI637" s="43"/>
      <c r="CJ637" s="43"/>
      <c r="CK637" s="43"/>
      <c r="CL637" s="43"/>
      <c r="CM637" s="43"/>
      <c r="CN637" s="43"/>
      <c r="CO637" s="43"/>
      <c r="CP637" s="43"/>
      <c r="CQ637" s="43"/>
      <c r="CR637" s="43"/>
      <c r="CS637" s="43"/>
      <c r="CT637" s="43"/>
      <c r="CU637" s="43"/>
      <c r="CV637" s="43"/>
      <c r="CW637" s="43"/>
      <c r="CX637" s="43"/>
      <c r="CY637" s="43"/>
      <c r="CZ637" s="43"/>
      <c r="DA637" s="43"/>
      <c r="DB637" s="43"/>
      <c r="DC637" s="43"/>
      <c r="DD637" s="43"/>
      <c r="DE637" s="43"/>
      <c r="DF637" s="43"/>
      <c r="DG637" s="43"/>
      <c r="DH637" s="43"/>
      <c r="DI637" s="43"/>
      <c r="DJ637" s="43"/>
      <c r="DK637" s="43"/>
      <c r="DL637" s="43"/>
      <c r="DM637" s="43"/>
      <c r="DN637" s="43"/>
      <c r="DO637" s="43"/>
      <c r="DP637" s="43"/>
      <c r="DQ637" s="43"/>
      <c r="DR637" s="43"/>
      <c r="DS637" s="43"/>
    </row>
    <row r="638" spans="1:123" ht="14.45">
      <c r="A638"/>
      <c r="B638"/>
      <c r="C638"/>
      <c r="D638"/>
      <c r="E638"/>
      <c r="F638"/>
      <c r="G638"/>
      <c r="H638"/>
      <c r="I638"/>
      <c r="J638"/>
      <c r="K638" s="43"/>
      <c r="L638" s="43"/>
      <c r="M638" s="43"/>
      <c r="N638" s="43"/>
      <c r="O638" s="43"/>
      <c r="P638" s="43"/>
      <c r="Q638" s="43"/>
      <c r="R638" s="43"/>
      <c r="S638" s="43"/>
      <c r="T638" s="43"/>
      <c r="U638" s="43"/>
      <c r="V638" s="43"/>
      <c r="W638" s="43"/>
      <c r="X638" s="43"/>
      <c r="Y638" s="43"/>
      <c r="Z638" s="43"/>
      <c r="AA638" s="43"/>
      <c r="AB638" s="43"/>
      <c r="AC638" s="43"/>
      <c r="AD638" s="43"/>
      <c r="AE638" s="43"/>
      <c r="AF638" s="43"/>
      <c r="AG638" s="43"/>
      <c r="AH638" s="43"/>
      <c r="AI638" s="43"/>
      <c r="AJ638" s="43"/>
      <c r="AK638" s="43"/>
      <c r="AL638" s="43"/>
      <c r="AM638" s="43"/>
      <c r="AN638" s="43"/>
      <c r="AO638" s="43"/>
      <c r="AP638" s="43"/>
      <c r="AQ638" s="43"/>
      <c r="AR638" s="43"/>
      <c r="AS638" s="43"/>
      <c r="AT638" s="43"/>
      <c r="AU638" s="43"/>
      <c r="AV638" s="43"/>
      <c r="AW638" s="43"/>
      <c r="AX638" s="43"/>
      <c r="AY638" s="43"/>
      <c r="AZ638" s="43"/>
      <c r="BA638" s="43"/>
      <c r="BB638" s="43"/>
      <c r="BC638" s="43"/>
      <c r="BD638" s="43"/>
      <c r="BE638" s="43"/>
      <c r="BF638" s="43"/>
      <c r="BG638" s="43"/>
      <c r="BH638" s="43"/>
      <c r="BI638" s="43"/>
      <c r="BJ638" s="43"/>
      <c r="BK638" s="43"/>
      <c r="BL638" s="43"/>
      <c r="BM638" s="43"/>
      <c r="BN638" s="43"/>
      <c r="BO638" s="43"/>
      <c r="BP638" s="43"/>
      <c r="BQ638" s="43"/>
      <c r="BR638" s="43"/>
      <c r="BS638" s="43"/>
      <c r="BT638" s="43"/>
      <c r="BU638" s="43"/>
      <c r="BV638" s="43"/>
      <c r="BW638" s="43"/>
      <c r="BX638" s="43"/>
      <c r="BY638" s="43"/>
      <c r="BZ638" s="43"/>
      <c r="CA638" s="43"/>
      <c r="CB638" s="43"/>
      <c r="CC638" s="43"/>
      <c r="CD638" s="43"/>
      <c r="CE638" s="43"/>
      <c r="CF638" s="43"/>
      <c r="CG638" s="43"/>
      <c r="CH638" s="43"/>
      <c r="CI638" s="43"/>
      <c r="CJ638" s="43"/>
      <c r="CK638" s="43"/>
      <c r="CL638" s="43"/>
      <c r="CM638" s="43"/>
      <c r="CN638" s="43"/>
      <c r="CO638" s="43"/>
      <c r="CP638" s="43"/>
      <c r="CQ638" s="43"/>
      <c r="CR638" s="43"/>
      <c r="CS638" s="43"/>
      <c r="CT638" s="43"/>
      <c r="CU638" s="43"/>
      <c r="CV638" s="43"/>
      <c r="CW638" s="43"/>
      <c r="CX638" s="43"/>
      <c r="CY638" s="43"/>
      <c r="CZ638" s="43"/>
      <c r="DA638" s="43"/>
      <c r="DB638" s="43"/>
      <c r="DC638" s="43"/>
      <c r="DD638" s="43"/>
      <c r="DE638" s="43"/>
      <c r="DF638" s="43"/>
      <c r="DG638" s="43"/>
      <c r="DH638" s="43"/>
      <c r="DI638" s="43"/>
      <c r="DJ638" s="43"/>
      <c r="DK638" s="43"/>
      <c r="DL638" s="43"/>
      <c r="DM638" s="43"/>
      <c r="DN638" s="43"/>
      <c r="DO638" s="43"/>
      <c r="DP638" s="43"/>
      <c r="DQ638" s="43"/>
      <c r="DR638" s="43"/>
      <c r="DS638" s="43"/>
    </row>
    <row r="639" spans="1:123" ht="14.45">
      <c r="A639"/>
      <c r="B639"/>
      <c r="C639"/>
      <c r="D639"/>
      <c r="E639"/>
      <c r="F639"/>
      <c r="G639"/>
      <c r="H639"/>
      <c r="I639"/>
      <c r="J639"/>
      <c r="K639" s="43"/>
      <c r="L639" s="43"/>
      <c r="M639" s="43"/>
      <c r="N639" s="43"/>
      <c r="O639" s="43"/>
      <c r="P639" s="43"/>
      <c r="Q639" s="43"/>
      <c r="R639" s="43"/>
      <c r="S639" s="43"/>
      <c r="T639" s="43"/>
      <c r="U639" s="43"/>
      <c r="V639" s="43"/>
      <c r="W639" s="43"/>
      <c r="X639" s="43"/>
      <c r="Y639" s="43"/>
      <c r="Z639" s="43"/>
      <c r="AA639" s="43"/>
      <c r="AB639" s="43"/>
      <c r="AC639" s="43"/>
      <c r="AD639" s="43"/>
      <c r="AE639" s="43"/>
      <c r="AF639" s="43"/>
      <c r="AG639" s="43"/>
      <c r="AH639" s="43"/>
      <c r="AI639" s="43"/>
      <c r="AJ639" s="43"/>
      <c r="AK639" s="43"/>
      <c r="AL639" s="43"/>
      <c r="AM639" s="43"/>
      <c r="AN639" s="43"/>
      <c r="AO639" s="43"/>
      <c r="AP639" s="43"/>
      <c r="AQ639" s="43"/>
      <c r="AR639" s="43"/>
      <c r="AS639" s="43"/>
      <c r="AT639" s="43"/>
      <c r="AU639" s="43"/>
      <c r="AV639" s="43"/>
      <c r="AW639" s="43"/>
      <c r="AX639" s="43"/>
      <c r="AY639" s="43"/>
      <c r="AZ639" s="43"/>
      <c r="BA639" s="43"/>
      <c r="BB639" s="43"/>
      <c r="BC639" s="43"/>
      <c r="BD639" s="43"/>
      <c r="BE639" s="43"/>
      <c r="BF639" s="43"/>
      <c r="BG639" s="43"/>
      <c r="BH639" s="43"/>
      <c r="BI639" s="43"/>
      <c r="BJ639" s="43"/>
      <c r="BK639" s="43"/>
      <c r="BL639" s="43"/>
      <c r="BM639" s="43"/>
      <c r="BN639" s="43"/>
      <c r="BO639" s="43"/>
      <c r="BP639" s="43"/>
      <c r="BQ639" s="43"/>
      <c r="BR639" s="43"/>
      <c r="BS639" s="43"/>
      <c r="BT639" s="43"/>
      <c r="BU639" s="43"/>
      <c r="BV639" s="43"/>
      <c r="BW639" s="43"/>
      <c r="BX639" s="43"/>
      <c r="BY639" s="43"/>
      <c r="BZ639" s="43"/>
      <c r="CA639" s="43"/>
      <c r="CB639" s="43"/>
      <c r="CC639" s="43"/>
      <c r="CD639" s="43"/>
      <c r="CE639" s="43"/>
      <c r="CF639" s="43"/>
      <c r="CG639" s="43"/>
      <c r="CH639" s="43"/>
      <c r="CI639" s="43"/>
      <c r="CJ639" s="43"/>
      <c r="CK639" s="43"/>
      <c r="CL639" s="43"/>
      <c r="CM639" s="43"/>
      <c r="CN639" s="43"/>
      <c r="CO639" s="43"/>
      <c r="CP639" s="43"/>
      <c r="CQ639" s="43"/>
      <c r="CR639" s="43"/>
      <c r="CS639" s="43"/>
      <c r="CT639" s="43"/>
      <c r="CU639" s="43"/>
      <c r="CV639" s="43"/>
      <c r="CW639" s="43"/>
      <c r="CX639" s="43"/>
      <c r="CY639" s="43"/>
      <c r="CZ639" s="43"/>
      <c r="DA639" s="43"/>
      <c r="DB639" s="43"/>
      <c r="DC639" s="43"/>
      <c r="DD639" s="43"/>
      <c r="DE639" s="43"/>
      <c r="DF639" s="43"/>
      <c r="DG639" s="43"/>
      <c r="DH639" s="43"/>
      <c r="DI639" s="43"/>
      <c r="DJ639" s="43"/>
      <c r="DK639" s="43"/>
      <c r="DL639" s="43"/>
      <c r="DM639" s="43"/>
      <c r="DN639" s="43"/>
      <c r="DO639" s="43"/>
      <c r="DP639" s="43"/>
      <c r="DQ639" s="43"/>
      <c r="DR639" s="43"/>
      <c r="DS639" s="43"/>
    </row>
    <row r="640" spans="1:123" ht="14.45">
      <c r="A640"/>
      <c r="B640"/>
      <c r="C640"/>
      <c r="D640"/>
      <c r="E640"/>
      <c r="F640"/>
      <c r="G640"/>
      <c r="H640"/>
      <c r="I640"/>
      <c r="J640"/>
      <c r="K640" s="43"/>
      <c r="L640" s="43"/>
      <c r="M640" s="43"/>
      <c r="N640" s="43"/>
      <c r="O640" s="43"/>
      <c r="P640" s="43"/>
      <c r="Q640" s="43"/>
      <c r="R640" s="43"/>
      <c r="S640" s="43"/>
      <c r="T640" s="43"/>
      <c r="U640" s="43"/>
      <c r="V640" s="43"/>
      <c r="W640" s="43"/>
      <c r="X640" s="43"/>
      <c r="Y640" s="43"/>
      <c r="Z640" s="43"/>
      <c r="AA640" s="43"/>
      <c r="AB640" s="43"/>
      <c r="AC640" s="43"/>
      <c r="AD640" s="43"/>
      <c r="AE640" s="43"/>
      <c r="AF640" s="43"/>
      <c r="AG640" s="43"/>
      <c r="AH640" s="43"/>
      <c r="AI640" s="43"/>
      <c r="AJ640" s="43"/>
      <c r="AK640" s="43"/>
      <c r="AL640" s="43"/>
      <c r="AM640" s="43"/>
      <c r="AN640" s="43"/>
      <c r="AO640" s="43"/>
      <c r="AP640" s="43"/>
      <c r="AQ640" s="43"/>
      <c r="AR640" s="43"/>
      <c r="AS640" s="43"/>
      <c r="AT640" s="43"/>
      <c r="AU640" s="43"/>
      <c r="AV640" s="43"/>
      <c r="AW640" s="43"/>
      <c r="AX640" s="43"/>
      <c r="AY640" s="43"/>
      <c r="AZ640" s="43"/>
      <c r="BA640" s="43"/>
      <c r="BB640" s="43"/>
      <c r="BC640" s="43"/>
      <c r="BD640" s="43"/>
      <c r="BE640" s="43"/>
      <c r="BF640" s="43"/>
      <c r="BG640" s="43"/>
      <c r="BH640" s="43"/>
      <c r="BI640" s="43"/>
      <c r="BJ640" s="43"/>
      <c r="BK640" s="43"/>
      <c r="BL640" s="43"/>
      <c r="BM640" s="43"/>
      <c r="BN640" s="43"/>
      <c r="BO640" s="43"/>
      <c r="BP640" s="43"/>
      <c r="BQ640" s="43"/>
      <c r="BR640" s="43"/>
      <c r="BS640" s="43"/>
      <c r="BT640" s="43"/>
      <c r="BU640" s="43"/>
      <c r="BV640" s="43"/>
      <c r="BW640" s="43"/>
      <c r="BX640" s="43"/>
      <c r="BY640" s="43"/>
      <c r="BZ640" s="43"/>
      <c r="CA640" s="43"/>
      <c r="CB640" s="43"/>
      <c r="CC640" s="43"/>
      <c r="CD640" s="43"/>
      <c r="CE640" s="43"/>
      <c r="CF640" s="43"/>
      <c r="CG640" s="43"/>
      <c r="CH640" s="43"/>
      <c r="CI640" s="43"/>
      <c r="CJ640" s="43"/>
      <c r="CK640" s="43"/>
      <c r="CL640" s="43"/>
      <c r="CM640" s="43"/>
      <c r="CN640" s="43"/>
      <c r="CO640" s="43"/>
      <c r="CP640" s="43"/>
      <c r="CQ640" s="43"/>
      <c r="CR640" s="43"/>
      <c r="CS640" s="43"/>
      <c r="CT640" s="43"/>
      <c r="CU640" s="43"/>
      <c r="CV640" s="43"/>
      <c r="CW640" s="43"/>
      <c r="CX640" s="43"/>
      <c r="CY640" s="43"/>
      <c r="CZ640" s="43"/>
      <c r="DA640" s="43"/>
      <c r="DB640" s="43"/>
      <c r="DC640" s="43"/>
      <c r="DD640" s="43"/>
      <c r="DE640" s="43"/>
      <c r="DF640" s="43"/>
      <c r="DG640" s="43"/>
      <c r="DH640" s="43"/>
      <c r="DI640" s="43"/>
      <c r="DJ640" s="43"/>
      <c r="DK640" s="43"/>
      <c r="DL640" s="43"/>
      <c r="DM640" s="43"/>
      <c r="DN640" s="43"/>
      <c r="DO640" s="43"/>
      <c r="DP640" s="43"/>
      <c r="DQ640" s="43"/>
      <c r="DR640" s="43"/>
      <c r="DS640" s="43"/>
    </row>
    <row r="641" spans="1:123" ht="14.45">
      <c r="A641"/>
      <c r="B641"/>
      <c r="C641"/>
      <c r="D641"/>
      <c r="E641"/>
      <c r="F641"/>
      <c r="G641"/>
      <c r="H641"/>
      <c r="I641"/>
      <c r="J641"/>
      <c r="K641" s="43"/>
      <c r="L641" s="43"/>
      <c r="M641" s="43"/>
      <c r="N641" s="43"/>
      <c r="O641" s="43"/>
      <c r="P641" s="43"/>
      <c r="Q641" s="43"/>
      <c r="R641" s="43"/>
      <c r="S641" s="43"/>
      <c r="T641" s="43"/>
      <c r="U641" s="43"/>
      <c r="V641" s="43"/>
      <c r="W641" s="43"/>
      <c r="X641" s="43"/>
      <c r="Y641" s="43"/>
      <c r="Z641" s="43"/>
      <c r="AA641" s="43"/>
      <c r="AB641" s="43"/>
      <c r="AC641" s="43"/>
      <c r="AD641" s="43"/>
      <c r="AE641" s="43"/>
      <c r="AF641" s="43"/>
      <c r="AG641" s="43"/>
      <c r="AH641" s="43"/>
      <c r="AI641" s="43"/>
      <c r="AJ641" s="43"/>
      <c r="AK641" s="43"/>
      <c r="AL641" s="43"/>
      <c r="AM641" s="43"/>
      <c r="AN641" s="43"/>
      <c r="AO641" s="43"/>
      <c r="AP641" s="43"/>
      <c r="AQ641" s="43"/>
      <c r="AR641" s="43"/>
      <c r="AS641" s="43"/>
      <c r="AT641" s="43"/>
      <c r="AU641" s="43"/>
      <c r="AV641" s="43"/>
      <c r="AW641" s="43"/>
      <c r="AX641" s="43"/>
      <c r="AY641" s="43"/>
      <c r="AZ641" s="43"/>
      <c r="BA641" s="43"/>
      <c r="BB641" s="43"/>
      <c r="BC641" s="43"/>
      <c r="BD641" s="43"/>
      <c r="BE641" s="43"/>
      <c r="BF641" s="43"/>
      <c r="BG641" s="43"/>
      <c r="BH641" s="43"/>
      <c r="BI641" s="43"/>
      <c r="BJ641" s="43"/>
      <c r="BK641" s="43"/>
      <c r="BL641" s="43"/>
      <c r="BM641" s="43"/>
      <c r="BN641" s="43"/>
      <c r="BO641" s="43"/>
      <c r="BP641" s="43"/>
      <c r="BQ641" s="43"/>
      <c r="BR641" s="43"/>
      <c r="BS641" s="43"/>
      <c r="BT641" s="43"/>
      <c r="BU641" s="43"/>
      <c r="BV641" s="43"/>
      <c r="BW641" s="43"/>
      <c r="BX641" s="43"/>
      <c r="BY641" s="43"/>
      <c r="BZ641" s="43"/>
      <c r="CA641" s="43"/>
      <c r="CB641" s="43"/>
      <c r="CC641" s="43"/>
      <c r="CD641" s="43"/>
      <c r="CE641" s="43"/>
      <c r="CF641" s="43"/>
      <c r="CG641" s="43"/>
      <c r="CH641" s="43"/>
      <c r="CI641" s="43"/>
      <c r="CJ641" s="43"/>
      <c r="CK641" s="43"/>
      <c r="CL641" s="43"/>
      <c r="CM641" s="43"/>
      <c r="CN641" s="43"/>
      <c r="CO641" s="43"/>
      <c r="CP641" s="43"/>
      <c r="CQ641" s="43"/>
      <c r="CR641" s="43"/>
      <c r="CS641" s="43"/>
      <c r="CT641" s="43"/>
      <c r="CU641" s="43"/>
      <c r="CV641" s="43"/>
      <c r="CW641" s="43"/>
      <c r="CX641" s="43"/>
      <c r="CY641" s="43"/>
      <c r="CZ641" s="43"/>
      <c r="DA641" s="43"/>
      <c r="DB641" s="43"/>
      <c r="DC641" s="43"/>
      <c r="DD641" s="43"/>
      <c r="DE641" s="43"/>
      <c r="DF641" s="43"/>
      <c r="DG641" s="43"/>
      <c r="DH641" s="43"/>
      <c r="DI641" s="43"/>
      <c r="DJ641" s="43"/>
      <c r="DK641" s="43"/>
      <c r="DL641" s="43"/>
      <c r="DM641" s="43"/>
      <c r="DN641" s="43"/>
      <c r="DO641" s="43"/>
      <c r="DP641" s="43"/>
      <c r="DQ641" s="43"/>
      <c r="DR641" s="43"/>
      <c r="DS641" s="43"/>
    </row>
    <row r="642" spans="1:123" ht="14.45">
      <c r="A642"/>
      <c r="B642"/>
      <c r="C642"/>
      <c r="D642"/>
      <c r="E642"/>
      <c r="F642"/>
      <c r="G642"/>
      <c r="H642"/>
      <c r="I642"/>
      <c r="J642"/>
      <c r="K642" s="43"/>
      <c r="L642" s="43"/>
      <c r="M642" s="43"/>
      <c r="N642" s="43"/>
      <c r="O642" s="43"/>
      <c r="P642" s="43"/>
      <c r="Q642" s="43"/>
      <c r="R642" s="43"/>
      <c r="S642" s="43"/>
      <c r="T642" s="43"/>
      <c r="U642" s="43"/>
      <c r="V642" s="43"/>
      <c r="W642" s="43"/>
      <c r="X642" s="43"/>
      <c r="Y642" s="43"/>
      <c r="Z642" s="43"/>
      <c r="AA642" s="43"/>
      <c r="AB642" s="43"/>
      <c r="AC642" s="43"/>
      <c r="AD642" s="43"/>
      <c r="AE642" s="43"/>
      <c r="AF642" s="43"/>
      <c r="AG642" s="43"/>
      <c r="AH642" s="43"/>
      <c r="AI642" s="43"/>
      <c r="AJ642" s="43"/>
      <c r="AK642" s="43"/>
      <c r="AL642" s="43"/>
      <c r="AM642" s="43"/>
      <c r="AN642" s="43"/>
      <c r="AO642" s="43"/>
      <c r="AP642" s="43"/>
      <c r="AQ642" s="43"/>
      <c r="AR642" s="43"/>
      <c r="AS642" s="43"/>
      <c r="AT642" s="43"/>
      <c r="AU642" s="43"/>
      <c r="AV642" s="43"/>
      <c r="AW642" s="43"/>
      <c r="AX642" s="43"/>
      <c r="AY642" s="43"/>
      <c r="AZ642" s="43"/>
      <c r="BA642" s="43"/>
      <c r="BB642" s="43"/>
      <c r="BC642" s="43"/>
      <c r="BD642" s="43"/>
      <c r="BE642" s="43"/>
      <c r="BF642" s="43"/>
      <c r="BG642" s="43"/>
      <c r="BH642" s="43"/>
      <c r="BI642" s="43"/>
      <c r="BJ642" s="43"/>
      <c r="BK642" s="43"/>
      <c r="BL642" s="43"/>
      <c r="BM642" s="43"/>
      <c r="BN642" s="43"/>
      <c r="BO642" s="43"/>
      <c r="BP642" s="43"/>
      <c r="BQ642" s="43"/>
      <c r="BR642" s="43"/>
      <c r="BS642" s="43"/>
      <c r="BT642" s="43"/>
      <c r="BU642" s="43"/>
      <c r="BV642" s="43"/>
      <c r="BW642" s="43"/>
      <c r="BX642" s="43"/>
      <c r="BY642" s="43"/>
      <c r="BZ642" s="43"/>
      <c r="CA642" s="43"/>
      <c r="CB642" s="43"/>
      <c r="CC642" s="43"/>
      <c r="CD642" s="43"/>
      <c r="CE642" s="43"/>
      <c r="CF642" s="43"/>
      <c r="CG642" s="43"/>
      <c r="CH642" s="43"/>
      <c r="CI642" s="43"/>
      <c r="CJ642" s="43"/>
      <c r="CK642" s="43"/>
      <c r="CL642" s="43"/>
      <c r="CM642" s="43"/>
      <c r="CN642" s="43"/>
      <c r="CO642" s="43"/>
      <c r="CP642" s="43"/>
      <c r="CQ642" s="43"/>
      <c r="CR642" s="43"/>
      <c r="CS642" s="43"/>
      <c r="CT642" s="43"/>
      <c r="CU642" s="43"/>
      <c r="CV642" s="43"/>
      <c r="CW642" s="43"/>
      <c r="CX642" s="43"/>
      <c r="CY642" s="43"/>
      <c r="CZ642" s="43"/>
      <c r="DA642" s="43"/>
      <c r="DB642" s="43"/>
      <c r="DC642" s="43"/>
      <c r="DD642" s="43"/>
      <c r="DE642" s="43"/>
      <c r="DF642" s="43"/>
      <c r="DG642" s="43"/>
      <c r="DH642" s="43"/>
      <c r="DI642" s="43"/>
      <c r="DJ642" s="43"/>
      <c r="DK642" s="43"/>
      <c r="DL642" s="43"/>
      <c r="DM642" s="43"/>
      <c r="DN642" s="43"/>
      <c r="DO642" s="43"/>
      <c r="DP642" s="43"/>
      <c r="DQ642" s="43"/>
      <c r="DR642" s="43"/>
      <c r="DS642" s="43"/>
    </row>
    <row r="643" spans="1:123" ht="14.45">
      <c r="A643"/>
      <c r="B643"/>
      <c r="C643"/>
      <c r="D643"/>
      <c r="E643"/>
      <c r="F643"/>
      <c r="G643"/>
      <c r="H643"/>
      <c r="I643"/>
      <c r="J643"/>
      <c r="K643" s="43"/>
      <c r="L643" s="43"/>
      <c r="M643" s="43"/>
      <c r="N643" s="43"/>
      <c r="O643" s="43"/>
      <c r="P643" s="43"/>
      <c r="Q643" s="43"/>
      <c r="R643" s="43"/>
      <c r="S643" s="43"/>
      <c r="T643" s="43"/>
      <c r="U643" s="43"/>
      <c r="V643" s="43"/>
      <c r="W643" s="43"/>
      <c r="X643" s="43"/>
      <c r="Y643" s="43"/>
      <c r="Z643" s="43"/>
      <c r="AA643" s="43"/>
      <c r="AB643" s="43"/>
      <c r="AC643" s="43"/>
      <c r="AD643" s="43"/>
      <c r="AE643" s="43"/>
      <c r="AF643" s="43"/>
      <c r="AG643" s="43"/>
      <c r="AH643" s="43"/>
      <c r="AI643" s="43"/>
      <c r="AJ643" s="43"/>
      <c r="AK643" s="43"/>
      <c r="AL643" s="43"/>
      <c r="AM643" s="43"/>
      <c r="AN643" s="43"/>
      <c r="AO643" s="43"/>
      <c r="AP643" s="43"/>
      <c r="AQ643" s="43"/>
      <c r="AR643" s="43"/>
      <c r="AS643" s="43"/>
      <c r="AT643" s="43"/>
      <c r="AU643" s="43"/>
      <c r="AV643" s="43"/>
      <c r="AW643" s="43"/>
      <c r="AX643" s="43"/>
      <c r="AY643" s="43"/>
      <c r="AZ643" s="43"/>
      <c r="BA643" s="43"/>
      <c r="BB643" s="43"/>
      <c r="BC643" s="43"/>
      <c r="BD643" s="43"/>
      <c r="BE643" s="43"/>
      <c r="BF643" s="43"/>
      <c r="BG643" s="43"/>
      <c r="BH643" s="43"/>
      <c r="BI643" s="43"/>
      <c r="BJ643" s="43"/>
      <c r="BK643" s="43"/>
      <c r="BL643" s="43"/>
      <c r="BM643" s="43"/>
      <c r="BN643" s="43"/>
      <c r="BO643" s="43"/>
      <c r="BP643" s="43"/>
      <c r="BQ643" s="43"/>
      <c r="BR643" s="43"/>
      <c r="BS643" s="43"/>
      <c r="BT643" s="43"/>
      <c r="BU643" s="43"/>
      <c r="BV643" s="43"/>
      <c r="BW643" s="43"/>
      <c r="BX643" s="43"/>
      <c r="BY643" s="43"/>
      <c r="BZ643" s="43"/>
      <c r="CA643" s="43"/>
      <c r="CB643" s="43"/>
      <c r="CC643" s="43"/>
      <c r="CD643" s="43"/>
      <c r="CE643" s="43"/>
      <c r="CF643" s="43"/>
      <c r="CG643" s="43"/>
      <c r="CH643" s="43"/>
      <c r="CI643" s="43"/>
      <c r="CJ643" s="43"/>
      <c r="CK643" s="43"/>
      <c r="CL643" s="43"/>
      <c r="CM643" s="43"/>
      <c r="CN643" s="43"/>
      <c r="CO643" s="43"/>
      <c r="CP643" s="43"/>
      <c r="CQ643" s="43"/>
      <c r="CR643" s="43"/>
      <c r="CS643" s="43"/>
      <c r="CT643" s="43"/>
      <c r="CU643" s="43"/>
      <c r="CV643" s="43"/>
      <c r="CW643" s="43"/>
      <c r="CX643" s="43"/>
      <c r="CY643" s="43"/>
      <c r="CZ643" s="43"/>
      <c r="DA643" s="43"/>
      <c r="DB643" s="43"/>
      <c r="DC643" s="43"/>
      <c r="DD643" s="43"/>
      <c r="DE643" s="43"/>
      <c r="DF643" s="43"/>
      <c r="DG643" s="43"/>
      <c r="DH643" s="43"/>
      <c r="DI643" s="43"/>
      <c r="DJ643" s="43"/>
      <c r="DK643" s="43"/>
      <c r="DL643" s="43"/>
      <c r="DM643" s="43"/>
      <c r="DN643" s="43"/>
      <c r="DO643" s="43"/>
      <c r="DP643" s="43"/>
      <c r="DQ643" s="43"/>
      <c r="DR643" s="43"/>
      <c r="DS643" s="43"/>
    </row>
    <row r="644" spans="1:123" ht="14.45">
      <c r="A644"/>
      <c r="B644"/>
      <c r="C644"/>
      <c r="D644"/>
      <c r="E644"/>
      <c r="F644"/>
      <c r="G644"/>
      <c r="H644"/>
      <c r="I644"/>
      <c r="J644"/>
      <c r="K644" s="43"/>
      <c r="L644" s="43"/>
      <c r="M644" s="43"/>
      <c r="N644" s="43"/>
      <c r="O644" s="43"/>
      <c r="P644" s="43"/>
      <c r="Q644" s="43"/>
      <c r="R644" s="43"/>
      <c r="S644" s="43"/>
      <c r="T644" s="43"/>
      <c r="U644" s="43"/>
      <c r="V644" s="43"/>
      <c r="W644" s="43"/>
      <c r="X644" s="43"/>
      <c r="Y644" s="43"/>
      <c r="Z644" s="43"/>
      <c r="AA644" s="43"/>
      <c r="AB644" s="43"/>
      <c r="AC644" s="43"/>
      <c r="AD644" s="43"/>
      <c r="AE644" s="43"/>
      <c r="AF644" s="43"/>
      <c r="AG644" s="43"/>
      <c r="AH644" s="43"/>
      <c r="AI644" s="43"/>
      <c r="AJ644" s="43"/>
      <c r="AK644" s="43"/>
      <c r="AL644" s="43"/>
      <c r="AM644" s="43"/>
      <c r="AN644" s="43"/>
      <c r="AO644" s="43"/>
      <c r="AP644" s="43"/>
      <c r="AQ644" s="43"/>
      <c r="AR644" s="43"/>
      <c r="AS644" s="43"/>
      <c r="AT644" s="43"/>
      <c r="AU644" s="43"/>
      <c r="AV644" s="43"/>
      <c r="AW644" s="43"/>
      <c r="AX644" s="43"/>
      <c r="AY644" s="43"/>
      <c r="AZ644" s="43"/>
      <c r="BA644" s="43"/>
      <c r="BB644" s="43"/>
      <c r="BC644" s="43"/>
      <c r="BD644" s="43"/>
      <c r="BE644" s="43"/>
      <c r="BF644" s="43"/>
      <c r="BG644" s="43"/>
      <c r="BH644" s="43"/>
      <c r="BI644" s="43"/>
      <c r="BJ644" s="43"/>
      <c r="BK644" s="43"/>
      <c r="BL644" s="43"/>
      <c r="BM644" s="43"/>
      <c r="BN644" s="43"/>
      <c r="BO644" s="43"/>
      <c r="BP644" s="43"/>
      <c r="BQ644" s="43"/>
      <c r="BR644" s="43"/>
      <c r="BS644" s="43"/>
      <c r="BT644" s="43"/>
      <c r="BU644" s="43"/>
      <c r="BV644" s="43"/>
      <c r="BW644" s="43"/>
      <c r="BX644" s="43"/>
      <c r="BY644" s="43"/>
      <c r="BZ644" s="43"/>
      <c r="CA644" s="43"/>
      <c r="CB644" s="43"/>
      <c r="CC644" s="43"/>
      <c r="CD644" s="43"/>
      <c r="CE644" s="43"/>
      <c r="CF644" s="43"/>
      <c r="CG644" s="43"/>
      <c r="CH644" s="43"/>
      <c r="CI644" s="43"/>
      <c r="CJ644" s="43"/>
      <c r="CK644" s="43"/>
      <c r="CL644" s="43"/>
      <c r="CM644" s="43"/>
      <c r="CN644" s="43"/>
      <c r="CO644" s="43"/>
      <c r="CP644" s="43"/>
      <c r="CQ644" s="43"/>
      <c r="CR644" s="43"/>
      <c r="CS644" s="43"/>
      <c r="CT644" s="43"/>
      <c r="CU644" s="43"/>
      <c r="CV644" s="43"/>
      <c r="CW644" s="43"/>
      <c r="CX644" s="43"/>
      <c r="CY644" s="43"/>
      <c r="CZ644" s="43"/>
      <c r="DA644" s="43"/>
      <c r="DB644" s="43"/>
      <c r="DC644" s="43"/>
      <c r="DD644" s="43"/>
      <c r="DE644" s="43"/>
      <c r="DF644" s="43"/>
      <c r="DG644" s="43"/>
      <c r="DH644" s="43"/>
      <c r="DI644" s="43"/>
      <c r="DJ644" s="43"/>
      <c r="DK644" s="43"/>
      <c r="DL644" s="43"/>
      <c r="DM644" s="43"/>
      <c r="DN644" s="43"/>
      <c r="DO644" s="43"/>
      <c r="DP644" s="43"/>
      <c r="DQ644" s="43"/>
      <c r="DR644" s="43"/>
      <c r="DS644" s="43"/>
    </row>
    <row r="645" spans="1:123" ht="14.45">
      <c r="A645"/>
      <c r="B645"/>
      <c r="C645"/>
      <c r="D645"/>
      <c r="E645"/>
      <c r="F645"/>
      <c r="G645"/>
      <c r="H645"/>
      <c r="I645"/>
      <c r="J645"/>
      <c r="K645" s="43"/>
      <c r="L645" s="43"/>
      <c r="M645" s="43"/>
      <c r="N645" s="43"/>
      <c r="O645" s="43"/>
      <c r="P645" s="43"/>
      <c r="Q645" s="43"/>
      <c r="R645" s="43"/>
      <c r="S645" s="43"/>
      <c r="T645" s="43"/>
      <c r="U645" s="43"/>
      <c r="V645" s="43"/>
      <c r="W645" s="43"/>
      <c r="X645" s="43"/>
      <c r="Y645" s="43"/>
      <c r="Z645" s="43"/>
      <c r="AA645" s="43"/>
      <c r="AB645" s="43"/>
      <c r="AC645" s="43"/>
      <c r="AD645" s="43"/>
      <c r="AE645" s="43"/>
      <c r="AF645" s="43"/>
      <c r="AG645" s="43"/>
      <c r="AH645" s="43"/>
      <c r="AI645" s="43"/>
      <c r="AJ645" s="43"/>
      <c r="AK645" s="43"/>
      <c r="AL645" s="43"/>
      <c r="AM645" s="43"/>
      <c r="AN645" s="43"/>
      <c r="AO645" s="43"/>
      <c r="AP645" s="43"/>
      <c r="AQ645" s="43"/>
      <c r="AR645" s="43"/>
      <c r="AS645" s="43"/>
      <c r="AT645" s="43"/>
      <c r="AU645" s="43"/>
      <c r="AV645" s="43"/>
      <c r="AW645" s="43"/>
      <c r="AX645" s="43"/>
      <c r="AY645" s="43"/>
      <c r="AZ645" s="43"/>
      <c r="BA645" s="43"/>
      <c r="BB645" s="43"/>
      <c r="BC645" s="43"/>
      <c r="BD645" s="43"/>
      <c r="BE645" s="43"/>
      <c r="BF645" s="43"/>
      <c r="BG645" s="43"/>
      <c r="BH645" s="43"/>
      <c r="BI645" s="43"/>
      <c r="BJ645" s="43"/>
      <c r="BK645" s="43"/>
      <c r="BL645" s="43"/>
      <c r="BM645" s="43"/>
      <c r="BN645" s="43"/>
      <c r="BO645" s="43"/>
      <c r="BP645" s="43"/>
      <c r="BQ645" s="43"/>
      <c r="BR645" s="43"/>
      <c r="BS645" s="43"/>
      <c r="BT645" s="43"/>
      <c r="BU645" s="43"/>
      <c r="BV645" s="43"/>
      <c r="BW645" s="43"/>
      <c r="BX645" s="43"/>
      <c r="BY645" s="43"/>
      <c r="BZ645" s="43"/>
      <c r="CA645" s="43"/>
      <c r="CB645" s="43"/>
      <c r="CC645" s="43"/>
      <c r="CD645" s="43"/>
      <c r="CE645" s="43"/>
      <c r="CF645" s="43"/>
      <c r="CG645" s="43"/>
      <c r="CH645" s="43"/>
      <c r="CI645" s="43"/>
      <c r="CJ645" s="43"/>
      <c r="CK645" s="43"/>
      <c r="CL645" s="43"/>
      <c r="CM645" s="43"/>
      <c r="CN645" s="43"/>
      <c r="CO645" s="43"/>
      <c r="CP645" s="43"/>
      <c r="CQ645" s="43"/>
      <c r="CR645" s="43"/>
      <c r="CS645" s="43"/>
      <c r="CT645" s="43"/>
      <c r="CU645" s="43"/>
      <c r="CV645" s="43"/>
      <c r="CW645" s="43"/>
      <c r="CX645" s="43"/>
      <c r="CY645" s="43"/>
      <c r="CZ645" s="43"/>
      <c r="DA645" s="43"/>
      <c r="DB645" s="43"/>
      <c r="DC645" s="43"/>
      <c r="DD645" s="43"/>
      <c r="DE645" s="43"/>
      <c r="DF645" s="43"/>
      <c r="DG645" s="43"/>
      <c r="DH645" s="43"/>
      <c r="DI645" s="43"/>
      <c r="DJ645" s="43"/>
      <c r="DK645" s="43"/>
      <c r="DL645" s="43"/>
      <c r="DM645" s="43"/>
      <c r="DN645" s="43"/>
      <c r="DO645" s="43"/>
      <c r="DP645" s="43"/>
      <c r="DQ645" s="43"/>
      <c r="DR645" s="43"/>
      <c r="DS645" s="43"/>
    </row>
    <row r="646" spans="1:123" ht="14.45">
      <c r="A646"/>
      <c r="B646"/>
      <c r="C646"/>
      <c r="D646"/>
      <c r="E646"/>
      <c r="F646"/>
      <c r="G646"/>
      <c r="H646"/>
      <c r="I646"/>
      <c r="J646"/>
      <c r="K646" s="43"/>
      <c r="L646" s="43"/>
      <c r="M646" s="43"/>
      <c r="N646" s="43"/>
      <c r="O646" s="43"/>
      <c r="P646" s="43"/>
      <c r="Q646" s="43"/>
      <c r="R646" s="43"/>
      <c r="S646" s="43"/>
      <c r="T646" s="43"/>
      <c r="U646" s="43"/>
      <c r="V646" s="43"/>
      <c r="W646" s="43"/>
      <c r="X646" s="43"/>
      <c r="Y646" s="43"/>
      <c r="Z646" s="43"/>
      <c r="AA646" s="43"/>
      <c r="AB646" s="43"/>
      <c r="AC646" s="43"/>
      <c r="AD646" s="43"/>
      <c r="AE646" s="43"/>
      <c r="AF646" s="43"/>
      <c r="AG646" s="43"/>
      <c r="AH646" s="43"/>
      <c r="AI646" s="43"/>
      <c r="AJ646" s="43"/>
      <c r="AK646" s="43"/>
      <c r="AL646" s="43"/>
      <c r="AM646" s="43"/>
      <c r="AN646" s="43"/>
      <c r="AO646" s="43"/>
      <c r="AP646" s="43"/>
      <c r="AQ646" s="43"/>
      <c r="AR646" s="43"/>
      <c r="AS646" s="43"/>
      <c r="AT646" s="43"/>
      <c r="AU646" s="43"/>
      <c r="AV646" s="43"/>
      <c r="AW646" s="43"/>
      <c r="AX646" s="43"/>
      <c r="AY646" s="43"/>
      <c r="AZ646" s="43"/>
      <c r="BA646" s="43"/>
      <c r="BB646" s="43"/>
      <c r="BC646" s="43"/>
      <c r="BD646" s="43"/>
      <c r="BE646" s="43"/>
      <c r="BF646" s="43"/>
      <c r="BG646" s="43"/>
      <c r="BH646" s="43"/>
      <c r="BI646" s="43"/>
      <c r="BJ646" s="43"/>
      <c r="BK646" s="43"/>
      <c r="BL646" s="43"/>
      <c r="BM646" s="43"/>
      <c r="BN646" s="43"/>
      <c r="BO646" s="43"/>
      <c r="BP646" s="43"/>
      <c r="BQ646" s="43"/>
      <c r="BR646" s="43"/>
      <c r="BS646" s="43"/>
      <c r="BT646" s="43"/>
      <c r="BU646" s="43"/>
      <c r="BV646" s="43"/>
      <c r="BW646" s="43"/>
      <c r="BX646" s="43"/>
      <c r="BY646" s="43"/>
      <c r="BZ646" s="43"/>
      <c r="CA646" s="43"/>
      <c r="CB646" s="43"/>
      <c r="CC646" s="43"/>
      <c r="CD646" s="43"/>
      <c r="CE646" s="43"/>
      <c r="CF646" s="43"/>
      <c r="CG646" s="43"/>
      <c r="CH646" s="43"/>
      <c r="CI646" s="43"/>
      <c r="CJ646" s="43"/>
      <c r="CK646" s="43"/>
      <c r="CL646" s="43"/>
      <c r="CM646" s="43"/>
      <c r="CN646" s="43"/>
      <c r="CO646" s="43"/>
      <c r="CP646" s="43"/>
      <c r="CQ646" s="43"/>
      <c r="CR646" s="43"/>
      <c r="CS646" s="43"/>
      <c r="CT646" s="43"/>
      <c r="CU646" s="43"/>
      <c r="CV646" s="43"/>
      <c r="CW646" s="43"/>
      <c r="CX646" s="43"/>
      <c r="CY646" s="43"/>
      <c r="CZ646" s="43"/>
      <c r="DA646" s="43"/>
      <c r="DB646" s="43"/>
      <c r="DC646" s="43"/>
      <c r="DD646" s="43"/>
      <c r="DE646" s="43"/>
      <c r="DF646" s="43"/>
      <c r="DG646" s="43"/>
      <c r="DH646" s="43"/>
      <c r="DI646" s="43"/>
      <c r="DJ646" s="43"/>
      <c r="DK646" s="43"/>
      <c r="DL646" s="43"/>
      <c r="DM646" s="43"/>
      <c r="DN646" s="43"/>
      <c r="DO646" s="43"/>
      <c r="DP646" s="43"/>
      <c r="DQ646" s="43"/>
      <c r="DR646" s="43"/>
      <c r="DS646" s="43"/>
    </row>
    <row r="647" spans="1:123" ht="14.45">
      <c r="A647"/>
      <c r="B647"/>
      <c r="C647"/>
      <c r="D647"/>
      <c r="E647"/>
      <c r="F647"/>
      <c r="G647"/>
      <c r="H647"/>
      <c r="I647"/>
      <c r="J647"/>
      <c r="K647" s="43"/>
      <c r="L647" s="43"/>
      <c r="M647" s="43"/>
      <c r="N647" s="43"/>
      <c r="O647" s="43"/>
      <c r="P647" s="43"/>
      <c r="Q647" s="43"/>
      <c r="R647" s="43"/>
      <c r="S647" s="43"/>
      <c r="T647" s="43"/>
      <c r="U647" s="43"/>
      <c r="V647" s="43"/>
      <c r="W647" s="43"/>
      <c r="X647" s="43"/>
      <c r="Y647" s="43"/>
      <c r="Z647" s="43"/>
      <c r="AA647" s="43"/>
      <c r="AB647" s="43"/>
      <c r="AC647" s="43"/>
      <c r="AD647" s="43"/>
      <c r="AE647" s="43"/>
      <c r="AF647" s="43"/>
      <c r="AG647" s="43"/>
      <c r="AH647" s="43"/>
      <c r="AI647" s="43"/>
      <c r="AJ647" s="43"/>
      <c r="AK647" s="43"/>
      <c r="AL647" s="43"/>
      <c r="AM647" s="43"/>
      <c r="AN647" s="43"/>
      <c r="AO647" s="43"/>
      <c r="AP647" s="43"/>
      <c r="AQ647" s="43"/>
      <c r="AR647" s="43"/>
      <c r="AS647" s="43"/>
      <c r="AT647" s="43"/>
      <c r="AU647" s="43"/>
      <c r="AV647" s="43"/>
      <c r="AW647" s="43"/>
      <c r="AX647" s="43"/>
      <c r="AY647" s="43"/>
      <c r="AZ647" s="43"/>
      <c r="BA647" s="43"/>
      <c r="BB647" s="43"/>
      <c r="BC647" s="43"/>
      <c r="BD647" s="43"/>
      <c r="BE647" s="43"/>
      <c r="BF647" s="43"/>
      <c r="BG647" s="43"/>
      <c r="BH647" s="43"/>
      <c r="BI647" s="43"/>
      <c r="BJ647" s="43"/>
      <c r="BK647" s="43"/>
      <c r="BL647" s="43"/>
      <c r="BM647" s="43"/>
      <c r="BN647" s="43"/>
      <c r="BO647" s="43"/>
      <c r="BP647" s="43"/>
      <c r="BQ647" s="43"/>
      <c r="BR647" s="43"/>
      <c r="BS647" s="43"/>
      <c r="BT647" s="43"/>
      <c r="BU647" s="43"/>
      <c r="BV647" s="43"/>
      <c r="BW647" s="43"/>
      <c r="BX647" s="43"/>
      <c r="BY647" s="43"/>
      <c r="BZ647" s="43"/>
      <c r="CA647" s="43"/>
      <c r="CB647" s="43"/>
      <c r="CC647" s="43"/>
      <c r="CD647" s="43"/>
      <c r="CE647" s="43"/>
      <c r="CF647" s="43"/>
      <c r="CG647" s="43"/>
      <c r="CH647" s="43"/>
      <c r="CI647" s="43"/>
      <c r="CJ647" s="43"/>
      <c r="CK647" s="43"/>
      <c r="CL647" s="43"/>
      <c r="CM647" s="43"/>
      <c r="CN647" s="43"/>
      <c r="CO647" s="43"/>
      <c r="CP647" s="43"/>
      <c r="CQ647" s="43"/>
      <c r="CR647" s="43"/>
      <c r="CS647" s="43"/>
      <c r="CT647" s="43"/>
      <c r="CU647" s="43"/>
      <c r="CV647" s="43"/>
      <c r="CW647" s="43"/>
      <c r="CX647" s="43"/>
      <c r="CY647" s="43"/>
      <c r="CZ647" s="43"/>
      <c r="DA647" s="43"/>
      <c r="DB647" s="43"/>
      <c r="DC647" s="43"/>
      <c r="DD647" s="43"/>
      <c r="DE647" s="43"/>
      <c r="DF647" s="43"/>
      <c r="DG647" s="43"/>
      <c r="DH647" s="43"/>
      <c r="DI647" s="43"/>
      <c r="DJ647" s="43"/>
      <c r="DK647" s="43"/>
      <c r="DL647" s="43"/>
      <c r="DM647" s="43"/>
      <c r="DN647" s="43"/>
      <c r="DO647" s="43"/>
      <c r="DP647" s="43"/>
      <c r="DQ647" s="43"/>
      <c r="DR647" s="43"/>
      <c r="DS647" s="43"/>
    </row>
    <row r="648" spans="1:123" ht="14.45">
      <c r="A648"/>
      <c r="B648"/>
      <c r="C648"/>
      <c r="D648"/>
      <c r="E648"/>
      <c r="F648"/>
      <c r="G648"/>
      <c r="H648"/>
      <c r="I648"/>
      <c r="J648"/>
      <c r="K648" s="43"/>
      <c r="L648" s="43"/>
      <c r="M648" s="43"/>
      <c r="N648" s="43"/>
      <c r="O648" s="43"/>
      <c r="P648" s="43"/>
      <c r="Q648" s="43"/>
      <c r="R648" s="43"/>
      <c r="S648" s="43"/>
      <c r="T648" s="43"/>
      <c r="U648" s="43"/>
      <c r="V648" s="43"/>
      <c r="W648" s="43"/>
      <c r="X648" s="43"/>
      <c r="Y648" s="43"/>
      <c r="Z648" s="43"/>
      <c r="AA648" s="43"/>
      <c r="AB648" s="43"/>
      <c r="AC648" s="43"/>
      <c r="AD648" s="43"/>
      <c r="AE648" s="43"/>
      <c r="AF648" s="43"/>
      <c r="AG648" s="43"/>
      <c r="AH648" s="43"/>
      <c r="AI648" s="43"/>
      <c r="AJ648" s="43"/>
      <c r="AK648" s="43"/>
      <c r="AL648" s="43"/>
      <c r="AM648" s="43"/>
      <c r="AN648" s="43"/>
      <c r="AO648" s="43"/>
      <c r="AP648" s="43"/>
      <c r="AQ648" s="43"/>
      <c r="AR648" s="43"/>
      <c r="AS648" s="43"/>
      <c r="AT648" s="43"/>
      <c r="AU648" s="43"/>
      <c r="AV648" s="43"/>
      <c r="AW648" s="43"/>
      <c r="AX648" s="43"/>
      <c r="AY648" s="43"/>
      <c r="AZ648" s="43"/>
      <c r="BA648" s="43"/>
      <c r="BB648" s="43"/>
      <c r="BC648" s="43"/>
      <c r="BD648" s="43"/>
      <c r="BE648" s="43"/>
      <c r="BF648" s="43"/>
      <c r="BG648" s="43"/>
      <c r="BH648" s="43"/>
      <c r="BI648" s="43"/>
      <c r="BJ648" s="43"/>
      <c r="BK648" s="43"/>
      <c r="BL648" s="43"/>
      <c r="BM648" s="43"/>
      <c r="BN648" s="43"/>
      <c r="BO648" s="43"/>
      <c r="BP648" s="43"/>
      <c r="BQ648" s="43"/>
      <c r="BR648" s="43"/>
      <c r="BS648" s="43"/>
      <c r="BT648" s="43"/>
      <c r="BU648" s="43"/>
      <c r="BV648" s="43"/>
      <c r="BW648" s="43"/>
      <c r="BX648" s="43"/>
      <c r="BY648" s="43"/>
      <c r="BZ648" s="43"/>
      <c r="CA648" s="43"/>
      <c r="CB648" s="43"/>
      <c r="CC648" s="43"/>
      <c r="CD648" s="43"/>
      <c r="CE648" s="43"/>
      <c r="CF648" s="43"/>
      <c r="CG648" s="43"/>
      <c r="CH648" s="43"/>
      <c r="CI648" s="43"/>
      <c r="CJ648" s="43"/>
      <c r="CK648" s="43"/>
      <c r="CL648" s="43"/>
      <c r="CM648" s="43"/>
      <c r="CN648" s="43"/>
      <c r="CO648" s="43"/>
      <c r="CP648" s="43"/>
      <c r="CQ648" s="43"/>
      <c r="CR648" s="43"/>
      <c r="CS648" s="43"/>
      <c r="CT648" s="43"/>
      <c r="CU648" s="43"/>
      <c r="CV648" s="43"/>
      <c r="CW648" s="43"/>
      <c r="CX648" s="43"/>
      <c r="CY648" s="43"/>
      <c r="CZ648" s="43"/>
      <c r="DA648" s="43"/>
      <c r="DB648" s="43"/>
      <c r="DC648" s="43"/>
      <c r="DD648" s="43"/>
      <c r="DE648" s="43"/>
      <c r="DF648" s="43"/>
      <c r="DG648" s="43"/>
      <c r="DH648" s="43"/>
      <c r="DI648" s="43"/>
      <c r="DJ648" s="43"/>
      <c r="DK648" s="43"/>
      <c r="DL648" s="43"/>
      <c r="DM648" s="43"/>
      <c r="DN648" s="43"/>
      <c r="DO648" s="43"/>
      <c r="DP648" s="43"/>
      <c r="DQ648" s="43"/>
      <c r="DR648" s="43"/>
      <c r="DS648" s="43"/>
    </row>
    <row r="649" spans="1:123" ht="14.45">
      <c r="A649"/>
      <c r="B649"/>
      <c r="C649"/>
      <c r="D649"/>
      <c r="E649"/>
      <c r="F649"/>
      <c r="G649"/>
      <c r="H649"/>
      <c r="I649"/>
      <c r="J649"/>
      <c r="K649" s="43"/>
      <c r="L649" s="43"/>
      <c r="M649" s="43"/>
      <c r="N649" s="43"/>
      <c r="O649" s="43"/>
      <c r="P649" s="43"/>
      <c r="Q649" s="43"/>
      <c r="R649" s="43"/>
      <c r="S649" s="43"/>
      <c r="T649" s="43"/>
      <c r="U649" s="43"/>
      <c r="V649" s="43"/>
      <c r="W649" s="43"/>
      <c r="X649" s="43"/>
      <c r="Y649" s="43"/>
      <c r="Z649" s="43"/>
      <c r="AA649" s="43"/>
      <c r="AB649" s="43"/>
      <c r="AC649" s="43"/>
      <c r="AD649" s="43"/>
      <c r="AE649" s="43"/>
      <c r="AF649" s="43"/>
      <c r="AG649" s="43"/>
      <c r="AH649" s="43"/>
      <c r="AI649" s="43"/>
      <c r="AJ649" s="43"/>
      <c r="AK649" s="43"/>
      <c r="AL649" s="43"/>
      <c r="AM649" s="43"/>
      <c r="AN649" s="43"/>
      <c r="AO649" s="43"/>
      <c r="AP649" s="43"/>
      <c r="AQ649" s="43"/>
      <c r="AR649" s="43"/>
      <c r="AS649" s="43"/>
      <c r="AT649" s="43"/>
      <c r="AU649" s="43"/>
      <c r="AV649" s="43"/>
      <c r="AW649" s="43"/>
      <c r="AX649" s="43"/>
      <c r="AY649" s="43"/>
      <c r="AZ649" s="43"/>
      <c r="BA649" s="43"/>
      <c r="BB649" s="43"/>
      <c r="BC649" s="43"/>
      <c r="BD649" s="43"/>
      <c r="BE649" s="43"/>
      <c r="BF649" s="43"/>
      <c r="BG649" s="43"/>
      <c r="BH649" s="43"/>
      <c r="BI649" s="43"/>
      <c r="BJ649" s="43"/>
      <c r="BK649" s="43"/>
      <c r="BL649" s="43"/>
      <c r="BM649" s="43"/>
      <c r="BN649" s="43"/>
      <c r="BO649" s="43"/>
      <c r="BP649" s="43"/>
      <c r="BQ649" s="43"/>
      <c r="BR649" s="43"/>
      <c r="BS649" s="43"/>
      <c r="BT649" s="43"/>
      <c r="BU649" s="43"/>
      <c r="BV649" s="43"/>
      <c r="BW649" s="43"/>
      <c r="BX649" s="43"/>
      <c r="BY649" s="43"/>
      <c r="BZ649" s="43"/>
      <c r="CA649" s="43"/>
      <c r="CB649" s="43"/>
      <c r="CC649" s="43"/>
      <c r="CD649" s="43"/>
      <c r="CE649" s="43"/>
      <c r="CF649" s="43"/>
      <c r="CG649" s="43"/>
      <c r="CH649" s="43"/>
      <c r="CI649" s="43"/>
      <c r="CJ649" s="43"/>
      <c r="CK649" s="43"/>
      <c r="CL649" s="43"/>
      <c r="CM649" s="43"/>
      <c r="CN649" s="43"/>
      <c r="CO649" s="43"/>
      <c r="CP649" s="43"/>
      <c r="CQ649" s="43"/>
      <c r="CR649" s="43"/>
      <c r="CS649" s="43"/>
      <c r="CT649" s="43"/>
      <c r="CU649" s="43"/>
      <c r="CV649" s="43"/>
      <c r="CW649" s="43"/>
      <c r="CX649" s="43"/>
      <c r="CY649" s="43"/>
      <c r="CZ649" s="43"/>
      <c r="DA649" s="43"/>
      <c r="DB649" s="43"/>
      <c r="DC649" s="43"/>
      <c r="DD649" s="43"/>
      <c r="DE649" s="43"/>
      <c r="DF649" s="43"/>
      <c r="DG649" s="43"/>
      <c r="DH649" s="43"/>
      <c r="DI649" s="43"/>
      <c r="DJ649" s="43"/>
      <c r="DK649" s="43"/>
      <c r="DL649" s="43"/>
      <c r="DM649" s="43"/>
      <c r="DN649" s="43"/>
      <c r="DO649" s="43"/>
      <c r="DP649" s="43"/>
      <c r="DQ649" s="43"/>
      <c r="DR649" s="43"/>
      <c r="DS649" s="43"/>
    </row>
    <row r="650" spans="1:123" ht="14.45">
      <c r="A650"/>
      <c r="B650"/>
      <c r="C650"/>
      <c r="D650"/>
      <c r="E650"/>
      <c r="F650"/>
      <c r="G650"/>
      <c r="H650"/>
      <c r="I650"/>
      <c r="J650"/>
      <c r="K650" s="43"/>
      <c r="L650" s="43"/>
      <c r="M650" s="43"/>
      <c r="N650" s="43"/>
      <c r="O650" s="43"/>
      <c r="P650" s="43"/>
      <c r="Q650" s="43"/>
      <c r="R650" s="43"/>
      <c r="S650" s="43"/>
      <c r="T650" s="43"/>
      <c r="U650" s="43"/>
      <c r="V650" s="43"/>
      <c r="W650" s="43"/>
      <c r="X650" s="43"/>
      <c r="Y650" s="43"/>
      <c r="Z650" s="43"/>
      <c r="AA650" s="43"/>
      <c r="AB650" s="43"/>
      <c r="AC650" s="43"/>
      <c r="AD650" s="43"/>
      <c r="AE650" s="43"/>
      <c r="AF650" s="43"/>
      <c r="AG650" s="43"/>
      <c r="AH650" s="43"/>
      <c r="AI650" s="43"/>
      <c r="AJ650" s="43"/>
      <c r="AK650" s="43"/>
      <c r="AL650" s="43"/>
      <c r="AM650" s="43"/>
      <c r="AN650" s="43"/>
      <c r="AO650" s="43"/>
      <c r="AP650" s="43"/>
      <c r="AQ650" s="43"/>
      <c r="AR650" s="43"/>
      <c r="AS650" s="43"/>
      <c r="AT650" s="43"/>
      <c r="AU650" s="43"/>
      <c r="AV650" s="43"/>
      <c r="AW650" s="43"/>
      <c r="AX650" s="43"/>
      <c r="AY650" s="43"/>
      <c r="AZ650" s="43"/>
      <c r="BA650" s="43"/>
      <c r="BB650" s="43"/>
      <c r="BC650" s="43"/>
      <c r="BD650" s="43"/>
      <c r="BE650" s="43"/>
      <c r="BF650" s="43"/>
      <c r="BG650" s="43"/>
      <c r="BH650" s="43"/>
      <c r="BI650" s="43"/>
      <c r="BJ650" s="43"/>
      <c r="BK650" s="43"/>
      <c r="BL650" s="43"/>
      <c r="BM650" s="43"/>
      <c r="BN650" s="43"/>
      <c r="BO650" s="43"/>
      <c r="BP650" s="43"/>
      <c r="BQ650" s="43"/>
      <c r="BR650" s="43"/>
      <c r="BS650" s="43"/>
      <c r="BT650" s="43"/>
      <c r="BU650" s="43"/>
      <c r="BV650" s="43"/>
      <c r="BW650" s="43"/>
      <c r="BX650" s="43"/>
      <c r="BY650" s="43"/>
      <c r="BZ650" s="43"/>
      <c r="CA650" s="43"/>
      <c r="CB650" s="43"/>
      <c r="CC650" s="43"/>
      <c r="CD650" s="43"/>
      <c r="CE650" s="43"/>
      <c r="CF650" s="43"/>
      <c r="CG650" s="43"/>
      <c r="CH650" s="43"/>
      <c r="CI650" s="43"/>
      <c r="CJ650" s="43"/>
      <c r="CK650" s="43"/>
      <c r="CL650" s="43"/>
      <c r="CM650" s="43"/>
      <c r="CN650" s="43"/>
      <c r="CO650" s="43"/>
      <c r="CP650" s="43"/>
      <c r="CQ650" s="43"/>
      <c r="CR650" s="43"/>
      <c r="CS650" s="43"/>
      <c r="CT650" s="43"/>
      <c r="CU650" s="43"/>
      <c r="CV650" s="43"/>
      <c r="CW650" s="43"/>
      <c r="CX650" s="43"/>
      <c r="CY650" s="43"/>
      <c r="CZ650" s="43"/>
      <c r="DA650" s="43"/>
      <c r="DB650" s="43"/>
      <c r="DC650" s="43"/>
      <c r="DD650" s="43"/>
      <c r="DE650" s="43"/>
      <c r="DF650" s="43"/>
      <c r="DG650" s="43"/>
      <c r="DH650" s="43"/>
      <c r="DI650" s="43"/>
      <c r="DJ650" s="43"/>
      <c r="DK650" s="43"/>
      <c r="DL650" s="43"/>
      <c r="DM650" s="43"/>
      <c r="DN650" s="43"/>
      <c r="DO650" s="43"/>
      <c r="DP650" s="43"/>
      <c r="DQ650" s="43"/>
      <c r="DR650" s="43"/>
      <c r="DS650" s="43"/>
    </row>
    <row r="651" spans="1:123" ht="14.45">
      <c r="A651"/>
      <c r="B651"/>
      <c r="C651"/>
      <c r="D651"/>
      <c r="E651"/>
      <c r="F651"/>
      <c r="G651"/>
      <c r="H651"/>
      <c r="I651"/>
      <c r="J651"/>
      <c r="K651" s="43"/>
      <c r="L651" s="43"/>
      <c r="M651" s="43"/>
      <c r="N651" s="43"/>
      <c r="O651" s="43"/>
      <c r="P651" s="43"/>
      <c r="Q651" s="43"/>
      <c r="R651" s="43"/>
      <c r="S651" s="43"/>
      <c r="T651" s="43"/>
      <c r="U651" s="43"/>
      <c r="V651" s="43"/>
      <c r="W651" s="43"/>
      <c r="X651" s="43"/>
      <c r="Y651" s="43"/>
      <c r="Z651" s="43"/>
      <c r="AA651" s="43"/>
      <c r="AB651" s="43"/>
      <c r="AC651" s="43"/>
      <c r="AD651" s="43"/>
      <c r="AE651" s="43"/>
      <c r="AF651" s="43"/>
      <c r="AG651" s="43"/>
      <c r="AH651" s="43"/>
      <c r="AI651" s="43"/>
      <c r="AJ651" s="43"/>
      <c r="AK651" s="43"/>
      <c r="AL651" s="43"/>
      <c r="AM651" s="43"/>
      <c r="AN651" s="43"/>
      <c r="AO651" s="43"/>
      <c r="AP651" s="43"/>
      <c r="AQ651" s="43"/>
      <c r="AR651" s="43"/>
      <c r="AS651" s="43"/>
      <c r="AT651" s="43"/>
      <c r="AU651" s="43"/>
      <c r="AV651" s="43"/>
      <c r="AW651" s="43"/>
      <c r="AX651" s="43"/>
      <c r="AY651" s="43"/>
      <c r="AZ651" s="43"/>
      <c r="BA651" s="43"/>
      <c r="BB651" s="43"/>
      <c r="BC651" s="43"/>
      <c r="BD651" s="43"/>
      <c r="BE651" s="43"/>
      <c r="BF651" s="43"/>
      <c r="BG651" s="43"/>
      <c r="BH651" s="43"/>
      <c r="BI651" s="43"/>
      <c r="BJ651" s="43"/>
      <c r="BK651" s="43"/>
      <c r="BL651" s="43"/>
      <c r="BM651" s="43"/>
      <c r="BN651" s="43"/>
      <c r="BO651" s="43"/>
      <c r="BP651" s="43"/>
      <c r="BQ651" s="43"/>
      <c r="BR651" s="43"/>
      <c r="BS651" s="43"/>
      <c r="BT651" s="43"/>
      <c r="BU651" s="43"/>
      <c r="BV651" s="43"/>
      <c r="BW651" s="43"/>
      <c r="BX651" s="43"/>
      <c r="BY651" s="43"/>
      <c r="BZ651" s="43"/>
      <c r="CA651" s="43"/>
      <c r="CB651" s="43"/>
      <c r="CC651" s="43"/>
      <c r="CD651" s="43"/>
      <c r="CE651" s="43"/>
      <c r="CF651" s="43"/>
      <c r="CG651" s="43"/>
      <c r="CH651" s="43"/>
      <c r="CI651" s="43"/>
      <c r="CJ651" s="43"/>
      <c r="CK651" s="43"/>
      <c r="CL651" s="43"/>
      <c r="CM651" s="43"/>
      <c r="CN651" s="43"/>
      <c r="CO651" s="43"/>
      <c r="CP651" s="43"/>
      <c r="CQ651" s="43"/>
      <c r="CR651" s="43"/>
      <c r="CS651" s="43"/>
      <c r="CT651" s="43"/>
      <c r="CU651" s="43"/>
      <c r="CV651" s="43"/>
      <c r="CW651" s="43"/>
      <c r="CX651" s="43"/>
      <c r="CY651" s="43"/>
      <c r="CZ651" s="43"/>
      <c r="DA651" s="43"/>
      <c r="DB651" s="43"/>
      <c r="DC651" s="43"/>
      <c r="DD651" s="43"/>
      <c r="DE651" s="43"/>
      <c r="DF651" s="43"/>
      <c r="DG651" s="43"/>
      <c r="DH651" s="43"/>
      <c r="DI651" s="43"/>
      <c r="DJ651" s="43"/>
      <c r="DK651" s="43"/>
      <c r="DL651" s="43"/>
      <c r="DM651" s="43"/>
      <c r="DN651" s="43"/>
      <c r="DO651" s="43"/>
      <c r="DP651" s="43"/>
      <c r="DQ651" s="43"/>
      <c r="DR651" s="43"/>
      <c r="DS651" s="43"/>
    </row>
    <row r="652" spans="1:123" ht="14.45">
      <c r="A652"/>
      <c r="B652"/>
      <c r="C652"/>
      <c r="D652"/>
      <c r="E652"/>
      <c r="F652"/>
      <c r="G652"/>
      <c r="H652"/>
      <c r="I652"/>
      <c r="J652"/>
      <c r="K652" s="43"/>
      <c r="L652" s="43"/>
      <c r="M652" s="43"/>
      <c r="N652" s="43"/>
      <c r="O652" s="43"/>
      <c r="P652" s="43"/>
      <c r="Q652" s="43"/>
      <c r="R652" s="43"/>
      <c r="S652" s="43"/>
      <c r="T652" s="43"/>
      <c r="U652" s="43"/>
      <c r="V652" s="43"/>
      <c r="W652" s="43"/>
      <c r="X652" s="43"/>
      <c r="Y652" s="43"/>
      <c r="Z652" s="43"/>
      <c r="AA652" s="43"/>
      <c r="AB652" s="43"/>
      <c r="AC652" s="43"/>
      <c r="AD652" s="43"/>
      <c r="AE652" s="43"/>
      <c r="AF652" s="43"/>
      <c r="AG652" s="43"/>
      <c r="AH652" s="43"/>
      <c r="AI652" s="43"/>
      <c r="AJ652" s="43"/>
      <c r="AK652" s="43"/>
      <c r="AL652" s="43"/>
      <c r="AM652" s="43"/>
      <c r="AN652" s="43"/>
      <c r="AO652" s="43"/>
      <c r="AP652" s="43"/>
      <c r="AQ652" s="43"/>
      <c r="AR652" s="43"/>
      <c r="AS652" s="43"/>
      <c r="AT652" s="43"/>
      <c r="AU652" s="43"/>
      <c r="AV652" s="43"/>
      <c r="AW652" s="43"/>
      <c r="AX652" s="43"/>
      <c r="AY652" s="43"/>
      <c r="AZ652" s="43"/>
      <c r="BA652" s="43"/>
      <c r="BB652" s="43"/>
      <c r="BC652" s="43"/>
      <c r="BD652" s="43"/>
      <c r="BE652" s="43"/>
      <c r="BF652" s="43"/>
      <c r="BG652" s="43"/>
      <c r="BH652" s="43"/>
      <c r="BI652" s="43"/>
      <c r="BJ652" s="43"/>
      <c r="BK652" s="43"/>
      <c r="BL652" s="43"/>
      <c r="BM652" s="43"/>
      <c r="BN652" s="43"/>
      <c r="BO652" s="43"/>
      <c r="BP652" s="43"/>
      <c r="BQ652" s="43"/>
      <c r="BR652" s="43"/>
      <c r="BS652" s="43"/>
      <c r="BT652" s="43"/>
      <c r="BU652" s="43"/>
      <c r="BV652" s="43"/>
      <c r="BW652" s="43"/>
      <c r="BX652" s="43"/>
      <c r="BY652" s="43"/>
      <c r="BZ652" s="43"/>
      <c r="CA652" s="43"/>
      <c r="CB652" s="43"/>
      <c r="CC652" s="43"/>
      <c r="CD652" s="43"/>
      <c r="CE652" s="43"/>
      <c r="CF652" s="43"/>
      <c r="CG652" s="43"/>
      <c r="CH652" s="43"/>
      <c r="CI652" s="43"/>
      <c r="CJ652" s="43"/>
      <c r="CK652" s="43"/>
      <c r="CL652" s="43"/>
      <c r="CM652" s="43"/>
      <c r="CN652" s="43"/>
      <c r="CO652" s="43"/>
      <c r="CP652" s="43"/>
      <c r="CQ652" s="43"/>
      <c r="CR652" s="43"/>
      <c r="CS652" s="43"/>
      <c r="CT652" s="43"/>
      <c r="CU652" s="43"/>
      <c r="CV652" s="43"/>
      <c r="CW652" s="43"/>
      <c r="CX652" s="43"/>
      <c r="CY652" s="43"/>
      <c r="CZ652" s="43"/>
      <c r="DA652" s="43"/>
      <c r="DB652" s="43"/>
      <c r="DC652" s="43"/>
      <c r="DD652" s="43"/>
      <c r="DE652" s="43"/>
      <c r="DF652" s="43"/>
      <c r="DG652" s="43"/>
      <c r="DH652" s="43"/>
      <c r="DI652" s="43"/>
      <c r="DJ652" s="43"/>
      <c r="DK652" s="43"/>
      <c r="DL652" s="43"/>
      <c r="DM652" s="43"/>
      <c r="DN652" s="43"/>
      <c r="DO652" s="43"/>
      <c r="DP652" s="43"/>
      <c r="DQ652" s="43"/>
      <c r="DR652" s="43"/>
      <c r="DS652" s="43"/>
    </row>
    <row r="653" spans="1:123" ht="14.45">
      <c r="A653"/>
      <c r="B653"/>
      <c r="C653"/>
      <c r="D653"/>
      <c r="E653"/>
      <c r="F653"/>
      <c r="G653"/>
      <c r="H653"/>
      <c r="I653"/>
      <c r="J653"/>
      <c r="K653" s="43"/>
      <c r="L653" s="43"/>
      <c r="M653" s="43"/>
      <c r="N653" s="43"/>
      <c r="O653" s="43"/>
      <c r="P653" s="43"/>
      <c r="Q653" s="43"/>
      <c r="R653" s="43"/>
      <c r="S653" s="43"/>
      <c r="T653" s="43"/>
      <c r="U653" s="43"/>
      <c r="V653" s="43"/>
      <c r="W653" s="43"/>
      <c r="X653" s="43"/>
      <c r="Y653" s="43"/>
      <c r="Z653" s="43"/>
      <c r="AA653" s="43"/>
      <c r="AB653" s="43"/>
      <c r="AC653" s="43"/>
      <c r="AD653" s="43"/>
      <c r="AE653" s="43"/>
      <c r="AF653" s="43"/>
      <c r="AG653" s="43"/>
      <c r="AH653" s="43"/>
      <c r="AI653" s="43"/>
      <c r="AJ653" s="43"/>
      <c r="AK653" s="43"/>
      <c r="AL653" s="43"/>
      <c r="AM653" s="43"/>
      <c r="AN653" s="43"/>
      <c r="AO653" s="43"/>
      <c r="AP653" s="43"/>
      <c r="AQ653" s="43"/>
      <c r="AR653" s="43"/>
      <c r="AS653" s="43"/>
      <c r="AT653" s="43"/>
      <c r="AU653" s="43"/>
      <c r="AV653" s="43"/>
      <c r="AW653" s="43"/>
      <c r="AX653" s="43"/>
      <c r="AY653" s="43"/>
      <c r="AZ653" s="43"/>
      <c r="BA653" s="43"/>
      <c r="BB653" s="43"/>
      <c r="BC653" s="43"/>
      <c r="BD653" s="43"/>
      <c r="BE653" s="43"/>
      <c r="BF653" s="43"/>
      <c r="BG653" s="43"/>
      <c r="BH653" s="43"/>
      <c r="BI653" s="43"/>
      <c r="BJ653" s="43"/>
      <c r="BK653" s="43"/>
      <c r="BL653" s="43"/>
      <c r="BM653" s="43"/>
      <c r="BN653" s="43"/>
      <c r="BO653" s="43"/>
      <c r="BP653" s="43"/>
      <c r="BQ653" s="43"/>
      <c r="BR653" s="43"/>
      <c r="BS653" s="43"/>
      <c r="BT653" s="43"/>
      <c r="BU653" s="43"/>
      <c r="BV653" s="43"/>
      <c r="BW653" s="43"/>
      <c r="BX653" s="43"/>
      <c r="BY653" s="43"/>
      <c r="BZ653" s="43"/>
      <c r="CA653" s="43"/>
      <c r="CB653" s="43"/>
      <c r="CC653" s="43"/>
      <c r="CD653" s="43"/>
      <c r="CE653" s="43"/>
      <c r="CF653" s="43"/>
      <c r="CG653" s="43"/>
      <c r="CH653" s="43"/>
      <c r="CI653" s="43"/>
      <c r="CJ653" s="43"/>
      <c r="CK653" s="43"/>
      <c r="CL653" s="43"/>
      <c r="CM653" s="43"/>
      <c r="CN653" s="43"/>
      <c r="CO653" s="43"/>
      <c r="CP653" s="43"/>
      <c r="CQ653" s="43"/>
      <c r="CR653" s="43"/>
      <c r="CS653" s="43"/>
      <c r="CT653" s="43"/>
      <c r="CU653" s="43"/>
      <c r="CV653" s="43"/>
      <c r="CW653" s="43"/>
      <c r="CX653" s="43"/>
      <c r="CY653" s="43"/>
      <c r="CZ653" s="43"/>
      <c r="DA653" s="43"/>
      <c r="DB653" s="43"/>
      <c r="DC653" s="43"/>
      <c r="DD653" s="43"/>
      <c r="DE653" s="43"/>
      <c r="DF653" s="43"/>
      <c r="DG653" s="43"/>
      <c r="DH653" s="43"/>
      <c r="DI653" s="43"/>
      <c r="DJ653" s="43"/>
      <c r="DK653" s="43"/>
      <c r="DL653" s="43"/>
      <c r="DM653" s="43"/>
      <c r="DN653" s="43"/>
      <c r="DO653" s="43"/>
      <c r="DP653" s="43"/>
      <c r="DQ653" s="43"/>
      <c r="DR653" s="43"/>
      <c r="DS653" s="43"/>
    </row>
    <row r="654" spans="1:123" ht="14.45">
      <c r="A654"/>
      <c r="B654"/>
      <c r="C654"/>
      <c r="D654"/>
      <c r="E654"/>
      <c r="F654"/>
      <c r="G654"/>
      <c r="H654"/>
      <c r="I654"/>
      <c r="J654"/>
      <c r="K654" s="43"/>
      <c r="L654" s="43"/>
      <c r="M654" s="43"/>
      <c r="N654" s="43"/>
      <c r="O654" s="43"/>
      <c r="P654" s="43"/>
      <c r="Q654" s="43"/>
      <c r="R654" s="43"/>
      <c r="S654" s="43"/>
      <c r="T654" s="43"/>
      <c r="U654" s="43"/>
      <c r="V654" s="43"/>
      <c r="W654" s="43"/>
      <c r="X654" s="43"/>
      <c r="Y654" s="43"/>
      <c r="Z654" s="43"/>
      <c r="AA654" s="43"/>
      <c r="AB654" s="43"/>
      <c r="AC654" s="43"/>
      <c r="AD654" s="43"/>
      <c r="AE654" s="43"/>
      <c r="AF654" s="43"/>
      <c r="AG654" s="43"/>
      <c r="AH654" s="43"/>
      <c r="AI654" s="43"/>
      <c r="AJ654" s="43"/>
      <c r="AK654" s="43"/>
      <c r="AL654" s="43"/>
      <c r="AM654" s="43"/>
      <c r="AN654" s="43"/>
      <c r="AO654" s="43"/>
      <c r="AP654" s="43"/>
      <c r="AQ654" s="43"/>
      <c r="AR654" s="43"/>
      <c r="AS654" s="43"/>
      <c r="AT654" s="43"/>
      <c r="AU654" s="43"/>
      <c r="AV654" s="43"/>
      <c r="AW654" s="43"/>
      <c r="AX654" s="43"/>
      <c r="AY654" s="43"/>
      <c r="AZ654" s="43"/>
      <c r="BA654" s="43"/>
      <c r="BB654" s="43"/>
      <c r="BC654" s="43"/>
      <c r="BD654" s="43"/>
      <c r="BE654" s="43"/>
      <c r="BF654" s="43"/>
      <c r="BG654" s="43"/>
      <c r="BH654" s="43"/>
      <c r="BI654" s="43"/>
      <c r="BJ654" s="43"/>
      <c r="BK654" s="43"/>
      <c r="BL654" s="43"/>
      <c r="BM654" s="43"/>
      <c r="BN654" s="43"/>
      <c r="BO654" s="43"/>
      <c r="BP654" s="43"/>
      <c r="BQ654" s="43"/>
      <c r="BR654" s="43"/>
      <c r="BS654" s="43"/>
      <c r="BT654" s="43"/>
      <c r="BU654" s="43"/>
      <c r="BV654" s="43"/>
      <c r="BW654" s="43"/>
      <c r="BX654" s="43"/>
      <c r="BY654" s="43"/>
      <c r="BZ654" s="43"/>
      <c r="CA654" s="43"/>
      <c r="CB654" s="43"/>
      <c r="CC654" s="43"/>
      <c r="CD654" s="43"/>
      <c r="CE654" s="43"/>
      <c r="CF654" s="43"/>
      <c r="CG654" s="43"/>
      <c r="CH654" s="43"/>
      <c r="CI654" s="43"/>
      <c r="CJ654" s="43"/>
      <c r="CK654" s="43"/>
      <c r="CL654" s="43"/>
      <c r="CM654" s="43"/>
      <c r="CN654" s="43"/>
      <c r="CO654" s="43"/>
      <c r="CP654" s="43"/>
      <c r="CQ654" s="43"/>
      <c r="CR654" s="43"/>
      <c r="CS654" s="43"/>
      <c r="CT654" s="43"/>
      <c r="CU654" s="43"/>
      <c r="CV654" s="43"/>
      <c r="CW654" s="43"/>
      <c r="CX654" s="43"/>
      <c r="CY654" s="43"/>
      <c r="CZ654" s="43"/>
      <c r="DA654" s="43"/>
      <c r="DB654" s="43"/>
      <c r="DC654" s="43"/>
      <c r="DD654" s="43"/>
      <c r="DE654" s="43"/>
      <c r="DF654" s="43"/>
      <c r="DG654" s="43"/>
      <c r="DH654" s="43"/>
      <c r="DI654" s="43"/>
      <c r="DJ654" s="43"/>
      <c r="DK654" s="43"/>
      <c r="DL654" s="43"/>
      <c r="DM654" s="43"/>
      <c r="DN654" s="43"/>
      <c r="DO654" s="43"/>
      <c r="DP654" s="43"/>
      <c r="DQ654" s="43"/>
      <c r="DR654" s="43"/>
      <c r="DS654" s="43"/>
    </row>
    <row r="655" spans="1:123" ht="14.45">
      <c r="A655"/>
      <c r="B655"/>
      <c r="C655"/>
      <c r="D655"/>
      <c r="E655"/>
      <c r="F655"/>
      <c r="G655"/>
      <c r="H655"/>
      <c r="I655"/>
      <c r="J655"/>
      <c r="K655" s="43"/>
      <c r="L655" s="43"/>
      <c r="M655" s="43"/>
      <c r="N655" s="43"/>
      <c r="O655" s="43"/>
      <c r="P655" s="43"/>
      <c r="Q655" s="43"/>
      <c r="R655" s="43"/>
      <c r="S655" s="43"/>
      <c r="T655" s="43"/>
      <c r="U655" s="43"/>
      <c r="V655" s="43"/>
      <c r="W655" s="43"/>
      <c r="X655" s="43"/>
      <c r="Y655" s="43"/>
      <c r="Z655" s="43"/>
      <c r="AA655" s="43"/>
      <c r="AB655" s="43"/>
      <c r="AC655" s="43"/>
      <c r="AD655" s="43"/>
      <c r="AE655" s="43"/>
      <c r="AF655" s="43"/>
      <c r="AG655" s="43"/>
      <c r="AH655" s="43"/>
      <c r="AI655" s="43"/>
      <c r="AJ655" s="43"/>
      <c r="AK655" s="43"/>
      <c r="AL655" s="43"/>
      <c r="AM655" s="43"/>
      <c r="AN655" s="43"/>
      <c r="AO655" s="43"/>
      <c r="AP655" s="43"/>
      <c r="AQ655" s="43"/>
      <c r="AR655" s="43"/>
      <c r="AS655" s="43"/>
      <c r="AT655" s="43"/>
      <c r="AU655" s="43"/>
      <c r="AV655" s="43"/>
      <c r="AW655" s="43"/>
      <c r="AX655" s="43"/>
      <c r="AY655" s="43"/>
      <c r="AZ655" s="43"/>
      <c r="BA655" s="43"/>
      <c r="BB655" s="43"/>
      <c r="BC655" s="43"/>
      <c r="BD655" s="43"/>
      <c r="BE655" s="43"/>
      <c r="BF655" s="43"/>
      <c r="BG655" s="43"/>
      <c r="BH655" s="43"/>
      <c r="BI655" s="43"/>
      <c r="BJ655" s="43"/>
      <c r="BK655" s="43"/>
      <c r="BL655" s="43"/>
      <c r="BM655" s="43"/>
      <c r="BN655" s="43"/>
      <c r="BO655" s="43"/>
      <c r="BP655" s="43"/>
      <c r="BQ655" s="43"/>
      <c r="BR655" s="43"/>
      <c r="BS655" s="43"/>
      <c r="BT655" s="43"/>
      <c r="BU655" s="43"/>
      <c r="BV655" s="43"/>
      <c r="BW655" s="43"/>
      <c r="BX655" s="43"/>
      <c r="BY655" s="43"/>
      <c r="BZ655" s="43"/>
      <c r="CA655" s="43"/>
      <c r="CB655" s="43"/>
      <c r="CC655" s="43"/>
      <c r="CD655" s="43"/>
      <c r="CE655" s="43"/>
      <c r="CF655" s="43"/>
      <c r="CG655" s="43"/>
      <c r="CH655" s="43"/>
      <c r="CI655" s="43"/>
      <c r="CJ655" s="43"/>
      <c r="CK655" s="43"/>
      <c r="CL655" s="43"/>
      <c r="CM655" s="43"/>
      <c r="CN655" s="43"/>
      <c r="CO655" s="43"/>
      <c r="CP655" s="43"/>
      <c r="CQ655" s="43"/>
      <c r="CR655" s="43"/>
      <c r="CS655" s="43"/>
      <c r="CT655" s="43"/>
      <c r="CU655" s="43"/>
      <c r="CV655" s="43"/>
      <c r="CW655" s="43"/>
      <c r="CX655" s="43"/>
      <c r="CY655" s="43"/>
      <c r="CZ655" s="43"/>
      <c r="DA655" s="43"/>
      <c r="DB655" s="43"/>
      <c r="DC655" s="43"/>
      <c r="DD655" s="43"/>
      <c r="DE655" s="43"/>
      <c r="DF655" s="43"/>
      <c r="DG655" s="43"/>
      <c r="DH655" s="43"/>
      <c r="DI655" s="43"/>
      <c r="DJ655" s="43"/>
      <c r="DK655" s="43"/>
      <c r="DL655" s="43"/>
      <c r="DM655" s="43"/>
      <c r="DN655" s="43"/>
      <c r="DO655" s="43"/>
      <c r="DP655" s="43"/>
      <c r="DQ655" s="43"/>
      <c r="DR655" s="43"/>
      <c r="DS655" s="43"/>
    </row>
    <row r="656" spans="1:123" ht="14.45">
      <c r="A656"/>
      <c r="B656"/>
      <c r="C656"/>
      <c r="D656"/>
      <c r="E656"/>
      <c r="F656"/>
      <c r="G656"/>
      <c r="H656"/>
      <c r="I656"/>
      <c r="J656"/>
      <c r="K656" s="43"/>
      <c r="L656" s="43"/>
      <c r="M656" s="43"/>
      <c r="N656" s="43"/>
      <c r="O656" s="43"/>
      <c r="P656" s="43"/>
      <c r="Q656" s="43"/>
      <c r="R656" s="43"/>
      <c r="S656" s="43"/>
      <c r="T656" s="43"/>
      <c r="U656" s="43"/>
      <c r="V656" s="43"/>
      <c r="W656" s="43"/>
      <c r="X656" s="43"/>
      <c r="Y656" s="43"/>
      <c r="Z656" s="43"/>
      <c r="AA656" s="43"/>
      <c r="AB656" s="43"/>
      <c r="AC656" s="43"/>
      <c r="AD656" s="43"/>
      <c r="AE656" s="43"/>
      <c r="AF656" s="43"/>
      <c r="AG656" s="43"/>
      <c r="AH656" s="43"/>
      <c r="AI656" s="43"/>
      <c r="AJ656" s="43"/>
      <c r="AK656" s="43"/>
      <c r="AL656" s="43"/>
      <c r="AM656" s="43"/>
      <c r="AN656" s="43"/>
      <c r="AO656" s="43"/>
      <c r="AP656" s="43"/>
      <c r="AQ656" s="43"/>
      <c r="AR656" s="43"/>
      <c r="AS656" s="43"/>
      <c r="AT656" s="43"/>
      <c r="AU656" s="43"/>
      <c r="AV656" s="43"/>
      <c r="AW656" s="43"/>
      <c r="AX656" s="43"/>
      <c r="AY656" s="43"/>
      <c r="AZ656" s="43"/>
      <c r="BA656" s="43"/>
      <c r="BB656" s="43"/>
      <c r="BC656" s="43"/>
      <c r="BD656" s="43"/>
      <c r="BE656" s="43"/>
      <c r="BF656" s="43"/>
      <c r="BG656" s="43"/>
      <c r="BH656" s="43"/>
      <c r="BI656" s="43"/>
      <c r="BJ656" s="43"/>
      <c r="BK656" s="43"/>
      <c r="BL656" s="43"/>
      <c r="BM656" s="43"/>
      <c r="BN656" s="43"/>
      <c r="BO656" s="43"/>
      <c r="BP656" s="43"/>
      <c r="BQ656" s="43"/>
      <c r="BR656" s="43"/>
      <c r="BS656" s="43"/>
      <c r="BT656" s="43"/>
      <c r="BU656" s="43"/>
      <c r="BV656" s="43"/>
      <c r="BW656" s="43"/>
      <c r="BX656" s="43"/>
      <c r="BY656" s="43"/>
      <c r="BZ656" s="43"/>
      <c r="CA656" s="43"/>
      <c r="CB656" s="43"/>
      <c r="CC656" s="43"/>
      <c r="CD656" s="43"/>
      <c r="CE656" s="43"/>
      <c r="CF656" s="43"/>
      <c r="CG656" s="43"/>
      <c r="CH656" s="43"/>
      <c r="CI656" s="43"/>
      <c r="CJ656" s="43"/>
      <c r="CK656" s="43"/>
      <c r="CL656" s="43"/>
      <c r="CM656" s="43"/>
      <c r="CN656" s="43"/>
      <c r="CO656" s="43"/>
      <c r="CP656" s="43"/>
      <c r="CQ656" s="43"/>
      <c r="CR656" s="43"/>
      <c r="CS656" s="43"/>
      <c r="CT656" s="43"/>
      <c r="CU656" s="43"/>
      <c r="CV656" s="43"/>
      <c r="CW656" s="43"/>
      <c r="CX656" s="43"/>
      <c r="CY656" s="43"/>
      <c r="CZ656" s="43"/>
      <c r="DA656" s="43"/>
      <c r="DB656" s="43"/>
      <c r="DC656" s="43"/>
      <c r="DD656" s="43"/>
      <c r="DE656" s="43"/>
      <c r="DF656" s="43"/>
      <c r="DG656" s="43"/>
      <c r="DH656" s="43"/>
      <c r="DI656" s="43"/>
      <c r="DJ656" s="43"/>
      <c r="DK656" s="43"/>
      <c r="DL656" s="43"/>
      <c r="DM656" s="43"/>
      <c r="DN656" s="43"/>
      <c r="DO656" s="43"/>
      <c r="DP656" s="43"/>
      <c r="DQ656" s="43"/>
      <c r="DR656" s="43"/>
      <c r="DS656" s="43"/>
    </row>
    <row r="657" spans="1:123" ht="14.45">
      <c r="A657"/>
      <c r="B657"/>
      <c r="C657"/>
      <c r="D657"/>
      <c r="E657"/>
      <c r="F657"/>
      <c r="G657"/>
      <c r="H657"/>
      <c r="I657"/>
      <c r="J657"/>
      <c r="K657" s="43"/>
      <c r="L657" s="43"/>
      <c r="M657" s="43"/>
      <c r="N657" s="43"/>
      <c r="O657" s="43"/>
      <c r="P657" s="43"/>
      <c r="Q657" s="43"/>
      <c r="R657" s="43"/>
      <c r="S657" s="43"/>
      <c r="T657" s="43"/>
      <c r="U657" s="43"/>
      <c r="V657" s="43"/>
      <c r="W657" s="43"/>
      <c r="X657" s="43"/>
      <c r="Y657" s="43"/>
      <c r="Z657" s="43"/>
      <c r="AA657" s="43"/>
      <c r="AB657" s="43"/>
      <c r="AC657" s="43"/>
      <c r="AD657" s="43"/>
      <c r="AE657" s="43"/>
      <c r="AF657" s="43"/>
      <c r="AG657" s="43"/>
      <c r="AH657" s="43"/>
      <c r="AI657" s="43"/>
      <c r="AJ657" s="43"/>
      <c r="AK657" s="43"/>
      <c r="AL657" s="43"/>
      <c r="AM657" s="43"/>
      <c r="AN657" s="43"/>
      <c r="AO657" s="43"/>
      <c r="AP657" s="43"/>
      <c r="AQ657" s="43"/>
      <c r="AR657" s="43"/>
      <c r="AS657" s="43"/>
      <c r="AT657" s="43"/>
      <c r="AU657" s="43"/>
      <c r="AV657" s="43"/>
      <c r="AW657" s="43"/>
      <c r="AX657" s="43"/>
      <c r="AY657" s="43"/>
      <c r="AZ657" s="43"/>
      <c r="BA657" s="43"/>
      <c r="BB657" s="43"/>
      <c r="BC657" s="43"/>
      <c r="BD657" s="43"/>
      <c r="BE657" s="43"/>
      <c r="BF657" s="43"/>
      <c r="BG657" s="43"/>
      <c r="BH657" s="43"/>
      <c r="BI657" s="43"/>
      <c r="BJ657" s="43"/>
      <c r="BK657" s="43"/>
      <c r="BL657" s="43"/>
      <c r="BM657" s="43"/>
      <c r="BN657" s="43"/>
      <c r="BO657" s="43"/>
      <c r="BP657" s="43"/>
      <c r="BQ657" s="43"/>
      <c r="BR657" s="43"/>
      <c r="BS657" s="43"/>
      <c r="BT657" s="43"/>
      <c r="BU657" s="43"/>
      <c r="BV657" s="43"/>
      <c r="BW657" s="43"/>
      <c r="BX657" s="43"/>
      <c r="BY657" s="43"/>
      <c r="BZ657" s="43"/>
      <c r="CA657" s="43"/>
      <c r="CB657" s="43"/>
      <c r="CC657" s="43"/>
      <c r="CD657" s="43"/>
      <c r="CE657" s="43"/>
      <c r="CF657" s="43"/>
      <c r="CG657" s="43"/>
      <c r="CH657" s="43"/>
      <c r="CI657" s="43"/>
      <c r="CJ657" s="43"/>
      <c r="CK657" s="43"/>
      <c r="CL657" s="43"/>
      <c r="CM657" s="43"/>
      <c r="CN657" s="43"/>
      <c r="CO657" s="43"/>
      <c r="CP657" s="43"/>
      <c r="CQ657" s="43"/>
      <c r="CR657" s="43"/>
      <c r="CS657" s="43"/>
      <c r="CT657" s="43"/>
      <c r="CU657" s="43"/>
      <c r="CV657" s="43"/>
      <c r="CW657" s="43"/>
      <c r="CX657" s="43"/>
      <c r="CY657" s="43"/>
      <c r="CZ657" s="43"/>
      <c r="DA657" s="43"/>
      <c r="DB657" s="43"/>
      <c r="DC657" s="43"/>
      <c r="DD657" s="43"/>
      <c r="DE657" s="43"/>
      <c r="DF657" s="43"/>
      <c r="DG657" s="43"/>
      <c r="DH657" s="43"/>
      <c r="DI657" s="43"/>
      <c r="DJ657" s="43"/>
      <c r="DK657" s="43"/>
      <c r="DL657" s="43"/>
      <c r="DM657" s="43"/>
      <c r="DN657" s="43"/>
      <c r="DO657" s="43"/>
      <c r="DP657" s="43"/>
      <c r="DQ657" s="43"/>
      <c r="DR657" s="43"/>
      <c r="DS657" s="43"/>
    </row>
    <row r="658" spans="1:123" ht="14.45">
      <c r="A658"/>
      <c r="B658"/>
      <c r="C658"/>
      <c r="D658"/>
      <c r="E658"/>
      <c r="F658"/>
      <c r="G658"/>
      <c r="H658"/>
      <c r="I658"/>
      <c r="J658"/>
      <c r="K658" s="43"/>
      <c r="L658" s="43"/>
      <c r="M658" s="43"/>
      <c r="N658" s="43"/>
      <c r="O658" s="43"/>
      <c r="P658" s="43"/>
      <c r="Q658" s="43"/>
      <c r="R658" s="43"/>
      <c r="S658" s="43"/>
      <c r="T658" s="43"/>
      <c r="U658" s="43"/>
      <c r="V658" s="43"/>
      <c r="W658" s="43"/>
      <c r="X658" s="43"/>
      <c r="Y658" s="43"/>
      <c r="Z658" s="43"/>
      <c r="AA658" s="43"/>
      <c r="AB658" s="43"/>
      <c r="AC658" s="43"/>
      <c r="AD658" s="43"/>
      <c r="AE658" s="43"/>
      <c r="AF658" s="43"/>
      <c r="AG658" s="43"/>
      <c r="AH658" s="43"/>
      <c r="AI658" s="43"/>
      <c r="AJ658" s="43"/>
      <c r="AK658" s="43"/>
      <c r="AL658" s="43"/>
      <c r="AM658" s="43"/>
      <c r="AN658" s="43"/>
      <c r="AO658" s="43"/>
      <c r="AP658" s="43"/>
      <c r="AQ658" s="43"/>
      <c r="AR658" s="43"/>
      <c r="AS658" s="43"/>
      <c r="AT658" s="43"/>
      <c r="AU658" s="43"/>
      <c r="AV658" s="43"/>
      <c r="AW658" s="43"/>
      <c r="AX658" s="43"/>
      <c r="AY658" s="43"/>
      <c r="AZ658" s="43"/>
      <c r="BA658" s="43"/>
      <c r="BB658" s="43"/>
      <c r="BC658" s="43"/>
      <c r="BD658" s="43"/>
      <c r="BE658" s="43"/>
      <c r="BF658" s="43"/>
      <c r="BG658" s="43"/>
      <c r="BH658" s="43"/>
      <c r="BI658" s="43"/>
      <c r="BJ658" s="43"/>
      <c r="BK658" s="43"/>
      <c r="BL658" s="43"/>
      <c r="BM658" s="43"/>
      <c r="BN658" s="43"/>
      <c r="BO658" s="43"/>
      <c r="BP658" s="43"/>
      <c r="BQ658" s="43"/>
      <c r="BR658" s="43"/>
      <c r="BS658" s="43"/>
      <c r="BT658" s="43"/>
      <c r="BU658" s="43"/>
      <c r="BV658" s="43"/>
      <c r="BW658" s="43"/>
      <c r="BX658" s="43"/>
      <c r="BY658" s="43"/>
      <c r="BZ658" s="43"/>
      <c r="CA658" s="43"/>
      <c r="CB658" s="43"/>
      <c r="CC658" s="43"/>
      <c r="CD658" s="43"/>
      <c r="CE658" s="43"/>
      <c r="CF658" s="43"/>
      <c r="CG658" s="43"/>
      <c r="CH658" s="43"/>
      <c r="CI658" s="43"/>
      <c r="CJ658" s="43"/>
      <c r="CK658" s="43"/>
      <c r="CL658" s="43"/>
      <c r="CM658" s="43"/>
      <c r="CN658" s="43"/>
      <c r="CO658" s="43"/>
      <c r="CP658" s="43"/>
      <c r="CQ658" s="43"/>
      <c r="CR658" s="43"/>
      <c r="CS658" s="43"/>
      <c r="CT658" s="43"/>
      <c r="CU658" s="43"/>
      <c r="CV658" s="43"/>
      <c r="CW658" s="43"/>
      <c r="CX658" s="43"/>
      <c r="CY658" s="43"/>
      <c r="CZ658" s="43"/>
      <c r="DA658" s="43"/>
      <c r="DB658" s="43"/>
      <c r="DC658" s="43"/>
      <c r="DD658" s="43"/>
      <c r="DE658" s="43"/>
      <c r="DF658" s="43"/>
      <c r="DG658" s="43"/>
      <c r="DH658" s="43"/>
      <c r="DI658" s="43"/>
      <c r="DJ658" s="43"/>
      <c r="DK658" s="43"/>
      <c r="DL658" s="43"/>
      <c r="DM658" s="43"/>
      <c r="DN658" s="43"/>
      <c r="DO658" s="43"/>
      <c r="DP658" s="43"/>
      <c r="DQ658" s="43"/>
      <c r="DR658" s="43"/>
      <c r="DS658" s="43"/>
    </row>
    <row r="659" spans="1:123" ht="14.45">
      <c r="A659"/>
      <c r="B659"/>
      <c r="C659"/>
      <c r="D659"/>
      <c r="E659"/>
      <c r="F659"/>
      <c r="G659"/>
      <c r="H659"/>
      <c r="I659"/>
      <c r="J659"/>
      <c r="K659" s="43"/>
      <c r="L659" s="43"/>
      <c r="M659" s="43"/>
      <c r="N659" s="43"/>
      <c r="O659" s="43"/>
      <c r="P659" s="43"/>
      <c r="Q659" s="43"/>
      <c r="R659" s="43"/>
      <c r="S659" s="43"/>
      <c r="T659" s="43"/>
      <c r="U659" s="43"/>
      <c r="V659" s="43"/>
      <c r="W659" s="43"/>
      <c r="X659" s="43"/>
      <c r="Y659" s="43"/>
      <c r="Z659" s="43"/>
      <c r="AA659" s="43"/>
      <c r="AB659" s="43"/>
      <c r="AC659" s="43"/>
      <c r="AD659" s="43"/>
      <c r="AE659" s="43"/>
      <c r="AF659" s="43"/>
      <c r="AG659" s="43"/>
      <c r="AH659" s="43"/>
      <c r="AI659" s="43"/>
      <c r="AJ659" s="43"/>
      <c r="AK659" s="43"/>
      <c r="AL659" s="43"/>
      <c r="AM659" s="43"/>
      <c r="AN659" s="43"/>
      <c r="AO659" s="43"/>
      <c r="AP659" s="43"/>
      <c r="AQ659" s="43"/>
      <c r="AR659" s="43"/>
      <c r="AS659" s="43"/>
      <c r="AT659" s="43"/>
      <c r="AU659" s="43"/>
      <c r="AV659" s="43"/>
      <c r="AW659" s="43"/>
      <c r="AX659" s="43"/>
      <c r="AY659" s="43"/>
      <c r="AZ659" s="43"/>
      <c r="BA659" s="43"/>
      <c r="BB659" s="43"/>
      <c r="BC659" s="43"/>
      <c r="BD659" s="43"/>
      <c r="BE659" s="43"/>
      <c r="BF659" s="43"/>
      <c r="BG659" s="43"/>
      <c r="BH659" s="43"/>
      <c r="BI659" s="43"/>
      <c r="BJ659" s="43"/>
      <c r="BK659" s="43"/>
      <c r="BL659" s="43"/>
      <c r="BM659" s="43"/>
      <c r="BN659" s="43"/>
      <c r="BO659" s="43"/>
      <c r="BP659" s="43"/>
      <c r="BQ659" s="43"/>
      <c r="BR659" s="43"/>
      <c r="BS659" s="43"/>
      <c r="BT659" s="43"/>
      <c r="BU659" s="43"/>
      <c r="BV659" s="43"/>
      <c r="BW659" s="43"/>
      <c r="BX659" s="43"/>
      <c r="BY659" s="43"/>
      <c r="BZ659" s="43"/>
      <c r="CA659" s="43"/>
      <c r="CB659" s="43"/>
      <c r="CC659" s="43"/>
      <c r="CD659" s="43"/>
      <c r="CE659" s="43"/>
      <c r="CF659" s="43"/>
      <c r="CG659" s="43"/>
      <c r="CH659" s="43"/>
      <c r="CI659" s="43"/>
      <c r="CJ659" s="43"/>
      <c r="CK659" s="43"/>
      <c r="CL659" s="43"/>
      <c r="CM659" s="43"/>
      <c r="CN659" s="43"/>
      <c r="CO659" s="43"/>
      <c r="CP659" s="43"/>
      <c r="CQ659" s="43"/>
      <c r="CR659" s="43"/>
      <c r="CS659" s="43"/>
      <c r="CT659" s="43"/>
      <c r="CU659" s="43"/>
      <c r="CV659" s="43"/>
      <c r="CW659" s="43"/>
      <c r="CX659" s="43"/>
      <c r="CY659" s="43"/>
      <c r="CZ659" s="43"/>
      <c r="DA659" s="43"/>
      <c r="DB659" s="43"/>
      <c r="DC659" s="43"/>
      <c r="DD659" s="43"/>
      <c r="DE659" s="43"/>
      <c r="DF659" s="43"/>
      <c r="DG659" s="43"/>
      <c r="DH659" s="43"/>
      <c r="DI659" s="43"/>
      <c r="DJ659" s="43"/>
      <c r="DK659" s="43"/>
      <c r="DL659" s="43"/>
      <c r="DM659" s="43"/>
      <c r="DN659" s="43"/>
      <c r="DO659" s="43"/>
      <c r="DP659" s="43"/>
      <c r="DQ659" s="43"/>
      <c r="DR659" s="43"/>
      <c r="DS659" s="43"/>
    </row>
    <row r="660" spans="1:123" ht="14.45">
      <c r="A660"/>
      <c r="B660"/>
      <c r="C660"/>
      <c r="D660"/>
      <c r="E660"/>
      <c r="F660"/>
      <c r="G660"/>
      <c r="H660"/>
      <c r="I660"/>
      <c r="J660"/>
      <c r="K660" s="43"/>
      <c r="L660" s="43"/>
      <c r="M660" s="43"/>
      <c r="N660" s="43"/>
      <c r="O660" s="43"/>
      <c r="P660" s="43"/>
      <c r="Q660" s="43"/>
      <c r="R660" s="43"/>
      <c r="S660" s="43"/>
      <c r="T660" s="43"/>
      <c r="U660" s="43"/>
      <c r="V660" s="43"/>
      <c r="W660" s="43"/>
      <c r="X660" s="43"/>
      <c r="Y660" s="43"/>
      <c r="Z660" s="43"/>
      <c r="AA660" s="43"/>
      <c r="AB660" s="43"/>
      <c r="AC660" s="43"/>
      <c r="AD660" s="43"/>
      <c r="AE660" s="43"/>
      <c r="AF660" s="43"/>
      <c r="AG660" s="43"/>
      <c r="AH660" s="43"/>
      <c r="AI660" s="43"/>
      <c r="AJ660" s="43"/>
      <c r="AK660" s="43"/>
      <c r="AL660" s="43"/>
      <c r="AM660" s="43"/>
      <c r="AN660" s="43"/>
      <c r="AO660" s="43"/>
      <c r="AP660" s="43"/>
      <c r="AQ660" s="43"/>
      <c r="AR660" s="43"/>
      <c r="AS660" s="43"/>
      <c r="AT660" s="43"/>
      <c r="AU660" s="43"/>
      <c r="AV660" s="43"/>
      <c r="AW660" s="43"/>
      <c r="AX660" s="43"/>
      <c r="AY660" s="43"/>
      <c r="AZ660" s="43"/>
      <c r="BA660" s="43"/>
      <c r="BB660" s="43"/>
      <c r="BC660" s="43"/>
      <c r="BD660" s="43"/>
      <c r="BE660" s="43"/>
      <c r="BF660" s="43"/>
      <c r="BG660" s="43"/>
      <c r="BH660" s="43"/>
      <c r="BI660" s="43"/>
      <c r="BJ660" s="43"/>
      <c r="BK660" s="43"/>
      <c r="BL660" s="43"/>
      <c r="BM660" s="43"/>
      <c r="BN660" s="43"/>
      <c r="BO660" s="43"/>
      <c r="BP660" s="43"/>
      <c r="BQ660" s="43"/>
      <c r="BR660" s="43"/>
      <c r="BS660" s="43"/>
      <c r="BT660" s="43"/>
      <c r="BU660" s="43"/>
      <c r="BV660" s="43"/>
      <c r="BW660" s="43"/>
      <c r="BX660" s="43"/>
      <c r="BY660" s="43"/>
      <c r="BZ660" s="43"/>
      <c r="CA660" s="43"/>
      <c r="CB660" s="43"/>
      <c r="CC660" s="43"/>
      <c r="CD660" s="43"/>
      <c r="CE660" s="43"/>
      <c r="CF660" s="43"/>
      <c r="CG660" s="43"/>
      <c r="CH660" s="43"/>
      <c r="CI660" s="43"/>
      <c r="CJ660" s="43"/>
      <c r="CK660" s="43"/>
      <c r="CL660" s="43"/>
      <c r="CM660" s="43"/>
      <c r="CN660" s="43"/>
      <c r="CO660" s="43"/>
      <c r="CP660" s="43"/>
      <c r="CQ660" s="43"/>
      <c r="CR660" s="43"/>
      <c r="CS660" s="43"/>
      <c r="CT660" s="43"/>
      <c r="CU660" s="43"/>
      <c r="CV660" s="43"/>
      <c r="CW660" s="43"/>
      <c r="CX660" s="43"/>
      <c r="CY660" s="43"/>
      <c r="CZ660" s="43"/>
      <c r="DA660" s="43"/>
      <c r="DB660" s="43"/>
      <c r="DC660" s="43"/>
      <c r="DD660" s="43"/>
      <c r="DE660" s="43"/>
      <c r="DF660" s="43"/>
      <c r="DG660" s="43"/>
      <c r="DH660" s="43"/>
      <c r="DI660" s="43"/>
      <c r="DJ660" s="43"/>
      <c r="DK660" s="43"/>
      <c r="DL660" s="43"/>
      <c r="DM660" s="43"/>
      <c r="DN660" s="43"/>
      <c r="DO660" s="43"/>
      <c r="DP660" s="43"/>
      <c r="DQ660" s="43"/>
      <c r="DR660" s="43"/>
      <c r="DS660" s="43"/>
    </row>
    <row r="661" spans="1:123" ht="14.45">
      <c r="A661"/>
      <c r="B661"/>
      <c r="C661"/>
      <c r="D661"/>
      <c r="E661"/>
      <c r="F661"/>
      <c r="G661"/>
      <c r="H661"/>
      <c r="I661"/>
      <c r="J661"/>
      <c r="K661" s="43"/>
      <c r="L661" s="43"/>
      <c r="M661" s="43"/>
      <c r="N661" s="43"/>
      <c r="O661" s="43"/>
      <c r="P661" s="43"/>
      <c r="Q661" s="43"/>
      <c r="R661" s="43"/>
      <c r="S661" s="43"/>
      <c r="T661" s="43"/>
      <c r="U661" s="43"/>
      <c r="V661" s="43"/>
      <c r="W661" s="43"/>
      <c r="X661" s="43"/>
      <c r="Y661" s="43"/>
      <c r="Z661" s="43"/>
      <c r="AA661" s="43"/>
      <c r="AB661" s="43"/>
      <c r="AC661" s="43"/>
      <c r="AD661" s="43"/>
      <c r="AE661" s="43"/>
      <c r="AF661" s="43"/>
      <c r="AG661" s="43"/>
      <c r="AH661" s="43"/>
      <c r="AI661" s="43"/>
      <c r="AJ661" s="43"/>
      <c r="AK661" s="43"/>
      <c r="AL661" s="43"/>
      <c r="AM661" s="43"/>
      <c r="AN661" s="43"/>
      <c r="AO661" s="43"/>
      <c r="AP661" s="43"/>
      <c r="AQ661" s="43"/>
      <c r="AR661" s="43"/>
      <c r="AS661" s="43"/>
      <c r="AT661" s="43"/>
      <c r="AU661" s="43"/>
      <c r="AV661" s="43"/>
      <c r="AW661" s="43"/>
      <c r="AX661" s="43"/>
      <c r="AY661" s="43"/>
      <c r="AZ661" s="43"/>
      <c r="BA661" s="43"/>
      <c r="BB661" s="43"/>
      <c r="BC661" s="43"/>
      <c r="BD661" s="43"/>
      <c r="BE661" s="43"/>
      <c r="BF661" s="43"/>
      <c r="BG661" s="43"/>
      <c r="BH661" s="43"/>
      <c r="BI661" s="43"/>
      <c r="BJ661" s="43"/>
      <c r="BK661" s="43"/>
      <c r="BL661" s="43"/>
      <c r="BM661" s="43"/>
      <c r="BN661" s="43"/>
      <c r="BO661" s="43"/>
      <c r="BP661" s="43"/>
      <c r="BQ661" s="43"/>
      <c r="BR661" s="43"/>
      <c r="BS661" s="43"/>
      <c r="BT661" s="43"/>
      <c r="BU661" s="43"/>
      <c r="BV661" s="43"/>
      <c r="BW661" s="43"/>
      <c r="BX661" s="43"/>
      <c r="BY661" s="43"/>
      <c r="BZ661" s="43"/>
      <c r="CA661" s="43"/>
      <c r="CB661" s="43"/>
      <c r="CC661" s="43"/>
      <c r="CD661" s="43"/>
      <c r="CE661" s="43"/>
      <c r="CF661" s="43"/>
      <c r="CG661" s="43"/>
      <c r="CH661" s="43"/>
      <c r="CI661" s="43"/>
      <c r="CJ661" s="43"/>
      <c r="CK661" s="43"/>
      <c r="CL661" s="43"/>
      <c r="CM661" s="43"/>
      <c r="CN661" s="43"/>
      <c r="CO661" s="43"/>
      <c r="CP661" s="43"/>
      <c r="CQ661" s="43"/>
      <c r="CR661" s="43"/>
      <c r="CS661" s="43"/>
      <c r="CT661" s="43"/>
      <c r="CU661" s="43"/>
      <c r="CV661" s="43"/>
      <c r="CW661" s="43"/>
      <c r="CX661" s="43"/>
      <c r="CY661" s="43"/>
      <c r="CZ661" s="43"/>
      <c r="DA661" s="43"/>
      <c r="DB661" s="43"/>
      <c r="DC661" s="43"/>
      <c r="DD661" s="43"/>
      <c r="DE661" s="43"/>
      <c r="DF661" s="43"/>
      <c r="DG661" s="43"/>
      <c r="DH661" s="43"/>
      <c r="DI661" s="43"/>
      <c r="DJ661" s="43"/>
      <c r="DK661" s="43"/>
      <c r="DL661" s="43"/>
      <c r="DM661" s="43"/>
      <c r="DN661" s="43"/>
      <c r="DO661" s="43"/>
      <c r="DP661" s="43"/>
      <c r="DQ661" s="43"/>
      <c r="DR661" s="43"/>
      <c r="DS661" s="43"/>
    </row>
    <row r="662" spans="1:123" ht="14.45">
      <c r="A662"/>
      <c r="B662"/>
      <c r="C662"/>
      <c r="D662"/>
      <c r="E662"/>
      <c r="F662"/>
      <c r="G662"/>
      <c r="H662"/>
      <c r="I662"/>
      <c r="J662"/>
      <c r="K662" s="43"/>
      <c r="L662" s="43"/>
      <c r="M662" s="43"/>
      <c r="N662" s="43"/>
      <c r="O662" s="43"/>
      <c r="P662" s="43"/>
      <c r="Q662" s="43"/>
      <c r="R662" s="43"/>
      <c r="S662" s="43"/>
      <c r="T662" s="43"/>
      <c r="U662" s="43"/>
      <c r="V662" s="43"/>
      <c r="W662" s="43"/>
      <c r="X662" s="43"/>
      <c r="Y662" s="43"/>
      <c r="Z662" s="43"/>
      <c r="AA662" s="43"/>
      <c r="AB662" s="43"/>
      <c r="AC662" s="43"/>
      <c r="AD662" s="43"/>
      <c r="AE662" s="43"/>
      <c r="AF662" s="43"/>
      <c r="AG662" s="43"/>
      <c r="AH662" s="43"/>
      <c r="AI662" s="43"/>
      <c r="AJ662" s="43"/>
      <c r="AK662" s="43"/>
      <c r="AL662" s="43"/>
      <c r="AM662" s="43"/>
      <c r="AN662" s="43"/>
      <c r="AO662" s="43"/>
      <c r="AP662" s="43"/>
      <c r="AQ662" s="43"/>
      <c r="AR662" s="43"/>
      <c r="AS662" s="43"/>
      <c r="AT662" s="43"/>
      <c r="AU662" s="43"/>
      <c r="AV662" s="43"/>
      <c r="AW662" s="43"/>
      <c r="AX662" s="43"/>
      <c r="AY662" s="43"/>
      <c r="AZ662" s="43"/>
      <c r="BA662" s="43"/>
      <c r="BB662" s="43"/>
      <c r="BC662" s="43"/>
      <c r="BD662" s="43"/>
      <c r="BE662" s="43"/>
      <c r="BF662" s="43"/>
      <c r="BG662" s="43"/>
      <c r="BH662" s="43"/>
      <c r="BI662" s="43"/>
      <c r="BJ662" s="43"/>
      <c r="BK662" s="43"/>
      <c r="BL662" s="43"/>
      <c r="BM662" s="43"/>
      <c r="BN662" s="43"/>
      <c r="BO662" s="43"/>
      <c r="BP662" s="43"/>
      <c r="BQ662" s="43"/>
      <c r="BR662" s="43"/>
      <c r="BS662" s="43"/>
      <c r="BT662" s="43"/>
      <c r="BU662" s="43"/>
      <c r="BV662" s="43"/>
      <c r="BW662" s="43"/>
      <c r="BX662" s="43"/>
      <c r="BY662" s="43"/>
      <c r="BZ662" s="43"/>
      <c r="CA662" s="43"/>
      <c r="CB662" s="43"/>
      <c r="CC662" s="43"/>
      <c r="CD662" s="43"/>
      <c r="CE662" s="43"/>
      <c r="CF662" s="43"/>
      <c r="CG662" s="43"/>
      <c r="CH662" s="43"/>
      <c r="CI662" s="43"/>
      <c r="CJ662" s="43"/>
      <c r="CK662" s="43"/>
      <c r="CL662" s="43"/>
      <c r="CM662" s="43"/>
      <c r="CN662" s="43"/>
      <c r="CO662" s="43"/>
      <c r="CP662" s="43"/>
      <c r="CQ662" s="43"/>
      <c r="CR662" s="43"/>
      <c r="CS662" s="43"/>
      <c r="CT662" s="43"/>
      <c r="CU662" s="43"/>
      <c r="CV662" s="43"/>
      <c r="CW662" s="43"/>
      <c r="CX662" s="43"/>
      <c r="CY662" s="43"/>
      <c r="CZ662" s="43"/>
      <c r="DA662" s="43"/>
      <c r="DB662" s="43"/>
      <c r="DC662" s="43"/>
      <c r="DD662" s="43"/>
      <c r="DE662" s="43"/>
      <c r="DF662" s="43"/>
      <c r="DG662" s="43"/>
      <c r="DH662" s="43"/>
      <c r="DI662" s="43"/>
      <c r="DJ662" s="43"/>
      <c r="DK662" s="43"/>
      <c r="DL662" s="43"/>
      <c r="DM662" s="43"/>
      <c r="DN662" s="43"/>
      <c r="DO662" s="43"/>
      <c r="DP662" s="43"/>
      <c r="DQ662" s="43"/>
      <c r="DR662" s="43"/>
      <c r="DS662" s="43"/>
    </row>
    <row r="663" spans="1:123" ht="14.45">
      <c r="A663"/>
      <c r="B663"/>
      <c r="C663"/>
      <c r="D663"/>
      <c r="E663"/>
      <c r="F663"/>
      <c r="G663"/>
      <c r="H663"/>
      <c r="I663"/>
      <c r="J663"/>
      <c r="K663" s="43"/>
      <c r="L663" s="43"/>
      <c r="M663" s="43"/>
      <c r="N663" s="43"/>
      <c r="O663" s="43"/>
      <c r="P663" s="43"/>
      <c r="Q663" s="43"/>
      <c r="R663" s="43"/>
      <c r="S663" s="43"/>
      <c r="T663" s="43"/>
      <c r="U663" s="43"/>
      <c r="V663" s="43"/>
      <c r="W663" s="43"/>
      <c r="X663" s="43"/>
      <c r="Y663" s="43"/>
      <c r="Z663" s="43"/>
      <c r="AA663" s="43"/>
      <c r="AB663" s="43"/>
      <c r="AC663" s="43"/>
      <c r="AD663" s="43"/>
      <c r="AE663" s="43"/>
      <c r="AF663" s="43"/>
      <c r="AG663" s="43"/>
      <c r="AH663" s="43"/>
      <c r="AI663" s="43"/>
      <c r="AJ663" s="43"/>
      <c r="AK663" s="43"/>
      <c r="AL663" s="43"/>
      <c r="AM663" s="43"/>
      <c r="AN663" s="43"/>
      <c r="AO663" s="43"/>
      <c r="AP663" s="43"/>
      <c r="AQ663" s="43"/>
      <c r="AR663" s="43"/>
      <c r="AS663" s="43"/>
      <c r="AT663" s="43"/>
      <c r="AU663" s="43"/>
      <c r="AV663" s="43"/>
      <c r="AW663" s="43"/>
      <c r="AX663" s="43"/>
      <c r="AY663" s="43"/>
      <c r="AZ663" s="43"/>
      <c r="BA663" s="43"/>
      <c r="BB663" s="43"/>
      <c r="BC663" s="43"/>
      <c r="BD663" s="43"/>
      <c r="BE663" s="43"/>
      <c r="BF663" s="43"/>
      <c r="BG663" s="43"/>
      <c r="BH663" s="43"/>
      <c r="BI663" s="43"/>
      <c r="BJ663" s="43"/>
      <c r="BK663" s="43"/>
      <c r="BL663" s="43"/>
      <c r="BM663" s="43"/>
      <c r="BN663" s="43"/>
      <c r="BO663" s="43"/>
      <c r="BP663" s="43"/>
      <c r="BQ663" s="43"/>
      <c r="BR663" s="43"/>
      <c r="BS663" s="43"/>
      <c r="BT663" s="43"/>
      <c r="BU663" s="43"/>
      <c r="BV663" s="43"/>
      <c r="BW663" s="43"/>
      <c r="BX663" s="43"/>
      <c r="BY663" s="43"/>
      <c r="BZ663" s="43"/>
      <c r="CA663" s="43"/>
      <c r="CB663" s="43"/>
      <c r="CC663" s="43"/>
      <c r="CD663" s="43"/>
      <c r="CE663" s="43"/>
      <c r="CF663" s="43"/>
      <c r="CG663" s="43"/>
      <c r="CH663" s="43"/>
      <c r="CI663" s="43"/>
      <c r="CJ663" s="43"/>
      <c r="CK663" s="43"/>
      <c r="CL663" s="43"/>
      <c r="CM663" s="43"/>
      <c r="CN663" s="43"/>
      <c r="CO663" s="43"/>
      <c r="CP663" s="43"/>
      <c r="CQ663" s="43"/>
      <c r="CR663" s="43"/>
      <c r="CS663" s="43"/>
      <c r="CT663" s="43"/>
      <c r="CU663" s="43"/>
      <c r="CV663" s="43"/>
      <c r="CW663" s="43"/>
      <c r="CX663" s="43"/>
      <c r="CY663" s="43"/>
      <c r="CZ663" s="43"/>
      <c r="DA663" s="43"/>
      <c r="DB663" s="43"/>
      <c r="DC663" s="43"/>
      <c r="DD663" s="43"/>
      <c r="DE663" s="43"/>
      <c r="DF663" s="43"/>
      <c r="DG663" s="43"/>
      <c r="DH663" s="43"/>
      <c r="DI663" s="43"/>
      <c r="DJ663" s="43"/>
      <c r="DK663" s="43"/>
      <c r="DL663" s="43"/>
      <c r="DM663" s="43"/>
      <c r="DN663" s="43"/>
      <c r="DO663" s="43"/>
      <c r="DP663" s="43"/>
      <c r="DQ663" s="43"/>
      <c r="DR663" s="43"/>
      <c r="DS663" s="43"/>
    </row>
    <row r="664" spans="1:123" ht="14.45">
      <c r="A664"/>
      <c r="B664"/>
      <c r="C664"/>
      <c r="D664"/>
      <c r="E664"/>
      <c r="F664"/>
      <c r="G664"/>
      <c r="H664"/>
      <c r="I664"/>
      <c r="J664"/>
      <c r="K664" s="43"/>
      <c r="L664" s="43"/>
      <c r="M664" s="43"/>
      <c r="N664" s="43"/>
      <c r="O664" s="43"/>
      <c r="P664" s="43"/>
      <c r="Q664" s="43"/>
      <c r="R664" s="43"/>
      <c r="S664" s="43"/>
      <c r="T664" s="43"/>
      <c r="U664" s="43"/>
      <c r="V664" s="43"/>
      <c r="W664" s="43"/>
      <c r="X664" s="43"/>
      <c r="Y664" s="43"/>
      <c r="Z664" s="43"/>
      <c r="AA664" s="43"/>
      <c r="AB664" s="43"/>
      <c r="AC664" s="43"/>
      <c r="AD664" s="43"/>
      <c r="AE664" s="43"/>
      <c r="AF664" s="43"/>
      <c r="AG664" s="43"/>
      <c r="AH664" s="43"/>
      <c r="AI664" s="43"/>
      <c r="AJ664" s="43"/>
      <c r="AK664" s="43"/>
      <c r="AL664" s="43"/>
      <c r="AM664" s="43"/>
      <c r="AN664" s="43"/>
      <c r="AO664" s="43"/>
      <c r="AP664" s="43"/>
      <c r="AQ664" s="43"/>
      <c r="AR664" s="43"/>
      <c r="AS664" s="43"/>
      <c r="AT664" s="43"/>
      <c r="AU664" s="43"/>
      <c r="AV664" s="43"/>
      <c r="AW664" s="43"/>
      <c r="AX664" s="43"/>
      <c r="AY664" s="43"/>
      <c r="AZ664" s="43"/>
      <c r="BA664" s="43"/>
      <c r="BB664" s="43"/>
      <c r="BC664" s="43"/>
      <c r="BD664" s="43"/>
      <c r="BE664" s="43"/>
      <c r="BF664" s="43"/>
      <c r="BG664" s="43"/>
      <c r="BH664" s="43"/>
      <c r="BI664" s="43"/>
      <c r="BJ664" s="43"/>
      <c r="BK664" s="43"/>
      <c r="BL664" s="43"/>
      <c r="BM664" s="43"/>
      <c r="BN664" s="43"/>
      <c r="BO664" s="43"/>
      <c r="BP664" s="43"/>
      <c r="BQ664" s="43"/>
      <c r="BR664" s="43"/>
      <c r="BS664" s="43"/>
      <c r="BT664" s="43"/>
      <c r="BU664" s="43"/>
      <c r="BV664" s="43"/>
      <c r="BW664" s="43"/>
      <c r="BX664" s="43"/>
      <c r="BY664" s="43"/>
      <c r="BZ664" s="43"/>
      <c r="CA664" s="43"/>
      <c r="CB664" s="43"/>
      <c r="CC664" s="43"/>
      <c r="CD664" s="43"/>
      <c r="CE664" s="43"/>
      <c r="CF664" s="43"/>
      <c r="CG664" s="43"/>
      <c r="CH664" s="43"/>
      <c r="CI664" s="43"/>
      <c r="CJ664" s="43"/>
      <c r="CK664" s="43"/>
      <c r="CL664" s="43"/>
      <c r="CM664" s="43"/>
      <c r="CN664" s="43"/>
      <c r="CO664" s="43"/>
      <c r="CP664" s="43"/>
      <c r="CQ664" s="43"/>
      <c r="CR664" s="43"/>
      <c r="CS664" s="43"/>
      <c r="CT664" s="43"/>
      <c r="CU664" s="43"/>
      <c r="CV664" s="43"/>
      <c r="CW664" s="43"/>
      <c r="CX664" s="43"/>
      <c r="CY664" s="43"/>
      <c r="CZ664" s="43"/>
      <c r="DA664" s="43"/>
      <c r="DB664" s="43"/>
      <c r="DC664" s="43"/>
      <c r="DD664" s="43"/>
      <c r="DE664" s="43"/>
      <c r="DF664" s="43"/>
      <c r="DG664" s="43"/>
      <c r="DH664" s="43"/>
      <c r="DI664" s="43"/>
      <c r="DJ664" s="43"/>
      <c r="DK664" s="43"/>
      <c r="DL664" s="43"/>
      <c r="DM664" s="43"/>
      <c r="DN664" s="43"/>
      <c r="DO664" s="43"/>
      <c r="DP664" s="43"/>
      <c r="DQ664" s="43"/>
      <c r="DR664" s="43"/>
      <c r="DS664" s="43"/>
    </row>
    <row r="665" spans="1:123" ht="14.45">
      <c r="A665"/>
      <c r="B665"/>
      <c r="C665"/>
      <c r="D665"/>
      <c r="E665"/>
      <c r="F665"/>
      <c r="G665"/>
      <c r="H665"/>
      <c r="I665"/>
      <c r="J665"/>
      <c r="K665" s="43"/>
      <c r="L665" s="43"/>
      <c r="M665" s="43"/>
      <c r="N665" s="43"/>
      <c r="O665" s="43"/>
      <c r="P665" s="43"/>
      <c r="Q665" s="43"/>
      <c r="R665" s="43"/>
      <c r="S665" s="43"/>
      <c r="T665" s="43"/>
      <c r="U665" s="43"/>
      <c r="V665" s="43"/>
      <c r="W665" s="43"/>
      <c r="X665" s="43"/>
      <c r="Y665" s="43"/>
      <c r="Z665" s="43"/>
      <c r="AA665" s="43"/>
      <c r="AB665" s="43"/>
      <c r="AC665" s="43"/>
      <c r="AD665" s="43"/>
      <c r="AE665" s="43"/>
      <c r="AF665" s="43"/>
      <c r="AG665" s="43"/>
      <c r="AH665" s="43"/>
      <c r="AI665" s="43"/>
      <c r="AJ665" s="43"/>
      <c r="AK665" s="43"/>
      <c r="AL665" s="43"/>
      <c r="AM665" s="43"/>
      <c r="AN665" s="43"/>
      <c r="AO665" s="43"/>
      <c r="AP665" s="43"/>
      <c r="AQ665" s="43"/>
      <c r="AR665" s="43"/>
      <c r="AS665" s="43"/>
      <c r="AT665" s="43"/>
      <c r="AU665" s="43"/>
      <c r="AV665" s="43"/>
      <c r="AW665" s="43"/>
      <c r="AX665" s="43"/>
      <c r="AY665" s="43"/>
      <c r="AZ665" s="43"/>
      <c r="BA665" s="43"/>
      <c r="BB665" s="43"/>
      <c r="BC665" s="43"/>
      <c r="BD665" s="43"/>
      <c r="BE665" s="43"/>
      <c r="BF665" s="43"/>
      <c r="BG665" s="43"/>
      <c r="BH665" s="43"/>
      <c r="BI665" s="43"/>
      <c r="BJ665" s="43"/>
      <c r="BK665" s="43"/>
      <c r="BL665" s="43"/>
      <c r="BM665" s="43"/>
      <c r="BN665" s="43"/>
      <c r="BO665" s="43"/>
      <c r="BP665" s="43"/>
      <c r="BQ665" s="43"/>
      <c r="BR665" s="43"/>
      <c r="BS665" s="43"/>
      <c r="BT665" s="43"/>
      <c r="BU665" s="43"/>
      <c r="BV665" s="43"/>
      <c r="BW665" s="43"/>
      <c r="BX665" s="43"/>
      <c r="BY665" s="43"/>
      <c r="BZ665" s="43"/>
      <c r="CA665" s="43"/>
      <c r="CB665" s="43"/>
      <c r="CC665" s="43"/>
      <c r="CD665" s="43"/>
      <c r="CE665" s="43"/>
      <c r="CF665" s="43"/>
      <c r="CG665" s="43"/>
      <c r="CH665" s="43"/>
      <c r="CI665" s="43"/>
      <c r="CJ665" s="43"/>
      <c r="CK665" s="43"/>
      <c r="CL665" s="43"/>
      <c r="CM665" s="43"/>
      <c r="CN665" s="43"/>
      <c r="CO665" s="43"/>
      <c r="CP665" s="43"/>
      <c r="CQ665" s="43"/>
      <c r="CR665" s="43"/>
      <c r="CS665" s="43"/>
      <c r="CT665" s="43"/>
      <c r="CU665" s="43"/>
      <c r="CV665" s="43"/>
      <c r="CW665" s="43"/>
      <c r="CX665" s="43"/>
      <c r="CY665" s="43"/>
      <c r="CZ665" s="43"/>
      <c r="DA665" s="43"/>
      <c r="DB665" s="43"/>
      <c r="DC665" s="43"/>
      <c r="DD665" s="43"/>
      <c r="DE665" s="43"/>
      <c r="DF665" s="43"/>
      <c r="DG665" s="43"/>
      <c r="DH665" s="43"/>
      <c r="DI665" s="43"/>
      <c r="DJ665" s="43"/>
      <c r="DK665" s="43"/>
      <c r="DL665" s="43"/>
      <c r="DM665" s="43"/>
      <c r="DN665" s="43"/>
      <c r="DO665" s="43"/>
      <c r="DP665" s="43"/>
      <c r="DQ665" s="43"/>
      <c r="DR665" s="43"/>
      <c r="DS665" s="43"/>
    </row>
    <row r="666" spans="1:123" ht="14.45">
      <c r="A666"/>
      <c r="B666"/>
      <c r="C666"/>
      <c r="D666"/>
      <c r="E666"/>
      <c r="F666"/>
      <c r="G666"/>
      <c r="H666"/>
      <c r="I666"/>
      <c r="J666"/>
      <c r="K666" s="43"/>
      <c r="L666" s="43"/>
      <c r="M666" s="43"/>
      <c r="N666" s="43"/>
      <c r="O666" s="43"/>
      <c r="P666" s="43"/>
      <c r="Q666" s="43"/>
      <c r="R666" s="43"/>
      <c r="S666" s="43"/>
      <c r="T666" s="43"/>
      <c r="U666" s="43"/>
      <c r="V666" s="43"/>
      <c r="W666" s="43"/>
      <c r="X666" s="43"/>
      <c r="Y666" s="43"/>
      <c r="Z666" s="43"/>
      <c r="AA666" s="43"/>
      <c r="AB666" s="43"/>
      <c r="AC666" s="43"/>
      <c r="AD666" s="43"/>
      <c r="AE666" s="43"/>
      <c r="AF666" s="43"/>
      <c r="AG666" s="43"/>
      <c r="AH666" s="43"/>
      <c r="AI666" s="43"/>
      <c r="AJ666" s="43"/>
      <c r="AK666" s="43"/>
      <c r="AL666" s="43"/>
      <c r="AM666" s="43"/>
      <c r="AN666" s="43"/>
      <c r="AO666" s="43"/>
      <c r="AP666" s="43"/>
      <c r="AQ666" s="43"/>
      <c r="AR666" s="43"/>
      <c r="AS666" s="43"/>
      <c r="AT666" s="43"/>
      <c r="AU666" s="43"/>
      <c r="AV666" s="43"/>
      <c r="AW666" s="43"/>
      <c r="AX666" s="43"/>
      <c r="AY666" s="43"/>
      <c r="AZ666" s="43"/>
      <c r="BA666" s="43"/>
      <c r="BB666" s="43"/>
      <c r="BC666" s="43"/>
      <c r="BD666" s="43"/>
      <c r="BE666" s="43"/>
      <c r="BF666" s="43"/>
      <c r="BG666" s="43"/>
      <c r="BH666" s="43"/>
      <c r="BI666" s="43"/>
      <c r="BJ666" s="43"/>
      <c r="BK666" s="43"/>
      <c r="BL666" s="43"/>
      <c r="BM666" s="43"/>
      <c r="BN666" s="43"/>
      <c r="BO666" s="43"/>
      <c r="BP666" s="43"/>
      <c r="BQ666" s="43"/>
      <c r="BR666" s="43"/>
      <c r="BS666" s="43"/>
      <c r="BT666" s="43"/>
      <c r="BU666" s="43"/>
      <c r="BV666" s="43"/>
      <c r="BW666" s="43"/>
      <c r="BX666" s="43"/>
      <c r="BY666" s="43"/>
      <c r="BZ666" s="43"/>
      <c r="CA666" s="43"/>
      <c r="CB666" s="43"/>
      <c r="CC666" s="43"/>
      <c r="CD666" s="43"/>
      <c r="CE666" s="43"/>
      <c r="CF666" s="43"/>
      <c r="CG666" s="43"/>
      <c r="CH666" s="43"/>
      <c r="CI666" s="43"/>
      <c r="CJ666" s="43"/>
      <c r="CK666" s="43"/>
      <c r="CL666" s="43"/>
      <c r="CM666" s="43"/>
      <c r="CN666" s="43"/>
      <c r="CO666" s="43"/>
      <c r="CP666" s="43"/>
      <c r="CQ666" s="43"/>
      <c r="CR666" s="43"/>
      <c r="CS666" s="43"/>
      <c r="CT666" s="43"/>
      <c r="CU666" s="43"/>
      <c r="CV666" s="43"/>
      <c r="CW666" s="43"/>
      <c r="CX666" s="43"/>
      <c r="CY666" s="43"/>
      <c r="CZ666" s="43"/>
      <c r="DA666" s="43"/>
      <c r="DB666" s="43"/>
      <c r="DC666" s="43"/>
      <c r="DD666" s="43"/>
      <c r="DE666" s="43"/>
      <c r="DF666" s="43"/>
      <c r="DG666" s="43"/>
      <c r="DH666" s="43"/>
      <c r="DI666" s="43"/>
      <c r="DJ666" s="43"/>
      <c r="DK666" s="43"/>
      <c r="DL666" s="43"/>
      <c r="DM666" s="43"/>
      <c r="DN666" s="43"/>
      <c r="DO666" s="43"/>
      <c r="DP666" s="43"/>
      <c r="DQ666" s="43"/>
      <c r="DR666" s="43"/>
      <c r="DS666" s="43"/>
    </row>
    <row r="667" spans="1:123" ht="14.45">
      <c r="A667"/>
      <c r="B667"/>
      <c r="C667"/>
      <c r="D667"/>
      <c r="E667"/>
      <c r="F667"/>
      <c r="G667"/>
      <c r="H667"/>
      <c r="I667"/>
      <c r="J667"/>
      <c r="K667" s="43"/>
      <c r="L667" s="43"/>
      <c r="M667" s="43"/>
      <c r="N667" s="43"/>
      <c r="O667" s="43"/>
      <c r="P667" s="43"/>
      <c r="Q667" s="43"/>
      <c r="R667" s="43"/>
      <c r="S667" s="43"/>
      <c r="T667" s="43"/>
      <c r="U667" s="43"/>
      <c r="V667" s="43"/>
      <c r="W667" s="43"/>
      <c r="X667" s="43"/>
      <c r="Y667" s="43"/>
      <c r="Z667" s="43"/>
      <c r="AA667" s="43"/>
      <c r="AB667" s="43"/>
      <c r="AC667" s="43"/>
      <c r="AD667" s="43"/>
      <c r="AE667" s="43"/>
      <c r="AF667" s="43"/>
      <c r="AG667" s="43"/>
      <c r="AH667" s="43"/>
      <c r="AI667" s="43"/>
      <c r="AJ667" s="43"/>
      <c r="AK667" s="43"/>
      <c r="AL667" s="43"/>
      <c r="AM667" s="43"/>
      <c r="AN667" s="43"/>
      <c r="AO667" s="43"/>
      <c r="AP667" s="43"/>
      <c r="AQ667" s="43"/>
      <c r="AR667" s="43"/>
      <c r="AS667" s="43"/>
      <c r="AT667" s="43"/>
      <c r="AU667" s="43"/>
      <c r="AV667" s="43"/>
      <c r="AW667" s="43"/>
      <c r="AX667" s="43"/>
      <c r="AY667" s="43"/>
      <c r="AZ667" s="43"/>
      <c r="BA667" s="43"/>
      <c r="BB667" s="43"/>
      <c r="BC667" s="43"/>
      <c r="BD667" s="43"/>
      <c r="BE667" s="43"/>
      <c r="BF667" s="43"/>
      <c r="BG667" s="43"/>
      <c r="BH667" s="43"/>
      <c r="BI667" s="43"/>
      <c r="BJ667" s="43"/>
      <c r="BK667" s="43"/>
      <c r="BL667" s="43"/>
      <c r="BM667" s="43"/>
      <c r="BN667" s="43"/>
      <c r="BO667" s="43"/>
      <c r="BP667" s="43"/>
      <c r="BQ667" s="43"/>
      <c r="BR667" s="43"/>
      <c r="BS667" s="43"/>
      <c r="BT667" s="43"/>
      <c r="BU667" s="43"/>
      <c r="BV667" s="43"/>
      <c r="BW667" s="43"/>
      <c r="BX667" s="43"/>
      <c r="BY667" s="43"/>
      <c r="BZ667" s="43"/>
      <c r="CA667" s="43"/>
      <c r="CB667" s="43"/>
      <c r="CC667" s="43"/>
      <c r="CD667" s="43"/>
      <c r="CE667" s="43"/>
      <c r="CF667" s="43"/>
      <c r="CG667" s="43"/>
      <c r="CH667" s="43"/>
      <c r="CI667" s="43"/>
      <c r="CJ667" s="43"/>
      <c r="CK667" s="43"/>
      <c r="CL667" s="43"/>
      <c r="CM667" s="43"/>
      <c r="CN667" s="43"/>
      <c r="CO667" s="43"/>
      <c r="CP667" s="43"/>
      <c r="CQ667" s="43"/>
      <c r="CR667" s="43"/>
      <c r="CS667" s="43"/>
      <c r="CT667" s="43"/>
      <c r="CU667" s="43"/>
      <c r="CV667" s="43"/>
      <c r="CW667" s="43"/>
      <c r="CX667" s="43"/>
      <c r="CY667" s="43"/>
      <c r="CZ667" s="43"/>
      <c r="DA667" s="43"/>
      <c r="DB667" s="43"/>
      <c r="DC667" s="43"/>
      <c r="DD667" s="43"/>
      <c r="DE667" s="43"/>
      <c r="DF667" s="43"/>
      <c r="DG667" s="43"/>
      <c r="DH667" s="43"/>
      <c r="DI667" s="43"/>
      <c r="DJ667" s="43"/>
      <c r="DK667" s="43"/>
      <c r="DL667" s="43"/>
      <c r="DM667" s="43"/>
      <c r="DN667" s="43"/>
      <c r="DO667" s="43"/>
      <c r="DP667" s="43"/>
      <c r="DQ667" s="43"/>
      <c r="DR667" s="43"/>
      <c r="DS667" s="43"/>
    </row>
    <row r="668" spans="1:123" ht="14.45">
      <c r="A668"/>
      <c r="B668"/>
      <c r="C668"/>
      <c r="D668"/>
      <c r="E668"/>
      <c r="F668"/>
      <c r="G668"/>
      <c r="H668"/>
      <c r="I668"/>
      <c r="J668"/>
      <c r="K668" s="43"/>
      <c r="L668" s="43"/>
      <c r="M668" s="43"/>
      <c r="N668" s="43"/>
      <c r="O668" s="43"/>
      <c r="P668" s="43"/>
      <c r="Q668" s="43"/>
      <c r="R668" s="43"/>
      <c r="S668" s="43"/>
      <c r="T668" s="43"/>
      <c r="U668" s="43"/>
      <c r="V668" s="43"/>
      <c r="W668" s="43"/>
      <c r="X668" s="43"/>
      <c r="Y668" s="43"/>
      <c r="Z668" s="43"/>
      <c r="AA668" s="43"/>
      <c r="AB668" s="43"/>
      <c r="AC668" s="43"/>
      <c r="AD668" s="43"/>
      <c r="AE668" s="43"/>
      <c r="AF668" s="43"/>
      <c r="AG668" s="43"/>
      <c r="AH668" s="43"/>
      <c r="AI668" s="43"/>
      <c r="AJ668" s="43"/>
      <c r="AK668" s="43"/>
      <c r="AL668" s="43"/>
      <c r="AM668" s="43"/>
      <c r="AN668" s="43"/>
      <c r="AO668" s="43"/>
      <c r="AP668" s="43"/>
      <c r="AQ668" s="43"/>
      <c r="AR668" s="43"/>
      <c r="AS668" s="43"/>
      <c r="AT668" s="43"/>
      <c r="AU668" s="43"/>
      <c r="AV668" s="43"/>
      <c r="AW668" s="43"/>
      <c r="AX668" s="43"/>
      <c r="AY668" s="43"/>
      <c r="AZ668" s="43"/>
      <c r="BA668" s="43"/>
      <c r="BB668" s="43"/>
      <c r="BC668" s="43"/>
      <c r="BD668" s="43"/>
      <c r="BE668" s="43"/>
      <c r="BF668" s="43"/>
      <c r="BG668" s="43"/>
      <c r="BH668" s="43"/>
      <c r="BI668" s="43"/>
      <c r="BJ668" s="43"/>
      <c r="BK668" s="43"/>
      <c r="BL668" s="43"/>
      <c r="BM668" s="43"/>
      <c r="BN668" s="43"/>
      <c r="BO668" s="43"/>
      <c r="BP668" s="43"/>
      <c r="BQ668" s="43"/>
      <c r="BR668" s="43"/>
      <c r="BS668" s="43"/>
      <c r="BT668" s="43"/>
      <c r="BU668" s="43"/>
      <c r="BV668" s="43"/>
      <c r="BW668" s="43"/>
      <c r="BX668" s="43"/>
      <c r="BY668" s="43"/>
      <c r="BZ668" s="43"/>
      <c r="CA668" s="43"/>
      <c r="CB668" s="43"/>
      <c r="CC668" s="43"/>
      <c r="CD668" s="43"/>
      <c r="CE668" s="43"/>
      <c r="CF668" s="43"/>
      <c r="CG668" s="43"/>
      <c r="CH668" s="43"/>
      <c r="CI668" s="43"/>
      <c r="CJ668" s="43"/>
      <c r="CK668" s="43"/>
      <c r="CL668" s="43"/>
      <c r="CM668" s="43"/>
      <c r="CN668" s="43"/>
      <c r="CO668" s="43"/>
      <c r="CP668" s="43"/>
      <c r="CQ668" s="43"/>
      <c r="CR668" s="43"/>
      <c r="CS668" s="43"/>
      <c r="CT668" s="43"/>
      <c r="CU668" s="43"/>
      <c r="CV668" s="43"/>
      <c r="CW668" s="43"/>
      <c r="CX668" s="43"/>
      <c r="CY668" s="43"/>
      <c r="CZ668" s="43"/>
      <c r="DA668" s="43"/>
      <c r="DB668" s="43"/>
      <c r="DC668" s="43"/>
      <c r="DD668" s="43"/>
      <c r="DE668" s="43"/>
      <c r="DF668" s="43"/>
      <c r="DG668" s="43"/>
      <c r="DH668" s="43"/>
      <c r="DI668" s="43"/>
      <c r="DJ668" s="43"/>
      <c r="DK668" s="43"/>
      <c r="DL668" s="43"/>
      <c r="DM668" s="43"/>
      <c r="DN668" s="43"/>
      <c r="DO668" s="43"/>
      <c r="DP668" s="43"/>
      <c r="DQ668" s="43"/>
      <c r="DR668" s="43"/>
      <c r="DS668" s="43"/>
    </row>
    <row r="669" spans="1:123" ht="14.45">
      <c r="A669"/>
      <c r="B669"/>
      <c r="C669"/>
      <c r="D669"/>
      <c r="E669"/>
      <c r="F669"/>
      <c r="G669"/>
      <c r="H669"/>
      <c r="I669"/>
      <c r="J669"/>
      <c r="K669" s="43"/>
      <c r="L669" s="43"/>
      <c r="M669" s="43"/>
      <c r="N669" s="43"/>
      <c r="O669" s="43"/>
      <c r="P669" s="43"/>
      <c r="Q669" s="43"/>
      <c r="R669" s="43"/>
      <c r="S669" s="43"/>
      <c r="T669" s="43"/>
      <c r="U669" s="43"/>
      <c r="V669" s="43"/>
      <c r="W669" s="43"/>
      <c r="X669" s="43"/>
      <c r="Y669" s="43"/>
      <c r="Z669" s="43"/>
      <c r="AA669" s="43"/>
      <c r="AB669" s="43"/>
      <c r="AC669" s="43"/>
      <c r="AD669" s="43"/>
      <c r="AE669" s="43"/>
      <c r="AF669" s="43"/>
      <c r="AG669" s="43"/>
      <c r="AH669" s="43"/>
      <c r="AI669" s="43"/>
      <c r="AJ669" s="43"/>
      <c r="AK669" s="43"/>
      <c r="AL669" s="43"/>
      <c r="AM669" s="43"/>
      <c r="AN669" s="43"/>
      <c r="AO669" s="43"/>
      <c r="AP669" s="43"/>
      <c r="AQ669" s="43"/>
      <c r="AR669" s="43"/>
      <c r="AS669" s="43"/>
      <c r="AT669" s="43"/>
      <c r="AU669" s="43"/>
      <c r="AV669" s="43"/>
      <c r="AW669" s="43"/>
      <c r="AX669" s="43"/>
      <c r="AY669" s="43"/>
      <c r="AZ669" s="43"/>
      <c r="BA669" s="43"/>
      <c r="BB669" s="43"/>
      <c r="BC669" s="43"/>
      <c r="BD669" s="43"/>
      <c r="BE669" s="43"/>
      <c r="BF669" s="43"/>
      <c r="BG669" s="43"/>
      <c r="BH669" s="43"/>
      <c r="BI669" s="43"/>
      <c r="BJ669" s="43"/>
      <c r="BK669" s="43"/>
      <c r="BL669" s="43"/>
      <c r="BM669" s="43"/>
      <c r="BN669" s="43"/>
      <c r="BO669" s="43"/>
      <c r="BP669" s="43"/>
      <c r="BQ669" s="43"/>
      <c r="BR669" s="43"/>
      <c r="BS669" s="43"/>
      <c r="BT669" s="43"/>
      <c r="BU669" s="43"/>
      <c r="BV669" s="43"/>
      <c r="BW669" s="43"/>
      <c r="BX669" s="43"/>
      <c r="BY669" s="43"/>
      <c r="BZ669" s="43"/>
      <c r="CA669" s="43"/>
      <c r="CB669" s="43"/>
      <c r="CC669" s="43"/>
      <c r="CD669" s="43"/>
      <c r="CE669" s="43"/>
      <c r="CF669" s="43"/>
      <c r="CG669" s="43"/>
      <c r="CH669" s="43"/>
      <c r="CI669" s="43"/>
      <c r="CJ669" s="43"/>
      <c r="CK669" s="43"/>
      <c r="CL669" s="43"/>
      <c r="CM669" s="43"/>
      <c r="CN669" s="43"/>
      <c r="CO669" s="43"/>
      <c r="CP669" s="43"/>
      <c r="CQ669" s="43"/>
      <c r="CR669" s="43"/>
      <c r="CS669" s="43"/>
      <c r="CT669" s="43"/>
      <c r="CU669" s="43"/>
      <c r="CV669" s="43"/>
      <c r="CW669" s="43"/>
      <c r="CX669" s="43"/>
      <c r="CY669" s="43"/>
      <c r="CZ669" s="43"/>
      <c r="DA669" s="43"/>
      <c r="DB669" s="43"/>
      <c r="DC669" s="43"/>
      <c r="DD669" s="43"/>
      <c r="DE669" s="43"/>
      <c r="DF669" s="43"/>
      <c r="DG669" s="43"/>
      <c r="DH669" s="43"/>
      <c r="DI669" s="43"/>
      <c r="DJ669" s="43"/>
      <c r="DK669" s="43"/>
      <c r="DL669" s="43"/>
      <c r="DM669" s="43"/>
      <c r="DN669" s="43"/>
      <c r="DO669" s="43"/>
      <c r="DP669" s="43"/>
      <c r="DQ669" s="43"/>
      <c r="DR669" s="43"/>
      <c r="DS669" s="43"/>
    </row>
    <row r="670" spans="1:123" ht="14.45">
      <c r="A670"/>
      <c r="B670"/>
      <c r="C670"/>
      <c r="D670"/>
      <c r="E670"/>
      <c r="F670"/>
      <c r="G670"/>
      <c r="H670"/>
      <c r="I670"/>
      <c r="J670"/>
      <c r="K670" s="43"/>
      <c r="L670" s="43"/>
      <c r="M670" s="43"/>
      <c r="N670" s="43"/>
      <c r="O670" s="43"/>
      <c r="P670" s="43"/>
      <c r="Q670" s="43"/>
      <c r="R670" s="43"/>
      <c r="S670" s="43"/>
      <c r="T670" s="43"/>
      <c r="U670" s="43"/>
      <c r="V670" s="43"/>
      <c r="W670" s="43"/>
      <c r="X670" s="43"/>
      <c r="Y670" s="43"/>
      <c r="Z670" s="43"/>
      <c r="AA670" s="43"/>
      <c r="AB670" s="43"/>
      <c r="AC670" s="43"/>
      <c r="AD670" s="43"/>
      <c r="AE670" s="43"/>
      <c r="AF670" s="43"/>
      <c r="AG670" s="43"/>
      <c r="AH670" s="43"/>
      <c r="AI670" s="43"/>
      <c r="AJ670" s="43"/>
      <c r="AK670" s="43"/>
      <c r="AL670" s="43"/>
      <c r="AM670" s="43"/>
      <c r="AN670" s="43"/>
      <c r="AO670" s="43"/>
      <c r="AP670" s="43"/>
      <c r="AQ670" s="43"/>
      <c r="AR670" s="43"/>
      <c r="AS670" s="43"/>
      <c r="AT670" s="43"/>
      <c r="AU670" s="43"/>
      <c r="AV670" s="43"/>
      <c r="AW670" s="43"/>
      <c r="AX670" s="43"/>
      <c r="AY670" s="43"/>
      <c r="AZ670" s="43"/>
      <c r="BA670" s="43"/>
      <c r="BB670" s="43"/>
      <c r="BC670" s="43"/>
      <c r="BD670" s="43"/>
      <c r="BE670" s="43"/>
      <c r="BF670" s="43"/>
      <c r="BG670" s="43"/>
      <c r="BH670" s="43"/>
      <c r="BI670" s="43"/>
      <c r="BJ670" s="43"/>
      <c r="BK670" s="43"/>
      <c r="BL670" s="43"/>
      <c r="BM670" s="43"/>
      <c r="BN670" s="43"/>
      <c r="BO670" s="43"/>
      <c r="BP670" s="43"/>
      <c r="BQ670" s="43"/>
      <c r="BR670" s="43"/>
      <c r="BS670" s="43"/>
      <c r="BT670" s="43"/>
      <c r="BU670" s="43"/>
      <c r="BV670" s="43"/>
      <c r="BW670" s="43"/>
      <c r="BX670" s="43"/>
      <c r="BY670" s="43"/>
      <c r="BZ670" s="43"/>
      <c r="CA670" s="43"/>
      <c r="CB670" s="43"/>
      <c r="CC670" s="43"/>
      <c r="CD670" s="43"/>
      <c r="CE670" s="43"/>
      <c r="CF670" s="43"/>
      <c r="CG670" s="43"/>
      <c r="CH670" s="43"/>
      <c r="CI670" s="43"/>
      <c r="CJ670" s="43"/>
      <c r="CK670" s="43"/>
      <c r="CL670" s="43"/>
      <c r="CM670" s="43"/>
      <c r="CN670" s="43"/>
      <c r="CO670" s="43"/>
      <c r="CP670" s="43"/>
      <c r="CQ670" s="43"/>
      <c r="CR670" s="43"/>
      <c r="CS670" s="43"/>
      <c r="CT670" s="43"/>
      <c r="CU670" s="43"/>
      <c r="CV670" s="43"/>
      <c r="CW670" s="43"/>
      <c r="CX670" s="43"/>
      <c r="CY670" s="43"/>
      <c r="CZ670" s="43"/>
      <c r="DA670" s="43"/>
      <c r="DB670" s="43"/>
      <c r="DC670" s="43"/>
      <c r="DD670" s="43"/>
      <c r="DE670" s="43"/>
      <c r="DF670" s="43"/>
      <c r="DG670" s="43"/>
      <c r="DH670" s="43"/>
      <c r="DI670" s="43"/>
      <c r="DJ670" s="43"/>
      <c r="DK670" s="43"/>
      <c r="DL670" s="43"/>
      <c r="DM670" s="43"/>
      <c r="DN670" s="43"/>
      <c r="DO670" s="43"/>
      <c r="DP670" s="43"/>
      <c r="DQ670" s="43"/>
      <c r="DR670" s="43"/>
      <c r="DS670" s="43"/>
    </row>
    <row r="671" spans="1:123" ht="14.45">
      <c r="A671"/>
      <c r="B671"/>
      <c r="C671"/>
      <c r="D671"/>
      <c r="E671"/>
      <c r="F671"/>
      <c r="G671"/>
      <c r="H671"/>
      <c r="I671"/>
      <c r="J671"/>
      <c r="K671" s="43"/>
      <c r="L671" s="43"/>
      <c r="M671" s="43"/>
      <c r="N671" s="43"/>
      <c r="O671" s="43"/>
      <c r="P671" s="43"/>
      <c r="Q671" s="43"/>
      <c r="R671" s="43"/>
      <c r="S671" s="43"/>
      <c r="T671" s="43"/>
      <c r="U671" s="43"/>
      <c r="V671" s="43"/>
      <c r="W671" s="43"/>
      <c r="X671" s="43"/>
      <c r="Y671" s="43"/>
      <c r="Z671" s="43"/>
      <c r="AA671" s="43"/>
      <c r="AB671" s="43"/>
      <c r="AC671" s="43"/>
      <c r="AD671" s="43"/>
      <c r="AE671" s="43"/>
      <c r="AF671" s="43"/>
      <c r="AG671" s="43"/>
      <c r="AH671" s="43"/>
      <c r="AI671" s="43"/>
      <c r="AJ671" s="43"/>
      <c r="AK671" s="43"/>
      <c r="AL671" s="43"/>
      <c r="AM671" s="43"/>
      <c r="AN671" s="43"/>
      <c r="AO671" s="43"/>
      <c r="AP671" s="43"/>
      <c r="AQ671" s="43"/>
      <c r="AR671" s="43"/>
      <c r="AS671" s="43"/>
      <c r="AT671" s="43"/>
      <c r="AU671" s="43"/>
      <c r="AV671" s="43"/>
      <c r="AW671" s="43"/>
      <c r="AX671" s="43"/>
      <c r="AY671" s="43"/>
      <c r="AZ671" s="43"/>
      <c r="BA671" s="43"/>
      <c r="BB671" s="43"/>
      <c r="BC671" s="43"/>
      <c r="BD671" s="43"/>
      <c r="BE671" s="43"/>
      <c r="BF671" s="43"/>
      <c r="BG671" s="43"/>
      <c r="BH671" s="43"/>
      <c r="BI671" s="43"/>
      <c r="BJ671" s="43"/>
      <c r="BK671" s="43"/>
      <c r="BL671" s="43"/>
      <c r="BM671" s="43"/>
      <c r="BN671" s="43"/>
      <c r="BO671" s="43"/>
      <c r="BP671" s="43"/>
      <c r="BQ671" s="43"/>
      <c r="BR671" s="43"/>
      <c r="BS671" s="43"/>
      <c r="BT671" s="43"/>
      <c r="BU671" s="43"/>
      <c r="BV671" s="43"/>
      <c r="BW671" s="43"/>
      <c r="BX671" s="43"/>
      <c r="BY671" s="43"/>
      <c r="BZ671" s="43"/>
      <c r="CA671" s="43"/>
      <c r="CB671" s="43"/>
      <c r="CC671" s="43"/>
      <c r="CD671" s="43"/>
      <c r="CE671" s="43"/>
      <c r="CF671" s="43"/>
      <c r="CG671" s="43"/>
      <c r="CH671" s="43"/>
      <c r="CI671" s="43"/>
      <c r="CJ671" s="43"/>
      <c r="CK671" s="43"/>
      <c r="CL671" s="43"/>
      <c r="CM671" s="43"/>
      <c r="CN671" s="43"/>
      <c r="CO671" s="43"/>
      <c r="CP671" s="43"/>
      <c r="CQ671" s="43"/>
      <c r="CR671" s="43"/>
      <c r="CS671" s="43"/>
      <c r="CT671" s="43"/>
      <c r="CU671" s="43"/>
      <c r="CV671" s="43"/>
      <c r="CW671" s="43"/>
      <c r="CX671" s="43"/>
      <c r="CY671" s="43"/>
      <c r="CZ671" s="43"/>
      <c r="DA671" s="43"/>
      <c r="DB671" s="43"/>
      <c r="DC671" s="43"/>
      <c r="DD671" s="43"/>
      <c r="DE671" s="43"/>
      <c r="DF671" s="43"/>
      <c r="DG671" s="43"/>
      <c r="DH671" s="43"/>
      <c r="DI671" s="43"/>
      <c r="DJ671" s="43"/>
      <c r="DK671" s="43"/>
      <c r="DL671" s="43"/>
      <c r="DM671" s="43"/>
      <c r="DN671" s="43"/>
      <c r="DO671" s="43"/>
      <c r="DP671" s="43"/>
      <c r="DQ671" s="43"/>
      <c r="DR671" s="43"/>
      <c r="DS671" s="43"/>
    </row>
    <row r="672" spans="1:123" ht="14.45">
      <c r="A672"/>
      <c r="B672"/>
      <c r="C672"/>
      <c r="D672"/>
      <c r="E672"/>
      <c r="F672"/>
      <c r="G672"/>
      <c r="H672"/>
      <c r="I672"/>
      <c r="J672"/>
      <c r="K672" s="43"/>
      <c r="L672" s="43"/>
      <c r="M672" s="43"/>
      <c r="N672" s="43"/>
      <c r="O672" s="43"/>
      <c r="P672" s="43"/>
      <c r="Q672" s="43"/>
      <c r="R672" s="43"/>
      <c r="S672" s="43"/>
      <c r="T672" s="43"/>
      <c r="U672" s="43"/>
      <c r="V672" s="43"/>
      <c r="W672" s="43"/>
      <c r="X672" s="43"/>
      <c r="Y672" s="43"/>
      <c r="Z672" s="43"/>
      <c r="AA672" s="43"/>
      <c r="AB672" s="43"/>
      <c r="AC672" s="43"/>
      <c r="AD672" s="43"/>
      <c r="AE672" s="43"/>
      <c r="AF672" s="43"/>
      <c r="AG672" s="43"/>
      <c r="AH672" s="43"/>
      <c r="AI672" s="43"/>
      <c r="AJ672" s="43"/>
      <c r="AK672" s="43"/>
      <c r="AL672" s="43"/>
      <c r="AM672" s="43"/>
      <c r="AN672" s="43"/>
      <c r="AO672" s="43"/>
      <c r="AP672" s="43"/>
      <c r="AQ672" s="43"/>
      <c r="AR672" s="43"/>
      <c r="AS672" s="43"/>
      <c r="AT672" s="43"/>
      <c r="AU672" s="43"/>
      <c r="AV672" s="43"/>
      <c r="AW672" s="43"/>
      <c r="AX672" s="43"/>
      <c r="AY672" s="43"/>
      <c r="AZ672" s="43"/>
      <c r="BA672" s="43"/>
      <c r="BB672" s="43"/>
      <c r="BC672" s="43"/>
      <c r="BD672" s="43"/>
      <c r="BE672" s="43"/>
      <c r="BF672" s="43"/>
      <c r="BG672" s="43"/>
      <c r="BH672" s="43"/>
      <c r="BI672" s="43"/>
      <c r="BJ672" s="43"/>
      <c r="BK672" s="43"/>
      <c r="BL672" s="43"/>
      <c r="BM672" s="43"/>
      <c r="BN672" s="43"/>
      <c r="BO672" s="43"/>
      <c r="BP672" s="43"/>
      <c r="BQ672" s="43"/>
      <c r="BR672" s="43"/>
      <c r="BS672" s="43"/>
      <c r="BT672" s="43"/>
      <c r="BU672" s="43"/>
      <c r="BV672" s="43"/>
      <c r="BW672" s="43"/>
      <c r="BX672" s="43"/>
      <c r="BY672" s="43"/>
      <c r="BZ672" s="43"/>
      <c r="CA672" s="43"/>
      <c r="CB672" s="43"/>
      <c r="CC672" s="43"/>
      <c r="CD672" s="43"/>
      <c r="CE672" s="43"/>
      <c r="CF672" s="43"/>
      <c r="CG672" s="43"/>
      <c r="CH672" s="43"/>
      <c r="CI672" s="43"/>
      <c r="CJ672" s="43"/>
      <c r="CK672" s="43"/>
      <c r="CL672" s="43"/>
      <c r="CM672" s="43"/>
      <c r="CN672" s="43"/>
      <c r="CO672" s="43"/>
      <c r="CP672" s="43"/>
      <c r="CQ672" s="43"/>
      <c r="CR672" s="43"/>
      <c r="CS672" s="43"/>
      <c r="CT672" s="43"/>
      <c r="CU672" s="43"/>
      <c r="CV672" s="43"/>
      <c r="CW672" s="43"/>
      <c r="CX672" s="43"/>
      <c r="CY672" s="43"/>
      <c r="CZ672" s="43"/>
      <c r="DA672" s="43"/>
      <c r="DB672" s="43"/>
      <c r="DC672" s="43"/>
      <c r="DD672" s="43"/>
      <c r="DE672" s="43"/>
      <c r="DF672" s="43"/>
      <c r="DG672" s="43"/>
      <c r="DH672" s="43"/>
      <c r="DI672" s="43"/>
      <c r="DJ672" s="43"/>
      <c r="DK672" s="43"/>
      <c r="DL672" s="43"/>
      <c r="DM672" s="43"/>
      <c r="DN672" s="43"/>
      <c r="DO672" s="43"/>
      <c r="DP672" s="43"/>
      <c r="DQ672" s="43"/>
      <c r="DR672" s="43"/>
      <c r="DS672" s="43"/>
    </row>
    <row r="673" spans="1:123" ht="14.45">
      <c r="A673"/>
      <c r="B673"/>
      <c r="C673"/>
      <c r="D673"/>
      <c r="E673"/>
      <c r="F673"/>
      <c r="G673"/>
      <c r="H673"/>
      <c r="I673"/>
      <c r="J673"/>
      <c r="K673" s="43"/>
      <c r="L673" s="43"/>
      <c r="M673" s="43"/>
      <c r="N673" s="43"/>
      <c r="O673" s="43"/>
      <c r="P673" s="43"/>
      <c r="Q673" s="43"/>
      <c r="R673" s="43"/>
      <c r="S673" s="43"/>
      <c r="T673" s="43"/>
      <c r="U673" s="43"/>
      <c r="V673" s="43"/>
      <c r="W673" s="43"/>
      <c r="X673" s="43"/>
      <c r="Y673" s="43"/>
      <c r="Z673" s="43"/>
      <c r="AA673" s="43"/>
      <c r="AB673" s="43"/>
      <c r="AC673" s="43"/>
      <c r="AD673" s="43"/>
      <c r="AE673" s="43"/>
      <c r="AF673" s="43"/>
      <c r="AG673" s="43"/>
      <c r="AH673" s="43"/>
      <c r="AI673" s="43"/>
      <c r="AJ673" s="43"/>
      <c r="AK673" s="43"/>
      <c r="AL673" s="43"/>
      <c r="AM673" s="43"/>
      <c r="AN673" s="43"/>
      <c r="AO673" s="43"/>
      <c r="AP673" s="43"/>
      <c r="AQ673" s="43"/>
      <c r="AR673" s="43"/>
      <c r="AS673" s="43"/>
      <c r="AT673" s="43"/>
      <c r="AU673" s="43"/>
      <c r="AV673" s="43"/>
      <c r="AW673" s="43"/>
      <c r="AX673" s="43"/>
      <c r="AY673" s="43"/>
      <c r="AZ673" s="43"/>
      <c r="BA673" s="43"/>
      <c r="BB673" s="43"/>
      <c r="BC673" s="43"/>
      <c r="BD673" s="43"/>
      <c r="BE673" s="43"/>
      <c r="BF673" s="43"/>
      <c r="BG673" s="43"/>
      <c r="BH673" s="43"/>
      <c r="BI673" s="43"/>
      <c r="BJ673" s="43"/>
      <c r="BK673" s="43"/>
      <c r="BL673" s="43"/>
      <c r="BM673" s="43"/>
      <c r="BN673" s="43"/>
      <c r="BO673" s="43"/>
      <c r="BP673" s="43"/>
      <c r="BQ673" s="43"/>
      <c r="BR673" s="43"/>
      <c r="BS673" s="43"/>
      <c r="BT673" s="43"/>
      <c r="BU673" s="43"/>
      <c r="BV673" s="43"/>
      <c r="BW673" s="43"/>
      <c r="BX673" s="43"/>
      <c r="BY673" s="43"/>
      <c r="BZ673" s="43"/>
      <c r="CA673" s="43"/>
      <c r="CB673" s="43"/>
      <c r="CC673" s="43"/>
      <c r="CD673" s="43"/>
      <c r="CE673" s="43"/>
      <c r="CF673" s="43"/>
      <c r="CG673" s="43"/>
      <c r="CH673" s="43"/>
      <c r="CI673" s="43"/>
      <c r="CJ673" s="43"/>
      <c r="CK673" s="43"/>
      <c r="CL673" s="43"/>
      <c r="CM673" s="43"/>
      <c r="CN673" s="43"/>
      <c r="CO673" s="43"/>
      <c r="CP673" s="43"/>
      <c r="CQ673" s="43"/>
      <c r="CR673" s="43"/>
      <c r="CS673" s="43"/>
      <c r="CT673" s="43"/>
      <c r="CU673" s="43"/>
      <c r="CV673" s="43"/>
      <c r="CW673" s="43"/>
      <c r="CX673" s="43"/>
      <c r="CY673" s="43"/>
      <c r="CZ673" s="43"/>
      <c r="DA673" s="43"/>
      <c r="DB673" s="43"/>
      <c r="DC673" s="43"/>
      <c r="DD673" s="43"/>
      <c r="DE673" s="43"/>
      <c r="DF673" s="43"/>
      <c r="DG673" s="43"/>
      <c r="DH673" s="43"/>
      <c r="DI673" s="43"/>
      <c r="DJ673" s="43"/>
      <c r="DK673" s="43"/>
      <c r="DL673" s="43"/>
      <c r="DM673" s="43"/>
      <c r="DN673" s="43"/>
      <c r="DO673" s="43"/>
      <c r="DP673" s="43"/>
      <c r="DQ673" s="43"/>
      <c r="DR673" s="43"/>
      <c r="DS673" s="43"/>
    </row>
    <row r="674" spans="1:123" ht="14.45">
      <c r="A674"/>
      <c r="B674"/>
      <c r="C674"/>
      <c r="D674"/>
      <c r="E674"/>
      <c r="F674"/>
      <c r="G674"/>
      <c r="H674"/>
      <c r="I674"/>
      <c r="J674"/>
      <c r="K674" s="43"/>
      <c r="L674" s="43"/>
      <c r="M674" s="43"/>
      <c r="N674" s="43"/>
      <c r="O674" s="43"/>
      <c r="P674" s="43"/>
      <c r="Q674" s="43"/>
      <c r="R674" s="43"/>
      <c r="S674" s="43"/>
      <c r="T674" s="43"/>
      <c r="U674" s="43"/>
      <c r="V674" s="43"/>
      <c r="W674" s="43"/>
      <c r="X674" s="43"/>
      <c r="Y674" s="43"/>
      <c r="Z674" s="43"/>
      <c r="AA674" s="43"/>
      <c r="AB674" s="43"/>
      <c r="AC674" s="43"/>
      <c r="AD674" s="43"/>
      <c r="AE674" s="43"/>
      <c r="AF674" s="43"/>
      <c r="AG674" s="43"/>
      <c r="AH674" s="43"/>
      <c r="AI674" s="43"/>
      <c r="AJ674" s="43"/>
      <c r="AK674" s="43"/>
      <c r="AL674" s="43"/>
      <c r="AM674" s="43"/>
      <c r="AN674" s="43"/>
      <c r="AO674" s="43"/>
      <c r="AP674" s="43"/>
      <c r="AQ674" s="43"/>
      <c r="AR674" s="43"/>
      <c r="AS674" s="43"/>
      <c r="AT674" s="43"/>
      <c r="AU674" s="43"/>
      <c r="AV674" s="43"/>
      <c r="AW674" s="43"/>
      <c r="AX674" s="43"/>
      <c r="AY674" s="43"/>
      <c r="AZ674" s="43"/>
      <c r="BA674" s="43"/>
      <c r="BB674" s="43"/>
      <c r="BC674" s="43"/>
      <c r="BD674" s="43"/>
      <c r="BE674" s="43"/>
      <c r="BF674" s="43"/>
      <c r="BG674" s="43"/>
      <c r="BH674" s="43"/>
      <c r="BI674" s="43"/>
      <c r="BJ674" s="43"/>
      <c r="BK674" s="43"/>
      <c r="BL674" s="43"/>
      <c r="BM674" s="43"/>
      <c r="BN674" s="43"/>
      <c r="BO674" s="43"/>
      <c r="BP674" s="43"/>
      <c r="BQ674" s="43"/>
      <c r="BR674" s="43"/>
      <c r="BS674" s="43"/>
      <c r="BT674" s="43"/>
      <c r="BU674" s="43"/>
      <c r="BV674" s="43"/>
      <c r="BW674" s="43"/>
      <c r="BX674" s="43"/>
      <c r="BY674" s="43"/>
      <c r="BZ674" s="43"/>
      <c r="CA674" s="43"/>
      <c r="CB674" s="43"/>
      <c r="CC674" s="43"/>
      <c r="CD674" s="43"/>
      <c r="CE674" s="43"/>
      <c r="CF674" s="43"/>
      <c r="CG674" s="43"/>
      <c r="CH674" s="43"/>
      <c r="CI674" s="43"/>
      <c r="CJ674" s="43"/>
      <c r="CK674" s="43"/>
      <c r="CL674" s="43"/>
      <c r="CM674" s="43"/>
      <c r="CN674" s="43"/>
      <c r="CO674" s="43"/>
      <c r="CP674" s="43"/>
      <c r="CQ674" s="43"/>
      <c r="CR674" s="43"/>
      <c r="CS674" s="43"/>
      <c r="CT674" s="43"/>
      <c r="CU674" s="43"/>
      <c r="CV674" s="43"/>
      <c r="CW674" s="43"/>
      <c r="CX674" s="43"/>
      <c r="CY674" s="43"/>
      <c r="CZ674" s="43"/>
      <c r="DA674" s="43"/>
      <c r="DB674" s="43"/>
      <c r="DC674" s="43"/>
      <c r="DD674" s="43"/>
      <c r="DE674" s="43"/>
      <c r="DF674" s="43"/>
      <c r="DG674" s="43"/>
      <c r="DH674" s="43"/>
      <c r="DI674" s="43"/>
      <c r="DJ674" s="43"/>
      <c r="DK674" s="43"/>
      <c r="DL674" s="43"/>
      <c r="DM674" s="43"/>
      <c r="DN674" s="43"/>
      <c r="DO674" s="43"/>
      <c r="DP674" s="43"/>
      <c r="DQ674" s="43"/>
      <c r="DR674" s="43"/>
      <c r="DS674" s="43"/>
    </row>
    <row r="675" spans="1:123" ht="14.45">
      <c r="A675"/>
      <c r="B675"/>
      <c r="C675"/>
      <c r="D675"/>
      <c r="E675"/>
      <c r="F675"/>
      <c r="G675"/>
      <c r="H675"/>
      <c r="I675"/>
      <c r="J675"/>
      <c r="K675" s="43"/>
      <c r="L675" s="43"/>
      <c r="M675" s="43"/>
      <c r="N675" s="43"/>
      <c r="O675" s="43"/>
      <c r="P675" s="43"/>
      <c r="Q675" s="43"/>
      <c r="R675" s="43"/>
      <c r="S675" s="43"/>
      <c r="T675" s="43"/>
      <c r="U675" s="43"/>
      <c r="V675" s="43"/>
      <c r="W675" s="43"/>
      <c r="X675" s="43"/>
      <c r="Y675" s="43"/>
      <c r="Z675" s="43"/>
      <c r="AA675" s="43"/>
      <c r="AB675" s="43"/>
      <c r="AC675" s="43"/>
      <c r="AD675" s="43"/>
      <c r="AE675" s="43"/>
      <c r="AF675" s="43"/>
      <c r="AG675" s="43"/>
      <c r="AH675" s="43"/>
      <c r="AI675" s="43"/>
      <c r="AJ675" s="43"/>
      <c r="AK675" s="43"/>
      <c r="AL675" s="43"/>
      <c r="AM675" s="43"/>
      <c r="AN675" s="43"/>
      <c r="AO675" s="43"/>
      <c r="AP675" s="43"/>
      <c r="AQ675" s="43"/>
      <c r="AR675" s="43"/>
      <c r="AS675" s="43"/>
      <c r="AT675" s="43"/>
      <c r="AU675" s="43"/>
      <c r="AV675" s="43"/>
      <c r="AW675" s="43"/>
      <c r="AX675" s="43"/>
      <c r="AY675" s="43"/>
      <c r="AZ675" s="43"/>
      <c r="BA675" s="43"/>
      <c r="BB675" s="43"/>
      <c r="BC675" s="43"/>
      <c r="BD675" s="43"/>
      <c r="BE675" s="43"/>
      <c r="BF675" s="43"/>
      <c r="BG675" s="43"/>
      <c r="BH675" s="43"/>
      <c r="BI675" s="43"/>
      <c r="BJ675" s="43"/>
      <c r="BK675" s="43"/>
      <c r="BL675" s="43"/>
      <c r="BM675" s="43"/>
      <c r="BN675" s="43"/>
      <c r="BO675" s="43"/>
      <c r="BP675" s="43"/>
      <c r="BQ675" s="43"/>
      <c r="BR675" s="43"/>
      <c r="BS675" s="43"/>
      <c r="BT675" s="43"/>
      <c r="BU675" s="43"/>
      <c r="BV675" s="43"/>
      <c r="BW675" s="43"/>
      <c r="BX675" s="43"/>
      <c r="BY675" s="43"/>
      <c r="BZ675" s="43"/>
      <c r="CA675" s="43"/>
      <c r="CB675" s="43"/>
      <c r="CC675" s="43"/>
      <c r="CD675" s="43"/>
      <c r="CE675" s="43"/>
      <c r="CF675" s="43"/>
      <c r="CG675" s="43"/>
      <c r="CH675" s="43"/>
      <c r="CI675" s="43"/>
      <c r="CJ675" s="43"/>
      <c r="CK675" s="43"/>
      <c r="CL675" s="43"/>
      <c r="CM675" s="43"/>
      <c r="CN675" s="43"/>
      <c r="CO675" s="43"/>
      <c r="CP675" s="43"/>
      <c r="CQ675" s="43"/>
      <c r="CR675" s="43"/>
      <c r="CS675" s="43"/>
      <c r="CT675" s="43"/>
      <c r="CU675" s="43"/>
      <c r="CV675" s="43"/>
      <c r="CW675" s="43"/>
      <c r="CX675" s="43"/>
      <c r="CY675" s="43"/>
      <c r="CZ675" s="43"/>
      <c r="DA675" s="43"/>
      <c r="DB675" s="43"/>
      <c r="DC675" s="43"/>
      <c r="DD675" s="43"/>
      <c r="DE675" s="43"/>
      <c r="DF675" s="43"/>
      <c r="DG675" s="43"/>
      <c r="DH675" s="43"/>
      <c r="DI675" s="43"/>
      <c r="DJ675" s="43"/>
      <c r="DK675" s="43"/>
      <c r="DL675" s="43"/>
      <c r="DM675" s="43"/>
      <c r="DN675" s="43"/>
      <c r="DO675" s="43"/>
      <c r="DP675" s="43"/>
      <c r="DQ675" s="43"/>
      <c r="DR675" s="43"/>
      <c r="DS675" s="43"/>
    </row>
    <row r="676" spans="1:123" ht="14.45">
      <c r="A676"/>
      <c r="B676"/>
      <c r="C676"/>
      <c r="D676"/>
      <c r="E676"/>
      <c r="F676"/>
      <c r="G676"/>
      <c r="H676"/>
      <c r="I676"/>
      <c r="J676"/>
      <c r="K676" s="43"/>
      <c r="L676" s="43"/>
      <c r="M676" s="43"/>
      <c r="N676" s="43"/>
      <c r="O676" s="43"/>
      <c r="P676" s="43"/>
      <c r="Q676" s="43"/>
      <c r="R676" s="43"/>
      <c r="S676" s="43"/>
      <c r="T676" s="43"/>
      <c r="U676" s="43"/>
      <c r="V676" s="43"/>
      <c r="W676" s="43"/>
      <c r="X676" s="43"/>
      <c r="Y676" s="43"/>
      <c r="Z676" s="43"/>
      <c r="AA676" s="43"/>
      <c r="AB676" s="43"/>
      <c r="AC676" s="43"/>
      <c r="AD676" s="43"/>
      <c r="AE676" s="43"/>
      <c r="AF676" s="43"/>
      <c r="AG676" s="43"/>
      <c r="AH676" s="43"/>
      <c r="AI676" s="43"/>
      <c r="AJ676" s="43"/>
      <c r="AK676" s="43"/>
      <c r="AL676" s="43"/>
      <c r="AM676" s="43"/>
      <c r="AN676" s="43"/>
      <c r="AO676" s="43"/>
      <c r="AP676" s="43"/>
      <c r="AQ676" s="43"/>
      <c r="AR676" s="43"/>
      <c r="AS676" s="43"/>
      <c r="AT676" s="43"/>
      <c r="AU676" s="43"/>
      <c r="AV676" s="43"/>
      <c r="AW676" s="43"/>
      <c r="AX676" s="43"/>
      <c r="AY676" s="43"/>
      <c r="AZ676" s="43"/>
      <c r="BA676" s="43"/>
      <c r="BB676" s="43"/>
      <c r="BC676" s="43"/>
      <c r="BD676" s="43"/>
      <c r="BE676" s="43"/>
      <c r="BF676" s="43"/>
      <c r="BG676" s="43"/>
      <c r="BH676" s="43"/>
      <c r="BI676" s="43"/>
      <c r="BJ676" s="43"/>
      <c r="BK676" s="43"/>
      <c r="BL676" s="43"/>
      <c r="BM676" s="43"/>
      <c r="BN676" s="43"/>
      <c r="BO676" s="43"/>
      <c r="BP676" s="43"/>
      <c r="BQ676" s="43"/>
      <c r="BR676" s="43"/>
      <c r="BS676" s="43"/>
      <c r="BT676" s="43"/>
      <c r="BU676" s="43"/>
      <c r="BV676" s="43"/>
      <c r="BW676" s="43"/>
      <c r="BX676" s="43"/>
      <c r="BY676" s="43"/>
      <c r="BZ676" s="43"/>
      <c r="CA676" s="43"/>
      <c r="CB676" s="43"/>
      <c r="CC676" s="43"/>
      <c r="CD676" s="43"/>
      <c r="CE676" s="43"/>
      <c r="CF676" s="43"/>
      <c r="CG676" s="43"/>
      <c r="CH676" s="43"/>
      <c r="CI676" s="43"/>
      <c r="CJ676" s="43"/>
      <c r="CK676" s="43"/>
      <c r="CL676" s="43"/>
      <c r="CM676" s="43"/>
      <c r="CN676" s="43"/>
      <c r="CO676" s="43"/>
      <c r="CP676" s="43"/>
      <c r="CQ676" s="43"/>
      <c r="CR676" s="43"/>
      <c r="CS676" s="43"/>
      <c r="CT676" s="43"/>
      <c r="CU676" s="43"/>
      <c r="CV676" s="43"/>
      <c r="CW676" s="43"/>
      <c r="CX676" s="43"/>
      <c r="CY676" s="43"/>
      <c r="CZ676" s="43"/>
      <c r="DA676" s="43"/>
      <c r="DB676" s="43"/>
      <c r="DC676" s="43"/>
      <c r="DD676" s="43"/>
      <c r="DE676" s="43"/>
      <c r="DF676" s="43"/>
      <c r="DG676" s="43"/>
      <c r="DH676" s="43"/>
      <c r="DI676" s="43"/>
      <c r="DJ676" s="43"/>
      <c r="DK676" s="43"/>
      <c r="DL676" s="43"/>
      <c r="DM676" s="43"/>
      <c r="DN676" s="43"/>
      <c r="DO676" s="43"/>
      <c r="DP676" s="43"/>
      <c r="DQ676" s="43"/>
      <c r="DR676" s="43"/>
      <c r="DS676" s="43"/>
    </row>
    <row r="677" spans="1:123" ht="14.45">
      <c r="A677"/>
      <c r="B677"/>
      <c r="C677"/>
      <c r="D677"/>
      <c r="E677"/>
      <c r="F677"/>
      <c r="G677"/>
      <c r="H677"/>
      <c r="I677"/>
      <c r="J677"/>
      <c r="K677" s="43"/>
      <c r="L677" s="43"/>
      <c r="M677" s="43"/>
      <c r="N677" s="43"/>
      <c r="O677" s="43"/>
      <c r="P677" s="43"/>
      <c r="Q677" s="43"/>
      <c r="R677" s="43"/>
      <c r="S677" s="43"/>
      <c r="T677" s="43"/>
      <c r="U677" s="43"/>
      <c r="V677" s="43"/>
      <c r="W677" s="43"/>
      <c r="X677" s="43"/>
      <c r="Y677" s="43"/>
      <c r="Z677" s="43"/>
      <c r="AA677" s="43"/>
      <c r="AB677" s="43"/>
      <c r="AC677" s="43"/>
      <c r="AD677" s="43"/>
      <c r="AE677" s="43"/>
      <c r="AF677" s="43"/>
      <c r="AG677" s="43"/>
      <c r="AH677" s="43"/>
      <c r="AI677" s="43"/>
      <c r="AJ677" s="43"/>
      <c r="AK677" s="43"/>
      <c r="AL677" s="43"/>
      <c r="AM677" s="43"/>
      <c r="AN677" s="43"/>
      <c r="AO677" s="43"/>
      <c r="AP677" s="43"/>
      <c r="AQ677" s="43"/>
      <c r="AR677" s="43"/>
      <c r="AS677" s="43"/>
      <c r="AT677" s="43"/>
      <c r="AU677" s="43"/>
      <c r="AV677" s="43"/>
      <c r="AW677" s="43"/>
      <c r="AX677" s="43"/>
      <c r="AY677" s="43"/>
      <c r="AZ677" s="43"/>
      <c r="BA677" s="43"/>
      <c r="BB677" s="43"/>
      <c r="BC677" s="43"/>
      <c r="BD677" s="43"/>
      <c r="BE677" s="43"/>
      <c r="BF677" s="43"/>
      <c r="BG677" s="43"/>
      <c r="BH677" s="43"/>
      <c r="BI677" s="43"/>
      <c r="BJ677" s="43"/>
      <c r="BK677" s="43"/>
      <c r="BL677" s="43"/>
      <c r="BM677" s="43"/>
      <c r="BN677" s="43"/>
      <c r="BO677" s="43"/>
      <c r="BP677" s="43"/>
      <c r="BQ677" s="43"/>
      <c r="BR677" s="43"/>
      <c r="BS677" s="43"/>
      <c r="BT677" s="43"/>
      <c r="BU677" s="43"/>
      <c r="BV677" s="43"/>
      <c r="BW677" s="43"/>
      <c r="BX677" s="43"/>
      <c r="BY677" s="43"/>
      <c r="BZ677" s="43"/>
      <c r="CA677" s="43"/>
      <c r="CB677" s="43"/>
      <c r="CC677" s="43"/>
      <c r="CD677" s="43"/>
      <c r="CE677" s="43"/>
      <c r="CF677" s="43"/>
      <c r="CG677" s="43"/>
      <c r="CH677" s="43"/>
      <c r="CI677" s="43"/>
      <c r="CJ677" s="43"/>
      <c r="CK677" s="43"/>
      <c r="CL677" s="43"/>
      <c r="CM677" s="43"/>
      <c r="CN677" s="43"/>
      <c r="CO677" s="43"/>
      <c r="CP677" s="43"/>
      <c r="CQ677" s="43"/>
      <c r="CR677" s="43"/>
      <c r="CS677" s="43"/>
      <c r="CT677" s="43"/>
      <c r="CU677" s="43"/>
      <c r="CV677" s="43"/>
      <c r="CW677" s="43"/>
      <c r="CX677" s="43"/>
      <c r="CY677" s="43"/>
      <c r="CZ677" s="43"/>
      <c r="DA677" s="43"/>
      <c r="DB677" s="43"/>
      <c r="DC677" s="43"/>
      <c r="DD677" s="43"/>
      <c r="DE677" s="43"/>
      <c r="DF677" s="43"/>
      <c r="DG677" s="43"/>
      <c r="DH677" s="43"/>
      <c r="DI677" s="43"/>
      <c r="DJ677" s="43"/>
      <c r="DK677" s="43"/>
      <c r="DL677" s="43"/>
      <c r="DM677" s="43"/>
      <c r="DN677" s="43"/>
      <c r="DO677" s="43"/>
      <c r="DP677" s="43"/>
      <c r="DQ677" s="43"/>
      <c r="DR677" s="43"/>
      <c r="DS677" s="43"/>
    </row>
    <row r="678" spans="1:123" ht="14.45">
      <c r="A678"/>
      <c r="B678"/>
      <c r="C678"/>
      <c r="D678"/>
      <c r="E678"/>
      <c r="F678"/>
      <c r="G678"/>
      <c r="H678"/>
      <c r="I678"/>
      <c r="J678"/>
      <c r="K678" s="43"/>
      <c r="L678" s="43"/>
      <c r="M678" s="43"/>
      <c r="N678" s="43"/>
      <c r="O678" s="43"/>
      <c r="P678" s="43"/>
      <c r="Q678" s="43"/>
      <c r="R678" s="43"/>
      <c r="S678" s="43"/>
      <c r="T678" s="43"/>
      <c r="U678" s="43"/>
      <c r="V678" s="43"/>
      <c r="W678" s="43"/>
      <c r="X678" s="43"/>
      <c r="Y678" s="43"/>
      <c r="Z678" s="43"/>
      <c r="AA678" s="43"/>
      <c r="AB678" s="43"/>
      <c r="AC678" s="43"/>
      <c r="AD678" s="43"/>
      <c r="AE678" s="43"/>
      <c r="AF678" s="43"/>
      <c r="AG678" s="43"/>
      <c r="AH678" s="43"/>
      <c r="AI678" s="43"/>
      <c r="AJ678" s="43"/>
      <c r="AK678" s="43"/>
      <c r="AL678" s="43"/>
      <c r="AM678" s="43"/>
      <c r="AN678" s="43"/>
      <c r="AO678" s="43"/>
      <c r="AP678" s="43"/>
      <c r="AQ678" s="43"/>
      <c r="AR678" s="43"/>
      <c r="AS678" s="43"/>
      <c r="AT678" s="43"/>
      <c r="AU678" s="43"/>
      <c r="AV678" s="43"/>
      <c r="AW678" s="43"/>
      <c r="AX678" s="43"/>
      <c r="AY678" s="43"/>
      <c r="AZ678" s="43"/>
      <c r="BA678" s="43"/>
      <c r="BB678" s="43"/>
      <c r="BC678" s="43"/>
      <c r="BD678" s="43"/>
      <c r="BE678" s="43"/>
      <c r="BF678" s="43"/>
      <c r="BG678" s="43"/>
      <c r="BH678" s="43"/>
      <c r="BI678" s="43"/>
      <c r="BJ678" s="43"/>
      <c r="BK678" s="43"/>
      <c r="BL678" s="43"/>
      <c r="BM678" s="43"/>
      <c r="BN678" s="43"/>
      <c r="BO678" s="43"/>
      <c r="BP678" s="43"/>
      <c r="BQ678" s="43"/>
      <c r="BR678" s="43"/>
      <c r="BS678" s="43"/>
      <c r="BT678" s="43"/>
      <c r="BU678" s="43"/>
      <c r="BV678" s="43"/>
      <c r="BW678" s="43"/>
      <c r="BX678" s="43"/>
      <c r="BY678" s="43"/>
      <c r="BZ678" s="43"/>
      <c r="CA678" s="43"/>
      <c r="CB678" s="43"/>
      <c r="CC678" s="43"/>
      <c r="CD678" s="43"/>
      <c r="CE678" s="43"/>
      <c r="CF678" s="43"/>
      <c r="CG678" s="43"/>
      <c r="CH678" s="43"/>
      <c r="CI678" s="43"/>
      <c r="CJ678" s="43"/>
      <c r="CK678" s="43"/>
      <c r="CL678" s="43"/>
      <c r="CM678" s="43"/>
      <c r="CN678" s="43"/>
      <c r="CO678" s="43"/>
      <c r="CP678" s="43"/>
      <c r="CQ678" s="43"/>
      <c r="CR678" s="43"/>
      <c r="CS678" s="43"/>
      <c r="CT678" s="43"/>
      <c r="CU678" s="43"/>
      <c r="CV678" s="43"/>
      <c r="CW678" s="43"/>
      <c r="CX678" s="43"/>
      <c r="CY678" s="43"/>
      <c r="CZ678" s="43"/>
      <c r="DA678" s="43"/>
      <c r="DB678" s="43"/>
      <c r="DC678" s="43"/>
      <c r="DD678" s="43"/>
      <c r="DE678" s="43"/>
      <c r="DF678" s="43"/>
      <c r="DG678" s="43"/>
      <c r="DH678" s="43"/>
      <c r="DI678" s="43"/>
      <c r="DJ678" s="43"/>
      <c r="DK678" s="43"/>
      <c r="DL678" s="43"/>
      <c r="DM678" s="43"/>
      <c r="DN678" s="43"/>
      <c r="DO678" s="43"/>
      <c r="DP678" s="43"/>
      <c r="DQ678" s="43"/>
      <c r="DR678" s="43"/>
      <c r="DS678" s="43"/>
    </row>
    <row r="679" spans="1:123" ht="14.45">
      <c r="A679"/>
      <c r="B679"/>
      <c r="C679"/>
      <c r="D679"/>
      <c r="E679"/>
      <c r="F679"/>
      <c r="G679"/>
      <c r="H679"/>
      <c r="I679"/>
      <c r="J679"/>
      <c r="K679" s="43"/>
      <c r="L679" s="43"/>
      <c r="M679" s="43"/>
      <c r="N679" s="43"/>
      <c r="O679" s="43"/>
      <c r="P679" s="43"/>
      <c r="Q679" s="43"/>
      <c r="R679" s="43"/>
      <c r="S679" s="43"/>
      <c r="T679" s="43"/>
      <c r="U679" s="43"/>
      <c r="V679" s="43"/>
      <c r="W679" s="43"/>
      <c r="X679" s="43"/>
      <c r="Y679" s="43"/>
      <c r="Z679" s="43"/>
      <c r="AA679" s="43"/>
      <c r="AB679" s="43"/>
      <c r="AC679" s="43"/>
      <c r="AD679" s="43"/>
      <c r="AE679" s="43"/>
      <c r="AF679" s="43"/>
      <c r="AG679" s="43"/>
      <c r="AH679" s="43"/>
      <c r="AI679" s="43"/>
      <c r="AJ679" s="43"/>
      <c r="AK679" s="43"/>
      <c r="AL679" s="43"/>
      <c r="AM679" s="43"/>
      <c r="AN679" s="43"/>
      <c r="AO679" s="43"/>
      <c r="AP679" s="43"/>
      <c r="AQ679" s="43"/>
      <c r="AR679" s="43"/>
      <c r="AS679" s="43"/>
      <c r="AT679" s="43"/>
      <c r="AU679" s="43"/>
      <c r="AV679" s="43"/>
      <c r="AW679" s="43"/>
      <c r="AX679" s="43"/>
      <c r="AY679" s="43"/>
      <c r="AZ679" s="43"/>
      <c r="BA679" s="43"/>
      <c r="BB679" s="43"/>
      <c r="BC679" s="43"/>
      <c r="BD679" s="43"/>
      <c r="BE679" s="43"/>
      <c r="BF679" s="43"/>
      <c r="BG679" s="43"/>
      <c r="BH679" s="43"/>
      <c r="BI679" s="43"/>
      <c r="BJ679" s="43"/>
      <c r="BK679" s="43"/>
      <c r="BL679" s="43"/>
      <c r="BM679" s="43"/>
      <c r="BN679" s="43"/>
      <c r="BO679" s="43"/>
      <c r="BP679" s="43"/>
      <c r="BQ679" s="43"/>
      <c r="BR679" s="43"/>
      <c r="BS679" s="43"/>
      <c r="BT679" s="43"/>
      <c r="BU679" s="43"/>
      <c r="BV679" s="43"/>
      <c r="BW679" s="43"/>
      <c r="BX679" s="43"/>
      <c r="BY679" s="43"/>
      <c r="BZ679" s="43"/>
      <c r="CA679" s="43"/>
      <c r="CB679" s="43"/>
      <c r="CC679" s="43"/>
      <c r="CD679" s="43"/>
      <c r="CE679" s="43"/>
      <c r="CF679" s="43"/>
      <c r="CG679" s="43"/>
      <c r="CH679" s="43"/>
      <c r="CI679" s="43"/>
      <c r="CJ679" s="43"/>
      <c r="CK679" s="43"/>
      <c r="CL679" s="43"/>
      <c r="CM679" s="43"/>
      <c r="CN679" s="43"/>
      <c r="CO679" s="43"/>
      <c r="CP679" s="43"/>
      <c r="CQ679" s="43"/>
      <c r="CR679" s="43"/>
      <c r="CS679" s="43"/>
      <c r="CT679" s="43"/>
      <c r="CU679" s="43"/>
      <c r="CV679" s="43"/>
      <c r="CW679" s="43"/>
      <c r="CX679" s="43"/>
      <c r="CY679" s="43"/>
      <c r="CZ679" s="43"/>
      <c r="DA679" s="43"/>
      <c r="DB679" s="43"/>
      <c r="DC679" s="43"/>
      <c r="DD679" s="43"/>
      <c r="DE679" s="43"/>
      <c r="DF679" s="43"/>
      <c r="DG679" s="43"/>
      <c r="DH679" s="43"/>
      <c r="DI679" s="43"/>
      <c r="DJ679" s="43"/>
      <c r="DK679" s="43"/>
      <c r="DL679" s="43"/>
      <c r="DM679" s="43"/>
      <c r="DN679" s="43"/>
      <c r="DO679" s="43"/>
      <c r="DP679" s="43"/>
      <c r="DQ679" s="43"/>
      <c r="DR679" s="43"/>
      <c r="DS679" s="43"/>
    </row>
    <row r="680" spans="1:123" ht="14.45">
      <c r="A680"/>
      <c r="B680"/>
      <c r="C680"/>
      <c r="D680"/>
      <c r="E680"/>
      <c r="F680"/>
      <c r="G680"/>
      <c r="H680"/>
      <c r="I680"/>
      <c r="J680"/>
      <c r="K680" s="43"/>
      <c r="L680" s="43"/>
      <c r="M680" s="43"/>
      <c r="N680" s="43"/>
      <c r="O680" s="43"/>
      <c r="P680" s="43"/>
      <c r="Q680" s="43"/>
      <c r="R680" s="43"/>
      <c r="S680" s="43"/>
      <c r="T680" s="43"/>
      <c r="U680" s="43"/>
      <c r="V680" s="43"/>
      <c r="W680" s="43"/>
      <c r="X680" s="43"/>
      <c r="Y680" s="43"/>
      <c r="Z680" s="43"/>
      <c r="AA680" s="43"/>
      <c r="AB680" s="43"/>
      <c r="AC680" s="43"/>
      <c r="AD680" s="43"/>
      <c r="AE680" s="43"/>
      <c r="AF680" s="43"/>
      <c r="AG680" s="43"/>
      <c r="AH680" s="43"/>
      <c r="AI680" s="43"/>
      <c r="AJ680" s="43"/>
      <c r="AK680" s="43"/>
      <c r="AL680" s="43"/>
      <c r="AM680" s="43"/>
      <c r="AN680" s="43"/>
      <c r="AO680" s="43"/>
      <c r="AP680" s="43"/>
      <c r="AQ680" s="43"/>
      <c r="AR680" s="43"/>
      <c r="AS680" s="43"/>
      <c r="AT680" s="43"/>
      <c r="AU680" s="43"/>
      <c r="AV680" s="43"/>
      <c r="AW680" s="43"/>
      <c r="AX680" s="43"/>
      <c r="AY680" s="43"/>
      <c r="AZ680" s="43"/>
      <c r="BA680" s="43"/>
      <c r="BB680" s="43"/>
      <c r="BC680" s="43"/>
      <c r="BD680" s="43"/>
      <c r="BE680" s="43"/>
      <c r="BF680" s="43"/>
      <c r="BG680" s="43"/>
      <c r="BH680" s="43"/>
      <c r="BI680" s="43"/>
      <c r="BJ680" s="43"/>
      <c r="BK680" s="43"/>
      <c r="BL680" s="43"/>
      <c r="BM680" s="43"/>
      <c r="BN680" s="43"/>
      <c r="BO680" s="43"/>
      <c r="BP680" s="43"/>
      <c r="BQ680" s="43"/>
      <c r="BR680" s="43"/>
      <c r="BS680" s="43"/>
      <c r="BT680" s="43"/>
      <c r="BU680" s="43"/>
      <c r="BV680" s="43"/>
      <c r="BW680" s="43"/>
      <c r="BX680" s="43"/>
      <c r="BY680" s="43"/>
      <c r="BZ680" s="43"/>
      <c r="CA680" s="43"/>
      <c r="CB680" s="43"/>
      <c r="CC680" s="43"/>
      <c r="CD680" s="43"/>
      <c r="CE680" s="43"/>
      <c r="CF680" s="43"/>
      <c r="CG680" s="43"/>
      <c r="CH680" s="43"/>
      <c r="CI680" s="43"/>
      <c r="CJ680" s="43"/>
      <c r="CK680" s="43"/>
      <c r="CL680" s="43"/>
      <c r="CM680" s="43"/>
      <c r="CN680" s="43"/>
      <c r="CO680" s="43"/>
      <c r="CP680" s="43"/>
      <c r="CQ680" s="43"/>
      <c r="CR680" s="43"/>
      <c r="CS680" s="43"/>
      <c r="CT680" s="43"/>
      <c r="CU680" s="43"/>
      <c r="CV680" s="43"/>
      <c r="CW680" s="43"/>
      <c r="CX680" s="43"/>
      <c r="CY680" s="43"/>
      <c r="CZ680" s="43"/>
      <c r="DA680" s="43"/>
      <c r="DB680" s="43"/>
      <c r="DC680" s="43"/>
      <c r="DD680" s="43"/>
      <c r="DE680" s="43"/>
      <c r="DF680" s="43"/>
      <c r="DG680" s="43"/>
      <c r="DH680" s="43"/>
      <c r="DI680" s="43"/>
      <c r="DJ680" s="43"/>
      <c r="DK680" s="43"/>
      <c r="DL680" s="43"/>
      <c r="DM680" s="43"/>
      <c r="DN680" s="43"/>
      <c r="DO680" s="43"/>
      <c r="DP680" s="43"/>
      <c r="DQ680" s="43"/>
      <c r="DR680" s="43"/>
      <c r="DS680" s="43"/>
    </row>
    <row r="681" spans="1:123" ht="14.45">
      <c r="A681"/>
      <c r="B681"/>
      <c r="C681"/>
      <c r="D681"/>
      <c r="E681"/>
      <c r="F681"/>
      <c r="G681"/>
      <c r="H681"/>
      <c r="I681"/>
      <c r="J681"/>
      <c r="K681" s="43"/>
      <c r="L681" s="43"/>
      <c r="M681" s="43"/>
      <c r="N681" s="43"/>
      <c r="O681" s="43"/>
      <c r="P681" s="43"/>
      <c r="Q681" s="43"/>
      <c r="R681" s="43"/>
      <c r="S681" s="43"/>
      <c r="T681" s="43"/>
      <c r="U681" s="43"/>
      <c r="V681" s="43"/>
      <c r="W681" s="43"/>
      <c r="X681" s="43"/>
      <c r="Y681" s="43"/>
      <c r="Z681" s="43"/>
      <c r="AA681" s="43"/>
      <c r="AB681" s="43"/>
      <c r="AC681" s="43"/>
      <c r="AD681" s="43"/>
      <c r="AE681" s="43"/>
      <c r="AF681" s="43"/>
      <c r="AG681" s="43"/>
      <c r="AH681" s="43"/>
      <c r="AI681" s="43"/>
      <c r="AJ681" s="43"/>
      <c r="AK681" s="43"/>
      <c r="AL681" s="43"/>
      <c r="AM681" s="43"/>
      <c r="AN681" s="43"/>
      <c r="AO681" s="43"/>
      <c r="AP681" s="43"/>
      <c r="AQ681" s="43"/>
      <c r="AR681" s="43"/>
      <c r="AS681" s="43"/>
      <c r="AT681" s="43"/>
      <c r="AU681" s="43"/>
      <c r="AV681" s="43"/>
      <c r="AW681" s="43"/>
      <c r="AX681" s="43"/>
      <c r="AY681" s="43"/>
      <c r="AZ681" s="43"/>
      <c r="BA681" s="43"/>
      <c r="BB681" s="43"/>
      <c r="BC681" s="43"/>
      <c r="BD681" s="43"/>
      <c r="BE681" s="43"/>
      <c r="BF681" s="43"/>
      <c r="BG681" s="43"/>
      <c r="BH681" s="43"/>
      <c r="BI681" s="43"/>
      <c r="BJ681" s="43"/>
      <c r="BK681" s="43"/>
      <c r="BL681" s="43"/>
      <c r="BM681" s="43"/>
      <c r="BN681" s="43"/>
      <c r="BO681" s="43"/>
      <c r="BP681" s="43"/>
      <c r="BQ681" s="43"/>
      <c r="BR681" s="43"/>
      <c r="BS681" s="43"/>
      <c r="BT681" s="43"/>
      <c r="BU681" s="43"/>
      <c r="BV681" s="43"/>
      <c r="BW681" s="43"/>
      <c r="BX681" s="43"/>
      <c r="BY681" s="43"/>
      <c r="BZ681" s="43"/>
      <c r="CA681" s="43"/>
      <c r="CB681" s="43"/>
      <c r="CC681" s="43"/>
      <c r="CD681" s="43"/>
      <c r="CE681" s="43"/>
      <c r="CF681" s="43"/>
      <c r="CG681" s="43"/>
      <c r="CH681" s="43"/>
      <c r="CI681" s="43"/>
      <c r="CJ681" s="43"/>
      <c r="CK681" s="43"/>
      <c r="CL681" s="43"/>
      <c r="CM681" s="43"/>
      <c r="CN681" s="43"/>
      <c r="CO681" s="43"/>
      <c r="CP681" s="43"/>
      <c r="CQ681" s="43"/>
      <c r="CR681" s="43"/>
      <c r="CS681" s="43"/>
      <c r="CT681" s="43"/>
      <c r="CU681" s="43"/>
      <c r="CV681" s="43"/>
      <c r="CW681" s="43"/>
      <c r="CX681" s="43"/>
      <c r="CY681" s="43"/>
      <c r="CZ681" s="43"/>
      <c r="DA681" s="43"/>
      <c r="DB681" s="43"/>
      <c r="DC681" s="43"/>
      <c r="DD681" s="43"/>
      <c r="DE681" s="43"/>
      <c r="DF681" s="43"/>
      <c r="DG681" s="43"/>
      <c r="DH681" s="43"/>
      <c r="DI681" s="43"/>
      <c r="DJ681" s="43"/>
      <c r="DK681" s="43"/>
      <c r="DL681" s="43"/>
      <c r="DM681" s="43"/>
      <c r="DN681" s="43"/>
      <c r="DO681" s="43"/>
      <c r="DP681" s="43"/>
      <c r="DQ681" s="43"/>
      <c r="DR681" s="43"/>
      <c r="DS681" s="43"/>
    </row>
    <row r="682" spans="1:123" ht="14.45">
      <c r="A682"/>
      <c r="B682"/>
      <c r="C682"/>
      <c r="D682"/>
      <c r="E682"/>
      <c r="F682"/>
      <c r="G682"/>
      <c r="H682"/>
      <c r="I682"/>
      <c r="J682"/>
      <c r="K682" s="43"/>
      <c r="L682" s="43"/>
      <c r="M682" s="43"/>
      <c r="N682" s="43"/>
      <c r="O682" s="43"/>
      <c r="P682" s="43"/>
      <c r="Q682" s="43"/>
      <c r="R682" s="43"/>
      <c r="S682" s="43"/>
      <c r="T682" s="43"/>
      <c r="U682" s="43"/>
      <c r="V682" s="43"/>
      <c r="W682" s="43"/>
      <c r="X682" s="43"/>
      <c r="Y682" s="43"/>
      <c r="Z682" s="43"/>
      <c r="AA682" s="43"/>
      <c r="AB682" s="43"/>
      <c r="AC682" s="43"/>
      <c r="AD682" s="43"/>
      <c r="AE682" s="43"/>
      <c r="AF682" s="43"/>
      <c r="AG682" s="43"/>
      <c r="AH682" s="43"/>
      <c r="AI682" s="43"/>
      <c r="AJ682" s="43"/>
      <c r="AK682" s="43"/>
      <c r="AL682" s="43"/>
      <c r="AM682" s="43"/>
      <c r="AN682" s="43"/>
      <c r="AO682" s="43"/>
      <c r="AP682" s="43"/>
      <c r="AQ682" s="43"/>
      <c r="AR682" s="43"/>
      <c r="AS682" s="43"/>
      <c r="AT682" s="43"/>
      <c r="AU682" s="43"/>
      <c r="AV682" s="43"/>
      <c r="AW682" s="43"/>
      <c r="AX682" s="43"/>
      <c r="AY682" s="43"/>
      <c r="AZ682" s="43"/>
      <c r="BA682" s="43"/>
      <c r="BB682" s="43"/>
      <c r="BC682" s="43"/>
      <c r="BD682" s="43"/>
      <c r="BE682" s="43"/>
      <c r="BF682" s="43"/>
      <c r="BG682" s="43"/>
      <c r="BH682" s="43"/>
      <c r="BI682" s="43"/>
      <c r="BJ682" s="43"/>
      <c r="BK682" s="43"/>
      <c r="BL682" s="43"/>
      <c r="BM682" s="43"/>
      <c r="BN682" s="43"/>
      <c r="BO682" s="43"/>
      <c r="BP682" s="43"/>
      <c r="BQ682" s="43"/>
      <c r="BR682" s="43"/>
      <c r="BS682" s="43"/>
      <c r="BT682" s="43"/>
      <c r="BU682" s="43"/>
      <c r="BV682" s="43"/>
      <c r="BW682" s="43"/>
      <c r="BX682" s="43"/>
      <c r="BY682" s="43"/>
      <c r="BZ682" s="43"/>
      <c r="CA682" s="43"/>
      <c r="CB682" s="43"/>
      <c r="CC682" s="43"/>
      <c r="CD682" s="43"/>
      <c r="CE682" s="43"/>
      <c r="CF682" s="43"/>
      <c r="CG682" s="43"/>
      <c r="CH682" s="43"/>
      <c r="CI682" s="43"/>
      <c r="CJ682" s="43"/>
      <c r="CK682" s="43"/>
      <c r="CL682" s="43"/>
      <c r="CM682" s="43"/>
      <c r="CN682" s="43"/>
      <c r="CO682" s="43"/>
      <c r="CP682" s="43"/>
      <c r="CQ682" s="43"/>
      <c r="CR682" s="43"/>
      <c r="CS682" s="43"/>
      <c r="CT682" s="43"/>
      <c r="CU682" s="43"/>
      <c r="CV682" s="43"/>
      <c r="CW682" s="43"/>
      <c r="CX682" s="43"/>
      <c r="CY682" s="43"/>
      <c r="CZ682" s="43"/>
      <c r="DA682" s="43"/>
      <c r="DB682" s="43"/>
      <c r="DC682" s="43"/>
      <c r="DD682" s="43"/>
      <c r="DE682" s="43"/>
      <c r="DF682" s="43"/>
      <c r="DG682" s="43"/>
      <c r="DH682" s="43"/>
      <c r="DI682" s="43"/>
      <c r="DJ682" s="43"/>
      <c r="DK682" s="43"/>
      <c r="DL682" s="43"/>
      <c r="DM682" s="43"/>
      <c r="DN682" s="43"/>
      <c r="DO682" s="43"/>
      <c r="DP682" s="43"/>
      <c r="DQ682" s="43"/>
      <c r="DR682" s="43"/>
      <c r="DS682" s="43"/>
    </row>
    <row r="683" spans="1:123" ht="14.45">
      <c r="A683"/>
      <c r="B683"/>
      <c r="C683"/>
      <c r="D683"/>
      <c r="E683"/>
      <c r="F683"/>
      <c r="G683"/>
      <c r="H683"/>
      <c r="I683"/>
      <c r="J683"/>
      <c r="K683" s="43"/>
      <c r="L683" s="43"/>
      <c r="M683" s="43"/>
      <c r="N683" s="43"/>
      <c r="O683" s="43"/>
      <c r="P683" s="43"/>
      <c r="Q683" s="43"/>
      <c r="R683" s="43"/>
      <c r="S683" s="43"/>
      <c r="T683" s="43"/>
      <c r="U683" s="43"/>
      <c r="V683" s="43"/>
      <c r="W683" s="43"/>
      <c r="X683" s="43"/>
      <c r="Y683" s="43"/>
      <c r="Z683" s="43"/>
      <c r="AA683" s="43"/>
      <c r="AB683" s="43"/>
      <c r="AC683" s="43"/>
      <c r="AD683" s="43"/>
      <c r="AE683" s="43"/>
      <c r="AF683" s="43"/>
      <c r="AG683" s="43"/>
      <c r="AH683" s="43"/>
      <c r="AI683" s="43"/>
      <c r="AJ683" s="43"/>
      <c r="AK683" s="43"/>
      <c r="AL683" s="43"/>
      <c r="AM683" s="43"/>
      <c r="AN683" s="43"/>
      <c r="AO683" s="43"/>
      <c r="AP683" s="43"/>
      <c r="AQ683" s="43"/>
      <c r="AR683" s="43"/>
      <c r="AS683" s="43"/>
      <c r="AT683" s="43"/>
      <c r="AU683" s="43"/>
      <c r="AV683" s="43"/>
      <c r="AW683" s="43"/>
      <c r="AX683" s="43"/>
      <c r="AY683" s="43"/>
      <c r="AZ683" s="43"/>
      <c r="BA683" s="43"/>
      <c r="BB683" s="43"/>
      <c r="BC683" s="43"/>
      <c r="BD683" s="43"/>
      <c r="BE683" s="43"/>
      <c r="BF683" s="43"/>
      <c r="BG683" s="43"/>
      <c r="BH683" s="43"/>
      <c r="BI683" s="43"/>
      <c r="BJ683" s="43"/>
      <c r="BK683" s="43"/>
      <c r="BL683" s="43"/>
      <c r="BM683" s="43"/>
      <c r="BN683" s="43"/>
      <c r="BO683" s="43"/>
      <c r="BP683" s="43"/>
      <c r="BQ683" s="43"/>
      <c r="BR683" s="43"/>
      <c r="BS683" s="43"/>
      <c r="BT683" s="43"/>
      <c r="BU683" s="43"/>
      <c r="BV683" s="43"/>
      <c r="BW683" s="43"/>
      <c r="BX683" s="43"/>
      <c r="BY683" s="43"/>
      <c r="BZ683" s="43"/>
      <c r="CA683" s="43"/>
      <c r="CB683" s="43"/>
      <c r="CC683" s="43"/>
      <c r="CD683" s="43"/>
      <c r="CE683" s="43"/>
      <c r="CF683" s="43"/>
      <c r="CG683" s="43"/>
      <c r="CH683" s="43"/>
      <c r="CI683" s="43"/>
      <c r="CJ683" s="43"/>
      <c r="CK683" s="43"/>
      <c r="CL683" s="43"/>
      <c r="CM683" s="43"/>
      <c r="CN683" s="43"/>
      <c r="CO683" s="43"/>
      <c r="CP683" s="43"/>
      <c r="CQ683" s="43"/>
      <c r="CR683" s="43"/>
      <c r="CS683" s="43"/>
      <c r="CT683" s="43"/>
      <c r="CU683" s="43"/>
      <c r="CV683" s="43"/>
      <c r="CW683" s="43"/>
      <c r="CX683" s="43"/>
      <c r="CY683" s="43"/>
      <c r="CZ683" s="43"/>
      <c r="DA683" s="43"/>
      <c r="DB683" s="43"/>
      <c r="DC683" s="43"/>
      <c r="DD683" s="43"/>
      <c r="DE683" s="43"/>
      <c r="DF683" s="43"/>
      <c r="DG683" s="43"/>
      <c r="DH683" s="43"/>
      <c r="DI683" s="43"/>
      <c r="DJ683" s="43"/>
      <c r="DK683" s="43"/>
      <c r="DL683" s="43"/>
      <c r="DM683" s="43"/>
      <c r="DN683" s="43"/>
      <c r="DO683" s="43"/>
      <c r="DP683" s="43"/>
      <c r="DQ683" s="43"/>
      <c r="DR683" s="43"/>
      <c r="DS683" s="43"/>
    </row>
    <row r="684" spans="1:123" ht="14.45">
      <c r="A684"/>
      <c r="B684"/>
      <c r="C684"/>
      <c r="D684"/>
      <c r="E684"/>
      <c r="F684"/>
      <c r="G684"/>
      <c r="H684"/>
      <c r="I684"/>
      <c r="J684"/>
      <c r="K684" s="43"/>
      <c r="L684" s="43"/>
      <c r="M684" s="43"/>
      <c r="N684" s="43"/>
      <c r="O684" s="43"/>
      <c r="P684" s="43"/>
      <c r="Q684" s="43"/>
      <c r="R684" s="43"/>
      <c r="S684" s="43"/>
      <c r="T684" s="43"/>
      <c r="U684" s="43"/>
      <c r="V684" s="43"/>
      <c r="W684" s="43"/>
      <c r="X684" s="43"/>
      <c r="Y684" s="43"/>
      <c r="Z684" s="43"/>
      <c r="AA684" s="43"/>
      <c r="AB684" s="43"/>
      <c r="AC684" s="43"/>
      <c r="AD684" s="43"/>
      <c r="AE684" s="43"/>
      <c r="AF684" s="43"/>
      <c r="AG684" s="43"/>
      <c r="AH684" s="43"/>
      <c r="AI684" s="43"/>
      <c r="AJ684" s="43"/>
      <c r="AK684" s="43"/>
      <c r="AL684" s="43"/>
      <c r="AM684" s="43"/>
      <c r="AN684" s="43"/>
      <c r="AO684" s="43"/>
      <c r="AP684" s="43"/>
      <c r="AQ684" s="43"/>
      <c r="AR684" s="43"/>
      <c r="AS684" s="43"/>
      <c r="AT684" s="43"/>
      <c r="AU684" s="43"/>
      <c r="AV684" s="43"/>
      <c r="AW684" s="43"/>
      <c r="AX684" s="43"/>
      <c r="AY684" s="43"/>
      <c r="AZ684" s="43"/>
      <c r="BA684" s="43"/>
      <c r="BB684" s="43"/>
      <c r="BC684" s="43"/>
      <c r="BD684" s="43"/>
      <c r="BE684" s="43"/>
      <c r="BF684" s="43"/>
      <c r="BG684" s="43"/>
      <c r="BH684" s="43"/>
      <c r="BI684" s="43"/>
      <c r="BJ684" s="43"/>
      <c r="BK684" s="43"/>
      <c r="BL684" s="43"/>
      <c r="BM684" s="43"/>
      <c r="BN684" s="43"/>
      <c r="BO684" s="43"/>
      <c r="BP684" s="43"/>
      <c r="BQ684" s="43"/>
      <c r="BR684" s="43"/>
      <c r="BS684" s="43"/>
      <c r="BT684" s="43"/>
      <c r="BU684" s="43"/>
      <c r="BV684" s="43"/>
      <c r="BW684" s="43"/>
      <c r="BX684" s="43"/>
      <c r="BY684" s="43"/>
      <c r="BZ684" s="43"/>
      <c r="CA684" s="43"/>
      <c r="CB684" s="43"/>
      <c r="CC684" s="43"/>
      <c r="CD684" s="43"/>
      <c r="CE684" s="43"/>
      <c r="CF684" s="43"/>
      <c r="CG684" s="43"/>
      <c r="CH684" s="43"/>
      <c r="CI684" s="43"/>
      <c r="CJ684" s="43"/>
      <c r="CK684" s="43"/>
      <c r="CL684" s="43"/>
      <c r="CM684" s="43"/>
      <c r="CN684" s="43"/>
      <c r="CO684" s="43"/>
      <c r="CP684" s="43"/>
      <c r="CQ684" s="43"/>
      <c r="CR684" s="43"/>
      <c r="CS684" s="43"/>
      <c r="CT684" s="43"/>
      <c r="CU684" s="43"/>
      <c r="CV684" s="43"/>
      <c r="CW684" s="43"/>
      <c r="CX684" s="43"/>
      <c r="CY684" s="43"/>
      <c r="CZ684" s="43"/>
      <c r="DA684" s="43"/>
      <c r="DB684" s="43"/>
      <c r="DC684" s="43"/>
      <c r="DD684" s="43"/>
      <c r="DE684" s="43"/>
      <c r="DF684" s="43"/>
      <c r="DG684" s="43"/>
      <c r="DH684" s="43"/>
      <c r="DI684" s="43"/>
      <c r="DJ684" s="43"/>
      <c r="DK684" s="43"/>
      <c r="DL684" s="43"/>
      <c r="DM684" s="43"/>
      <c r="DN684" s="43"/>
      <c r="DO684" s="43"/>
      <c r="DP684" s="43"/>
      <c r="DQ684" s="43"/>
      <c r="DR684" s="43"/>
      <c r="DS684" s="43"/>
    </row>
    <row r="685" spans="1:123" ht="14.45">
      <c r="A685"/>
      <c r="B685"/>
      <c r="C685"/>
      <c r="D685"/>
      <c r="E685"/>
      <c r="F685"/>
      <c r="G685"/>
      <c r="H685"/>
      <c r="I685"/>
      <c r="J685"/>
      <c r="K685" s="43"/>
      <c r="L685" s="43"/>
      <c r="M685" s="43"/>
      <c r="N685" s="43"/>
      <c r="O685" s="43"/>
      <c r="P685" s="43"/>
      <c r="Q685" s="43"/>
      <c r="R685" s="43"/>
      <c r="S685" s="43"/>
      <c r="T685" s="43"/>
      <c r="U685" s="43"/>
      <c r="V685" s="43"/>
      <c r="W685" s="43"/>
      <c r="X685" s="43"/>
      <c r="Y685" s="43"/>
      <c r="Z685" s="43"/>
      <c r="AA685" s="43"/>
      <c r="AB685" s="43"/>
      <c r="AC685" s="43"/>
      <c r="AD685" s="43"/>
      <c r="AE685" s="43"/>
      <c r="AF685" s="43"/>
      <c r="AG685" s="43"/>
      <c r="AH685" s="43"/>
      <c r="AI685" s="43"/>
      <c r="AJ685" s="43"/>
      <c r="AK685" s="43"/>
      <c r="AL685" s="43"/>
      <c r="AM685" s="43"/>
      <c r="AN685" s="43"/>
      <c r="AO685" s="43"/>
      <c r="AP685" s="43"/>
      <c r="AQ685" s="43"/>
      <c r="AR685" s="43"/>
      <c r="AS685" s="43"/>
      <c r="AT685" s="43"/>
      <c r="AU685" s="43"/>
      <c r="AV685" s="43"/>
      <c r="AW685" s="43"/>
      <c r="AX685" s="43"/>
      <c r="AY685" s="43"/>
      <c r="AZ685" s="43"/>
      <c r="BA685" s="43"/>
      <c r="BB685" s="43"/>
      <c r="BC685" s="43"/>
      <c r="BD685" s="43"/>
      <c r="BE685" s="43"/>
      <c r="BF685" s="43"/>
      <c r="BG685" s="43"/>
      <c r="BH685" s="43"/>
      <c r="BI685" s="43"/>
      <c r="BJ685" s="43"/>
      <c r="BK685" s="43"/>
      <c r="BL685" s="43"/>
      <c r="BM685" s="43"/>
      <c r="BN685" s="43"/>
      <c r="BO685" s="43"/>
      <c r="BP685" s="43"/>
      <c r="BQ685" s="43"/>
      <c r="BR685" s="43"/>
      <c r="BS685" s="43"/>
      <c r="BT685" s="43"/>
      <c r="BU685" s="43"/>
      <c r="BV685" s="43"/>
      <c r="BW685" s="43"/>
      <c r="BX685" s="43"/>
      <c r="BY685" s="43"/>
      <c r="BZ685" s="43"/>
      <c r="CA685" s="43"/>
      <c r="CB685" s="43"/>
      <c r="CC685" s="43"/>
      <c r="CD685" s="43"/>
      <c r="CE685" s="43"/>
      <c r="CF685" s="43"/>
      <c r="CG685" s="43"/>
      <c r="CH685" s="43"/>
      <c r="CI685" s="43"/>
      <c r="CJ685" s="43"/>
      <c r="CK685" s="43"/>
      <c r="CL685" s="43"/>
      <c r="CM685" s="43"/>
      <c r="CN685" s="43"/>
      <c r="CO685" s="43"/>
      <c r="CP685" s="43"/>
      <c r="CQ685" s="43"/>
      <c r="CR685" s="43"/>
      <c r="CS685" s="43"/>
      <c r="CT685" s="43"/>
      <c r="CU685" s="43"/>
      <c r="CV685" s="43"/>
      <c r="CW685" s="43"/>
      <c r="CX685" s="43"/>
      <c r="CY685" s="43"/>
      <c r="CZ685" s="43"/>
      <c r="DA685" s="43"/>
      <c r="DB685" s="43"/>
      <c r="DC685" s="43"/>
      <c r="DD685" s="43"/>
      <c r="DE685" s="43"/>
      <c r="DF685" s="43"/>
      <c r="DG685" s="43"/>
      <c r="DH685" s="43"/>
      <c r="DI685" s="43"/>
      <c r="DJ685" s="43"/>
      <c r="DK685" s="43"/>
      <c r="DL685" s="43"/>
      <c r="DM685" s="43"/>
      <c r="DN685" s="43"/>
      <c r="DO685" s="43"/>
      <c r="DP685" s="43"/>
      <c r="DQ685" s="43"/>
      <c r="DR685" s="43"/>
      <c r="DS685" s="43"/>
    </row>
    <row r="686" spans="1:123" ht="14.45">
      <c r="A686"/>
      <c r="B686"/>
      <c r="C686"/>
      <c r="D686"/>
      <c r="E686"/>
      <c r="F686"/>
      <c r="G686"/>
      <c r="H686"/>
      <c r="I686"/>
      <c r="J686"/>
      <c r="K686" s="43"/>
      <c r="L686" s="43"/>
      <c r="M686" s="43"/>
      <c r="N686" s="43"/>
      <c r="O686" s="43"/>
      <c r="P686" s="43"/>
      <c r="Q686" s="43"/>
      <c r="R686" s="43"/>
      <c r="S686" s="43"/>
      <c r="T686" s="43"/>
      <c r="U686" s="43"/>
      <c r="V686" s="43"/>
      <c r="W686" s="43"/>
      <c r="X686" s="43"/>
      <c r="Y686" s="43"/>
      <c r="Z686" s="43"/>
      <c r="AA686" s="43"/>
      <c r="AB686" s="43"/>
      <c r="AC686" s="43"/>
      <c r="AD686" s="43"/>
      <c r="AE686" s="43"/>
      <c r="AF686" s="43"/>
      <c r="AG686" s="43"/>
      <c r="AH686" s="43"/>
      <c r="AI686" s="43"/>
      <c r="AJ686" s="43"/>
      <c r="AK686" s="43"/>
      <c r="AL686" s="43"/>
      <c r="AM686" s="43"/>
      <c r="AN686" s="43"/>
      <c r="AO686" s="43"/>
      <c r="AP686" s="43"/>
      <c r="AQ686" s="43"/>
      <c r="AR686" s="43"/>
      <c r="AS686" s="43"/>
      <c r="AT686" s="43"/>
      <c r="AU686" s="43"/>
      <c r="AV686" s="43"/>
      <c r="AW686" s="43"/>
      <c r="AX686" s="43"/>
      <c r="AY686" s="43"/>
      <c r="AZ686" s="43"/>
      <c r="BA686" s="43"/>
      <c r="BB686" s="43"/>
      <c r="BC686" s="43"/>
      <c r="BD686" s="43"/>
      <c r="BE686" s="43"/>
      <c r="BF686" s="43"/>
      <c r="BG686" s="43"/>
      <c r="BH686" s="43"/>
      <c r="BI686" s="43"/>
      <c r="BJ686" s="43"/>
      <c r="BK686" s="43"/>
      <c r="BL686" s="43"/>
      <c r="BM686" s="43"/>
      <c r="BN686" s="43"/>
      <c r="BO686" s="43"/>
      <c r="BP686" s="43"/>
      <c r="BQ686" s="43"/>
      <c r="BR686" s="43"/>
      <c r="BS686" s="43"/>
      <c r="BT686" s="43"/>
      <c r="BU686" s="43"/>
      <c r="BV686" s="43"/>
      <c r="BW686" s="43"/>
      <c r="BX686" s="43"/>
      <c r="BY686" s="43"/>
      <c r="BZ686" s="43"/>
      <c r="CA686" s="43"/>
      <c r="CB686" s="43"/>
      <c r="CC686" s="43"/>
      <c r="CD686" s="43"/>
      <c r="CE686" s="43"/>
      <c r="CF686" s="43"/>
      <c r="CG686" s="43"/>
      <c r="CH686" s="43"/>
      <c r="CI686" s="43"/>
      <c r="CJ686" s="43"/>
      <c r="CK686" s="43"/>
      <c r="CL686" s="43"/>
      <c r="CM686" s="43"/>
      <c r="CN686" s="43"/>
      <c r="CO686" s="43"/>
      <c r="CP686" s="43"/>
      <c r="CQ686" s="43"/>
      <c r="CR686" s="43"/>
      <c r="CS686" s="43"/>
      <c r="CT686" s="43"/>
      <c r="CU686" s="43"/>
      <c r="CV686" s="43"/>
      <c r="CW686" s="43"/>
      <c r="CX686" s="43"/>
      <c r="CY686" s="43"/>
      <c r="CZ686" s="43"/>
      <c r="DA686" s="43"/>
      <c r="DB686" s="43"/>
      <c r="DC686" s="43"/>
      <c r="DD686" s="43"/>
      <c r="DE686" s="43"/>
      <c r="DF686" s="43"/>
      <c r="DG686" s="43"/>
      <c r="DH686" s="43"/>
      <c r="DI686" s="43"/>
      <c r="DJ686" s="43"/>
      <c r="DK686" s="43"/>
      <c r="DL686" s="43"/>
      <c r="DM686" s="43"/>
      <c r="DN686" s="43"/>
      <c r="DO686" s="43"/>
      <c r="DP686" s="43"/>
      <c r="DQ686" s="43"/>
      <c r="DR686" s="43"/>
      <c r="DS686" s="43"/>
    </row>
    <row r="687" spans="1:123" ht="14.45">
      <c r="A687"/>
      <c r="B687"/>
      <c r="C687"/>
      <c r="D687"/>
      <c r="E687"/>
      <c r="F687"/>
      <c r="G687"/>
      <c r="H687"/>
      <c r="I687"/>
      <c r="J687"/>
      <c r="K687" s="43"/>
      <c r="L687" s="43"/>
      <c r="M687" s="43"/>
      <c r="N687" s="43"/>
      <c r="O687" s="43"/>
      <c r="P687" s="43"/>
      <c r="Q687" s="43"/>
      <c r="R687" s="43"/>
      <c r="S687" s="43"/>
      <c r="T687" s="43"/>
      <c r="U687" s="43"/>
      <c r="V687" s="43"/>
      <c r="W687" s="43"/>
      <c r="X687" s="43"/>
      <c r="Y687" s="43"/>
      <c r="Z687" s="43"/>
      <c r="AA687" s="43"/>
      <c r="AB687" s="43"/>
      <c r="AC687" s="43"/>
      <c r="AD687" s="43"/>
      <c r="AE687" s="43"/>
      <c r="AF687" s="43"/>
      <c r="AG687" s="43"/>
      <c r="AH687" s="43"/>
      <c r="AI687" s="43"/>
      <c r="AJ687" s="43"/>
      <c r="AK687" s="43"/>
      <c r="AL687" s="43"/>
      <c r="AM687" s="43"/>
      <c r="AN687" s="43"/>
      <c r="AO687" s="43"/>
      <c r="AP687" s="43"/>
      <c r="AQ687" s="43"/>
      <c r="AR687" s="43"/>
      <c r="AS687" s="43"/>
      <c r="AT687" s="43"/>
      <c r="AU687" s="43"/>
      <c r="AV687" s="43"/>
      <c r="AW687" s="43"/>
      <c r="AX687" s="43"/>
      <c r="AY687" s="43"/>
      <c r="AZ687" s="43"/>
      <c r="BA687" s="43"/>
      <c r="BB687" s="43"/>
      <c r="BC687" s="43"/>
      <c r="BD687" s="43"/>
      <c r="BE687" s="43"/>
      <c r="BF687" s="43"/>
      <c r="BG687" s="43"/>
      <c r="BH687" s="43"/>
      <c r="BI687" s="43"/>
      <c r="BJ687" s="43"/>
      <c r="BK687" s="43"/>
      <c r="BL687" s="43"/>
      <c r="BM687" s="43"/>
      <c r="BN687" s="43"/>
      <c r="BO687" s="43"/>
      <c r="BP687" s="43"/>
      <c r="BQ687" s="43"/>
      <c r="BR687" s="43"/>
      <c r="BS687" s="43"/>
      <c r="BT687" s="43"/>
      <c r="BU687" s="43"/>
      <c r="BV687" s="43"/>
      <c r="BW687" s="43"/>
      <c r="BX687" s="43"/>
      <c r="BY687" s="43"/>
      <c r="BZ687" s="43"/>
      <c r="CA687" s="43"/>
      <c r="CB687" s="43"/>
      <c r="CC687" s="43"/>
      <c r="CD687" s="43"/>
      <c r="CE687" s="43"/>
      <c r="CF687" s="43"/>
      <c r="CG687" s="43"/>
      <c r="CH687" s="43"/>
      <c r="CI687" s="43"/>
      <c r="CJ687" s="43"/>
      <c r="CK687" s="43"/>
      <c r="CL687" s="43"/>
      <c r="CM687" s="43"/>
      <c r="CN687" s="43"/>
      <c r="CO687" s="43"/>
      <c r="CP687" s="43"/>
      <c r="CQ687" s="43"/>
      <c r="CR687" s="43"/>
      <c r="CS687" s="43"/>
      <c r="CT687" s="43"/>
      <c r="CU687" s="43"/>
      <c r="CV687" s="43"/>
      <c r="CW687" s="43"/>
      <c r="CX687" s="43"/>
      <c r="CY687" s="43"/>
      <c r="CZ687" s="43"/>
      <c r="DA687" s="43"/>
      <c r="DB687" s="43"/>
      <c r="DC687" s="43"/>
      <c r="DD687" s="43"/>
      <c r="DE687" s="43"/>
      <c r="DF687" s="43"/>
      <c r="DG687" s="43"/>
      <c r="DH687" s="43"/>
      <c r="DI687" s="43"/>
      <c r="DJ687" s="43"/>
      <c r="DK687" s="43"/>
      <c r="DL687" s="43"/>
      <c r="DM687" s="43"/>
      <c r="DN687" s="43"/>
      <c r="DO687" s="43"/>
      <c r="DP687" s="43"/>
      <c r="DQ687" s="43"/>
      <c r="DR687" s="43"/>
      <c r="DS687" s="43"/>
    </row>
    <row r="688" spans="1:123" ht="14.45">
      <c r="A688"/>
      <c r="B688"/>
      <c r="C688"/>
      <c r="D688"/>
      <c r="E688"/>
      <c r="F688"/>
      <c r="G688"/>
      <c r="H688"/>
      <c r="I688"/>
      <c r="J688"/>
      <c r="K688" s="43"/>
      <c r="L688" s="43"/>
      <c r="M688" s="43"/>
      <c r="N688" s="43"/>
      <c r="O688" s="43"/>
      <c r="P688" s="43"/>
      <c r="Q688" s="43"/>
      <c r="R688" s="43"/>
      <c r="S688" s="43"/>
      <c r="T688" s="43"/>
      <c r="U688" s="43"/>
      <c r="V688" s="43"/>
      <c r="W688" s="43"/>
      <c r="X688" s="43"/>
      <c r="Y688" s="43"/>
      <c r="Z688" s="43"/>
      <c r="AA688" s="43"/>
      <c r="AB688" s="43"/>
      <c r="AC688" s="43"/>
      <c r="AD688" s="43"/>
      <c r="AE688" s="43"/>
      <c r="AF688" s="43"/>
      <c r="AG688" s="43"/>
      <c r="AH688" s="43"/>
      <c r="AI688" s="43"/>
      <c r="AJ688" s="43"/>
      <c r="AK688" s="43"/>
      <c r="AL688" s="43"/>
      <c r="AM688" s="43"/>
      <c r="AN688" s="43"/>
      <c r="AO688" s="43"/>
      <c r="AP688" s="43"/>
      <c r="AQ688" s="43"/>
      <c r="AR688" s="43"/>
      <c r="AS688" s="43"/>
      <c r="AT688" s="43"/>
      <c r="AU688" s="43"/>
      <c r="AV688" s="43"/>
      <c r="AW688" s="43"/>
      <c r="AX688" s="43"/>
      <c r="AY688" s="43"/>
      <c r="AZ688" s="43"/>
      <c r="BA688" s="43"/>
      <c r="BB688" s="43"/>
      <c r="BC688" s="43"/>
      <c r="BD688" s="43"/>
      <c r="BE688" s="43"/>
      <c r="BF688" s="43"/>
      <c r="BG688" s="43"/>
      <c r="BH688" s="43"/>
      <c r="BI688" s="43"/>
      <c r="BJ688" s="43"/>
      <c r="BK688" s="43"/>
      <c r="BL688" s="43"/>
      <c r="BM688" s="43"/>
      <c r="BN688" s="43"/>
      <c r="BO688" s="43"/>
      <c r="BP688" s="43"/>
      <c r="BQ688" s="43"/>
      <c r="BR688" s="43"/>
      <c r="BS688" s="43"/>
      <c r="BT688" s="43"/>
      <c r="BU688" s="43"/>
      <c r="BV688" s="43"/>
      <c r="BW688" s="43"/>
      <c r="BX688" s="43"/>
      <c r="BY688" s="43"/>
      <c r="BZ688" s="43"/>
      <c r="CA688" s="43"/>
      <c r="CB688" s="43"/>
      <c r="CC688" s="43"/>
      <c r="CD688" s="43"/>
      <c r="CE688" s="43"/>
      <c r="CF688" s="43"/>
      <c r="CG688" s="43"/>
      <c r="CH688" s="43"/>
      <c r="CI688" s="43"/>
      <c r="CJ688" s="43"/>
      <c r="CK688" s="43"/>
      <c r="CL688" s="43"/>
      <c r="CM688" s="43"/>
      <c r="CN688" s="43"/>
      <c r="CO688" s="43"/>
      <c r="CP688" s="43"/>
      <c r="CQ688" s="43"/>
      <c r="CR688" s="43"/>
      <c r="CS688" s="43"/>
      <c r="CT688" s="43"/>
      <c r="CU688" s="43"/>
      <c r="CV688" s="43"/>
      <c r="CW688" s="43"/>
      <c r="CX688" s="43"/>
      <c r="CY688" s="43"/>
      <c r="CZ688" s="43"/>
      <c r="DA688" s="43"/>
      <c r="DB688" s="43"/>
      <c r="DC688" s="43"/>
      <c r="DD688" s="43"/>
      <c r="DE688" s="43"/>
      <c r="DF688" s="43"/>
      <c r="DG688" s="43"/>
      <c r="DH688" s="43"/>
      <c r="DI688" s="43"/>
      <c r="DJ688" s="43"/>
      <c r="DK688" s="43"/>
      <c r="DL688" s="43"/>
      <c r="DM688" s="43"/>
      <c r="DN688" s="43"/>
      <c r="DO688" s="43"/>
      <c r="DP688" s="43"/>
      <c r="DQ688" s="43"/>
      <c r="DR688" s="43"/>
      <c r="DS688" s="43"/>
    </row>
    <row r="689" spans="1:123" ht="14.45">
      <c r="A689"/>
      <c r="B689"/>
      <c r="C689"/>
      <c r="D689"/>
      <c r="E689"/>
      <c r="F689"/>
      <c r="G689"/>
      <c r="H689"/>
      <c r="I689"/>
      <c r="J689"/>
      <c r="K689" s="43"/>
      <c r="L689" s="43"/>
      <c r="M689" s="43"/>
      <c r="N689" s="43"/>
      <c r="O689" s="43"/>
      <c r="P689" s="43"/>
      <c r="Q689" s="43"/>
      <c r="R689" s="43"/>
      <c r="S689" s="43"/>
      <c r="T689" s="43"/>
      <c r="U689" s="43"/>
      <c r="V689" s="43"/>
      <c r="W689" s="43"/>
      <c r="X689" s="43"/>
      <c r="Y689" s="43"/>
      <c r="Z689" s="43"/>
      <c r="AA689" s="43"/>
      <c r="AB689" s="43"/>
      <c r="AC689" s="43"/>
      <c r="AD689" s="43"/>
      <c r="AE689" s="43"/>
      <c r="AF689" s="43"/>
      <c r="AG689" s="43"/>
      <c r="AH689" s="43"/>
      <c r="AI689" s="43"/>
      <c r="AJ689" s="43"/>
      <c r="AK689" s="43"/>
      <c r="AL689" s="43"/>
      <c r="AM689" s="43"/>
      <c r="AN689" s="43"/>
      <c r="AO689" s="43"/>
      <c r="AP689" s="43"/>
      <c r="AQ689" s="43"/>
      <c r="AR689" s="43"/>
      <c r="AS689" s="43"/>
      <c r="AT689" s="43"/>
      <c r="AU689" s="43"/>
      <c r="AV689" s="43"/>
      <c r="AW689" s="43"/>
      <c r="AX689" s="43"/>
      <c r="AY689" s="43"/>
      <c r="AZ689" s="43"/>
      <c r="BA689" s="43"/>
      <c r="BB689" s="43"/>
      <c r="BC689" s="43"/>
      <c r="BD689" s="43"/>
      <c r="BE689" s="43"/>
      <c r="BF689" s="43"/>
      <c r="BG689" s="43"/>
      <c r="BH689" s="43"/>
      <c r="BI689" s="43"/>
      <c r="BJ689" s="43"/>
      <c r="BK689" s="43"/>
      <c r="BL689" s="43"/>
      <c r="BM689" s="43"/>
      <c r="BN689" s="43"/>
      <c r="BO689" s="43"/>
      <c r="BP689" s="43"/>
      <c r="BQ689" s="43"/>
      <c r="BR689" s="43"/>
      <c r="BS689" s="43"/>
      <c r="BT689" s="43"/>
      <c r="BU689" s="43"/>
      <c r="BV689" s="43"/>
      <c r="BW689" s="43"/>
      <c r="BX689" s="43"/>
      <c r="BY689" s="43"/>
      <c r="BZ689" s="43"/>
      <c r="CA689" s="43"/>
      <c r="CB689" s="43"/>
      <c r="CC689" s="43"/>
      <c r="CD689" s="43"/>
      <c r="CE689" s="43"/>
      <c r="CF689" s="43"/>
      <c r="CG689" s="43"/>
      <c r="CH689" s="43"/>
      <c r="CI689" s="43"/>
      <c r="CJ689" s="43"/>
      <c r="CK689" s="43"/>
      <c r="CL689" s="43"/>
      <c r="CM689" s="43"/>
      <c r="CN689" s="43"/>
      <c r="CO689" s="43"/>
      <c r="CP689" s="43"/>
      <c r="CQ689" s="43"/>
      <c r="CR689" s="43"/>
      <c r="CS689" s="43"/>
      <c r="CT689" s="43"/>
      <c r="CU689" s="43"/>
      <c r="CV689" s="43"/>
      <c r="CW689" s="43"/>
      <c r="CX689" s="43"/>
      <c r="CY689" s="43"/>
      <c r="CZ689" s="43"/>
      <c r="DA689" s="43"/>
      <c r="DB689" s="43"/>
      <c r="DC689" s="43"/>
      <c r="DD689" s="43"/>
      <c r="DE689" s="43"/>
      <c r="DF689" s="43"/>
      <c r="DG689" s="43"/>
      <c r="DH689" s="43"/>
      <c r="DI689" s="43"/>
      <c r="DJ689" s="43"/>
      <c r="DK689" s="43"/>
      <c r="DL689" s="43"/>
      <c r="DM689" s="43"/>
      <c r="DN689" s="43"/>
      <c r="DO689" s="43"/>
      <c r="DP689" s="43"/>
      <c r="DQ689" s="43"/>
      <c r="DR689" s="43"/>
      <c r="DS689" s="43"/>
    </row>
    <row r="690" spans="1:123" ht="14.45">
      <c r="A690"/>
      <c r="B690"/>
      <c r="C690"/>
      <c r="D690"/>
      <c r="E690"/>
      <c r="F690"/>
      <c r="G690"/>
      <c r="H690"/>
      <c r="I690"/>
      <c r="J690"/>
      <c r="K690" s="43"/>
      <c r="L690" s="43"/>
      <c r="M690" s="43"/>
      <c r="N690" s="43"/>
      <c r="O690" s="43"/>
      <c r="P690" s="43"/>
      <c r="Q690" s="43"/>
      <c r="R690" s="43"/>
      <c r="S690" s="43"/>
      <c r="T690" s="43"/>
      <c r="U690" s="43"/>
      <c r="V690" s="43"/>
      <c r="W690" s="43"/>
      <c r="X690" s="43"/>
      <c r="Y690" s="43"/>
      <c r="Z690" s="43"/>
      <c r="AA690" s="43"/>
      <c r="AB690" s="43"/>
      <c r="AC690" s="43"/>
      <c r="AD690" s="43"/>
      <c r="AE690" s="43"/>
      <c r="AF690" s="43"/>
      <c r="AG690" s="43"/>
      <c r="AH690" s="43"/>
      <c r="AI690" s="43"/>
      <c r="AJ690" s="43"/>
      <c r="AK690" s="43"/>
      <c r="AL690" s="43"/>
      <c r="AM690" s="43"/>
      <c r="AN690" s="43"/>
      <c r="AO690" s="43"/>
      <c r="AP690" s="43"/>
      <c r="AQ690" s="43"/>
      <c r="AR690" s="43"/>
      <c r="AS690" s="43"/>
      <c r="AT690" s="43"/>
      <c r="AU690" s="43"/>
      <c r="AV690" s="43"/>
      <c r="AW690" s="43"/>
      <c r="AX690" s="43"/>
      <c r="AY690" s="43"/>
      <c r="AZ690" s="43"/>
      <c r="BA690" s="43"/>
      <c r="BB690" s="43"/>
      <c r="BC690" s="43"/>
      <c r="BD690" s="43"/>
      <c r="BE690" s="43"/>
      <c r="BF690" s="43"/>
      <c r="BG690" s="43"/>
      <c r="BH690" s="43"/>
      <c r="BI690" s="43"/>
      <c r="BJ690" s="43"/>
      <c r="BK690" s="43"/>
      <c r="BL690" s="43"/>
      <c r="BM690" s="43"/>
      <c r="BN690" s="43"/>
      <c r="BO690" s="43"/>
      <c r="BP690" s="43"/>
      <c r="BQ690" s="43"/>
      <c r="BR690" s="43"/>
      <c r="BS690" s="43"/>
      <c r="BT690" s="43"/>
      <c r="BU690" s="43"/>
      <c r="BV690" s="43"/>
      <c r="BW690" s="43"/>
      <c r="BX690" s="43"/>
      <c r="BY690" s="43"/>
      <c r="BZ690" s="43"/>
      <c r="CA690" s="43"/>
      <c r="CB690" s="43"/>
      <c r="CC690" s="43"/>
      <c r="CD690" s="43"/>
      <c r="CE690" s="43"/>
      <c r="CF690" s="43"/>
      <c r="CG690" s="43"/>
      <c r="CH690" s="43"/>
      <c r="CI690" s="43"/>
      <c r="CJ690" s="43"/>
      <c r="CK690" s="43"/>
      <c r="CL690" s="43"/>
      <c r="CM690" s="43"/>
      <c r="CN690" s="43"/>
      <c r="CO690" s="43"/>
      <c r="CP690" s="43"/>
      <c r="CQ690" s="43"/>
      <c r="CR690" s="43"/>
      <c r="CS690" s="43"/>
      <c r="CT690" s="43"/>
      <c r="CU690" s="43"/>
      <c r="CV690" s="43"/>
      <c r="CW690" s="43"/>
      <c r="CX690" s="43"/>
      <c r="CY690" s="43"/>
      <c r="CZ690" s="43"/>
      <c r="DA690" s="43"/>
      <c r="DB690" s="43"/>
      <c r="DC690" s="43"/>
      <c r="DD690" s="43"/>
      <c r="DE690" s="43"/>
      <c r="DF690" s="43"/>
      <c r="DG690" s="43"/>
      <c r="DH690" s="43"/>
      <c r="DI690" s="43"/>
      <c r="DJ690" s="43"/>
      <c r="DK690" s="43"/>
      <c r="DL690" s="43"/>
      <c r="DM690" s="43"/>
      <c r="DN690" s="43"/>
      <c r="DO690" s="43"/>
      <c r="DP690" s="43"/>
      <c r="DQ690" s="43"/>
      <c r="DR690" s="43"/>
      <c r="DS690" s="43"/>
    </row>
    <row r="691" spans="1:123" ht="14.45">
      <c r="A691"/>
      <c r="B691"/>
      <c r="C691"/>
      <c r="D691"/>
      <c r="E691"/>
      <c r="F691"/>
      <c r="G691"/>
      <c r="H691"/>
      <c r="I691"/>
      <c r="J691"/>
      <c r="K691" s="43"/>
      <c r="L691" s="43"/>
      <c r="M691" s="43"/>
      <c r="N691" s="43"/>
      <c r="O691" s="43"/>
      <c r="P691" s="43"/>
      <c r="Q691" s="43"/>
      <c r="R691" s="43"/>
      <c r="S691" s="43"/>
      <c r="T691" s="43"/>
      <c r="U691" s="43"/>
      <c r="V691" s="43"/>
      <c r="W691" s="43"/>
      <c r="X691" s="43"/>
      <c r="Y691" s="43"/>
      <c r="Z691" s="43"/>
      <c r="AA691" s="43"/>
      <c r="AB691" s="43"/>
      <c r="AC691" s="43"/>
      <c r="AD691" s="43"/>
      <c r="AE691" s="43"/>
      <c r="AF691" s="43"/>
      <c r="AG691" s="43"/>
      <c r="AH691" s="43"/>
      <c r="AI691" s="43"/>
      <c r="AJ691" s="43"/>
      <c r="AK691" s="43"/>
      <c r="AL691" s="43"/>
      <c r="AM691" s="43"/>
      <c r="AN691" s="43"/>
      <c r="AO691" s="43"/>
      <c r="AP691" s="43"/>
      <c r="AQ691" s="43"/>
      <c r="AR691" s="43"/>
      <c r="AS691" s="43"/>
      <c r="AT691" s="43"/>
      <c r="AU691" s="43"/>
      <c r="AV691" s="43"/>
      <c r="AW691" s="43"/>
      <c r="AX691" s="43"/>
      <c r="AY691" s="43"/>
      <c r="AZ691" s="43"/>
      <c r="BA691" s="43"/>
      <c r="BB691" s="43"/>
      <c r="BC691" s="43"/>
      <c r="BD691" s="43"/>
      <c r="BE691" s="43"/>
      <c r="BF691" s="43"/>
      <c r="BG691" s="43"/>
      <c r="BH691" s="43"/>
      <c r="BI691" s="43"/>
      <c r="BJ691" s="43"/>
      <c r="BK691" s="43"/>
      <c r="BL691" s="43"/>
      <c r="BM691" s="43"/>
      <c r="BN691" s="43"/>
      <c r="BO691" s="43"/>
      <c r="BP691" s="43"/>
      <c r="BQ691" s="43"/>
      <c r="BR691" s="43"/>
      <c r="BS691" s="43"/>
      <c r="BT691" s="43"/>
      <c r="BU691" s="43"/>
      <c r="BV691" s="43"/>
      <c r="BW691" s="43"/>
      <c r="BX691" s="43"/>
      <c r="BY691" s="43"/>
      <c r="BZ691" s="43"/>
      <c r="CA691" s="43"/>
      <c r="CB691" s="43"/>
      <c r="CC691" s="43"/>
      <c r="CD691" s="43"/>
      <c r="CE691" s="43"/>
      <c r="CF691" s="43"/>
      <c r="CG691" s="43"/>
      <c r="CH691" s="43"/>
      <c r="CI691" s="43"/>
      <c r="CJ691" s="43"/>
      <c r="CK691" s="43"/>
      <c r="CL691" s="43"/>
      <c r="CM691" s="43"/>
      <c r="CN691" s="43"/>
      <c r="CO691" s="43"/>
      <c r="CP691" s="43"/>
      <c r="CQ691" s="43"/>
      <c r="CR691" s="43"/>
      <c r="CS691" s="43"/>
      <c r="CT691" s="43"/>
      <c r="CU691" s="43"/>
      <c r="CV691" s="43"/>
      <c r="CW691" s="43"/>
      <c r="CX691" s="43"/>
      <c r="CY691" s="43"/>
      <c r="CZ691" s="43"/>
      <c r="DA691" s="43"/>
      <c r="DB691" s="43"/>
      <c r="DC691" s="43"/>
      <c r="DD691" s="43"/>
      <c r="DE691" s="43"/>
      <c r="DF691" s="43"/>
      <c r="DG691" s="43"/>
      <c r="DH691" s="43"/>
      <c r="DI691" s="43"/>
      <c r="DJ691" s="43"/>
      <c r="DK691" s="43"/>
      <c r="DL691" s="43"/>
      <c r="DM691" s="43"/>
      <c r="DN691" s="43"/>
      <c r="DO691" s="43"/>
      <c r="DP691" s="43"/>
      <c r="DQ691" s="43"/>
      <c r="DR691" s="43"/>
      <c r="DS691" s="43"/>
    </row>
    <row r="692" spans="1:123" ht="14.45">
      <c r="A692"/>
      <c r="B692"/>
      <c r="C692"/>
      <c r="D692"/>
      <c r="E692"/>
      <c r="F692"/>
      <c r="G692"/>
      <c r="H692"/>
      <c r="I692"/>
      <c r="J692"/>
      <c r="K692" s="43"/>
      <c r="L692" s="43"/>
      <c r="M692" s="43"/>
      <c r="N692" s="43"/>
      <c r="O692" s="43"/>
      <c r="P692" s="43"/>
      <c r="Q692" s="43"/>
      <c r="R692" s="43"/>
      <c r="S692" s="43"/>
      <c r="T692" s="43"/>
      <c r="U692" s="43"/>
      <c r="V692" s="43"/>
      <c r="W692" s="43"/>
      <c r="X692" s="43"/>
      <c r="Y692" s="43"/>
      <c r="Z692" s="43"/>
      <c r="AA692" s="43"/>
      <c r="AB692" s="43"/>
      <c r="AC692" s="43"/>
      <c r="AD692" s="43"/>
      <c r="AE692" s="43"/>
      <c r="AF692" s="43"/>
      <c r="AG692" s="43"/>
      <c r="AH692" s="43"/>
      <c r="AI692" s="43"/>
      <c r="AJ692" s="43"/>
      <c r="AK692" s="43"/>
      <c r="AL692" s="43"/>
      <c r="AM692" s="43"/>
      <c r="AN692" s="43"/>
      <c r="AO692" s="43"/>
      <c r="AP692" s="43"/>
      <c r="AQ692" s="43"/>
      <c r="AR692" s="43"/>
      <c r="AS692" s="43"/>
      <c r="AT692" s="43"/>
      <c r="AU692" s="43"/>
      <c r="AV692" s="43"/>
      <c r="AW692" s="43"/>
      <c r="AX692" s="43"/>
      <c r="AY692" s="43"/>
      <c r="AZ692" s="43"/>
      <c r="BA692" s="43"/>
      <c r="BB692" s="43"/>
      <c r="BC692" s="43"/>
      <c r="BD692" s="43"/>
      <c r="BE692" s="43"/>
      <c r="BF692" s="43"/>
      <c r="BG692" s="43"/>
      <c r="BH692" s="43"/>
      <c r="BI692" s="43"/>
      <c r="BJ692" s="43"/>
      <c r="BK692" s="43"/>
      <c r="BL692" s="43"/>
      <c r="BM692" s="43"/>
      <c r="BN692" s="43"/>
      <c r="BO692" s="43"/>
      <c r="BP692" s="43"/>
      <c r="BQ692" s="43"/>
      <c r="BR692" s="43"/>
      <c r="BS692" s="43"/>
      <c r="BT692" s="43"/>
      <c r="BU692" s="43"/>
      <c r="BV692" s="43"/>
      <c r="BW692" s="43"/>
      <c r="BX692" s="43"/>
      <c r="BY692" s="43"/>
      <c r="BZ692" s="43"/>
      <c r="CA692" s="43"/>
      <c r="CB692" s="43"/>
      <c r="CC692" s="43"/>
      <c r="CD692" s="43"/>
      <c r="CE692" s="43"/>
      <c r="CF692" s="43"/>
      <c r="CG692" s="43"/>
      <c r="CH692" s="43"/>
      <c r="CI692" s="43"/>
      <c r="CJ692" s="43"/>
      <c r="CK692" s="43"/>
      <c r="CL692" s="43"/>
      <c r="CM692" s="43"/>
      <c r="CN692" s="43"/>
      <c r="CO692" s="43"/>
      <c r="CP692" s="43"/>
      <c r="CQ692" s="43"/>
      <c r="CR692" s="43"/>
      <c r="CS692" s="43"/>
      <c r="CT692" s="43"/>
      <c r="CU692" s="43"/>
      <c r="CV692" s="43"/>
      <c r="CW692" s="43"/>
      <c r="CX692" s="43"/>
      <c r="CY692" s="43"/>
      <c r="CZ692" s="43"/>
      <c r="DA692" s="43"/>
      <c r="DB692" s="43"/>
      <c r="DC692" s="43"/>
      <c r="DD692" s="43"/>
      <c r="DE692" s="43"/>
      <c r="DF692" s="43"/>
      <c r="DG692" s="43"/>
      <c r="DH692" s="43"/>
      <c r="DI692" s="43"/>
      <c r="DJ692" s="43"/>
      <c r="DK692" s="43"/>
      <c r="DL692" s="43"/>
      <c r="DM692" s="43"/>
      <c r="DN692" s="43"/>
      <c r="DO692" s="43"/>
      <c r="DP692" s="43"/>
      <c r="DQ692" s="43"/>
      <c r="DR692" s="43"/>
      <c r="DS692" s="43"/>
    </row>
    <row r="693" spans="1:123" ht="14.45">
      <c r="A693"/>
      <c r="B693"/>
      <c r="C693"/>
      <c r="D693"/>
      <c r="E693"/>
      <c r="F693"/>
      <c r="G693"/>
      <c r="H693"/>
      <c r="I693"/>
      <c r="J693"/>
      <c r="K693" s="43"/>
      <c r="L693" s="43"/>
      <c r="M693" s="43"/>
      <c r="N693" s="43"/>
      <c r="O693" s="43"/>
      <c r="P693" s="43"/>
      <c r="Q693" s="43"/>
      <c r="R693" s="43"/>
      <c r="S693" s="43"/>
      <c r="T693" s="43"/>
      <c r="U693" s="43"/>
      <c r="V693" s="43"/>
      <c r="W693" s="43"/>
      <c r="X693" s="43"/>
      <c r="Y693" s="43"/>
      <c r="Z693" s="43"/>
      <c r="AA693" s="43"/>
      <c r="AB693" s="43"/>
      <c r="AC693" s="43"/>
      <c r="AD693" s="43"/>
      <c r="AE693" s="43"/>
      <c r="AF693" s="43"/>
      <c r="AG693" s="43"/>
      <c r="AH693" s="43"/>
      <c r="AI693" s="43"/>
      <c r="AJ693" s="43"/>
      <c r="AK693" s="43"/>
      <c r="AL693" s="43"/>
      <c r="AM693" s="43"/>
      <c r="AN693" s="43"/>
      <c r="AO693" s="43"/>
      <c r="AP693" s="43"/>
      <c r="AQ693" s="43"/>
      <c r="AR693" s="43"/>
      <c r="AS693" s="43"/>
      <c r="AT693" s="43"/>
      <c r="AU693" s="43"/>
      <c r="AV693" s="43"/>
      <c r="AW693" s="43"/>
      <c r="AX693" s="43"/>
      <c r="AY693" s="43"/>
      <c r="AZ693" s="43"/>
      <c r="BA693" s="43"/>
      <c r="BB693" s="43"/>
      <c r="BC693" s="43"/>
      <c r="BD693" s="43"/>
      <c r="BE693" s="43"/>
      <c r="BF693" s="43"/>
      <c r="BG693" s="43"/>
      <c r="BH693" s="43"/>
      <c r="BI693" s="43"/>
      <c r="BJ693" s="43"/>
      <c r="BK693" s="43"/>
      <c r="BL693" s="43"/>
      <c r="BM693" s="43"/>
      <c r="BN693" s="43"/>
      <c r="BO693" s="43"/>
      <c r="BP693" s="43"/>
      <c r="BQ693" s="43"/>
      <c r="BR693" s="43"/>
      <c r="BS693" s="43"/>
      <c r="BT693" s="43"/>
      <c r="BU693" s="43"/>
      <c r="BV693" s="43"/>
      <c r="BW693" s="43"/>
      <c r="BX693" s="43"/>
      <c r="BY693" s="43"/>
      <c r="BZ693" s="43"/>
      <c r="CA693" s="43"/>
      <c r="CB693" s="43"/>
      <c r="CC693" s="43"/>
      <c r="CD693" s="43"/>
      <c r="CE693" s="43"/>
      <c r="CF693" s="43"/>
      <c r="CG693" s="43"/>
      <c r="CH693" s="43"/>
      <c r="CI693" s="43"/>
      <c r="CJ693" s="43"/>
      <c r="CK693" s="43"/>
      <c r="CL693" s="43"/>
      <c r="CM693" s="43"/>
      <c r="CN693" s="43"/>
      <c r="CO693" s="43"/>
      <c r="CP693" s="43"/>
      <c r="CQ693" s="43"/>
      <c r="CR693" s="43"/>
      <c r="CS693" s="43"/>
      <c r="CT693" s="43"/>
      <c r="CU693" s="43"/>
      <c r="CV693" s="43"/>
      <c r="CW693" s="43"/>
      <c r="CX693" s="43"/>
      <c r="CY693" s="43"/>
      <c r="CZ693" s="43"/>
      <c r="DA693" s="43"/>
      <c r="DB693" s="43"/>
      <c r="DC693" s="43"/>
      <c r="DD693" s="43"/>
      <c r="DE693" s="43"/>
      <c r="DF693" s="43"/>
      <c r="DG693" s="43"/>
      <c r="DH693" s="43"/>
      <c r="DI693" s="43"/>
      <c r="DJ693" s="43"/>
      <c r="DK693" s="43"/>
      <c r="DL693" s="43"/>
      <c r="DM693" s="43"/>
      <c r="DN693" s="43"/>
      <c r="DO693" s="43"/>
      <c r="DP693" s="43"/>
      <c r="DQ693" s="43"/>
      <c r="DR693" s="43"/>
      <c r="DS693" s="43"/>
    </row>
    <row r="694" spans="1:123" ht="14.45">
      <c r="A694"/>
      <c r="B694"/>
      <c r="C694"/>
      <c r="D694"/>
      <c r="E694"/>
      <c r="F694"/>
      <c r="G694"/>
      <c r="H694"/>
      <c r="I694"/>
      <c r="J694"/>
      <c r="K694" s="43"/>
      <c r="L694" s="43"/>
      <c r="M694" s="43"/>
      <c r="N694" s="43"/>
      <c r="O694" s="43"/>
      <c r="P694" s="43"/>
      <c r="Q694" s="43"/>
      <c r="R694" s="43"/>
      <c r="S694" s="43"/>
      <c r="T694" s="43"/>
      <c r="U694" s="43"/>
      <c r="V694" s="43"/>
      <c r="W694" s="43"/>
      <c r="X694" s="43"/>
      <c r="Y694" s="43"/>
      <c r="Z694" s="43"/>
      <c r="AA694" s="43"/>
      <c r="AB694" s="43"/>
      <c r="AC694" s="43"/>
      <c r="AD694" s="43"/>
      <c r="AE694" s="43"/>
      <c r="AF694" s="43"/>
      <c r="AG694" s="43"/>
      <c r="AH694" s="43"/>
      <c r="AI694" s="43"/>
      <c r="AJ694" s="43"/>
      <c r="AK694" s="43"/>
      <c r="AL694" s="43"/>
      <c r="AM694" s="43"/>
      <c r="AN694" s="43"/>
      <c r="AO694" s="43"/>
      <c r="AP694" s="43"/>
      <c r="AQ694" s="43"/>
      <c r="AR694" s="43"/>
      <c r="AS694" s="43"/>
      <c r="AT694" s="43"/>
      <c r="AU694" s="43"/>
      <c r="AV694" s="43"/>
      <c r="AW694" s="43"/>
      <c r="AX694" s="43"/>
      <c r="AY694" s="43"/>
      <c r="AZ694" s="43"/>
      <c r="BA694" s="43"/>
      <c r="BB694" s="43"/>
      <c r="BC694" s="43"/>
      <c r="BD694" s="43"/>
      <c r="BE694" s="43"/>
      <c r="BF694" s="43"/>
      <c r="BG694" s="43"/>
      <c r="BH694" s="43"/>
      <c r="BI694" s="43"/>
      <c r="BJ694" s="43"/>
      <c r="BK694" s="43"/>
      <c r="BL694" s="43"/>
      <c r="BM694" s="43"/>
      <c r="BN694" s="43"/>
      <c r="BO694" s="43"/>
      <c r="BP694" s="43"/>
      <c r="BQ694" s="43"/>
      <c r="BR694" s="43"/>
      <c r="BS694" s="43"/>
      <c r="BT694" s="43"/>
      <c r="BU694" s="43"/>
      <c r="BV694" s="43"/>
      <c r="BW694" s="43"/>
      <c r="BX694" s="43"/>
      <c r="BY694" s="43"/>
      <c r="BZ694" s="43"/>
      <c r="CA694" s="43"/>
      <c r="CB694" s="43"/>
      <c r="CC694" s="43"/>
      <c r="CD694" s="43"/>
      <c r="CE694" s="43"/>
      <c r="CF694" s="43"/>
      <c r="CG694" s="43"/>
      <c r="CH694" s="43"/>
      <c r="CI694" s="43"/>
      <c r="CJ694" s="43"/>
      <c r="CK694" s="43"/>
      <c r="CL694" s="43"/>
      <c r="CM694" s="43"/>
      <c r="CN694" s="43"/>
      <c r="CO694" s="43"/>
      <c r="CP694" s="43"/>
      <c r="CQ694" s="43"/>
      <c r="CR694" s="43"/>
      <c r="CS694" s="43"/>
      <c r="CT694" s="43"/>
      <c r="CU694" s="43"/>
      <c r="CV694" s="43"/>
      <c r="CW694" s="43"/>
      <c r="CX694" s="43"/>
      <c r="CY694" s="43"/>
      <c r="CZ694" s="43"/>
      <c r="DA694" s="43"/>
      <c r="DB694" s="43"/>
      <c r="DC694" s="43"/>
      <c r="DD694" s="43"/>
      <c r="DE694" s="43"/>
      <c r="DF694" s="43"/>
      <c r="DG694" s="43"/>
      <c r="DH694" s="43"/>
      <c r="DI694" s="43"/>
      <c r="DJ694" s="43"/>
      <c r="DK694" s="43"/>
      <c r="DL694" s="43"/>
      <c r="DM694" s="43"/>
      <c r="DN694" s="43"/>
      <c r="DO694" s="43"/>
      <c r="DP694" s="43"/>
      <c r="DQ694" s="43"/>
      <c r="DR694" s="43"/>
      <c r="DS694" s="43"/>
    </row>
    <row r="695" spans="1:123" ht="14.45">
      <c r="A695"/>
      <c r="B695"/>
      <c r="C695"/>
      <c r="D695"/>
      <c r="E695"/>
      <c r="F695"/>
      <c r="G695"/>
      <c r="H695"/>
      <c r="I695"/>
      <c r="J695"/>
      <c r="K695" s="43"/>
      <c r="L695" s="43"/>
      <c r="M695" s="43"/>
      <c r="N695" s="43"/>
      <c r="O695" s="43"/>
      <c r="P695" s="43"/>
      <c r="Q695" s="43"/>
      <c r="R695" s="43"/>
      <c r="S695" s="43"/>
      <c r="T695" s="43"/>
      <c r="U695" s="43"/>
      <c r="V695" s="43"/>
      <c r="W695" s="43"/>
      <c r="X695" s="43"/>
      <c r="Y695" s="43"/>
      <c r="Z695" s="43"/>
      <c r="AA695" s="43"/>
      <c r="AB695" s="43"/>
      <c r="AC695" s="43"/>
      <c r="AD695" s="43"/>
      <c r="AE695" s="43"/>
      <c r="AF695" s="43"/>
      <c r="AG695" s="43"/>
      <c r="AH695" s="43"/>
      <c r="AI695" s="43"/>
      <c r="AJ695" s="43"/>
      <c r="AK695" s="43"/>
      <c r="AL695" s="43"/>
      <c r="AM695" s="43"/>
      <c r="AN695" s="43"/>
      <c r="AO695" s="43"/>
      <c r="AP695" s="43"/>
      <c r="AQ695" s="43"/>
      <c r="AR695" s="43"/>
      <c r="AS695" s="43"/>
      <c r="AT695" s="43"/>
      <c r="AU695" s="43"/>
      <c r="AV695" s="43"/>
      <c r="AW695" s="43"/>
      <c r="AX695" s="43"/>
      <c r="AY695" s="43"/>
      <c r="AZ695" s="43"/>
      <c r="BA695" s="43"/>
      <c r="BB695" s="43"/>
      <c r="BC695" s="43"/>
      <c r="BD695" s="43"/>
      <c r="BE695" s="43"/>
      <c r="BF695" s="43"/>
      <c r="BG695" s="43"/>
      <c r="BH695" s="43"/>
      <c r="BI695" s="43"/>
      <c r="BJ695" s="43"/>
      <c r="BK695" s="43"/>
      <c r="BL695" s="43"/>
      <c r="BM695" s="43"/>
      <c r="BN695" s="43"/>
      <c r="BO695" s="43"/>
      <c r="BP695" s="43"/>
      <c r="BQ695" s="43"/>
      <c r="BR695" s="43"/>
      <c r="BS695" s="43"/>
      <c r="BT695" s="43"/>
      <c r="BU695" s="43"/>
      <c r="BV695" s="43"/>
      <c r="BW695" s="43"/>
      <c r="BX695" s="43"/>
      <c r="BY695" s="43"/>
      <c r="BZ695" s="43"/>
      <c r="CA695" s="43"/>
      <c r="CB695" s="43"/>
      <c r="CC695" s="43"/>
      <c r="CD695" s="43"/>
      <c r="CE695" s="43"/>
      <c r="CF695" s="43"/>
      <c r="CG695" s="43"/>
      <c r="CH695" s="43"/>
      <c r="CI695" s="43"/>
      <c r="CJ695" s="43"/>
      <c r="CK695" s="43"/>
      <c r="CL695" s="43"/>
      <c r="CM695" s="43"/>
      <c r="CN695" s="43"/>
      <c r="CO695" s="43"/>
      <c r="CP695" s="43"/>
      <c r="CQ695" s="43"/>
      <c r="CR695" s="43"/>
      <c r="CS695" s="43"/>
      <c r="CT695" s="43"/>
      <c r="CU695" s="43"/>
      <c r="CV695" s="43"/>
      <c r="CW695" s="43"/>
      <c r="CX695" s="43"/>
      <c r="CY695" s="43"/>
      <c r="CZ695" s="43"/>
      <c r="DA695" s="43"/>
      <c r="DB695" s="43"/>
      <c r="DC695" s="43"/>
      <c r="DD695" s="43"/>
      <c r="DE695" s="43"/>
      <c r="DF695" s="43"/>
      <c r="DG695" s="43"/>
      <c r="DH695" s="43"/>
      <c r="DI695" s="43"/>
      <c r="DJ695" s="43"/>
      <c r="DK695" s="43"/>
      <c r="DL695" s="43"/>
      <c r="DM695" s="43"/>
      <c r="DN695" s="43"/>
      <c r="DO695" s="43"/>
      <c r="DP695" s="43"/>
      <c r="DQ695" s="43"/>
      <c r="DR695" s="43"/>
      <c r="DS695" s="43"/>
    </row>
    <row r="696" spans="1:123" ht="14.45">
      <c r="A696"/>
      <c r="B696"/>
      <c r="C696"/>
      <c r="D696"/>
      <c r="E696"/>
      <c r="F696"/>
      <c r="G696"/>
      <c r="H696"/>
      <c r="I696"/>
      <c r="J696"/>
      <c r="K696" s="43"/>
      <c r="L696" s="43"/>
      <c r="M696" s="43"/>
      <c r="N696" s="43"/>
      <c r="O696" s="43"/>
      <c r="P696" s="43"/>
      <c r="Q696" s="43"/>
      <c r="R696" s="43"/>
      <c r="S696" s="43"/>
      <c r="T696" s="43"/>
      <c r="U696" s="43"/>
      <c r="V696" s="43"/>
      <c r="W696" s="43"/>
      <c r="X696" s="43"/>
      <c r="Y696" s="43"/>
      <c r="Z696" s="43"/>
      <c r="AA696" s="43"/>
      <c r="AB696" s="43"/>
      <c r="AC696" s="43"/>
      <c r="AD696" s="43"/>
      <c r="AE696" s="43"/>
      <c r="AF696" s="43"/>
      <c r="AG696" s="43"/>
      <c r="AH696" s="43"/>
      <c r="AI696" s="43"/>
      <c r="AJ696" s="43"/>
      <c r="AK696" s="43"/>
      <c r="AL696" s="43"/>
      <c r="AM696" s="43"/>
      <c r="AN696" s="43"/>
      <c r="AO696" s="43"/>
      <c r="AP696" s="43"/>
      <c r="AQ696" s="43"/>
      <c r="AR696" s="43"/>
      <c r="AS696" s="43"/>
      <c r="AT696" s="43"/>
      <c r="AU696" s="43"/>
      <c r="AV696" s="43"/>
      <c r="AW696" s="43"/>
      <c r="AX696" s="43"/>
      <c r="AY696" s="43"/>
      <c r="AZ696" s="43"/>
      <c r="BA696" s="43"/>
      <c r="BB696" s="43"/>
      <c r="BC696" s="43"/>
      <c r="BD696" s="43"/>
      <c r="BE696" s="43"/>
      <c r="BF696" s="43"/>
      <c r="BG696" s="43"/>
      <c r="BH696" s="43"/>
      <c r="BI696" s="43"/>
      <c r="BJ696" s="43"/>
      <c r="BK696" s="43"/>
      <c r="BL696" s="43"/>
      <c r="BM696" s="43"/>
      <c r="BN696" s="43"/>
      <c r="BO696" s="43"/>
      <c r="BP696" s="43"/>
      <c r="BQ696" s="43"/>
      <c r="BR696" s="43"/>
      <c r="BS696" s="43"/>
      <c r="BT696" s="43"/>
      <c r="BU696" s="43"/>
      <c r="BV696" s="43"/>
      <c r="BW696" s="43"/>
      <c r="BX696" s="43"/>
      <c r="BY696" s="43"/>
      <c r="BZ696" s="43"/>
      <c r="CA696" s="43"/>
      <c r="CB696" s="43"/>
      <c r="CC696" s="43"/>
      <c r="CD696" s="43"/>
      <c r="CE696" s="43"/>
      <c r="CF696" s="43"/>
      <c r="CG696" s="43"/>
      <c r="CH696" s="43"/>
      <c r="CI696" s="43"/>
      <c r="CJ696" s="43"/>
      <c r="CK696" s="43"/>
      <c r="CL696" s="43"/>
      <c r="CM696" s="43"/>
      <c r="CN696" s="43"/>
      <c r="CO696" s="43"/>
      <c r="CP696" s="43"/>
      <c r="CQ696" s="43"/>
      <c r="CR696" s="43"/>
      <c r="CS696" s="43"/>
      <c r="CT696" s="43"/>
      <c r="CU696" s="43"/>
      <c r="CV696" s="43"/>
      <c r="CW696" s="43"/>
      <c r="CX696" s="43"/>
      <c r="CY696" s="43"/>
      <c r="CZ696" s="43"/>
      <c r="DA696" s="43"/>
      <c r="DB696" s="43"/>
      <c r="DC696" s="43"/>
      <c r="DD696" s="43"/>
      <c r="DE696" s="43"/>
      <c r="DF696" s="43"/>
      <c r="DG696" s="43"/>
      <c r="DH696" s="43"/>
      <c r="DI696" s="43"/>
      <c r="DJ696" s="43"/>
      <c r="DK696" s="43"/>
      <c r="DL696" s="43"/>
      <c r="DM696" s="43"/>
      <c r="DN696" s="43"/>
      <c r="DO696" s="43"/>
      <c r="DP696" s="43"/>
      <c r="DQ696" s="43"/>
      <c r="DR696" s="43"/>
      <c r="DS696" s="43"/>
    </row>
    <row r="697" spans="1:123" ht="14.45">
      <c r="A697"/>
      <c r="B697"/>
      <c r="C697"/>
      <c r="D697"/>
      <c r="E697"/>
      <c r="F697"/>
      <c r="G697"/>
      <c r="H697"/>
      <c r="I697"/>
      <c r="J697"/>
      <c r="K697" s="43"/>
      <c r="L697" s="43"/>
      <c r="M697" s="43"/>
      <c r="N697" s="43"/>
      <c r="O697" s="43"/>
      <c r="P697" s="43"/>
      <c r="Q697" s="43"/>
      <c r="R697" s="43"/>
      <c r="S697" s="43"/>
      <c r="T697" s="43"/>
      <c r="U697" s="43"/>
      <c r="V697" s="43"/>
      <c r="W697" s="43"/>
      <c r="X697" s="43"/>
      <c r="Y697" s="43"/>
      <c r="Z697" s="43"/>
      <c r="AA697" s="43"/>
      <c r="AB697" s="43"/>
      <c r="AC697" s="43"/>
      <c r="AD697" s="43"/>
      <c r="AE697" s="43"/>
      <c r="AF697" s="43"/>
      <c r="AG697" s="43"/>
      <c r="AH697" s="43"/>
      <c r="AI697" s="43"/>
      <c r="AJ697" s="43"/>
      <c r="AK697" s="43"/>
      <c r="AL697" s="43"/>
      <c r="AM697" s="43"/>
      <c r="AN697" s="43"/>
      <c r="AO697" s="43"/>
      <c r="AP697" s="43"/>
      <c r="AQ697" s="43"/>
      <c r="AR697" s="43"/>
      <c r="AS697" s="43"/>
      <c r="AT697" s="43"/>
      <c r="AU697" s="43"/>
      <c r="AV697" s="43"/>
      <c r="AW697" s="43"/>
      <c r="AX697" s="43"/>
      <c r="AY697" s="43"/>
      <c r="AZ697" s="43"/>
      <c r="BA697" s="43"/>
      <c r="BB697" s="43"/>
      <c r="BC697" s="43"/>
      <c r="BD697" s="43"/>
      <c r="BE697" s="43"/>
      <c r="BF697" s="43"/>
      <c r="BG697" s="43"/>
      <c r="BH697" s="43"/>
      <c r="BI697" s="43"/>
      <c r="BJ697" s="43"/>
      <c r="BK697" s="43"/>
      <c r="BL697" s="43"/>
      <c r="BM697" s="43"/>
      <c r="BN697" s="43"/>
      <c r="BO697" s="43"/>
      <c r="BP697" s="43"/>
      <c r="BQ697" s="43"/>
      <c r="BR697" s="43"/>
      <c r="BS697" s="43"/>
      <c r="BT697" s="43"/>
      <c r="BU697" s="43"/>
      <c r="BV697" s="43"/>
      <c r="BW697" s="43"/>
      <c r="BX697" s="43"/>
      <c r="BY697" s="43"/>
      <c r="BZ697" s="43"/>
      <c r="CA697" s="43"/>
      <c r="CB697" s="43"/>
      <c r="CC697" s="43"/>
      <c r="CD697" s="43"/>
      <c r="CE697" s="43"/>
      <c r="CF697" s="43"/>
      <c r="CG697" s="43"/>
      <c r="CH697" s="43"/>
      <c r="CI697" s="43"/>
      <c r="CJ697" s="43"/>
      <c r="CK697" s="43"/>
      <c r="CL697" s="43"/>
      <c r="CM697" s="43"/>
      <c r="CN697" s="43"/>
      <c r="CO697" s="43"/>
      <c r="CP697" s="43"/>
      <c r="CQ697" s="43"/>
      <c r="CR697" s="43"/>
      <c r="CS697" s="43"/>
      <c r="CT697" s="43"/>
      <c r="CU697" s="43"/>
      <c r="CV697" s="43"/>
      <c r="CW697" s="43"/>
      <c r="CX697" s="43"/>
      <c r="CY697" s="43"/>
      <c r="CZ697" s="43"/>
      <c r="DA697" s="43"/>
      <c r="DB697" s="43"/>
      <c r="DC697" s="43"/>
      <c r="DD697" s="43"/>
      <c r="DE697" s="43"/>
      <c r="DF697" s="43"/>
      <c r="DG697" s="43"/>
      <c r="DH697" s="43"/>
      <c r="DI697" s="43"/>
      <c r="DJ697" s="43"/>
      <c r="DK697" s="43"/>
      <c r="DL697" s="43"/>
      <c r="DM697" s="43"/>
      <c r="DN697" s="43"/>
      <c r="DO697" s="43"/>
      <c r="DP697" s="43"/>
      <c r="DQ697" s="43"/>
      <c r="DR697" s="43"/>
      <c r="DS697" s="43"/>
    </row>
    <row r="698" spans="1:123" ht="14.45">
      <c r="A698"/>
      <c r="B698"/>
      <c r="C698"/>
      <c r="D698"/>
      <c r="E698"/>
      <c r="F698"/>
      <c r="G698"/>
      <c r="H698"/>
      <c r="I698"/>
      <c r="J698"/>
      <c r="K698" s="43"/>
      <c r="L698" s="43"/>
      <c r="M698" s="43"/>
      <c r="N698" s="43"/>
      <c r="O698" s="43"/>
      <c r="P698" s="43"/>
      <c r="Q698" s="43"/>
      <c r="R698" s="43"/>
      <c r="S698" s="43"/>
      <c r="T698" s="43"/>
      <c r="U698" s="43"/>
      <c r="V698" s="43"/>
      <c r="W698" s="43"/>
      <c r="X698" s="43"/>
      <c r="Y698" s="43"/>
      <c r="Z698" s="43"/>
      <c r="AA698" s="43"/>
      <c r="AB698" s="43"/>
      <c r="AC698" s="43"/>
      <c r="AD698" s="43"/>
      <c r="AE698" s="43"/>
      <c r="AF698" s="43"/>
      <c r="AG698" s="43"/>
      <c r="AH698" s="43"/>
      <c r="AI698" s="43"/>
      <c r="AJ698" s="43"/>
      <c r="AK698" s="43"/>
      <c r="AL698" s="43"/>
      <c r="AM698" s="43"/>
      <c r="AN698" s="43"/>
      <c r="AO698" s="43"/>
      <c r="AP698" s="43"/>
      <c r="AQ698" s="43"/>
      <c r="AR698" s="43"/>
      <c r="AS698" s="43"/>
      <c r="AT698" s="43"/>
      <c r="AU698" s="43"/>
      <c r="AV698" s="43"/>
      <c r="AW698" s="43"/>
      <c r="AX698" s="43"/>
      <c r="AY698" s="43"/>
      <c r="AZ698" s="43"/>
      <c r="BA698" s="43"/>
      <c r="BB698" s="43"/>
      <c r="BC698" s="43"/>
      <c r="BD698" s="43"/>
      <c r="BE698" s="43"/>
      <c r="BF698" s="43"/>
      <c r="BG698" s="43"/>
      <c r="BH698" s="43"/>
      <c r="BI698" s="43"/>
      <c r="BJ698" s="43"/>
      <c r="BK698" s="43"/>
      <c r="BL698" s="43"/>
      <c r="BM698" s="43"/>
      <c r="BN698" s="43"/>
      <c r="BO698" s="43"/>
      <c r="BP698" s="43"/>
      <c r="BQ698" s="43"/>
      <c r="BR698" s="43"/>
      <c r="BS698" s="43"/>
      <c r="BT698" s="43"/>
      <c r="BU698" s="43"/>
      <c r="BV698" s="43"/>
      <c r="BW698" s="43"/>
      <c r="BX698" s="43"/>
      <c r="BY698" s="43"/>
      <c r="BZ698" s="43"/>
      <c r="CA698" s="43"/>
      <c r="CB698" s="43"/>
      <c r="CC698" s="43"/>
      <c r="CD698" s="43"/>
      <c r="CE698" s="43"/>
      <c r="CF698" s="43"/>
      <c r="CG698" s="43"/>
      <c r="CH698" s="43"/>
      <c r="CI698" s="43"/>
      <c r="CJ698" s="43"/>
      <c r="CK698" s="43"/>
      <c r="CL698" s="43"/>
      <c r="CM698" s="43"/>
      <c r="CN698" s="43"/>
      <c r="CO698" s="43"/>
      <c r="CP698" s="43"/>
      <c r="CQ698" s="43"/>
      <c r="CR698" s="43"/>
      <c r="CS698" s="43"/>
      <c r="CT698" s="43"/>
      <c r="CU698" s="43"/>
      <c r="CV698" s="43"/>
      <c r="CW698" s="43"/>
      <c r="CX698" s="43"/>
      <c r="CY698" s="43"/>
      <c r="CZ698" s="43"/>
      <c r="DA698" s="43"/>
      <c r="DB698" s="43"/>
      <c r="DC698" s="43"/>
      <c r="DD698" s="43"/>
      <c r="DE698" s="43"/>
      <c r="DF698" s="43"/>
      <c r="DG698" s="43"/>
      <c r="DH698" s="43"/>
      <c r="DI698" s="43"/>
      <c r="DJ698" s="43"/>
      <c r="DK698" s="43"/>
      <c r="DL698" s="43"/>
      <c r="DM698" s="43"/>
      <c r="DN698" s="43"/>
      <c r="DO698" s="43"/>
      <c r="DP698" s="43"/>
      <c r="DQ698" s="43"/>
      <c r="DR698" s="43"/>
      <c r="DS698" s="43"/>
    </row>
    <row r="699" spans="1:123" ht="14.45">
      <c r="A699"/>
      <c r="B699"/>
      <c r="C699"/>
      <c r="D699"/>
      <c r="E699"/>
      <c r="F699"/>
      <c r="G699"/>
      <c r="H699"/>
      <c r="I699"/>
      <c r="J699"/>
      <c r="K699" s="43"/>
      <c r="L699" s="43"/>
      <c r="M699" s="43"/>
      <c r="N699" s="43"/>
      <c r="O699" s="43"/>
      <c r="P699" s="43"/>
      <c r="Q699" s="43"/>
      <c r="R699" s="43"/>
      <c r="S699" s="43"/>
      <c r="T699" s="43"/>
      <c r="U699" s="43"/>
      <c r="V699" s="43"/>
      <c r="W699" s="43"/>
      <c r="X699" s="43"/>
      <c r="Y699" s="43"/>
      <c r="Z699" s="43"/>
      <c r="AA699" s="43"/>
      <c r="AB699" s="43"/>
      <c r="AC699" s="43"/>
      <c r="AD699" s="43"/>
      <c r="AE699" s="43"/>
      <c r="AF699" s="43"/>
      <c r="AG699" s="43"/>
      <c r="AH699" s="43"/>
      <c r="AI699" s="43"/>
      <c r="AJ699" s="43"/>
      <c r="AK699" s="43"/>
      <c r="AL699" s="43"/>
      <c r="AM699" s="43"/>
      <c r="AN699" s="43"/>
      <c r="AO699" s="43"/>
      <c r="AP699" s="43"/>
      <c r="AQ699" s="43"/>
      <c r="AR699" s="43"/>
      <c r="AS699" s="43"/>
      <c r="AT699" s="43"/>
      <c r="AU699" s="43"/>
      <c r="AV699" s="43"/>
      <c r="AW699" s="43"/>
      <c r="AX699" s="43"/>
      <c r="AY699" s="43"/>
      <c r="AZ699" s="43"/>
      <c r="BA699" s="43"/>
      <c r="BB699" s="43"/>
      <c r="BC699" s="43"/>
      <c r="BD699" s="43"/>
      <c r="BE699" s="43"/>
      <c r="BF699" s="43"/>
      <c r="BG699" s="43"/>
      <c r="BH699" s="43"/>
      <c r="BI699" s="43"/>
      <c r="BJ699" s="43"/>
      <c r="BK699" s="43"/>
      <c r="BL699" s="43"/>
      <c r="BM699" s="43"/>
      <c r="BN699" s="43"/>
      <c r="BO699" s="43"/>
      <c r="BP699" s="43"/>
      <c r="BQ699" s="43"/>
      <c r="BR699" s="43"/>
      <c r="BS699" s="43"/>
      <c r="BT699" s="43"/>
      <c r="BU699" s="43"/>
      <c r="BV699" s="43"/>
      <c r="BW699" s="43"/>
      <c r="BX699" s="43"/>
      <c r="BY699" s="43"/>
      <c r="BZ699" s="43"/>
      <c r="CA699" s="43"/>
      <c r="CB699" s="43"/>
      <c r="CC699" s="43"/>
      <c r="CD699" s="43"/>
      <c r="CE699" s="43"/>
      <c r="CF699" s="43"/>
      <c r="CG699" s="43"/>
      <c r="CH699" s="43"/>
      <c r="CI699" s="43"/>
      <c r="CJ699" s="43"/>
      <c r="CK699" s="43"/>
      <c r="CL699" s="43"/>
      <c r="CM699" s="43"/>
      <c r="CN699" s="43"/>
      <c r="CO699" s="43"/>
      <c r="CP699" s="43"/>
      <c r="CQ699" s="43"/>
      <c r="CR699" s="43"/>
      <c r="CS699" s="43"/>
      <c r="CT699" s="43"/>
      <c r="CU699" s="43"/>
      <c r="CV699" s="43"/>
      <c r="CW699" s="43"/>
      <c r="CX699" s="43"/>
      <c r="CY699" s="43"/>
      <c r="CZ699" s="43"/>
      <c r="DA699" s="43"/>
      <c r="DB699" s="43"/>
      <c r="DC699" s="43"/>
      <c r="DD699" s="43"/>
      <c r="DE699" s="43"/>
      <c r="DF699" s="43"/>
      <c r="DG699" s="43"/>
      <c r="DH699" s="43"/>
      <c r="DI699" s="43"/>
      <c r="DJ699" s="43"/>
      <c r="DK699" s="43"/>
      <c r="DL699" s="43"/>
      <c r="DM699" s="43"/>
      <c r="DN699" s="43"/>
      <c r="DO699" s="43"/>
      <c r="DP699" s="43"/>
      <c r="DQ699" s="43"/>
      <c r="DR699" s="43"/>
      <c r="DS699" s="43"/>
    </row>
    <row r="700" spans="1:123" ht="14.45">
      <c r="A700"/>
      <c r="B700"/>
      <c r="C700"/>
      <c r="D700"/>
      <c r="E700"/>
      <c r="F700"/>
      <c r="G700"/>
      <c r="H700"/>
      <c r="I700"/>
      <c r="J700"/>
      <c r="K700" s="43"/>
      <c r="L700" s="43"/>
      <c r="M700" s="43"/>
      <c r="N700" s="43"/>
      <c r="O700" s="43"/>
      <c r="P700" s="43"/>
      <c r="Q700" s="43"/>
      <c r="R700" s="43"/>
      <c r="S700" s="43"/>
      <c r="T700" s="43"/>
      <c r="U700" s="43"/>
      <c r="V700" s="43"/>
      <c r="W700" s="43"/>
      <c r="X700" s="43"/>
      <c r="Y700" s="43"/>
      <c r="Z700" s="43"/>
      <c r="AA700" s="43"/>
      <c r="AB700" s="43"/>
      <c r="AC700" s="43"/>
      <c r="AD700" s="43"/>
      <c r="AE700" s="43"/>
      <c r="AF700" s="43"/>
      <c r="AG700" s="43"/>
      <c r="AH700" s="43"/>
      <c r="AI700" s="43"/>
      <c r="AJ700" s="43"/>
      <c r="AK700" s="43"/>
      <c r="AL700" s="43"/>
      <c r="AM700" s="43"/>
      <c r="AN700" s="43"/>
      <c r="AO700" s="43"/>
      <c r="AP700" s="43"/>
      <c r="AQ700" s="43"/>
      <c r="AR700" s="43"/>
      <c r="AS700" s="43"/>
      <c r="AT700" s="43"/>
      <c r="AU700" s="43"/>
      <c r="AV700" s="43"/>
      <c r="AW700" s="43"/>
      <c r="AX700" s="43"/>
      <c r="AY700" s="43"/>
      <c r="AZ700" s="43"/>
      <c r="BA700" s="43"/>
      <c r="BB700" s="43"/>
      <c r="BC700" s="43"/>
      <c r="BD700" s="43"/>
      <c r="BE700" s="43"/>
      <c r="BF700" s="43"/>
      <c r="BG700" s="43"/>
      <c r="BH700" s="43"/>
      <c r="BI700" s="43"/>
      <c r="BJ700" s="43"/>
      <c r="BK700" s="43"/>
      <c r="BL700" s="43"/>
      <c r="BM700" s="43"/>
      <c r="BN700" s="43"/>
      <c r="BO700" s="43"/>
      <c r="BP700" s="43"/>
      <c r="BQ700" s="43"/>
      <c r="BR700" s="43"/>
      <c r="BS700" s="43"/>
      <c r="BT700" s="43"/>
      <c r="BU700" s="43"/>
      <c r="BV700" s="43"/>
      <c r="BW700" s="43"/>
      <c r="BX700" s="43"/>
      <c r="BY700" s="43"/>
      <c r="BZ700" s="43"/>
      <c r="CA700" s="43"/>
      <c r="CB700" s="43"/>
      <c r="CC700" s="43"/>
      <c r="CD700" s="43"/>
      <c r="CE700" s="43"/>
      <c r="CF700" s="43"/>
      <c r="CG700" s="43"/>
      <c r="CH700" s="43"/>
      <c r="CI700" s="43"/>
      <c r="CJ700" s="43"/>
      <c r="CK700" s="43"/>
      <c r="CL700" s="43"/>
      <c r="CM700" s="43"/>
      <c r="CN700" s="43"/>
      <c r="CO700" s="43"/>
      <c r="CP700" s="43"/>
      <c r="CQ700" s="43"/>
      <c r="CR700" s="43"/>
      <c r="CS700" s="43"/>
      <c r="CT700" s="43"/>
      <c r="CU700" s="43"/>
      <c r="CV700" s="43"/>
      <c r="CW700" s="43"/>
      <c r="CX700" s="43"/>
      <c r="CY700" s="43"/>
      <c r="CZ700" s="43"/>
      <c r="DA700" s="43"/>
      <c r="DB700" s="43"/>
      <c r="DC700" s="43"/>
      <c r="DD700" s="43"/>
      <c r="DE700" s="43"/>
      <c r="DF700" s="43"/>
      <c r="DG700" s="43"/>
      <c r="DH700" s="43"/>
      <c r="DI700" s="43"/>
      <c r="DJ700" s="43"/>
      <c r="DK700" s="43"/>
      <c r="DL700" s="43"/>
      <c r="DM700" s="43"/>
      <c r="DN700" s="43"/>
      <c r="DO700" s="43"/>
      <c r="DP700" s="43"/>
      <c r="DQ700" s="43"/>
      <c r="DR700" s="43"/>
      <c r="DS700" s="43"/>
    </row>
    <row r="701" spans="1:123" ht="14.45">
      <c r="A701"/>
      <c r="B701"/>
      <c r="C701"/>
      <c r="D701"/>
      <c r="E701"/>
      <c r="F701"/>
      <c r="G701"/>
      <c r="H701"/>
      <c r="I701"/>
      <c r="J701"/>
      <c r="K701" s="43"/>
      <c r="L701" s="43"/>
      <c r="M701" s="43"/>
      <c r="N701" s="43"/>
      <c r="O701" s="43"/>
      <c r="P701" s="43"/>
      <c r="Q701" s="43"/>
      <c r="R701" s="43"/>
      <c r="S701" s="43"/>
      <c r="T701" s="43"/>
      <c r="U701" s="43"/>
      <c r="V701" s="43"/>
      <c r="W701" s="43"/>
      <c r="X701" s="43"/>
      <c r="Y701" s="43"/>
      <c r="Z701" s="43"/>
      <c r="AA701" s="43"/>
      <c r="AB701" s="43"/>
      <c r="AC701" s="43"/>
      <c r="AD701" s="43"/>
      <c r="AE701" s="43"/>
      <c r="AF701" s="43"/>
      <c r="AG701" s="43"/>
      <c r="AH701" s="43"/>
      <c r="AI701" s="43"/>
      <c r="AJ701" s="43"/>
      <c r="AK701" s="43"/>
      <c r="AL701" s="43"/>
      <c r="AM701" s="43"/>
      <c r="AN701" s="43"/>
      <c r="AO701" s="43"/>
      <c r="AP701" s="43"/>
      <c r="AQ701" s="43"/>
      <c r="AR701" s="43"/>
      <c r="AS701" s="43"/>
      <c r="AT701" s="43"/>
      <c r="AU701" s="43"/>
      <c r="AV701" s="43"/>
      <c r="AW701" s="43"/>
      <c r="AX701" s="43"/>
      <c r="AY701" s="43"/>
      <c r="AZ701" s="43"/>
      <c r="BA701" s="43"/>
      <c r="BB701" s="43"/>
      <c r="BC701" s="43"/>
      <c r="BD701" s="43"/>
      <c r="BE701" s="43"/>
      <c r="BF701" s="43"/>
      <c r="BG701" s="43"/>
      <c r="BH701" s="43"/>
      <c r="BI701" s="43"/>
      <c r="BJ701" s="43"/>
      <c r="BK701" s="43"/>
      <c r="BL701" s="43"/>
      <c r="BM701" s="43"/>
      <c r="BN701" s="43"/>
      <c r="BO701" s="43"/>
      <c r="BP701" s="43"/>
      <c r="BQ701" s="43"/>
      <c r="BR701" s="43"/>
      <c r="BS701" s="43"/>
      <c r="BT701" s="43"/>
      <c r="BU701" s="43"/>
      <c r="BV701" s="43"/>
      <c r="BW701" s="43"/>
      <c r="BX701" s="43"/>
      <c r="BY701" s="43"/>
      <c r="BZ701" s="43"/>
      <c r="CA701" s="43"/>
      <c r="CB701" s="43"/>
      <c r="CC701" s="43"/>
      <c r="CD701" s="43"/>
      <c r="CE701" s="43"/>
      <c r="CF701" s="43"/>
      <c r="CG701" s="43"/>
      <c r="CH701" s="43"/>
      <c r="CI701" s="43"/>
      <c r="CJ701" s="43"/>
      <c r="CK701" s="43"/>
      <c r="CL701" s="43"/>
      <c r="CM701" s="43"/>
      <c r="CN701" s="43"/>
      <c r="CO701" s="43"/>
      <c r="CP701" s="43"/>
      <c r="CQ701" s="43"/>
      <c r="CR701" s="43"/>
      <c r="CS701" s="43"/>
      <c r="CT701" s="43"/>
      <c r="CU701" s="43"/>
      <c r="CV701" s="43"/>
      <c r="CW701" s="43"/>
      <c r="CX701" s="43"/>
      <c r="CY701" s="43"/>
      <c r="CZ701" s="43"/>
      <c r="DA701" s="43"/>
      <c r="DB701" s="43"/>
      <c r="DC701" s="43"/>
      <c r="DD701" s="43"/>
      <c r="DE701" s="43"/>
      <c r="DF701" s="43"/>
      <c r="DG701" s="43"/>
      <c r="DH701" s="43"/>
      <c r="DI701" s="43"/>
      <c r="DJ701" s="43"/>
      <c r="DK701" s="43"/>
      <c r="DL701" s="43"/>
      <c r="DM701" s="43"/>
      <c r="DN701" s="43"/>
      <c r="DO701" s="43"/>
      <c r="DP701" s="43"/>
      <c r="DQ701" s="43"/>
      <c r="DR701" s="43"/>
      <c r="DS701" s="43"/>
    </row>
    <row r="702" spans="1:123" ht="14.45">
      <c r="A702"/>
      <c r="B702"/>
      <c r="C702"/>
      <c r="D702"/>
      <c r="E702"/>
      <c r="F702"/>
      <c r="G702"/>
      <c r="H702"/>
      <c r="I702"/>
      <c r="J702"/>
      <c r="K702" s="43"/>
      <c r="L702" s="43"/>
      <c r="M702" s="43"/>
      <c r="N702" s="43"/>
      <c r="O702" s="43"/>
      <c r="P702" s="43"/>
      <c r="Q702" s="43"/>
      <c r="R702" s="43"/>
      <c r="S702" s="43"/>
      <c r="T702" s="43"/>
      <c r="U702" s="43"/>
      <c r="V702" s="43"/>
      <c r="W702" s="43"/>
      <c r="X702" s="43"/>
      <c r="Y702" s="43"/>
      <c r="Z702" s="43"/>
      <c r="AA702" s="43"/>
      <c r="AB702" s="43"/>
      <c r="AC702" s="43"/>
      <c r="AD702" s="43"/>
      <c r="AE702" s="43"/>
      <c r="AF702" s="43"/>
      <c r="AG702" s="43"/>
      <c r="AH702" s="43"/>
      <c r="AI702" s="43"/>
      <c r="AJ702" s="43"/>
      <c r="AK702" s="43"/>
      <c r="AL702" s="43"/>
      <c r="AM702" s="43"/>
      <c r="AN702" s="43"/>
      <c r="AO702" s="43"/>
      <c r="AP702" s="43"/>
      <c r="AQ702" s="43"/>
      <c r="AR702" s="43"/>
      <c r="AS702" s="43"/>
      <c r="AT702" s="43"/>
      <c r="AU702" s="43"/>
      <c r="AV702" s="43"/>
      <c r="AW702" s="43"/>
      <c r="AX702" s="43"/>
      <c r="AY702" s="43"/>
      <c r="AZ702" s="43"/>
      <c r="BA702" s="43"/>
      <c r="BB702" s="43"/>
      <c r="BC702" s="43"/>
      <c r="BD702" s="43"/>
      <c r="BE702" s="43"/>
      <c r="BF702" s="43"/>
      <c r="BG702" s="43"/>
      <c r="BH702" s="43"/>
      <c r="BI702" s="43"/>
      <c r="BJ702" s="43"/>
      <c r="BK702" s="43"/>
      <c r="BL702" s="43"/>
      <c r="BM702" s="43"/>
      <c r="BN702" s="43"/>
      <c r="BO702" s="43"/>
      <c r="BP702" s="43"/>
      <c r="BQ702" s="43"/>
      <c r="BR702" s="43"/>
      <c r="BS702" s="43"/>
      <c r="BT702" s="43"/>
      <c r="BU702" s="43"/>
      <c r="BV702" s="43"/>
      <c r="BW702" s="43"/>
      <c r="BX702" s="43"/>
      <c r="BY702" s="43"/>
      <c r="BZ702" s="43"/>
      <c r="CA702" s="43"/>
      <c r="CB702" s="43"/>
      <c r="CC702" s="43"/>
      <c r="CD702" s="43"/>
      <c r="CE702" s="43"/>
      <c r="CF702" s="43"/>
      <c r="CG702" s="43"/>
      <c r="CH702" s="43"/>
      <c r="CI702" s="43"/>
      <c r="CJ702" s="43"/>
      <c r="CK702" s="43"/>
      <c r="CL702" s="43"/>
      <c r="CM702" s="43"/>
      <c r="CN702" s="43"/>
      <c r="CO702" s="43"/>
      <c r="CP702" s="43"/>
      <c r="CQ702" s="43"/>
      <c r="CR702" s="43"/>
      <c r="CS702" s="43"/>
      <c r="CT702" s="43"/>
      <c r="CU702" s="43"/>
      <c r="CV702" s="43"/>
      <c r="CW702" s="43"/>
      <c r="CX702" s="43"/>
      <c r="CY702" s="43"/>
      <c r="CZ702" s="43"/>
      <c r="DA702" s="43"/>
      <c r="DB702" s="43"/>
      <c r="DC702" s="43"/>
      <c r="DD702" s="43"/>
      <c r="DE702" s="43"/>
      <c r="DF702" s="43"/>
      <c r="DG702" s="43"/>
      <c r="DH702" s="43"/>
      <c r="DI702" s="43"/>
      <c r="DJ702" s="43"/>
      <c r="DK702" s="43"/>
      <c r="DL702" s="43"/>
      <c r="DM702" s="43"/>
      <c r="DN702" s="43"/>
      <c r="DO702" s="43"/>
      <c r="DP702" s="43"/>
      <c r="DQ702" s="43"/>
      <c r="DR702" s="43"/>
      <c r="DS702" s="43"/>
    </row>
    <row r="703" spans="1:123" ht="14.45">
      <c r="A703"/>
      <c r="B703"/>
      <c r="C703"/>
      <c r="D703"/>
      <c r="E703"/>
      <c r="F703"/>
      <c r="G703"/>
      <c r="H703"/>
      <c r="I703"/>
      <c r="J703"/>
      <c r="K703" s="43"/>
      <c r="L703" s="43"/>
      <c r="M703" s="43"/>
      <c r="N703" s="43"/>
      <c r="O703" s="43"/>
      <c r="P703" s="43"/>
      <c r="Q703" s="43"/>
      <c r="R703" s="43"/>
      <c r="S703" s="43"/>
      <c r="T703" s="43"/>
      <c r="U703" s="43"/>
      <c r="V703" s="43"/>
      <c r="W703" s="43"/>
      <c r="X703" s="43"/>
      <c r="Y703" s="43"/>
      <c r="Z703" s="43"/>
      <c r="AA703" s="43"/>
      <c r="AB703" s="43"/>
      <c r="AC703" s="43"/>
      <c r="AD703" s="43"/>
      <c r="AE703" s="43"/>
      <c r="AF703" s="43"/>
      <c r="AG703" s="43"/>
      <c r="AH703" s="43"/>
      <c r="AI703" s="43"/>
      <c r="AJ703" s="43"/>
      <c r="AK703" s="43"/>
      <c r="AL703" s="43"/>
      <c r="AM703" s="43"/>
      <c r="AN703" s="43"/>
      <c r="AO703" s="43"/>
      <c r="AP703" s="43"/>
      <c r="AQ703" s="43"/>
      <c r="AR703" s="43"/>
      <c r="AS703" s="43"/>
      <c r="AT703" s="43"/>
      <c r="AU703" s="43"/>
      <c r="AV703" s="43"/>
      <c r="AW703" s="43"/>
      <c r="AX703" s="43"/>
      <c r="AY703" s="43"/>
      <c r="AZ703" s="43"/>
      <c r="BA703" s="43"/>
      <c r="BB703" s="43"/>
      <c r="BC703" s="43"/>
      <c r="BD703" s="43"/>
      <c r="BE703" s="43"/>
      <c r="BF703" s="43"/>
      <c r="BG703" s="43"/>
      <c r="BH703" s="43"/>
      <c r="BI703" s="43"/>
      <c r="BJ703" s="43"/>
      <c r="BK703" s="43"/>
      <c r="BL703" s="43"/>
      <c r="BM703" s="43"/>
      <c r="BN703" s="43"/>
      <c r="BO703" s="43"/>
      <c r="BP703" s="43"/>
      <c r="BQ703" s="43"/>
      <c r="BR703" s="43"/>
      <c r="BS703" s="43"/>
      <c r="BT703" s="43"/>
      <c r="BU703" s="43"/>
      <c r="BV703" s="43"/>
      <c r="BW703" s="43"/>
      <c r="BX703" s="43"/>
      <c r="BY703" s="43"/>
      <c r="BZ703" s="43"/>
      <c r="CA703" s="43"/>
      <c r="CB703" s="43"/>
      <c r="CC703" s="43"/>
      <c r="CD703" s="43"/>
      <c r="CE703" s="43"/>
      <c r="CF703" s="43"/>
      <c r="CG703" s="43"/>
      <c r="CH703" s="43"/>
      <c r="CI703" s="43"/>
      <c r="CJ703" s="43"/>
      <c r="CK703" s="43"/>
      <c r="CL703" s="43"/>
      <c r="CM703" s="43"/>
      <c r="CN703" s="43"/>
      <c r="CO703" s="43"/>
      <c r="CP703" s="43"/>
      <c r="CQ703" s="43"/>
      <c r="CR703" s="43"/>
      <c r="CS703" s="43"/>
      <c r="CT703" s="43"/>
      <c r="CU703" s="43"/>
      <c r="CV703" s="43"/>
      <c r="CW703" s="43"/>
      <c r="CX703" s="43"/>
      <c r="CY703" s="43"/>
      <c r="CZ703" s="43"/>
      <c r="DA703" s="43"/>
      <c r="DB703" s="43"/>
      <c r="DC703" s="43"/>
      <c r="DD703" s="43"/>
      <c r="DE703" s="43"/>
      <c r="DF703" s="43"/>
      <c r="DG703" s="43"/>
      <c r="DH703" s="43"/>
      <c r="DI703" s="43"/>
      <c r="DJ703" s="43"/>
      <c r="DK703" s="43"/>
      <c r="DL703" s="43"/>
      <c r="DM703" s="43"/>
      <c r="DN703" s="43"/>
      <c r="DO703" s="43"/>
      <c r="DP703" s="43"/>
      <c r="DQ703" s="43"/>
      <c r="DR703" s="43"/>
      <c r="DS703" s="43"/>
    </row>
    <row r="704" spans="1:123" ht="14.45">
      <c r="A704"/>
      <c r="B704"/>
      <c r="C704"/>
      <c r="D704"/>
      <c r="E704"/>
      <c r="F704"/>
      <c r="G704"/>
      <c r="H704"/>
      <c r="I704"/>
      <c r="J704"/>
      <c r="K704" s="43"/>
      <c r="L704" s="43"/>
      <c r="M704" s="43"/>
      <c r="N704" s="43"/>
      <c r="O704" s="43"/>
      <c r="P704" s="43"/>
      <c r="Q704" s="43"/>
      <c r="R704" s="43"/>
      <c r="S704" s="43"/>
      <c r="T704" s="43"/>
      <c r="U704" s="43"/>
      <c r="V704" s="43"/>
      <c r="W704" s="43"/>
      <c r="X704" s="43"/>
      <c r="Y704" s="43"/>
      <c r="Z704" s="43"/>
      <c r="AA704" s="43"/>
      <c r="AB704" s="43"/>
      <c r="AC704" s="43"/>
      <c r="AD704" s="43"/>
      <c r="AE704" s="43"/>
      <c r="AF704" s="43"/>
      <c r="AG704" s="43"/>
      <c r="AH704" s="43"/>
      <c r="AI704" s="43"/>
      <c r="AJ704" s="43"/>
      <c r="AK704" s="43"/>
      <c r="AL704" s="43"/>
      <c r="AM704" s="43"/>
      <c r="AN704" s="43"/>
      <c r="AO704" s="43"/>
      <c r="AP704" s="43"/>
      <c r="AQ704" s="43"/>
      <c r="AR704" s="43"/>
      <c r="AS704" s="43"/>
      <c r="AT704" s="43"/>
      <c r="AU704" s="43"/>
      <c r="AV704" s="43"/>
      <c r="AW704" s="43"/>
      <c r="AX704" s="43"/>
      <c r="AY704" s="43"/>
      <c r="AZ704" s="43"/>
      <c r="BA704" s="43"/>
      <c r="BB704" s="43"/>
      <c r="BC704" s="43"/>
      <c r="BD704" s="43"/>
      <c r="BE704" s="43"/>
      <c r="BF704" s="43"/>
      <c r="BG704" s="43"/>
      <c r="BH704" s="43"/>
      <c r="BI704" s="43"/>
      <c r="BJ704" s="43"/>
      <c r="BK704" s="43"/>
      <c r="BL704" s="43"/>
      <c r="BM704" s="43"/>
      <c r="BN704" s="43"/>
      <c r="BO704" s="43"/>
      <c r="BP704" s="43"/>
      <c r="BQ704" s="43"/>
      <c r="BR704" s="43"/>
      <c r="BS704" s="43"/>
      <c r="BT704" s="43"/>
      <c r="BU704" s="43"/>
      <c r="BV704" s="43"/>
      <c r="BW704" s="43"/>
      <c r="BX704" s="43"/>
      <c r="BY704" s="43"/>
      <c r="BZ704" s="43"/>
      <c r="CA704" s="43"/>
      <c r="CB704" s="43"/>
      <c r="CC704" s="43"/>
      <c r="CD704" s="43"/>
      <c r="CE704" s="43"/>
      <c r="CF704" s="43"/>
      <c r="CG704" s="43"/>
      <c r="CH704" s="43"/>
      <c r="CI704" s="43"/>
      <c r="CJ704" s="43"/>
      <c r="CK704" s="43"/>
      <c r="CL704" s="43"/>
      <c r="CM704" s="43"/>
      <c r="CN704" s="43"/>
      <c r="CO704" s="43"/>
      <c r="CP704" s="43"/>
      <c r="CQ704" s="43"/>
      <c r="CR704" s="43"/>
      <c r="CS704" s="43"/>
      <c r="CT704" s="43"/>
      <c r="CU704" s="43"/>
      <c r="CV704" s="43"/>
      <c r="CW704" s="43"/>
      <c r="CX704" s="43"/>
      <c r="CY704" s="43"/>
      <c r="CZ704" s="43"/>
      <c r="DA704" s="43"/>
      <c r="DB704" s="43"/>
      <c r="DC704" s="43"/>
      <c r="DD704" s="43"/>
      <c r="DE704" s="43"/>
      <c r="DF704" s="43"/>
      <c r="DG704" s="43"/>
      <c r="DH704" s="43"/>
      <c r="DI704" s="43"/>
      <c r="DJ704" s="43"/>
      <c r="DK704" s="43"/>
      <c r="DL704" s="43"/>
      <c r="DM704" s="43"/>
      <c r="DN704" s="43"/>
      <c r="DO704" s="43"/>
      <c r="DP704" s="43"/>
      <c r="DQ704" s="43"/>
      <c r="DR704" s="43"/>
      <c r="DS704" s="43"/>
    </row>
    <row r="705" spans="1:123" ht="14.45">
      <c r="A705"/>
      <c r="B705"/>
      <c r="C705"/>
      <c r="D705"/>
      <c r="E705"/>
      <c r="F705"/>
      <c r="G705"/>
      <c r="H705"/>
      <c r="I705"/>
      <c r="J705"/>
      <c r="K705" s="43"/>
      <c r="L705" s="43"/>
      <c r="M705" s="43"/>
      <c r="N705" s="43"/>
      <c r="O705" s="43"/>
      <c r="P705" s="43"/>
      <c r="Q705" s="43"/>
      <c r="R705" s="43"/>
      <c r="S705" s="43"/>
      <c r="T705" s="43"/>
      <c r="U705" s="43"/>
      <c r="V705" s="43"/>
      <c r="W705" s="43"/>
      <c r="X705" s="43"/>
      <c r="Y705" s="43"/>
      <c r="Z705" s="43"/>
      <c r="AA705" s="43"/>
      <c r="AB705" s="43"/>
      <c r="AC705" s="43"/>
      <c r="AD705" s="43"/>
      <c r="AE705" s="43"/>
      <c r="AF705" s="43"/>
      <c r="AG705" s="43"/>
      <c r="AH705" s="43"/>
      <c r="AI705" s="43"/>
      <c r="AJ705" s="43"/>
      <c r="AK705" s="43"/>
      <c r="AL705" s="43"/>
      <c r="AM705" s="43"/>
      <c r="AN705" s="43"/>
      <c r="AO705" s="43"/>
      <c r="AP705" s="43"/>
      <c r="AQ705" s="43"/>
      <c r="AR705" s="43"/>
      <c r="AS705" s="43"/>
      <c r="AT705" s="43"/>
      <c r="AU705" s="43"/>
      <c r="AV705" s="43"/>
      <c r="AW705" s="43"/>
      <c r="AX705" s="43"/>
      <c r="AY705" s="43"/>
      <c r="AZ705" s="43"/>
      <c r="BA705" s="43"/>
      <c r="BB705" s="43"/>
      <c r="BC705" s="43"/>
      <c r="BD705" s="43"/>
      <c r="BE705" s="43"/>
      <c r="BF705" s="43"/>
      <c r="BG705" s="43"/>
      <c r="BH705" s="43"/>
      <c r="BI705" s="43"/>
      <c r="BJ705" s="43"/>
      <c r="BK705" s="43"/>
      <c r="BL705" s="43"/>
      <c r="BM705" s="43"/>
      <c r="BN705" s="43"/>
      <c r="BO705" s="43"/>
      <c r="BP705" s="43"/>
      <c r="BQ705" s="43"/>
      <c r="BR705" s="43"/>
      <c r="BS705" s="43"/>
      <c r="BT705" s="43"/>
      <c r="BU705" s="43"/>
      <c r="BV705" s="43"/>
      <c r="BW705" s="43"/>
      <c r="BX705" s="43"/>
      <c r="BY705" s="43"/>
      <c r="BZ705" s="43"/>
      <c r="CA705" s="43"/>
      <c r="CB705" s="43"/>
      <c r="CC705" s="43"/>
      <c r="CD705" s="43"/>
      <c r="CE705" s="43"/>
      <c r="CF705" s="43"/>
      <c r="CG705" s="43"/>
      <c r="CH705" s="43"/>
      <c r="CI705" s="43"/>
      <c r="CJ705" s="43"/>
      <c r="CK705" s="43"/>
      <c r="CL705" s="43"/>
      <c r="CM705" s="43"/>
      <c r="CN705" s="43"/>
      <c r="CO705" s="43"/>
      <c r="CP705" s="43"/>
      <c r="CQ705" s="43"/>
      <c r="CR705" s="43"/>
      <c r="CS705" s="43"/>
      <c r="CT705" s="43"/>
      <c r="CU705" s="43"/>
      <c r="CV705" s="43"/>
      <c r="CW705" s="43"/>
      <c r="CX705" s="43"/>
      <c r="CY705" s="43"/>
      <c r="CZ705" s="43"/>
      <c r="DA705" s="43"/>
      <c r="DB705" s="43"/>
      <c r="DC705" s="43"/>
      <c r="DD705" s="43"/>
      <c r="DE705" s="43"/>
      <c r="DF705" s="43"/>
      <c r="DG705" s="43"/>
      <c r="DH705" s="43"/>
      <c r="DI705" s="43"/>
      <c r="DJ705" s="43"/>
      <c r="DK705" s="43"/>
      <c r="DL705" s="43"/>
      <c r="DM705" s="43"/>
      <c r="DN705" s="43"/>
      <c r="DO705" s="43"/>
      <c r="DP705" s="43"/>
      <c r="DQ705" s="43"/>
      <c r="DR705" s="43"/>
      <c r="DS705" s="43"/>
    </row>
    <row r="706" spans="1:123" ht="14.45">
      <c r="A706"/>
      <c r="B706"/>
      <c r="C706"/>
      <c r="D706"/>
      <c r="E706"/>
      <c r="F706"/>
      <c r="G706"/>
      <c r="H706"/>
      <c r="I706"/>
      <c r="J706"/>
      <c r="K706" s="43"/>
      <c r="L706" s="43"/>
      <c r="M706" s="43"/>
      <c r="N706" s="43"/>
      <c r="O706" s="43"/>
      <c r="P706" s="43"/>
      <c r="Q706" s="43"/>
      <c r="R706" s="43"/>
      <c r="S706" s="43"/>
      <c r="T706" s="43"/>
      <c r="U706" s="43"/>
      <c r="V706" s="43"/>
      <c r="W706" s="43"/>
      <c r="X706" s="43"/>
      <c r="Y706" s="43"/>
      <c r="Z706" s="43"/>
      <c r="AA706" s="43"/>
      <c r="AB706" s="43"/>
      <c r="AC706" s="43"/>
      <c r="AD706" s="43"/>
      <c r="AE706" s="43"/>
      <c r="AF706" s="43"/>
      <c r="AG706" s="43"/>
      <c r="AH706" s="43"/>
      <c r="AI706" s="43"/>
      <c r="AJ706" s="43"/>
      <c r="AK706" s="43"/>
      <c r="AL706" s="43"/>
      <c r="AM706" s="43"/>
      <c r="AN706" s="43"/>
      <c r="AO706" s="43"/>
      <c r="AP706" s="43"/>
      <c r="AQ706" s="43"/>
      <c r="AR706" s="43"/>
      <c r="AS706" s="43"/>
      <c r="AT706" s="43"/>
      <c r="AU706" s="43"/>
      <c r="AV706" s="43"/>
      <c r="AW706" s="43"/>
      <c r="AX706" s="43"/>
      <c r="AY706" s="43"/>
      <c r="AZ706" s="43"/>
      <c r="BA706" s="43"/>
      <c r="BB706" s="43"/>
      <c r="BC706" s="43"/>
      <c r="BD706" s="43"/>
      <c r="BE706" s="43"/>
      <c r="BF706" s="43"/>
      <c r="BG706" s="43"/>
      <c r="BH706" s="43"/>
      <c r="BI706" s="43"/>
      <c r="BJ706" s="43"/>
      <c r="BK706" s="43"/>
      <c r="BL706" s="43"/>
      <c r="BM706" s="43"/>
      <c r="BN706" s="43"/>
      <c r="BO706" s="43"/>
      <c r="BP706" s="43"/>
      <c r="BQ706" s="43"/>
      <c r="BR706" s="43"/>
      <c r="BS706" s="43"/>
      <c r="BT706" s="43"/>
      <c r="BU706" s="43"/>
      <c r="BV706" s="43"/>
      <c r="BW706" s="43"/>
      <c r="BX706" s="43"/>
      <c r="BY706" s="43"/>
      <c r="BZ706" s="43"/>
      <c r="CA706" s="43"/>
      <c r="CB706" s="43"/>
      <c r="CC706" s="43"/>
      <c r="CD706" s="43"/>
      <c r="CE706" s="43"/>
      <c r="CF706" s="43"/>
      <c r="CG706" s="43"/>
      <c r="CH706" s="43"/>
      <c r="CI706" s="43"/>
      <c r="CJ706" s="43"/>
      <c r="CK706" s="43"/>
      <c r="CL706" s="43"/>
      <c r="CM706" s="43"/>
      <c r="CN706" s="43"/>
      <c r="CO706" s="43"/>
      <c r="CP706" s="43"/>
      <c r="CQ706" s="43"/>
      <c r="CR706" s="43"/>
      <c r="CS706" s="43"/>
      <c r="CT706" s="43"/>
      <c r="CU706" s="43"/>
      <c r="CV706" s="43"/>
      <c r="CW706" s="43"/>
      <c r="CX706" s="43"/>
      <c r="CY706" s="43"/>
      <c r="CZ706" s="43"/>
      <c r="DA706" s="43"/>
      <c r="DB706" s="43"/>
      <c r="DC706" s="43"/>
      <c r="DD706" s="43"/>
      <c r="DE706" s="43"/>
      <c r="DF706" s="43"/>
      <c r="DG706" s="43"/>
      <c r="DH706" s="43"/>
      <c r="DI706" s="43"/>
      <c r="DJ706" s="43"/>
      <c r="DK706" s="43"/>
      <c r="DL706" s="43"/>
      <c r="DM706" s="43"/>
      <c r="DN706" s="43"/>
      <c r="DO706" s="43"/>
      <c r="DP706" s="43"/>
      <c r="DQ706" s="43"/>
      <c r="DR706" s="43"/>
      <c r="DS706" s="43"/>
    </row>
    <row r="707" spans="1:123" ht="14.45">
      <c r="A707"/>
      <c r="B707"/>
      <c r="C707"/>
      <c r="D707"/>
      <c r="E707"/>
      <c r="F707"/>
      <c r="G707"/>
      <c r="H707"/>
      <c r="I707"/>
      <c r="J707"/>
      <c r="K707" s="43"/>
      <c r="L707" s="43"/>
      <c r="M707" s="43"/>
      <c r="N707" s="43"/>
      <c r="O707" s="43"/>
      <c r="P707" s="43"/>
      <c r="Q707" s="43"/>
      <c r="R707" s="43"/>
      <c r="S707" s="43"/>
      <c r="T707" s="43"/>
      <c r="U707" s="43"/>
      <c r="V707" s="43"/>
      <c r="W707" s="43"/>
      <c r="X707" s="43"/>
      <c r="Y707" s="43"/>
      <c r="Z707" s="43"/>
      <c r="AA707" s="43"/>
      <c r="AB707" s="43"/>
      <c r="AC707" s="43"/>
      <c r="AD707" s="43"/>
      <c r="AE707" s="43"/>
      <c r="AF707" s="43"/>
      <c r="AG707" s="43"/>
      <c r="AH707" s="43"/>
      <c r="AI707" s="43"/>
      <c r="AJ707" s="43"/>
      <c r="AK707" s="43"/>
      <c r="AL707" s="43"/>
      <c r="AM707" s="43"/>
      <c r="AN707" s="43"/>
      <c r="AO707" s="43"/>
      <c r="AP707" s="43"/>
      <c r="AQ707" s="43"/>
      <c r="AR707" s="43"/>
      <c r="AS707" s="43"/>
      <c r="AT707" s="43"/>
      <c r="AU707" s="43"/>
      <c r="AV707" s="43"/>
      <c r="AW707" s="43"/>
      <c r="AX707" s="43"/>
      <c r="AY707" s="43"/>
      <c r="AZ707" s="43"/>
      <c r="BA707" s="43"/>
      <c r="BB707" s="43"/>
      <c r="BC707" s="43"/>
      <c r="BD707" s="43"/>
      <c r="BE707" s="43"/>
      <c r="BF707" s="43"/>
      <c r="BG707" s="43"/>
      <c r="BH707" s="43"/>
      <c r="BI707" s="43"/>
      <c r="BJ707" s="43"/>
      <c r="BK707" s="43"/>
      <c r="BL707" s="43"/>
      <c r="BM707" s="43"/>
      <c r="BN707" s="43"/>
      <c r="BO707" s="43"/>
      <c r="BP707" s="43"/>
      <c r="BQ707" s="43"/>
      <c r="BR707" s="43"/>
      <c r="BS707" s="43"/>
      <c r="BT707" s="43"/>
      <c r="BU707" s="43"/>
      <c r="BV707" s="43"/>
      <c r="BW707" s="43"/>
      <c r="BX707" s="43"/>
      <c r="BY707" s="43"/>
      <c r="BZ707" s="43"/>
      <c r="CA707" s="43"/>
      <c r="CB707" s="43"/>
      <c r="CC707" s="43"/>
      <c r="CD707" s="43"/>
      <c r="CE707" s="43"/>
      <c r="CF707" s="43"/>
      <c r="CG707" s="43"/>
      <c r="CH707" s="43"/>
      <c r="CI707" s="43"/>
      <c r="CJ707" s="43"/>
      <c r="CK707" s="43"/>
      <c r="CL707" s="43"/>
      <c r="CM707" s="43"/>
      <c r="CN707" s="43"/>
      <c r="CO707" s="43"/>
      <c r="CP707" s="43"/>
      <c r="CQ707" s="43"/>
      <c r="CR707" s="43"/>
      <c r="CS707" s="43"/>
      <c r="CT707" s="43"/>
      <c r="CU707" s="43"/>
      <c r="CV707" s="43"/>
      <c r="CW707" s="43"/>
      <c r="CX707" s="43"/>
      <c r="CY707" s="43"/>
      <c r="CZ707" s="43"/>
      <c r="DA707" s="43"/>
      <c r="DB707" s="43"/>
      <c r="DC707" s="43"/>
      <c r="DD707" s="43"/>
      <c r="DE707" s="43"/>
      <c r="DF707" s="43"/>
      <c r="DG707" s="43"/>
      <c r="DH707" s="43"/>
      <c r="DI707" s="43"/>
      <c r="DJ707" s="43"/>
      <c r="DK707" s="43"/>
      <c r="DL707" s="43"/>
      <c r="DM707" s="43"/>
      <c r="DN707" s="43"/>
      <c r="DO707" s="43"/>
      <c r="DP707" s="43"/>
      <c r="DQ707" s="43"/>
      <c r="DR707" s="43"/>
      <c r="DS707" s="43"/>
    </row>
    <row r="708" spans="1:123" ht="14.45">
      <c r="A708"/>
      <c r="B708"/>
      <c r="C708"/>
      <c r="D708"/>
      <c r="E708"/>
      <c r="F708"/>
      <c r="G708"/>
      <c r="H708"/>
      <c r="I708"/>
      <c r="J708"/>
      <c r="K708" s="43"/>
      <c r="L708" s="43"/>
      <c r="M708" s="43"/>
      <c r="N708" s="43"/>
      <c r="O708" s="43"/>
      <c r="P708" s="43"/>
      <c r="Q708" s="43"/>
      <c r="R708" s="43"/>
      <c r="S708" s="43"/>
      <c r="T708" s="43"/>
      <c r="U708" s="43"/>
      <c r="V708" s="43"/>
      <c r="W708" s="43"/>
      <c r="X708" s="43"/>
      <c r="Y708" s="43"/>
      <c r="Z708" s="43"/>
      <c r="AA708" s="43"/>
      <c r="AB708" s="43"/>
      <c r="AC708" s="43"/>
      <c r="AD708" s="43"/>
      <c r="AE708" s="43"/>
      <c r="AF708" s="43"/>
      <c r="AG708" s="43"/>
      <c r="AH708" s="43"/>
      <c r="AI708" s="43"/>
      <c r="AJ708" s="43"/>
      <c r="AK708" s="43"/>
      <c r="AL708" s="43"/>
      <c r="AM708" s="43"/>
      <c r="AN708" s="43"/>
      <c r="AO708" s="43"/>
      <c r="AP708" s="43"/>
      <c r="AQ708" s="43"/>
      <c r="AR708" s="43"/>
      <c r="AS708" s="43"/>
      <c r="AT708" s="43"/>
      <c r="AU708" s="43"/>
      <c r="AV708" s="43"/>
      <c r="AW708" s="43"/>
      <c r="AX708" s="43"/>
      <c r="AY708" s="43"/>
      <c r="AZ708" s="43"/>
      <c r="BA708" s="43"/>
      <c r="BB708" s="43"/>
      <c r="BC708" s="43"/>
      <c r="BD708" s="43"/>
      <c r="BE708" s="43"/>
      <c r="BF708" s="43"/>
      <c r="BG708" s="43"/>
      <c r="BH708" s="43"/>
      <c r="BI708" s="43"/>
      <c r="BJ708" s="43"/>
      <c r="BK708" s="43"/>
      <c r="BL708" s="43"/>
      <c r="BM708" s="43"/>
      <c r="BN708" s="43"/>
      <c r="BO708" s="43"/>
      <c r="BP708" s="43"/>
      <c r="BQ708" s="43"/>
      <c r="BR708" s="43"/>
      <c r="BS708" s="43"/>
      <c r="BT708" s="43"/>
      <c r="BU708" s="43"/>
      <c r="BV708" s="43"/>
      <c r="BW708" s="43"/>
      <c r="BX708" s="43"/>
      <c r="BY708" s="43"/>
      <c r="BZ708" s="43"/>
      <c r="CA708" s="43"/>
      <c r="CB708" s="43"/>
      <c r="CC708" s="43"/>
      <c r="CD708" s="43"/>
      <c r="CE708" s="43"/>
      <c r="CF708" s="43"/>
      <c r="CG708" s="43"/>
      <c r="CH708" s="43"/>
      <c r="CI708" s="43"/>
      <c r="CJ708" s="43"/>
      <c r="CK708" s="43"/>
      <c r="CL708" s="43"/>
      <c r="CM708" s="43"/>
      <c r="CN708" s="43"/>
      <c r="CO708" s="43"/>
      <c r="CP708" s="43"/>
      <c r="CQ708" s="43"/>
      <c r="CR708" s="43"/>
      <c r="CS708" s="43"/>
      <c r="CT708" s="43"/>
      <c r="CU708" s="43"/>
      <c r="CV708" s="43"/>
      <c r="CW708" s="43"/>
      <c r="CX708" s="43"/>
      <c r="CY708" s="43"/>
      <c r="CZ708" s="43"/>
      <c r="DA708" s="43"/>
      <c r="DB708" s="43"/>
      <c r="DC708" s="43"/>
      <c r="DD708" s="43"/>
      <c r="DE708" s="43"/>
      <c r="DF708" s="43"/>
      <c r="DG708" s="43"/>
      <c r="DH708" s="43"/>
      <c r="DI708" s="43"/>
      <c r="DJ708" s="43"/>
      <c r="DK708" s="43"/>
      <c r="DL708" s="43"/>
      <c r="DM708" s="43"/>
      <c r="DN708" s="43"/>
      <c r="DO708" s="43"/>
      <c r="DP708" s="43"/>
      <c r="DQ708" s="43"/>
      <c r="DR708" s="43"/>
      <c r="DS708" s="43"/>
    </row>
    <row r="709" spans="1:123" ht="14.45">
      <c r="A709"/>
      <c r="B709"/>
      <c r="C709"/>
      <c r="D709"/>
      <c r="E709"/>
      <c r="F709"/>
      <c r="G709"/>
      <c r="H709"/>
      <c r="I709"/>
      <c r="J709"/>
      <c r="K709" s="43"/>
      <c r="L709" s="43"/>
      <c r="M709" s="43"/>
      <c r="N709" s="43"/>
      <c r="O709" s="43"/>
      <c r="P709" s="43"/>
      <c r="Q709" s="43"/>
      <c r="R709" s="43"/>
      <c r="S709" s="43"/>
      <c r="T709" s="43"/>
      <c r="U709" s="43"/>
      <c r="V709" s="43"/>
      <c r="W709" s="43"/>
      <c r="X709" s="43"/>
      <c r="Y709" s="43"/>
      <c r="Z709" s="43"/>
      <c r="AA709" s="43"/>
      <c r="AB709" s="43"/>
      <c r="AC709" s="43"/>
      <c r="AD709" s="43"/>
      <c r="AE709" s="43"/>
      <c r="AF709" s="43"/>
      <c r="AG709" s="43"/>
      <c r="AH709" s="43"/>
      <c r="AI709" s="43"/>
      <c r="AJ709" s="43"/>
      <c r="AK709" s="43"/>
      <c r="AL709" s="43"/>
      <c r="AM709" s="43"/>
      <c r="AN709" s="43"/>
      <c r="AO709" s="43"/>
      <c r="AP709" s="43"/>
      <c r="AQ709" s="43"/>
      <c r="AR709" s="43"/>
      <c r="AS709" s="43"/>
      <c r="AT709" s="43"/>
      <c r="AU709" s="43"/>
      <c r="AV709" s="43"/>
      <c r="AW709" s="43"/>
      <c r="AX709" s="43"/>
      <c r="AY709" s="43"/>
      <c r="AZ709" s="43"/>
      <c r="BA709" s="43"/>
      <c r="BB709" s="43"/>
      <c r="BC709" s="43"/>
      <c r="BD709" s="43"/>
      <c r="BE709" s="43"/>
      <c r="BF709" s="43"/>
      <c r="BG709" s="43"/>
      <c r="BH709" s="43"/>
      <c r="BI709" s="43"/>
      <c r="BJ709" s="43"/>
      <c r="BK709" s="43"/>
      <c r="BL709" s="43"/>
      <c r="BM709" s="43"/>
      <c r="BN709" s="43"/>
      <c r="BO709" s="43"/>
      <c r="BP709" s="43"/>
      <c r="BQ709" s="43"/>
      <c r="BR709" s="43"/>
      <c r="BS709" s="43"/>
      <c r="BT709" s="43"/>
      <c r="BU709" s="43"/>
      <c r="BV709" s="43"/>
      <c r="BW709" s="43"/>
      <c r="BX709" s="43"/>
      <c r="BY709" s="43"/>
      <c r="BZ709" s="43"/>
      <c r="CA709" s="43"/>
      <c r="CB709" s="43"/>
      <c r="CC709" s="43"/>
      <c r="CD709" s="43"/>
      <c r="CE709" s="43"/>
      <c r="CF709" s="43"/>
      <c r="CG709" s="43"/>
      <c r="CH709" s="43"/>
      <c r="CI709" s="43"/>
      <c r="CJ709" s="43"/>
      <c r="CK709" s="43"/>
      <c r="CL709" s="43"/>
      <c r="CM709" s="43"/>
      <c r="CN709" s="43"/>
      <c r="CO709" s="43"/>
      <c r="CP709" s="43"/>
      <c r="CQ709" s="43"/>
      <c r="CR709" s="43"/>
      <c r="CS709" s="43"/>
      <c r="CT709" s="43"/>
      <c r="CU709" s="43"/>
      <c r="CV709" s="43"/>
      <c r="CW709" s="43"/>
      <c r="CX709" s="43"/>
      <c r="CY709" s="43"/>
      <c r="CZ709" s="43"/>
      <c r="DA709" s="43"/>
      <c r="DB709" s="43"/>
      <c r="DC709" s="43"/>
      <c r="DD709" s="43"/>
      <c r="DE709" s="43"/>
      <c r="DF709" s="43"/>
      <c r="DG709" s="43"/>
      <c r="DH709" s="43"/>
      <c r="DI709" s="43"/>
      <c r="DJ709" s="43"/>
      <c r="DK709" s="43"/>
      <c r="DL709" s="43"/>
      <c r="DM709" s="43"/>
      <c r="DN709" s="43"/>
      <c r="DO709" s="43"/>
      <c r="DP709" s="43"/>
      <c r="DQ709" s="43"/>
      <c r="DR709" s="43"/>
      <c r="DS709" s="43"/>
    </row>
    <row r="710" spans="1:123" ht="14.45">
      <c r="A710"/>
      <c r="B710"/>
      <c r="C710"/>
      <c r="D710"/>
      <c r="E710"/>
      <c r="F710"/>
      <c r="G710"/>
      <c r="H710"/>
      <c r="I710"/>
      <c r="J710"/>
      <c r="K710" s="43"/>
      <c r="L710" s="43"/>
      <c r="M710" s="43"/>
      <c r="N710" s="43"/>
      <c r="O710" s="43"/>
      <c r="P710" s="43"/>
      <c r="Q710" s="43"/>
      <c r="R710" s="43"/>
      <c r="S710" s="43"/>
      <c r="T710" s="43"/>
      <c r="U710" s="43"/>
      <c r="V710" s="43"/>
      <c r="W710" s="43"/>
      <c r="X710" s="43"/>
      <c r="Y710" s="43"/>
      <c r="Z710" s="43"/>
      <c r="AA710" s="43"/>
      <c r="AB710" s="43"/>
      <c r="AC710" s="43"/>
      <c r="AD710" s="43"/>
      <c r="AE710" s="43"/>
      <c r="AF710" s="43"/>
      <c r="AG710" s="43"/>
      <c r="AH710" s="43"/>
      <c r="AI710" s="43"/>
      <c r="AJ710" s="43"/>
      <c r="AK710" s="43"/>
      <c r="AL710" s="43"/>
      <c r="AM710" s="43"/>
      <c r="AN710" s="43"/>
      <c r="AO710" s="43"/>
      <c r="AP710" s="43"/>
      <c r="AQ710" s="43"/>
      <c r="AR710" s="43"/>
      <c r="AS710" s="43"/>
      <c r="AT710" s="43"/>
      <c r="AU710" s="43"/>
      <c r="AV710" s="43"/>
      <c r="AW710" s="43"/>
      <c r="AX710" s="43"/>
      <c r="AY710" s="43"/>
      <c r="AZ710" s="43"/>
      <c r="BA710" s="43"/>
      <c r="BB710" s="43"/>
      <c r="BC710" s="43"/>
      <c r="BD710" s="43"/>
      <c r="BE710" s="43"/>
      <c r="BF710" s="43"/>
      <c r="BG710" s="43"/>
      <c r="BH710" s="43"/>
      <c r="BI710" s="43"/>
      <c r="BJ710" s="43"/>
      <c r="BK710" s="43"/>
      <c r="BL710" s="43"/>
      <c r="BM710" s="43"/>
      <c r="BN710" s="43"/>
      <c r="BO710" s="43"/>
      <c r="BP710" s="43"/>
      <c r="BQ710" s="43"/>
      <c r="BR710" s="43"/>
      <c r="BS710" s="43"/>
      <c r="BT710" s="43"/>
      <c r="BU710" s="43"/>
      <c r="BV710" s="43"/>
      <c r="BW710" s="43"/>
      <c r="BX710" s="43"/>
      <c r="BY710" s="43"/>
      <c r="BZ710" s="43"/>
      <c r="CA710" s="43"/>
      <c r="CB710" s="43"/>
      <c r="CC710" s="43"/>
      <c r="CD710" s="43"/>
      <c r="CE710" s="43"/>
      <c r="CF710" s="43"/>
      <c r="CG710" s="43"/>
      <c r="CH710" s="43"/>
      <c r="CI710" s="43"/>
      <c r="CJ710" s="43"/>
      <c r="CK710" s="43"/>
      <c r="CL710" s="43"/>
      <c r="CM710" s="43"/>
      <c r="CN710" s="43"/>
      <c r="CO710" s="43"/>
      <c r="CP710" s="43"/>
      <c r="CQ710" s="43"/>
      <c r="CR710" s="43"/>
      <c r="CS710" s="43"/>
      <c r="CT710" s="43"/>
      <c r="CU710" s="43"/>
      <c r="CV710" s="43"/>
      <c r="CW710" s="43"/>
      <c r="CX710" s="43"/>
      <c r="CY710" s="43"/>
      <c r="CZ710" s="43"/>
      <c r="DA710" s="43"/>
      <c r="DB710" s="43"/>
      <c r="DC710" s="43"/>
      <c r="DD710" s="43"/>
      <c r="DE710" s="43"/>
      <c r="DF710" s="43"/>
      <c r="DG710" s="43"/>
      <c r="DH710" s="43"/>
      <c r="DI710" s="43"/>
      <c r="DJ710" s="43"/>
      <c r="DK710" s="43"/>
      <c r="DL710" s="43"/>
      <c r="DM710" s="43"/>
      <c r="DN710" s="43"/>
      <c r="DO710" s="43"/>
      <c r="DP710" s="43"/>
      <c r="DQ710" s="43"/>
      <c r="DR710" s="43"/>
      <c r="DS710" s="43"/>
    </row>
    <row r="711" spans="1:123" ht="14.45">
      <c r="A711"/>
      <c r="B711"/>
      <c r="C711"/>
      <c r="D711"/>
      <c r="E711"/>
      <c r="F711"/>
      <c r="G711"/>
      <c r="H711"/>
      <c r="I711"/>
      <c r="J711"/>
      <c r="K711" s="43"/>
      <c r="L711" s="43"/>
      <c r="M711" s="43"/>
      <c r="N711" s="43"/>
      <c r="O711" s="43"/>
      <c r="P711" s="43"/>
      <c r="Q711" s="43"/>
      <c r="R711" s="43"/>
      <c r="S711" s="43"/>
      <c r="T711" s="43"/>
      <c r="U711" s="43"/>
      <c r="V711" s="43"/>
      <c r="W711" s="43"/>
      <c r="X711" s="43"/>
      <c r="Y711" s="43"/>
      <c r="Z711" s="43"/>
      <c r="AA711" s="43"/>
      <c r="AB711" s="43"/>
      <c r="AC711" s="43"/>
      <c r="AD711" s="43"/>
      <c r="AE711" s="43"/>
      <c r="AF711" s="43"/>
      <c r="AG711" s="43"/>
      <c r="AH711" s="43"/>
      <c r="AI711" s="43"/>
      <c r="AJ711" s="43"/>
      <c r="AK711" s="43"/>
      <c r="AL711" s="43"/>
      <c r="AM711" s="43"/>
      <c r="AN711" s="43"/>
      <c r="AO711" s="43"/>
      <c r="AP711" s="43"/>
      <c r="AQ711" s="43"/>
      <c r="AR711" s="43"/>
      <c r="AS711" s="43"/>
      <c r="AT711" s="43"/>
      <c r="AU711" s="43"/>
      <c r="AV711" s="43"/>
      <c r="AW711" s="43"/>
      <c r="AX711" s="43"/>
      <c r="AY711" s="43"/>
      <c r="AZ711" s="43"/>
      <c r="BA711" s="43"/>
      <c r="BB711" s="43"/>
      <c r="BC711" s="43"/>
      <c r="BD711" s="43"/>
      <c r="BE711" s="43"/>
      <c r="BF711" s="43"/>
      <c r="BG711" s="43"/>
      <c r="BH711" s="43"/>
      <c r="BI711" s="43"/>
      <c r="BJ711" s="43"/>
      <c r="BK711" s="43"/>
      <c r="BL711" s="43"/>
      <c r="BM711" s="43"/>
      <c r="BN711" s="43"/>
      <c r="BO711" s="43"/>
      <c r="BP711" s="43"/>
      <c r="BQ711" s="43"/>
      <c r="BR711" s="43"/>
      <c r="BS711" s="43"/>
      <c r="BT711" s="43"/>
      <c r="BU711" s="43"/>
      <c r="BV711" s="43"/>
      <c r="BW711" s="43"/>
      <c r="BX711" s="43"/>
      <c r="BY711" s="43"/>
      <c r="BZ711" s="43"/>
      <c r="CA711" s="43"/>
      <c r="CB711" s="43"/>
      <c r="CC711" s="43"/>
      <c r="CD711" s="43"/>
      <c r="CE711" s="43"/>
      <c r="CF711" s="43"/>
      <c r="CG711" s="43"/>
      <c r="CH711" s="43"/>
      <c r="CI711" s="43"/>
      <c r="CJ711" s="43"/>
      <c r="CK711" s="43"/>
      <c r="CL711" s="43"/>
      <c r="CM711" s="43"/>
      <c r="CN711" s="43"/>
      <c r="CO711" s="43"/>
      <c r="CP711" s="43"/>
      <c r="CQ711" s="43"/>
      <c r="CR711" s="43"/>
      <c r="CS711" s="43"/>
      <c r="CT711" s="43"/>
      <c r="CU711" s="43"/>
      <c r="CV711" s="43"/>
      <c r="CW711" s="43"/>
      <c r="CX711" s="43"/>
      <c r="CY711" s="43"/>
      <c r="CZ711" s="43"/>
      <c r="DA711" s="43"/>
      <c r="DB711" s="43"/>
      <c r="DC711" s="43"/>
      <c r="DD711" s="43"/>
      <c r="DE711" s="43"/>
      <c r="DF711" s="43"/>
      <c r="DG711" s="43"/>
      <c r="DH711" s="43"/>
      <c r="DI711" s="43"/>
      <c r="DJ711" s="43"/>
      <c r="DK711" s="43"/>
      <c r="DL711" s="43"/>
      <c r="DM711" s="43"/>
      <c r="DN711" s="43"/>
      <c r="DO711" s="43"/>
      <c r="DP711" s="43"/>
      <c r="DQ711" s="43"/>
      <c r="DR711" s="43"/>
      <c r="DS711" s="43"/>
    </row>
    <row r="712" spans="1:123" ht="14.45">
      <c r="A712"/>
      <c r="B712"/>
      <c r="C712"/>
      <c r="D712"/>
      <c r="E712"/>
      <c r="F712"/>
      <c r="G712"/>
      <c r="H712"/>
      <c r="I712"/>
      <c r="J712"/>
      <c r="K712" s="43"/>
      <c r="L712" s="43"/>
      <c r="M712" s="43"/>
      <c r="N712" s="43"/>
      <c r="O712" s="43"/>
      <c r="P712" s="43"/>
      <c r="Q712" s="43"/>
      <c r="R712" s="43"/>
      <c r="S712" s="43"/>
      <c r="T712" s="43"/>
      <c r="U712" s="43"/>
      <c r="V712" s="43"/>
      <c r="W712" s="43"/>
      <c r="X712" s="43"/>
      <c r="Y712" s="43"/>
      <c r="Z712" s="43"/>
      <c r="AA712" s="43"/>
      <c r="AB712" s="43"/>
      <c r="AC712" s="43"/>
      <c r="AD712" s="43"/>
      <c r="AE712" s="43"/>
      <c r="AF712" s="43"/>
      <c r="AG712" s="43"/>
      <c r="AH712" s="43"/>
      <c r="AI712" s="43"/>
      <c r="AJ712" s="43"/>
      <c r="AK712" s="43"/>
      <c r="AL712" s="43"/>
      <c r="AM712" s="43"/>
      <c r="AN712" s="43"/>
      <c r="AO712" s="43"/>
      <c r="AP712" s="43"/>
      <c r="AQ712" s="43"/>
      <c r="AR712" s="43"/>
      <c r="AS712" s="43"/>
      <c r="AT712" s="43"/>
      <c r="AU712" s="43"/>
      <c r="AV712" s="43"/>
      <c r="AW712" s="43"/>
      <c r="AX712" s="43"/>
      <c r="AY712" s="43"/>
      <c r="AZ712" s="43"/>
      <c r="BA712" s="43"/>
      <c r="BB712" s="43"/>
      <c r="BC712" s="43"/>
      <c r="BD712" s="43"/>
      <c r="BE712" s="43"/>
      <c r="BF712" s="43"/>
      <c r="BG712" s="43"/>
      <c r="BH712" s="43"/>
      <c r="BI712" s="43"/>
      <c r="BJ712" s="43"/>
      <c r="BK712" s="43"/>
      <c r="BL712" s="43"/>
      <c r="BM712" s="43"/>
      <c r="BN712" s="43"/>
      <c r="BO712" s="43"/>
      <c r="BP712" s="43"/>
      <c r="BQ712" s="43"/>
      <c r="BR712" s="43"/>
      <c r="BS712" s="43"/>
      <c r="BT712" s="43"/>
      <c r="BU712" s="43"/>
      <c r="BV712" s="43"/>
      <c r="BW712" s="43"/>
      <c r="BX712" s="43"/>
      <c r="BY712" s="43"/>
      <c r="BZ712" s="43"/>
      <c r="CA712" s="43"/>
      <c r="CB712" s="43"/>
      <c r="CC712" s="43"/>
      <c r="CD712" s="43"/>
      <c r="CE712" s="43"/>
      <c r="CF712" s="43"/>
      <c r="CG712" s="43"/>
      <c r="CH712" s="43"/>
      <c r="CI712" s="43"/>
      <c r="CJ712" s="43"/>
      <c r="CK712" s="43"/>
      <c r="CL712" s="43"/>
      <c r="CM712" s="43"/>
      <c r="CN712" s="43"/>
      <c r="CO712" s="43"/>
      <c r="CP712" s="43"/>
      <c r="CQ712" s="43"/>
      <c r="CR712" s="43"/>
      <c r="CS712" s="43"/>
      <c r="CT712" s="43"/>
      <c r="CU712" s="43"/>
      <c r="CV712" s="43"/>
      <c r="CW712" s="43"/>
      <c r="CX712" s="43"/>
      <c r="CY712" s="43"/>
      <c r="CZ712" s="43"/>
      <c r="DA712" s="43"/>
      <c r="DB712" s="43"/>
      <c r="DC712" s="43"/>
      <c r="DD712" s="43"/>
      <c r="DE712" s="43"/>
      <c r="DF712" s="43"/>
      <c r="DG712" s="43"/>
      <c r="DH712" s="43"/>
      <c r="DI712" s="43"/>
      <c r="DJ712" s="43"/>
      <c r="DK712" s="43"/>
      <c r="DL712" s="43"/>
      <c r="DM712" s="43"/>
      <c r="DN712" s="43"/>
      <c r="DO712" s="43"/>
      <c r="DP712" s="43"/>
      <c r="DQ712" s="43"/>
      <c r="DR712" s="43"/>
      <c r="DS712" s="43"/>
    </row>
    <row r="713" spans="1:123" ht="14.45">
      <c r="A713"/>
      <c r="B713"/>
      <c r="C713"/>
      <c r="D713"/>
      <c r="E713"/>
      <c r="F713"/>
      <c r="G713"/>
      <c r="H713"/>
      <c r="I713"/>
      <c r="J713"/>
      <c r="K713" s="43"/>
      <c r="L713" s="43"/>
      <c r="M713" s="43"/>
      <c r="N713" s="43"/>
      <c r="O713" s="43"/>
      <c r="P713" s="43"/>
      <c r="Q713" s="43"/>
      <c r="R713" s="43"/>
      <c r="S713" s="43"/>
      <c r="T713" s="43"/>
      <c r="U713" s="43"/>
      <c r="V713" s="43"/>
      <c r="W713" s="43"/>
      <c r="X713" s="43"/>
      <c r="Y713" s="43"/>
      <c r="Z713" s="43"/>
      <c r="AA713" s="43"/>
      <c r="AB713" s="43"/>
      <c r="AC713" s="43"/>
      <c r="AD713" s="43"/>
      <c r="AE713" s="43"/>
      <c r="AF713" s="43"/>
      <c r="AG713" s="43"/>
      <c r="AH713" s="43"/>
      <c r="AI713" s="43"/>
      <c r="AJ713" s="43"/>
      <c r="AK713" s="43"/>
      <c r="AL713" s="43"/>
      <c r="AM713" s="43"/>
      <c r="AN713" s="43"/>
      <c r="AO713" s="43"/>
      <c r="AP713" s="43"/>
      <c r="AQ713" s="43"/>
      <c r="AR713" s="43"/>
      <c r="AS713" s="43"/>
      <c r="AT713" s="43"/>
      <c r="AU713" s="43"/>
      <c r="AV713" s="43"/>
      <c r="AW713" s="43"/>
      <c r="AX713" s="43"/>
      <c r="AY713" s="43"/>
      <c r="AZ713" s="43"/>
      <c r="BA713" s="43"/>
      <c r="BB713" s="43"/>
      <c r="BC713" s="43"/>
      <c r="BD713" s="43"/>
      <c r="BE713" s="43"/>
      <c r="BF713" s="43"/>
      <c r="BG713" s="43"/>
      <c r="BH713" s="43"/>
      <c r="BI713" s="43"/>
      <c r="BJ713" s="43"/>
      <c r="BK713" s="43"/>
      <c r="BL713" s="43"/>
      <c r="BM713" s="43"/>
      <c r="BN713" s="43"/>
      <c r="BO713" s="43"/>
      <c r="BP713" s="43"/>
      <c r="BQ713" s="43"/>
      <c r="BR713" s="43"/>
      <c r="BS713" s="43"/>
      <c r="BT713" s="43"/>
      <c r="BU713" s="43"/>
      <c r="BV713" s="43"/>
      <c r="BW713" s="43"/>
      <c r="BX713" s="43"/>
      <c r="BY713" s="43"/>
      <c r="BZ713" s="43"/>
      <c r="CA713" s="43"/>
      <c r="CB713" s="43"/>
      <c r="CC713" s="43"/>
      <c r="CD713" s="43"/>
      <c r="CE713" s="43"/>
      <c r="CF713" s="43"/>
      <c r="CG713" s="43"/>
      <c r="CH713" s="43"/>
      <c r="CI713" s="43"/>
      <c r="CJ713" s="43"/>
      <c r="CK713" s="43"/>
      <c r="CL713" s="43"/>
      <c r="CM713" s="43"/>
      <c r="CN713" s="43"/>
      <c r="CO713" s="43"/>
      <c r="CP713" s="43"/>
      <c r="CQ713" s="43"/>
      <c r="CR713" s="43"/>
      <c r="CS713" s="43"/>
      <c r="CT713" s="43"/>
      <c r="CU713" s="43"/>
      <c r="CV713" s="43"/>
      <c r="CW713" s="43"/>
      <c r="CX713" s="43"/>
      <c r="CY713" s="43"/>
      <c r="CZ713" s="43"/>
      <c r="DA713" s="43"/>
      <c r="DB713" s="43"/>
      <c r="DC713" s="43"/>
      <c r="DD713" s="43"/>
      <c r="DE713" s="43"/>
      <c r="DF713" s="43"/>
      <c r="DG713" s="43"/>
      <c r="DH713" s="43"/>
      <c r="DI713" s="43"/>
      <c r="DJ713" s="43"/>
      <c r="DK713" s="43"/>
      <c r="DL713" s="43"/>
      <c r="DM713" s="43"/>
      <c r="DN713" s="43"/>
      <c r="DO713" s="43"/>
      <c r="DP713" s="43"/>
      <c r="DQ713" s="43"/>
      <c r="DR713" s="43"/>
      <c r="DS713" s="43"/>
    </row>
    <row r="714" spans="1:123" ht="14.45">
      <c r="A714"/>
      <c r="B714"/>
      <c r="C714"/>
      <c r="D714"/>
      <c r="E714"/>
      <c r="F714"/>
      <c r="G714"/>
      <c r="H714"/>
      <c r="I714"/>
      <c r="J714"/>
      <c r="K714" s="43"/>
      <c r="L714" s="43"/>
      <c r="M714" s="43"/>
      <c r="N714" s="43"/>
      <c r="O714" s="43"/>
      <c r="P714" s="43"/>
      <c r="Q714" s="43"/>
      <c r="R714" s="43"/>
      <c r="S714" s="43"/>
      <c r="T714" s="43"/>
      <c r="U714" s="43"/>
      <c r="V714" s="43"/>
      <c r="W714" s="43"/>
      <c r="X714" s="43"/>
      <c r="Y714" s="43"/>
      <c r="Z714" s="43"/>
      <c r="AA714" s="43"/>
      <c r="AB714" s="43"/>
      <c r="AC714" s="43"/>
      <c r="AD714" s="43"/>
      <c r="AE714" s="43"/>
      <c r="AF714" s="43"/>
      <c r="AG714" s="43"/>
      <c r="AH714" s="43"/>
      <c r="AI714" s="43"/>
      <c r="AJ714" s="43"/>
      <c r="AK714" s="43"/>
      <c r="AL714" s="43"/>
      <c r="AM714" s="43"/>
      <c r="AN714" s="43"/>
      <c r="AO714" s="43"/>
      <c r="AP714" s="43"/>
      <c r="AQ714" s="43"/>
      <c r="AR714" s="43"/>
      <c r="AS714" s="43"/>
      <c r="AT714" s="43"/>
      <c r="AU714" s="43"/>
      <c r="AV714" s="43"/>
      <c r="AW714" s="43"/>
      <c r="AX714" s="43"/>
      <c r="AY714" s="43"/>
      <c r="AZ714" s="43"/>
      <c r="BA714" s="43"/>
      <c r="BB714" s="43"/>
      <c r="BC714" s="43"/>
      <c r="BD714" s="43"/>
      <c r="BE714" s="43"/>
      <c r="BF714" s="43"/>
      <c r="BG714" s="43"/>
      <c r="BH714" s="43"/>
      <c r="BI714" s="43"/>
      <c r="BJ714" s="43"/>
      <c r="BK714" s="43"/>
      <c r="BL714" s="43"/>
      <c r="BM714" s="43"/>
      <c r="BN714" s="43"/>
      <c r="BO714" s="43"/>
      <c r="BP714" s="43"/>
      <c r="BQ714" s="43"/>
      <c r="BR714" s="43"/>
      <c r="BS714" s="43"/>
      <c r="BT714" s="43"/>
      <c r="BU714" s="43"/>
      <c r="BV714" s="43"/>
      <c r="BW714" s="43"/>
      <c r="BX714" s="43"/>
      <c r="BY714" s="43"/>
      <c r="BZ714" s="43"/>
      <c r="CA714" s="43"/>
      <c r="CB714" s="43"/>
      <c r="CC714" s="43"/>
      <c r="CD714" s="43"/>
      <c r="CE714" s="43"/>
      <c r="CF714" s="43"/>
      <c r="CG714" s="43"/>
      <c r="CH714" s="43"/>
      <c r="CI714" s="43"/>
      <c r="CJ714" s="43"/>
      <c r="CK714" s="43"/>
      <c r="CL714" s="43"/>
      <c r="CM714" s="43"/>
      <c r="CN714" s="43"/>
      <c r="CO714" s="43"/>
      <c r="CP714" s="43"/>
      <c r="CQ714" s="43"/>
      <c r="CR714" s="43"/>
      <c r="CS714" s="43"/>
      <c r="CT714" s="43"/>
      <c r="CU714" s="43"/>
      <c r="CV714" s="43"/>
      <c r="CW714" s="43"/>
      <c r="CX714" s="43"/>
      <c r="CY714" s="43"/>
      <c r="CZ714" s="43"/>
      <c r="DA714" s="43"/>
      <c r="DB714" s="43"/>
      <c r="DC714" s="43"/>
      <c r="DD714" s="43"/>
      <c r="DE714" s="43"/>
      <c r="DF714" s="43"/>
      <c r="DG714" s="43"/>
      <c r="DH714" s="43"/>
      <c r="DI714" s="43"/>
      <c r="DJ714" s="43"/>
      <c r="DK714" s="43"/>
      <c r="DL714" s="43"/>
      <c r="DM714" s="43"/>
      <c r="DN714" s="43"/>
      <c r="DO714" s="43"/>
      <c r="DP714" s="43"/>
      <c r="DQ714" s="43"/>
      <c r="DR714" s="43"/>
      <c r="DS714" s="43"/>
    </row>
    <row r="715" spans="1:123" ht="14.45">
      <c r="A715"/>
      <c r="B715"/>
      <c r="C715"/>
      <c r="D715"/>
      <c r="E715"/>
      <c r="F715"/>
      <c r="G715"/>
      <c r="H715"/>
      <c r="I715"/>
      <c r="J715"/>
      <c r="K715" s="43"/>
      <c r="L715" s="43"/>
      <c r="M715" s="43"/>
      <c r="N715" s="43"/>
      <c r="O715" s="43"/>
      <c r="P715" s="43"/>
      <c r="Q715" s="43"/>
      <c r="R715" s="43"/>
      <c r="S715" s="43"/>
      <c r="T715" s="43"/>
      <c r="U715" s="43"/>
      <c r="V715" s="43"/>
      <c r="W715" s="43"/>
      <c r="X715" s="43"/>
      <c r="Y715" s="43"/>
      <c r="Z715" s="43"/>
      <c r="AA715" s="43"/>
      <c r="AB715" s="43"/>
      <c r="AC715" s="43"/>
      <c r="AD715" s="43"/>
      <c r="AE715" s="43"/>
      <c r="AF715" s="43"/>
      <c r="AG715" s="43"/>
      <c r="AH715" s="43"/>
      <c r="AI715" s="43"/>
      <c r="AJ715" s="43"/>
      <c r="AK715" s="43"/>
      <c r="AL715" s="43"/>
      <c r="AM715" s="43"/>
      <c r="AN715" s="43"/>
      <c r="AO715" s="43"/>
      <c r="AP715" s="43"/>
      <c r="AQ715" s="43"/>
      <c r="AR715" s="43"/>
      <c r="AS715" s="43"/>
      <c r="AT715" s="43"/>
      <c r="AU715" s="43"/>
      <c r="AV715" s="43"/>
      <c r="AW715" s="43"/>
      <c r="AX715" s="43"/>
      <c r="AY715" s="43"/>
      <c r="AZ715" s="43"/>
      <c r="BA715" s="43"/>
      <c r="BB715" s="43"/>
      <c r="BC715" s="43"/>
      <c r="BD715" s="43"/>
      <c r="BE715" s="43"/>
      <c r="BF715" s="43"/>
      <c r="BG715" s="43"/>
      <c r="BH715" s="43"/>
      <c r="BI715" s="43"/>
      <c r="BJ715" s="43"/>
      <c r="BK715" s="43"/>
      <c r="BL715" s="43"/>
      <c r="BM715" s="43"/>
      <c r="BN715" s="43"/>
      <c r="BO715" s="43"/>
      <c r="BP715" s="43"/>
      <c r="BQ715" s="43"/>
      <c r="BR715" s="43"/>
      <c r="BS715" s="43"/>
      <c r="BT715" s="43"/>
      <c r="BU715" s="43"/>
      <c r="BV715" s="43"/>
      <c r="BW715" s="43"/>
      <c r="BX715" s="43"/>
      <c r="BY715" s="43"/>
      <c r="BZ715" s="43"/>
      <c r="CA715" s="43"/>
      <c r="CB715" s="43"/>
      <c r="CC715" s="43"/>
      <c r="CD715" s="43"/>
      <c r="CE715" s="43"/>
      <c r="CF715" s="43"/>
      <c r="CG715" s="43"/>
      <c r="CH715" s="43"/>
      <c r="CI715" s="43"/>
      <c r="CJ715" s="43"/>
      <c r="CK715" s="43"/>
      <c r="CL715" s="43"/>
      <c r="CM715" s="43"/>
      <c r="CN715" s="43"/>
      <c r="CO715" s="43"/>
      <c r="CP715" s="43"/>
      <c r="CQ715" s="43"/>
      <c r="CR715" s="43"/>
      <c r="CS715" s="43"/>
      <c r="CT715" s="43"/>
      <c r="CU715" s="43"/>
      <c r="CV715" s="43"/>
      <c r="CW715" s="43"/>
      <c r="CX715" s="43"/>
      <c r="CY715" s="43"/>
      <c r="CZ715" s="43"/>
      <c r="DA715" s="43"/>
      <c r="DB715" s="43"/>
      <c r="DC715" s="43"/>
      <c r="DD715" s="43"/>
      <c r="DE715" s="43"/>
      <c r="DF715" s="43"/>
      <c r="DG715" s="43"/>
      <c r="DH715" s="43"/>
      <c r="DI715" s="43"/>
      <c r="DJ715" s="43"/>
      <c r="DK715" s="43"/>
      <c r="DL715" s="43"/>
      <c r="DM715" s="43"/>
      <c r="DN715" s="43"/>
      <c r="DO715" s="43"/>
      <c r="DP715" s="43"/>
      <c r="DQ715" s="43"/>
      <c r="DR715" s="43"/>
      <c r="DS715" s="43"/>
    </row>
    <row r="716" spans="1:123" ht="14.45">
      <c r="A716"/>
      <c r="B716"/>
      <c r="C716"/>
      <c r="D716"/>
      <c r="E716"/>
      <c r="F716"/>
      <c r="G716"/>
      <c r="H716"/>
      <c r="I716"/>
      <c r="J716"/>
      <c r="K716" s="43"/>
      <c r="L716" s="43"/>
      <c r="M716" s="43"/>
      <c r="N716" s="43"/>
      <c r="O716" s="43"/>
      <c r="P716" s="43"/>
      <c r="Q716" s="43"/>
      <c r="R716" s="43"/>
      <c r="S716" s="43"/>
      <c r="T716" s="43"/>
      <c r="U716" s="43"/>
      <c r="V716" s="43"/>
      <c r="W716" s="43"/>
      <c r="X716" s="43"/>
      <c r="Y716" s="43"/>
      <c r="Z716" s="43"/>
      <c r="AA716" s="43"/>
      <c r="AB716" s="43"/>
      <c r="AC716" s="43"/>
      <c r="AD716" s="43"/>
      <c r="AE716" s="43"/>
      <c r="AF716" s="43"/>
      <c r="AG716" s="43"/>
      <c r="AH716" s="43"/>
      <c r="AI716" s="43"/>
      <c r="AJ716" s="43"/>
      <c r="AK716" s="43"/>
      <c r="AL716" s="43"/>
      <c r="AM716" s="43"/>
      <c r="AN716" s="43"/>
      <c r="AO716" s="43"/>
      <c r="AP716" s="43"/>
      <c r="AQ716" s="43"/>
      <c r="AR716" s="43"/>
      <c r="AS716" s="43"/>
      <c r="AT716" s="43"/>
      <c r="AU716" s="43"/>
      <c r="AV716" s="43"/>
      <c r="AW716" s="43"/>
      <c r="AX716" s="43"/>
      <c r="AY716" s="43"/>
      <c r="AZ716" s="43"/>
      <c r="BA716" s="43"/>
      <c r="BB716" s="43"/>
      <c r="BC716" s="43"/>
      <c r="BD716" s="43"/>
      <c r="BE716" s="43"/>
      <c r="BF716" s="43"/>
      <c r="BG716" s="43"/>
      <c r="BH716" s="43"/>
      <c r="BI716" s="43"/>
      <c r="BJ716" s="43"/>
      <c r="BK716" s="43"/>
      <c r="BL716" s="43"/>
      <c r="BM716" s="43"/>
      <c r="BN716" s="43"/>
      <c r="BO716" s="43"/>
      <c r="BP716" s="43"/>
      <c r="BQ716" s="43"/>
      <c r="BR716" s="43"/>
      <c r="BS716" s="43"/>
      <c r="BT716" s="43"/>
      <c r="BU716" s="43"/>
      <c r="BV716" s="43"/>
      <c r="BW716" s="43"/>
      <c r="BX716" s="43"/>
      <c r="BY716" s="43"/>
      <c r="BZ716" s="43"/>
      <c r="CA716" s="43"/>
      <c r="CB716" s="43"/>
      <c r="CC716" s="43"/>
      <c r="CD716" s="43"/>
      <c r="CE716" s="43"/>
      <c r="CF716" s="43"/>
      <c r="CG716" s="43"/>
      <c r="CH716" s="43"/>
      <c r="CI716" s="43"/>
      <c r="CJ716" s="43"/>
      <c r="CK716" s="43"/>
      <c r="CL716" s="43"/>
      <c r="CM716" s="43"/>
      <c r="CN716" s="43"/>
      <c r="CO716" s="43"/>
      <c r="CP716" s="43"/>
      <c r="CQ716" s="43"/>
      <c r="CR716" s="43"/>
      <c r="CS716" s="43"/>
      <c r="CT716" s="43"/>
      <c r="CU716" s="43"/>
      <c r="CV716" s="43"/>
      <c r="CW716" s="43"/>
      <c r="CX716" s="43"/>
      <c r="CY716" s="43"/>
      <c r="CZ716" s="43"/>
      <c r="DA716" s="43"/>
      <c r="DB716" s="43"/>
      <c r="DC716" s="43"/>
      <c r="DD716" s="43"/>
      <c r="DE716" s="43"/>
      <c r="DF716" s="43"/>
      <c r="DG716" s="43"/>
      <c r="DH716" s="43"/>
      <c r="DI716" s="43"/>
      <c r="DJ716" s="43"/>
      <c r="DK716" s="43"/>
      <c r="DL716" s="43"/>
      <c r="DM716" s="43"/>
      <c r="DN716" s="43"/>
      <c r="DO716" s="43"/>
      <c r="DP716" s="43"/>
      <c r="DQ716" s="43"/>
      <c r="DR716" s="43"/>
      <c r="DS716" s="43"/>
    </row>
    <row r="717" spans="1:123" ht="14.45">
      <c r="A717"/>
      <c r="B717"/>
      <c r="C717"/>
      <c r="D717"/>
      <c r="E717"/>
      <c r="F717"/>
      <c r="G717"/>
      <c r="H717"/>
      <c r="I717"/>
      <c r="J717"/>
      <c r="K717" s="43"/>
      <c r="L717" s="43"/>
      <c r="M717" s="43"/>
      <c r="N717" s="43"/>
      <c r="O717" s="43"/>
      <c r="P717" s="43"/>
      <c r="Q717" s="43"/>
      <c r="R717" s="43"/>
      <c r="S717" s="43"/>
      <c r="T717" s="43"/>
      <c r="U717" s="43"/>
      <c r="V717" s="43"/>
      <c r="W717" s="43"/>
      <c r="X717" s="43"/>
      <c r="Y717" s="43"/>
      <c r="Z717" s="43"/>
      <c r="AA717" s="43"/>
      <c r="AB717" s="43"/>
      <c r="AC717" s="43"/>
      <c r="AD717" s="43"/>
      <c r="AE717" s="43"/>
      <c r="AF717" s="43"/>
      <c r="AG717" s="43"/>
      <c r="AH717" s="43"/>
      <c r="AI717" s="43"/>
      <c r="AJ717" s="43"/>
      <c r="AK717" s="43"/>
      <c r="AL717" s="43"/>
      <c r="AM717" s="43"/>
      <c r="AN717" s="43"/>
      <c r="AO717" s="43"/>
      <c r="AP717" s="43"/>
      <c r="AQ717" s="43"/>
      <c r="AR717" s="43"/>
      <c r="AS717" s="43"/>
      <c r="AT717" s="43"/>
      <c r="AU717" s="43"/>
      <c r="AV717" s="43"/>
      <c r="AW717" s="43"/>
      <c r="AX717" s="43"/>
      <c r="AY717" s="43"/>
      <c r="AZ717" s="43"/>
      <c r="BA717" s="43"/>
      <c r="BB717" s="43"/>
      <c r="BC717" s="43"/>
      <c r="BD717" s="43"/>
      <c r="BE717" s="43"/>
      <c r="BF717" s="43"/>
      <c r="BG717" s="43"/>
      <c r="BH717" s="43"/>
      <c r="BI717" s="43"/>
      <c r="BJ717" s="43"/>
      <c r="BK717" s="43"/>
      <c r="BL717" s="43"/>
      <c r="BM717" s="43"/>
      <c r="BN717" s="43"/>
      <c r="BO717" s="43"/>
      <c r="BP717" s="43"/>
      <c r="BQ717" s="43"/>
      <c r="BR717" s="43"/>
      <c r="BS717" s="43"/>
      <c r="BT717" s="43"/>
      <c r="BU717" s="43"/>
      <c r="BV717" s="43"/>
      <c r="BW717" s="43"/>
      <c r="BX717" s="43"/>
      <c r="BY717" s="43"/>
      <c r="BZ717" s="43"/>
      <c r="CA717" s="43"/>
      <c r="CB717" s="43"/>
      <c r="CC717" s="43"/>
      <c r="CD717" s="43"/>
      <c r="CE717" s="43"/>
      <c r="CF717" s="43"/>
      <c r="CG717" s="43"/>
      <c r="CH717" s="43"/>
      <c r="CI717" s="43"/>
      <c r="CJ717" s="43"/>
      <c r="CK717" s="43"/>
      <c r="CL717" s="43"/>
      <c r="CM717" s="43"/>
      <c r="CN717" s="43"/>
      <c r="CO717" s="43"/>
      <c r="CP717" s="43"/>
      <c r="CQ717" s="43"/>
      <c r="CR717" s="43"/>
      <c r="CS717" s="43"/>
      <c r="CT717" s="43"/>
      <c r="CU717" s="43"/>
      <c r="CV717" s="43"/>
      <c r="CW717" s="43"/>
      <c r="CX717" s="43"/>
      <c r="CY717" s="43"/>
      <c r="CZ717" s="43"/>
      <c r="DA717" s="43"/>
      <c r="DB717" s="43"/>
      <c r="DC717" s="43"/>
      <c r="DD717" s="43"/>
      <c r="DE717" s="43"/>
      <c r="DF717" s="43"/>
      <c r="DG717" s="43"/>
      <c r="DH717" s="43"/>
      <c r="DI717" s="43"/>
      <c r="DJ717" s="43"/>
      <c r="DK717" s="43"/>
      <c r="DL717" s="43"/>
      <c r="DM717" s="43"/>
      <c r="DN717" s="43"/>
      <c r="DO717" s="43"/>
      <c r="DP717" s="43"/>
      <c r="DQ717" s="43"/>
      <c r="DR717" s="43"/>
      <c r="DS717" s="43"/>
    </row>
    <row r="718" spans="1:123" ht="14.45">
      <c r="A718"/>
      <c r="B718"/>
      <c r="C718"/>
      <c r="D718"/>
      <c r="E718"/>
      <c r="F718"/>
      <c r="G718"/>
      <c r="H718"/>
      <c r="I718"/>
      <c r="J718"/>
      <c r="K718" s="43"/>
      <c r="L718" s="43"/>
      <c r="M718" s="43"/>
      <c r="N718" s="43"/>
      <c r="O718" s="43"/>
      <c r="P718" s="43"/>
      <c r="Q718" s="43"/>
      <c r="R718" s="43"/>
      <c r="S718" s="43"/>
      <c r="T718" s="43"/>
      <c r="U718" s="43"/>
      <c r="V718" s="43"/>
      <c r="W718" s="43"/>
      <c r="X718" s="43"/>
      <c r="Y718" s="43"/>
      <c r="Z718" s="43"/>
      <c r="AA718" s="43"/>
      <c r="AB718" s="43"/>
      <c r="AC718" s="43"/>
      <c r="AD718" s="43"/>
      <c r="AE718" s="43"/>
      <c r="AF718" s="43"/>
      <c r="AG718" s="43"/>
      <c r="AH718" s="43"/>
      <c r="AI718" s="43"/>
      <c r="AJ718" s="43"/>
      <c r="AK718" s="43"/>
      <c r="AL718" s="43"/>
      <c r="AM718" s="43"/>
      <c r="AN718" s="43"/>
      <c r="AO718" s="43"/>
      <c r="AP718" s="43"/>
      <c r="AQ718" s="43"/>
      <c r="AR718" s="43"/>
      <c r="AS718" s="43"/>
      <c r="AT718" s="43"/>
      <c r="AU718" s="43"/>
      <c r="AV718" s="43"/>
      <c r="AW718" s="43"/>
      <c r="AX718" s="43"/>
      <c r="AY718" s="43"/>
      <c r="AZ718" s="43"/>
      <c r="BA718" s="43"/>
      <c r="BB718" s="43"/>
      <c r="BC718" s="43"/>
      <c r="BD718" s="43"/>
      <c r="BE718" s="43"/>
      <c r="BF718" s="43"/>
      <c r="BG718" s="43"/>
      <c r="BH718" s="43"/>
      <c r="BI718" s="43"/>
      <c r="BJ718" s="43"/>
      <c r="BK718" s="43"/>
      <c r="BL718" s="43"/>
      <c r="BM718" s="43"/>
      <c r="BN718" s="43"/>
      <c r="BO718" s="43"/>
      <c r="BP718" s="43"/>
      <c r="BQ718" s="43"/>
      <c r="BR718" s="43"/>
      <c r="BS718" s="43"/>
      <c r="BT718" s="43"/>
      <c r="BU718" s="43"/>
      <c r="BV718" s="43"/>
      <c r="BW718" s="43"/>
      <c r="BX718" s="43"/>
      <c r="BY718" s="43"/>
      <c r="BZ718" s="43"/>
      <c r="CA718" s="43"/>
      <c r="CB718" s="43"/>
      <c r="CC718" s="43"/>
      <c r="CD718" s="43"/>
      <c r="CE718" s="43"/>
      <c r="CF718" s="43"/>
      <c r="CG718" s="43"/>
      <c r="CH718" s="43"/>
      <c r="CI718" s="43"/>
      <c r="CJ718" s="43"/>
      <c r="CK718" s="43"/>
      <c r="CL718" s="43"/>
      <c r="CM718" s="43"/>
      <c r="CN718" s="43"/>
      <c r="CO718" s="43"/>
      <c r="CP718" s="43"/>
      <c r="CQ718" s="43"/>
      <c r="CR718" s="43"/>
      <c r="CS718" s="43"/>
      <c r="CT718" s="43"/>
      <c r="CU718" s="43"/>
      <c r="CV718" s="43"/>
      <c r="CW718" s="43"/>
      <c r="CX718" s="43"/>
      <c r="CY718" s="43"/>
      <c r="CZ718" s="43"/>
      <c r="DA718" s="43"/>
      <c r="DB718" s="43"/>
      <c r="DC718" s="43"/>
      <c r="DD718" s="43"/>
      <c r="DE718" s="43"/>
      <c r="DF718" s="43"/>
      <c r="DG718" s="43"/>
      <c r="DH718" s="43"/>
      <c r="DI718" s="43"/>
      <c r="DJ718" s="43"/>
      <c r="DK718" s="43"/>
      <c r="DL718" s="43"/>
      <c r="DM718" s="43"/>
      <c r="DN718" s="43"/>
      <c r="DO718" s="43"/>
      <c r="DP718" s="43"/>
      <c r="DQ718" s="43"/>
      <c r="DR718" s="43"/>
      <c r="DS718" s="43"/>
    </row>
    <row r="719" spans="1:123" ht="14.45">
      <c r="A719"/>
      <c r="B719"/>
      <c r="C719"/>
      <c r="D719"/>
      <c r="E719"/>
      <c r="F719"/>
      <c r="G719"/>
      <c r="H719"/>
      <c r="I719"/>
      <c r="J719"/>
      <c r="K719" s="43"/>
      <c r="L719" s="43"/>
      <c r="M719" s="43"/>
      <c r="N719" s="43"/>
      <c r="O719" s="43"/>
      <c r="P719" s="43"/>
      <c r="Q719" s="43"/>
      <c r="R719" s="43"/>
      <c r="S719" s="43"/>
      <c r="T719" s="43"/>
      <c r="U719" s="43"/>
      <c r="V719" s="43"/>
      <c r="W719" s="43"/>
      <c r="X719" s="43"/>
      <c r="Y719" s="43"/>
      <c r="Z719" s="43"/>
      <c r="AA719" s="43"/>
      <c r="AB719" s="43"/>
      <c r="AC719" s="43"/>
      <c r="AD719" s="43"/>
      <c r="AE719" s="43"/>
      <c r="AF719" s="43"/>
      <c r="AG719" s="43"/>
      <c r="AH719" s="43"/>
      <c r="AI719" s="43"/>
      <c r="AJ719" s="43"/>
      <c r="AK719" s="43"/>
      <c r="AL719" s="43"/>
      <c r="AM719" s="43"/>
      <c r="AN719" s="43"/>
      <c r="AO719" s="43"/>
      <c r="AP719" s="43"/>
      <c r="AQ719" s="43"/>
      <c r="AR719" s="43"/>
      <c r="AS719" s="43"/>
      <c r="AT719" s="43"/>
      <c r="AU719" s="43"/>
      <c r="AV719" s="43"/>
      <c r="AW719" s="43"/>
      <c r="AX719" s="43"/>
      <c r="AY719" s="43"/>
      <c r="AZ719" s="43"/>
      <c r="BA719" s="43"/>
      <c r="BB719" s="43"/>
      <c r="BC719" s="43"/>
      <c r="BD719" s="43"/>
      <c r="BE719" s="43"/>
      <c r="BF719" s="43"/>
      <c r="BG719" s="43"/>
      <c r="BH719" s="43"/>
      <c r="BI719" s="43"/>
      <c r="BJ719" s="43"/>
      <c r="BK719" s="43"/>
      <c r="BL719" s="43"/>
      <c r="BM719" s="43"/>
      <c r="BN719" s="43"/>
      <c r="BO719" s="43"/>
      <c r="BP719" s="43"/>
      <c r="BQ719" s="43"/>
      <c r="BR719" s="43"/>
      <c r="BS719" s="43"/>
      <c r="BT719" s="43"/>
      <c r="BU719" s="43"/>
      <c r="BV719" s="43"/>
      <c r="BW719" s="43"/>
      <c r="BX719" s="43"/>
      <c r="BY719" s="43"/>
      <c r="BZ719" s="43"/>
      <c r="CA719" s="43"/>
      <c r="CB719" s="43"/>
      <c r="CC719" s="43"/>
      <c r="CD719" s="43"/>
      <c r="CE719" s="43"/>
      <c r="CF719" s="43"/>
      <c r="CG719" s="43"/>
      <c r="CH719" s="43"/>
      <c r="CI719" s="43"/>
      <c r="CJ719" s="43"/>
      <c r="CK719" s="43"/>
      <c r="CL719" s="43"/>
      <c r="CM719" s="43"/>
      <c r="CN719" s="43"/>
      <c r="CO719" s="43"/>
      <c r="CP719" s="43"/>
      <c r="CQ719" s="43"/>
      <c r="CR719" s="43"/>
      <c r="CS719" s="43"/>
      <c r="CT719" s="43"/>
      <c r="CU719" s="43"/>
      <c r="CV719" s="43"/>
      <c r="CW719" s="43"/>
      <c r="CX719" s="43"/>
      <c r="CY719" s="43"/>
      <c r="CZ719" s="43"/>
      <c r="DA719" s="43"/>
      <c r="DB719" s="43"/>
      <c r="DC719" s="43"/>
      <c r="DD719" s="43"/>
      <c r="DE719" s="43"/>
      <c r="DF719" s="43"/>
      <c r="DG719" s="43"/>
      <c r="DH719" s="43"/>
      <c r="DI719" s="43"/>
      <c r="DJ719" s="43"/>
      <c r="DK719" s="43"/>
      <c r="DL719" s="43"/>
      <c r="DM719" s="43"/>
      <c r="DN719" s="43"/>
      <c r="DO719" s="43"/>
      <c r="DP719" s="43"/>
      <c r="DQ719" s="43"/>
      <c r="DR719" s="43"/>
      <c r="DS719" s="43"/>
    </row>
    <row r="720" spans="1:123" ht="14.45">
      <c r="A720"/>
      <c r="B720"/>
      <c r="C720"/>
      <c r="D720"/>
      <c r="E720"/>
      <c r="F720"/>
      <c r="G720"/>
      <c r="H720"/>
      <c r="I720"/>
      <c r="J720"/>
      <c r="K720" s="43"/>
      <c r="L720" s="43"/>
      <c r="M720" s="43"/>
      <c r="N720" s="43"/>
      <c r="O720" s="43"/>
      <c r="P720" s="43"/>
      <c r="Q720" s="43"/>
      <c r="R720" s="43"/>
      <c r="S720" s="43"/>
      <c r="T720" s="43"/>
      <c r="U720" s="43"/>
      <c r="V720" s="43"/>
      <c r="W720" s="43"/>
      <c r="X720" s="43"/>
      <c r="Y720" s="43"/>
      <c r="Z720" s="43"/>
      <c r="AA720" s="43"/>
      <c r="AB720" s="43"/>
      <c r="AC720" s="43"/>
      <c r="AD720" s="43"/>
      <c r="AE720" s="43"/>
      <c r="AF720" s="43"/>
      <c r="AG720" s="43"/>
      <c r="AH720" s="43"/>
      <c r="AI720" s="43"/>
      <c r="AJ720" s="43"/>
      <c r="AK720" s="43"/>
      <c r="AL720" s="43"/>
      <c r="AM720" s="43"/>
      <c r="AN720" s="43"/>
      <c r="AO720" s="43"/>
      <c r="AP720" s="43"/>
      <c r="AQ720" s="43"/>
      <c r="AR720" s="43"/>
      <c r="AS720" s="43"/>
      <c r="AT720" s="43"/>
      <c r="AU720" s="43"/>
      <c r="AV720" s="43"/>
      <c r="AW720" s="43"/>
      <c r="AX720" s="43"/>
      <c r="AY720" s="43"/>
      <c r="AZ720" s="43"/>
      <c r="BA720" s="43"/>
      <c r="BB720" s="43"/>
      <c r="BC720" s="43"/>
      <c r="BD720" s="43"/>
      <c r="BE720" s="43"/>
      <c r="BF720" s="43"/>
      <c r="BG720" s="43"/>
      <c r="BH720" s="43"/>
      <c r="BI720" s="43"/>
      <c r="BJ720" s="43"/>
      <c r="BK720" s="43"/>
      <c r="BL720" s="43"/>
      <c r="BM720" s="43"/>
      <c r="BN720" s="43"/>
      <c r="BO720" s="43"/>
      <c r="BP720" s="43"/>
      <c r="BQ720" s="43"/>
      <c r="BR720" s="43"/>
      <c r="BS720" s="43"/>
      <c r="BT720" s="43"/>
      <c r="BU720" s="43"/>
      <c r="BV720" s="43"/>
      <c r="BW720" s="43"/>
      <c r="BX720" s="43"/>
      <c r="BY720" s="43"/>
      <c r="BZ720" s="43"/>
      <c r="CA720" s="43"/>
      <c r="CB720" s="43"/>
      <c r="CC720" s="43"/>
      <c r="CD720" s="43"/>
      <c r="CE720" s="43"/>
      <c r="CF720" s="43"/>
      <c r="CG720" s="43"/>
      <c r="CH720" s="43"/>
      <c r="CI720" s="43"/>
      <c r="CJ720" s="43"/>
      <c r="CK720" s="43"/>
      <c r="CL720" s="43"/>
      <c r="CM720" s="43"/>
      <c r="CN720" s="43"/>
      <c r="CO720" s="43"/>
      <c r="CP720" s="43"/>
      <c r="CQ720" s="43"/>
      <c r="CR720" s="43"/>
      <c r="CS720" s="43"/>
      <c r="CT720" s="43"/>
      <c r="CU720" s="43"/>
      <c r="CV720" s="43"/>
      <c r="CW720" s="43"/>
      <c r="CX720" s="43"/>
      <c r="CY720" s="43"/>
      <c r="CZ720" s="43"/>
      <c r="DA720" s="43"/>
      <c r="DB720" s="43"/>
      <c r="DC720" s="43"/>
      <c r="DD720" s="43"/>
      <c r="DE720" s="43"/>
      <c r="DF720" s="43"/>
      <c r="DG720" s="43"/>
      <c r="DH720" s="43"/>
      <c r="DI720" s="43"/>
      <c r="DJ720" s="43"/>
      <c r="DK720" s="43"/>
      <c r="DL720" s="43"/>
      <c r="DM720" s="43"/>
      <c r="DN720" s="43"/>
      <c r="DO720" s="43"/>
      <c r="DP720" s="43"/>
      <c r="DQ720" s="43"/>
      <c r="DR720" s="43"/>
      <c r="DS720" s="43"/>
    </row>
    <row r="721" spans="1:123" ht="14.45">
      <c r="A721"/>
      <c r="B721"/>
      <c r="C721"/>
      <c r="D721"/>
      <c r="E721"/>
      <c r="F721"/>
      <c r="G721"/>
      <c r="H721"/>
      <c r="I721"/>
      <c r="J721"/>
      <c r="K721" s="43"/>
      <c r="L721" s="43"/>
      <c r="M721" s="43"/>
      <c r="N721" s="43"/>
      <c r="O721" s="43"/>
      <c r="P721" s="43"/>
      <c r="Q721" s="43"/>
      <c r="R721" s="43"/>
      <c r="S721" s="43"/>
      <c r="T721" s="43"/>
      <c r="U721" s="43"/>
      <c r="V721" s="43"/>
      <c r="W721" s="43"/>
      <c r="X721" s="43"/>
      <c r="Y721" s="43"/>
      <c r="Z721" s="43"/>
      <c r="AA721" s="43"/>
      <c r="AB721" s="43"/>
      <c r="AC721" s="43"/>
      <c r="AD721" s="43"/>
      <c r="AE721" s="43"/>
      <c r="AF721" s="43"/>
      <c r="AG721" s="43"/>
      <c r="AH721" s="43"/>
      <c r="AI721" s="43"/>
      <c r="AJ721" s="43"/>
      <c r="AK721" s="43"/>
      <c r="AL721" s="43"/>
      <c r="AM721" s="43"/>
      <c r="AN721" s="43"/>
      <c r="AO721" s="43"/>
      <c r="AP721" s="43"/>
      <c r="AQ721" s="43"/>
      <c r="AR721" s="43"/>
      <c r="AS721" s="43"/>
      <c r="AT721" s="43"/>
      <c r="AU721" s="43"/>
      <c r="AV721" s="43"/>
      <c r="AW721" s="43"/>
      <c r="AX721" s="43"/>
      <c r="AY721" s="43"/>
      <c r="AZ721" s="43"/>
      <c r="BA721" s="43"/>
      <c r="BB721" s="43"/>
      <c r="BC721" s="43"/>
      <c r="BD721" s="43"/>
      <c r="BE721" s="43"/>
      <c r="BF721" s="43"/>
      <c r="BG721" s="43"/>
      <c r="BH721" s="43"/>
      <c r="BI721" s="43"/>
      <c r="BJ721" s="43"/>
      <c r="BK721" s="43"/>
      <c r="BL721" s="43"/>
      <c r="BM721" s="43"/>
      <c r="BN721" s="43"/>
      <c r="BO721" s="43"/>
      <c r="BP721" s="43"/>
      <c r="BQ721" s="43"/>
      <c r="BR721" s="43"/>
      <c r="BS721" s="43"/>
      <c r="BT721" s="43"/>
      <c r="BU721" s="43"/>
      <c r="BV721" s="43"/>
      <c r="BW721" s="43"/>
      <c r="BX721" s="43"/>
      <c r="BY721" s="43"/>
      <c r="BZ721" s="43"/>
      <c r="CA721" s="43"/>
      <c r="CB721" s="43"/>
      <c r="CC721" s="43"/>
      <c r="CD721" s="43"/>
      <c r="CE721" s="43"/>
      <c r="CF721" s="43"/>
      <c r="CG721" s="43"/>
      <c r="CH721" s="43"/>
      <c r="CI721" s="43"/>
      <c r="CJ721" s="43"/>
      <c r="CK721" s="43"/>
      <c r="CL721" s="43"/>
      <c r="CM721" s="43"/>
      <c r="CN721" s="43"/>
      <c r="CO721" s="43"/>
      <c r="CP721" s="43"/>
      <c r="CQ721" s="43"/>
      <c r="CR721" s="43"/>
      <c r="CS721" s="43"/>
      <c r="CT721" s="43"/>
      <c r="CU721" s="43"/>
      <c r="CV721" s="43"/>
      <c r="CW721" s="43"/>
      <c r="CX721" s="43"/>
      <c r="CY721" s="43"/>
      <c r="CZ721" s="43"/>
      <c r="DA721" s="43"/>
      <c r="DB721" s="43"/>
      <c r="DC721" s="43"/>
      <c r="DD721" s="43"/>
      <c r="DE721" s="43"/>
      <c r="DF721" s="43"/>
      <c r="DG721" s="43"/>
      <c r="DH721" s="43"/>
      <c r="DI721" s="43"/>
      <c r="DJ721" s="43"/>
      <c r="DK721" s="43"/>
      <c r="DL721" s="43"/>
      <c r="DM721" s="43"/>
      <c r="DN721" s="43"/>
      <c r="DO721" s="43"/>
      <c r="DP721" s="43"/>
      <c r="DQ721" s="43"/>
      <c r="DR721" s="43"/>
      <c r="DS721" s="43"/>
    </row>
    <row r="722" spans="1:123" ht="14.45">
      <c r="A722"/>
      <c r="B722"/>
      <c r="C722"/>
      <c r="D722"/>
      <c r="E722"/>
      <c r="F722"/>
      <c r="G722"/>
      <c r="H722"/>
      <c r="I722"/>
      <c r="J722"/>
      <c r="K722" s="43"/>
      <c r="L722" s="43"/>
      <c r="M722" s="43"/>
      <c r="N722" s="43"/>
      <c r="O722" s="43"/>
      <c r="P722" s="43"/>
      <c r="Q722" s="43"/>
      <c r="R722" s="43"/>
      <c r="S722" s="43"/>
      <c r="T722" s="43"/>
      <c r="U722" s="43"/>
      <c r="V722" s="43"/>
      <c r="W722" s="43"/>
      <c r="X722" s="43"/>
      <c r="Y722" s="43"/>
      <c r="Z722" s="43"/>
      <c r="AA722" s="43"/>
      <c r="AB722" s="43"/>
      <c r="AC722" s="43"/>
      <c r="AD722" s="43"/>
      <c r="AE722" s="43"/>
      <c r="AF722" s="43"/>
      <c r="AG722" s="43"/>
      <c r="AH722" s="43"/>
      <c r="AI722" s="43"/>
      <c r="AJ722" s="43"/>
      <c r="AK722" s="43"/>
      <c r="AL722" s="43"/>
      <c r="AM722" s="43"/>
      <c r="AN722" s="43"/>
      <c r="AO722" s="43"/>
      <c r="AP722" s="43"/>
      <c r="AQ722" s="43"/>
      <c r="AR722" s="43"/>
      <c r="AS722" s="43"/>
      <c r="AT722" s="43"/>
      <c r="AU722" s="43"/>
      <c r="AV722" s="43"/>
      <c r="AW722" s="43"/>
      <c r="AX722" s="43"/>
      <c r="AY722" s="43"/>
      <c r="AZ722" s="43"/>
      <c r="BA722" s="43"/>
      <c r="BB722" s="43"/>
      <c r="BC722" s="43"/>
      <c r="BD722" s="43"/>
      <c r="BE722" s="43"/>
      <c r="BF722" s="43"/>
      <c r="BG722" s="43"/>
      <c r="BH722" s="43"/>
      <c r="BI722" s="43"/>
      <c r="BJ722" s="43"/>
      <c r="BK722" s="43"/>
      <c r="BL722" s="43"/>
      <c r="BM722" s="43"/>
      <c r="BN722" s="43"/>
      <c r="BO722" s="43"/>
      <c r="BP722" s="43"/>
      <c r="BQ722" s="43"/>
      <c r="BR722" s="43"/>
      <c r="BS722" s="43"/>
      <c r="BT722" s="43"/>
      <c r="BU722" s="43"/>
      <c r="BV722" s="43"/>
      <c r="BW722" s="43"/>
      <c r="BX722" s="43"/>
      <c r="BY722" s="43"/>
      <c r="BZ722" s="43"/>
      <c r="CA722" s="43"/>
      <c r="CB722" s="43"/>
      <c r="CC722" s="43"/>
      <c r="CD722" s="43"/>
      <c r="CE722" s="43"/>
      <c r="CF722" s="43"/>
      <c r="CG722" s="43"/>
      <c r="CH722" s="43"/>
      <c r="CI722" s="43"/>
      <c r="CJ722" s="43"/>
      <c r="CK722" s="43"/>
      <c r="CL722" s="43"/>
      <c r="CM722" s="43"/>
      <c r="CN722" s="43"/>
      <c r="CO722" s="43"/>
      <c r="CP722" s="43"/>
      <c r="CQ722" s="43"/>
      <c r="CR722" s="43"/>
      <c r="CS722" s="43"/>
      <c r="CT722" s="43"/>
      <c r="CU722" s="43"/>
      <c r="CV722" s="43"/>
      <c r="CW722" s="43"/>
      <c r="CX722" s="43"/>
      <c r="CY722" s="43"/>
      <c r="CZ722" s="43"/>
      <c r="DA722" s="43"/>
      <c r="DB722" s="43"/>
      <c r="DC722" s="43"/>
      <c r="DD722" s="43"/>
      <c r="DE722" s="43"/>
      <c r="DF722" s="43"/>
      <c r="DG722" s="43"/>
      <c r="DH722" s="43"/>
      <c r="DI722" s="43"/>
      <c r="DJ722" s="43"/>
      <c r="DK722" s="43"/>
      <c r="DL722" s="43"/>
      <c r="DM722" s="43"/>
      <c r="DN722" s="43"/>
      <c r="DO722" s="43"/>
      <c r="DP722" s="43"/>
      <c r="DQ722" s="43"/>
      <c r="DR722" s="43"/>
      <c r="DS722" s="43"/>
    </row>
    <row r="723" spans="1:123" ht="14.45">
      <c r="A723"/>
      <c r="B723"/>
      <c r="C723"/>
      <c r="D723"/>
      <c r="E723"/>
      <c r="F723"/>
      <c r="G723"/>
      <c r="H723"/>
      <c r="I723"/>
      <c r="J723"/>
      <c r="K723" s="43"/>
      <c r="L723" s="43"/>
      <c r="M723" s="43"/>
      <c r="N723" s="43"/>
      <c r="O723" s="43"/>
      <c r="P723" s="43"/>
      <c r="Q723" s="43"/>
      <c r="R723" s="43"/>
      <c r="S723" s="43"/>
      <c r="T723" s="43"/>
      <c r="U723" s="43"/>
      <c r="V723" s="43"/>
      <c r="W723" s="43"/>
      <c r="X723" s="43"/>
      <c r="Y723" s="43"/>
      <c r="Z723" s="43"/>
      <c r="AA723" s="43"/>
      <c r="AB723" s="43"/>
      <c r="AC723" s="43"/>
      <c r="AD723" s="43"/>
      <c r="AE723" s="43"/>
      <c r="AF723" s="43"/>
      <c r="AG723" s="43"/>
      <c r="AH723" s="43"/>
      <c r="AI723" s="43"/>
      <c r="AJ723" s="43"/>
      <c r="AK723" s="43"/>
      <c r="AL723" s="43"/>
      <c r="AM723" s="43"/>
      <c r="AN723" s="43"/>
      <c r="AO723" s="43"/>
      <c r="AP723" s="43"/>
      <c r="AQ723" s="43"/>
      <c r="AR723" s="43"/>
      <c r="AS723" s="43"/>
      <c r="AT723" s="43"/>
      <c r="AU723" s="43"/>
      <c r="AV723" s="43"/>
      <c r="AW723" s="43"/>
      <c r="AX723" s="43"/>
      <c r="AY723" s="43"/>
      <c r="AZ723" s="43"/>
      <c r="BA723" s="43"/>
      <c r="BB723" s="43"/>
      <c r="BC723" s="43"/>
      <c r="BD723" s="43"/>
      <c r="BE723" s="43"/>
      <c r="BF723" s="43"/>
      <c r="BG723" s="43"/>
      <c r="BH723" s="43"/>
      <c r="BI723" s="43"/>
      <c r="BJ723" s="43"/>
      <c r="BK723" s="43"/>
      <c r="BL723" s="43"/>
      <c r="BM723" s="43"/>
      <c r="BN723" s="43"/>
      <c r="BO723" s="43"/>
      <c r="BP723" s="43"/>
      <c r="BQ723" s="43"/>
      <c r="BR723" s="43"/>
      <c r="BS723" s="43"/>
      <c r="BT723" s="43"/>
      <c r="BU723" s="43"/>
      <c r="BV723" s="43"/>
      <c r="BW723" s="43"/>
      <c r="BX723" s="43"/>
      <c r="BY723" s="43"/>
      <c r="BZ723" s="43"/>
      <c r="CA723" s="43"/>
      <c r="CB723" s="43"/>
      <c r="CC723" s="43"/>
      <c r="CD723" s="43"/>
      <c r="CE723" s="43"/>
      <c r="CF723" s="43"/>
      <c r="CG723" s="43"/>
      <c r="CH723" s="43"/>
      <c r="CI723" s="43"/>
      <c r="CJ723" s="43"/>
      <c r="CK723" s="43"/>
      <c r="CL723" s="43"/>
      <c r="CM723" s="43"/>
      <c r="CN723" s="43"/>
      <c r="CO723" s="43"/>
      <c r="CP723" s="43"/>
      <c r="CQ723" s="43"/>
      <c r="CR723" s="43"/>
      <c r="CS723" s="43"/>
      <c r="CT723" s="43"/>
      <c r="CU723" s="43"/>
      <c r="CV723" s="43"/>
      <c r="CW723" s="43"/>
      <c r="CX723" s="43"/>
      <c r="CY723" s="43"/>
      <c r="CZ723" s="43"/>
      <c r="DA723" s="43"/>
      <c r="DB723" s="43"/>
      <c r="DC723" s="43"/>
      <c r="DD723" s="43"/>
      <c r="DE723" s="43"/>
      <c r="DF723" s="43"/>
      <c r="DG723" s="43"/>
      <c r="DH723" s="43"/>
      <c r="DI723" s="43"/>
      <c r="DJ723" s="43"/>
      <c r="DK723" s="43"/>
      <c r="DL723" s="43"/>
      <c r="DM723" s="43"/>
      <c r="DN723" s="43"/>
      <c r="DO723" s="43"/>
      <c r="DP723" s="43"/>
      <c r="DQ723" s="43"/>
      <c r="DR723" s="43"/>
      <c r="DS723" s="43"/>
    </row>
    <row r="724" spans="1:123" ht="14.45">
      <c r="A724"/>
      <c r="B724"/>
      <c r="C724"/>
      <c r="D724"/>
      <c r="E724"/>
      <c r="F724"/>
      <c r="G724"/>
      <c r="H724"/>
      <c r="I724"/>
      <c r="J724"/>
      <c r="K724" s="43"/>
      <c r="L724" s="43"/>
      <c r="M724" s="43"/>
      <c r="N724" s="43"/>
      <c r="O724" s="43"/>
      <c r="P724" s="43"/>
      <c r="Q724" s="43"/>
      <c r="R724" s="43"/>
      <c r="S724" s="43"/>
      <c r="T724" s="43"/>
      <c r="U724" s="43"/>
      <c r="V724" s="43"/>
      <c r="W724" s="43"/>
      <c r="X724" s="43"/>
      <c r="Y724" s="43"/>
      <c r="Z724" s="43"/>
      <c r="AA724" s="43"/>
      <c r="AB724" s="43"/>
      <c r="AC724" s="43"/>
      <c r="AD724" s="43"/>
      <c r="AE724" s="43"/>
      <c r="AF724" s="43"/>
      <c r="AG724" s="43"/>
      <c r="AH724" s="43"/>
      <c r="AI724" s="43"/>
      <c r="AJ724" s="43"/>
      <c r="AK724" s="43"/>
      <c r="AL724" s="43"/>
      <c r="AM724" s="43"/>
      <c r="AN724" s="43"/>
      <c r="AO724" s="43"/>
      <c r="AP724" s="43"/>
      <c r="AQ724" s="43"/>
      <c r="AR724" s="43"/>
      <c r="AS724" s="43"/>
      <c r="AT724" s="43"/>
      <c r="AU724" s="43"/>
      <c r="AV724" s="43"/>
      <c r="AW724" s="43"/>
      <c r="AX724" s="43"/>
      <c r="AY724" s="43"/>
      <c r="AZ724" s="43"/>
      <c r="BA724" s="43"/>
      <c r="BB724" s="43"/>
      <c r="BC724" s="43"/>
      <c r="BD724" s="43"/>
      <c r="BE724" s="43"/>
      <c r="BF724" s="43"/>
      <c r="BG724" s="43"/>
      <c r="BH724" s="43"/>
      <c r="BI724" s="43"/>
      <c r="BJ724" s="43"/>
      <c r="BK724" s="43"/>
      <c r="BL724" s="43"/>
      <c r="BM724" s="43"/>
      <c r="BN724" s="43"/>
      <c r="BO724" s="43"/>
      <c r="BP724" s="43"/>
      <c r="BQ724" s="43"/>
      <c r="BR724" s="43"/>
      <c r="BS724" s="43"/>
      <c r="BT724" s="43"/>
      <c r="BU724" s="43"/>
      <c r="BV724" s="43"/>
      <c r="BW724" s="43"/>
      <c r="BX724" s="43"/>
      <c r="BY724" s="43"/>
      <c r="BZ724" s="43"/>
      <c r="CA724" s="43"/>
      <c r="CB724" s="43"/>
      <c r="CC724" s="43"/>
      <c r="CD724" s="43"/>
      <c r="CE724" s="43"/>
      <c r="CF724" s="43"/>
      <c r="CG724" s="43"/>
      <c r="CH724" s="43"/>
      <c r="CI724" s="43"/>
      <c r="CJ724" s="43"/>
      <c r="CK724" s="43"/>
      <c r="CL724" s="43"/>
      <c r="CM724" s="43"/>
      <c r="CN724" s="43"/>
      <c r="CO724" s="43"/>
      <c r="CP724" s="43"/>
      <c r="CQ724" s="43"/>
      <c r="CR724" s="43"/>
      <c r="CS724" s="43"/>
      <c r="CT724" s="43"/>
      <c r="CU724" s="43"/>
      <c r="CV724" s="43"/>
      <c r="CW724" s="43"/>
      <c r="CX724" s="43"/>
      <c r="CY724" s="43"/>
      <c r="CZ724" s="43"/>
      <c r="DA724" s="43"/>
      <c r="DB724" s="43"/>
      <c r="DC724" s="43"/>
      <c r="DD724" s="43"/>
      <c r="DE724" s="43"/>
      <c r="DF724" s="43"/>
      <c r="DG724" s="43"/>
      <c r="DH724" s="43"/>
      <c r="DI724" s="43"/>
      <c r="DJ724" s="43"/>
      <c r="DK724" s="43"/>
      <c r="DL724" s="43"/>
      <c r="DM724" s="43"/>
      <c r="DN724" s="43"/>
      <c r="DO724" s="43"/>
      <c r="DP724" s="43"/>
      <c r="DQ724" s="43"/>
      <c r="DR724" s="43"/>
      <c r="DS724" s="43"/>
    </row>
    <row r="725" spans="1:123" ht="14.45">
      <c r="A725"/>
      <c r="B725"/>
      <c r="C725"/>
      <c r="D725"/>
      <c r="E725"/>
      <c r="F725"/>
      <c r="G725"/>
      <c r="H725"/>
      <c r="I725"/>
      <c r="J725"/>
      <c r="K725" s="43"/>
      <c r="L725" s="43"/>
      <c r="M725" s="43"/>
      <c r="N725" s="43"/>
      <c r="O725" s="43"/>
      <c r="P725" s="43"/>
      <c r="Q725" s="43"/>
      <c r="R725" s="43"/>
      <c r="S725" s="43"/>
      <c r="T725" s="43"/>
      <c r="U725" s="43"/>
      <c r="V725" s="43"/>
      <c r="W725" s="43"/>
      <c r="X725" s="43"/>
      <c r="Y725" s="43"/>
      <c r="Z725" s="43"/>
      <c r="AA725" s="43"/>
      <c r="AB725" s="43"/>
      <c r="AC725" s="43"/>
      <c r="AD725" s="43"/>
      <c r="AE725" s="43"/>
      <c r="AF725" s="43"/>
      <c r="AG725" s="43"/>
      <c r="AH725" s="43"/>
      <c r="AI725" s="43"/>
      <c r="AJ725" s="43"/>
      <c r="AK725" s="43"/>
      <c r="AL725" s="43"/>
      <c r="AM725" s="43"/>
      <c r="AN725" s="43"/>
      <c r="AO725" s="43"/>
      <c r="AP725" s="43"/>
      <c r="AQ725" s="43"/>
      <c r="AR725" s="43"/>
      <c r="AS725" s="43"/>
      <c r="AT725" s="43"/>
      <c r="AU725" s="43"/>
      <c r="AV725" s="43"/>
      <c r="AW725" s="43"/>
      <c r="AX725" s="43"/>
      <c r="AY725" s="43"/>
      <c r="AZ725" s="43"/>
      <c r="BA725" s="43"/>
      <c r="BB725" s="43"/>
      <c r="BC725" s="43"/>
      <c r="BD725" s="43"/>
      <c r="BE725" s="43"/>
      <c r="BF725" s="43"/>
      <c r="BG725" s="43"/>
      <c r="BH725" s="43"/>
      <c r="BI725" s="43"/>
      <c r="BJ725" s="43"/>
      <c r="BK725" s="43"/>
      <c r="BL725" s="43"/>
      <c r="BM725" s="43"/>
      <c r="BN725" s="43"/>
      <c r="BO725" s="43"/>
      <c r="BP725" s="43"/>
      <c r="BQ725" s="43"/>
      <c r="BR725" s="43"/>
      <c r="BS725" s="43"/>
      <c r="BT725" s="43"/>
      <c r="BU725" s="43"/>
      <c r="BV725" s="43"/>
      <c r="BW725" s="43"/>
      <c r="BX725" s="43"/>
      <c r="BY725" s="43"/>
      <c r="BZ725" s="43"/>
      <c r="CA725" s="43"/>
      <c r="CB725" s="43"/>
      <c r="CC725" s="43"/>
      <c r="CD725" s="43"/>
      <c r="CE725" s="43"/>
      <c r="CF725" s="43"/>
      <c r="CG725" s="43"/>
      <c r="CH725" s="43"/>
      <c r="CI725" s="43"/>
      <c r="CJ725" s="43"/>
      <c r="CK725" s="43"/>
      <c r="CL725" s="43"/>
      <c r="CM725" s="43"/>
      <c r="CN725" s="43"/>
      <c r="CO725" s="43"/>
      <c r="CP725" s="43"/>
      <c r="CQ725" s="43"/>
      <c r="CR725" s="43"/>
      <c r="CS725" s="43"/>
      <c r="CT725" s="43"/>
      <c r="CU725" s="43"/>
      <c r="CV725" s="43"/>
      <c r="CW725" s="43"/>
      <c r="CX725" s="43"/>
      <c r="CY725" s="43"/>
      <c r="CZ725" s="43"/>
      <c r="DA725" s="43"/>
      <c r="DB725" s="43"/>
      <c r="DC725" s="43"/>
      <c r="DD725" s="43"/>
      <c r="DE725" s="43"/>
      <c r="DF725" s="43"/>
      <c r="DG725" s="43"/>
      <c r="DH725" s="43"/>
      <c r="DI725" s="43"/>
      <c r="DJ725" s="43"/>
      <c r="DK725" s="43"/>
      <c r="DL725" s="43"/>
      <c r="DM725" s="43"/>
      <c r="DN725" s="43"/>
      <c r="DO725" s="43"/>
      <c r="DP725" s="43"/>
      <c r="DQ725" s="43"/>
      <c r="DR725" s="43"/>
      <c r="DS725" s="43"/>
    </row>
    <row r="726" spans="1:123" ht="14.45">
      <c r="A726"/>
      <c r="B726"/>
      <c r="C726"/>
      <c r="D726"/>
      <c r="E726"/>
      <c r="F726"/>
      <c r="G726"/>
      <c r="H726"/>
      <c r="I726"/>
      <c r="J726"/>
      <c r="K726" s="43"/>
      <c r="L726" s="43"/>
      <c r="M726" s="43"/>
      <c r="N726" s="43"/>
      <c r="O726" s="43"/>
      <c r="P726" s="43"/>
      <c r="Q726" s="43"/>
      <c r="R726" s="43"/>
      <c r="S726" s="43"/>
      <c r="T726" s="43"/>
      <c r="U726" s="43"/>
      <c r="V726" s="43"/>
      <c r="W726" s="43"/>
      <c r="X726" s="43"/>
      <c r="Y726" s="43"/>
      <c r="Z726" s="43"/>
      <c r="AA726" s="43"/>
      <c r="AB726" s="43"/>
      <c r="AC726" s="43"/>
      <c r="AD726" s="43"/>
      <c r="AE726" s="43"/>
      <c r="AF726" s="43"/>
      <c r="AG726" s="43"/>
      <c r="AH726" s="43"/>
      <c r="AI726" s="43"/>
      <c r="AJ726" s="43"/>
      <c r="AK726" s="43"/>
      <c r="AL726" s="43"/>
      <c r="AM726" s="43"/>
      <c r="AN726" s="43"/>
      <c r="AO726" s="43"/>
      <c r="AP726" s="43"/>
      <c r="AQ726" s="43"/>
      <c r="AR726" s="43"/>
      <c r="AS726" s="43"/>
      <c r="AT726" s="43"/>
      <c r="AU726" s="43"/>
      <c r="AV726" s="43"/>
      <c r="AW726" s="43"/>
      <c r="AX726" s="43"/>
      <c r="AY726" s="43"/>
      <c r="AZ726" s="43"/>
      <c r="BA726" s="43"/>
      <c r="BB726" s="43"/>
      <c r="BC726" s="43"/>
      <c r="BD726" s="43"/>
      <c r="BE726" s="43"/>
      <c r="BF726" s="43"/>
      <c r="BG726" s="43"/>
      <c r="BH726" s="43"/>
      <c r="BI726" s="43"/>
      <c r="BJ726" s="43"/>
      <c r="BK726" s="43"/>
      <c r="BL726" s="43"/>
      <c r="BM726" s="43"/>
      <c r="BN726" s="43"/>
      <c r="BO726" s="43"/>
      <c r="BP726" s="43"/>
      <c r="BQ726" s="43"/>
      <c r="BR726" s="43"/>
      <c r="BS726" s="43"/>
      <c r="BT726" s="43"/>
      <c r="BU726" s="43"/>
      <c r="BV726" s="43"/>
      <c r="BW726" s="43"/>
      <c r="BX726" s="43"/>
      <c r="BY726" s="43"/>
      <c r="BZ726" s="43"/>
      <c r="CA726" s="43"/>
      <c r="CB726" s="43"/>
      <c r="CC726" s="43"/>
      <c r="CD726" s="43"/>
      <c r="CE726" s="43"/>
      <c r="CF726" s="43"/>
      <c r="CG726" s="43"/>
      <c r="CH726" s="43"/>
      <c r="CI726" s="43"/>
      <c r="CJ726" s="43"/>
      <c r="CK726" s="43"/>
      <c r="CL726" s="43"/>
      <c r="CM726" s="43"/>
      <c r="CN726" s="43"/>
      <c r="CO726" s="43"/>
      <c r="CP726" s="43"/>
      <c r="CQ726" s="43"/>
      <c r="CR726" s="43"/>
      <c r="CS726" s="43"/>
      <c r="CT726" s="43"/>
      <c r="CU726" s="43"/>
      <c r="CV726" s="43"/>
      <c r="CW726" s="43"/>
      <c r="CX726" s="43"/>
      <c r="CY726" s="43"/>
      <c r="CZ726" s="43"/>
      <c r="DA726" s="43"/>
      <c r="DB726" s="43"/>
      <c r="DC726" s="43"/>
      <c r="DD726" s="43"/>
      <c r="DE726" s="43"/>
      <c r="DF726" s="43"/>
      <c r="DG726" s="43"/>
      <c r="DH726" s="43"/>
      <c r="DI726" s="43"/>
      <c r="DJ726" s="43"/>
      <c r="DK726" s="43"/>
      <c r="DL726" s="43"/>
      <c r="DM726" s="43"/>
      <c r="DN726" s="43"/>
      <c r="DO726" s="43"/>
      <c r="DP726" s="43"/>
      <c r="DQ726" s="43"/>
      <c r="DR726" s="43"/>
      <c r="DS726" s="43"/>
    </row>
    <row r="727" spans="1:123" ht="14.45">
      <c r="A727"/>
      <c r="B727"/>
      <c r="C727"/>
      <c r="D727"/>
      <c r="E727"/>
      <c r="F727"/>
      <c r="G727"/>
      <c r="H727"/>
      <c r="I727"/>
      <c r="J727"/>
      <c r="K727" s="43"/>
      <c r="L727" s="43"/>
      <c r="M727" s="43"/>
      <c r="N727" s="43"/>
      <c r="O727" s="43"/>
      <c r="P727" s="43"/>
      <c r="Q727" s="43"/>
      <c r="R727" s="43"/>
      <c r="S727" s="43"/>
      <c r="T727" s="43"/>
      <c r="U727" s="43"/>
      <c r="V727" s="43"/>
      <c r="W727" s="43"/>
      <c r="X727" s="43"/>
      <c r="Y727" s="43"/>
      <c r="Z727" s="43"/>
      <c r="AA727" s="43"/>
      <c r="AB727" s="43"/>
      <c r="AC727" s="43"/>
      <c r="AD727" s="43"/>
      <c r="AE727" s="43"/>
      <c r="AF727" s="43"/>
      <c r="AG727" s="43"/>
      <c r="AH727" s="43"/>
      <c r="AI727" s="43"/>
      <c r="AJ727" s="43"/>
      <c r="AK727" s="43"/>
      <c r="AL727" s="43"/>
      <c r="AM727" s="43"/>
      <c r="AN727" s="43"/>
      <c r="AO727" s="43"/>
      <c r="AP727" s="43"/>
      <c r="AQ727" s="43"/>
      <c r="AR727" s="43"/>
      <c r="AS727" s="43"/>
      <c r="AT727" s="43"/>
      <c r="AU727" s="43"/>
      <c r="AV727" s="43"/>
      <c r="AW727" s="43"/>
      <c r="AX727" s="43"/>
      <c r="AY727" s="43"/>
      <c r="AZ727" s="43"/>
      <c r="BA727" s="43"/>
      <c r="BB727" s="43"/>
      <c r="BC727" s="43"/>
      <c r="BD727" s="43"/>
      <c r="BE727" s="43"/>
      <c r="BF727" s="43"/>
      <c r="BG727" s="43"/>
      <c r="BH727" s="43"/>
      <c r="BI727" s="43"/>
      <c r="BJ727" s="43"/>
      <c r="BK727" s="43"/>
      <c r="BL727" s="43"/>
      <c r="BM727" s="43"/>
      <c r="BN727" s="43"/>
      <c r="BO727" s="43"/>
      <c r="BP727" s="43"/>
      <c r="BQ727" s="43"/>
      <c r="BR727" s="43"/>
      <c r="BS727" s="43"/>
      <c r="BT727" s="43"/>
      <c r="BU727" s="43"/>
      <c r="BV727" s="43"/>
      <c r="BW727" s="43"/>
      <c r="BX727" s="43"/>
      <c r="BY727" s="43"/>
      <c r="BZ727" s="43"/>
      <c r="CA727" s="43"/>
      <c r="CB727" s="43"/>
      <c r="CC727" s="43"/>
      <c r="CD727" s="43"/>
      <c r="CE727" s="43"/>
      <c r="CF727" s="43"/>
      <c r="CG727" s="43"/>
      <c r="CH727" s="43"/>
      <c r="CI727" s="43"/>
      <c r="CJ727" s="43"/>
      <c r="CK727" s="43"/>
      <c r="CL727" s="43"/>
      <c r="CM727" s="43"/>
      <c r="CN727" s="43"/>
      <c r="CO727" s="43"/>
      <c r="CP727" s="43"/>
      <c r="CQ727" s="43"/>
      <c r="CR727" s="43"/>
      <c r="CS727" s="43"/>
      <c r="CT727" s="43"/>
      <c r="CU727" s="43"/>
      <c r="CV727" s="43"/>
      <c r="CW727" s="43"/>
      <c r="CX727" s="43"/>
      <c r="CY727" s="43"/>
      <c r="CZ727" s="43"/>
      <c r="DA727" s="43"/>
      <c r="DB727" s="43"/>
      <c r="DC727" s="43"/>
      <c r="DD727" s="43"/>
      <c r="DE727" s="43"/>
      <c r="DF727" s="43"/>
      <c r="DG727" s="43"/>
      <c r="DH727" s="43"/>
      <c r="DI727" s="43"/>
      <c r="DJ727" s="43"/>
      <c r="DK727" s="43"/>
      <c r="DL727" s="43"/>
      <c r="DM727" s="43"/>
      <c r="DN727" s="43"/>
      <c r="DO727" s="43"/>
      <c r="DP727" s="43"/>
      <c r="DQ727" s="43"/>
      <c r="DR727" s="43"/>
      <c r="DS727" s="43"/>
    </row>
    <row r="728" spans="1:123" ht="14.45">
      <c r="A728"/>
      <c r="B728"/>
      <c r="C728"/>
      <c r="D728"/>
      <c r="E728"/>
      <c r="F728"/>
      <c r="G728"/>
      <c r="H728"/>
      <c r="I728"/>
      <c r="J728"/>
      <c r="K728" s="43"/>
      <c r="L728" s="43"/>
      <c r="M728" s="43"/>
      <c r="N728" s="43"/>
      <c r="O728" s="43"/>
      <c r="P728" s="43"/>
      <c r="Q728" s="43"/>
      <c r="R728" s="43"/>
      <c r="S728" s="43"/>
      <c r="T728" s="43"/>
      <c r="U728" s="43"/>
      <c r="V728" s="43"/>
      <c r="W728" s="43"/>
      <c r="X728" s="43"/>
      <c r="Y728" s="43"/>
      <c r="Z728" s="43"/>
      <c r="AA728" s="43"/>
      <c r="AB728" s="43"/>
      <c r="AC728" s="43"/>
      <c r="AD728" s="43"/>
      <c r="AE728" s="43"/>
      <c r="AF728" s="43"/>
      <c r="AG728" s="43"/>
      <c r="AH728" s="43"/>
      <c r="AI728" s="43"/>
      <c r="AJ728" s="43"/>
      <c r="AK728" s="43"/>
      <c r="AL728" s="43"/>
      <c r="AM728" s="43"/>
      <c r="AN728" s="43"/>
      <c r="AO728" s="43"/>
      <c r="AP728" s="43"/>
      <c r="AQ728" s="43"/>
      <c r="AR728" s="43"/>
      <c r="AS728" s="43"/>
      <c r="AT728" s="43"/>
      <c r="AU728" s="43"/>
      <c r="AV728" s="43"/>
      <c r="AW728" s="43"/>
      <c r="AX728" s="43"/>
      <c r="AY728" s="43"/>
      <c r="AZ728" s="43"/>
      <c r="BA728" s="43"/>
      <c r="BB728" s="43"/>
      <c r="BC728" s="43"/>
      <c r="BD728" s="43"/>
      <c r="BE728" s="43"/>
      <c r="BF728" s="43"/>
      <c r="BG728" s="43"/>
      <c r="BH728" s="43"/>
      <c r="BI728" s="43"/>
      <c r="BJ728" s="43"/>
      <c r="BK728" s="43"/>
      <c r="BL728" s="43"/>
      <c r="BM728" s="43"/>
      <c r="BN728" s="43"/>
      <c r="BO728" s="43"/>
      <c r="BP728" s="43"/>
      <c r="BQ728" s="43"/>
      <c r="BR728" s="43"/>
      <c r="BS728" s="43"/>
      <c r="BT728" s="43"/>
      <c r="BU728" s="43"/>
      <c r="BV728" s="43"/>
      <c r="BW728" s="43"/>
      <c r="BX728" s="43"/>
      <c r="BY728" s="43"/>
      <c r="BZ728" s="43"/>
      <c r="CA728" s="43"/>
      <c r="CB728" s="43"/>
      <c r="CC728" s="43"/>
      <c r="CD728" s="43"/>
      <c r="CE728" s="43"/>
      <c r="CF728" s="43"/>
      <c r="CG728" s="43"/>
      <c r="CH728" s="43"/>
      <c r="CI728" s="43"/>
      <c r="CJ728" s="43"/>
      <c r="CK728" s="43"/>
      <c r="CL728" s="43"/>
      <c r="CM728" s="43"/>
      <c r="CN728" s="43"/>
      <c r="CO728" s="43"/>
      <c r="CP728" s="43"/>
      <c r="CQ728" s="43"/>
      <c r="CR728" s="43"/>
      <c r="CS728" s="43"/>
      <c r="CT728" s="43"/>
      <c r="CU728" s="43"/>
      <c r="CV728" s="43"/>
      <c r="CW728" s="43"/>
      <c r="CX728" s="43"/>
      <c r="CY728" s="43"/>
      <c r="CZ728" s="43"/>
      <c r="DA728" s="43"/>
      <c r="DB728" s="43"/>
      <c r="DC728" s="43"/>
      <c r="DD728" s="43"/>
      <c r="DE728" s="43"/>
      <c r="DF728" s="43"/>
      <c r="DG728" s="43"/>
      <c r="DH728" s="43"/>
      <c r="DI728" s="43"/>
      <c r="DJ728" s="43"/>
      <c r="DK728" s="43"/>
      <c r="DL728" s="43"/>
      <c r="DM728" s="43"/>
      <c r="DN728" s="43"/>
      <c r="DO728" s="43"/>
      <c r="DP728" s="43"/>
      <c r="DQ728" s="43"/>
      <c r="DR728" s="43"/>
      <c r="DS728" s="43"/>
    </row>
    <row r="729" spans="1:123" ht="14.45">
      <c r="A729"/>
      <c r="B729"/>
      <c r="C729"/>
      <c r="D729"/>
      <c r="E729"/>
      <c r="F729"/>
      <c r="G729"/>
      <c r="H729"/>
      <c r="I729"/>
      <c r="J729"/>
      <c r="K729" s="43"/>
      <c r="L729" s="43"/>
      <c r="M729" s="43"/>
      <c r="N729" s="43"/>
      <c r="O729" s="43"/>
      <c r="P729" s="43"/>
      <c r="Q729" s="43"/>
      <c r="R729" s="43"/>
      <c r="S729" s="43"/>
      <c r="T729" s="43"/>
      <c r="U729" s="43"/>
      <c r="V729" s="43"/>
      <c r="W729" s="43"/>
      <c r="X729" s="43"/>
      <c r="Y729" s="43"/>
      <c r="Z729" s="43"/>
      <c r="AA729" s="43"/>
      <c r="AB729" s="43"/>
      <c r="AC729" s="43"/>
      <c r="AD729" s="43"/>
      <c r="AE729" s="43"/>
      <c r="AF729" s="43"/>
      <c r="AG729" s="43"/>
      <c r="AH729" s="43"/>
      <c r="AI729" s="43"/>
      <c r="AJ729" s="43"/>
      <c r="AK729" s="43"/>
      <c r="AL729" s="43"/>
      <c r="AM729" s="43"/>
      <c r="AN729" s="43"/>
      <c r="AO729" s="43"/>
      <c r="AP729" s="43"/>
      <c r="AQ729" s="43"/>
      <c r="AR729" s="43"/>
      <c r="AS729" s="43"/>
      <c r="AT729" s="43"/>
      <c r="AU729" s="43"/>
      <c r="AV729" s="43"/>
      <c r="AW729" s="43"/>
      <c r="AX729" s="43"/>
      <c r="AY729" s="43"/>
      <c r="AZ729" s="43"/>
      <c r="BA729" s="43"/>
      <c r="BB729" s="43"/>
      <c r="BC729" s="43"/>
      <c r="BD729" s="43"/>
      <c r="BE729" s="43"/>
      <c r="BF729" s="43"/>
      <c r="BG729" s="43"/>
      <c r="BH729" s="43"/>
      <c r="BI729" s="43"/>
      <c r="BJ729" s="43"/>
      <c r="BK729" s="43"/>
      <c r="BL729" s="43"/>
      <c r="BM729" s="43"/>
      <c r="BN729" s="43"/>
      <c r="BO729" s="43"/>
      <c r="BP729" s="43"/>
      <c r="BQ729" s="43"/>
      <c r="BR729" s="43"/>
      <c r="BS729" s="43"/>
      <c r="BT729" s="43"/>
      <c r="BU729" s="43"/>
      <c r="BV729" s="43"/>
      <c r="BW729" s="43"/>
      <c r="BX729" s="43"/>
      <c r="BY729" s="43"/>
      <c r="BZ729" s="43"/>
      <c r="CA729" s="43"/>
      <c r="CB729" s="43"/>
      <c r="CC729" s="43"/>
      <c r="CD729" s="43"/>
      <c r="CE729" s="43"/>
      <c r="CF729" s="43"/>
      <c r="CG729" s="43"/>
      <c r="CH729" s="43"/>
      <c r="CI729" s="43"/>
      <c r="CJ729" s="43"/>
      <c r="CK729" s="43"/>
      <c r="CL729" s="43"/>
      <c r="CM729" s="43"/>
      <c r="CN729" s="43"/>
      <c r="CO729" s="43"/>
      <c r="CP729" s="43"/>
      <c r="CQ729" s="43"/>
      <c r="CR729" s="43"/>
      <c r="CS729" s="43"/>
      <c r="CT729" s="43"/>
      <c r="CU729" s="43"/>
      <c r="CV729" s="43"/>
      <c r="CW729" s="43"/>
      <c r="CX729" s="43"/>
      <c r="CY729" s="43"/>
      <c r="CZ729" s="43"/>
      <c r="DA729" s="43"/>
      <c r="DB729" s="43"/>
      <c r="DC729" s="43"/>
      <c r="DD729" s="43"/>
      <c r="DE729" s="43"/>
      <c r="DF729" s="43"/>
      <c r="DG729" s="43"/>
      <c r="DH729" s="43"/>
      <c r="DI729" s="43"/>
      <c r="DJ729" s="43"/>
      <c r="DK729" s="43"/>
      <c r="DL729" s="43"/>
      <c r="DM729" s="43"/>
      <c r="DN729" s="43"/>
      <c r="DO729" s="43"/>
      <c r="DP729" s="43"/>
      <c r="DQ729" s="43"/>
      <c r="DR729" s="43"/>
      <c r="DS729" s="43"/>
    </row>
    <row r="730" spans="1:123" ht="14.45">
      <c r="A730"/>
      <c r="B730"/>
      <c r="C730"/>
      <c r="D730"/>
      <c r="E730"/>
      <c r="F730"/>
      <c r="G730"/>
      <c r="H730"/>
      <c r="I730"/>
      <c r="J730"/>
      <c r="K730" s="43"/>
      <c r="L730" s="43"/>
      <c r="M730" s="43"/>
      <c r="N730" s="43"/>
      <c r="O730" s="43"/>
      <c r="P730" s="43"/>
      <c r="Q730" s="43"/>
      <c r="R730" s="43"/>
      <c r="S730" s="43"/>
      <c r="T730" s="43"/>
      <c r="U730" s="43"/>
      <c r="V730" s="43"/>
      <c r="W730" s="43"/>
      <c r="X730" s="43"/>
      <c r="Y730" s="43"/>
      <c r="Z730" s="43"/>
      <c r="AA730" s="43"/>
      <c r="AB730" s="43"/>
      <c r="AC730" s="43"/>
      <c r="AD730" s="43"/>
      <c r="AE730" s="43"/>
      <c r="AF730" s="43"/>
      <c r="AG730" s="43"/>
      <c r="AH730" s="43"/>
      <c r="AI730" s="43"/>
      <c r="AJ730" s="43"/>
      <c r="AK730" s="43"/>
      <c r="AL730" s="43"/>
      <c r="AM730" s="43"/>
      <c r="AN730" s="43"/>
      <c r="AO730" s="43"/>
      <c r="AP730" s="43"/>
      <c r="AQ730" s="43"/>
      <c r="AR730" s="43"/>
      <c r="AS730" s="43"/>
      <c r="AT730" s="43"/>
      <c r="AU730" s="43"/>
      <c r="AV730" s="43"/>
      <c r="AW730" s="43"/>
      <c r="AX730" s="43"/>
      <c r="AY730" s="43"/>
      <c r="AZ730" s="43"/>
      <c r="BA730" s="43"/>
      <c r="BB730" s="43"/>
      <c r="BC730" s="43"/>
      <c r="BD730" s="43"/>
      <c r="BE730" s="43"/>
      <c r="BF730" s="43"/>
      <c r="BG730" s="43"/>
      <c r="BH730" s="43"/>
      <c r="BI730" s="43"/>
      <c r="BJ730" s="43"/>
      <c r="BK730" s="43"/>
      <c r="BL730" s="43"/>
      <c r="BM730" s="43"/>
      <c r="BN730" s="43"/>
      <c r="BO730" s="43"/>
      <c r="BP730" s="43"/>
      <c r="BQ730" s="43"/>
      <c r="BR730" s="43"/>
      <c r="BS730" s="43"/>
      <c r="BT730" s="43"/>
      <c r="BU730" s="43"/>
      <c r="BV730" s="43"/>
      <c r="BW730" s="43"/>
      <c r="BX730" s="43"/>
      <c r="BY730" s="43"/>
      <c r="BZ730" s="43"/>
      <c r="CA730" s="43"/>
      <c r="CB730" s="43"/>
      <c r="CC730" s="43"/>
      <c r="CD730" s="43"/>
      <c r="CE730" s="43"/>
      <c r="CF730" s="43"/>
      <c r="CG730" s="43"/>
      <c r="CH730" s="43"/>
      <c r="CI730" s="43"/>
      <c r="CJ730" s="43"/>
      <c r="CK730" s="43"/>
      <c r="CL730" s="43"/>
      <c r="CM730" s="43"/>
      <c r="CN730" s="43"/>
      <c r="CO730" s="43"/>
      <c r="CP730" s="43"/>
      <c r="CQ730" s="43"/>
      <c r="CR730" s="43"/>
      <c r="CS730" s="43"/>
      <c r="CT730" s="43"/>
      <c r="CU730" s="43"/>
      <c r="CV730" s="43"/>
      <c r="CW730" s="43"/>
      <c r="CX730" s="43"/>
      <c r="CY730" s="43"/>
      <c r="CZ730" s="43"/>
      <c r="DA730" s="43"/>
      <c r="DB730" s="43"/>
      <c r="DC730" s="43"/>
      <c r="DD730" s="43"/>
      <c r="DE730" s="43"/>
      <c r="DF730" s="43"/>
      <c r="DG730" s="43"/>
      <c r="DH730" s="43"/>
      <c r="DI730" s="43"/>
      <c r="DJ730" s="43"/>
      <c r="DK730" s="43"/>
      <c r="DL730" s="43"/>
      <c r="DM730" s="43"/>
      <c r="DN730" s="43"/>
      <c r="DO730" s="43"/>
      <c r="DP730" s="43"/>
      <c r="DQ730" s="43"/>
      <c r="DR730" s="43"/>
      <c r="DS730" s="43"/>
    </row>
    <row r="731" spans="1:123" ht="14.45">
      <c r="A731"/>
      <c r="B731"/>
      <c r="C731"/>
      <c r="D731"/>
      <c r="E731"/>
      <c r="F731"/>
      <c r="G731"/>
      <c r="H731"/>
      <c r="I731"/>
      <c r="J731"/>
      <c r="K731" s="43"/>
      <c r="L731" s="43"/>
      <c r="M731" s="43"/>
      <c r="N731" s="43"/>
      <c r="O731" s="43"/>
      <c r="P731" s="43"/>
      <c r="Q731" s="43"/>
      <c r="R731" s="43"/>
      <c r="S731" s="43"/>
      <c r="T731" s="43"/>
      <c r="U731" s="43"/>
      <c r="V731" s="43"/>
      <c r="W731" s="43"/>
      <c r="X731" s="43"/>
      <c r="Y731" s="43"/>
      <c r="Z731" s="43"/>
      <c r="AA731" s="43"/>
      <c r="AB731" s="43"/>
      <c r="AC731" s="43"/>
      <c r="AD731" s="43"/>
      <c r="AE731" s="43"/>
      <c r="AF731" s="43"/>
      <c r="AG731" s="43"/>
      <c r="AH731" s="43"/>
      <c r="AI731" s="43"/>
      <c r="AJ731" s="43"/>
      <c r="AK731" s="43"/>
      <c r="AL731" s="43"/>
      <c r="AM731" s="43"/>
      <c r="AN731" s="43"/>
      <c r="AO731" s="43"/>
      <c r="AP731" s="43"/>
      <c r="AQ731" s="43"/>
      <c r="AR731" s="43"/>
      <c r="AS731" s="43"/>
      <c r="AT731" s="43"/>
      <c r="AU731" s="43"/>
      <c r="AV731" s="43"/>
      <c r="AW731" s="43"/>
      <c r="AX731" s="43"/>
      <c r="AY731" s="43"/>
      <c r="AZ731" s="43"/>
      <c r="BA731" s="43"/>
      <c r="BB731" s="43"/>
      <c r="BC731" s="43"/>
      <c r="BD731" s="43"/>
      <c r="BE731" s="43"/>
      <c r="BF731" s="43"/>
      <c r="BG731" s="43"/>
      <c r="BH731" s="43"/>
      <c r="BI731" s="43"/>
      <c r="BJ731" s="43"/>
      <c r="BK731" s="43"/>
      <c r="BL731" s="43"/>
      <c r="BM731" s="43"/>
      <c r="BN731" s="43"/>
      <c r="BO731" s="43"/>
      <c r="BP731" s="43"/>
      <c r="BQ731" s="43"/>
      <c r="BR731" s="43"/>
      <c r="BS731" s="43"/>
      <c r="BT731" s="43"/>
      <c r="BU731" s="43"/>
      <c r="BV731" s="43"/>
      <c r="BW731" s="43"/>
      <c r="BX731" s="43"/>
      <c r="BY731" s="43"/>
      <c r="BZ731" s="43"/>
      <c r="CA731" s="43"/>
      <c r="CB731" s="43"/>
      <c r="CC731" s="43"/>
      <c r="CD731" s="43"/>
      <c r="CE731" s="43"/>
      <c r="CF731" s="43"/>
      <c r="CG731" s="43"/>
      <c r="CH731" s="43"/>
      <c r="CI731" s="43"/>
      <c r="CJ731" s="43"/>
      <c r="CK731" s="43"/>
      <c r="CL731" s="43"/>
      <c r="CM731" s="43"/>
      <c r="CN731" s="43"/>
      <c r="CO731" s="43"/>
      <c r="CP731" s="43"/>
      <c r="CQ731" s="43"/>
      <c r="CR731" s="43"/>
      <c r="CS731" s="43"/>
      <c r="CT731" s="43"/>
      <c r="CU731" s="43"/>
      <c r="CV731" s="43"/>
      <c r="CW731" s="43"/>
      <c r="CX731" s="43"/>
      <c r="CY731" s="43"/>
      <c r="CZ731" s="43"/>
      <c r="DA731" s="43"/>
      <c r="DB731" s="43"/>
      <c r="DC731" s="43"/>
      <c r="DD731" s="43"/>
      <c r="DE731" s="43"/>
      <c r="DF731" s="43"/>
      <c r="DG731" s="43"/>
      <c r="DH731" s="43"/>
      <c r="DI731" s="43"/>
      <c r="DJ731" s="43"/>
      <c r="DK731" s="43"/>
      <c r="DL731" s="43"/>
      <c r="DM731" s="43"/>
      <c r="DN731" s="43"/>
      <c r="DO731" s="43"/>
      <c r="DP731" s="43"/>
      <c r="DQ731" s="43"/>
      <c r="DR731" s="43"/>
      <c r="DS731" s="43"/>
    </row>
    <row r="732" spans="1:123" ht="14.45">
      <c r="A732"/>
      <c r="B732"/>
      <c r="C732"/>
      <c r="D732"/>
      <c r="E732"/>
      <c r="F732"/>
      <c r="G732"/>
      <c r="H732"/>
      <c r="I732"/>
      <c r="J732"/>
      <c r="K732" s="43"/>
      <c r="L732" s="43"/>
      <c r="M732" s="43"/>
      <c r="N732" s="43"/>
      <c r="O732" s="43"/>
      <c r="P732" s="43"/>
      <c r="Q732" s="43"/>
      <c r="R732" s="43"/>
      <c r="S732" s="43"/>
      <c r="T732" s="43"/>
      <c r="U732" s="43"/>
      <c r="V732" s="43"/>
      <c r="W732" s="43"/>
      <c r="X732" s="43"/>
      <c r="Y732" s="43"/>
      <c r="Z732" s="43"/>
      <c r="AA732" s="43"/>
      <c r="AB732" s="43"/>
      <c r="AC732" s="43"/>
      <c r="AD732" s="43"/>
      <c r="AE732" s="43"/>
      <c r="AF732" s="43"/>
      <c r="AG732" s="43"/>
      <c r="AH732" s="43"/>
      <c r="AI732" s="43"/>
      <c r="AJ732" s="43"/>
      <c r="AK732" s="43"/>
      <c r="AL732" s="43"/>
      <c r="AM732" s="43"/>
      <c r="AN732" s="43"/>
      <c r="AO732" s="43"/>
      <c r="AP732" s="43"/>
      <c r="AQ732" s="43"/>
      <c r="AR732" s="43"/>
      <c r="AS732" s="43"/>
      <c r="AT732" s="43"/>
      <c r="AU732" s="43"/>
      <c r="AV732" s="43"/>
      <c r="AW732" s="43"/>
      <c r="AX732" s="43"/>
      <c r="AY732" s="43"/>
      <c r="AZ732" s="43"/>
      <c r="BA732" s="43"/>
      <c r="BB732" s="43"/>
      <c r="BC732" s="43"/>
      <c r="BD732" s="43"/>
      <c r="BE732" s="43"/>
      <c r="BF732" s="43"/>
      <c r="BG732" s="43"/>
      <c r="BH732" s="43"/>
      <c r="BI732" s="43"/>
      <c r="BJ732" s="43"/>
      <c r="BK732" s="43"/>
      <c r="BL732" s="43"/>
      <c r="BM732" s="43"/>
      <c r="BN732" s="43"/>
      <c r="BO732" s="43"/>
      <c r="BP732" s="43"/>
      <c r="BQ732" s="43"/>
      <c r="BR732" s="43"/>
      <c r="BS732" s="43"/>
      <c r="BT732" s="43"/>
      <c r="BU732" s="43"/>
      <c r="BV732" s="43"/>
      <c r="BW732" s="43"/>
      <c r="BX732" s="43"/>
      <c r="BY732" s="43"/>
      <c r="BZ732" s="43"/>
      <c r="CA732" s="43"/>
      <c r="CB732" s="43"/>
      <c r="CC732" s="43"/>
      <c r="CD732" s="43"/>
      <c r="CE732" s="43"/>
      <c r="CF732" s="43"/>
      <c r="CG732" s="43"/>
      <c r="CH732" s="43"/>
      <c r="CI732" s="43"/>
      <c r="CJ732" s="43"/>
      <c r="CK732" s="43"/>
      <c r="CL732" s="43"/>
      <c r="CM732" s="43"/>
      <c r="CN732" s="43"/>
      <c r="CO732" s="43"/>
      <c r="CP732" s="43"/>
      <c r="CQ732" s="43"/>
      <c r="CR732" s="43"/>
      <c r="CS732" s="43"/>
      <c r="CT732" s="43"/>
      <c r="CU732" s="43"/>
      <c r="CV732" s="43"/>
      <c r="CW732" s="43"/>
      <c r="CX732" s="43"/>
      <c r="CY732" s="43"/>
      <c r="CZ732" s="43"/>
      <c r="DA732" s="43"/>
      <c r="DB732" s="43"/>
      <c r="DC732" s="43"/>
      <c r="DD732" s="43"/>
      <c r="DE732" s="43"/>
      <c r="DF732" s="43"/>
      <c r="DG732" s="43"/>
      <c r="DH732" s="43"/>
      <c r="DI732" s="43"/>
      <c r="DJ732" s="43"/>
      <c r="DK732" s="43"/>
      <c r="DL732" s="43"/>
      <c r="DM732" s="43"/>
      <c r="DN732" s="43"/>
      <c r="DO732" s="43"/>
      <c r="DP732" s="43"/>
      <c r="DQ732" s="43"/>
      <c r="DR732" s="43"/>
      <c r="DS732" s="43"/>
    </row>
    <row r="733" spans="1:123" ht="14.45">
      <c r="A733"/>
      <c r="B733"/>
      <c r="C733"/>
      <c r="D733"/>
      <c r="E733"/>
      <c r="F733"/>
      <c r="G733"/>
      <c r="H733"/>
      <c r="I733"/>
      <c r="J733"/>
      <c r="K733" s="43"/>
      <c r="L733" s="43"/>
      <c r="M733" s="43"/>
      <c r="N733" s="43"/>
      <c r="O733" s="43"/>
      <c r="P733" s="43"/>
      <c r="Q733" s="43"/>
      <c r="R733" s="43"/>
      <c r="S733" s="43"/>
      <c r="T733" s="43"/>
      <c r="U733" s="43"/>
      <c r="V733" s="43"/>
      <c r="W733" s="43"/>
      <c r="X733" s="43"/>
      <c r="Y733" s="43"/>
      <c r="Z733" s="43"/>
      <c r="AA733" s="43"/>
      <c r="AB733" s="43"/>
      <c r="AC733" s="43"/>
      <c r="AD733" s="43"/>
      <c r="AE733" s="43"/>
      <c r="AF733" s="43"/>
      <c r="AG733" s="43"/>
      <c r="AH733" s="43"/>
      <c r="AI733" s="43"/>
      <c r="AJ733" s="43"/>
      <c r="AK733" s="43"/>
      <c r="AL733" s="43"/>
      <c r="AM733" s="43"/>
      <c r="AN733" s="43"/>
      <c r="AO733" s="43"/>
      <c r="AP733" s="43"/>
      <c r="AQ733" s="43"/>
      <c r="AR733" s="43"/>
      <c r="AS733" s="43"/>
      <c r="AT733" s="43"/>
      <c r="AU733" s="43"/>
      <c r="AV733" s="43"/>
      <c r="AW733" s="43"/>
      <c r="AX733" s="43"/>
      <c r="AY733" s="43"/>
      <c r="AZ733" s="43"/>
      <c r="BA733" s="43"/>
      <c r="BB733" s="43"/>
      <c r="BC733" s="43"/>
      <c r="BD733" s="43"/>
      <c r="BE733" s="43"/>
      <c r="BF733" s="43"/>
      <c r="BG733" s="43"/>
      <c r="BH733" s="43"/>
      <c r="BI733" s="43"/>
      <c r="BJ733" s="43"/>
      <c r="BK733" s="43"/>
      <c r="BL733" s="43"/>
      <c r="BM733" s="43"/>
      <c r="BN733" s="43"/>
      <c r="BO733" s="43"/>
      <c r="BP733" s="43"/>
      <c r="BQ733" s="43"/>
      <c r="BR733" s="43"/>
      <c r="BS733" s="43"/>
      <c r="BT733" s="43"/>
      <c r="BU733" s="43"/>
      <c r="BV733" s="43"/>
      <c r="BW733" s="43"/>
      <c r="BX733" s="43"/>
      <c r="BY733" s="43"/>
      <c r="BZ733" s="43"/>
      <c r="CA733" s="43"/>
      <c r="CB733" s="43"/>
      <c r="CC733" s="43"/>
      <c r="CD733" s="43"/>
      <c r="CE733" s="43"/>
      <c r="CF733" s="43"/>
      <c r="CG733" s="43"/>
      <c r="CH733" s="43"/>
      <c r="CI733" s="43"/>
      <c r="CJ733" s="43"/>
      <c r="CK733" s="43"/>
      <c r="CL733" s="43"/>
      <c r="CM733" s="43"/>
      <c r="CN733" s="43"/>
      <c r="CO733" s="43"/>
      <c r="CP733" s="43"/>
      <c r="CQ733" s="43"/>
      <c r="CR733" s="43"/>
      <c r="CS733" s="43"/>
      <c r="CT733" s="43"/>
      <c r="CU733" s="43"/>
      <c r="CV733" s="43"/>
      <c r="CW733" s="43"/>
      <c r="CX733" s="43"/>
      <c r="CY733" s="43"/>
      <c r="CZ733" s="43"/>
      <c r="DA733" s="43"/>
      <c r="DB733" s="43"/>
      <c r="DC733" s="43"/>
      <c r="DD733" s="43"/>
      <c r="DE733" s="43"/>
      <c r="DF733" s="43"/>
      <c r="DG733" s="43"/>
      <c r="DH733" s="43"/>
      <c r="DI733" s="43"/>
      <c r="DJ733" s="43"/>
      <c r="DK733" s="43"/>
      <c r="DL733" s="43"/>
      <c r="DM733" s="43"/>
      <c r="DN733" s="43"/>
      <c r="DO733" s="43"/>
      <c r="DP733" s="43"/>
      <c r="DQ733" s="43"/>
      <c r="DR733" s="43"/>
      <c r="DS733" s="43"/>
    </row>
    <row r="734" spans="1:123" ht="14.45">
      <c r="A734"/>
      <c r="B734"/>
      <c r="C734"/>
      <c r="D734"/>
      <c r="E734"/>
      <c r="F734"/>
      <c r="G734"/>
      <c r="H734"/>
      <c r="I734"/>
      <c r="J734"/>
      <c r="K734" s="43"/>
      <c r="L734" s="43"/>
      <c r="M734" s="43"/>
      <c r="N734" s="43"/>
      <c r="O734" s="43"/>
      <c r="P734" s="43"/>
      <c r="Q734" s="43"/>
      <c r="R734" s="43"/>
      <c r="S734" s="43"/>
      <c r="T734" s="43"/>
      <c r="U734" s="43"/>
      <c r="V734" s="43"/>
      <c r="W734" s="43"/>
      <c r="X734" s="43"/>
      <c r="Y734" s="43"/>
      <c r="Z734" s="43"/>
      <c r="AA734" s="43"/>
      <c r="AB734" s="43"/>
      <c r="AC734" s="43"/>
      <c r="AD734" s="43"/>
      <c r="AE734" s="43"/>
      <c r="AF734" s="43"/>
      <c r="AG734" s="43"/>
      <c r="AH734" s="43"/>
      <c r="AI734" s="43"/>
      <c r="AJ734" s="43"/>
      <c r="AK734" s="43"/>
      <c r="AL734" s="43"/>
      <c r="AM734" s="43"/>
      <c r="AN734" s="43"/>
      <c r="AO734" s="43"/>
      <c r="AP734" s="43"/>
      <c r="AQ734" s="43"/>
      <c r="AR734" s="43"/>
      <c r="AS734" s="43"/>
      <c r="AT734" s="43"/>
      <c r="AU734" s="43"/>
      <c r="AV734" s="43"/>
      <c r="AW734" s="43"/>
      <c r="AX734" s="43"/>
      <c r="AY734" s="43"/>
      <c r="AZ734" s="43"/>
      <c r="BA734" s="43"/>
      <c r="BB734" s="43"/>
      <c r="BC734" s="43"/>
      <c r="BD734" s="43"/>
      <c r="BE734" s="43"/>
      <c r="BF734" s="43"/>
      <c r="BG734" s="43"/>
      <c r="BH734" s="43"/>
      <c r="BI734" s="43"/>
      <c r="BJ734" s="43"/>
      <c r="BK734" s="43"/>
      <c r="BL734" s="43"/>
      <c r="BM734" s="43"/>
      <c r="BN734" s="43"/>
      <c r="BO734" s="43"/>
      <c r="BP734" s="43"/>
      <c r="BQ734" s="43"/>
      <c r="BR734" s="43"/>
      <c r="BS734" s="43"/>
      <c r="BT734" s="43"/>
      <c r="BU734" s="43"/>
      <c r="BV734" s="43"/>
      <c r="BW734" s="43"/>
      <c r="BX734" s="43"/>
      <c r="BY734" s="43"/>
      <c r="BZ734" s="43"/>
      <c r="CA734" s="43"/>
      <c r="CB734" s="43"/>
      <c r="CC734" s="43"/>
      <c r="CD734" s="43"/>
      <c r="CE734" s="43"/>
      <c r="CF734" s="43"/>
      <c r="CG734" s="43"/>
      <c r="CH734" s="43"/>
      <c r="CI734" s="43"/>
      <c r="CJ734" s="43"/>
      <c r="CK734" s="43"/>
      <c r="CL734" s="43"/>
      <c r="CM734" s="43"/>
      <c r="CN734" s="43"/>
      <c r="CO734" s="43"/>
      <c r="CP734" s="43"/>
      <c r="CQ734" s="43"/>
      <c r="CR734" s="43"/>
      <c r="CS734" s="43"/>
      <c r="CT734" s="43"/>
      <c r="CU734" s="43"/>
      <c r="CV734" s="43"/>
      <c r="CW734" s="43"/>
      <c r="CX734" s="43"/>
      <c r="CY734" s="43"/>
      <c r="CZ734" s="43"/>
      <c r="DA734" s="43"/>
      <c r="DB734" s="43"/>
      <c r="DC734" s="43"/>
      <c r="DD734" s="43"/>
      <c r="DE734" s="43"/>
      <c r="DF734" s="43"/>
      <c r="DG734" s="43"/>
      <c r="DH734" s="43"/>
      <c r="DI734" s="43"/>
      <c r="DJ734" s="43"/>
      <c r="DK734" s="43"/>
      <c r="DL734" s="43"/>
      <c r="DM734" s="43"/>
      <c r="DN734" s="43"/>
      <c r="DO734" s="43"/>
      <c r="DP734" s="43"/>
      <c r="DQ734" s="43"/>
      <c r="DR734" s="43"/>
      <c r="DS734" s="43"/>
    </row>
    <row r="735" spans="1:123" ht="14.45">
      <c r="A735"/>
      <c r="B735"/>
      <c r="C735"/>
      <c r="D735"/>
      <c r="E735"/>
      <c r="F735"/>
      <c r="G735"/>
      <c r="H735"/>
      <c r="I735"/>
      <c r="J735"/>
      <c r="K735" s="43"/>
      <c r="L735" s="43"/>
      <c r="M735" s="43"/>
      <c r="N735" s="43"/>
      <c r="O735" s="43"/>
      <c r="P735" s="43"/>
      <c r="Q735" s="43"/>
      <c r="R735" s="43"/>
      <c r="S735" s="43"/>
      <c r="T735" s="43"/>
      <c r="U735" s="43"/>
      <c r="V735" s="43"/>
      <c r="W735" s="43"/>
      <c r="X735" s="43"/>
      <c r="Y735" s="43"/>
      <c r="Z735" s="43"/>
      <c r="AA735" s="43"/>
      <c r="AB735" s="43"/>
      <c r="AC735" s="43"/>
      <c r="AD735" s="43"/>
      <c r="AE735" s="43"/>
      <c r="AF735" s="43"/>
      <c r="AG735" s="43"/>
      <c r="AH735" s="43"/>
      <c r="AI735" s="43"/>
      <c r="AJ735" s="43"/>
      <c r="AK735" s="43"/>
      <c r="AL735" s="43"/>
      <c r="AM735" s="43"/>
      <c r="AN735" s="43"/>
      <c r="AO735" s="43"/>
      <c r="AP735" s="43"/>
      <c r="AQ735" s="43"/>
      <c r="AR735" s="43"/>
      <c r="AS735" s="43"/>
      <c r="AT735" s="43"/>
      <c r="AU735" s="43"/>
      <c r="AV735" s="43"/>
      <c r="AW735" s="43"/>
      <c r="AX735" s="43"/>
      <c r="AY735" s="43"/>
      <c r="AZ735" s="43"/>
      <c r="BA735" s="43"/>
      <c r="BB735" s="43"/>
      <c r="BC735" s="43"/>
      <c r="BD735" s="43"/>
      <c r="BE735" s="43"/>
      <c r="BF735" s="43"/>
      <c r="BG735" s="43"/>
      <c r="BH735" s="43"/>
      <c r="BI735" s="43"/>
      <c r="BJ735" s="43"/>
      <c r="BK735" s="43"/>
      <c r="BL735" s="43"/>
      <c r="BM735" s="43"/>
      <c r="BN735" s="43"/>
      <c r="BO735" s="43"/>
      <c r="BP735" s="43"/>
      <c r="BQ735" s="43"/>
      <c r="BR735" s="43"/>
      <c r="BS735" s="43"/>
      <c r="BT735" s="43"/>
      <c r="BU735" s="43"/>
      <c r="BV735" s="43"/>
      <c r="BW735" s="43"/>
      <c r="BX735" s="43"/>
      <c r="BY735" s="43"/>
      <c r="BZ735" s="43"/>
      <c r="CA735" s="43"/>
      <c r="CB735" s="43"/>
      <c r="CC735" s="43"/>
      <c r="CD735" s="43"/>
      <c r="CE735" s="43"/>
      <c r="CF735" s="43"/>
      <c r="CG735" s="43"/>
      <c r="CH735" s="43"/>
      <c r="CI735" s="43"/>
      <c r="CJ735" s="43"/>
      <c r="CK735" s="43"/>
      <c r="CL735" s="43"/>
      <c r="CM735" s="43"/>
      <c r="CN735" s="43"/>
      <c r="CO735" s="43"/>
      <c r="CP735" s="43"/>
      <c r="CQ735" s="43"/>
      <c r="CR735" s="43"/>
      <c r="CS735" s="43"/>
      <c r="CT735" s="43"/>
      <c r="CU735" s="43"/>
      <c r="CV735" s="43"/>
      <c r="CW735" s="43"/>
      <c r="CX735" s="43"/>
      <c r="CY735" s="43"/>
      <c r="CZ735" s="43"/>
      <c r="DA735" s="43"/>
      <c r="DB735" s="43"/>
      <c r="DC735" s="43"/>
      <c r="DD735" s="43"/>
      <c r="DE735" s="43"/>
      <c r="DF735" s="43"/>
      <c r="DG735" s="43"/>
      <c r="DH735" s="43"/>
      <c r="DI735" s="43"/>
      <c r="DJ735" s="43"/>
      <c r="DK735" s="43"/>
      <c r="DL735" s="43"/>
      <c r="DM735" s="43"/>
      <c r="DN735" s="43"/>
      <c r="DO735" s="43"/>
      <c r="DP735" s="43"/>
      <c r="DQ735" s="43"/>
      <c r="DR735" s="43"/>
      <c r="DS735" s="43"/>
    </row>
    <row r="736" spans="1:123" ht="14.45">
      <c r="A736"/>
      <c r="B736"/>
      <c r="C736"/>
      <c r="D736"/>
      <c r="E736"/>
      <c r="F736"/>
      <c r="G736"/>
      <c r="H736"/>
      <c r="I736"/>
      <c r="J736"/>
      <c r="K736" s="43"/>
      <c r="L736" s="43"/>
      <c r="M736" s="43"/>
      <c r="N736" s="43"/>
      <c r="O736" s="43"/>
      <c r="P736" s="43"/>
      <c r="Q736" s="43"/>
      <c r="R736" s="43"/>
      <c r="S736" s="43"/>
      <c r="T736" s="43"/>
      <c r="U736" s="43"/>
      <c r="V736" s="43"/>
      <c r="W736" s="43"/>
      <c r="X736" s="43"/>
      <c r="Y736" s="43"/>
      <c r="Z736" s="43"/>
      <c r="AA736" s="43"/>
      <c r="AB736" s="43"/>
      <c r="AC736" s="43"/>
      <c r="AD736" s="43"/>
      <c r="AE736" s="43"/>
      <c r="AF736" s="43"/>
      <c r="AG736" s="43"/>
      <c r="AH736" s="43"/>
      <c r="AI736" s="43"/>
      <c r="AJ736" s="43"/>
      <c r="AK736" s="43"/>
      <c r="AL736" s="43"/>
      <c r="AM736" s="43"/>
      <c r="AN736" s="43"/>
      <c r="AO736" s="43"/>
      <c r="AP736" s="43"/>
      <c r="AQ736" s="43"/>
      <c r="AR736" s="43"/>
      <c r="AS736" s="43"/>
      <c r="AT736" s="43"/>
      <c r="AU736" s="43"/>
      <c r="AV736" s="43"/>
      <c r="AW736" s="43"/>
      <c r="AX736" s="43"/>
      <c r="AY736" s="43"/>
      <c r="AZ736" s="43"/>
      <c r="BA736" s="43"/>
      <c r="BB736" s="43"/>
      <c r="BC736" s="43"/>
      <c r="BD736" s="43"/>
      <c r="BE736" s="43"/>
      <c r="BF736" s="43"/>
      <c r="BG736" s="43"/>
      <c r="BH736" s="43"/>
      <c r="BI736" s="43"/>
      <c r="BJ736" s="43"/>
      <c r="BK736" s="43"/>
      <c r="BL736" s="43"/>
      <c r="BM736" s="43"/>
      <c r="BN736" s="43"/>
      <c r="BO736" s="43"/>
      <c r="BP736" s="43"/>
      <c r="BQ736" s="43"/>
      <c r="BR736" s="43"/>
      <c r="BS736" s="43"/>
      <c r="BT736" s="43"/>
      <c r="BU736" s="43"/>
      <c r="BV736" s="43"/>
      <c r="BW736" s="43"/>
      <c r="BX736" s="43"/>
      <c r="BY736" s="43"/>
      <c r="BZ736" s="43"/>
      <c r="CA736" s="43"/>
      <c r="CB736" s="43"/>
      <c r="CC736" s="43"/>
      <c r="CD736" s="43"/>
      <c r="CE736" s="43"/>
      <c r="CF736" s="43"/>
      <c r="CG736" s="43"/>
      <c r="CH736" s="43"/>
      <c r="CI736" s="43"/>
      <c r="CJ736" s="43"/>
      <c r="CK736" s="43"/>
      <c r="CL736" s="43"/>
      <c r="CM736" s="43"/>
      <c r="CN736" s="43"/>
      <c r="CO736" s="43"/>
      <c r="CP736" s="43"/>
      <c r="CQ736" s="43"/>
      <c r="CR736" s="43"/>
      <c r="CS736" s="43"/>
      <c r="CT736" s="43"/>
      <c r="CU736" s="43"/>
      <c r="CV736" s="43"/>
      <c r="CW736" s="43"/>
      <c r="CX736" s="43"/>
      <c r="CY736" s="43"/>
      <c r="CZ736" s="43"/>
      <c r="DA736" s="43"/>
      <c r="DB736" s="43"/>
      <c r="DC736" s="43"/>
      <c r="DD736" s="43"/>
      <c r="DE736" s="43"/>
      <c r="DF736" s="43"/>
      <c r="DG736" s="43"/>
      <c r="DH736" s="43"/>
      <c r="DI736" s="43"/>
      <c r="DJ736" s="43"/>
      <c r="DK736" s="43"/>
      <c r="DL736" s="43"/>
      <c r="DM736" s="43"/>
      <c r="DN736" s="43"/>
      <c r="DO736" s="43"/>
      <c r="DP736" s="43"/>
      <c r="DQ736" s="43"/>
      <c r="DR736" s="43"/>
      <c r="DS736" s="43"/>
    </row>
    <row r="737" spans="1:123" ht="14.45">
      <c r="A737"/>
      <c r="B737"/>
      <c r="C737"/>
      <c r="D737"/>
      <c r="E737"/>
      <c r="F737"/>
      <c r="G737"/>
      <c r="H737"/>
      <c r="I737"/>
      <c r="J737"/>
      <c r="K737" s="43"/>
      <c r="L737" s="43"/>
      <c r="M737" s="43"/>
      <c r="N737" s="43"/>
      <c r="O737" s="43"/>
      <c r="P737" s="43"/>
      <c r="Q737" s="43"/>
      <c r="R737" s="43"/>
      <c r="S737" s="43"/>
      <c r="T737" s="43"/>
      <c r="U737" s="43"/>
      <c r="V737" s="43"/>
      <c r="W737" s="43"/>
      <c r="X737" s="43"/>
      <c r="Y737" s="43"/>
      <c r="Z737" s="43"/>
      <c r="AA737" s="43"/>
      <c r="AB737" s="43"/>
      <c r="AC737" s="43"/>
      <c r="AD737" s="43"/>
      <c r="AE737" s="43"/>
      <c r="AF737" s="43"/>
      <c r="AG737" s="43"/>
      <c r="AH737" s="43"/>
      <c r="AI737" s="43"/>
      <c r="AJ737" s="43"/>
      <c r="AK737" s="43"/>
      <c r="AL737" s="43"/>
      <c r="AM737" s="43"/>
      <c r="AN737" s="43"/>
      <c r="AO737" s="43"/>
      <c r="AP737" s="43"/>
      <c r="AQ737" s="43"/>
      <c r="AR737" s="43"/>
      <c r="AS737" s="43"/>
      <c r="AT737" s="43"/>
      <c r="AU737" s="43"/>
      <c r="AV737" s="43"/>
      <c r="AW737" s="43"/>
      <c r="AX737" s="43"/>
      <c r="AY737" s="43"/>
      <c r="AZ737" s="43"/>
      <c r="BA737" s="43"/>
      <c r="BB737" s="43"/>
      <c r="BC737" s="43"/>
      <c r="BD737" s="43"/>
      <c r="BE737" s="43"/>
      <c r="BF737" s="43"/>
      <c r="BG737" s="43"/>
      <c r="BH737" s="43"/>
      <c r="BI737" s="43"/>
      <c r="BJ737" s="43"/>
      <c r="BK737" s="43"/>
      <c r="BL737" s="43"/>
      <c r="BM737" s="43"/>
      <c r="BN737" s="43"/>
      <c r="BO737" s="43"/>
      <c r="BP737" s="43"/>
      <c r="BQ737" s="43"/>
      <c r="BR737" s="43"/>
      <c r="BS737" s="43"/>
      <c r="BT737" s="43"/>
      <c r="BU737" s="43"/>
      <c r="BV737" s="43"/>
      <c r="BW737" s="43"/>
      <c r="BX737" s="43"/>
      <c r="BY737" s="43"/>
      <c r="BZ737" s="43"/>
      <c r="CA737" s="43"/>
      <c r="CB737" s="43"/>
      <c r="CC737" s="43"/>
      <c r="CD737" s="43"/>
      <c r="CE737" s="43"/>
      <c r="CF737" s="43"/>
      <c r="CG737" s="43"/>
      <c r="CH737" s="43"/>
      <c r="CI737" s="43"/>
      <c r="CJ737" s="43"/>
      <c r="CK737" s="43"/>
      <c r="CL737" s="43"/>
      <c r="CM737" s="43"/>
      <c r="CN737" s="43"/>
      <c r="CO737" s="43"/>
      <c r="CP737" s="43"/>
      <c r="CQ737" s="43"/>
      <c r="CR737" s="43"/>
      <c r="CS737" s="43"/>
      <c r="CT737" s="43"/>
      <c r="CU737" s="43"/>
      <c r="CV737" s="43"/>
      <c r="CW737" s="43"/>
      <c r="CX737" s="43"/>
      <c r="CY737" s="43"/>
      <c r="CZ737" s="43"/>
      <c r="DA737" s="43"/>
      <c r="DB737" s="43"/>
      <c r="DC737" s="43"/>
      <c r="DD737" s="43"/>
      <c r="DE737" s="43"/>
      <c r="DF737" s="43"/>
      <c r="DG737" s="43"/>
      <c r="DH737" s="43"/>
      <c r="DI737" s="43"/>
      <c r="DJ737" s="43"/>
      <c r="DK737" s="43"/>
      <c r="DL737" s="43"/>
      <c r="DM737" s="43"/>
      <c r="DN737" s="43"/>
      <c r="DO737" s="43"/>
      <c r="DP737" s="43"/>
      <c r="DQ737" s="43"/>
      <c r="DR737" s="43"/>
      <c r="DS737" s="43"/>
    </row>
    <row r="738" spans="1:123" ht="14.45">
      <c r="A738"/>
      <c r="B738"/>
      <c r="C738"/>
      <c r="D738"/>
      <c r="E738"/>
      <c r="F738"/>
      <c r="G738"/>
      <c r="H738"/>
      <c r="I738"/>
      <c r="J738"/>
      <c r="K738" s="43"/>
      <c r="L738" s="43"/>
      <c r="M738" s="43"/>
      <c r="N738" s="43"/>
      <c r="O738" s="43"/>
      <c r="P738" s="43"/>
      <c r="Q738" s="43"/>
      <c r="R738" s="43"/>
      <c r="S738" s="43"/>
      <c r="T738" s="43"/>
      <c r="U738" s="43"/>
      <c r="V738" s="43"/>
      <c r="W738" s="43"/>
      <c r="X738" s="43"/>
      <c r="Y738" s="43"/>
      <c r="Z738" s="43"/>
      <c r="AA738" s="43"/>
      <c r="AB738" s="43"/>
      <c r="AC738" s="43"/>
      <c r="AD738" s="43"/>
      <c r="AE738" s="43"/>
      <c r="AF738" s="43"/>
      <c r="AG738" s="43"/>
      <c r="AH738" s="43"/>
      <c r="AI738" s="43"/>
      <c r="AJ738" s="43"/>
      <c r="AK738" s="43"/>
      <c r="AL738" s="43"/>
      <c r="AM738" s="43"/>
      <c r="AN738" s="43"/>
      <c r="AO738" s="43"/>
      <c r="AP738" s="43"/>
      <c r="AQ738" s="43"/>
      <c r="AR738" s="43"/>
      <c r="AS738" s="43"/>
      <c r="AT738" s="43"/>
      <c r="AU738" s="43"/>
      <c r="AV738" s="43"/>
      <c r="AW738" s="43"/>
      <c r="AX738" s="43"/>
      <c r="AY738" s="43"/>
      <c r="AZ738" s="43"/>
      <c r="BA738" s="43"/>
      <c r="BB738" s="43"/>
      <c r="BC738" s="43"/>
      <c r="BD738" s="43"/>
      <c r="BE738" s="43"/>
      <c r="BF738" s="43"/>
      <c r="BG738" s="43"/>
      <c r="BH738" s="43"/>
      <c r="BI738" s="43"/>
      <c r="BJ738" s="43"/>
      <c r="BK738" s="43"/>
      <c r="BL738" s="43"/>
      <c r="BM738" s="43"/>
      <c r="BN738" s="43"/>
      <c r="BO738" s="43"/>
      <c r="BP738" s="43"/>
      <c r="BQ738" s="43"/>
      <c r="BR738" s="43"/>
      <c r="BS738" s="43"/>
      <c r="BT738" s="43"/>
      <c r="BU738" s="43"/>
      <c r="BV738" s="43"/>
      <c r="BW738" s="43"/>
      <c r="BX738" s="43"/>
      <c r="BY738" s="43"/>
      <c r="BZ738" s="43"/>
      <c r="CA738" s="43"/>
      <c r="CB738" s="43"/>
      <c r="CC738" s="43"/>
      <c r="CD738" s="43"/>
      <c r="CE738" s="43"/>
      <c r="CF738" s="43"/>
      <c r="CG738" s="43"/>
      <c r="CH738" s="43"/>
      <c r="CI738" s="43"/>
      <c r="CJ738" s="43"/>
      <c r="CK738" s="43"/>
      <c r="CL738" s="43"/>
      <c r="CM738" s="43"/>
      <c r="CN738" s="43"/>
      <c r="CO738" s="43"/>
      <c r="CP738" s="43"/>
      <c r="CQ738" s="43"/>
      <c r="CR738" s="43"/>
      <c r="CS738" s="43"/>
      <c r="CT738" s="43"/>
      <c r="CU738" s="43"/>
      <c r="CV738" s="43"/>
      <c r="CW738" s="43"/>
      <c r="CX738" s="43"/>
      <c r="CY738" s="43"/>
      <c r="CZ738" s="43"/>
      <c r="DA738" s="43"/>
      <c r="DB738" s="43"/>
      <c r="DC738" s="43"/>
      <c r="DD738" s="43"/>
      <c r="DE738" s="43"/>
      <c r="DF738" s="43"/>
      <c r="DG738" s="43"/>
      <c r="DH738" s="43"/>
      <c r="DI738" s="43"/>
      <c r="DJ738" s="43"/>
      <c r="DK738" s="43"/>
      <c r="DL738" s="43"/>
      <c r="DM738" s="43"/>
      <c r="DN738" s="43"/>
      <c r="DO738" s="43"/>
      <c r="DP738" s="43"/>
      <c r="DQ738" s="43"/>
      <c r="DR738" s="43"/>
      <c r="DS738" s="43"/>
    </row>
    <row r="739" spans="1:123" ht="14.45">
      <c r="A739"/>
      <c r="B739"/>
      <c r="C739"/>
      <c r="D739"/>
      <c r="E739"/>
      <c r="F739"/>
      <c r="G739"/>
      <c r="H739"/>
      <c r="I739"/>
      <c r="J739"/>
      <c r="K739" s="43"/>
      <c r="L739" s="43"/>
      <c r="M739" s="43"/>
      <c r="N739" s="43"/>
      <c r="O739" s="43"/>
      <c r="P739" s="43"/>
      <c r="Q739" s="43"/>
      <c r="R739" s="43"/>
      <c r="S739" s="43"/>
      <c r="T739" s="43"/>
      <c r="U739" s="43"/>
      <c r="V739" s="43"/>
      <c r="W739" s="43"/>
      <c r="X739" s="43"/>
      <c r="Y739" s="43"/>
      <c r="Z739" s="43"/>
      <c r="AA739" s="43"/>
      <c r="AB739" s="43"/>
      <c r="AC739" s="43"/>
      <c r="AD739" s="43"/>
      <c r="AE739" s="43"/>
      <c r="AF739" s="43"/>
      <c r="AG739" s="43"/>
      <c r="AH739" s="43"/>
      <c r="AI739" s="43"/>
      <c r="AJ739" s="43"/>
      <c r="AK739" s="43"/>
      <c r="AL739" s="43"/>
      <c r="AM739" s="43"/>
      <c r="AN739" s="43"/>
      <c r="AO739" s="43"/>
      <c r="AP739" s="43"/>
      <c r="AQ739" s="43"/>
      <c r="AR739" s="43"/>
      <c r="AS739" s="43"/>
      <c r="AT739" s="43"/>
      <c r="AU739" s="43"/>
      <c r="AV739" s="43"/>
      <c r="AW739" s="43"/>
      <c r="AX739" s="43"/>
      <c r="AY739" s="43"/>
      <c r="AZ739" s="43"/>
      <c r="BA739" s="43"/>
      <c r="BB739" s="43"/>
      <c r="BC739" s="43"/>
      <c r="BD739" s="43"/>
      <c r="BE739" s="43"/>
      <c r="BF739" s="43"/>
      <c r="BG739" s="43"/>
      <c r="BH739" s="43"/>
      <c r="BI739" s="43"/>
      <c r="BJ739" s="43"/>
      <c r="BK739" s="43"/>
      <c r="BL739" s="43"/>
      <c r="BM739" s="43"/>
      <c r="BN739" s="43"/>
      <c r="BO739" s="43"/>
      <c r="BP739" s="43"/>
      <c r="BQ739" s="43"/>
      <c r="BR739" s="43"/>
      <c r="BS739" s="43"/>
      <c r="BT739" s="43"/>
      <c r="BU739" s="43"/>
      <c r="BV739" s="43"/>
      <c r="BW739" s="43"/>
      <c r="BX739" s="43"/>
      <c r="BY739" s="43"/>
      <c r="BZ739" s="43"/>
      <c r="CA739" s="43"/>
      <c r="CB739" s="43"/>
      <c r="CC739" s="43"/>
      <c r="CD739" s="43"/>
      <c r="CE739" s="43"/>
      <c r="CF739" s="43"/>
      <c r="CG739" s="43"/>
      <c r="CH739" s="43"/>
      <c r="CI739" s="43"/>
      <c r="CJ739" s="43"/>
      <c r="CK739" s="43"/>
      <c r="CL739" s="43"/>
      <c r="CM739" s="43"/>
      <c r="CN739" s="43"/>
      <c r="CO739" s="43"/>
      <c r="CP739" s="43"/>
      <c r="CQ739" s="43"/>
      <c r="CR739" s="43"/>
      <c r="CS739" s="43"/>
      <c r="CT739" s="43"/>
      <c r="CU739" s="43"/>
      <c r="CV739" s="43"/>
      <c r="CW739" s="43"/>
      <c r="CX739" s="43"/>
      <c r="CY739" s="43"/>
      <c r="CZ739" s="43"/>
      <c r="DA739" s="43"/>
      <c r="DB739" s="43"/>
      <c r="DC739" s="43"/>
      <c r="DD739" s="43"/>
      <c r="DE739" s="43"/>
      <c r="DF739" s="43"/>
      <c r="DG739" s="43"/>
      <c r="DH739" s="43"/>
      <c r="DI739" s="43"/>
      <c r="DJ739" s="43"/>
      <c r="DK739" s="43"/>
      <c r="DL739" s="43"/>
      <c r="DM739" s="43"/>
      <c r="DN739" s="43"/>
      <c r="DO739" s="43"/>
      <c r="DP739" s="43"/>
      <c r="DQ739" s="43"/>
      <c r="DR739" s="43"/>
      <c r="DS739" s="43"/>
    </row>
    <row r="740" spans="1:123" ht="14.45">
      <c r="A740"/>
      <c r="B740"/>
      <c r="C740"/>
      <c r="D740"/>
      <c r="E740"/>
      <c r="F740"/>
      <c r="G740"/>
      <c r="H740"/>
      <c r="I740"/>
      <c r="J740"/>
      <c r="K740" s="43"/>
      <c r="L740" s="43"/>
      <c r="M740" s="43"/>
      <c r="N740" s="43"/>
      <c r="O740" s="43"/>
      <c r="P740" s="43"/>
      <c r="Q740" s="43"/>
      <c r="R740" s="43"/>
      <c r="S740" s="43"/>
      <c r="T740" s="43"/>
      <c r="U740" s="43"/>
      <c r="V740" s="43"/>
      <c r="W740" s="43"/>
      <c r="X740" s="43"/>
      <c r="Y740" s="43"/>
      <c r="Z740" s="43"/>
      <c r="AA740" s="43"/>
      <c r="AB740" s="43"/>
      <c r="AC740" s="43"/>
      <c r="AD740" s="43"/>
      <c r="AE740" s="43"/>
      <c r="AF740" s="43"/>
      <c r="AG740" s="43"/>
      <c r="AH740" s="43"/>
      <c r="AI740" s="43"/>
      <c r="AJ740" s="43"/>
      <c r="AK740" s="43"/>
      <c r="AL740" s="43"/>
      <c r="AM740" s="43"/>
      <c r="AN740" s="43"/>
      <c r="AO740" s="43"/>
      <c r="AP740" s="43"/>
      <c r="AQ740" s="43"/>
      <c r="AR740" s="43"/>
      <c r="AS740" s="43"/>
      <c r="AT740" s="43"/>
      <c r="AU740" s="43"/>
      <c r="AV740" s="43"/>
      <c r="AW740" s="43"/>
      <c r="AX740" s="43"/>
      <c r="AY740" s="43"/>
      <c r="AZ740" s="43"/>
      <c r="BA740" s="43"/>
      <c r="BB740" s="43"/>
      <c r="BC740" s="43"/>
      <c r="BD740" s="43"/>
      <c r="BE740" s="43"/>
      <c r="BF740" s="43"/>
      <c r="BG740" s="43"/>
      <c r="BH740" s="43"/>
      <c r="BI740" s="43"/>
      <c r="BJ740" s="43"/>
      <c r="BK740" s="43"/>
      <c r="BL740" s="43"/>
      <c r="BM740" s="43"/>
      <c r="BN740" s="43"/>
      <c r="BO740" s="43"/>
      <c r="BP740" s="43"/>
      <c r="BQ740" s="43"/>
      <c r="BR740" s="43"/>
      <c r="BS740" s="43"/>
      <c r="BT740" s="43"/>
      <c r="BU740" s="43"/>
      <c r="BV740" s="43"/>
      <c r="BW740" s="43"/>
      <c r="BX740" s="43"/>
      <c r="BY740" s="43"/>
      <c r="BZ740" s="43"/>
      <c r="CA740" s="43"/>
      <c r="CB740" s="43"/>
      <c r="CC740" s="43"/>
      <c r="CD740" s="43"/>
      <c r="CE740" s="43"/>
      <c r="CF740" s="43"/>
      <c r="CG740" s="43"/>
      <c r="CH740" s="43"/>
      <c r="CI740" s="43"/>
      <c r="CJ740" s="43"/>
      <c r="CK740" s="43"/>
      <c r="CL740" s="43"/>
      <c r="CM740" s="43"/>
      <c r="CN740" s="43"/>
      <c r="CO740" s="43"/>
      <c r="CP740" s="43"/>
      <c r="CQ740" s="43"/>
      <c r="CR740" s="43"/>
      <c r="CS740" s="43"/>
      <c r="CT740" s="43"/>
      <c r="CU740" s="43"/>
      <c r="CV740" s="43"/>
      <c r="CW740" s="43"/>
      <c r="CX740" s="43"/>
      <c r="CY740" s="43"/>
      <c r="CZ740" s="43"/>
      <c r="DA740" s="43"/>
      <c r="DB740" s="43"/>
      <c r="DC740" s="43"/>
      <c r="DD740" s="43"/>
      <c r="DE740" s="43"/>
      <c r="DF740" s="43"/>
      <c r="DG740" s="43"/>
      <c r="DH740" s="43"/>
      <c r="DI740" s="43"/>
      <c r="DJ740" s="43"/>
      <c r="DK740" s="43"/>
      <c r="DL740" s="43"/>
      <c r="DM740" s="43"/>
      <c r="DN740" s="43"/>
      <c r="DO740" s="43"/>
      <c r="DP740" s="43"/>
      <c r="DQ740" s="43"/>
      <c r="DR740" s="43"/>
      <c r="DS740" s="43"/>
    </row>
    <row r="741" spans="1:123" ht="14.45">
      <c r="A741"/>
      <c r="B741"/>
      <c r="C741"/>
      <c r="D741"/>
      <c r="E741"/>
      <c r="F741"/>
      <c r="G741"/>
      <c r="H741"/>
      <c r="I741"/>
      <c r="J741"/>
      <c r="K741" s="43"/>
      <c r="L741" s="43"/>
      <c r="M741" s="43"/>
      <c r="N741" s="43"/>
      <c r="O741" s="43"/>
      <c r="P741" s="43"/>
      <c r="Q741" s="43"/>
      <c r="R741" s="43"/>
      <c r="S741" s="43"/>
      <c r="T741" s="43"/>
      <c r="U741" s="43"/>
      <c r="V741" s="43"/>
      <c r="W741" s="43"/>
      <c r="X741" s="43"/>
      <c r="Y741" s="43"/>
      <c r="Z741" s="43"/>
      <c r="AA741" s="43"/>
      <c r="AB741" s="43"/>
      <c r="AC741" s="43"/>
      <c r="AD741" s="43"/>
      <c r="AE741" s="43"/>
      <c r="AF741" s="43"/>
      <c r="AG741" s="43"/>
      <c r="AH741" s="43"/>
      <c r="AI741" s="43"/>
      <c r="AJ741" s="43"/>
      <c r="AK741" s="43"/>
      <c r="AL741" s="43"/>
      <c r="AM741" s="43"/>
      <c r="AN741" s="43"/>
      <c r="AO741" s="43"/>
      <c r="AP741" s="43"/>
      <c r="AQ741" s="43"/>
      <c r="AR741" s="43"/>
      <c r="AS741" s="43"/>
      <c r="AT741" s="43"/>
      <c r="AU741" s="43"/>
      <c r="AV741" s="43"/>
      <c r="AW741" s="43"/>
      <c r="AX741" s="43"/>
      <c r="AY741" s="43"/>
      <c r="AZ741" s="43"/>
      <c r="BA741" s="43"/>
      <c r="BB741" s="43"/>
      <c r="BC741" s="43"/>
      <c r="BD741" s="43"/>
      <c r="BE741" s="43"/>
      <c r="BF741" s="43"/>
      <c r="BG741" s="43"/>
      <c r="BH741" s="43"/>
      <c r="BI741" s="43"/>
      <c r="BJ741" s="43"/>
      <c r="BK741" s="43"/>
      <c r="BL741" s="43"/>
      <c r="BM741" s="43"/>
      <c r="BN741" s="43"/>
      <c r="BO741" s="43"/>
      <c r="BP741" s="43"/>
      <c r="BQ741" s="43"/>
      <c r="BR741" s="43"/>
      <c r="BS741" s="43"/>
      <c r="BT741" s="43"/>
      <c r="BU741" s="43"/>
      <c r="BV741" s="43"/>
      <c r="BW741" s="43"/>
      <c r="BX741" s="43"/>
      <c r="BY741" s="43"/>
      <c r="BZ741" s="43"/>
      <c r="CA741" s="43"/>
      <c r="CB741" s="43"/>
      <c r="CC741" s="43"/>
      <c r="CD741" s="43"/>
      <c r="CE741" s="43"/>
      <c r="CF741" s="43"/>
      <c r="CG741" s="43"/>
      <c r="CH741" s="43"/>
      <c r="CI741" s="43"/>
      <c r="CJ741" s="43"/>
      <c r="CK741" s="43"/>
      <c r="CL741" s="43"/>
      <c r="CM741" s="43"/>
      <c r="CN741" s="43"/>
      <c r="CO741" s="43"/>
      <c r="CP741" s="43"/>
      <c r="CQ741" s="43"/>
      <c r="CR741" s="43"/>
      <c r="CS741" s="43"/>
      <c r="CT741" s="43"/>
      <c r="CU741" s="43"/>
      <c r="CV741" s="43"/>
      <c r="CW741" s="43"/>
      <c r="CX741" s="43"/>
      <c r="CY741" s="43"/>
      <c r="CZ741" s="43"/>
      <c r="DA741" s="43"/>
      <c r="DB741" s="43"/>
      <c r="DC741" s="43"/>
      <c r="DD741" s="43"/>
      <c r="DE741" s="43"/>
      <c r="DF741" s="43"/>
      <c r="DG741" s="43"/>
      <c r="DH741" s="43"/>
      <c r="DI741" s="43"/>
      <c r="DJ741" s="43"/>
      <c r="DK741" s="43"/>
      <c r="DL741" s="43"/>
      <c r="DM741" s="43"/>
      <c r="DN741" s="43"/>
      <c r="DO741" s="43"/>
      <c r="DP741" s="43"/>
      <c r="DQ741" s="43"/>
      <c r="DR741" s="43"/>
      <c r="DS741" s="43"/>
    </row>
    <row r="742" spans="1:123" ht="14.45">
      <c r="A742"/>
      <c r="B742"/>
      <c r="C742"/>
      <c r="D742"/>
      <c r="E742"/>
      <c r="F742"/>
      <c r="G742"/>
      <c r="H742"/>
      <c r="I742"/>
      <c r="J742"/>
      <c r="K742" s="43"/>
      <c r="L742" s="43"/>
      <c r="M742" s="43"/>
      <c r="N742" s="43"/>
      <c r="O742" s="43"/>
      <c r="P742" s="43"/>
      <c r="Q742" s="43"/>
      <c r="R742" s="43"/>
      <c r="S742" s="43"/>
      <c r="T742" s="43"/>
      <c r="U742" s="43"/>
      <c r="V742" s="43"/>
      <c r="W742" s="43"/>
      <c r="X742" s="43"/>
      <c r="Y742" s="43"/>
      <c r="Z742" s="43"/>
      <c r="AA742" s="43"/>
      <c r="AB742" s="43"/>
      <c r="AC742" s="43"/>
      <c r="AD742" s="43"/>
      <c r="AE742" s="43"/>
      <c r="AF742" s="43"/>
      <c r="AG742" s="43"/>
      <c r="AH742" s="43"/>
      <c r="AI742" s="43"/>
      <c r="AJ742" s="43"/>
      <c r="AK742" s="43"/>
      <c r="AL742" s="43"/>
      <c r="AM742" s="43"/>
      <c r="AN742" s="43"/>
      <c r="AO742" s="43"/>
      <c r="AP742" s="43"/>
      <c r="AQ742" s="43"/>
      <c r="AR742" s="43"/>
      <c r="AS742" s="43"/>
      <c r="AT742" s="43"/>
      <c r="AU742" s="43"/>
      <c r="AV742" s="43"/>
      <c r="AW742" s="43"/>
      <c r="AX742" s="43"/>
      <c r="AY742" s="43"/>
      <c r="AZ742" s="43"/>
      <c r="BA742" s="43"/>
      <c r="BB742" s="43"/>
      <c r="BC742" s="43"/>
      <c r="BD742" s="43"/>
      <c r="BE742" s="43"/>
      <c r="BF742" s="43"/>
      <c r="BG742" s="43"/>
      <c r="BH742" s="43"/>
      <c r="BI742" s="43"/>
      <c r="BJ742" s="43"/>
      <c r="BK742" s="43"/>
      <c r="BL742" s="43"/>
      <c r="BM742" s="43"/>
      <c r="BN742" s="43"/>
      <c r="BO742" s="43"/>
      <c r="BP742" s="43"/>
      <c r="BQ742" s="43"/>
      <c r="BR742" s="43"/>
      <c r="BS742" s="43"/>
      <c r="BT742" s="43"/>
      <c r="BU742" s="43"/>
      <c r="BV742" s="43"/>
      <c r="BW742" s="43"/>
      <c r="BX742" s="43"/>
      <c r="BY742" s="43"/>
      <c r="BZ742" s="43"/>
      <c r="CA742" s="43"/>
      <c r="CB742" s="43"/>
      <c r="CC742" s="43"/>
      <c r="CD742" s="43"/>
      <c r="CE742" s="43"/>
      <c r="CF742" s="43"/>
      <c r="CG742" s="43"/>
      <c r="CH742" s="43"/>
      <c r="CI742" s="43"/>
      <c r="CJ742" s="43"/>
      <c r="CK742" s="43"/>
      <c r="CL742" s="43"/>
      <c r="CM742" s="43"/>
      <c r="CN742" s="43"/>
      <c r="CO742" s="43"/>
      <c r="CP742" s="43"/>
      <c r="CQ742" s="43"/>
      <c r="CR742" s="43"/>
      <c r="CS742" s="43"/>
      <c r="CT742" s="43"/>
      <c r="CU742" s="43"/>
      <c r="CV742" s="43"/>
      <c r="CW742" s="43"/>
      <c r="CX742" s="43"/>
      <c r="CY742" s="43"/>
      <c r="CZ742" s="43"/>
      <c r="DA742" s="43"/>
      <c r="DB742" s="43"/>
      <c r="DC742" s="43"/>
      <c r="DD742" s="43"/>
      <c r="DE742" s="43"/>
      <c r="DF742" s="43"/>
      <c r="DG742" s="43"/>
      <c r="DH742" s="43"/>
      <c r="DI742" s="43"/>
      <c r="DJ742" s="43"/>
      <c r="DK742" s="43"/>
      <c r="DL742" s="43"/>
      <c r="DM742" s="43"/>
      <c r="DN742" s="43"/>
      <c r="DO742" s="43"/>
      <c r="DP742" s="43"/>
      <c r="DQ742" s="43"/>
      <c r="DR742" s="43"/>
      <c r="DS742" s="43"/>
    </row>
    <row r="743" spans="1:123" ht="14.45">
      <c r="A743"/>
      <c r="B743"/>
      <c r="C743"/>
      <c r="D743"/>
      <c r="E743"/>
      <c r="F743"/>
      <c r="G743"/>
      <c r="H743"/>
      <c r="I743"/>
      <c r="J743"/>
      <c r="K743" s="43"/>
      <c r="L743" s="43"/>
      <c r="M743" s="43"/>
      <c r="N743" s="43"/>
      <c r="O743" s="43"/>
      <c r="P743" s="43"/>
      <c r="Q743" s="43"/>
      <c r="R743" s="43"/>
      <c r="S743" s="43"/>
      <c r="T743" s="43"/>
      <c r="U743" s="43"/>
      <c r="V743" s="43"/>
      <c r="W743" s="43"/>
      <c r="X743" s="43"/>
      <c r="Y743" s="43"/>
      <c r="Z743" s="43"/>
      <c r="AA743" s="43"/>
      <c r="AB743" s="43"/>
      <c r="AC743" s="43"/>
      <c r="AD743" s="43"/>
      <c r="AE743" s="43"/>
      <c r="AF743" s="43"/>
      <c r="AG743" s="43"/>
      <c r="AH743" s="43"/>
      <c r="AI743" s="43"/>
      <c r="AJ743" s="43"/>
      <c r="AK743" s="43"/>
      <c r="AL743" s="43"/>
      <c r="AM743" s="43"/>
      <c r="AN743" s="43"/>
      <c r="AO743" s="43"/>
      <c r="AP743" s="43"/>
      <c r="AQ743" s="43"/>
      <c r="AR743" s="43"/>
      <c r="AS743" s="43"/>
      <c r="AT743" s="43"/>
      <c r="AU743" s="43"/>
      <c r="AV743" s="43"/>
      <c r="AW743" s="43"/>
      <c r="AX743" s="43"/>
      <c r="AY743" s="43"/>
      <c r="AZ743" s="43"/>
      <c r="BA743" s="43"/>
      <c r="BB743" s="43"/>
      <c r="BC743" s="43"/>
      <c r="BD743" s="43"/>
      <c r="BE743" s="43"/>
      <c r="BF743" s="43"/>
      <c r="BG743" s="43"/>
      <c r="BH743" s="43"/>
      <c r="BI743" s="43"/>
      <c r="BJ743" s="43"/>
      <c r="BK743" s="43"/>
      <c r="BL743" s="43"/>
      <c r="BM743" s="43"/>
      <c r="BN743" s="43"/>
      <c r="BO743" s="43"/>
      <c r="BP743" s="43"/>
      <c r="BQ743" s="43"/>
      <c r="BR743" s="43"/>
      <c r="BS743" s="43"/>
      <c r="BT743" s="43"/>
      <c r="BU743" s="43"/>
      <c r="BV743" s="43"/>
      <c r="BW743" s="43"/>
      <c r="BX743" s="43"/>
      <c r="BY743" s="43"/>
      <c r="BZ743" s="43"/>
      <c r="CA743" s="43"/>
      <c r="CB743" s="43"/>
      <c r="CC743" s="43"/>
      <c r="CD743" s="43"/>
      <c r="CE743" s="43"/>
      <c r="CF743" s="43"/>
      <c r="CG743" s="43"/>
      <c r="CH743" s="43"/>
      <c r="CI743" s="43"/>
      <c r="CJ743" s="43"/>
      <c r="CK743" s="43"/>
      <c r="CL743" s="43"/>
      <c r="CM743" s="43"/>
      <c r="CN743" s="43"/>
      <c r="CO743" s="43"/>
      <c r="CP743" s="43"/>
      <c r="CQ743" s="43"/>
      <c r="CR743" s="43"/>
      <c r="CS743" s="43"/>
      <c r="CT743" s="43"/>
      <c r="CU743" s="43"/>
      <c r="CV743" s="43"/>
      <c r="CW743" s="43"/>
      <c r="CX743" s="43"/>
      <c r="CY743" s="43"/>
      <c r="CZ743" s="43"/>
      <c r="DA743" s="43"/>
      <c r="DB743" s="43"/>
      <c r="DC743" s="43"/>
      <c r="DD743" s="43"/>
      <c r="DE743" s="43"/>
      <c r="DF743" s="43"/>
      <c r="DG743" s="43"/>
      <c r="DH743" s="43"/>
      <c r="DI743" s="43"/>
      <c r="DJ743" s="43"/>
      <c r="DK743" s="43"/>
      <c r="DL743" s="43"/>
      <c r="DM743" s="43"/>
      <c r="DN743" s="43"/>
      <c r="DO743" s="43"/>
      <c r="DP743" s="43"/>
      <c r="DQ743" s="43"/>
      <c r="DR743" s="43"/>
      <c r="DS743" s="43"/>
    </row>
    <row r="744" spans="1:123" ht="14.45">
      <c r="A744"/>
      <c r="B744"/>
      <c r="C744"/>
      <c r="D744"/>
      <c r="E744"/>
      <c r="F744"/>
      <c r="G744"/>
      <c r="H744"/>
      <c r="I744"/>
      <c r="J744"/>
      <c r="K744" s="43"/>
      <c r="L744" s="43"/>
      <c r="M744" s="43"/>
      <c r="N744" s="43"/>
      <c r="O744" s="43"/>
      <c r="P744" s="43"/>
      <c r="Q744" s="43"/>
      <c r="R744" s="43"/>
      <c r="S744" s="43"/>
      <c r="T744" s="43"/>
      <c r="U744" s="43"/>
      <c r="V744" s="43"/>
      <c r="W744" s="43"/>
      <c r="X744" s="43"/>
      <c r="Y744" s="43"/>
      <c r="Z744" s="43"/>
      <c r="AA744" s="43"/>
      <c r="AB744" s="43"/>
      <c r="AC744" s="43"/>
      <c r="AD744" s="43"/>
      <c r="AE744" s="43"/>
      <c r="AF744" s="43"/>
      <c r="AG744" s="43"/>
      <c r="AH744" s="43"/>
      <c r="AI744" s="43"/>
      <c r="AJ744" s="43"/>
      <c r="AK744" s="43"/>
      <c r="AL744" s="43"/>
      <c r="AM744" s="43"/>
      <c r="AN744" s="43"/>
      <c r="AO744" s="43"/>
      <c r="AP744" s="43"/>
      <c r="AQ744" s="43"/>
      <c r="AR744" s="43"/>
      <c r="AS744" s="43"/>
      <c r="AT744" s="43"/>
      <c r="AU744" s="43"/>
      <c r="AV744" s="43"/>
      <c r="AW744" s="43"/>
      <c r="AX744" s="43"/>
      <c r="AY744" s="43"/>
      <c r="AZ744" s="43"/>
      <c r="BA744" s="43"/>
      <c r="BB744" s="43"/>
      <c r="BC744" s="43"/>
      <c r="BD744" s="43"/>
      <c r="BE744" s="43"/>
      <c r="BF744" s="43"/>
      <c r="BG744" s="43"/>
      <c r="BH744" s="43"/>
      <c r="BI744" s="43"/>
      <c r="BJ744" s="43"/>
      <c r="BK744" s="43"/>
      <c r="BL744" s="43"/>
      <c r="BM744" s="43"/>
      <c r="BN744" s="43"/>
      <c r="BO744" s="43"/>
      <c r="BP744" s="43"/>
      <c r="BQ744" s="43"/>
      <c r="BR744" s="43"/>
      <c r="BS744" s="43"/>
      <c r="BT744" s="43"/>
      <c r="BU744" s="43"/>
      <c r="BV744" s="43"/>
      <c r="BW744" s="43"/>
      <c r="BX744" s="43"/>
      <c r="BY744" s="43"/>
      <c r="BZ744" s="43"/>
      <c r="CA744" s="43"/>
      <c r="CB744" s="43"/>
      <c r="CC744" s="43"/>
      <c r="CD744" s="43"/>
      <c r="CE744" s="43"/>
      <c r="CF744" s="43"/>
      <c r="CG744" s="43"/>
      <c r="CH744" s="43"/>
      <c r="CI744" s="43"/>
      <c r="CJ744" s="43"/>
      <c r="CK744" s="43"/>
      <c r="CL744" s="43"/>
      <c r="CM744" s="43"/>
      <c r="CN744" s="43"/>
      <c r="CO744" s="43"/>
      <c r="CP744" s="43"/>
      <c r="CQ744" s="43"/>
      <c r="CR744" s="43"/>
      <c r="CS744" s="43"/>
      <c r="CT744" s="43"/>
      <c r="CU744" s="43"/>
      <c r="CV744" s="43"/>
      <c r="CW744" s="43"/>
      <c r="CX744" s="43"/>
      <c r="CY744" s="43"/>
      <c r="CZ744" s="43"/>
      <c r="DA744" s="43"/>
      <c r="DB744" s="43"/>
      <c r="DC744" s="43"/>
      <c r="DD744" s="43"/>
      <c r="DE744" s="43"/>
      <c r="DF744" s="43"/>
      <c r="DG744" s="43"/>
      <c r="DH744" s="43"/>
      <c r="DI744" s="43"/>
      <c r="DJ744" s="43"/>
      <c r="DK744" s="43"/>
      <c r="DL744" s="43"/>
      <c r="DM744" s="43"/>
      <c r="DN744" s="43"/>
      <c r="DO744" s="43"/>
      <c r="DP744" s="43"/>
      <c r="DQ744" s="43"/>
      <c r="DR744" s="43"/>
      <c r="DS744" s="43"/>
    </row>
    <row r="745" spans="1:123" ht="14.45">
      <c r="A745"/>
      <c r="B745"/>
      <c r="C745"/>
      <c r="D745"/>
      <c r="E745"/>
      <c r="F745"/>
      <c r="G745"/>
      <c r="H745"/>
      <c r="I745"/>
      <c r="J745"/>
      <c r="K745" s="43"/>
      <c r="L745" s="43"/>
      <c r="M745" s="43"/>
      <c r="N745" s="43"/>
      <c r="O745" s="43"/>
      <c r="P745" s="43"/>
      <c r="Q745" s="43"/>
      <c r="R745" s="43"/>
      <c r="S745" s="43"/>
      <c r="T745" s="43"/>
      <c r="U745" s="43"/>
      <c r="V745" s="43"/>
      <c r="W745" s="43"/>
      <c r="X745" s="43"/>
      <c r="Y745" s="43"/>
      <c r="Z745" s="43"/>
      <c r="AA745" s="43"/>
      <c r="AB745" s="43"/>
      <c r="AC745" s="43"/>
      <c r="AD745" s="43"/>
      <c r="AE745" s="43"/>
      <c r="AF745" s="43"/>
      <c r="AG745" s="43"/>
      <c r="AH745" s="43"/>
      <c r="AI745" s="43"/>
      <c r="AJ745" s="43"/>
      <c r="AK745" s="43"/>
      <c r="AL745" s="43"/>
      <c r="AM745" s="43"/>
      <c r="AN745" s="43"/>
      <c r="AO745" s="43"/>
      <c r="AP745" s="43"/>
      <c r="AQ745" s="43"/>
      <c r="AR745" s="43"/>
      <c r="AS745" s="43"/>
      <c r="AT745" s="43"/>
      <c r="AU745" s="43"/>
      <c r="AV745" s="43"/>
      <c r="AW745" s="43"/>
      <c r="AX745" s="43"/>
      <c r="AY745" s="43"/>
      <c r="AZ745" s="43"/>
      <c r="BA745" s="43"/>
      <c r="BB745" s="43"/>
      <c r="BC745" s="43"/>
      <c r="BD745" s="43"/>
      <c r="BE745" s="43"/>
      <c r="BF745" s="43"/>
      <c r="BG745" s="43"/>
      <c r="BH745" s="43"/>
      <c r="BI745" s="43"/>
      <c r="BJ745" s="43"/>
      <c r="BK745" s="43"/>
      <c r="BL745" s="43"/>
      <c r="BM745" s="43"/>
      <c r="BN745" s="43"/>
      <c r="BO745" s="43"/>
      <c r="BP745" s="43"/>
      <c r="BQ745" s="43"/>
      <c r="BR745" s="43"/>
      <c r="BS745" s="43"/>
      <c r="BT745" s="43"/>
      <c r="BU745" s="43"/>
      <c r="BV745" s="43"/>
      <c r="BW745" s="43"/>
      <c r="BX745" s="43"/>
      <c r="BY745" s="43"/>
      <c r="BZ745" s="43"/>
      <c r="CA745" s="43"/>
      <c r="CB745" s="43"/>
      <c r="CC745" s="43"/>
      <c r="CD745" s="43"/>
      <c r="CE745" s="43"/>
      <c r="CF745" s="43"/>
      <c r="CG745" s="43"/>
      <c r="CH745" s="43"/>
      <c r="CI745" s="43"/>
      <c r="CJ745" s="43"/>
      <c r="CK745" s="43"/>
      <c r="CL745" s="43"/>
      <c r="CM745" s="43"/>
      <c r="CN745" s="43"/>
      <c r="CO745" s="43"/>
      <c r="CP745" s="43"/>
      <c r="CQ745" s="43"/>
      <c r="CR745" s="43"/>
      <c r="CS745" s="43"/>
      <c r="CT745" s="43"/>
      <c r="CU745" s="43"/>
      <c r="CV745" s="43"/>
      <c r="CW745" s="43"/>
      <c r="CX745" s="43"/>
      <c r="CY745" s="43"/>
      <c r="CZ745" s="43"/>
      <c r="DA745" s="43"/>
      <c r="DB745" s="43"/>
      <c r="DC745" s="43"/>
      <c r="DD745" s="43"/>
      <c r="DE745" s="43"/>
      <c r="DF745" s="43"/>
      <c r="DG745" s="43"/>
      <c r="DH745" s="43"/>
      <c r="DI745" s="43"/>
      <c r="DJ745" s="43"/>
      <c r="DK745" s="43"/>
      <c r="DL745" s="43"/>
      <c r="DM745" s="43"/>
      <c r="DN745" s="43"/>
      <c r="DO745" s="43"/>
      <c r="DP745" s="43"/>
      <c r="DQ745" s="43"/>
      <c r="DR745" s="43"/>
      <c r="DS745" s="43"/>
    </row>
    <row r="746" spans="1:123" ht="14.45">
      <c r="A746"/>
      <c r="B746"/>
      <c r="C746"/>
      <c r="D746"/>
      <c r="E746"/>
      <c r="F746"/>
      <c r="G746"/>
      <c r="H746"/>
      <c r="I746"/>
      <c r="J746"/>
      <c r="K746" s="43"/>
      <c r="L746" s="43"/>
      <c r="M746" s="43"/>
      <c r="N746" s="43"/>
      <c r="O746" s="43"/>
      <c r="P746" s="43"/>
      <c r="Q746" s="43"/>
      <c r="R746" s="43"/>
      <c r="S746" s="43"/>
      <c r="T746" s="43"/>
      <c r="U746" s="43"/>
      <c r="V746" s="43"/>
      <c r="W746" s="43"/>
      <c r="X746" s="43"/>
      <c r="Y746" s="43"/>
      <c r="Z746" s="43"/>
      <c r="AA746" s="43"/>
      <c r="AB746" s="43"/>
      <c r="AC746" s="43"/>
      <c r="AD746" s="43"/>
      <c r="AE746" s="43"/>
      <c r="AF746" s="43"/>
      <c r="AG746" s="43"/>
      <c r="AH746" s="43"/>
      <c r="AI746" s="43"/>
      <c r="AJ746" s="43"/>
      <c r="AK746" s="43"/>
      <c r="AL746" s="43"/>
      <c r="AM746" s="43"/>
      <c r="AN746" s="43"/>
      <c r="AO746" s="43"/>
      <c r="AP746" s="43"/>
      <c r="AQ746" s="43"/>
      <c r="AR746" s="43"/>
      <c r="AS746" s="43"/>
      <c r="AT746" s="43"/>
      <c r="AU746" s="43"/>
      <c r="AV746" s="43"/>
      <c r="AW746" s="43"/>
      <c r="AX746" s="43"/>
      <c r="AY746" s="43"/>
      <c r="AZ746" s="43"/>
      <c r="BA746" s="43"/>
      <c r="BB746" s="43"/>
      <c r="BC746" s="43"/>
      <c r="BD746" s="43"/>
      <c r="BE746" s="43"/>
      <c r="BF746" s="43"/>
      <c r="BG746" s="43"/>
      <c r="BH746" s="43"/>
      <c r="BI746" s="43"/>
      <c r="BJ746" s="43"/>
      <c r="BK746" s="43"/>
      <c r="BL746" s="43"/>
      <c r="BM746" s="43"/>
      <c r="BN746" s="43"/>
      <c r="BO746" s="43"/>
      <c r="BP746" s="43"/>
      <c r="BQ746" s="43"/>
      <c r="BR746" s="43"/>
      <c r="BS746" s="43"/>
      <c r="BT746" s="43"/>
      <c r="BU746" s="43"/>
      <c r="BV746" s="43"/>
      <c r="BW746" s="43"/>
      <c r="BX746" s="43"/>
      <c r="BY746" s="43"/>
      <c r="BZ746" s="43"/>
      <c r="CA746" s="43"/>
      <c r="CB746" s="43"/>
      <c r="CC746" s="43"/>
      <c r="CD746" s="43"/>
      <c r="CE746" s="43"/>
      <c r="CF746" s="43"/>
      <c r="CG746" s="43"/>
      <c r="CH746" s="43"/>
      <c r="CI746" s="43"/>
      <c r="CJ746" s="43"/>
      <c r="CK746" s="43"/>
      <c r="CL746" s="43"/>
      <c r="CM746" s="43"/>
      <c r="CN746" s="43"/>
      <c r="CO746" s="43"/>
      <c r="CP746" s="43"/>
      <c r="CQ746" s="43"/>
      <c r="CR746" s="43"/>
      <c r="CS746" s="43"/>
      <c r="CT746" s="43"/>
      <c r="CU746" s="43"/>
      <c r="CV746" s="43"/>
      <c r="CW746" s="43"/>
      <c r="CX746" s="43"/>
      <c r="CY746" s="43"/>
      <c r="CZ746" s="43"/>
      <c r="DA746" s="43"/>
      <c r="DB746" s="43"/>
      <c r="DC746" s="43"/>
      <c r="DD746" s="43"/>
      <c r="DE746" s="43"/>
      <c r="DF746" s="43"/>
      <c r="DG746" s="43"/>
      <c r="DH746" s="43"/>
      <c r="DI746" s="43"/>
      <c r="DJ746" s="43"/>
      <c r="DK746" s="43"/>
      <c r="DL746" s="43"/>
      <c r="DM746" s="43"/>
      <c r="DN746" s="43"/>
      <c r="DO746" s="43"/>
      <c r="DP746" s="43"/>
      <c r="DQ746" s="43"/>
      <c r="DR746" s="43"/>
      <c r="DS746" s="43"/>
    </row>
    <row r="747" spans="1:123" ht="14.45">
      <c r="A747"/>
      <c r="B747"/>
      <c r="C747"/>
      <c r="D747"/>
      <c r="E747"/>
      <c r="F747"/>
      <c r="G747"/>
      <c r="H747"/>
      <c r="I747"/>
      <c r="J747"/>
      <c r="K747" s="43"/>
      <c r="L747" s="43"/>
      <c r="M747" s="43"/>
      <c r="N747" s="43"/>
      <c r="O747" s="43"/>
      <c r="P747" s="43"/>
      <c r="Q747" s="43"/>
      <c r="R747" s="43"/>
      <c r="S747" s="43"/>
      <c r="T747" s="43"/>
      <c r="U747" s="43"/>
      <c r="V747" s="43"/>
      <c r="W747" s="43"/>
      <c r="X747" s="43"/>
      <c r="Y747" s="43"/>
      <c r="Z747" s="43"/>
      <c r="AA747" s="43"/>
      <c r="AB747" s="43"/>
      <c r="AC747" s="43"/>
      <c r="AD747" s="43"/>
      <c r="AE747" s="43"/>
      <c r="AF747" s="43"/>
      <c r="AG747" s="43"/>
      <c r="AH747" s="43"/>
      <c r="AI747" s="43"/>
      <c r="AJ747" s="43"/>
      <c r="AK747" s="43"/>
      <c r="AL747" s="43"/>
      <c r="AM747" s="43"/>
      <c r="AN747" s="43"/>
      <c r="AO747" s="43"/>
      <c r="AP747" s="43"/>
      <c r="AQ747" s="43"/>
      <c r="AR747" s="43"/>
      <c r="AS747" s="43"/>
      <c r="AT747" s="43"/>
      <c r="AU747" s="43"/>
      <c r="AV747" s="43"/>
      <c r="AW747" s="43"/>
      <c r="AX747" s="43"/>
      <c r="AY747" s="43"/>
      <c r="AZ747" s="43"/>
      <c r="BA747" s="43"/>
      <c r="BB747" s="43"/>
      <c r="BC747" s="43"/>
      <c r="BD747" s="43"/>
      <c r="BE747" s="43"/>
      <c r="BF747" s="43"/>
      <c r="BG747" s="43"/>
      <c r="BH747" s="43"/>
      <c r="BI747" s="43"/>
      <c r="BJ747" s="43"/>
      <c r="BK747" s="43"/>
      <c r="BL747" s="43"/>
      <c r="BM747" s="43"/>
      <c r="BN747" s="43"/>
      <c r="BO747" s="43"/>
      <c r="BP747" s="43"/>
      <c r="BQ747" s="43"/>
      <c r="BR747" s="43"/>
      <c r="BS747" s="43"/>
      <c r="BT747" s="43"/>
      <c r="BU747" s="43"/>
      <c r="BV747" s="43"/>
      <c r="BW747" s="43"/>
      <c r="BX747" s="43"/>
      <c r="BY747" s="43"/>
      <c r="BZ747" s="43"/>
      <c r="CA747" s="43"/>
      <c r="CB747" s="43"/>
      <c r="CC747" s="43"/>
      <c r="CD747" s="43"/>
      <c r="CE747" s="43"/>
      <c r="CF747" s="43"/>
      <c r="CG747" s="43"/>
      <c r="CH747" s="43"/>
      <c r="CI747" s="43"/>
      <c r="CJ747" s="43"/>
      <c r="CK747" s="43"/>
      <c r="CL747" s="43"/>
      <c r="CM747" s="43"/>
      <c r="CN747" s="43"/>
      <c r="CO747" s="43"/>
      <c r="CP747" s="43"/>
      <c r="CQ747" s="43"/>
      <c r="CR747" s="43"/>
      <c r="CS747" s="43"/>
      <c r="CT747" s="43"/>
      <c r="CU747" s="43"/>
      <c r="CV747" s="43"/>
      <c r="CW747" s="43"/>
      <c r="CX747" s="43"/>
      <c r="CY747" s="43"/>
      <c r="CZ747" s="43"/>
      <c r="DA747" s="43"/>
      <c r="DB747" s="43"/>
      <c r="DC747" s="43"/>
      <c r="DD747" s="43"/>
      <c r="DE747" s="43"/>
      <c r="DF747" s="43"/>
      <c r="DG747" s="43"/>
      <c r="DH747" s="43"/>
      <c r="DI747" s="43"/>
      <c r="DJ747" s="43"/>
      <c r="DK747" s="43"/>
      <c r="DL747" s="43"/>
      <c r="DM747" s="43"/>
      <c r="DN747" s="43"/>
      <c r="DO747" s="43"/>
      <c r="DP747" s="43"/>
      <c r="DQ747" s="43"/>
      <c r="DR747" s="43"/>
      <c r="DS747" s="43"/>
    </row>
    <row r="748" spans="1:123" ht="14.45">
      <c r="A748"/>
      <c r="B748"/>
      <c r="C748"/>
      <c r="D748"/>
      <c r="E748"/>
      <c r="F748"/>
      <c r="G748"/>
      <c r="H748"/>
      <c r="I748"/>
      <c r="J748"/>
      <c r="K748" s="43"/>
      <c r="L748" s="43"/>
      <c r="M748" s="43"/>
      <c r="N748" s="43"/>
      <c r="O748" s="43"/>
      <c r="P748" s="43"/>
      <c r="Q748" s="43"/>
      <c r="R748" s="43"/>
      <c r="S748" s="43"/>
      <c r="T748" s="43"/>
      <c r="U748" s="43"/>
      <c r="V748" s="43"/>
      <c r="W748" s="43"/>
      <c r="X748" s="43"/>
      <c r="Y748" s="43"/>
      <c r="Z748" s="43"/>
      <c r="AA748" s="43"/>
      <c r="AB748" s="43"/>
      <c r="AC748" s="43"/>
      <c r="AD748" s="43"/>
      <c r="AE748" s="43"/>
      <c r="AF748" s="43"/>
      <c r="AG748" s="43"/>
      <c r="AH748" s="43"/>
      <c r="AI748" s="43"/>
      <c r="AJ748" s="43"/>
      <c r="AK748" s="43"/>
      <c r="AL748" s="43"/>
      <c r="AM748" s="43"/>
      <c r="AN748" s="43"/>
      <c r="AO748" s="43"/>
      <c r="AP748" s="43"/>
      <c r="AQ748" s="43"/>
      <c r="AR748" s="43"/>
      <c r="AS748" s="43"/>
      <c r="AT748" s="43"/>
      <c r="AU748" s="43"/>
      <c r="AV748" s="43"/>
      <c r="AW748" s="43"/>
      <c r="AX748" s="43"/>
      <c r="AY748" s="43"/>
      <c r="AZ748" s="43"/>
      <c r="BA748" s="43"/>
      <c r="BB748" s="43"/>
      <c r="BC748" s="43"/>
      <c r="BD748" s="43"/>
      <c r="BE748" s="43"/>
      <c r="BF748" s="43"/>
      <c r="BG748" s="43"/>
      <c r="BH748" s="43"/>
      <c r="BI748" s="43"/>
      <c r="BJ748" s="43"/>
      <c r="BK748" s="43"/>
      <c r="BL748" s="43"/>
      <c r="BM748" s="43"/>
      <c r="BN748" s="43"/>
      <c r="BO748" s="43"/>
      <c r="BP748" s="43"/>
      <c r="BQ748" s="43"/>
      <c r="BR748" s="43"/>
      <c r="BS748" s="43"/>
      <c r="BT748" s="43"/>
      <c r="BU748" s="43"/>
      <c r="BV748" s="43"/>
      <c r="BW748" s="43"/>
      <c r="BX748" s="43"/>
      <c r="BY748" s="43"/>
      <c r="BZ748" s="43"/>
      <c r="CA748" s="43"/>
      <c r="CB748" s="43"/>
      <c r="CC748" s="43"/>
      <c r="CD748" s="43"/>
      <c r="CE748" s="43"/>
      <c r="CF748" s="43"/>
      <c r="CG748" s="43"/>
      <c r="CH748" s="43"/>
      <c r="CI748" s="43"/>
      <c r="CJ748" s="43"/>
      <c r="CK748" s="43"/>
      <c r="CL748" s="43"/>
      <c r="CM748" s="43"/>
      <c r="CN748" s="43"/>
      <c r="CO748" s="43"/>
      <c r="CP748" s="43"/>
      <c r="CQ748" s="43"/>
      <c r="CR748" s="43"/>
      <c r="CS748" s="43"/>
      <c r="CT748" s="43"/>
      <c r="CU748" s="43"/>
      <c r="CV748" s="43"/>
      <c r="CW748" s="43"/>
      <c r="CX748" s="43"/>
      <c r="CY748" s="43"/>
      <c r="CZ748" s="43"/>
      <c r="DA748" s="43"/>
      <c r="DB748" s="43"/>
      <c r="DC748" s="43"/>
      <c r="DD748" s="43"/>
      <c r="DE748" s="43"/>
      <c r="DF748" s="43"/>
      <c r="DG748" s="43"/>
      <c r="DH748" s="43"/>
      <c r="DI748" s="43"/>
      <c r="DJ748" s="43"/>
      <c r="DK748" s="43"/>
      <c r="DL748" s="43"/>
      <c r="DM748" s="43"/>
      <c r="DN748" s="43"/>
      <c r="DO748" s="43"/>
      <c r="DP748" s="43"/>
      <c r="DQ748" s="43"/>
      <c r="DR748" s="43"/>
      <c r="DS748" s="43"/>
    </row>
    <row r="749" spans="1:123" ht="14.45">
      <c r="A749"/>
      <c r="B749"/>
      <c r="C749"/>
      <c r="D749"/>
      <c r="E749"/>
      <c r="F749"/>
      <c r="G749"/>
      <c r="H749"/>
      <c r="I749"/>
      <c r="J749"/>
      <c r="K749" s="43"/>
      <c r="L749" s="43"/>
      <c r="M749" s="43"/>
      <c r="N749" s="43"/>
      <c r="O749" s="43"/>
      <c r="P749" s="43"/>
      <c r="Q749" s="43"/>
      <c r="R749" s="43"/>
      <c r="S749" s="43"/>
      <c r="T749" s="43"/>
      <c r="U749" s="43"/>
      <c r="V749" s="43"/>
      <c r="W749" s="43"/>
      <c r="X749" s="43"/>
      <c r="Y749" s="43"/>
      <c r="Z749" s="43"/>
      <c r="AA749" s="43"/>
      <c r="AB749" s="43"/>
      <c r="AC749" s="43"/>
      <c r="AD749" s="43"/>
      <c r="AE749" s="43"/>
      <c r="AF749" s="43"/>
      <c r="AG749" s="43"/>
      <c r="AH749" s="43"/>
      <c r="AI749" s="43"/>
      <c r="AJ749" s="43"/>
      <c r="AK749" s="43"/>
      <c r="AL749" s="43"/>
      <c r="AM749" s="43"/>
      <c r="AN749" s="43"/>
      <c r="AO749" s="43"/>
      <c r="AP749" s="43"/>
      <c r="AQ749" s="43"/>
      <c r="AR749" s="43"/>
      <c r="AS749" s="43"/>
      <c r="AT749" s="43"/>
      <c r="AU749" s="43"/>
      <c r="AV749" s="43"/>
      <c r="AW749" s="43"/>
      <c r="AX749" s="43"/>
      <c r="AY749" s="43"/>
      <c r="AZ749" s="43"/>
      <c r="BA749" s="43"/>
      <c r="BB749" s="43"/>
      <c r="BC749" s="43"/>
      <c r="BD749" s="43"/>
      <c r="BE749" s="43"/>
      <c r="BF749" s="43"/>
      <c r="BG749" s="43"/>
      <c r="BH749" s="43"/>
      <c r="BI749" s="43"/>
      <c r="BJ749" s="43"/>
      <c r="BK749" s="43"/>
      <c r="BL749" s="43"/>
      <c r="BM749" s="43"/>
      <c r="BN749" s="43"/>
      <c r="BO749" s="43"/>
      <c r="BP749" s="43"/>
      <c r="BQ749" s="43"/>
      <c r="BR749" s="43"/>
      <c r="BS749" s="43"/>
      <c r="BT749" s="43"/>
      <c r="BU749" s="43"/>
      <c r="BV749" s="43"/>
      <c r="BW749" s="43"/>
      <c r="BX749" s="43"/>
      <c r="BY749" s="43"/>
      <c r="BZ749" s="43"/>
      <c r="CA749" s="43"/>
      <c r="CB749" s="43"/>
      <c r="CC749" s="43"/>
      <c r="CD749" s="43"/>
      <c r="CE749" s="43"/>
      <c r="CF749" s="43"/>
      <c r="CG749" s="43"/>
      <c r="CH749" s="43"/>
      <c r="CI749" s="43"/>
      <c r="CJ749" s="43"/>
      <c r="CK749" s="43"/>
      <c r="CL749" s="43"/>
      <c r="CM749" s="43"/>
      <c r="CN749" s="43"/>
      <c r="CO749" s="43"/>
      <c r="CP749" s="43"/>
      <c r="CQ749" s="43"/>
      <c r="CR749" s="43"/>
      <c r="CS749" s="43"/>
      <c r="CT749" s="43"/>
      <c r="CU749" s="43"/>
      <c r="CV749" s="43"/>
      <c r="CW749" s="43"/>
      <c r="CX749" s="43"/>
      <c r="CY749" s="43"/>
      <c r="CZ749" s="43"/>
      <c r="DA749" s="43"/>
      <c r="DB749" s="43"/>
      <c r="DC749" s="43"/>
      <c r="DD749" s="43"/>
      <c r="DE749" s="43"/>
      <c r="DF749" s="43"/>
      <c r="DG749" s="43"/>
      <c r="DH749" s="43"/>
      <c r="DI749" s="43"/>
      <c r="DJ749" s="43"/>
      <c r="DK749" s="43"/>
      <c r="DL749" s="43"/>
      <c r="DM749" s="43"/>
      <c r="DN749" s="43"/>
      <c r="DO749" s="43"/>
      <c r="DP749" s="43"/>
      <c r="DQ749" s="43"/>
      <c r="DR749" s="43"/>
      <c r="DS749" s="43"/>
    </row>
    <row r="750" spans="1:123" ht="14.45">
      <c r="A750"/>
      <c r="B750"/>
      <c r="C750"/>
      <c r="D750"/>
      <c r="E750"/>
      <c r="F750"/>
      <c r="G750"/>
      <c r="H750"/>
      <c r="I750"/>
      <c r="J750"/>
      <c r="K750" s="43"/>
      <c r="L750" s="43"/>
      <c r="M750" s="43"/>
      <c r="N750" s="43"/>
      <c r="O750" s="43"/>
      <c r="P750" s="43"/>
      <c r="Q750" s="43"/>
      <c r="R750" s="43"/>
      <c r="S750" s="43"/>
      <c r="T750" s="43"/>
      <c r="U750" s="43"/>
      <c r="V750" s="43"/>
      <c r="W750" s="43"/>
      <c r="X750" s="43"/>
      <c r="Y750" s="43"/>
      <c r="Z750" s="43"/>
      <c r="AA750" s="43"/>
      <c r="AB750" s="43"/>
      <c r="AC750" s="43"/>
      <c r="AD750" s="43"/>
      <c r="AE750" s="43"/>
      <c r="AF750" s="43"/>
      <c r="AG750" s="43"/>
      <c r="AH750" s="43"/>
      <c r="AI750" s="43"/>
      <c r="AJ750" s="43"/>
      <c r="AK750" s="43"/>
      <c r="AL750" s="43"/>
      <c r="AM750" s="43"/>
      <c r="AN750" s="43"/>
      <c r="AO750" s="43"/>
      <c r="AP750" s="43"/>
      <c r="AQ750" s="43"/>
      <c r="AR750" s="43"/>
      <c r="AS750" s="43"/>
      <c r="AT750" s="43"/>
      <c r="AU750" s="43"/>
      <c r="AV750" s="43"/>
      <c r="AW750" s="43"/>
      <c r="AX750" s="43"/>
      <c r="AY750" s="43"/>
      <c r="AZ750" s="43"/>
      <c r="BA750" s="43"/>
      <c r="BB750" s="43"/>
      <c r="BC750" s="43"/>
      <c r="BD750" s="43"/>
      <c r="BE750" s="43"/>
      <c r="BF750" s="43"/>
      <c r="BG750" s="43"/>
      <c r="BH750" s="43"/>
      <c r="BI750" s="43"/>
      <c r="BJ750" s="43"/>
      <c r="BK750" s="43"/>
      <c r="BL750" s="43"/>
      <c r="BM750" s="43"/>
      <c r="BN750" s="43"/>
      <c r="BO750" s="43"/>
      <c r="BP750" s="43"/>
      <c r="BQ750" s="43"/>
      <c r="BR750" s="43"/>
      <c r="BS750" s="43"/>
      <c r="BT750" s="43"/>
      <c r="BU750" s="43"/>
      <c r="BV750" s="43"/>
      <c r="BW750" s="43"/>
      <c r="BX750" s="43"/>
      <c r="BY750" s="43"/>
      <c r="BZ750" s="43"/>
      <c r="CA750" s="43"/>
      <c r="CB750" s="43"/>
      <c r="CC750" s="43"/>
      <c r="CD750" s="43"/>
      <c r="CE750" s="43"/>
      <c r="CF750" s="43"/>
      <c r="CG750" s="43"/>
      <c r="CH750" s="43"/>
      <c r="CI750" s="43"/>
      <c r="CJ750" s="43"/>
      <c r="CK750" s="43"/>
      <c r="CL750" s="43"/>
      <c r="CM750" s="43"/>
      <c r="CN750" s="43"/>
      <c r="CO750" s="43"/>
      <c r="CP750" s="43"/>
      <c r="CQ750" s="43"/>
      <c r="CR750" s="43"/>
      <c r="CS750" s="43"/>
      <c r="CT750" s="43"/>
      <c r="CU750" s="43"/>
      <c r="CV750" s="43"/>
      <c r="CW750" s="43"/>
      <c r="CX750" s="43"/>
      <c r="CY750" s="43"/>
      <c r="CZ750" s="43"/>
      <c r="DA750" s="43"/>
      <c r="DB750" s="43"/>
      <c r="DC750" s="43"/>
      <c r="DD750" s="43"/>
      <c r="DE750" s="43"/>
      <c r="DF750" s="43"/>
      <c r="DG750" s="43"/>
      <c r="DH750" s="43"/>
      <c r="DI750" s="43"/>
      <c r="DJ750" s="43"/>
      <c r="DK750" s="43"/>
      <c r="DL750" s="43"/>
      <c r="DM750" s="43"/>
      <c r="DN750" s="43"/>
      <c r="DO750" s="43"/>
      <c r="DP750" s="43"/>
      <c r="DQ750" s="43"/>
      <c r="DR750" s="43"/>
      <c r="DS750" s="43"/>
    </row>
    <row r="751" spans="1:123" ht="14.45">
      <c r="A751"/>
      <c r="B751"/>
      <c r="C751"/>
      <c r="D751"/>
      <c r="E751"/>
      <c r="F751"/>
      <c r="G751"/>
      <c r="H751"/>
      <c r="I751"/>
      <c r="J751"/>
      <c r="K751" s="43"/>
      <c r="L751" s="43"/>
      <c r="M751" s="43"/>
      <c r="N751" s="43"/>
      <c r="O751" s="43"/>
      <c r="P751" s="43"/>
      <c r="Q751" s="43"/>
      <c r="R751" s="43"/>
      <c r="S751" s="43"/>
      <c r="T751" s="43"/>
      <c r="U751" s="43"/>
      <c r="V751" s="43"/>
      <c r="W751" s="43"/>
      <c r="X751" s="43"/>
      <c r="Y751" s="43"/>
      <c r="Z751" s="43"/>
      <c r="AA751" s="43"/>
      <c r="AB751" s="43"/>
      <c r="AC751" s="43"/>
      <c r="AD751" s="43"/>
      <c r="AE751" s="43"/>
      <c r="AF751" s="43"/>
      <c r="AG751" s="43"/>
      <c r="AH751" s="43"/>
      <c r="AI751" s="43"/>
      <c r="AJ751" s="43"/>
      <c r="AK751" s="43"/>
      <c r="AL751" s="43"/>
      <c r="AM751" s="43"/>
      <c r="AN751" s="43"/>
      <c r="AO751" s="43"/>
      <c r="AP751" s="43"/>
      <c r="AQ751" s="43"/>
      <c r="AR751" s="43"/>
      <c r="AS751" s="43"/>
      <c r="AT751" s="43"/>
      <c r="AU751" s="43"/>
      <c r="AV751" s="43"/>
      <c r="AW751" s="43"/>
      <c r="AX751" s="43"/>
      <c r="AY751" s="43"/>
      <c r="AZ751" s="43"/>
      <c r="BA751" s="43"/>
      <c r="BB751" s="43"/>
      <c r="BC751" s="43"/>
      <c r="BD751" s="43"/>
      <c r="BE751" s="43"/>
      <c r="BF751" s="43"/>
      <c r="BG751" s="43"/>
      <c r="BH751" s="43"/>
      <c r="BI751" s="43"/>
      <c r="BJ751" s="43"/>
      <c r="BK751" s="43"/>
      <c r="BL751" s="43"/>
      <c r="BM751" s="43"/>
      <c r="BN751" s="43"/>
      <c r="BO751" s="43"/>
      <c r="BP751" s="43"/>
      <c r="BQ751" s="43"/>
      <c r="BR751" s="43"/>
      <c r="BS751" s="43"/>
      <c r="BT751" s="43"/>
      <c r="BU751" s="43"/>
      <c r="BV751" s="43"/>
      <c r="BW751" s="43"/>
      <c r="BX751" s="43"/>
      <c r="BY751" s="43"/>
      <c r="BZ751" s="43"/>
      <c r="CA751" s="43"/>
      <c r="CB751" s="43"/>
      <c r="CC751" s="43"/>
      <c r="CD751" s="43"/>
      <c r="CE751" s="43"/>
      <c r="CF751" s="43"/>
      <c r="CG751" s="43"/>
      <c r="CH751" s="43"/>
      <c r="CI751" s="43"/>
      <c r="CJ751" s="43"/>
      <c r="CK751" s="43"/>
      <c r="CL751" s="43"/>
      <c r="CM751" s="43"/>
      <c r="CN751" s="43"/>
      <c r="CO751" s="43"/>
      <c r="CP751" s="43"/>
      <c r="CQ751" s="43"/>
      <c r="CR751" s="43"/>
      <c r="CS751" s="43"/>
      <c r="CT751" s="43"/>
      <c r="CU751" s="43"/>
      <c r="CV751" s="43"/>
      <c r="CW751" s="43"/>
      <c r="CX751" s="43"/>
      <c r="CY751" s="43"/>
      <c r="CZ751" s="43"/>
      <c r="DA751" s="43"/>
      <c r="DB751" s="43"/>
      <c r="DC751" s="43"/>
      <c r="DD751" s="43"/>
      <c r="DE751" s="43"/>
      <c r="DF751" s="43"/>
      <c r="DG751" s="43"/>
      <c r="DH751" s="43"/>
      <c r="DI751" s="43"/>
      <c r="DJ751" s="43"/>
      <c r="DK751" s="43"/>
      <c r="DL751" s="43"/>
      <c r="DM751" s="43"/>
      <c r="DN751" s="43"/>
      <c r="DO751" s="43"/>
      <c r="DP751" s="43"/>
      <c r="DQ751" s="43"/>
      <c r="DR751" s="43"/>
      <c r="DS751" s="43"/>
    </row>
    <row r="752" spans="1:123" ht="14.45">
      <c r="A752"/>
      <c r="B752"/>
      <c r="C752"/>
      <c r="D752"/>
      <c r="E752"/>
      <c r="F752"/>
      <c r="G752"/>
      <c r="H752"/>
      <c r="I752"/>
      <c r="J752"/>
      <c r="K752" s="43"/>
      <c r="L752" s="43"/>
      <c r="M752" s="43"/>
      <c r="N752" s="43"/>
      <c r="O752" s="43"/>
      <c r="P752" s="43"/>
      <c r="Q752" s="43"/>
      <c r="R752" s="43"/>
      <c r="S752" s="43"/>
      <c r="T752" s="43"/>
      <c r="U752" s="43"/>
      <c r="V752" s="43"/>
      <c r="W752" s="43"/>
      <c r="X752" s="43"/>
      <c r="Y752" s="43"/>
      <c r="Z752" s="43"/>
      <c r="AA752" s="43"/>
      <c r="AB752" s="43"/>
      <c r="AC752" s="43"/>
      <c r="AD752" s="43"/>
      <c r="AE752" s="43"/>
      <c r="AF752" s="43"/>
      <c r="AG752" s="43"/>
      <c r="AH752" s="43"/>
      <c r="AI752" s="43"/>
      <c r="AJ752" s="43"/>
      <c r="AK752" s="43"/>
      <c r="AL752" s="43"/>
      <c r="AM752" s="43"/>
      <c r="AN752" s="43"/>
      <c r="AO752" s="43"/>
      <c r="AP752" s="43"/>
      <c r="AQ752" s="43"/>
      <c r="AR752" s="43"/>
      <c r="AS752" s="43"/>
      <c r="AT752" s="43"/>
      <c r="AU752" s="43"/>
      <c r="AV752" s="43"/>
      <c r="AW752" s="43"/>
      <c r="AX752" s="43"/>
      <c r="AY752" s="43"/>
      <c r="AZ752" s="43"/>
      <c r="BA752" s="43"/>
      <c r="BB752" s="43"/>
      <c r="BC752" s="43"/>
      <c r="BD752" s="43"/>
      <c r="BE752" s="43"/>
      <c r="BF752" s="43"/>
      <c r="BG752" s="43"/>
      <c r="BH752" s="43"/>
      <c r="BI752" s="43"/>
      <c r="BJ752" s="43"/>
      <c r="BK752" s="43"/>
      <c r="BL752" s="43"/>
      <c r="BM752" s="43"/>
      <c r="BN752" s="43"/>
      <c r="BO752" s="43"/>
      <c r="BP752" s="43"/>
      <c r="BQ752" s="43"/>
      <c r="BR752" s="43"/>
      <c r="BS752" s="43"/>
      <c r="BT752" s="43"/>
      <c r="BU752" s="43"/>
      <c r="BV752" s="43"/>
      <c r="BW752" s="43"/>
      <c r="BX752" s="43"/>
      <c r="BY752" s="43"/>
      <c r="BZ752" s="43"/>
      <c r="CA752" s="43"/>
      <c r="CB752" s="43"/>
      <c r="CC752" s="43"/>
      <c r="CD752" s="43"/>
      <c r="CE752" s="43"/>
      <c r="CF752" s="43"/>
      <c r="CG752" s="43"/>
      <c r="CH752" s="43"/>
      <c r="CI752" s="43"/>
      <c r="CJ752" s="43"/>
      <c r="CK752" s="43"/>
      <c r="CL752" s="43"/>
      <c r="CM752" s="43"/>
      <c r="CN752" s="43"/>
      <c r="CO752" s="43"/>
      <c r="CP752" s="43"/>
      <c r="CQ752" s="43"/>
      <c r="CR752" s="43"/>
      <c r="CS752" s="43"/>
      <c r="CT752" s="43"/>
      <c r="CU752" s="43"/>
      <c r="CV752" s="43"/>
      <c r="CW752" s="43"/>
      <c r="CX752" s="43"/>
      <c r="CY752" s="43"/>
      <c r="CZ752" s="43"/>
      <c r="DA752" s="43"/>
      <c r="DB752" s="43"/>
      <c r="DC752" s="43"/>
      <c r="DD752" s="43"/>
      <c r="DE752" s="43"/>
      <c r="DF752" s="43"/>
      <c r="DG752" s="43"/>
      <c r="DH752" s="43"/>
      <c r="DI752" s="43"/>
      <c r="DJ752" s="43"/>
      <c r="DK752" s="43"/>
      <c r="DL752" s="43"/>
      <c r="DM752" s="43"/>
      <c r="DN752" s="43"/>
      <c r="DO752" s="43"/>
      <c r="DP752" s="43"/>
      <c r="DQ752" s="43"/>
      <c r="DR752" s="43"/>
      <c r="DS752" s="43"/>
    </row>
    <row r="753" spans="1:123" ht="14.45">
      <c r="A753"/>
      <c r="B753"/>
      <c r="C753"/>
      <c r="D753"/>
      <c r="E753"/>
      <c r="F753"/>
      <c r="G753"/>
      <c r="H753"/>
      <c r="I753"/>
      <c r="J753"/>
      <c r="K753" s="43"/>
      <c r="L753" s="43"/>
      <c r="M753" s="43"/>
      <c r="N753" s="43"/>
      <c r="O753" s="43"/>
      <c r="P753" s="43"/>
      <c r="Q753" s="43"/>
      <c r="R753" s="43"/>
      <c r="S753" s="43"/>
      <c r="T753" s="43"/>
      <c r="U753" s="43"/>
      <c r="V753" s="43"/>
      <c r="W753" s="43"/>
      <c r="X753" s="43"/>
      <c r="Y753" s="43"/>
      <c r="Z753" s="43"/>
      <c r="AA753" s="43"/>
      <c r="AB753" s="43"/>
      <c r="AC753" s="43"/>
      <c r="AD753" s="43"/>
      <c r="AE753" s="43"/>
      <c r="AF753" s="43"/>
      <c r="AG753" s="43"/>
      <c r="AH753" s="43"/>
      <c r="AI753" s="43"/>
      <c r="AJ753" s="43"/>
      <c r="AK753" s="43"/>
      <c r="AL753" s="43"/>
      <c r="AM753" s="43"/>
      <c r="AN753" s="43"/>
      <c r="AO753" s="43"/>
      <c r="AP753" s="43"/>
      <c r="AQ753" s="43"/>
      <c r="AR753" s="43"/>
      <c r="AS753" s="43"/>
      <c r="AT753" s="43"/>
      <c r="AU753" s="43"/>
      <c r="AV753" s="43"/>
      <c r="AW753" s="43"/>
      <c r="AX753" s="43"/>
      <c r="AY753" s="43"/>
      <c r="AZ753" s="43"/>
      <c r="BA753" s="43"/>
      <c r="BB753" s="43"/>
      <c r="BC753" s="43"/>
      <c r="BD753" s="43"/>
      <c r="BE753" s="43"/>
      <c r="BF753" s="43"/>
      <c r="BG753" s="43"/>
      <c r="BH753" s="43"/>
      <c r="BI753" s="43"/>
      <c r="BJ753" s="43"/>
      <c r="BK753" s="43"/>
      <c r="BL753" s="43"/>
      <c r="BM753" s="43"/>
      <c r="BN753" s="43"/>
      <c r="BO753" s="43"/>
      <c r="BP753" s="43"/>
      <c r="BQ753" s="43"/>
      <c r="BR753" s="43"/>
      <c r="BS753" s="43"/>
      <c r="BT753" s="43"/>
      <c r="BU753" s="43"/>
      <c r="BV753" s="43"/>
      <c r="BW753" s="43"/>
      <c r="BX753" s="43"/>
      <c r="BY753" s="43"/>
      <c r="BZ753" s="43"/>
      <c r="CA753" s="43"/>
      <c r="CB753" s="43"/>
      <c r="CC753" s="43"/>
      <c r="CD753" s="43"/>
      <c r="CE753" s="43"/>
      <c r="CF753" s="43"/>
      <c r="CG753" s="43"/>
      <c r="CH753" s="43"/>
      <c r="CI753" s="43"/>
      <c r="CJ753" s="43"/>
      <c r="CK753" s="43"/>
      <c r="CL753" s="43"/>
      <c r="CM753" s="43"/>
      <c r="CN753" s="43"/>
      <c r="CO753" s="43"/>
      <c r="CP753" s="43"/>
      <c r="CQ753" s="43"/>
      <c r="CR753" s="43"/>
      <c r="CS753" s="43"/>
      <c r="CT753" s="43"/>
      <c r="CU753" s="43"/>
      <c r="CV753" s="43"/>
      <c r="CW753" s="43"/>
      <c r="CX753" s="43"/>
      <c r="CY753" s="43"/>
      <c r="CZ753" s="43"/>
      <c r="DA753" s="43"/>
      <c r="DB753" s="43"/>
      <c r="DC753" s="43"/>
      <c r="DD753" s="43"/>
      <c r="DE753" s="43"/>
      <c r="DF753" s="43"/>
      <c r="DG753" s="43"/>
      <c r="DH753" s="43"/>
      <c r="DI753" s="43"/>
      <c r="DJ753" s="43"/>
      <c r="DK753" s="43"/>
      <c r="DL753" s="43"/>
      <c r="DM753" s="43"/>
      <c r="DN753" s="43"/>
      <c r="DO753" s="43"/>
      <c r="DP753" s="43"/>
      <c r="DQ753" s="43"/>
      <c r="DR753" s="43"/>
      <c r="DS753" s="43"/>
    </row>
    <row r="754" spans="1:123" ht="14.45">
      <c r="A754"/>
      <c r="B754"/>
      <c r="C754"/>
      <c r="D754"/>
      <c r="E754"/>
      <c r="F754"/>
      <c r="G754"/>
      <c r="H754"/>
      <c r="I754"/>
      <c r="J754"/>
      <c r="K754" s="43"/>
      <c r="L754" s="43"/>
      <c r="M754" s="43"/>
      <c r="N754" s="43"/>
      <c r="O754" s="43"/>
      <c r="P754" s="43"/>
      <c r="Q754" s="43"/>
      <c r="R754" s="43"/>
      <c r="S754" s="43"/>
      <c r="T754" s="43"/>
      <c r="U754" s="43"/>
      <c r="V754" s="43"/>
      <c r="W754" s="43"/>
      <c r="X754" s="43"/>
      <c r="Y754" s="43"/>
      <c r="Z754" s="43"/>
      <c r="AA754" s="43"/>
      <c r="AB754" s="43"/>
      <c r="AC754" s="43"/>
      <c r="AD754" s="43"/>
      <c r="AE754" s="43"/>
      <c r="AF754" s="43"/>
      <c r="AG754" s="43"/>
      <c r="AH754" s="43"/>
      <c r="AI754" s="43"/>
      <c r="AJ754" s="43"/>
      <c r="AK754" s="43"/>
      <c r="AL754" s="43"/>
      <c r="AM754" s="43"/>
      <c r="AN754" s="43"/>
      <c r="AO754" s="43"/>
      <c r="AP754" s="43"/>
      <c r="AQ754" s="43"/>
      <c r="AR754" s="43"/>
      <c r="AS754" s="43"/>
      <c r="AT754" s="43"/>
      <c r="AU754" s="43"/>
      <c r="AV754" s="43"/>
      <c r="AW754" s="43"/>
      <c r="AX754" s="43"/>
      <c r="AY754" s="43"/>
      <c r="AZ754" s="43"/>
      <c r="BA754" s="43"/>
      <c r="BB754" s="43"/>
      <c r="BC754" s="43"/>
      <c r="BD754" s="43"/>
      <c r="BE754" s="43"/>
      <c r="BF754" s="43"/>
      <c r="BG754" s="43"/>
      <c r="BH754" s="43"/>
      <c r="BI754" s="43"/>
      <c r="BJ754" s="43"/>
      <c r="BK754" s="43"/>
      <c r="BL754" s="43"/>
      <c r="BM754" s="43"/>
      <c r="BN754" s="43"/>
      <c r="BO754" s="43"/>
      <c r="BP754" s="43"/>
      <c r="BQ754" s="43"/>
      <c r="BR754" s="43"/>
      <c r="BS754" s="43"/>
      <c r="BT754" s="43"/>
      <c r="BU754" s="43"/>
      <c r="BV754" s="43"/>
      <c r="BW754" s="43"/>
      <c r="BX754" s="43"/>
      <c r="BY754" s="43"/>
      <c r="BZ754" s="43"/>
      <c r="CA754" s="43"/>
      <c r="CB754" s="43"/>
      <c r="CC754" s="43"/>
      <c r="CD754" s="43"/>
      <c r="CE754" s="43"/>
      <c r="CF754" s="43"/>
      <c r="CG754" s="43"/>
      <c r="CH754" s="43"/>
      <c r="CI754" s="43"/>
      <c r="CJ754" s="43"/>
      <c r="CK754" s="43"/>
      <c r="CL754" s="43"/>
      <c r="CM754" s="43"/>
      <c r="CN754" s="43"/>
      <c r="CO754" s="43"/>
      <c r="CP754" s="43"/>
      <c r="CQ754" s="43"/>
      <c r="CR754" s="43"/>
      <c r="CS754" s="43"/>
      <c r="CT754" s="43"/>
      <c r="CU754" s="43"/>
      <c r="CV754" s="43"/>
      <c r="CW754" s="43"/>
      <c r="CX754" s="43"/>
      <c r="CY754" s="43"/>
      <c r="CZ754" s="43"/>
      <c r="DA754" s="43"/>
      <c r="DB754" s="43"/>
      <c r="DC754" s="43"/>
      <c r="DD754" s="43"/>
      <c r="DE754" s="43"/>
      <c r="DF754" s="43"/>
      <c r="DG754" s="43"/>
      <c r="DH754" s="43"/>
      <c r="DI754" s="43"/>
      <c r="DJ754" s="43"/>
      <c r="DK754" s="43"/>
      <c r="DL754" s="43"/>
      <c r="DM754" s="43"/>
      <c r="DN754" s="43"/>
      <c r="DO754" s="43"/>
      <c r="DP754" s="43"/>
      <c r="DQ754" s="43"/>
      <c r="DR754" s="43"/>
      <c r="DS754" s="43"/>
    </row>
    <row r="755" spans="1:123" ht="14.45">
      <c r="A755"/>
      <c r="B755"/>
      <c r="C755"/>
      <c r="D755"/>
      <c r="E755"/>
      <c r="F755"/>
      <c r="G755"/>
      <c r="H755"/>
      <c r="I755"/>
      <c r="J755"/>
      <c r="K755" s="43"/>
      <c r="L755" s="43"/>
      <c r="M755" s="43"/>
      <c r="N755" s="43"/>
      <c r="O755" s="43"/>
      <c r="P755" s="43"/>
      <c r="Q755" s="43"/>
      <c r="R755" s="43"/>
      <c r="S755" s="43"/>
      <c r="T755" s="43"/>
      <c r="U755" s="43"/>
      <c r="V755" s="43"/>
      <c r="W755" s="43"/>
      <c r="X755" s="43"/>
      <c r="Y755" s="43"/>
      <c r="Z755" s="43"/>
      <c r="AA755" s="43"/>
      <c r="AB755" s="43"/>
      <c r="AC755" s="43"/>
      <c r="AD755" s="43"/>
      <c r="AE755" s="43"/>
      <c r="AF755" s="43"/>
      <c r="AG755" s="43"/>
      <c r="AH755" s="43"/>
      <c r="AI755" s="43"/>
      <c r="AJ755" s="43"/>
      <c r="AK755" s="43"/>
      <c r="AL755" s="43"/>
      <c r="AM755" s="43"/>
      <c r="AN755" s="43"/>
      <c r="AO755" s="43"/>
      <c r="AP755" s="43"/>
      <c r="AQ755" s="43"/>
      <c r="AR755" s="43"/>
      <c r="AS755" s="43"/>
      <c r="AT755" s="43"/>
      <c r="AU755" s="43"/>
      <c r="AV755" s="43"/>
      <c r="AW755" s="43"/>
      <c r="AX755" s="43"/>
      <c r="AY755" s="43"/>
      <c r="AZ755" s="43"/>
      <c r="BA755" s="43"/>
      <c r="BB755" s="43"/>
      <c r="BC755" s="43"/>
      <c r="BD755" s="43"/>
      <c r="BE755" s="43"/>
      <c r="BF755" s="43"/>
      <c r="BG755" s="43"/>
      <c r="BH755" s="43"/>
      <c r="BI755" s="43"/>
      <c r="BJ755" s="43"/>
      <c r="BK755" s="43"/>
      <c r="BL755" s="43"/>
      <c r="BM755" s="43"/>
      <c r="BN755" s="43"/>
      <c r="BO755" s="43"/>
      <c r="BP755" s="43"/>
      <c r="BQ755" s="43"/>
      <c r="BR755" s="43"/>
      <c r="BS755" s="43"/>
      <c r="BT755" s="43"/>
      <c r="BU755" s="43"/>
      <c r="BV755" s="43"/>
      <c r="BW755" s="43"/>
      <c r="BX755" s="43"/>
      <c r="BY755" s="43"/>
      <c r="BZ755" s="43"/>
      <c r="CA755" s="43"/>
      <c r="CB755" s="43"/>
      <c r="CC755" s="43"/>
      <c r="CD755" s="43"/>
      <c r="CE755" s="43"/>
      <c r="CF755" s="43"/>
      <c r="CG755" s="43"/>
      <c r="CH755" s="43"/>
      <c r="CI755" s="43"/>
      <c r="CJ755" s="43"/>
      <c r="CK755" s="43"/>
      <c r="CL755" s="43"/>
      <c r="CM755" s="43"/>
      <c r="CN755" s="43"/>
      <c r="CO755" s="43"/>
      <c r="CP755" s="43"/>
      <c r="CQ755" s="43"/>
      <c r="CR755" s="43"/>
      <c r="CS755" s="43"/>
      <c r="CT755" s="43"/>
      <c r="CU755" s="43"/>
      <c r="CV755" s="43"/>
      <c r="CW755" s="43"/>
      <c r="CX755" s="43"/>
      <c r="CY755" s="43"/>
      <c r="CZ755" s="43"/>
      <c r="DA755" s="43"/>
      <c r="DB755" s="43"/>
      <c r="DC755" s="43"/>
      <c r="DD755" s="43"/>
      <c r="DE755" s="43"/>
      <c r="DF755" s="43"/>
      <c r="DG755" s="43"/>
      <c r="DH755" s="43"/>
      <c r="DI755" s="43"/>
      <c r="DJ755" s="43"/>
      <c r="DK755" s="43"/>
      <c r="DL755" s="43"/>
      <c r="DM755" s="43"/>
      <c r="DN755" s="43"/>
      <c r="DO755" s="43"/>
      <c r="DP755" s="43"/>
      <c r="DQ755" s="43"/>
      <c r="DR755" s="43"/>
      <c r="DS755" s="43"/>
    </row>
    <row r="756" spans="1:123" ht="14.45">
      <c r="A756"/>
      <c r="B756"/>
      <c r="C756"/>
      <c r="D756"/>
      <c r="E756"/>
      <c r="F756"/>
      <c r="G756"/>
      <c r="H756"/>
      <c r="I756"/>
      <c r="J756"/>
      <c r="K756" s="43"/>
      <c r="L756" s="43"/>
      <c r="M756" s="43"/>
      <c r="N756" s="43"/>
      <c r="O756" s="43"/>
      <c r="P756" s="43"/>
      <c r="Q756" s="43"/>
      <c r="R756" s="43"/>
      <c r="S756" s="43"/>
      <c r="T756" s="43"/>
      <c r="U756" s="43"/>
      <c r="V756" s="43"/>
      <c r="W756" s="43"/>
      <c r="X756" s="43"/>
      <c r="Y756" s="43"/>
      <c r="Z756" s="43"/>
      <c r="AA756" s="43"/>
      <c r="AB756" s="43"/>
      <c r="AC756" s="43"/>
      <c r="AD756" s="43"/>
      <c r="AE756" s="43"/>
      <c r="AF756" s="43"/>
      <c r="AG756" s="43"/>
      <c r="AH756" s="43"/>
      <c r="AI756" s="43"/>
      <c r="AJ756" s="43"/>
      <c r="AK756" s="43"/>
      <c r="AL756" s="43"/>
      <c r="AM756" s="43"/>
      <c r="AN756" s="43"/>
      <c r="AO756" s="43"/>
      <c r="AP756" s="43"/>
      <c r="AQ756" s="43"/>
      <c r="AR756" s="43"/>
      <c r="AS756" s="43"/>
      <c r="AT756" s="43"/>
      <c r="AU756" s="43"/>
      <c r="AV756" s="43"/>
      <c r="AW756" s="43"/>
      <c r="AX756" s="43"/>
      <c r="AY756" s="43"/>
      <c r="AZ756" s="43"/>
      <c r="BA756" s="43"/>
      <c r="BB756" s="43"/>
      <c r="BC756" s="43"/>
      <c r="BD756" s="43"/>
      <c r="BE756" s="43"/>
      <c r="BF756" s="43"/>
      <c r="BG756" s="43"/>
      <c r="BH756" s="43"/>
      <c r="BI756" s="43"/>
      <c r="BJ756" s="43"/>
      <c r="BK756" s="43"/>
      <c r="BL756" s="43"/>
      <c r="BM756" s="43"/>
      <c r="BN756" s="43"/>
      <c r="BO756" s="43"/>
      <c r="BP756" s="43"/>
      <c r="BQ756" s="43"/>
      <c r="BR756" s="43"/>
      <c r="BS756" s="43"/>
      <c r="BT756" s="43"/>
      <c r="BU756" s="43"/>
      <c r="BV756" s="43"/>
      <c r="BW756" s="43"/>
      <c r="BX756" s="43"/>
      <c r="BY756" s="43"/>
      <c r="BZ756" s="43"/>
      <c r="CA756" s="43"/>
      <c r="CB756" s="43"/>
      <c r="CC756" s="43"/>
      <c r="CD756" s="43"/>
      <c r="CE756" s="43"/>
      <c r="CF756" s="43"/>
      <c r="CG756" s="43"/>
      <c r="CH756" s="43"/>
      <c r="CI756" s="43"/>
      <c r="CJ756" s="43"/>
      <c r="CK756" s="43"/>
      <c r="CL756" s="43"/>
      <c r="CM756" s="43"/>
      <c r="CN756" s="43"/>
      <c r="CO756" s="43"/>
      <c r="CP756" s="43"/>
      <c r="CQ756" s="43"/>
      <c r="CR756" s="43"/>
      <c r="CS756" s="43"/>
      <c r="CT756" s="43"/>
      <c r="CU756" s="43"/>
      <c r="CV756" s="43"/>
      <c r="CW756" s="43"/>
      <c r="CX756" s="43"/>
      <c r="CY756" s="43"/>
      <c r="CZ756" s="43"/>
      <c r="DA756" s="43"/>
      <c r="DB756" s="43"/>
      <c r="DC756" s="43"/>
      <c r="DD756" s="43"/>
      <c r="DE756" s="43"/>
      <c r="DF756" s="43"/>
      <c r="DG756" s="43"/>
      <c r="DH756" s="43"/>
      <c r="DI756" s="43"/>
      <c r="DJ756" s="43"/>
      <c r="DK756" s="43"/>
      <c r="DL756" s="43"/>
      <c r="DM756" s="43"/>
      <c r="DN756" s="43"/>
      <c r="DO756" s="43"/>
      <c r="DP756" s="43"/>
      <c r="DQ756" s="43"/>
      <c r="DR756" s="43"/>
      <c r="DS756" s="43"/>
    </row>
    <row r="757" spans="1:123" ht="14.45">
      <c r="A757"/>
      <c r="B757"/>
      <c r="C757"/>
      <c r="D757"/>
      <c r="E757"/>
      <c r="F757"/>
      <c r="G757"/>
      <c r="H757"/>
      <c r="I757"/>
      <c r="J757"/>
      <c r="K757" s="43"/>
      <c r="L757" s="43"/>
      <c r="M757" s="43"/>
      <c r="N757" s="43"/>
      <c r="O757" s="43"/>
      <c r="P757" s="43"/>
      <c r="Q757" s="43"/>
      <c r="R757" s="43"/>
      <c r="S757" s="43"/>
      <c r="T757" s="43"/>
      <c r="U757" s="43"/>
      <c r="V757" s="43"/>
      <c r="W757" s="43"/>
      <c r="X757" s="43"/>
      <c r="Y757" s="43"/>
      <c r="Z757" s="43"/>
      <c r="AA757" s="43"/>
      <c r="AB757" s="43"/>
      <c r="AC757" s="43"/>
      <c r="AD757" s="43"/>
      <c r="AE757" s="43"/>
      <c r="AF757" s="43"/>
      <c r="AG757" s="43"/>
      <c r="AH757" s="43"/>
      <c r="AI757" s="43"/>
      <c r="AJ757" s="43"/>
      <c r="AK757" s="43"/>
      <c r="AL757" s="43"/>
      <c r="AM757" s="43"/>
      <c r="AN757" s="43"/>
      <c r="AO757" s="43"/>
      <c r="AP757" s="43"/>
      <c r="AQ757" s="43"/>
      <c r="AR757" s="43"/>
      <c r="AS757" s="43"/>
      <c r="AT757" s="43"/>
      <c r="AU757" s="43"/>
      <c r="AV757" s="43"/>
      <c r="AW757" s="43"/>
      <c r="AX757" s="43"/>
      <c r="AY757" s="43"/>
      <c r="AZ757" s="43"/>
      <c r="BA757" s="43"/>
      <c r="BB757" s="43"/>
      <c r="BC757" s="43"/>
      <c r="BD757" s="43"/>
      <c r="BE757" s="43"/>
      <c r="BF757" s="43"/>
      <c r="BG757" s="43"/>
      <c r="BH757" s="43"/>
      <c r="BI757" s="43"/>
      <c r="BJ757" s="43"/>
      <c r="BK757" s="43"/>
      <c r="BL757" s="43"/>
      <c r="BM757" s="43"/>
      <c r="BN757" s="43"/>
      <c r="BO757" s="43"/>
      <c r="BP757" s="43"/>
      <c r="BQ757" s="43"/>
      <c r="BR757" s="43"/>
      <c r="BS757" s="43"/>
      <c r="BT757" s="43"/>
      <c r="BU757" s="43"/>
      <c r="BV757" s="43"/>
      <c r="BW757" s="43"/>
      <c r="BX757" s="43"/>
      <c r="BY757" s="43"/>
      <c r="BZ757" s="43"/>
      <c r="CA757" s="43"/>
      <c r="CB757" s="43"/>
      <c r="CC757" s="43"/>
      <c r="CD757" s="43"/>
      <c r="CE757" s="43"/>
      <c r="CF757" s="43"/>
      <c r="CG757" s="43"/>
      <c r="CH757" s="43"/>
      <c r="CI757" s="43"/>
      <c r="CJ757" s="43"/>
      <c r="CK757" s="43"/>
      <c r="CL757" s="43"/>
      <c r="CM757" s="43"/>
      <c r="CN757" s="43"/>
      <c r="CO757" s="43"/>
      <c r="CP757" s="43"/>
      <c r="CQ757" s="43"/>
      <c r="CR757" s="43"/>
      <c r="CS757" s="43"/>
      <c r="CT757" s="43"/>
      <c r="CU757" s="43"/>
      <c r="CV757" s="43"/>
      <c r="CW757" s="43"/>
      <c r="CX757" s="43"/>
      <c r="CY757" s="43"/>
      <c r="CZ757" s="43"/>
      <c r="DA757" s="43"/>
      <c r="DB757" s="43"/>
      <c r="DC757" s="43"/>
      <c r="DD757" s="43"/>
      <c r="DE757" s="43"/>
      <c r="DF757" s="43"/>
      <c r="DG757" s="43"/>
      <c r="DH757" s="43"/>
      <c r="DI757" s="43"/>
      <c r="DJ757" s="43"/>
      <c r="DK757" s="43"/>
      <c r="DL757" s="43"/>
      <c r="DM757" s="43"/>
      <c r="DN757" s="43"/>
      <c r="DO757" s="43"/>
      <c r="DP757" s="43"/>
      <c r="DQ757" s="43"/>
      <c r="DR757" s="43"/>
      <c r="DS757" s="43"/>
    </row>
    <row r="758" spans="1:123" ht="14.45">
      <c r="A758"/>
      <c r="B758"/>
      <c r="C758"/>
      <c r="D758"/>
      <c r="E758"/>
      <c r="F758"/>
      <c r="G758"/>
      <c r="H758"/>
      <c r="I758"/>
      <c r="J758"/>
      <c r="K758" s="43"/>
      <c r="L758" s="43"/>
      <c r="M758" s="43"/>
      <c r="N758" s="43"/>
      <c r="O758" s="43"/>
      <c r="P758" s="43"/>
      <c r="Q758" s="43"/>
      <c r="R758" s="43"/>
      <c r="S758" s="43"/>
      <c r="T758" s="43"/>
      <c r="U758" s="43"/>
      <c r="V758" s="43"/>
      <c r="W758" s="43"/>
      <c r="X758" s="43"/>
      <c r="Y758" s="43"/>
      <c r="Z758" s="43"/>
      <c r="AA758" s="43"/>
      <c r="AB758" s="43"/>
      <c r="AC758" s="43"/>
      <c r="AD758" s="43"/>
      <c r="AE758" s="43"/>
      <c r="AF758" s="43"/>
      <c r="AG758" s="43"/>
      <c r="AH758" s="43"/>
      <c r="AI758" s="43"/>
      <c r="AJ758" s="43"/>
      <c r="AK758" s="43"/>
      <c r="AL758" s="43"/>
      <c r="AM758" s="43"/>
      <c r="AN758" s="43"/>
      <c r="AO758" s="43"/>
      <c r="AP758" s="43"/>
      <c r="AQ758" s="43"/>
      <c r="AR758" s="43"/>
      <c r="AS758" s="43"/>
      <c r="AT758" s="43"/>
      <c r="AU758" s="43"/>
      <c r="AV758" s="43"/>
      <c r="AW758" s="43"/>
      <c r="AX758" s="43"/>
      <c r="AY758" s="43"/>
      <c r="AZ758" s="43"/>
      <c r="BA758" s="43"/>
      <c r="BB758" s="43"/>
      <c r="BC758" s="43"/>
      <c r="BD758" s="43"/>
      <c r="BE758" s="43"/>
      <c r="BF758" s="43"/>
      <c r="BG758" s="43"/>
      <c r="BH758" s="43"/>
      <c r="BI758" s="43"/>
      <c r="BJ758" s="43"/>
      <c r="BK758" s="43"/>
      <c r="BL758" s="43"/>
      <c r="BM758" s="43"/>
      <c r="BN758" s="43"/>
      <c r="BO758" s="43"/>
      <c r="BP758" s="43"/>
      <c r="BQ758" s="43"/>
      <c r="BR758" s="43"/>
      <c r="BS758" s="43"/>
      <c r="BT758" s="43"/>
      <c r="BU758" s="43"/>
      <c r="BV758" s="43"/>
      <c r="BW758" s="43"/>
      <c r="BX758" s="43"/>
      <c r="BY758" s="43"/>
      <c r="BZ758" s="43"/>
      <c r="CA758" s="43"/>
      <c r="CB758" s="43"/>
      <c r="CC758" s="43"/>
      <c r="CD758" s="43"/>
      <c r="CE758" s="43"/>
      <c r="CF758" s="43"/>
      <c r="CG758" s="43"/>
      <c r="CH758" s="43"/>
      <c r="CI758" s="43"/>
      <c r="CJ758" s="43"/>
      <c r="CK758" s="43"/>
      <c r="CL758" s="43"/>
      <c r="CM758" s="43"/>
      <c r="CN758" s="43"/>
      <c r="CO758" s="43"/>
      <c r="CP758" s="43"/>
      <c r="CQ758" s="43"/>
      <c r="CR758" s="43"/>
      <c r="CS758" s="43"/>
      <c r="CT758" s="43"/>
      <c r="CU758" s="43"/>
      <c r="CV758" s="43"/>
      <c r="CW758" s="43"/>
      <c r="CX758" s="43"/>
      <c r="CY758" s="43"/>
      <c r="CZ758" s="43"/>
      <c r="DA758" s="43"/>
      <c r="DB758" s="43"/>
      <c r="DC758" s="43"/>
      <c r="DD758" s="43"/>
      <c r="DE758" s="43"/>
      <c r="DF758" s="43"/>
      <c r="DG758" s="43"/>
      <c r="DH758" s="43"/>
      <c r="DI758" s="43"/>
      <c r="DJ758" s="43"/>
      <c r="DK758" s="43"/>
      <c r="DL758" s="43"/>
      <c r="DM758" s="43"/>
      <c r="DN758" s="43"/>
      <c r="DO758" s="43"/>
      <c r="DP758" s="43"/>
      <c r="DQ758" s="43"/>
      <c r="DR758" s="43"/>
      <c r="DS758" s="43"/>
    </row>
    <row r="759" spans="1:123" ht="14.45">
      <c r="A759"/>
      <c r="B759"/>
      <c r="C759"/>
      <c r="D759"/>
      <c r="E759"/>
      <c r="F759"/>
      <c r="G759"/>
      <c r="H759"/>
      <c r="I759"/>
      <c r="J759"/>
      <c r="K759" s="43"/>
      <c r="L759" s="43"/>
      <c r="M759" s="43"/>
      <c r="N759" s="43"/>
      <c r="O759" s="43"/>
      <c r="P759" s="43"/>
      <c r="Q759" s="43"/>
      <c r="R759" s="43"/>
      <c r="S759" s="43"/>
      <c r="T759" s="43"/>
      <c r="U759" s="43"/>
      <c r="V759" s="43"/>
      <c r="W759" s="43"/>
      <c r="X759" s="43"/>
      <c r="Y759" s="43"/>
      <c r="Z759" s="43"/>
      <c r="AA759" s="43"/>
      <c r="AB759" s="43"/>
      <c r="AC759" s="43"/>
      <c r="AD759" s="43"/>
      <c r="AE759" s="43"/>
      <c r="AF759" s="43"/>
      <c r="AG759" s="43"/>
      <c r="AH759" s="43"/>
      <c r="AI759" s="43"/>
      <c r="AJ759" s="43"/>
      <c r="AK759" s="43"/>
      <c r="AL759" s="43"/>
      <c r="AM759" s="43"/>
      <c r="AN759" s="43"/>
      <c r="AO759" s="43"/>
      <c r="AP759" s="43"/>
      <c r="AQ759" s="43"/>
      <c r="AR759" s="43"/>
      <c r="AS759" s="43"/>
      <c r="AT759" s="43"/>
      <c r="AU759" s="43"/>
      <c r="AV759" s="43"/>
      <c r="AW759" s="43"/>
      <c r="AX759" s="43"/>
      <c r="AY759" s="43"/>
      <c r="AZ759" s="43"/>
      <c r="BA759" s="43"/>
      <c r="BB759" s="43"/>
      <c r="BC759" s="43"/>
      <c r="BD759" s="43"/>
      <c r="BE759" s="43"/>
      <c r="BF759" s="43"/>
      <c r="BG759" s="43"/>
      <c r="BH759" s="43"/>
      <c r="BI759" s="43"/>
      <c r="BJ759" s="43"/>
      <c r="BK759" s="43"/>
      <c r="BL759" s="43"/>
      <c r="BM759" s="43"/>
      <c r="BN759" s="43"/>
      <c r="BO759" s="43"/>
      <c r="BP759" s="43"/>
      <c r="BQ759" s="43"/>
      <c r="BR759" s="43"/>
      <c r="BS759" s="43"/>
      <c r="BT759" s="43"/>
      <c r="BU759" s="43"/>
      <c r="BV759" s="43"/>
      <c r="BW759" s="43"/>
      <c r="BX759" s="43"/>
      <c r="BY759" s="43"/>
      <c r="BZ759" s="43"/>
      <c r="CA759" s="43"/>
      <c r="CB759" s="43"/>
      <c r="CC759" s="43"/>
      <c r="CD759" s="43"/>
      <c r="CE759" s="43"/>
      <c r="CF759" s="43"/>
      <c r="CG759" s="43"/>
      <c r="CH759" s="43"/>
      <c r="CI759" s="43"/>
      <c r="CJ759" s="43"/>
      <c r="CK759" s="43"/>
      <c r="CL759" s="43"/>
      <c r="CM759" s="43"/>
      <c r="CN759" s="43"/>
      <c r="CO759" s="43"/>
      <c r="CP759" s="43"/>
      <c r="CQ759" s="43"/>
      <c r="CR759" s="43"/>
      <c r="CS759" s="43"/>
      <c r="CT759" s="43"/>
      <c r="CU759" s="43"/>
      <c r="CV759" s="43"/>
      <c r="CW759" s="43"/>
      <c r="CX759" s="43"/>
      <c r="CY759" s="43"/>
      <c r="CZ759" s="43"/>
      <c r="DA759" s="43"/>
      <c r="DB759" s="43"/>
      <c r="DC759" s="43"/>
      <c r="DD759" s="43"/>
      <c r="DE759" s="43"/>
      <c r="DF759" s="43"/>
      <c r="DG759" s="43"/>
      <c r="DH759" s="43"/>
      <c r="DI759" s="43"/>
      <c r="DJ759" s="43"/>
      <c r="DK759" s="43"/>
      <c r="DL759" s="43"/>
      <c r="DM759" s="43"/>
      <c r="DN759" s="43"/>
      <c r="DO759" s="43"/>
      <c r="DP759" s="43"/>
      <c r="DQ759" s="43"/>
      <c r="DR759" s="43"/>
      <c r="DS759" s="43"/>
    </row>
    <row r="760" spans="1:123" ht="14.45">
      <c r="A760"/>
      <c r="B760"/>
      <c r="C760"/>
      <c r="D760"/>
      <c r="E760"/>
      <c r="F760"/>
      <c r="G760"/>
      <c r="H760"/>
      <c r="I760"/>
      <c r="J760"/>
      <c r="K760" s="43"/>
      <c r="L760" s="43"/>
      <c r="M760" s="43"/>
      <c r="N760" s="43"/>
      <c r="O760" s="43"/>
      <c r="P760" s="43"/>
      <c r="Q760" s="43"/>
      <c r="R760" s="43"/>
      <c r="S760" s="43"/>
      <c r="T760" s="43"/>
      <c r="U760" s="43"/>
      <c r="V760" s="43"/>
      <c r="W760" s="43"/>
      <c r="X760" s="43"/>
      <c r="Y760" s="43"/>
      <c r="Z760" s="43"/>
      <c r="AA760" s="43"/>
      <c r="AB760" s="43"/>
      <c r="AC760" s="43"/>
      <c r="AD760" s="43"/>
      <c r="AE760" s="43"/>
      <c r="AF760" s="43"/>
      <c r="AG760" s="43"/>
      <c r="AH760" s="43"/>
      <c r="AI760" s="43"/>
      <c r="AJ760" s="43"/>
      <c r="AK760" s="43"/>
      <c r="AL760" s="43"/>
      <c r="AM760" s="43"/>
      <c r="AN760" s="43"/>
      <c r="AO760" s="43"/>
      <c r="AP760" s="43"/>
      <c r="AQ760" s="43"/>
      <c r="AR760" s="43"/>
      <c r="AS760" s="43"/>
      <c r="AT760" s="43"/>
      <c r="AU760" s="43"/>
      <c r="AV760" s="43"/>
      <c r="AW760" s="43"/>
      <c r="AX760" s="43"/>
      <c r="AY760" s="43"/>
      <c r="AZ760" s="43"/>
      <c r="BA760" s="43"/>
      <c r="BB760" s="43"/>
      <c r="BC760" s="43"/>
      <c r="BD760" s="43"/>
      <c r="BE760" s="43"/>
      <c r="BF760" s="43"/>
      <c r="BG760" s="43"/>
      <c r="BH760" s="43"/>
      <c r="BI760" s="43"/>
      <c r="BJ760" s="43"/>
      <c r="BK760" s="43"/>
      <c r="BL760" s="43"/>
      <c r="BM760" s="43"/>
      <c r="BN760" s="43"/>
      <c r="BO760" s="43"/>
      <c r="BP760" s="43"/>
      <c r="BQ760" s="43"/>
      <c r="BR760" s="43"/>
      <c r="BS760" s="43"/>
      <c r="BT760" s="43"/>
      <c r="BU760" s="43"/>
      <c r="BV760" s="43"/>
      <c r="BW760" s="43"/>
      <c r="BX760" s="43"/>
      <c r="BY760" s="43"/>
      <c r="BZ760" s="43"/>
      <c r="CA760" s="43"/>
      <c r="CB760" s="43"/>
      <c r="CC760" s="43"/>
      <c r="CD760" s="43"/>
      <c r="CE760" s="43"/>
      <c r="CF760" s="43"/>
      <c r="CG760" s="43"/>
      <c r="CH760" s="43"/>
      <c r="CI760" s="43"/>
      <c r="CJ760" s="43"/>
      <c r="CK760" s="43"/>
      <c r="CL760" s="43"/>
      <c r="CM760" s="43"/>
      <c r="CN760" s="43"/>
      <c r="CO760" s="43"/>
      <c r="CP760" s="43"/>
      <c r="CQ760" s="43"/>
      <c r="CR760" s="43"/>
      <c r="CS760" s="43"/>
      <c r="CT760" s="43"/>
      <c r="CU760" s="43"/>
      <c r="CV760" s="43"/>
      <c r="CW760" s="43"/>
      <c r="CX760" s="43"/>
      <c r="CY760" s="43"/>
      <c r="CZ760" s="43"/>
      <c r="DA760" s="43"/>
      <c r="DB760" s="43"/>
      <c r="DC760" s="43"/>
      <c r="DD760" s="43"/>
      <c r="DE760" s="43"/>
      <c r="DF760" s="43"/>
      <c r="DG760" s="43"/>
      <c r="DH760" s="43"/>
      <c r="DI760" s="43"/>
      <c r="DJ760" s="43"/>
      <c r="DK760" s="43"/>
      <c r="DL760" s="43"/>
      <c r="DM760" s="43"/>
      <c r="DN760" s="43"/>
      <c r="DO760" s="43"/>
      <c r="DP760" s="43"/>
      <c r="DQ760" s="43"/>
      <c r="DR760" s="43"/>
      <c r="DS760" s="43"/>
    </row>
    <row r="761" spans="1:123" ht="14.45">
      <c r="A761"/>
      <c r="B761"/>
      <c r="C761"/>
      <c r="D761"/>
      <c r="E761"/>
      <c r="F761"/>
      <c r="G761"/>
      <c r="H761"/>
      <c r="I761"/>
      <c r="J761"/>
      <c r="K761" s="43"/>
      <c r="L761" s="43"/>
      <c r="M761" s="43"/>
      <c r="N761" s="43"/>
      <c r="O761" s="43"/>
      <c r="P761" s="43"/>
      <c r="Q761" s="43"/>
      <c r="R761" s="43"/>
      <c r="S761" s="43"/>
      <c r="T761" s="43"/>
      <c r="U761" s="43"/>
      <c r="V761" s="43"/>
      <c r="W761" s="43"/>
      <c r="X761" s="43"/>
      <c r="Y761" s="43"/>
      <c r="Z761" s="43"/>
      <c r="AA761" s="43"/>
      <c r="AB761" s="43"/>
      <c r="AC761" s="43"/>
      <c r="AD761" s="43"/>
      <c r="AE761" s="43"/>
      <c r="AF761" s="43"/>
      <c r="AG761" s="43"/>
      <c r="AH761" s="43"/>
      <c r="AI761" s="43"/>
      <c r="AJ761" s="43"/>
      <c r="AK761" s="43"/>
      <c r="AL761" s="43"/>
      <c r="AM761" s="43"/>
      <c r="AN761" s="43"/>
      <c r="AO761" s="43"/>
      <c r="AP761" s="43"/>
      <c r="AQ761" s="43"/>
      <c r="AR761" s="43"/>
      <c r="AS761" s="43"/>
      <c r="AT761" s="43"/>
      <c r="AU761" s="43"/>
      <c r="AV761" s="43"/>
      <c r="AW761" s="43"/>
      <c r="AX761" s="43"/>
      <c r="AY761" s="43"/>
      <c r="AZ761" s="43"/>
      <c r="BA761" s="43"/>
      <c r="BB761" s="43"/>
      <c r="BC761" s="43"/>
      <c r="BD761" s="43"/>
      <c r="BE761" s="43"/>
      <c r="BF761" s="43"/>
      <c r="BG761" s="43"/>
      <c r="BH761" s="43"/>
      <c r="BI761" s="43"/>
      <c r="BJ761" s="43"/>
      <c r="BK761" s="43"/>
      <c r="BL761" s="43"/>
      <c r="BM761" s="43"/>
      <c r="BN761" s="43"/>
      <c r="BO761" s="43"/>
      <c r="BP761" s="43"/>
      <c r="BQ761" s="43"/>
      <c r="BR761" s="43"/>
      <c r="BS761" s="43"/>
      <c r="BT761" s="43"/>
      <c r="BU761" s="43"/>
      <c r="BV761" s="43"/>
      <c r="BW761" s="43"/>
      <c r="BX761" s="43"/>
      <c r="BY761" s="43"/>
      <c r="BZ761" s="43"/>
      <c r="CA761" s="43"/>
      <c r="CB761" s="43"/>
      <c r="CC761" s="43"/>
      <c r="CD761" s="43"/>
      <c r="CE761" s="43"/>
      <c r="CF761" s="43"/>
      <c r="CG761" s="43"/>
      <c r="CH761" s="43"/>
      <c r="CI761" s="43"/>
      <c r="CJ761" s="43"/>
      <c r="CK761" s="43"/>
      <c r="CL761" s="43"/>
      <c r="CM761" s="43"/>
      <c r="CN761" s="43"/>
      <c r="CO761" s="43"/>
      <c r="CP761" s="43"/>
      <c r="CQ761" s="43"/>
      <c r="CR761" s="43"/>
      <c r="CS761" s="43"/>
      <c r="CT761" s="43"/>
      <c r="CU761" s="43"/>
      <c r="CV761" s="43"/>
      <c r="CW761" s="43"/>
      <c r="CX761" s="43"/>
      <c r="CY761" s="43"/>
      <c r="CZ761" s="43"/>
      <c r="DA761" s="43"/>
      <c r="DB761" s="43"/>
      <c r="DC761" s="43"/>
      <c r="DD761" s="43"/>
      <c r="DE761" s="43"/>
      <c r="DF761" s="43"/>
      <c r="DG761" s="43"/>
      <c r="DH761" s="43"/>
      <c r="DI761" s="43"/>
      <c r="DJ761" s="43"/>
      <c r="DK761" s="43"/>
      <c r="DL761" s="43"/>
      <c r="DM761" s="43"/>
      <c r="DN761" s="43"/>
      <c r="DO761" s="43"/>
      <c r="DP761" s="43"/>
      <c r="DQ761" s="43"/>
      <c r="DR761" s="43"/>
      <c r="DS761" s="43"/>
    </row>
    <row r="762" spans="1:123" ht="14.45">
      <c r="A762"/>
      <c r="B762"/>
      <c r="C762"/>
      <c r="D762"/>
      <c r="E762"/>
      <c r="F762"/>
      <c r="G762"/>
      <c r="H762"/>
      <c r="I762"/>
      <c r="J762"/>
      <c r="K762" s="43"/>
      <c r="L762" s="43"/>
      <c r="M762" s="43"/>
      <c r="N762" s="43"/>
      <c r="O762" s="43"/>
      <c r="P762" s="43"/>
      <c r="Q762" s="43"/>
      <c r="R762" s="43"/>
      <c r="S762" s="43"/>
      <c r="T762" s="43"/>
      <c r="U762" s="43"/>
      <c r="V762" s="43"/>
      <c r="W762" s="43"/>
      <c r="X762" s="43"/>
      <c r="Y762" s="43"/>
      <c r="Z762" s="43"/>
      <c r="AA762" s="43"/>
      <c r="AB762" s="43"/>
      <c r="AC762" s="43"/>
      <c r="AD762" s="43"/>
      <c r="AE762" s="43"/>
      <c r="AF762" s="43"/>
      <c r="AG762" s="43"/>
      <c r="AH762" s="43"/>
      <c r="AI762" s="43"/>
      <c r="AJ762" s="43"/>
      <c r="AK762" s="43"/>
      <c r="AL762" s="43"/>
      <c r="AM762" s="43"/>
      <c r="AN762" s="43"/>
      <c r="AO762" s="43"/>
      <c r="AP762" s="43"/>
      <c r="AQ762" s="43"/>
      <c r="AR762" s="43"/>
      <c r="AS762" s="43"/>
      <c r="AT762" s="43"/>
      <c r="AU762" s="43"/>
      <c r="AV762" s="43"/>
      <c r="AW762" s="43"/>
      <c r="AX762" s="43"/>
      <c r="AY762" s="43"/>
      <c r="AZ762" s="43"/>
      <c r="BA762" s="43"/>
      <c r="BB762" s="43"/>
      <c r="BC762" s="43"/>
      <c r="BD762" s="43"/>
      <c r="BE762" s="43"/>
      <c r="BF762" s="43"/>
      <c r="BG762" s="43"/>
      <c r="BH762" s="43"/>
      <c r="BI762" s="43"/>
      <c r="BJ762" s="43"/>
      <c r="BK762" s="43"/>
      <c r="BL762" s="43"/>
      <c r="BM762" s="43"/>
      <c r="BN762" s="43"/>
      <c r="BO762" s="43"/>
      <c r="BP762" s="43"/>
      <c r="BQ762" s="43"/>
      <c r="BR762" s="43"/>
      <c r="BS762" s="43"/>
      <c r="BT762" s="43"/>
      <c r="BU762" s="43"/>
      <c r="BV762" s="43"/>
      <c r="BW762" s="43"/>
      <c r="BX762" s="43"/>
      <c r="BY762" s="43"/>
      <c r="BZ762" s="43"/>
      <c r="CA762" s="43"/>
      <c r="CB762" s="43"/>
      <c r="CC762" s="43"/>
      <c r="CD762" s="43"/>
      <c r="CE762" s="43"/>
      <c r="CF762" s="43"/>
      <c r="CG762" s="43"/>
      <c r="CH762" s="43"/>
      <c r="CI762" s="43"/>
      <c r="CJ762" s="43"/>
      <c r="CK762" s="43"/>
      <c r="CL762" s="43"/>
      <c r="CM762" s="43"/>
      <c r="CN762" s="43"/>
      <c r="CO762" s="43"/>
      <c r="CP762" s="43"/>
      <c r="CQ762" s="43"/>
      <c r="CR762" s="43"/>
      <c r="CS762" s="43"/>
      <c r="CT762" s="43"/>
      <c r="CU762" s="43"/>
      <c r="CV762" s="43"/>
      <c r="CW762" s="43"/>
      <c r="CX762" s="43"/>
      <c r="CY762" s="43"/>
      <c r="CZ762" s="43"/>
      <c r="DA762" s="43"/>
      <c r="DB762" s="43"/>
      <c r="DC762" s="43"/>
      <c r="DD762" s="43"/>
      <c r="DE762" s="43"/>
      <c r="DF762" s="43"/>
      <c r="DG762" s="43"/>
      <c r="DH762" s="43"/>
      <c r="DI762" s="43"/>
      <c r="DJ762" s="43"/>
      <c r="DK762" s="43"/>
      <c r="DL762" s="43"/>
      <c r="DM762" s="43"/>
      <c r="DN762" s="43"/>
      <c r="DO762" s="43"/>
      <c r="DP762" s="43"/>
      <c r="DQ762" s="43"/>
      <c r="DR762" s="43"/>
      <c r="DS762" s="43"/>
    </row>
    <row r="763" spans="1:123" ht="14.45">
      <c r="A763"/>
      <c r="B763"/>
      <c r="C763"/>
      <c r="D763"/>
      <c r="E763"/>
      <c r="F763"/>
      <c r="G763"/>
      <c r="H763"/>
      <c r="I763"/>
      <c r="J763"/>
      <c r="K763" s="43"/>
      <c r="L763" s="43"/>
      <c r="M763" s="43"/>
      <c r="N763" s="43"/>
      <c r="O763" s="43"/>
      <c r="P763" s="43"/>
      <c r="Q763" s="43"/>
      <c r="R763" s="43"/>
      <c r="S763" s="43"/>
      <c r="T763" s="43"/>
      <c r="U763" s="43"/>
      <c r="V763" s="43"/>
      <c r="W763" s="43"/>
      <c r="X763" s="43"/>
      <c r="Y763" s="43"/>
      <c r="Z763" s="43"/>
      <c r="AA763" s="43"/>
      <c r="AB763" s="43"/>
      <c r="AC763" s="43"/>
      <c r="AD763" s="43"/>
      <c r="AE763" s="43"/>
      <c r="AF763" s="43"/>
      <c r="AG763" s="43"/>
      <c r="AH763" s="43"/>
      <c r="AI763" s="43"/>
      <c r="AJ763" s="43"/>
      <c r="AK763" s="43"/>
      <c r="AL763" s="43"/>
      <c r="AM763" s="43"/>
      <c r="AN763" s="43"/>
      <c r="AO763" s="43"/>
      <c r="AP763" s="43"/>
      <c r="AQ763" s="43"/>
      <c r="AR763" s="43"/>
      <c r="AS763" s="43"/>
      <c r="AT763" s="43"/>
      <c r="AU763" s="43"/>
      <c r="AV763" s="43"/>
      <c r="AW763" s="43"/>
      <c r="AX763" s="43"/>
      <c r="AY763" s="43"/>
      <c r="AZ763" s="43"/>
      <c r="BA763" s="43"/>
      <c r="BB763" s="43"/>
      <c r="BC763" s="43"/>
      <c r="BD763" s="43"/>
      <c r="BE763" s="43"/>
      <c r="BF763" s="43"/>
      <c r="BG763" s="43"/>
      <c r="BH763" s="43"/>
      <c r="BI763" s="43"/>
      <c r="BJ763" s="43"/>
      <c r="BK763" s="43"/>
      <c r="BL763" s="43"/>
      <c r="BM763" s="43"/>
      <c r="BN763" s="43"/>
      <c r="BO763" s="43"/>
      <c r="BP763" s="43"/>
      <c r="BQ763" s="43"/>
      <c r="BR763" s="43"/>
      <c r="BS763" s="43"/>
      <c r="BT763" s="43"/>
      <c r="BU763" s="43"/>
      <c r="BV763" s="43"/>
      <c r="BW763" s="43"/>
      <c r="BX763" s="43"/>
      <c r="BY763" s="43"/>
      <c r="BZ763" s="43"/>
      <c r="CA763" s="43"/>
      <c r="CB763" s="43"/>
      <c r="CC763" s="43"/>
      <c r="CD763" s="43"/>
      <c r="CE763" s="43"/>
      <c r="CF763" s="43"/>
      <c r="CG763" s="43"/>
      <c r="CH763" s="43"/>
      <c r="CI763" s="43"/>
      <c r="CJ763" s="43"/>
      <c r="CK763" s="43"/>
      <c r="CL763" s="43"/>
      <c r="CM763" s="43"/>
      <c r="CN763" s="43"/>
      <c r="CO763" s="43"/>
      <c r="CP763" s="43"/>
      <c r="CQ763" s="43"/>
      <c r="CR763" s="43"/>
      <c r="CS763" s="43"/>
      <c r="CT763" s="43"/>
      <c r="CU763" s="43"/>
      <c r="CV763" s="43"/>
      <c r="CW763" s="43"/>
      <c r="CX763" s="43"/>
      <c r="CY763" s="43"/>
      <c r="CZ763" s="43"/>
      <c r="DA763" s="43"/>
      <c r="DB763" s="43"/>
      <c r="DC763" s="43"/>
      <c r="DD763" s="43"/>
      <c r="DE763" s="43"/>
      <c r="DF763" s="43"/>
      <c r="DG763" s="43"/>
      <c r="DH763" s="43"/>
      <c r="DI763" s="43"/>
      <c r="DJ763" s="43"/>
      <c r="DK763" s="43"/>
      <c r="DL763" s="43"/>
      <c r="DM763" s="43"/>
      <c r="DN763" s="43"/>
      <c r="DO763" s="43"/>
      <c r="DP763" s="43"/>
      <c r="DQ763" s="43"/>
      <c r="DR763" s="43"/>
      <c r="DS763" s="43"/>
    </row>
    <row r="764" spans="1:123" ht="14.45">
      <c r="A764"/>
      <c r="B764"/>
      <c r="C764"/>
      <c r="D764"/>
      <c r="E764"/>
      <c r="F764"/>
      <c r="G764"/>
      <c r="H764"/>
      <c r="I764"/>
      <c r="J764"/>
      <c r="K764" s="43"/>
      <c r="L764" s="43"/>
      <c r="M764" s="43"/>
      <c r="N764" s="43"/>
      <c r="O764" s="43"/>
      <c r="P764" s="43"/>
      <c r="Q764" s="43"/>
      <c r="R764" s="43"/>
      <c r="S764" s="43"/>
      <c r="T764" s="43"/>
      <c r="U764" s="43"/>
      <c r="V764" s="43"/>
      <c r="W764" s="43"/>
      <c r="X764" s="43"/>
      <c r="Y764" s="43"/>
      <c r="Z764" s="43"/>
      <c r="AA764" s="43"/>
      <c r="AB764" s="43"/>
      <c r="AC764" s="43"/>
      <c r="AD764" s="43"/>
      <c r="AE764" s="43"/>
      <c r="AF764" s="43"/>
      <c r="AG764" s="43"/>
      <c r="AH764" s="43"/>
      <c r="AI764" s="43"/>
      <c r="AJ764" s="43"/>
      <c r="AK764" s="43"/>
      <c r="AL764" s="43"/>
      <c r="AM764" s="43"/>
      <c r="AN764" s="43"/>
      <c r="AO764" s="43"/>
      <c r="AP764" s="43"/>
      <c r="AQ764" s="43"/>
      <c r="AR764" s="43"/>
      <c r="AS764" s="43"/>
      <c r="AT764" s="43"/>
      <c r="AU764" s="43"/>
      <c r="AV764" s="43"/>
      <c r="AW764" s="43"/>
      <c r="AX764" s="43"/>
      <c r="AY764" s="43"/>
      <c r="AZ764" s="43"/>
      <c r="BA764" s="43"/>
      <c r="BB764" s="43"/>
      <c r="BC764" s="43"/>
      <c r="BD764" s="43"/>
      <c r="BE764" s="43"/>
      <c r="BF764" s="43"/>
      <c r="BG764" s="43"/>
      <c r="BH764" s="43"/>
      <c r="BI764" s="43"/>
      <c r="BJ764" s="43"/>
      <c r="BK764" s="43"/>
      <c r="BL764" s="43"/>
      <c r="BM764" s="43"/>
      <c r="BN764" s="43"/>
      <c r="BO764" s="43"/>
      <c r="BP764" s="43"/>
      <c r="BQ764" s="43"/>
      <c r="BR764" s="43"/>
      <c r="BS764" s="43"/>
      <c r="BT764" s="43"/>
      <c r="BU764" s="43"/>
      <c r="BV764" s="43"/>
      <c r="BW764" s="43"/>
      <c r="BX764" s="43"/>
      <c r="BY764" s="43"/>
      <c r="BZ764" s="43"/>
      <c r="CA764" s="43"/>
      <c r="CB764" s="43"/>
      <c r="CC764" s="43"/>
      <c r="CD764" s="43"/>
      <c r="CE764" s="43"/>
      <c r="CF764" s="43"/>
      <c r="CG764" s="43"/>
      <c r="CH764" s="43"/>
      <c r="CI764" s="43"/>
      <c r="CJ764" s="43"/>
      <c r="CK764" s="43"/>
      <c r="CL764" s="43"/>
      <c r="CM764" s="43"/>
      <c r="CN764" s="43"/>
      <c r="CO764" s="43"/>
      <c r="CP764" s="43"/>
      <c r="CQ764" s="43"/>
      <c r="CR764" s="43"/>
      <c r="CS764" s="43"/>
      <c r="CT764" s="43"/>
      <c r="CU764" s="43"/>
      <c r="CV764" s="43"/>
      <c r="CW764" s="43"/>
      <c r="CX764" s="43"/>
      <c r="CY764" s="43"/>
      <c r="CZ764" s="43"/>
      <c r="DA764" s="43"/>
      <c r="DB764" s="43"/>
      <c r="DC764" s="43"/>
      <c r="DD764" s="43"/>
      <c r="DE764" s="43"/>
      <c r="DF764" s="43"/>
      <c r="DG764" s="43"/>
      <c r="DH764" s="43"/>
      <c r="DI764" s="43"/>
      <c r="DJ764" s="43"/>
      <c r="DK764" s="43"/>
      <c r="DL764" s="43"/>
      <c r="DM764" s="43"/>
      <c r="DN764" s="43"/>
      <c r="DO764" s="43"/>
      <c r="DP764" s="43"/>
      <c r="DQ764" s="43"/>
      <c r="DR764" s="43"/>
      <c r="DS764" s="43"/>
    </row>
    <row r="765" spans="1:123" ht="14.45">
      <c r="A765"/>
      <c r="B765"/>
      <c r="C765"/>
      <c r="D765"/>
      <c r="E765"/>
      <c r="F765"/>
      <c r="G765"/>
      <c r="H765"/>
      <c r="I765"/>
      <c r="J765"/>
      <c r="K765" s="43"/>
      <c r="L765" s="43"/>
      <c r="M765" s="43"/>
      <c r="N765" s="43"/>
      <c r="O765" s="43"/>
      <c r="P765" s="43"/>
      <c r="Q765" s="43"/>
      <c r="R765" s="43"/>
      <c r="S765" s="43"/>
      <c r="T765" s="43"/>
      <c r="U765" s="43"/>
      <c r="V765" s="43"/>
      <c r="W765" s="43"/>
      <c r="X765" s="43"/>
      <c r="Y765" s="43"/>
      <c r="Z765" s="43"/>
      <c r="AA765" s="43"/>
      <c r="AB765" s="43"/>
      <c r="AC765" s="43"/>
      <c r="AD765" s="43"/>
      <c r="AE765" s="43"/>
      <c r="AF765" s="43"/>
      <c r="AG765" s="43"/>
      <c r="AH765" s="43"/>
      <c r="AI765" s="43"/>
      <c r="AJ765" s="43"/>
      <c r="AK765" s="43"/>
      <c r="AL765" s="43"/>
      <c r="AM765" s="43"/>
      <c r="AN765" s="43"/>
      <c r="AO765" s="43"/>
      <c r="AP765" s="43"/>
      <c r="AQ765" s="43"/>
      <c r="AR765" s="43"/>
      <c r="AS765" s="43"/>
      <c r="AT765" s="43"/>
      <c r="AU765" s="43"/>
      <c r="AV765" s="43"/>
      <c r="AW765" s="43"/>
      <c r="AX765" s="43"/>
      <c r="AY765" s="43"/>
      <c r="AZ765" s="43"/>
      <c r="BA765" s="43"/>
      <c r="BB765" s="43"/>
      <c r="BC765" s="43"/>
      <c r="BD765" s="43"/>
      <c r="BE765" s="43"/>
      <c r="BF765" s="43"/>
      <c r="BG765" s="43"/>
      <c r="BH765" s="43"/>
      <c r="BI765" s="43"/>
      <c r="BJ765" s="43"/>
      <c r="BK765" s="43"/>
      <c r="BL765" s="43"/>
      <c r="BM765" s="43"/>
      <c r="BN765" s="43"/>
      <c r="BO765" s="43"/>
      <c r="BP765" s="43"/>
      <c r="BQ765" s="43"/>
      <c r="BR765" s="43"/>
      <c r="BS765" s="43"/>
      <c r="BT765" s="43"/>
      <c r="BU765" s="43"/>
      <c r="BV765" s="43"/>
      <c r="BW765" s="43"/>
      <c r="BX765" s="43"/>
      <c r="BY765" s="43"/>
      <c r="BZ765" s="43"/>
      <c r="CA765" s="43"/>
      <c r="CB765" s="43"/>
      <c r="CC765" s="43"/>
      <c r="CD765" s="43"/>
      <c r="CE765" s="43"/>
      <c r="CF765" s="43"/>
      <c r="CG765" s="43"/>
      <c r="CH765" s="43"/>
      <c r="CI765" s="43"/>
      <c r="CJ765" s="43"/>
      <c r="CK765" s="43"/>
      <c r="CL765" s="43"/>
      <c r="CM765" s="43"/>
      <c r="CN765" s="43"/>
      <c r="CO765" s="43"/>
      <c r="CP765" s="43"/>
      <c r="CQ765" s="43"/>
      <c r="CR765" s="43"/>
      <c r="CS765" s="43"/>
      <c r="CT765" s="43"/>
      <c r="CU765" s="43"/>
      <c r="CV765" s="43"/>
      <c r="CW765" s="43"/>
      <c r="CX765" s="43"/>
      <c r="CY765" s="43"/>
      <c r="CZ765" s="43"/>
      <c r="DA765" s="43"/>
      <c r="DB765" s="43"/>
      <c r="DC765" s="43"/>
      <c r="DD765" s="43"/>
      <c r="DE765" s="43"/>
      <c r="DF765" s="43"/>
      <c r="DG765" s="43"/>
      <c r="DH765" s="43"/>
      <c r="DI765" s="43"/>
      <c r="DJ765" s="43"/>
      <c r="DK765" s="43"/>
      <c r="DL765" s="43"/>
      <c r="DM765" s="43"/>
      <c r="DN765" s="43"/>
      <c r="DO765" s="43"/>
      <c r="DP765" s="43"/>
      <c r="DQ765" s="43"/>
      <c r="DR765" s="43"/>
      <c r="DS765" s="43"/>
    </row>
    <row r="766" spans="1:123" ht="14.45">
      <c r="A766"/>
      <c r="B766"/>
      <c r="C766"/>
      <c r="D766"/>
      <c r="E766"/>
      <c r="F766"/>
      <c r="G766"/>
      <c r="H766"/>
      <c r="I766"/>
      <c r="J766"/>
      <c r="K766" s="43"/>
      <c r="L766" s="43"/>
      <c r="M766" s="43"/>
      <c r="N766" s="43"/>
      <c r="O766" s="43"/>
      <c r="P766" s="43"/>
      <c r="Q766" s="43"/>
      <c r="R766" s="43"/>
      <c r="S766" s="43"/>
      <c r="T766" s="43"/>
      <c r="U766" s="43"/>
      <c r="V766" s="43"/>
      <c r="W766" s="43"/>
      <c r="X766" s="43"/>
      <c r="Y766" s="43"/>
      <c r="Z766" s="43"/>
      <c r="AA766" s="43"/>
      <c r="AB766" s="43"/>
      <c r="AC766" s="43"/>
      <c r="AD766" s="43"/>
      <c r="AE766" s="43"/>
      <c r="AF766" s="43"/>
      <c r="AG766" s="43"/>
      <c r="AH766" s="43"/>
      <c r="AI766" s="43"/>
      <c r="AJ766" s="43"/>
      <c r="AK766" s="43"/>
      <c r="AL766" s="43"/>
      <c r="AM766" s="43"/>
      <c r="AN766" s="43"/>
      <c r="AO766" s="43"/>
      <c r="AP766" s="43"/>
      <c r="AQ766" s="43"/>
      <c r="AR766" s="43"/>
      <c r="AS766" s="43"/>
      <c r="AT766" s="43"/>
      <c r="AU766" s="43"/>
      <c r="AV766" s="43"/>
      <c r="AW766" s="43"/>
      <c r="AX766" s="43"/>
      <c r="AY766" s="43"/>
      <c r="AZ766" s="43"/>
      <c r="BA766" s="43"/>
      <c r="BB766" s="43"/>
      <c r="BC766" s="43"/>
      <c r="BD766" s="43"/>
      <c r="BE766" s="43"/>
      <c r="BF766" s="43"/>
      <c r="BG766" s="43"/>
      <c r="BH766" s="43"/>
      <c r="BI766" s="43"/>
      <c r="BJ766" s="43"/>
      <c r="BK766" s="43"/>
      <c r="BL766" s="43"/>
      <c r="BM766" s="43"/>
      <c r="BN766" s="43"/>
      <c r="BO766" s="43"/>
      <c r="BP766" s="43"/>
      <c r="BQ766" s="43"/>
      <c r="BR766" s="43"/>
      <c r="BS766" s="43"/>
      <c r="BT766" s="43"/>
      <c r="BU766" s="43"/>
      <c r="BV766" s="43"/>
      <c r="BW766" s="43"/>
      <c r="BX766" s="43"/>
      <c r="BY766" s="43"/>
      <c r="BZ766" s="43"/>
      <c r="CA766" s="43"/>
      <c r="CB766" s="43"/>
      <c r="CC766" s="43"/>
      <c r="CD766" s="43"/>
      <c r="CE766" s="43"/>
      <c r="CF766" s="43"/>
      <c r="CG766" s="43"/>
      <c r="CH766" s="43"/>
      <c r="CI766" s="43"/>
      <c r="CJ766" s="43"/>
      <c r="CK766" s="43"/>
      <c r="CL766" s="43"/>
      <c r="CM766" s="43"/>
      <c r="CN766" s="43"/>
      <c r="CO766" s="43"/>
      <c r="CP766" s="43"/>
      <c r="CQ766" s="43"/>
      <c r="CR766" s="43"/>
      <c r="CS766" s="43"/>
      <c r="CT766" s="43"/>
      <c r="CU766" s="43"/>
      <c r="CV766" s="43"/>
      <c r="CW766" s="43"/>
      <c r="CX766" s="43"/>
      <c r="CY766" s="43"/>
      <c r="CZ766" s="43"/>
      <c r="DA766" s="43"/>
      <c r="DB766" s="43"/>
      <c r="DC766" s="43"/>
      <c r="DD766" s="43"/>
      <c r="DE766" s="43"/>
      <c r="DF766" s="43"/>
      <c r="DG766" s="43"/>
      <c r="DH766" s="43"/>
      <c r="DI766" s="43"/>
      <c r="DJ766" s="43"/>
      <c r="DK766" s="43"/>
      <c r="DL766" s="43"/>
      <c r="DM766" s="43"/>
      <c r="DN766" s="43"/>
      <c r="DO766" s="43"/>
      <c r="DP766" s="43"/>
      <c r="DQ766" s="43"/>
      <c r="DR766" s="43"/>
      <c r="DS766" s="43"/>
    </row>
    <row r="767" spans="1:123" ht="14.45">
      <c r="A767"/>
      <c r="B767"/>
      <c r="C767"/>
      <c r="D767"/>
      <c r="E767"/>
      <c r="F767"/>
      <c r="G767"/>
      <c r="H767"/>
      <c r="I767"/>
      <c r="J767"/>
      <c r="K767" s="43"/>
      <c r="L767" s="43"/>
      <c r="M767" s="43"/>
      <c r="N767" s="43"/>
      <c r="O767" s="43"/>
      <c r="P767" s="43"/>
      <c r="Q767" s="43"/>
      <c r="R767" s="43"/>
      <c r="S767" s="43"/>
      <c r="T767" s="43"/>
      <c r="U767" s="43"/>
      <c r="V767" s="43"/>
      <c r="W767" s="43"/>
      <c r="X767" s="43"/>
      <c r="Y767" s="43"/>
      <c r="Z767" s="43"/>
      <c r="AA767" s="43"/>
      <c r="AB767" s="43"/>
      <c r="AC767" s="43"/>
      <c r="AD767" s="43"/>
      <c r="AE767" s="43"/>
      <c r="AF767" s="43"/>
      <c r="AG767" s="43"/>
      <c r="AH767" s="43"/>
      <c r="AI767" s="43"/>
      <c r="AJ767" s="43"/>
      <c r="AK767" s="43"/>
      <c r="AL767" s="43"/>
      <c r="AM767" s="43"/>
      <c r="AN767" s="43"/>
      <c r="AO767" s="43"/>
      <c r="AP767" s="43"/>
      <c r="AQ767" s="43"/>
      <c r="AR767" s="43"/>
      <c r="AS767" s="43"/>
      <c r="AT767" s="43"/>
      <c r="AU767" s="43"/>
      <c r="AV767" s="43"/>
      <c r="AW767" s="43"/>
      <c r="AX767" s="43"/>
      <c r="AY767" s="43"/>
      <c r="AZ767" s="43"/>
      <c r="BA767" s="43"/>
      <c r="BB767" s="43"/>
      <c r="BC767" s="43"/>
      <c r="BD767" s="43"/>
      <c r="BE767" s="43"/>
      <c r="BF767" s="43"/>
      <c r="BG767" s="43"/>
      <c r="BH767" s="43"/>
      <c r="BI767" s="43"/>
      <c r="BJ767" s="43"/>
      <c r="BK767" s="43"/>
      <c r="BL767" s="43"/>
      <c r="BM767" s="43"/>
      <c r="BN767" s="43"/>
      <c r="BO767" s="43"/>
      <c r="BP767" s="43"/>
      <c r="BQ767" s="43"/>
      <c r="BR767" s="43"/>
      <c r="BS767" s="43"/>
      <c r="BT767" s="43"/>
      <c r="BU767" s="43"/>
      <c r="BV767" s="43"/>
      <c r="BW767" s="43"/>
      <c r="BX767" s="43"/>
      <c r="BY767" s="43"/>
      <c r="BZ767" s="43"/>
      <c r="CA767" s="43"/>
      <c r="CB767" s="43"/>
      <c r="CC767" s="43"/>
      <c r="CD767" s="43"/>
      <c r="CE767" s="43"/>
      <c r="CF767" s="43"/>
      <c r="CG767" s="43"/>
      <c r="CH767" s="43"/>
      <c r="CI767" s="43"/>
      <c r="CJ767" s="43"/>
      <c r="CK767" s="43"/>
      <c r="CL767" s="43"/>
      <c r="CM767" s="43"/>
      <c r="CN767" s="43"/>
      <c r="CO767" s="43"/>
      <c r="CP767" s="43"/>
      <c r="CQ767" s="43"/>
      <c r="CR767" s="43"/>
      <c r="CS767" s="43"/>
      <c r="CT767" s="43"/>
      <c r="CU767" s="43"/>
      <c r="CV767" s="43"/>
      <c r="CW767" s="43"/>
      <c r="CX767" s="43"/>
      <c r="CY767" s="43"/>
      <c r="CZ767" s="43"/>
      <c r="DA767" s="43"/>
      <c r="DB767" s="43"/>
      <c r="DC767" s="43"/>
      <c r="DD767" s="43"/>
      <c r="DE767" s="43"/>
      <c r="DF767" s="43"/>
      <c r="DG767" s="43"/>
      <c r="DH767" s="43"/>
      <c r="DI767" s="43"/>
      <c r="DJ767" s="43"/>
      <c r="DK767" s="43"/>
      <c r="DL767" s="43"/>
      <c r="DM767" s="43"/>
      <c r="DN767" s="43"/>
      <c r="DO767" s="43"/>
      <c r="DP767" s="43"/>
      <c r="DQ767" s="43"/>
      <c r="DR767" s="43"/>
      <c r="DS767" s="43"/>
    </row>
    <row r="768" spans="1:123" ht="14.45">
      <c r="A768"/>
      <c r="B768"/>
      <c r="C768"/>
      <c r="D768"/>
      <c r="E768"/>
      <c r="F768"/>
      <c r="G768"/>
      <c r="H768"/>
      <c r="I768"/>
      <c r="J768"/>
      <c r="K768" s="43"/>
      <c r="L768" s="43"/>
      <c r="M768" s="43"/>
      <c r="N768" s="43"/>
      <c r="O768" s="43"/>
      <c r="P768" s="43"/>
      <c r="Q768" s="43"/>
      <c r="R768" s="43"/>
      <c r="S768" s="43"/>
      <c r="T768" s="43"/>
      <c r="U768" s="43"/>
      <c r="V768" s="43"/>
      <c r="W768" s="43"/>
      <c r="X768" s="43"/>
      <c r="Y768" s="43"/>
      <c r="Z768" s="43"/>
      <c r="AA768" s="43"/>
      <c r="AB768" s="43"/>
      <c r="AC768" s="43"/>
      <c r="AD768" s="43"/>
      <c r="AE768" s="43"/>
      <c r="AF768" s="43"/>
      <c r="AG768" s="43"/>
      <c r="AH768" s="43"/>
      <c r="AI768" s="43"/>
      <c r="AJ768" s="43"/>
      <c r="AK768" s="43"/>
      <c r="AL768" s="43"/>
      <c r="AM768" s="43"/>
      <c r="AN768" s="43"/>
      <c r="AO768" s="43"/>
      <c r="AP768" s="43"/>
      <c r="AQ768" s="43"/>
      <c r="AR768" s="43"/>
      <c r="AS768" s="43"/>
      <c r="AT768" s="43"/>
      <c r="AU768" s="43"/>
      <c r="AV768" s="43"/>
      <c r="AW768" s="43"/>
      <c r="AX768" s="43"/>
      <c r="AY768" s="43"/>
      <c r="AZ768" s="43"/>
      <c r="BA768" s="43"/>
      <c r="BB768" s="43"/>
      <c r="BC768" s="43"/>
      <c r="BD768" s="43"/>
      <c r="BE768" s="43"/>
      <c r="BF768" s="43"/>
      <c r="BG768" s="43"/>
      <c r="BH768" s="43"/>
      <c r="BI768" s="43"/>
      <c r="BJ768" s="43"/>
      <c r="BK768" s="43"/>
      <c r="BL768" s="43"/>
      <c r="BM768" s="43"/>
      <c r="BN768" s="43"/>
      <c r="BO768" s="43"/>
      <c r="BP768" s="43"/>
      <c r="BQ768" s="43"/>
      <c r="BR768" s="43"/>
      <c r="BS768" s="43"/>
      <c r="BT768" s="43"/>
      <c r="BU768" s="43"/>
      <c r="BV768" s="43"/>
      <c r="BW768" s="43"/>
      <c r="BX768" s="43"/>
      <c r="BY768" s="43"/>
      <c r="BZ768" s="43"/>
      <c r="CA768" s="43"/>
      <c r="CB768" s="43"/>
      <c r="CC768" s="43"/>
      <c r="CD768" s="43"/>
      <c r="CE768" s="43"/>
      <c r="CF768" s="43"/>
      <c r="CG768" s="43"/>
      <c r="CH768" s="43"/>
      <c r="CI768" s="43"/>
      <c r="CJ768" s="43"/>
      <c r="CK768" s="43"/>
      <c r="CL768" s="43"/>
      <c r="CM768" s="43"/>
      <c r="CN768" s="43"/>
      <c r="CO768" s="43"/>
      <c r="CP768" s="43"/>
      <c r="CQ768" s="43"/>
      <c r="CR768" s="43"/>
      <c r="CS768" s="43"/>
      <c r="CT768" s="43"/>
      <c r="CU768" s="43"/>
      <c r="CV768" s="43"/>
      <c r="CW768" s="43"/>
      <c r="CX768" s="43"/>
      <c r="CY768" s="43"/>
      <c r="CZ768" s="43"/>
      <c r="DA768" s="43"/>
      <c r="DB768" s="43"/>
      <c r="DC768" s="43"/>
      <c r="DD768" s="43"/>
      <c r="DE768" s="43"/>
      <c r="DF768" s="43"/>
      <c r="DG768" s="43"/>
      <c r="DH768" s="43"/>
      <c r="DI768" s="43"/>
      <c r="DJ768" s="43"/>
      <c r="DK768" s="43"/>
      <c r="DL768" s="43"/>
      <c r="DM768" s="43"/>
      <c r="DN768" s="43"/>
      <c r="DO768" s="43"/>
      <c r="DP768" s="43"/>
      <c r="DQ768" s="43"/>
      <c r="DR768" s="43"/>
      <c r="DS768" s="43"/>
    </row>
    <row r="769" spans="1:123" ht="14.45">
      <c r="A769"/>
      <c r="B769"/>
      <c r="C769"/>
      <c r="D769"/>
      <c r="E769"/>
      <c r="F769"/>
      <c r="G769"/>
      <c r="H769"/>
      <c r="I769"/>
      <c r="J769"/>
      <c r="K769" s="43"/>
      <c r="L769" s="43"/>
      <c r="M769" s="43"/>
      <c r="N769" s="43"/>
      <c r="O769" s="43"/>
      <c r="P769" s="43"/>
      <c r="Q769" s="43"/>
      <c r="R769" s="43"/>
      <c r="S769" s="43"/>
      <c r="T769" s="43"/>
      <c r="U769" s="43"/>
      <c r="V769" s="43"/>
      <c r="W769" s="43"/>
      <c r="X769" s="43"/>
      <c r="Y769" s="43"/>
      <c r="Z769" s="43"/>
      <c r="AA769" s="43"/>
      <c r="AB769" s="43"/>
      <c r="AC769" s="43"/>
      <c r="AD769" s="43"/>
      <c r="AE769" s="43"/>
      <c r="AF769" s="43"/>
      <c r="AG769" s="43"/>
      <c r="AH769" s="43"/>
      <c r="AI769" s="43"/>
      <c r="AJ769" s="43"/>
      <c r="AK769" s="43"/>
      <c r="AL769" s="43"/>
      <c r="AM769" s="43"/>
      <c r="AN769" s="43"/>
      <c r="AO769" s="43"/>
      <c r="AP769" s="43"/>
      <c r="AQ769" s="43"/>
      <c r="AR769" s="43"/>
      <c r="AS769" s="43"/>
      <c r="AT769" s="43"/>
      <c r="AU769" s="43"/>
      <c r="AV769" s="43"/>
      <c r="AW769" s="43"/>
      <c r="AX769" s="43"/>
      <c r="AY769" s="43"/>
      <c r="AZ769" s="43"/>
      <c r="BA769" s="43"/>
      <c r="BB769" s="43"/>
      <c r="BC769" s="43"/>
      <c r="BD769" s="43"/>
      <c r="BE769" s="43"/>
      <c r="BF769" s="43"/>
      <c r="BG769" s="43"/>
      <c r="BH769" s="43"/>
      <c r="BI769" s="43"/>
      <c r="BJ769" s="43"/>
      <c r="BK769" s="43"/>
      <c r="BL769" s="43"/>
      <c r="BM769" s="43"/>
      <c r="BN769" s="43"/>
      <c r="BO769" s="43"/>
      <c r="BP769" s="43"/>
      <c r="BQ769" s="43"/>
      <c r="BR769" s="43"/>
      <c r="BS769" s="43"/>
      <c r="BT769" s="43"/>
      <c r="BU769" s="43"/>
      <c r="BV769" s="43"/>
      <c r="BW769" s="43"/>
      <c r="BX769" s="43"/>
      <c r="BY769" s="43"/>
      <c r="BZ769" s="43"/>
      <c r="CA769" s="43"/>
      <c r="CB769" s="43"/>
      <c r="CC769" s="43"/>
      <c r="CD769" s="43"/>
      <c r="CE769" s="43"/>
      <c r="CF769" s="43"/>
      <c r="CG769" s="43"/>
      <c r="CH769" s="43"/>
      <c r="CI769" s="43"/>
      <c r="CJ769" s="43"/>
      <c r="CK769" s="43"/>
      <c r="CL769" s="43"/>
      <c r="CM769" s="43"/>
      <c r="CN769" s="43"/>
      <c r="CO769" s="43"/>
      <c r="CP769" s="43"/>
      <c r="CQ769" s="43"/>
      <c r="CR769" s="43"/>
      <c r="CS769" s="43"/>
      <c r="CT769" s="43"/>
      <c r="CU769" s="43"/>
      <c r="CV769" s="43"/>
      <c r="CW769" s="43"/>
      <c r="CX769" s="43"/>
      <c r="CY769" s="43"/>
      <c r="CZ769" s="43"/>
      <c r="DA769" s="43"/>
      <c r="DB769" s="43"/>
      <c r="DC769" s="43"/>
      <c r="DD769" s="43"/>
      <c r="DE769" s="43"/>
      <c r="DF769" s="43"/>
      <c r="DG769" s="43"/>
      <c r="DH769" s="43"/>
      <c r="DI769" s="43"/>
      <c r="DJ769" s="43"/>
      <c r="DK769" s="43"/>
      <c r="DL769" s="43"/>
      <c r="DM769" s="43"/>
      <c r="DN769" s="43"/>
      <c r="DO769" s="43"/>
      <c r="DP769" s="43"/>
      <c r="DQ769" s="43"/>
      <c r="DR769" s="43"/>
      <c r="DS769" s="43"/>
    </row>
    <row r="770" spans="1:123" ht="14.45">
      <c r="A770"/>
      <c r="B770"/>
      <c r="C770"/>
      <c r="D770"/>
      <c r="E770"/>
      <c r="F770"/>
      <c r="G770"/>
      <c r="H770"/>
      <c r="I770"/>
      <c r="J770"/>
      <c r="K770" s="43"/>
      <c r="L770" s="43"/>
      <c r="M770" s="43"/>
      <c r="N770" s="43"/>
      <c r="O770" s="43"/>
      <c r="P770" s="43"/>
      <c r="Q770" s="43"/>
      <c r="R770" s="43"/>
      <c r="S770" s="43"/>
      <c r="T770" s="43"/>
      <c r="U770" s="43"/>
      <c r="V770" s="43"/>
      <c r="W770" s="43"/>
      <c r="X770" s="43"/>
      <c r="Y770" s="43"/>
      <c r="Z770" s="43"/>
      <c r="AA770" s="43"/>
      <c r="AB770" s="43"/>
      <c r="AC770" s="43"/>
      <c r="AD770" s="43"/>
      <c r="AE770" s="43"/>
      <c r="AF770" s="43"/>
      <c r="AG770" s="43"/>
      <c r="AH770" s="43"/>
      <c r="AI770" s="43"/>
      <c r="AJ770" s="43"/>
      <c r="AK770" s="43"/>
      <c r="AL770" s="43"/>
      <c r="AM770" s="43"/>
      <c r="AN770" s="43"/>
      <c r="AO770" s="43"/>
      <c r="AP770" s="43"/>
      <c r="AQ770" s="43"/>
      <c r="AR770" s="43"/>
      <c r="AS770" s="43"/>
      <c r="AT770" s="43"/>
      <c r="AU770" s="43"/>
      <c r="AV770" s="43"/>
      <c r="AW770" s="43"/>
      <c r="AX770" s="43"/>
      <c r="AY770" s="43"/>
      <c r="AZ770" s="43"/>
      <c r="BA770" s="43"/>
      <c r="BB770" s="43"/>
      <c r="BC770" s="43"/>
      <c r="BD770" s="43"/>
      <c r="BE770" s="43"/>
      <c r="BF770" s="43"/>
      <c r="BG770" s="43"/>
      <c r="BH770" s="43"/>
      <c r="BI770" s="43"/>
      <c r="BJ770" s="43"/>
      <c r="BK770" s="43"/>
      <c r="BL770" s="43"/>
      <c r="BM770" s="43"/>
      <c r="BN770" s="43"/>
      <c r="BO770" s="43"/>
      <c r="BP770" s="43"/>
      <c r="BQ770" s="43"/>
      <c r="BR770" s="43"/>
      <c r="BS770" s="43"/>
      <c r="BT770" s="43"/>
      <c r="BU770" s="43"/>
      <c r="BV770" s="43"/>
      <c r="BW770" s="43"/>
      <c r="BX770" s="43"/>
      <c r="BY770" s="43"/>
      <c r="BZ770" s="43"/>
      <c r="CA770" s="43"/>
      <c r="CB770" s="43"/>
      <c r="CC770" s="43"/>
      <c r="CD770" s="43"/>
      <c r="CE770" s="43"/>
      <c r="CF770" s="43"/>
      <c r="CG770" s="43"/>
      <c r="CH770" s="43"/>
      <c r="CI770" s="43"/>
      <c r="CJ770" s="43"/>
      <c r="CK770" s="43"/>
      <c r="CL770" s="43"/>
      <c r="CM770" s="43"/>
      <c r="CN770" s="43"/>
      <c r="CO770" s="43"/>
      <c r="CP770" s="43"/>
      <c r="CQ770" s="43"/>
      <c r="CR770" s="43"/>
      <c r="CS770" s="43"/>
      <c r="CT770" s="43"/>
      <c r="CU770" s="43"/>
      <c r="CV770" s="43"/>
      <c r="CW770" s="43"/>
      <c r="CX770" s="43"/>
      <c r="CY770" s="43"/>
      <c r="CZ770" s="43"/>
      <c r="DA770" s="43"/>
      <c r="DB770" s="43"/>
      <c r="DC770" s="43"/>
      <c r="DD770" s="43"/>
      <c r="DE770" s="43"/>
      <c r="DF770" s="43"/>
      <c r="DG770" s="43"/>
      <c r="DH770" s="43"/>
      <c r="DI770" s="43"/>
      <c r="DJ770" s="43"/>
      <c r="DK770" s="43"/>
      <c r="DL770" s="43"/>
      <c r="DM770" s="43"/>
      <c r="DN770" s="43"/>
      <c r="DO770" s="43"/>
      <c r="DP770" s="43"/>
      <c r="DQ770" s="43"/>
      <c r="DR770" s="43"/>
      <c r="DS770" s="43"/>
    </row>
    <row r="771" spans="1:123" ht="14.45">
      <c r="A771"/>
      <c r="B771"/>
      <c r="C771"/>
      <c r="D771"/>
      <c r="E771"/>
      <c r="F771"/>
      <c r="G771"/>
      <c r="H771"/>
      <c r="I771"/>
      <c r="J771"/>
      <c r="K771" s="43"/>
      <c r="L771" s="43"/>
      <c r="M771" s="43"/>
      <c r="N771" s="43"/>
      <c r="O771" s="43"/>
      <c r="P771" s="43"/>
      <c r="Q771" s="43"/>
      <c r="R771" s="43"/>
      <c r="S771" s="43"/>
      <c r="T771" s="43"/>
      <c r="U771" s="43"/>
      <c r="V771" s="43"/>
      <c r="W771" s="43"/>
      <c r="X771" s="43"/>
      <c r="Y771" s="43"/>
      <c r="Z771" s="43"/>
      <c r="AA771" s="43"/>
      <c r="AB771" s="43"/>
      <c r="AC771" s="43"/>
      <c r="AD771" s="43"/>
      <c r="AE771" s="43"/>
      <c r="AF771" s="43"/>
      <c r="AG771" s="43"/>
      <c r="AH771" s="43"/>
      <c r="AI771" s="43"/>
      <c r="AJ771" s="43"/>
      <c r="AK771" s="43"/>
      <c r="AL771" s="43"/>
      <c r="AM771" s="43"/>
      <c r="AN771" s="43"/>
      <c r="AO771" s="43"/>
      <c r="AP771" s="43"/>
      <c r="AQ771" s="43"/>
      <c r="AR771" s="43"/>
      <c r="AS771" s="43"/>
      <c r="AT771" s="43"/>
      <c r="AU771" s="43"/>
      <c r="AV771" s="43"/>
      <c r="AW771" s="43"/>
      <c r="AX771" s="43"/>
      <c r="AY771" s="43"/>
      <c r="AZ771" s="43"/>
      <c r="BA771" s="43"/>
      <c r="BB771" s="43"/>
      <c r="BC771" s="43"/>
      <c r="BD771" s="43"/>
      <c r="BE771" s="43"/>
      <c r="BF771" s="43"/>
      <c r="BG771" s="43"/>
      <c r="BH771" s="43"/>
      <c r="BI771" s="43"/>
      <c r="BJ771" s="43"/>
      <c r="BK771" s="43"/>
      <c r="BL771" s="43"/>
      <c r="BM771" s="43"/>
      <c r="BN771" s="43"/>
      <c r="BO771" s="43"/>
      <c r="BP771" s="43"/>
      <c r="BQ771" s="43"/>
      <c r="BR771" s="43"/>
      <c r="BS771" s="43"/>
      <c r="BT771" s="43"/>
      <c r="BU771" s="43"/>
      <c r="BV771" s="43"/>
      <c r="BW771" s="43"/>
      <c r="BX771" s="43"/>
      <c r="BY771" s="43"/>
      <c r="BZ771" s="43"/>
      <c r="CA771" s="43"/>
      <c r="CB771" s="43"/>
      <c r="CC771" s="43"/>
      <c r="CD771" s="43"/>
      <c r="CE771" s="43"/>
      <c r="CF771" s="43"/>
      <c r="CG771" s="43"/>
      <c r="CH771" s="43"/>
      <c r="CI771" s="43"/>
      <c r="CJ771" s="43"/>
      <c r="CK771" s="43"/>
      <c r="CL771" s="43"/>
      <c r="CM771" s="43"/>
      <c r="CN771" s="43"/>
      <c r="CO771" s="43"/>
      <c r="CP771" s="43"/>
      <c r="CQ771" s="43"/>
      <c r="CR771" s="43"/>
      <c r="CS771" s="43"/>
      <c r="CT771" s="43"/>
      <c r="CU771" s="43"/>
      <c r="CV771" s="43"/>
      <c r="CW771" s="43"/>
      <c r="CX771" s="43"/>
      <c r="CY771" s="43"/>
      <c r="CZ771" s="43"/>
      <c r="DA771" s="43"/>
      <c r="DB771" s="43"/>
      <c r="DC771" s="43"/>
      <c r="DD771" s="43"/>
      <c r="DE771" s="43"/>
      <c r="DF771" s="43"/>
      <c r="DG771" s="43"/>
      <c r="DH771" s="43"/>
      <c r="DI771" s="43"/>
      <c r="DJ771" s="43"/>
      <c r="DK771" s="43"/>
      <c r="DL771" s="43"/>
      <c r="DM771" s="43"/>
      <c r="DN771" s="43"/>
      <c r="DO771" s="43"/>
      <c r="DP771" s="43"/>
      <c r="DQ771" s="43"/>
      <c r="DR771" s="43"/>
      <c r="DS771" s="43"/>
    </row>
    <row r="772" spans="1:123" ht="14.45">
      <c r="A772"/>
      <c r="B772"/>
      <c r="C772"/>
      <c r="D772"/>
      <c r="E772"/>
      <c r="F772"/>
      <c r="G772"/>
      <c r="H772"/>
      <c r="I772"/>
      <c r="J772"/>
      <c r="K772" s="43"/>
      <c r="L772" s="43"/>
      <c r="M772" s="43"/>
      <c r="N772" s="43"/>
      <c r="O772" s="43"/>
      <c r="P772" s="43"/>
      <c r="Q772" s="43"/>
      <c r="R772" s="43"/>
      <c r="S772" s="43"/>
      <c r="T772" s="43"/>
      <c r="U772" s="43"/>
      <c r="V772" s="43"/>
      <c r="W772" s="43"/>
      <c r="X772" s="43"/>
      <c r="Y772" s="43"/>
      <c r="Z772" s="43"/>
      <c r="AA772" s="43"/>
      <c r="AB772" s="43"/>
      <c r="AC772" s="43"/>
      <c r="AD772" s="43"/>
      <c r="AE772" s="43"/>
      <c r="AF772" s="43"/>
      <c r="AG772" s="43"/>
      <c r="AH772" s="43"/>
      <c r="AI772" s="43"/>
      <c r="AJ772" s="43"/>
      <c r="AK772" s="43"/>
      <c r="AL772" s="43"/>
      <c r="AM772" s="43"/>
      <c r="AN772" s="43"/>
      <c r="AO772" s="43"/>
      <c r="AP772" s="43"/>
      <c r="AQ772" s="43"/>
      <c r="AR772" s="43"/>
      <c r="AS772" s="43"/>
      <c r="AT772" s="43"/>
      <c r="AU772" s="43"/>
      <c r="AV772" s="43"/>
      <c r="AW772" s="43"/>
      <c r="AX772" s="43"/>
      <c r="AY772" s="43"/>
      <c r="AZ772" s="43"/>
      <c r="BA772" s="43"/>
      <c r="BB772" s="43"/>
      <c r="BC772" s="43"/>
      <c r="BD772" s="43"/>
      <c r="BE772" s="43"/>
      <c r="BF772" s="43"/>
      <c r="BG772" s="43"/>
      <c r="BH772" s="43"/>
      <c r="BI772" s="43"/>
      <c r="BJ772" s="43"/>
      <c r="BK772" s="43"/>
      <c r="BL772" s="43"/>
      <c r="BM772" s="43"/>
      <c r="BN772" s="43"/>
      <c r="BO772" s="43"/>
      <c r="BP772" s="43"/>
      <c r="BQ772" s="43"/>
      <c r="BR772" s="43"/>
      <c r="BS772" s="43"/>
      <c r="BT772" s="43"/>
      <c r="BU772" s="43"/>
      <c r="BV772" s="43"/>
      <c r="BW772" s="43"/>
      <c r="BX772" s="43"/>
      <c r="BY772" s="43"/>
      <c r="BZ772" s="43"/>
      <c r="CA772" s="43"/>
      <c r="CB772" s="43"/>
      <c r="CC772" s="43"/>
      <c r="CD772" s="43"/>
      <c r="CE772" s="43"/>
      <c r="CF772" s="43"/>
      <c r="CG772" s="43"/>
      <c r="CH772" s="43"/>
      <c r="CI772" s="43"/>
      <c r="CJ772" s="43"/>
      <c r="CK772" s="43"/>
      <c r="CL772" s="43"/>
      <c r="CM772" s="43"/>
      <c r="CN772" s="43"/>
      <c r="CO772" s="43"/>
      <c r="CP772" s="43"/>
      <c r="CQ772" s="43"/>
      <c r="CR772" s="43"/>
      <c r="CS772" s="43"/>
      <c r="CT772" s="43"/>
      <c r="CU772" s="43"/>
      <c r="CV772" s="43"/>
      <c r="CW772" s="43"/>
      <c r="CX772" s="43"/>
      <c r="CY772" s="43"/>
      <c r="CZ772" s="43"/>
      <c r="DA772" s="43"/>
      <c r="DB772" s="43"/>
      <c r="DC772" s="43"/>
      <c r="DD772" s="43"/>
      <c r="DE772" s="43"/>
      <c r="DF772" s="43"/>
      <c r="DG772" s="43"/>
      <c r="DH772" s="43"/>
      <c r="DI772" s="43"/>
      <c r="DJ772" s="43"/>
      <c r="DK772" s="43"/>
      <c r="DL772" s="43"/>
      <c r="DM772" s="43"/>
      <c r="DN772" s="43"/>
      <c r="DO772" s="43"/>
      <c r="DP772" s="43"/>
      <c r="DQ772" s="43"/>
      <c r="DR772" s="43"/>
      <c r="DS772" s="43"/>
    </row>
    <row r="773" spans="1:123" ht="14.45">
      <c r="A773"/>
      <c r="B773"/>
      <c r="C773"/>
      <c r="D773"/>
      <c r="E773"/>
      <c r="F773"/>
      <c r="G773"/>
      <c r="H773"/>
      <c r="I773"/>
      <c r="J773"/>
      <c r="K773" s="43"/>
      <c r="L773" s="43"/>
      <c r="M773" s="43"/>
      <c r="N773" s="43"/>
      <c r="O773" s="43"/>
      <c r="P773" s="43"/>
      <c r="Q773" s="43"/>
      <c r="R773" s="43"/>
      <c r="S773" s="43"/>
      <c r="T773" s="43"/>
      <c r="U773" s="43"/>
      <c r="V773" s="43"/>
      <c r="W773" s="43"/>
      <c r="X773" s="43"/>
      <c r="Y773" s="43"/>
      <c r="Z773" s="43"/>
      <c r="AA773" s="43"/>
      <c r="AB773" s="43"/>
      <c r="AC773" s="43"/>
      <c r="AD773" s="43"/>
      <c r="AE773" s="43"/>
      <c r="AF773" s="43"/>
      <c r="AG773" s="43"/>
      <c r="AH773" s="43"/>
      <c r="AI773" s="43"/>
      <c r="AJ773" s="43"/>
      <c r="AK773" s="43"/>
      <c r="AL773" s="43"/>
      <c r="AM773" s="43"/>
      <c r="AN773" s="43"/>
      <c r="AO773" s="43"/>
      <c r="AP773" s="43"/>
      <c r="AQ773" s="43"/>
      <c r="AR773" s="43"/>
      <c r="AS773" s="43"/>
      <c r="AT773" s="43"/>
      <c r="AU773" s="43"/>
      <c r="AV773" s="43"/>
      <c r="AW773" s="43"/>
      <c r="AX773" s="43"/>
      <c r="AY773" s="43"/>
      <c r="AZ773" s="43"/>
      <c r="BA773" s="43"/>
      <c r="BB773" s="43"/>
      <c r="BC773" s="43"/>
      <c r="BD773" s="43"/>
      <c r="BE773" s="43"/>
      <c r="BF773" s="43"/>
      <c r="BG773" s="43"/>
      <c r="BH773" s="43"/>
      <c r="BI773" s="43"/>
      <c r="BJ773" s="43"/>
      <c r="BK773" s="43"/>
      <c r="BL773" s="43"/>
      <c r="BM773" s="43"/>
      <c r="BN773" s="43"/>
      <c r="BO773" s="43"/>
      <c r="BP773" s="43"/>
      <c r="BQ773" s="43"/>
      <c r="BR773" s="43"/>
      <c r="BS773" s="43"/>
      <c r="BT773" s="43"/>
      <c r="BU773" s="43"/>
      <c r="BV773" s="43"/>
      <c r="BW773" s="43"/>
      <c r="BX773" s="43"/>
      <c r="BY773" s="43"/>
      <c r="BZ773" s="43"/>
      <c r="CA773" s="43"/>
      <c r="CB773" s="43"/>
      <c r="CC773" s="43"/>
      <c r="CD773" s="43"/>
      <c r="CE773" s="43"/>
      <c r="CF773" s="43"/>
      <c r="CG773" s="43"/>
      <c r="CH773" s="43"/>
      <c r="CI773" s="43"/>
      <c r="CJ773" s="43"/>
      <c r="CK773" s="43"/>
      <c r="CL773" s="43"/>
      <c r="CM773" s="43"/>
      <c r="CN773" s="43"/>
      <c r="CO773" s="43"/>
      <c r="CP773" s="43"/>
      <c r="CQ773" s="43"/>
      <c r="CR773" s="43"/>
      <c r="CS773" s="43"/>
      <c r="CT773" s="43"/>
      <c r="CU773" s="43"/>
      <c r="CV773" s="43"/>
      <c r="CW773" s="43"/>
      <c r="CX773" s="43"/>
      <c r="CY773" s="43"/>
      <c r="CZ773" s="43"/>
      <c r="DA773" s="43"/>
      <c r="DB773" s="43"/>
      <c r="DC773" s="43"/>
      <c r="DD773" s="43"/>
      <c r="DE773" s="43"/>
      <c r="DF773" s="43"/>
      <c r="DG773" s="43"/>
      <c r="DH773" s="43"/>
      <c r="DI773" s="43"/>
      <c r="DJ773" s="43"/>
      <c r="DK773" s="43"/>
      <c r="DL773" s="43"/>
      <c r="DM773" s="43"/>
      <c r="DN773" s="43"/>
      <c r="DO773" s="43"/>
      <c r="DP773" s="43"/>
      <c r="DQ773" s="43"/>
      <c r="DR773" s="43"/>
      <c r="DS773" s="43"/>
    </row>
    <row r="774" spans="1:123" ht="14.45">
      <c r="A774"/>
      <c r="B774"/>
      <c r="C774"/>
      <c r="D774"/>
      <c r="E774"/>
      <c r="F774"/>
      <c r="G774"/>
      <c r="H774"/>
      <c r="I774"/>
      <c r="J774"/>
      <c r="K774" s="43"/>
      <c r="L774" s="43"/>
      <c r="M774" s="43"/>
      <c r="N774" s="43"/>
      <c r="O774" s="43"/>
      <c r="P774" s="43"/>
      <c r="Q774" s="43"/>
      <c r="R774" s="43"/>
      <c r="S774" s="43"/>
      <c r="T774" s="43"/>
      <c r="U774" s="43"/>
      <c r="V774" s="43"/>
      <c r="W774" s="43"/>
      <c r="X774" s="43"/>
      <c r="Y774" s="43"/>
      <c r="Z774" s="43"/>
      <c r="AA774" s="43"/>
      <c r="AB774" s="43"/>
      <c r="AC774" s="43"/>
      <c r="AD774" s="43"/>
      <c r="AE774" s="43"/>
      <c r="AF774" s="43"/>
      <c r="AG774" s="43"/>
      <c r="AH774" s="43"/>
      <c r="AI774" s="43"/>
      <c r="AJ774" s="43"/>
      <c r="AK774" s="43"/>
      <c r="AL774" s="43"/>
      <c r="AM774" s="43"/>
      <c r="AN774" s="43"/>
      <c r="AO774" s="43"/>
      <c r="AP774" s="43"/>
      <c r="AQ774" s="43"/>
      <c r="AR774" s="43"/>
      <c r="AS774" s="43"/>
      <c r="AT774" s="43"/>
      <c r="AU774" s="43"/>
      <c r="AV774" s="43"/>
      <c r="AW774" s="43"/>
      <c r="AX774" s="43"/>
      <c r="AY774" s="43"/>
      <c r="AZ774" s="43"/>
      <c r="BA774" s="43"/>
      <c r="BB774" s="43"/>
      <c r="BC774" s="43"/>
      <c r="BD774" s="43"/>
      <c r="BE774" s="43"/>
      <c r="BF774" s="43"/>
      <c r="BG774" s="43"/>
      <c r="BH774" s="43"/>
      <c r="BI774" s="43"/>
      <c r="BJ774" s="43"/>
      <c r="BK774" s="43"/>
      <c r="BL774" s="43"/>
      <c r="BM774" s="43"/>
      <c r="BN774" s="43"/>
      <c r="BO774" s="43"/>
      <c r="BP774" s="43"/>
      <c r="BQ774" s="43"/>
      <c r="BR774" s="43"/>
      <c r="BS774" s="43"/>
      <c r="BT774" s="43"/>
      <c r="BU774" s="43"/>
      <c r="BV774" s="43"/>
      <c r="BW774" s="43"/>
      <c r="BX774" s="43"/>
      <c r="BY774" s="43"/>
      <c r="BZ774" s="43"/>
      <c r="CA774" s="43"/>
      <c r="CB774" s="43"/>
      <c r="CC774" s="43"/>
      <c r="CD774" s="43"/>
      <c r="CE774" s="43"/>
      <c r="CF774" s="43"/>
      <c r="CG774" s="43"/>
      <c r="CH774" s="43"/>
      <c r="CI774" s="43"/>
      <c r="CJ774" s="43"/>
      <c r="CK774" s="43"/>
      <c r="CL774" s="43"/>
      <c r="CM774" s="43"/>
      <c r="CN774" s="43"/>
      <c r="CO774" s="43"/>
      <c r="CP774" s="43"/>
      <c r="CQ774" s="43"/>
      <c r="CR774" s="43"/>
      <c r="CS774" s="43"/>
      <c r="CT774" s="43"/>
      <c r="CU774" s="43"/>
      <c r="CV774" s="43"/>
      <c r="CW774" s="43"/>
      <c r="CX774" s="43"/>
      <c r="CY774" s="43"/>
      <c r="CZ774" s="43"/>
      <c r="DA774" s="43"/>
      <c r="DB774" s="43"/>
      <c r="DC774" s="43"/>
      <c r="DD774" s="43"/>
      <c r="DE774" s="43"/>
      <c r="DF774" s="43"/>
      <c r="DG774" s="43"/>
      <c r="DH774" s="43"/>
      <c r="DI774" s="43"/>
      <c r="DJ774" s="43"/>
      <c r="DK774" s="43"/>
      <c r="DL774" s="43"/>
      <c r="DM774" s="43"/>
      <c r="DN774" s="43"/>
      <c r="DO774" s="43"/>
      <c r="DP774" s="43"/>
      <c r="DQ774" s="43"/>
      <c r="DR774" s="43"/>
      <c r="DS774" s="43"/>
    </row>
    <row r="775" spans="1:123" ht="14.45">
      <c r="A775"/>
      <c r="B775"/>
      <c r="C775"/>
      <c r="D775"/>
      <c r="E775"/>
      <c r="F775"/>
      <c r="G775"/>
      <c r="H775"/>
      <c r="I775"/>
      <c r="J775"/>
      <c r="K775" s="43"/>
      <c r="L775" s="43"/>
      <c r="M775" s="43"/>
      <c r="N775" s="43"/>
      <c r="O775" s="43"/>
      <c r="P775" s="43"/>
      <c r="Q775" s="43"/>
      <c r="R775" s="43"/>
      <c r="S775" s="43"/>
      <c r="T775" s="43"/>
      <c r="U775" s="43"/>
      <c r="V775" s="43"/>
      <c r="W775" s="43"/>
      <c r="X775" s="43"/>
      <c r="Y775" s="43"/>
      <c r="Z775" s="43"/>
      <c r="AA775" s="43"/>
      <c r="AB775" s="43"/>
      <c r="AC775" s="43"/>
      <c r="AD775" s="43"/>
      <c r="AE775" s="43"/>
      <c r="AF775" s="43"/>
      <c r="AG775" s="43"/>
      <c r="AH775" s="43"/>
      <c r="AI775" s="43"/>
      <c r="AJ775" s="43"/>
      <c r="AK775" s="43"/>
      <c r="AL775" s="43"/>
      <c r="AM775" s="43"/>
      <c r="AN775" s="43"/>
      <c r="AO775" s="43"/>
      <c r="AP775" s="43"/>
      <c r="AQ775" s="43"/>
      <c r="AR775" s="43"/>
      <c r="AS775" s="43"/>
      <c r="AT775" s="43"/>
      <c r="AU775" s="43"/>
      <c r="AV775" s="43"/>
      <c r="AW775" s="43"/>
      <c r="AX775" s="43"/>
      <c r="AY775" s="43"/>
      <c r="AZ775" s="43"/>
      <c r="BA775" s="43"/>
      <c r="BB775" s="43"/>
      <c r="BC775" s="43"/>
      <c r="BD775" s="43"/>
      <c r="BE775" s="43"/>
      <c r="BF775" s="43"/>
      <c r="BG775" s="43"/>
      <c r="BH775" s="43"/>
      <c r="BI775" s="43"/>
      <c r="BJ775" s="43"/>
      <c r="BK775" s="43"/>
      <c r="BL775" s="43"/>
      <c r="BM775" s="43"/>
      <c r="BN775" s="43"/>
      <c r="BO775" s="43"/>
      <c r="BP775" s="43"/>
      <c r="BQ775" s="43"/>
      <c r="BR775" s="43"/>
      <c r="BS775" s="43"/>
      <c r="BT775" s="43"/>
      <c r="BU775" s="43"/>
      <c r="BV775" s="43"/>
      <c r="BW775" s="43"/>
      <c r="BX775" s="43"/>
      <c r="BY775" s="43"/>
      <c r="BZ775" s="43"/>
      <c r="CA775" s="43"/>
      <c r="CB775" s="43"/>
      <c r="CC775" s="43"/>
      <c r="CD775" s="43"/>
      <c r="CE775" s="43"/>
      <c r="CF775" s="43"/>
      <c r="CG775" s="43"/>
      <c r="CH775" s="43"/>
      <c r="CI775" s="43"/>
      <c r="CJ775" s="43"/>
      <c r="CK775" s="43"/>
      <c r="CL775" s="43"/>
      <c r="CM775" s="43"/>
      <c r="CN775" s="43"/>
      <c r="CO775" s="43"/>
      <c r="CP775" s="43"/>
      <c r="CQ775" s="43"/>
      <c r="CR775" s="43"/>
      <c r="CS775" s="43"/>
      <c r="CT775" s="43"/>
      <c r="CU775" s="43"/>
      <c r="CV775" s="43"/>
      <c r="CW775" s="43"/>
      <c r="CX775" s="43"/>
      <c r="CY775" s="43"/>
      <c r="CZ775" s="43"/>
      <c r="DA775" s="43"/>
      <c r="DB775" s="43"/>
      <c r="DC775" s="43"/>
      <c r="DD775" s="43"/>
      <c r="DE775" s="43"/>
      <c r="DF775" s="43"/>
      <c r="DG775" s="43"/>
      <c r="DH775" s="43"/>
      <c r="DI775" s="43"/>
      <c r="DJ775" s="43"/>
      <c r="DK775" s="43"/>
      <c r="DL775" s="43"/>
      <c r="DM775" s="43"/>
      <c r="DN775" s="43"/>
      <c r="DO775" s="43"/>
      <c r="DP775" s="43"/>
      <c r="DQ775" s="43"/>
      <c r="DR775" s="43"/>
      <c r="DS775" s="43"/>
    </row>
    <row r="776" spans="1:123" ht="14.45">
      <c r="A776"/>
      <c r="B776"/>
      <c r="C776"/>
      <c r="D776"/>
      <c r="E776"/>
      <c r="F776"/>
      <c r="G776"/>
      <c r="H776"/>
      <c r="I776"/>
      <c r="J776"/>
      <c r="K776" s="43"/>
      <c r="L776" s="43"/>
      <c r="M776" s="43"/>
      <c r="N776" s="43"/>
      <c r="O776" s="43"/>
      <c r="P776" s="43"/>
      <c r="Q776" s="43"/>
      <c r="R776" s="43"/>
      <c r="S776" s="43"/>
      <c r="T776" s="43"/>
      <c r="U776" s="43"/>
      <c r="V776" s="43"/>
      <c r="W776" s="43"/>
      <c r="X776" s="43"/>
      <c r="Y776" s="43"/>
      <c r="Z776" s="43"/>
      <c r="AA776" s="43"/>
      <c r="AB776" s="43"/>
      <c r="AC776" s="43"/>
      <c r="AD776" s="43"/>
      <c r="AE776" s="43"/>
      <c r="AF776" s="43"/>
      <c r="AG776" s="43"/>
      <c r="AH776" s="43"/>
      <c r="AI776" s="43"/>
      <c r="AJ776" s="43"/>
      <c r="AK776" s="43"/>
      <c r="AL776" s="43"/>
      <c r="AM776" s="43"/>
      <c r="AN776" s="43"/>
      <c r="AO776" s="43"/>
      <c r="AP776" s="43"/>
      <c r="AQ776" s="43"/>
      <c r="AR776" s="43"/>
      <c r="AS776" s="43"/>
      <c r="AT776" s="43"/>
      <c r="AU776" s="43"/>
      <c r="AV776" s="43"/>
      <c r="AW776" s="43"/>
      <c r="AX776" s="43"/>
      <c r="AY776" s="43"/>
      <c r="AZ776" s="43"/>
      <c r="BA776" s="43"/>
      <c r="BB776" s="43"/>
      <c r="BC776" s="43"/>
      <c r="BD776" s="43"/>
      <c r="BE776" s="43"/>
      <c r="BF776" s="43"/>
      <c r="BG776" s="43"/>
      <c r="BH776" s="43"/>
      <c r="BI776" s="43"/>
      <c r="BJ776" s="43"/>
      <c r="BK776" s="43"/>
      <c r="BL776" s="43"/>
      <c r="BM776" s="43"/>
      <c r="BN776" s="43"/>
      <c r="BO776" s="43"/>
      <c r="BP776" s="43"/>
      <c r="BQ776" s="43"/>
      <c r="BR776" s="43"/>
      <c r="BS776" s="43"/>
      <c r="BT776" s="43"/>
      <c r="BU776" s="43"/>
      <c r="BV776" s="43"/>
      <c r="BW776" s="43"/>
      <c r="BX776" s="43"/>
      <c r="BY776" s="43"/>
      <c r="BZ776" s="43"/>
      <c r="CA776" s="43"/>
      <c r="CB776" s="43"/>
      <c r="CC776" s="43"/>
      <c r="CD776" s="43"/>
      <c r="CE776" s="43"/>
      <c r="CF776" s="43"/>
      <c r="CG776" s="43"/>
      <c r="CH776" s="43"/>
      <c r="CI776" s="43"/>
      <c r="CJ776" s="43"/>
      <c r="CK776" s="43"/>
      <c r="CL776" s="43"/>
      <c r="CM776" s="43"/>
      <c r="CN776" s="43"/>
      <c r="CO776" s="43"/>
      <c r="CP776" s="43"/>
      <c r="CQ776" s="43"/>
      <c r="CR776" s="43"/>
      <c r="CS776" s="43"/>
      <c r="CT776" s="43"/>
      <c r="CU776" s="43"/>
      <c r="CV776" s="43"/>
      <c r="CW776" s="43"/>
      <c r="CX776" s="43"/>
      <c r="CY776" s="43"/>
      <c r="CZ776" s="43"/>
      <c r="DA776" s="43"/>
      <c r="DB776" s="43"/>
      <c r="DC776" s="43"/>
      <c r="DD776" s="43"/>
      <c r="DE776" s="43"/>
      <c r="DF776" s="43"/>
      <c r="DG776" s="43"/>
      <c r="DH776" s="43"/>
      <c r="DI776" s="43"/>
      <c r="DJ776" s="43"/>
      <c r="DK776" s="43"/>
      <c r="DL776" s="43"/>
      <c r="DM776" s="43"/>
      <c r="DN776" s="43"/>
      <c r="DO776" s="43"/>
      <c r="DP776" s="43"/>
      <c r="DQ776" s="43"/>
      <c r="DR776" s="43"/>
      <c r="DS776" s="43"/>
    </row>
    <row r="777" spans="1:123" ht="14.45">
      <c r="A777"/>
      <c r="B777"/>
      <c r="C777"/>
      <c r="D777"/>
      <c r="E777"/>
      <c r="F777"/>
      <c r="G777"/>
      <c r="H777"/>
      <c r="I777"/>
      <c r="J777"/>
      <c r="K777" s="43"/>
      <c r="L777" s="43"/>
      <c r="M777" s="43"/>
      <c r="N777" s="43"/>
      <c r="O777" s="43"/>
      <c r="P777" s="43"/>
      <c r="Q777" s="43"/>
      <c r="R777" s="43"/>
      <c r="S777" s="43"/>
      <c r="T777" s="43"/>
      <c r="U777" s="43"/>
      <c r="V777" s="43"/>
      <c r="W777" s="43"/>
      <c r="X777" s="43"/>
      <c r="Y777" s="43"/>
      <c r="Z777" s="43"/>
      <c r="AA777" s="43"/>
      <c r="AB777" s="43"/>
      <c r="AC777" s="43"/>
      <c r="AD777" s="43"/>
      <c r="AE777" s="43"/>
      <c r="AF777" s="43"/>
      <c r="AG777" s="43"/>
      <c r="AH777" s="43"/>
      <c r="AI777" s="43"/>
      <c r="AJ777" s="43"/>
      <c r="AK777" s="43"/>
      <c r="AL777" s="43"/>
      <c r="AM777" s="43"/>
      <c r="AN777" s="43"/>
      <c r="AO777" s="43"/>
      <c r="AP777" s="43"/>
      <c r="AQ777" s="43"/>
      <c r="AR777" s="43"/>
      <c r="AS777" s="43"/>
      <c r="AT777" s="43"/>
      <c r="AU777" s="43"/>
      <c r="AV777" s="43"/>
      <c r="AW777" s="43"/>
      <c r="AX777" s="43"/>
      <c r="AY777" s="43"/>
      <c r="AZ777" s="43"/>
      <c r="BA777" s="43"/>
      <c r="BB777" s="43"/>
      <c r="BC777" s="43"/>
      <c r="BD777" s="43"/>
      <c r="BE777" s="43"/>
      <c r="BF777" s="43"/>
      <c r="BG777" s="43"/>
      <c r="BH777" s="43"/>
      <c r="BI777" s="43"/>
      <c r="BJ777" s="43"/>
      <c r="BK777" s="43"/>
      <c r="BL777" s="43"/>
      <c r="BM777" s="43"/>
      <c r="BN777" s="43"/>
      <c r="BO777" s="43"/>
      <c r="BP777" s="43"/>
      <c r="BQ777" s="43"/>
      <c r="BR777" s="43"/>
      <c r="BS777" s="43"/>
      <c r="BT777" s="43"/>
      <c r="BU777" s="43"/>
      <c r="BV777" s="43"/>
      <c r="BW777" s="43"/>
      <c r="BX777" s="43"/>
      <c r="BY777" s="43"/>
      <c r="BZ777" s="43"/>
      <c r="CA777" s="43"/>
      <c r="CB777" s="43"/>
      <c r="CC777" s="43"/>
      <c r="CD777" s="43"/>
      <c r="CE777" s="43"/>
      <c r="CF777" s="43"/>
      <c r="CG777" s="43"/>
      <c r="CH777" s="43"/>
      <c r="CI777" s="43"/>
      <c r="CJ777" s="43"/>
      <c r="CK777" s="43"/>
      <c r="CL777" s="43"/>
      <c r="CM777" s="43"/>
      <c r="CN777" s="43"/>
      <c r="CO777" s="43"/>
      <c r="CP777" s="43"/>
      <c r="CQ777" s="43"/>
      <c r="CR777" s="43"/>
      <c r="CS777" s="43"/>
      <c r="CT777" s="43"/>
      <c r="CU777" s="43"/>
      <c r="CV777" s="43"/>
      <c r="CW777" s="43"/>
      <c r="CX777" s="43"/>
      <c r="CY777" s="43"/>
      <c r="CZ777" s="43"/>
      <c r="DA777" s="43"/>
      <c r="DB777" s="43"/>
      <c r="DC777" s="43"/>
      <c r="DD777" s="43"/>
      <c r="DE777" s="43"/>
      <c r="DF777" s="43"/>
      <c r="DG777" s="43"/>
      <c r="DH777" s="43"/>
      <c r="DI777" s="43"/>
      <c r="DJ777" s="43"/>
      <c r="DK777" s="43"/>
      <c r="DL777" s="43"/>
      <c r="DM777" s="43"/>
      <c r="DN777" s="43"/>
      <c r="DO777" s="43"/>
      <c r="DP777" s="43"/>
      <c r="DQ777" s="43"/>
      <c r="DR777" s="43"/>
      <c r="DS777" s="43"/>
    </row>
    <row r="778" spans="1:123" ht="14.45">
      <c r="A778"/>
      <c r="B778"/>
      <c r="C778"/>
      <c r="D778"/>
      <c r="E778"/>
      <c r="F778"/>
      <c r="G778"/>
      <c r="H778"/>
      <c r="I778"/>
      <c r="J778"/>
      <c r="K778" s="43"/>
      <c r="L778" s="43"/>
      <c r="M778" s="43"/>
      <c r="N778" s="43"/>
      <c r="O778" s="43"/>
      <c r="P778" s="43"/>
      <c r="Q778" s="43"/>
      <c r="R778" s="43"/>
      <c r="S778" s="43"/>
      <c r="T778" s="43"/>
      <c r="U778" s="43"/>
      <c r="V778" s="43"/>
      <c r="W778" s="43"/>
      <c r="X778" s="43"/>
      <c r="Y778" s="43"/>
      <c r="Z778" s="43"/>
      <c r="AA778" s="43"/>
      <c r="AB778" s="43"/>
      <c r="AC778" s="43"/>
      <c r="AD778" s="43"/>
      <c r="AE778" s="43"/>
      <c r="AF778" s="43"/>
      <c r="AG778" s="43"/>
      <c r="AH778" s="43"/>
      <c r="AI778" s="43"/>
      <c r="AJ778" s="43"/>
      <c r="AK778" s="43"/>
      <c r="AL778" s="43"/>
      <c r="AM778" s="43"/>
      <c r="AN778" s="43"/>
      <c r="AO778" s="43"/>
      <c r="AP778" s="43"/>
      <c r="AQ778" s="43"/>
      <c r="AR778" s="43"/>
      <c r="AS778" s="43"/>
      <c r="AT778" s="43"/>
      <c r="AU778" s="43"/>
      <c r="AV778" s="43"/>
      <c r="AW778" s="43"/>
      <c r="AX778" s="43"/>
      <c r="AY778" s="43"/>
      <c r="AZ778" s="43"/>
      <c r="BA778" s="43"/>
      <c r="BB778" s="43"/>
      <c r="BC778" s="43"/>
      <c r="BD778" s="43"/>
      <c r="BE778" s="43"/>
      <c r="BF778" s="43"/>
      <c r="BG778" s="43"/>
      <c r="BH778" s="43"/>
      <c r="BI778" s="43"/>
      <c r="BJ778" s="43"/>
      <c r="BK778" s="43"/>
      <c r="BL778" s="43"/>
      <c r="BM778" s="43"/>
      <c r="BN778" s="43"/>
      <c r="BO778" s="43"/>
      <c r="BP778" s="43"/>
      <c r="BQ778" s="43"/>
      <c r="BR778" s="43"/>
      <c r="BS778" s="43"/>
      <c r="BT778" s="43"/>
      <c r="BU778" s="43"/>
      <c r="BV778" s="43"/>
      <c r="BW778" s="43"/>
      <c r="BX778" s="43"/>
      <c r="BY778" s="43"/>
      <c r="BZ778" s="43"/>
      <c r="CA778" s="43"/>
      <c r="CB778" s="43"/>
      <c r="CC778" s="43"/>
      <c r="CD778" s="43"/>
      <c r="CE778" s="43"/>
      <c r="CF778" s="43"/>
      <c r="CG778" s="43"/>
      <c r="CH778" s="43"/>
      <c r="CI778" s="43"/>
      <c r="CJ778" s="43"/>
      <c r="CK778" s="43"/>
      <c r="CL778" s="43"/>
      <c r="CM778" s="43"/>
      <c r="CN778" s="43"/>
      <c r="CO778" s="43"/>
      <c r="CP778" s="43"/>
      <c r="CQ778" s="43"/>
      <c r="CR778" s="43"/>
      <c r="CS778" s="43"/>
      <c r="CT778" s="43"/>
      <c r="CU778" s="43"/>
      <c r="CV778" s="43"/>
      <c r="CW778" s="43"/>
      <c r="CX778" s="43"/>
      <c r="CY778" s="43"/>
      <c r="CZ778" s="43"/>
      <c r="DA778" s="43"/>
      <c r="DB778" s="43"/>
      <c r="DC778" s="43"/>
      <c r="DD778" s="43"/>
      <c r="DE778" s="43"/>
      <c r="DF778" s="43"/>
      <c r="DG778" s="43"/>
      <c r="DH778" s="43"/>
      <c r="DI778" s="43"/>
      <c r="DJ778" s="43"/>
      <c r="DK778" s="43"/>
      <c r="DL778" s="43"/>
      <c r="DM778" s="43"/>
      <c r="DN778" s="43"/>
      <c r="DO778" s="43"/>
      <c r="DP778" s="43"/>
      <c r="DQ778" s="43"/>
      <c r="DR778" s="43"/>
      <c r="DS778" s="43"/>
    </row>
    <row r="779" spans="1:123" ht="14.45">
      <c r="A779"/>
      <c r="B779"/>
      <c r="C779"/>
      <c r="D779"/>
      <c r="E779"/>
      <c r="F779"/>
      <c r="G779"/>
      <c r="H779"/>
      <c r="I779"/>
      <c r="J779"/>
      <c r="K779" s="43"/>
      <c r="L779" s="43"/>
      <c r="M779" s="43"/>
      <c r="N779" s="43"/>
      <c r="O779" s="43"/>
      <c r="P779" s="43"/>
      <c r="Q779" s="43"/>
      <c r="R779" s="43"/>
      <c r="S779" s="43"/>
      <c r="T779" s="43"/>
      <c r="U779" s="43"/>
      <c r="V779" s="43"/>
      <c r="W779" s="43"/>
      <c r="X779" s="43"/>
      <c r="Y779" s="43"/>
      <c r="Z779" s="43"/>
      <c r="AA779" s="43"/>
      <c r="AB779" s="43"/>
      <c r="AC779" s="43"/>
      <c r="AD779" s="43"/>
      <c r="AE779" s="43"/>
      <c r="AF779" s="43"/>
      <c r="AG779" s="43"/>
      <c r="AH779" s="43"/>
      <c r="AI779" s="43"/>
      <c r="AJ779" s="43"/>
      <c r="AK779" s="43"/>
      <c r="AL779" s="43"/>
      <c r="AM779" s="43"/>
      <c r="AN779" s="43"/>
      <c r="AO779" s="43"/>
      <c r="AP779" s="43"/>
      <c r="AQ779" s="43"/>
      <c r="AR779" s="43"/>
      <c r="AS779" s="43"/>
      <c r="AT779" s="43"/>
      <c r="AU779" s="43"/>
      <c r="AV779" s="43"/>
      <c r="AW779" s="43"/>
      <c r="AX779" s="43"/>
      <c r="AY779" s="43"/>
      <c r="AZ779" s="43"/>
      <c r="BA779" s="43"/>
      <c r="BB779" s="43"/>
      <c r="BC779" s="43"/>
      <c r="BD779" s="43"/>
      <c r="BE779" s="43"/>
      <c r="BF779" s="43"/>
      <c r="BG779" s="43"/>
      <c r="BH779" s="43"/>
      <c r="BI779" s="43"/>
      <c r="BJ779" s="43"/>
      <c r="BK779" s="43"/>
      <c r="BL779" s="43"/>
      <c r="BM779" s="43"/>
      <c r="BN779" s="43"/>
      <c r="BO779" s="43"/>
      <c r="BP779" s="43"/>
      <c r="BQ779" s="43"/>
      <c r="BR779" s="43"/>
      <c r="BS779" s="43"/>
      <c r="BT779" s="43"/>
      <c r="BU779" s="43"/>
      <c r="BV779" s="43"/>
      <c r="BW779" s="43"/>
      <c r="BX779" s="43"/>
      <c r="BY779" s="43"/>
      <c r="BZ779" s="43"/>
      <c r="CA779" s="43"/>
      <c r="CB779" s="43"/>
      <c r="CC779" s="43"/>
      <c r="CD779" s="43"/>
      <c r="CE779" s="43"/>
      <c r="CF779" s="43"/>
      <c r="CG779" s="43"/>
      <c r="CH779" s="43"/>
      <c r="CI779" s="43"/>
      <c r="CJ779" s="43"/>
      <c r="CK779" s="43"/>
      <c r="CL779" s="43"/>
      <c r="CM779" s="43"/>
      <c r="CN779" s="43"/>
      <c r="CO779" s="43"/>
      <c r="CP779" s="43"/>
      <c r="CQ779" s="43"/>
      <c r="CR779" s="43"/>
      <c r="CS779" s="43"/>
      <c r="CT779" s="43"/>
      <c r="CU779" s="43"/>
      <c r="CV779" s="43"/>
      <c r="CW779" s="43"/>
      <c r="CX779" s="43"/>
      <c r="CY779" s="43"/>
      <c r="CZ779" s="43"/>
      <c r="DA779" s="43"/>
      <c r="DB779" s="43"/>
      <c r="DC779" s="43"/>
      <c r="DD779" s="43"/>
      <c r="DE779" s="43"/>
      <c r="DF779" s="43"/>
      <c r="DG779" s="43"/>
      <c r="DH779" s="43"/>
      <c r="DI779" s="43"/>
      <c r="DJ779" s="43"/>
      <c r="DK779" s="43"/>
      <c r="DL779" s="43"/>
      <c r="DM779" s="43"/>
      <c r="DN779" s="43"/>
      <c r="DO779" s="43"/>
      <c r="DP779" s="43"/>
      <c r="DQ779" s="43"/>
      <c r="DR779" s="43"/>
      <c r="DS779" s="43"/>
    </row>
    <row r="780" spans="1:123" ht="14.45">
      <c r="A780"/>
      <c r="B780"/>
      <c r="C780"/>
      <c r="D780"/>
      <c r="E780"/>
      <c r="F780"/>
      <c r="G780"/>
      <c r="H780"/>
      <c r="I780"/>
      <c r="J780"/>
      <c r="K780" s="43"/>
      <c r="L780" s="43"/>
      <c r="M780" s="43"/>
      <c r="N780" s="43"/>
      <c r="O780" s="43"/>
      <c r="P780" s="43"/>
      <c r="Q780" s="43"/>
      <c r="R780" s="43"/>
      <c r="S780" s="43"/>
      <c r="T780" s="43"/>
      <c r="U780" s="43"/>
      <c r="V780" s="43"/>
      <c r="W780" s="43"/>
      <c r="X780" s="43"/>
      <c r="Y780" s="43"/>
      <c r="Z780" s="43"/>
      <c r="AA780" s="43"/>
      <c r="AB780" s="43"/>
      <c r="AC780" s="43"/>
      <c r="AD780" s="43"/>
      <c r="AE780" s="43"/>
      <c r="AF780" s="43"/>
      <c r="AG780" s="43"/>
      <c r="AH780" s="43"/>
      <c r="AI780" s="43"/>
      <c r="AJ780" s="43"/>
      <c r="AK780" s="43"/>
      <c r="AL780" s="43"/>
      <c r="AM780" s="43"/>
      <c r="AN780" s="43"/>
      <c r="AO780" s="43"/>
      <c r="AP780" s="43"/>
      <c r="AQ780" s="43"/>
      <c r="AR780" s="43"/>
      <c r="AS780" s="43"/>
      <c r="AT780" s="43"/>
      <c r="AU780" s="43"/>
      <c r="AV780" s="43"/>
      <c r="AW780" s="43"/>
      <c r="AX780" s="43"/>
      <c r="AY780" s="43"/>
      <c r="AZ780" s="43"/>
      <c r="BA780" s="43"/>
      <c r="BB780" s="43"/>
      <c r="BC780" s="43"/>
      <c r="BD780" s="43"/>
      <c r="BE780" s="43"/>
      <c r="BF780" s="43"/>
      <c r="BG780" s="43"/>
      <c r="BH780" s="43"/>
      <c r="BI780" s="43"/>
      <c r="BJ780" s="43"/>
      <c r="BK780" s="43"/>
      <c r="BL780" s="43"/>
      <c r="BM780" s="43"/>
      <c r="BN780" s="43"/>
      <c r="BO780" s="43"/>
      <c r="BP780" s="43"/>
      <c r="BQ780" s="43"/>
      <c r="BR780" s="43"/>
      <c r="BS780" s="43"/>
      <c r="BT780" s="43"/>
      <c r="BU780" s="43"/>
      <c r="BV780" s="43"/>
      <c r="BW780" s="43"/>
      <c r="BX780" s="43"/>
      <c r="BY780" s="43"/>
      <c r="BZ780" s="43"/>
      <c r="CA780" s="43"/>
      <c r="CB780" s="43"/>
      <c r="CC780" s="43"/>
      <c r="CD780" s="43"/>
      <c r="CE780" s="43"/>
      <c r="CF780" s="43"/>
      <c r="CG780" s="43"/>
      <c r="CH780" s="43"/>
      <c r="CI780" s="43"/>
      <c r="CJ780" s="43"/>
      <c r="CK780" s="43"/>
      <c r="CL780" s="43"/>
      <c r="CM780" s="43"/>
      <c r="CN780" s="43"/>
      <c r="CO780" s="43"/>
      <c r="CP780" s="43"/>
      <c r="CQ780" s="43"/>
      <c r="CR780" s="43"/>
      <c r="CS780" s="43"/>
      <c r="CT780" s="43"/>
      <c r="CU780" s="43"/>
      <c r="CV780" s="43"/>
      <c r="CW780" s="43"/>
      <c r="CX780" s="43"/>
      <c r="CY780" s="43"/>
      <c r="CZ780" s="43"/>
      <c r="DA780" s="43"/>
      <c r="DB780" s="43"/>
      <c r="DC780" s="43"/>
      <c r="DD780" s="43"/>
      <c r="DE780" s="43"/>
      <c r="DF780" s="43"/>
      <c r="DG780" s="43"/>
      <c r="DH780" s="43"/>
      <c r="DI780" s="43"/>
      <c r="DJ780" s="43"/>
      <c r="DK780" s="43"/>
      <c r="DL780" s="43"/>
      <c r="DM780" s="43"/>
      <c r="DN780" s="43"/>
      <c r="DO780" s="43"/>
      <c r="DP780" s="43"/>
      <c r="DQ780" s="43"/>
      <c r="DR780" s="43"/>
      <c r="DS780" s="43"/>
    </row>
    <row r="781" spans="1:123" ht="14.45">
      <c r="A781"/>
      <c r="B781"/>
      <c r="C781"/>
      <c r="D781"/>
      <c r="E781"/>
      <c r="F781"/>
      <c r="G781"/>
      <c r="H781"/>
      <c r="I781"/>
      <c r="J781"/>
      <c r="K781" s="43"/>
      <c r="L781" s="43"/>
      <c r="M781" s="43"/>
      <c r="N781" s="43"/>
      <c r="O781" s="43"/>
      <c r="P781" s="43"/>
      <c r="Q781" s="43"/>
      <c r="R781" s="43"/>
      <c r="S781" s="43"/>
      <c r="T781" s="43"/>
      <c r="U781" s="43"/>
      <c r="V781" s="43"/>
      <c r="W781" s="43"/>
      <c r="X781" s="43"/>
      <c r="Y781" s="43"/>
      <c r="Z781" s="43"/>
      <c r="AA781" s="43"/>
      <c r="AB781" s="43"/>
      <c r="AC781" s="43"/>
      <c r="AD781" s="43"/>
      <c r="AE781" s="43"/>
      <c r="AF781" s="43"/>
      <c r="AG781" s="43"/>
      <c r="AH781" s="43"/>
      <c r="AI781" s="43"/>
      <c r="AJ781" s="43"/>
      <c r="AK781" s="43"/>
      <c r="AL781" s="43"/>
      <c r="AM781" s="43"/>
      <c r="AN781" s="43"/>
      <c r="AO781" s="43"/>
      <c r="AP781" s="43"/>
      <c r="AQ781" s="43"/>
      <c r="AR781" s="43"/>
      <c r="AS781" s="43"/>
      <c r="AT781" s="43"/>
      <c r="AU781" s="43"/>
      <c r="AV781" s="43"/>
      <c r="AW781" s="43"/>
      <c r="AX781" s="43"/>
      <c r="AY781" s="43"/>
      <c r="AZ781" s="43"/>
      <c r="BA781" s="43"/>
      <c r="BB781" s="43"/>
      <c r="BC781" s="43"/>
      <c r="BD781" s="43"/>
      <c r="BE781" s="43"/>
      <c r="BF781" s="43"/>
      <c r="BG781" s="43"/>
      <c r="BH781" s="43"/>
      <c r="BI781" s="43"/>
      <c r="BJ781" s="43"/>
      <c r="BK781" s="43"/>
      <c r="BL781" s="43"/>
      <c r="BM781" s="43"/>
      <c r="BN781" s="43"/>
      <c r="BO781" s="43"/>
      <c r="BP781" s="43"/>
      <c r="BQ781" s="43"/>
      <c r="BR781" s="43"/>
      <c r="BS781" s="43"/>
      <c r="BT781" s="43"/>
      <c r="BU781" s="43"/>
      <c r="BV781" s="43"/>
      <c r="BW781" s="43"/>
      <c r="BX781" s="43"/>
      <c r="BY781" s="43"/>
      <c r="BZ781" s="43"/>
      <c r="CA781" s="43"/>
      <c r="CB781" s="43"/>
      <c r="CC781" s="43"/>
      <c r="CD781" s="43"/>
      <c r="CE781" s="43"/>
      <c r="CF781" s="43"/>
      <c r="CG781" s="43"/>
      <c r="CH781" s="43"/>
      <c r="CI781" s="43"/>
      <c r="CJ781" s="43"/>
      <c r="CK781" s="43"/>
      <c r="CL781" s="43"/>
      <c r="CM781" s="43"/>
      <c r="CN781" s="43"/>
      <c r="CO781" s="43"/>
      <c r="CP781" s="43"/>
      <c r="CQ781" s="43"/>
      <c r="CR781" s="43"/>
      <c r="CS781" s="43"/>
      <c r="CT781" s="43"/>
      <c r="CU781" s="43"/>
      <c r="CV781" s="43"/>
      <c r="CW781" s="43"/>
      <c r="CX781" s="43"/>
      <c r="CY781" s="43"/>
      <c r="CZ781" s="43"/>
      <c r="DA781" s="43"/>
      <c r="DB781" s="43"/>
      <c r="DC781" s="43"/>
      <c r="DD781" s="43"/>
      <c r="DE781" s="43"/>
      <c r="DF781" s="43"/>
      <c r="DG781" s="43"/>
      <c r="DH781" s="43"/>
      <c r="DI781" s="43"/>
      <c r="DJ781" s="43"/>
      <c r="DK781" s="43"/>
      <c r="DL781" s="43"/>
      <c r="DM781" s="43"/>
      <c r="DN781" s="43"/>
      <c r="DO781" s="43"/>
      <c r="DP781" s="43"/>
      <c r="DQ781" s="43"/>
      <c r="DR781" s="43"/>
      <c r="DS781" s="43"/>
    </row>
    <row r="782" spans="1:123" ht="14.45">
      <c r="A782"/>
      <c r="B782"/>
      <c r="C782"/>
      <c r="D782"/>
      <c r="E782"/>
      <c r="F782"/>
      <c r="G782"/>
      <c r="H782"/>
      <c r="I782"/>
      <c r="J782"/>
      <c r="K782" s="43"/>
      <c r="L782" s="43"/>
      <c r="M782" s="43"/>
      <c r="N782" s="43"/>
      <c r="O782" s="43"/>
      <c r="P782" s="43"/>
      <c r="Q782" s="43"/>
      <c r="R782" s="43"/>
      <c r="S782" s="43"/>
      <c r="T782" s="43"/>
      <c r="U782" s="43"/>
      <c r="V782" s="43"/>
      <c r="W782" s="43"/>
      <c r="X782" s="43"/>
      <c r="Y782" s="43"/>
      <c r="Z782" s="43"/>
      <c r="AA782" s="43"/>
      <c r="AB782" s="43"/>
      <c r="AC782" s="43"/>
      <c r="AD782" s="43"/>
      <c r="AE782" s="43"/>
      <c r="AF782" s="43"/>
      <c r="AG782" s="43"/>
      <c r="AH782" s="43"/>
      <c r="AI782" s="43"/>
      <c r="AJ782" s="43"/>
      <c r="AK782" s="43"/>
      <c r="AL782" s="43"/>
      <c r="AM782" s="43"/>
      <c r="AN782" s="43"/>
      <c r="AO782" s="43"/>
      <c r="AP782" s="43"/>
      <c r="AQ782" s="43"/>
      <c r="AR782" s="43"/>
      <c r="AS782" s="43"/>
      <c r="AT782" s="43"/>
      <c r="AU782" s="43"/>
      <c r="AV782" s="43"/>
      <c r="AW782" s="43"/>
      <c r="AX782" s="43"/>
      <c r="AY782" s="43"/>
      <c r="AZ782" s="43"/>
      <c r="BA782" s="43"/>
      <c r="BB782" s="43"/>
      <c r="BC782" s="43"/>
      <c r="BD782" s="43"/>
      <c r="BE782" s="43"/>
      <c r="BF782" s="43"/>
      <c r="BG782" s="43"/>
      <c r="BH782" s="43"/>
      <c r="BI782" s="43"/>
      <c r="BJ782" s="43"/>
      <c r="BK782" s="43"/>
      <c r="BL782" s="43"/>
      <c r="BM782" s="43"/>
      <c r="BN782" s="43"/>
      <c r="BO782" s="43"/>
      <c r="BP782" s="43"/>
      <c r="BQ782" s="43"/>
      <c r="BR782" s="43"/>
      <c r="BS782" s="43"/>
      <c r="BT782" s="43"/>
      <c r="BU782" s="43"/>
      <c r="BV782" s="43"/>
      <c r="BW782" s="43"/>
      <c r="BX782" s="43"/>
      <c r="BY782" s="43"/>
      <c r="BZ782" s="43"/>
      <c r="CA782" s="43"/>
      <c r="CB782" s="43"/>
      <c r="CC782" s="43"/>
      <c r="CD782" s="43"/>
      <c r="CE782" s="43"/>
      <c r="CF782" s="43"/>
      <c r="CG782" s="43"/>
      <c r="CH782" s="43"/>
      <c r="CI782" s="43"/>
      <c r="CJ782" s="43"/>
      <c r="CK782" s="43"/>
      <c r="CL782" s="43"/>
      <c r="CM782" s="43"/>
      <c r="CN782" s="43"/>
      <c r="CO782" s="43"/>
      <c r="CP782" s="43"/>
      <c r="CQ782" s="43"/>
      <c r="CR782" s="43"/>
      <c r="CS782" s="43"/>
      <c r="CT782" s="43"/>
      <c r="CU782" s="43"/>
      <c r="CV782" s="43"/>
      <c r="CW782" s="43"/>
      <c r="CX782" s="43"/>
      <c r="CY782" s="43"/>
      <c r="CZ782" s="43"/>
      <c r="DA782" s="43"/>
      <c r="DB782" s="43"/>
      <c r="DC782" s="43"/>
      <c r="DD782" s="43"/>
      <c r="DE782" s="43"/>
      <c r="DF782" s="43"/>
      <c r="DG782" s="43"/>
      <c r="DH782" s="43"/>
      <c r="DI782" s="43"/>
      <c r="DJ782" s="43"/>
      <c r="DK782" s="43"/>
      <c r="DL782" s="43"/>
      <c r="DM782" s="43"/>
      <c r="DN782" s="43"/>
      <c r="DO782" s="43"/>
      <c r="DP782" s="43"/>
      <c r="DQ782" s="43"/>
      <c r="DR782" s="43"/>
      <c r="DS782" s="43"/>
    </row>
    <row r="783" spans="1:123" ht="14.45">
      <c r="A783"/>
      <c r="B783"/>
      <c r="C783"/>
      <c r="D783"/>
      <c r="E783"/>
      <c r="F783"/>
      <c r="G783"/>
      <c r="H783"/>
      <c r="I783"/>
      <c r="J783"/>
      <c r="K783" s="43"/>
      <c r="L783" s="43"/>
      <c r="M783" s="43"/>
      <c r="N783" s="43"/>
      <c r="O783" s="43"/>
      <c r="P783" s="43"/>
      <c r="Q783" s="43"/>
      <c r="R783" s="43"/>
      <c r="S783" s="43"/>
      <c r="T783" s="43"/>
      <c r="U783" s="43"/>
      <c r="V783" s="43"/>
      <c r="W783" s="43"/>
      <c r="X783" s="43"/>
      <c r="Y783" s="43"/>
      <c r="Z783" s="43"/>
      <c r="AA783" s="43"/>
      <c r="AB783" s="43"/>
      <c r="AC783" s="43"/>
      <c r="AD783" s="43"/>
      <c r="AE783" s="43"/>
      <c r="AF783" s="43"/>
      <c r="AG783" s="43"/>
      <c r="AH783" s="43"/>
      <c r="AI783" s="43"/>
      <c r="AJ783" s="43"/>
      <c r="AK783" s="43"/>
      <c r="AL783" s="43"/>
      <c r="AM783" s="43"/>
      <c r="AN783" s="43"/>
      <c r="AO783" s="43"/>
      <c r="AP783" s="43"/>
      <c r="AQ783" s="43"/>
      <c r="AR783" s="43"/>
      <c r="AS783" s="43"/>
      <c r="AT783" s="43"/>
      <c r="AU783" s="43"/>
      <c r="AV783" s="43"/>
      <c r="AW783" s="43"/>
      <c r="AX783" s="43"/>
      <c r="AY783" s="43"/>
      <c r="AZ783" s="43"/>
      <c r="BA783" s="43"/>
      <c r="BB783" s="43"/>
      <c r="BC783" s="43"/>
      <c r="BD783" s="43"/>
      <c r="BE783" s="43"/>
      <c r="BF783" s="43"/>
      <c r="BG783" s="43"/>
      <c r="BH783" s="43"/>
      <c r="BI783" s="43"/>
      <c r="BJ783" s="43"/>
      <c r="BK783" s="43"/>
      <c r="BL783" s="43"/>
      <c r="BM783" s="43"/>
      <c r="BN783" s="43"/>
      <c r="BO783" s="43"/>
      <c r="BP783" s="43"/>
      <c r="BQ783" s="43"/>
      <c r="BR783" s="43"/>
      <c r="BS783" s="43"/>
      <c r="BT783" s="43"/>
      <c r="BU783" s="43"/>
      <c r="BV783" s="43"/>
      <c r="BW783" s="43"/>
      <c r="BX783" s="43"/>
      <c r="BY783" s="43"/>
      <c r="BZ783" s="43"/>
      <c r="CA783" s="43"/>
      <c r="CB783" s="43"/>
      <c r="CC783" s="43"/>
      <c r="CD783" s="43"/>
      <c r="CE783" s="43"/>
      <c r="CF783" s="43"/>
      <c r="CG783" s="43"/>
      <c r="CH783" s="43"/>
      <c r="CI783" s="43"/>
      <c r="CJ783" s="43"/>
      <c r="CK783" s="43"/>
      <c r="CL783" s="43"/>
      <c r="CM783" s="43"/>
      <c r="CN783" s="43"/>
      <c r="CO783" s="43"/>
      <c r="CP783" s="43"/>
      <c r="CQ783" s="43"/>
      <c r="CR783" s="43"/>
      <c r="CS783" s="43"/>
      <c r="CT783" s="43"/>
      <c r="CU783" s="43"/>
      <c r="CV783" s="43"/>
      <c r="CW783" s="43"/>
      <c r="CX783" s="43"/>
      <c r="CY783" s="43"/>
      <c r="CZ783" s="43"/>
      <c r="DA783" s="43"/>
      <c r="DB783" s="43"/>
      <c r="DC783" s="43"/>
      <c r="DD783" s="43"/>
      <c r="DE783" s="43"/>
      <c r="DF783" s="43"/>
      <c r="DG783" s="43"/>
      <c r="DH783" s="43"/>
      <c r="DI783" s="43"/>
      <c r="DJ783" s="43"/>
      <c r="DK783" s="43"/>
      <c r="DL783" s="43"/>
      <c r="DM783" s="43"/>
      <c r="DN783" s="43"/>
      <c r="DO783" s="43"/>
      <c r="DP783" s="43"/>
      <c r="DQ783" s="43"/>
      <c r="DR783" s="43"/>
      <c r="DS783" s="43"/>
    </row>
    <row r="784" spans="1:123" ht="14.45">
      <c r="A784"/>
      <c r="B784"/>
      <c r="C784"/>
      <c r="D784"/>
      <c r="E784"/>
      <c r="F784"/>
      <c r="G784"/>
      <c r="H784"/>
      <c r="I784"/>
      <c r="J784"/>
      <c r="K784" s="43"/>
      <c r="L784" s="43"/>
      <c r="M784" s="43"/>
      <c r="N784" s="43"/>
      <c r="O784" s="43"/>
      <c r="P784" s="43"/>
      <c r="Q784" s="43"/>
      <c r="R784" s="43"/>
      <c r="S784" s="43"/>
      <c r="T784" s="43"/>
      <c r="U784" s="43"/>
      <c r="V784" s="43"/>
      <c r="W784" s="43"/>
      <c r="X784" s="43"/>
      <c r="Y784" s="43"/>
      <c r="Z784" s="43"/>
      <c r="AA784" s="43"/>
      <c r="AB784" s="43"/>
      <c r="AC784" s="43"/>
      <c r="AD784" s="43"/>
      <c r="AE784" s="43"/>
      <c r="AF784" s="43"/>
      <c r="AG784" s="43"/>
      <c r="AH784" s="43"/>
      <c r="AI784" s="43"/>
      <c r="AJ784" s="43"/>
      <c r="AK784" s="43"/>
      <c r="AL784" s="43"/>
      <c r="AM784" s="43"/>
      <c r="AN784" s="43"/>
      <c r="AO784" s="43"/>
      <c r="AP784" s="43"/>
      <c r="AQ784" s="43"/>
      <c r="AR784" s="43"/>
      <c r="AS784" s="43"/>
      <c r="AT784" s="43"/>
      <c r="AU784" s="43"/>
      <c r="AV784" s="43"/>
      <c r="AW784" s="43"/>
      <c r="AX784" s="43"/>
      <c r="AY784" s="43"/>
      <c r="AZ784" s="43"/>
      <c r="BA784" s="43"/>
      <c r="BB784" s="43"/>
      <c r="BC784" s="43"/>
      <c r="BD784" s="43"/>
      <c r="BE784" s="43"/>
      <c r="BF784" s="43"/>
      <c r="BG784" s="43"/>
      <c r="BH784" s="43"/>
      <c r="BI784" s="43"/>
      <c r="BJ784" s="43"/>
      <c r="BK784" s="43"/>
      <c r="BL784" s="43"/>
      <c r="BM784" s="43"/>
      <c r="BN784" s="43"/>
      <c r="BO784" s="43"/>
      <c r="BP784" s="43"/>
      <c r="BQ784" s="43"/>
      <c r="BR784" s="43"/>
      <c r="BS784" s="43"/>
      <c r="BT784" s="43"/>
      <c r="BU784" s="43"/>
      <c r="BV784" s="43"/>
      <c r="BW784" s="43"/>
      <c r="BX784" s="43"/>
      <c r="BY784" s="43"/>
      <c r="BZ784" s="43"/>
      <c r="CA784" s="43"/>
      <c r="CB784" s="43"/>
      <c r="CC784" s="43"/>
      <c r="CD784" s="43"/>
      <c r="CE784" s="43"/>
      <c r="CF784" s="43"/>
      <c r="CG784" s="43"/>
      <c r="CH784" s="43"/>
      <c r="CI784" s="43"/>
      <c r="CJ784" s="43"/>
      <c r="CK784" s="43"/>
      <c r="CL784" s="43"/>
      <c r="CM784" s="43"/>
      <c r="CN784" s="43"/>
      <c r="CO784" s="43"/>
      <c r="CP784" s="43"/>
      <c r="CQ784" s="43"/>
      <c r="CR784" s="43"/>
      <c r="CS784" s="43"/>
      <c r="CT784" s="43"/>
      <c r="CU784" s="43"/>
      <c r="CV784" s="43"/>
      <c r="CW784" s="43"/>
      <c r="CX784" s="43"/>
      <c r="CY784" s="43"/>
      <c r="CZ784" s="43"/>
      <c r="DA784" s="43"/>
      <c r="DB784" s="43"/>
      <c r="DC784" s="43"/>
      <c r="DD784" s="43"/>
      <c r="DE784" s="43"/>
      <c r="DF784" s="43"/>
      <c r="DG784" s="43"/>
      <c r="DH784" s="43"/>
      <c r="DI784" s="43"/>
      <c r="DJ784" s="43"/>
      <c r="DK784" s="43"/>
      <c r="DL784" s="43"/>
      <c r="DM784" s="43"/>
      <c r="DN784" s="43"/>
      <c r="DO784" s="43"/>
      <c r="DP784" s="43"/>
      <c r="DQ784" s="43"/>
      <c r="DR784" s="43"/>
      <c r="DS784" s="43"/>
    </row>
    <row r="785" spans="1:123" ht="14.45">
      <c r="A785"/>
      <c r="B785"/>
      <c r="C785"/>
      <c r="D785"/>
      <c r="E785"/>
      <c r="F785"/>
      <c r="G785"/>
      <c r="H785"/>
      <c r="I785"/>
      <c r="J785"/>
      <c r="K785" s="43"/>
      <c r="L785" s="43"/>
      <c r="M785" s="43"/>
      <c r="N785" s="43"/>
      <c r="O785" s="43"/>
      <c r="P785" s="43"/>
      <c r="Q785" s="43"/>
      <c r="R785" s="43"/>
      <c r="S785" s="43"/>
      <c r="T785" s="43"/>
      <c r="U785" s="43"/>
      <c r="V785" s="43"/>
      <c r="W785" s="43"/>
      <c r="X785" s="43"/>
      <c r="Y785" s="43"/>
      <c r="Z785" s="43"/>
      <c r="AA785" s="43"/>
      <c r="AB785" s="43"/>
      <c r="AC785" s="43"/>
      <c r="AD785" s="43"/>
      <c r="AE785" s="43"/>
      <c r="AF785" s="43"/>
      <c r="AG785" s="43"/>
      <c r="AH785" s="43"/>
      <c r="AI785" s="43"/>
      <c r="AJ785" s="43"/>
      <c r="AK785" s="43"/>
      <c r="AL785" s="43"/>
      <c r="AM785" s="43"/>
      <c r="AN785" s="43"/>
      <c r="AO785" s="43"/>
      <c r="AP785" s="43"/>
      <c r="AQ785" s="43"/>
      <c r="AR785" s="43"/>
      <c r="AS785" s="43"/>
      <c r="AT785" s="43"/>
      <c r="AU785" s="43"/>
      <c r="AV785" s="43"/>
      <c r="AW785" s="43"/>
      <c r="AX785" s="43"/>
      <c r="AY785" s="43"/>
      <c r="AZ785" s="43"/>
      <c r="BA785" s="43"/>
      <c r="BB785" s="43"/>
      <c r="BC785" s="43"/>
      <c r="BD785" s="43"/>
      <c r="BE785" s="43"/>
      <c r="BF785" s="43"/>
      <c r="BG785" s="43"/>
      <c r="BH785" s="43"/>
      <c r="BI785" s="43"/>
      <c r="BJ785" s="43"/>
      <c r="BK785" s="43"/>
      <c r="BL785" s="43"/>
      <c r="BM785" s="43"/>
      <c r="BN785" s="43"/>
      <c r="BO785" s="43"/>
      <c r="BP785" s="43"/>
      <c r="BQ785" s="43"/>
      <c r="BR785" s="43"/>
      <c r="BS785" s="43"/>
      <c r="BT785" s="43"/>
      <c r="BU785" s="43"/>
      <c r="BV785" s="43"/>
      <c r="BW785" s="43"/>
      <c r="BX785" s="43"/>
      <c r="BY785" s="43"/>
      <c r="BZ785" s="43"/>
      <c r="CA785" s="43"/>
      <c r="CB785" s="43"/>
      <c r="CC785" s="43"/>
      <c r="CD785" s="43"/>
      <c r="CE785" s="43"/>
      <c r="CF785" s="43"/>
      <c r="CG785" s="43"/>
      <c r="CH785" s="43"/>
      <c r="CI785" s="43"/>
      <c r="CJ785" s="43"/>
      <c r="CK785" s="43"/>
      <c r="CL785" s="43"/>
      <c r="CM785" s="43"/>
      <c r="CN785" s="43"/>
      <c r="CO785" s="43"/>
      <c r="CP785" s="43"/>
      <c r="CQ785" s="43"/>
      <c r="CR785" s="43"/>
      <c r="CS785" s="43"/>
      <c r="CT785" s="43"/>
      <c r="CU785" s="43"/>
      <c r="CV785" s="43"/>
      <c r="CW785" s="43"/>
      <c r="CX785" s="43"/>
      <c r="CY785" s="43"/>
      <c r="CZ785" s="43"/>
      <c r="DA785" s="43"/>
      <c r="DB785" s="43"/>
      <c r="DC785" s="43"/>
      <c r="DD785" s="43"/>
      <c r="DE785" s="43"/>
      <c r="DF785" s="43"/>
      <c r="DG785" s="43"/>
      <c r="DH785" s="43"/>
      <c r="DI785" s="43"/>
      <c r="DJ785" s="43"/>
      <c r="DK785" s="43"/>
      <c r="DL785" s="43"/>
      <c r="DM785" s="43"/>
      <c r="DN785" s="43"/>
      <c r="DO785" s="43"/>
      <c r="DP785" s="43"/>
      <c r="DQ785" s="43"/>
      <c r="DR785" s="43"/>
      <c r="DS785" s="43"/>
    </row>
    <row r="786" spans="1:123" ht="14.45">
      <c r="A786"/>
      <c r="B786"/>
      <c r="C786"/>
      <c r="D786"/>
      <c r="E786"/>
      <c r="F786"/>
      <c r="G786"/>
      <c r="H786"/>
      <c r="I786"/>
      <c r="J786"/>
      <c r="K786" s="43"/>
      <c r="L786" s="43"/>
      <c r="M786" s="43"/>
      <c r="N786" s="43"/>
      <c r="O786" s="43"/>
      <c r="P786" s="43"/>
      <c r="Q786" s="43"/>
      <c r="R786" s="43"/>
      <c r="S786" s="43"/>
      <c r="T786" s="43"/>
      <c r="U786" s="43"/>
      <c r="V786" s="43"/>
      <c r="W786" s="43"/>
      <c r="X786" s="43"/>
      <c r="Y786" s="43"/>
      <c r="Z786" s="43"/>
      <c r="AA786" s="43"/>
      <c r="AB786" s="43"/>
      <c r="AC786" s="43"/>
      <c r="AD786" s="43"/>
      <c r="AE786" s="43"/>
      <c r="AF786" s="43"/>
      <c r="AG786" s="43"/>
      <c r="AH786" s="43"/>
      <c r="AI786" s="43"/>
      <c r="AJ786" s="43"/>
      <c r="AK786" s="43"/>
      <c r="AL786" s="43"/>
      <c r="AM786" s="43"/>
      <c r="AN786" s="43"/>
      <c r="AO786" s="43"/>
      <c r="AP786" s="43"/>
      <c r="AQ786" s="43"/>
      <c r="AR786" s="43"/>
      <c r="AS786" s="43"/>
      <c r="AT786" s="43"/>
      <c r="AU786" s="43"/>
      <c r="AV786" s="43"/>
      <c r="AW786" s="43"/>
      <c r="AX786" s="43"/>
      <c r="AY786" s="43"/>
      <c r="AZ786" s="43"/>
      <c r="BA786" s="43"/>
      <c r="BB786" s="43"/>
      <c r="BC786" s="43"/>
      <c r="BD786" s="43"/>
      <c r="BE786" s="43"/>
      <c r="BF786" s="43"/>
      <c r="BG786" s="43"/>
      <c r="BH786" s="43"/>
      <c r="BI786" s="43"/>
      <c r="BJ786" s="43"/>
      <c r="BK786" s="43"/>
      <c r="BL786" s="43"/>
      <c r="BM786" s="43"/>
      <c r="BN786" s="43"/>
      <c r="BO786" s="43"/>
      <c r="BP786" s="43"/>
      <c r="BQ786" s="43"/>
      <c r="BR786" s="43"/>
      <c r="BS786" s="43"/>
      <c r="BT786" s="43"/>
      <c r="BU786" s="43"/>
      <c r="BV786" s="43"/>
      <c r="BW786" s="43"/>
      <c r="BX786" s="43"/>
      <c r="BY786" s="43"/>
      <c r="BZ786" s="43"/>
      <c r="CA786" s="43"/>
      <c r="CB786" s="43"/>
      <c r="CC786" s="43"/>
      <c r="CD786" s="43"/>
      <c r="CE786" s="43"/>
      <c r="CF786" s="43"/>
      <c r="CG786" s="43"/>
      <c r="CH786" s="43"/>
      <c r="CI786" s="43"/>
      <c r="CJ786" s="43"/>
      <c r="CK786" s="43"/>
      <c r="CL786" s="43"/>
      <c r="CM786" s="43"/>
      <c r="CN786" s="43"/>
      <c r="CO786" s="43"/>
      <c r="CP786" s="43"/>
      <c r="CQ786" s="43"/>
      <c r="CR786" s="43"/>
      <c r="CS786" s="43"/>
      <c r="CT786" s="43"/>
      <c r="CU786" s="43"/>
      <c r="CV786" s="43"/>
      <c r="CW786" s="43"/>
      <c r="CX786" s="43"/>
      <c r="CY786" s="43"/>
      <c r="CZ786" s="43"/>
      <c r="DA786" s="43"/>
      <c r="DB786" s="43"/>
      <c r="DC786" s="43"/>
      <c r="DD786" s="43"/>
      <c r="DE786" s="43"/>
      <c r="DF786" s="43"/>
      <c r="DG786" s="43"/>
      <c r="DH786" s="43"/>
      <c r="DI786" s="43"/>
      <c r="DJ786" s="43"/>
      <c r="DK786" s="43"/>
      <c r="DL786" s="43"/>
      <c r="DM786" s="43"/>
      <c r="DN786" s="43"/>
      <c r="DO786" s="43"/>
      <c r="DP786" s="43"/>
      <c r="DQ786" s="43"/>
      <c r="DR786" s="43"/>
      <c r="DS786" s="43"/>
    </row>
    <row r="787" spans="1:123" ht="14.45">
      <c r="A787"/>
      <c r="B787"/>
      <c r="C787"/>
      <c r="D787"/>
      <c r="E787"/>
      <c r="F787"/>
      <c r="G787"/>
      <c r="H787"/>
      <c r="I787"/>
      <c r="J787"/>
      <c r="K787" s="43"/>
      <c r="L787" s="43"/>
      <c r="M787" s="43"/>
      <c r="N787" s="43"/>
      <c r="O787" s="43"/>
      <c r="P787" s="43"/>
      <c r="Q787" s="43"/>
      <c r="R787" s="43"/>
      <c r="S787" s="43"/>
      <c r="T787" s="43"/>
      <c r="U787" s="43"/>
      <c r="V787" s="43"/>
      <c r="W787" s="43"/>
      <c r="X787" s="43"/>
      <c r="Y787" s="43"/>
      <c r="Z787" s="43"/>
      <c r="AA787" s="43"/>
      <c r="AB787" s="43"/>
      <c r="AC787" s="43"/>
      <c r="AD787" s="43"/>
      <c r="AE787" s="43"/>
      <c r="AF787" s="43"/>
      <c r="AG787" s="43"/>
      <c r="AH787" s="43"/>
      <c r="AI787" s="43"/>
      <c r="AJ787" s="43"/>
      <c r="AK787" s="43"/>
      <c r="AL787" s="43"/>
      <c r="AM787" s="43"/>
      <c r="AN787" s="43"/>
      <c r="AO787" s="43"/>
      <c r="AP787" s="43"/>
      <c r="AQ787" s="43"/>
      <c r="AR787" s="43"/>
      <c r="AS787" s="43"/>
      <c r="AT787" s="43"/>
      <c r="AU787" s="43"/>
      <c r="AV787" s="43"/>
      <c r="AW787" s="43"/>
      <c r="AX787" s="43"/>
      <c r="AY787" s="43"/>
      <c r="AZ787" s="43"/>
      <c r="BA787" s="43"/>
      <c r="BB787" s="43"/>
      <c r="BC787" s="43"/>
      <c r="BD787" s="43"/>
      <c r="BE787" s="43"/>
      <c r="BF787" s="43"/>
      <c r="BG787" s="43"/>
      <c r="BH787" s="43"/>
      <c r="BI787" s="43"/>
      <c r="BJ787" s="43"/>
      <c r="BK787" s="43"/>
      <c r="BL787" s="43"/>
      <c r="BM787" s="43"/>
      <c r="BN787" s="43"/>
      <c r="BO787" s="43"/>
      <c r="BP787" s="43"/>
      <c r="BQ787" s="43"/>
      <c r="BR787" s="43"/>
      <c r="BS787" s="43"/>
      <c r="BT787" s="43"/>
      <c r="BU787" s="43"/>
      <c r="BV787" s="43"/>
      <c r="BW787" s="43"/>
      <c r="BX787" s="43"/>
      <c r="BY787" s="43"/>
      <c r="BZ787" s="43"/>
      <c r="CA787" s="43"/>
      <c r="CB787" s="43"/>
      <c r="CC787" s="43"/>
      <c r="CD787" s="43"/>
      <c r="CE787" s="43"/>
      <c r="CF787" s="43"/>
      <c r="CG787" s="43"/>
      <c r="CH787" s="43"/>
      <c r="CI787" s="43"/>
      <c r="CJ787" s="43"/>
      <c r="CK787" s="43"/>
      <c r="CL787" s="43"/>
      <c r="CM787" s="43"/>
      <c r="CN787" s="43"/>
      <c r="CO787" s="43"/>
      <c r="CP787" s="43"/>
      <c r="CQ787" s="43"/>
      <c r="CR787" s="43"/>
      <c r="CS787" s="43"/>
      <c r="CT787" s="43"/>
      <c r="CU787" s="43"/>
      <c r="CV787" s="43"/>
      <c r="CW787" s="43"/>
      <c r="CX787" s="43"/>
      <c r="CY787" s="43"/>
      <c r="CZ787" s="43"/>
      <c r="DA787" s="43"/>
      <c r="DB787" s="43"/>
      <c r="DC787" s="43"/>
      <c r="DD787" s="43"/>
      <c r="DE787" s="43"/>
      <c r="DF787" s="43"/>
      <c r="DG787" s="43"/>
      <c r="DH787" s="43"/>
      <c r="DI787" s="43"/>
      <c r="DJ787" s="43"/>
      <c r="DK787" s="43"/>
      <c r="DL787" s="43"/>
      <c r="DM787" s="43"/>
      <c r="DN787" s="43"/>
      <c r="DO787" s="43"/>
      <c r="DP787" s="43"/>
      <c r="DQ787" s="43"/>
      <c r="DR787" s="43"/>
      <c r="DS787" s="43"/>
    </row>
    <row r="788" spans="1:123" ht="14.45">
      <c r="A788"/>
      <c r="B788"/>
      <c r="C788"/>
      <c r="D788"/>
      <c r="E788"/>
      <c r="F788"/>
      <c r="G788"/>
      <c r="H788"/>
      <c r="I788"/>
      <c r="J788"/>
      <c r="K788" s="43"/>
      <c r="L788" s="43"/>
      <c r="M788" s="43"/>
      <c r="N788" s="43"/>
      <c r="O788" s="43"/>
      <c r="P788" s="43"/>
      <c r="Q788" s="43"/>
      <c r="R788" s="43"/>
      <c r="S788" s="43"/>
      <c r="T788" s="43"/>
      <c r="U788" s="43"/>
      <c r="V788" s="43"/>
      <c r="W788" s="43"/>
      <c r="X788" s="43"/>
      <c r="Y788" s="43"/>
      <c r="Z788" s="43"/>
      <c r="AA788" s="43"/>
      <c r="AB788" s="43"/>
      <c r="AC788" s="43"/>
      <c r="AD788" s="43"/>
      <c r="AE788" s="43"/>
      <c r="AF788" s="43"/>
      <c r="AG788" s="43"/>
      <c r="AH788" s="43"/>
      <c r="AI788" s="43"/>
      <c r="AJ788" s="43"/>
      <c r="AK788" s="43"/>
      <c r="AL788" s="43"/>
      <c r="AM788" s="43"/>
      <c r="AN788" s="43"/>
      <c r="AO788" s="43"/>
      <c r="AP788" s="43"/>
      <c r="AQ788" s="43"/>
      <c r="AR788" s="43"/>
      <c r="AS788" s="43"/>
      <c r="AT788" s="43"/>
      <c r="AU788" s="43"/>
      <c r="AV788" s="43"/>
      <c r="AW788" s="43"/>
      <c r="AX788" s="43"/>
      <c r="AY788" s="43"/>
      <c r="AZ788" s="43"/>
      <c r="BA788" s="43"/>
      <c r="BB788" s="43"/>
      <c r="BC788" s="43"/>
      <c r="BD788" s="43"/>
      <c r="BE788" s="43"/>
      <c r="BF788" s="43"/>
      <c r="BG788" s="43"/>
      <c r="BH788" s="43"/>
      <c r="BI788" s="43"/>
      <c r="BJ788" s="43"/>
      <c r="BK788" s="43"/>
      <c r="BL788" s="43"/>
      <c r="BM788" s="43"/>
      <c r="BN788" s="43"/>
      <c r="BO788" s="43"/>
      <c r="BP788" s="43"/>
      <c r="BQ788" s="43"/>
      <c r="BR788" s="43"/>
      <c r="BS788" s="43"/>
      <c r="BT788" s="43"/>
      <c r="BU788" s="43"/>
      <c r="BV788" s="43"/>
      <c r="BW788" s="43"/>
      <c r="BX788" s="43"/>
      <c r="BY788" s="43"/>
      <c r="BZ788" s="43"/>
      <c r="CA788" s="43"/>
      <c r="CB788" s="43"/>
      <c r="CC788" s="43"/>
      <c r="CD788" s="43"/>
      <c r="CE788" s="43"/>
      <c r="CF788" s="43"/>
      <c r="CG788" s="43"/>
      <c r="CH788" s="43"/>
      <c r="CI788" s="43"/>
      <c r="CJ788" s="43"/>
      <c r="CK788" s="43"/>
      <c r="CL788" s="43"/>
      <c r="CM788" s="43"/>
      <c r="CN788" s="43"/>
      <c r="CO788" s="43"/>
      <c r="CP788" s="43"/>
      <c r="CQ788" s="43"/>
      <c r="CR788" s="43"/>
      <c r="CS788" s="43"/>
      <c r="CT788" s="43"/>
      <c r="CU788" s="43"/>
      <c r="CV788" s="43"/>
      <c r="CW788" s="43"/>
      <c r="CX788" s="43"/>
      <c r="CY788" s="43"/>
      <c r="CZ788" s="43"/>
      <c r="DA788" s="43"/>
      <c r="DB788" s="43"/>
      <c r="DC788" s="43"/>
      <c r="DD788" s="43"/>
      <c r="DE788" s="43"/>
      <c r="DF788" s="43"/>
      <c r="DG788" s="43"/>
      <c r="DH788" s="43"/>
      <c r="DI788" s="43"/>
      <c r="DJ788" s="43"/>
      <c r="DK788" s="43"/>
      <c r="DL788" s="43"/>
      <c r="DM788" s="43"/>
      <c r="DN788" s="43"/>
      <c r="DO788" s="43"/>
      <c r="DP788" s="43"/>
      <c r="DQ788" s="43"/>
      <c r="DR788" s="43"/>
      <c r="DS788" s="43"/>
    </row>
    <row r="789" spans="1:123" ht="14.45">
      <c r="A789"/>
      <c r="B789"/>
      <c r="C789"/>
      <c r="D789"/>
      <c r="E789"/>
      <c r="F789"/>
      <c r="G789"/>
      <c r="H789"/>
      <c r="I789"/>
      <c r="J789"/>
      <c r="K789" s="43"/>
      <c r="L789" s="43"/>
      <c r="M789" s="43"/>
      <c r="N789" s="43"/>
      <c r="O789" s="43"/>
      <c r="P789" s="43"/>
      <c r="Q789" s="43"/>
      <c r="R789" s="43"/>
      <c r="S789" s="43"/>
      <c r="T789" s="43"/>
      <c r="U789" s="43"/>
      <c r="V789" s="43"/>
      <c r="W789" s="43"/>
      <c r="X789" s="43"/>
      <c r="Y789" s="43"/>
      <c r="Z789" s="43"/>
      <c r="AA789" s="43"/>
      <c r="AB789" s="43"/>
      <c r="AC789" s="43"/>
      <c r="AD789" s="43"/>
      <c r="AE789" s="43"/>
      <c r="AF789" s="43"/>
      <c r="AG789" s="43"/>
      <c r="AH789" s="43"/>
      <c r="AI789" s="43"/>
      <c r="AJ789" s="43"/>
      <c r="AK789" s="43"/>
      <c r="AL789" s="43"/>
      <c r="AM789" s="43"/>
      <c r="AN789" s="43"/>
      <c r="AO789" s="43"/>
      <c r="AP789" s="43"/>
      <c r="AQ789" s="43"/>
      <c r="AR789" s="43"/>
      <c r="AS789" s="43"/>
      <c r="AT789" s="43"/>
      <c r="AU789" s="43"/>
      <c r="AV789" s="43"/>
      <c r="AW789" s="43"/>
      <c r="AX789" s="43"/>
      <c r="AY789" s="43"/>
      <c r="AZ789" s="43"/>
      <c r="BA789" s="43"/>
      <c r="BB789" s="43"/>
      <c r="BC789" s="43"/>
      <c r="BD789" s="43"/>
      <c r="BE789" s="43"/>
      <c r="BF789" s="43"/>
      <c r="BG789" s="43"/>
      <c r="BH789" s="43"/>
      <c r="BI789" s="43"/>
      <c r="BJ789" s="43"/>
      <c r="BK789" s="43"/>
      <c r="BL789" s="43"/>
      <c r="BM789" s="43"/>
      <c r="BN789" s="43"/>
      <c r="BO789" s="43"/>
      <c r="BP789" s="43"/>
      <c r="BQ789" s="43"/>
      <c r="BR789" s="43"/>
      <c r="BS789" s="43"/>
      <c r="BT789" s="43"/>
      <c r="BU789" s="43"/>
      <c r="BV789" s="43"/>
      <c r="BW789" s="43"/>
      <c r="BX789" s="43"/>
      <c r="BY789" s="43"/>
      <c r="BZ789" s="43"/>
      <c r="CA789" s="43"/>
      <c r="CB789" s="43"/>
      <c r="CC789" s="43"/>
      <c r="CD789" s="43"/>
      <c r="CE789" s="43"/>
      <c r="CF789" s="43"/>
      <c r="CG789" s="43"/>
      <c r="CH789" s="43"/>
      <c r="CI789" s="43"/>
      <c r="CJ789" s="43"/>
      <c r="CK789" s="43"/>
      <c r="CL789" s="43"/>
      <c r="CM789" s="43"/>
      <c r="CN789" s="43"/>
      <c r="CO789" s="43"/>
      <c r="CP789" s="43"/>
      <c r="CQ789" s="43"/>
      <c r="CR789" s="43"/>
      <c r="CS789" s="43"/>
      <c r="CT789" s="43"/>
      <c r="CU789" s="43"/>
      <c r="CV789" s="43"/>
      <c r="CW789" s="43"/>
      <c r="CX789" s="43"/>
      <c r="CY789" s="43"/>
      <c r="CZ789" s="43"/>
      <c r="DA789" s="43"/>
      <c r="DB789" s="43"/>
      <c r="DC789" s="43"/>
      <c r="DD789" s="43"/>
      <c r="DE789" s="43"/>
      <c r="DF789" s="43"/>
      <c r="DG789" s="43"/>
      <c r="DH789" s="43"/>
      <c r="DI789" s="43"/>
      <c r="DJ789" s="43"/>
      <c r="DK789" s="43"/>
      <c r="DL789" s="43"/>
      <c r="DM789" s="43"/>
      <c r="DN789" s="43"/>
      <c r="DO789" s="43"/>
      <c r="DP789" s="43"/>
      <c r="DQ789" s="43"/>
      <c r="DR789" s="43"/>
      <c r="DS789" s="43"/>
    </row>
    <row r="790" spans="1:123" ht="14.45">
      <c r="A790"/>
      <c r="B790"/>
      <c r="C790"/>
      <c r="D790"/>
      <c r="E790"/>
      <c r="F790"/>
      <c r="G790"/>
      <c r="H790"/>
      <c r="I790"/>
      <c r="J790"/>
      <c r="K790" s="43"/>
      <c r="L790" s="43"/>
      <c r="M790" s="43"/>
      <c r="N790" s="43"/>
      <c r="O790" s="43"/>
      <c r="P790" s="43"/>
      <c r="Q790" s="43"/>
      <c r="R790" s="43"/>
      <c r="S790" s="43"/>
      <c r="T790" s="43"/>
      <c r="U790" s="43"/>
      <c r="V790" s="43"/>
      <c r="W790" s="43"/>
      <c r="X790" s="43"/>
      <c r="Y790" s="43"/>
      <c r="Z790" s="43"/>
      <c r="AA790" s="43"/>
      <c r="AB790" s="43"/>
      <c r="AC790" s="43"/>
      <c r="AD790" s="43"/>
      <c r="AE790" s="43"/>
      <c r="AF790" s="43"/>
      <c r="AG790" s="43"/>
      <c r="AH790" s="43"/>
      <c r="AI790" s="43"/>
      <c r="AJ790" s="43"/>
      <c r="AK790" s="43"/>
      <c r="AL790" s="43"/>
      <c r="AM790" s="43"/>
      <c r="AN790" s="43"/>
      <c r="AO790" s="43"/>
      <c r="AP790" s="43"/>
      <c r="AQ790" s="43"/>
      <c r="AR790" s="43"/>
      <c r="AS790" s="43"/>
      <c r="AT790" s="43"/>
      <c r="AU790" s="43"/>
      <c r="AV790" s="43"/>
      <c r="AW790" s="43"/>
      <c r="AX790" s="43"/>
      <c r="AY790" s="43"/>
      <c r="AZ790" s="43"/>
      <c r="BA790" s="43"/>
      <c r="BB790" s="43"/>
      <c r="BC790" s="43"/>
      <c r="BD790" s="43"/>
      <c r="BE790" s="43"/>
      <c r="BF790" s="43"/>
      <c r="BG790" s="43"/>
      <c r="BH790" s="43"/>
      <c r="BI790" s="43"/>
      <c r="BJ790" s="43"/>
      <c r="BK790" s="43"/>
      <c r="BL790" s="43"/>
      <c r="BM790" s="43"/>
      <c r="BN790" s="43"/>
      <c r="BO790" s="43"/>
      <c r="BP790" s="43"/>
      <c r="BQ790" s="43"/>
      <c r="BR790" s="43"/>
      <c r="BS790" s="43"/>
      <c r="BT790" s="43"/>
      <c r="BU790" s="43"/>
      <c r="BV790" s="43"/>
      <c r="BW790" s="43"/>
      <c r="BX790" s="43"/>
      <c r="BY790" s="43"/>
      <c r="BZ790" s="43"/>
      <c r="CA790" s="43"/>
      <c r="CB790" s="43"/>
      <c r="CC790" s="43"/>
      <c r="CD790" s="43"/>
      <c r="CE790" s="43"/>
      <c r="CF790" s="43"/>
      <c r="CG790" s="43"/>
      <c r="CH790" s="43"/>
      <c r="CI790" s="43"/>
      <c r="CJ790" s="43"/>
      <c r="CK790" s="43"/>
      <c r="CL790" s="43"/>
      <c r="CM790" s="43"/>
      <c r="CN790" s="43"/>
      <c r="CO790" s="43"/>
      <c r="CP790" s="43"/>
      <c r="CQ790" s="43"/>
      <c r="CR790" s="43"/>
      <c r="CS790" s="43"/>
      <c r="CT790" s="43"/>
      <c r="CU790" s="43"/>
      <c r="CV790" s="43"/>
      <c r="CW790" s="43"/>
      <c r="CX790" s="43"/>
      <c r="CY790" s="43"/>
      <c r="CZ790" s="43"/>
      <c r="DA790" s="43"/>
      <c r="DB790" s="43"/>
      <c r="DC790" s="43"/>
      <c r="DD790" s="43"/>
      <c r="DE790" s="43"/>
      <c r="DF790" s="43"/>
      <c r="DG790" s="43"/>
      <c r="DH790" s="43"/>
      <c r="DI790" s="43"/>
      <c r="DJ790" s="43"/>
      <c r="DK790" s="43"/>
      <c r="DL790" s="43"/>
      <c r="DM790" s="43"/>
      <c r="DN790" s="43"/>
      <c r="DO790" s="43"/>
      <c r="DP790" s="43"/>
      <c r="DQ790" s="43"/>
      <c r="DR790" s="43"/>
      <c r="DS790" s="43"/>
    </row>
    <row r="791" spans="1:123" ht="14.45">
      <c r="A791"/>
      <c r="B791"/>
      <c r="C791"/>
      <c r="D791"/>
      <c r="E791"/>
      <c r="F791"/>
      <c r="G791"/>
      <c r="H791"/>
      <c r="I791"/>
      <c r="J791"/>
      <c r="K791" s="43"/>
      <c r="L791" s="43"/>
      <c r="M791" s="43"/>
      <c r="N791" s="43"/>
      <c r="O791" s="43"/>
      <c r="P791" s="43"/>
      <c r="Q791" s="43"/>
      <c r="R791" s="43"/>
      <c r="S791" s="43"/>
      <c r="T791" s="43"/>
      <c r="U791" s="43"/>
      <c r="V791" s="43"/>
      <c r="W791" s="43"/>
      <c r="X791" s="43"/>
      <c r="Y791" s="43"/>
      <c r="Z791" s="43"/>
      <c r="AA791" s="43"/>
      <c r="AB791" s="43"/>
      <c r="AC791" s="43"/>
      <c r="AD791" s="43"/>
      <c r="AE791" s="43"/>
      <c r="AF791" s="43"/>
      <c r="AG791" s="43"/>
      <c r="AH791" s="43"/>
      <c r="AI791" s="43"/>
      <c r="AJ791" s="43"/>
      <c r="AK791" s="43"/>
      <c r="AL791" s="43"/>
      <c r="AM791" s="43"/>
      <c r="AN791" s="43"/>
      <c r="AO791" s="43"/>
      <c r="AP791" s="43"/>
      <c r="AQ791" s="43"/>
      <c r="AR791" s="43"/>
      <c r="AS791" s="43"/>
      <c r="AT791" s="43"/>
      <c r="AU791" s="43"/>
      <c r="AV791" s="43"/>
      <c r="AW791" s="43"/>
      <c r="AX791" s="43"/>
      <c r="AY791" s="43"/>
      <c r="AZ791" s="43"/>
      <c r="BA791" s="43"/>
      <c r="BB791" s="43"/>
      <c r="BC791" s="43"/>
      <c r="BD791" s="43"/>
      <c r="BE791" s="43"/>
      <c r="BF791" s="43"/>
      <c r="BG791" s="43"/>
      <c r="BH791" s="43"/>
      <c r="BI791" s="43"/>
      <c r="BJ791" s="43"/>
      <c r="BK791" s="43"/>
      <c r="BL791" s="43"/>
      <c r="BM791" s="43"/>
      <c r="BN791" s="43"/>
      <c r="BO791" s="43"/>
      <c r="BP791" s="43"/>
      <c r="BQ791" s="43"/>
      <c r="BR791" s="43"/>
      <c r="BS791" s="43"/>
      <c r="BT791" s="43"/>
      <c r="BU791" s="43"/>
      <c r="BV791" s="43"/>
      <c r="BW791" s="43"/>
      <c r="BX791" s="43"/>
      <c r="BY791" s="43"/>
      <c r="BZ791" s="43"/>
      <c r="CA791" s="43"/>
      <c r="CB791" s="43"/>
      <c r="CC791" s="43"/>
      <c r="CD791" s="43"/>
      <c r="CE791" s="43"/>
      <c r="CF791" s="43"/>
      <c r="CG791" s="43"/>
      <c r="CH791" s="43"/>
      <c r="CI791" s="43"/>
      <c r="CJ791" s="43"/>
      <c r="CK791" s="43"/>
      <c r="CL791" s="43"/>
      <c r="CM791" s="43"/>
      <c r="CN791" s="43"/>
      <c r="CO791" s="43"/>
      <c r="CP791" s="43"/>
      <c r="CQ791" s="43"/>
      <c r="CR791" s="43"/>
      <c r="CS791" s="43"/>
      <c r="CT791" s="43"/>
      <c r="CU791" s="43"/>
      <c r="CV791" s="43"/>
      <c r="CW791" s="43"/>
      <c r="CX791" s="43"/>
      <c r="CY791" s="43"/>
      <c r="CZ791" s="43"/>
      <c r="DA791" s="43"/>
      <c r="DB791" s="43"/>
      <c r="DC791" s="43"/>
      <c r="DD791" s="43"/>
      <c r="DE791" s="43"/>
      <c r="DF791" s="43"/>
      <c r="DG791" s="43"/>
      <c r="DH791" s="43"/>
      <c r="DI791" s="43"/>
      <c r="DJ791" s="43"/>
      <c r="DK791" s="43"/>
      <c r="DL791" s="43"/>
      <c r="DM791" s="43"/>
      <c r="DN791" s="43"/>
      <c r="DO791" s="43"/>
      <c r="DP791" s="43"/>
      <c r="DQ791" s="43"/>
      <c r="DR791" s="43"/>
      <c r="DS791" s="43"/>
    </row>
    <row r="792" spans="1:123" ht="14.45">
      <c r="A792"/>
      <c r="B792"/>
      <c r="C792"/>
      <c r="D792"/>
      <c r="E792"/>
      <c r="F792"/>
      <c r="G792"/>
      <c r="H792"/>
      <c r="I792"/>
      <c r="J792"/>
      <c r="K792" s="43"/>
      <c r="L792" s="43"/>
      <c r="M792" s="43"/>
      <c r="N792" s="43"/>
      <c r="O792" s="43"/>
      <c r="P792" s="43"/>
      <c r="Q792" s="43"/>
      <c r="R792" s="43"/>
      <c r="S792" s="43"/>
      <c r="T792" s="43"/>
      <c r="U792" s="43"/>
      <c r="V792" s="43"/>
      <c r="W792" s="43"/>
      <c r="X792" s="43"/>
      <c r="Y792" s="43"/>
      <c r="Z792" s="43"/>
      <c r="AA792" s="43"/>
      <c r="AB792" s="43"/>
      <c r="AC792" s="43"/>
      <c r="AD792" s="43"/>
      <c r="AE792" s="43"/>
      <c r="AF792" s="43"/>
      <c r="AG792" s="43"/>
      <c r="AH792" s="43"/>
      <c r="AI792" s="43"/>
      <c r="AJ792" s="43"/>
      <c r="AK792" s="43"/>
      <c r="AL792" s="43"/>
      <c r="AM792" s="43"/>
      <c r="AN792" s="43"/>
      <c r="AO792" s="43"/>
      <c r="AP792" s="43"/>
      <c r="AQ792" s="43"/>
      <c r="AR792" s="43"/>
      <c r="AS792" s="43"/>
      <c r="AT792" s="43"/>
      <c r="AU792" s="43"/>
      <c r="AV792" s="43"/>
      <c r="AW792" s="43"/>
      <c r="AX792" s="43"/>
      <c r="AY792" s="43"/>
      <c r="AZ792" s="43"/>
      <c r="BA792" s="43"/>
      <c r="BB792" s="43"/>
      <c r="BC792" s="43"/>
      <c r="BD792" s="43"/>
      <c r="BE792" s="43"/>
      <c r="BF792" s="43"/>
      <c r="BG792" s="43"/>
      <c r="BH792" s="43"/>
      <c r="BI792" s="43"/>
      <c r="BJ792" s="43"/>
      <c r="BK792" s="43"/>
      <c r="BL792" s="43"/>
      <c r="BM792" s="43"/>
      <c r="BN792" s="43"/>
      <c r="BO792" s="43"/>
      <c r="BP792" s="43"/>
      <c r="BQ792" s="43"/>
      <c r="BR792" s="43"/>
      <c r="BS792" s="43"/>
      <c r="BT792" s="43"/>
      <c r="BU792" s="43"/>
      <c r="BV792" s="43"/>
      <c r="BW792" s="43"/>
      <c r="BX792" s="43"/>
      <c r="BY792" s="43"/>
      <c r="BZ792" s="43"/>
      <c r="CA792" s="43"/>
      <c r="CB792" s="43"/>
      <c r="CC792" s="43"/>
      <c r="CD792" s="43"/>
      <c r="CE792" s="43"/>
      <c r="CF792" s="43"/>
      <c r="CG792" s="43"/>
      <c r="CH792" s="43"/>
      <c r="CI792" s="43"/>
      <c r="CJ792" s="43"/>
      <c r="CK792" s="43"/>
      <c r="CL792" s="43"/>
      <c r="CM792" s="43"/>
      <c r="CN792" s="43"/>
      <c r="CO792" s="43"/>
      <c r="CP792" s="43"/>
      <c r="CQ792" s="43"/>
      <c r="CR792" s="43"/>
      <c r="CS792" s="43"/>
      <c r="CT792" s="43"/>
      <c r="CU792" s="43"/>
      <c r="CV792" s="43"/>
      <c r="CW792" s="43"/>
      <c r="CX792" s="43"/>
      <c r="CY792" s="43"/>
      <c r="CZ792" s="43"/>
      <c r="DA792" s="43"/>
      <c r="DB792" s="43"/>
      <c r="DC792" s="43"/>
      <c r="DD792" s="43"/>
      <c r="DE792" s="43"/>
      <c r="DF792" s="43"/>
      <c r="DG792" s="43"/>
      <c r="DH792" s="43"/>
      <c r="DI792" s="43"/>
      <c r="DJ792" s="43"/>
      <c r="DK792" s="43"/>
      <c r="DL792" s="43"/>
      <c r="DM792" s="43"/>
      <c r="DN792" s="43"/>
      <c r="DO792" s="43"/>
      <c r="DP792" s="43"/>
      <c r="DQ792" s="43"/>
      <c r="DR792" s="43"/>
      <c r="DS792" s="43"/>
    </row>
    <row r="793" spans="1:123" ht="14.45">
      <c r="A793"/>
      <c r="B793"/>
      <c r="C793"/>
      <c r="D793"/>
      <c r="E793"/>
      <c r="F793"/>
      <c r="G793"/>
      <c r="H793"/>
      <c r="I793"/>
      <c r="J793"/>
      <c r="K793" s="43"/>
      <c r="L793" s="43"/>
      <c r="M793" s="43"/>
      <c r="N793" s="43"/>
      <c r="O793" s="43"/>
      <c r="P793" s="43"/>
      <c r="Q793" s="43"/>
      <c r="R793" s="43"/>
      <c r="S793" s="43"/>
      <c r="T793" s="43"/>
      <c r="U793" s="43"/>
      <c r="V793" s="43"/>
      <c r="W793" s="43"/>
      <c r="X793" s="43"/>
      <c r="Y793" s="43"/>
      <c r="Z793" s="43"/>
      <c r="AA793" s="43"/>
      <c r="AB793" s="43"/>
      <c r="AC793" s="43"/>
      <c r="AD793" s="43"/>
      <c r="AE793" s="43"/>
      <c r="AF793" s="43"/>
      <c r="AG793" s="43"/>
      <c r="AH793" s="43"/>
      <c r="AI793" s="43"/>
      <c r="AJ793" s="43"/>
      <c r="AK793" s="43"/>
      <c r="AL793" s="43"/>
      <c r="AM793" s="43"/>
      <c r="AN793" s="43"/>
      <c r="AO793" s="43"/>
      <c r="AP793" s="43"/>
      <c r="AQ793" s="43"/>
      <c r="AR793" s="43"/>
      <c r="AS793" s="43"/>
      <c r="AT793" s="43"/>
      <c r="AU793" s="43"/>
      <c r="AV793" s="43"/>
      <c r="AW793" s="43"/>
      <c r="AX793" s="43"/>
      <c r="AY793" s="43"/>
      <c r="AZ793" s="43"/>
      <c r="BA793" s="43"/>
      <c r="BB793" s="43"/>
      <c r="BC793" s="43"/>
      <c r="BD793" s="43"/>
      <c r="BE793" s="43"/>
      <c r="BF793" s="43"/>
      <c r="BG793" s="43"/>
      <c r="BH793" s="43"/>
      <c r="BI793" s="43"/>
      <c r="BJ793" s="43"/>
      <c r="BK793" s="43"/>
      <c r="BL793" s="43"/>
      <c r="BM793" s="43"/>
      <c r="BN793" s="43"/>
      <c r="BO793" s="43"/>
      <c r="BP793" s="43"/>
      <c r="BQ793" s="43"/>
      <c r="BR793" s="43"/>
      <c r="BS793" s="43"/>
      <c r="BT793" s="43"/>
      <c r="BU793" s="43"/>
      <c r="BV793" s="43"/>
      <c r="BW793" s="43"/>
      <c r="BX793" s="43"/>
      <c r="BY793" s="43"/>
      <c r="BZ793" s="43"/>
      <c r="CA793" s="43"/>
      <c r="CB793" s="43"/>
      <c r="CC793" s="43"/>
      <c r="CD793" s="43"/>
      <c r="CE793" s="43"/>
      <c r="CF793" s="43"/>
      <c r="CG793" s="43"/>
      <c r="CH793" s="43"/>
      <c r="CI793" s="43"/>
      <c r="CJ793" s="43"/>
      <c r="CK793" s="43"/>
      <c r="CL793" s="43"/>
      <c r="CM793" s="43"/>
      <c r="CN793" s="43"/>
      <c r="CO793" s="43"/>
      <c r="CP793" s="43"/>
      <c r="CQ793" s="43"/>
      <c r="CR793" s="43"/>
      <c r="CS793" s="43"/>
      <c r="CT793" s="43"/>
      <c r="CU793" s="43"/>
      <c r="CV793" s="43"/>
      <c r="CW793" s="43"/>
      <c r="CX793" s="43"/>
      <c r="CY793" s="43"/>
      <c r="CZ793" s="43"/>
      <c r="DA793" s="43"/>
      <c r="DB793" s="43"/>
      <c r="DC793" s="43"/>
      <c r="DD793" s="43"/>
      <c r="DE793" s="43"/>
      <c r="DF793" s="43"/>
      <c r="DG793" s="43"/>
      <c r="DH793" s="43"/>
      <c r="DI793" s="43"/>
      <c r="DJ793" s="43"/>
      <c r="DK793" s="43"/>
      <c r="DL793" s="43"/>
      <c r="DM793" s="43"/>
      <c r="DN793" s="43"/>
      <c r="DO793" s="43"/>
      <c r="DP793" s="43"/>
      <c r="DQ793" s="43"/>
      <c r="DR793" s="43"/>
      <c r="DS793" s="43"/>
    </row>
    <row r="794" spans="1:123" ht="14.45">
      <c r="A794"/>
      <c r="B794"/>
      <c r="C794"/>
      <c r="D794"/>
      <c r="E794"/>
      <c r="F794"/>
      <c r="G794"/>
      <c r="H794"/>
      <c r="I794"/>
      <c r="J794"/>
      <c r="K794" s="43"/>
      <c r="L794" s="43"/>
      <c r="M794" s="43"/>
      <c r="N794" s="43"/>
      <c r="O794" s="43"/>
      <c r="P794" s="43"/>
      <c r="Q794" s="43"/>
      <c r="R794" s="43"/>
      <c r="S794" s="43"/>
      <c r="T794" s="43"/>
      <c r="U794" s="43"/>
      <c r="V794" s="43"/>
      <c r="W794" s="43"/>
      <c r="X794" s="43"/>
      <c r="Y794" s="43"/>
      <c r="Z794" s="43"/>
      <c r="AA794" s="43"/>
      <c r="AB794" s="43"/>
      <c r="AC794" s="43"/>
      <c r="AD794" s="43"/>
      <c r="AE794" s="43"/>
      <c r="AF794" s="43"/>
      <c r="AG794" s="43"/>
      <c r="AH794" s="43"/>
      <c r="AI794" s="43"/>
      <c r="AJ794" s="43"/>
      <c r="AK794" s="43"/>
      <c r="AL794" s="43"/>
      <c r="AM794" s="43"/>
      <c r="AN794" s="43"/>
      <c r="AO794" s="43"/>
      <c r="AP794" s="43"/>
      <c r="AQ794" s="43"/>
      <c r="AR794" s="43"/>
      <c r="AS794" s="43"/>
      <c r="AT794" s="43"/>
      <c r="AU794" s="43"/>
      <c r="AV794" s="43"/>
      <c r="AW794" s="43"/>
      <c r="AX794" s="43"/>
      <c r="AY794" s="43"/>
      <c r="AZ794" s="43"/>
      <c r="BA794" s="43"/>
      <c r="BB794" s="43"/>
      <c r="BC794" s="43"/>
      <c r="BD794" s="43"/>
      <c r="BE794" s="43"/>
      <c r="BF794" s="43"/>
      <c r="BG794" s="43"/>
      <c r="BH794" s="43"/>
      <c r="BI794" s="43"/>
      <c r="BJ794" s="43"/>
      <c r="BK794" s="43"/>
      <c r="BL794" s="43"/>
      <c r="BM794" s="43"/>
      <c r="BN794" s="43"/>
      <c r="BO794" s="43"/>
      <c r="BP794" s="43"/>
      <c r="BQ794" s="43"/>
      <c r="BR794" s="43"/>
      <c r="BS794" s="43"/>
      <c r="BT794" s="43"/>
      <c r="BU794" s="43"/>
      <c r="BV794" s="43"/>
      <c r="BW794" s="43"/>
      <c r="BX794" s="43"/>
      <c r="BY794" s="43"/>
      <c r="BZ794" s="43"/>
      <c r="CA794" s="43"/>
      <c r="CB794" s="43"/>
      <c r="CC794" s="43"/>
      <c r="CD794" s="43"/>
      <c r="CE794" s="43"/>
      <c r="CF794" s="43"/>
      <c r="CG794" s="43"/>
      <c r="CH794" s="43"/>
      <c r="CI794" s="43"/>
      <c r="CJ794" s="43"/>
      <c r="CK794" s="43"/>
      <c r="CL794" s="43"/>
      <c r="CM794" s="43"/>
      <c r="CN794" s="43"/>
      <c r="CO794" s="43"/>
      <c r="CP794" s="43"/>
      <c r="CQ794" s="43"/>
      <c r="CR794" s="43"/>
      <c r="CS794" s="43"/>
      <c r="CT794" s="43"/>
      <c r="CU794" s="43"/>
      <c r="CV794" s="43"/>
      <c r="CW794" s="43"/>
      <c r="CX794" s="43"/>
      <c r="CY794" s="43"/>
      <c r="CZ794" s="43"/>
      <c r="DA794" s="43"/>
      <c r="DB794" s="43"/>
      <c r="DC794" s="43"/>
      <c r="DD794" s="43"/>
      <c r="DE794" s="43"/>
      <c r="DF794" s="43"/>
      <c r="DG794" s="43"/>
      <c r="DH794" s="43"/>
      <c r="DI794" s="43"/>
      <c r="DJ794" s="43"/>
      <c r="DK794" s="43"/>
      <c r="DL794" s="43"/>
      <c r="DM794" s="43"/>
      <c r="DN794" s="43"/>
      <c r="DO794" s="43"/>
      <c r="DP794" s="43"/>
      <c r="DQ794" s="43"/>
      <c r="DR794" s="43"/>
      <c r="DS794" s="43"/>
    </row>
    <row r="795" spans="1:123" ht="14.45">
      <c r="A795"/>
      <c r="B795"/>
      <c r="C795"/>
      <c r="D795"/>
      <c r="E795"/>
      <c r="F795"/>
      <c r="G795"/>
      <c r="H795"/>
      <c r="I795"/>
      <c r="J795"/>
      <c r="K795" s="43"/>
      <c r="L795" s="43"/>
      <c r="M795" s="43"/>
      <c r="N795" s="43"/>
      <c r="O795" s="43"/>
      <c r="P795" s="43"/>
      <c r="Q795" s="43"/>
      <c r="R795" s="43"/>
      <c r="S795" s="43"/>
      <c r="T795" s="43"/>
      <c r="U795" s="43"/>
      <c r="V795" s="43"/>
      <c r="W795" s="43"/>
      <c r="X795" s="43"/>
      <c r="Y795" s="43"/>
      <c r="Z795" s="43"/>
      <c r="AA795" s="43"/>
      <c r="AB795" s="43"/>
      <c r="AC795" s="43"/>
      <c r="AD795" s="43"/>
      <c r="AE795" s="43"/>
      <c r="AF795" s="43"/>
      <c r="AG795" s="43"/>
      <c r="AH795" s="43"/>
      <c r="AI795" s="43"/>
      <c r="AJ795" s="43"/>
      <c r="AK795" s="43"/>
      <c r="AL795" s="43"/>
      <c r="AM795" s="43"/>
      <c r="AN795" s="43"/>
      <c r="AO795" s="43"/>
      <c r="AP795" s="43"/>
      <c r="AQ795" s="43"/>
      <c r="AR795" s="43"/>
      <c r="AS795" s="43"/>
      <c r="AT795" s="43"/>
      <c r="AU795" s="43"/>
      <c r="AV795" s="43"/>
      <c r="AW795" s="43"/>
      <c r="AX795" s="43"/>
      <c r="AY795" s="43"/>
      <c r="AZ795" s="43"/>
      <c r="BA795" s="43"/>
      <c r="BB795" s="43"/>
      <c r="BC795" s="43"/>
      <c r="BD795" s="43"/>
      <c r="BE795" s="43"/>
      <c r="BF795" s="43"/>
      <c r="BG795" s="43"/>
      <c r="BH795" s="43"/>
      <c r="BI795" s="43"/>
      <c r="BJ795" s="43"/>
      <c r="BK795" s="43"/>
      <c r="BL795" s="43"/>
      <c r="BM795" s="43"/>
      <c r="BN795" s="43"/>
      <c r="BO795" s="43"/>
      <c r="BP795" s="43"/>
      <c r="BQ795" s="43"/>
      <c r="BR795" s="43"/>
      <c r="BS795" s="43"/>
      <c r="BT795" s="43"/>
      <c r="BU795" s="43"/>
      <c r="BV795" s="43"/>
      <c r="BW795" s="43"/>
      <c r="BX795" s="43"/>
      <c r="BY795" s="43"/>
      <c r="BZ795" s="43"/>
      <c r="CA795" s="43"/>
      <c r="CB795" s="43"/>
      <c r="CC795" s="43"/>
      <c r="CD795" s="43"/>
      <c r="CE795" s="43"/>
      <c r="CF795" s="43"/>
      <c r="CG795" s="43"/>
      <c r="CH795" s="43"/>
      <c r="CI795" s="43"/>
      <c r="CJ795" s="43"/>
      <c r="CK795" s="43"/>
      <c r="CL795" s="43"/>
      <c r="CM795" s="43"/>
      <c r="CN795" s="43"/>
      <c r="CO795" s="43"/>
      <c r="CP795" s="43"/>
      <c r="CQ795" s="43"/>
      <c r="CR795" s="43"/>
      <c r="CS795" s="43"/>
      <c r="CT795" s="43"/>
      <c r="CU795" s="43"/>
      <c r="CV795" s="43"/>
      <c r="CW795" s="43"/>
      <c r="CX795" s="43"/>
      <c r="CY795" s="43"/>
      <c r="CZ795" s="43"/>
      <c r="DA795" s="43"/>
      <c r="DB795" s="43"/>
      <c r="DC795" s="43"/>
      <c r="DD795" s="43"/>
      <c r="DE795" s="43"/>
      <c r="DF795" s="43"/>
      <c r="DG795" s="43"/>
      <c r="DH795" s="43"/>
      <c r="DI795" s="43"/>
      <c r="DJ795" s="43"/>
      <c r="DK795" s="43"/>
      <c r="DL795" s="43"/>
      <c r="DM795" s="43"/>
      <c r="DN795" s="43"/>
      <c r="DO795" s="43"/>
      <c r="DP795" s="43"/>
      <c r="DQ795" s="43"/>
      <c r="DR795" s="43"/>
      <c r="DS795" s="43"/>
    </row>
    <row r="796" spans="1:123" ht="14.45">
      <c r="A796"/>
      <c r="B796"/>
      <c r="C796"/>
      <c r="D796"/>
      <c r="E796"/>
      <c r="F796"/>
      <c r="G796"/>
      <c r="H796"/>
      <c r="I796"/>
      <c r="J796"/>
      <c r="K796" s="43"/>
      <c r="L796" s="43"/>
      <c r="M796" s="43"/>
      <c r="N796" s="43"/>
      <c r="O796" s="43"/>
      <c r="P796" s="43"/>
      <c r="Q796" s="43"/>
      <c r="R796" s="43"/>
      <c r="S796" s="43"/>
      <c r="T796" s="43"/>
      <c r="U796" s="43"/>
      <c r="V796" s="43"/>
      <c r="W796" s="43"/>
      <c r="X796" s="43"/>
      <c r="Y796" s="43"/>
      <c r="Z796" s="43"/>
      <c r="AA796" s="43"/>
      <c r="AB796" s="43"/>
      <c r="AC796" s="43"/>
      <c r="AD796" s="43"/>
      <c r="AE796" s="43"/>
      <c r="AF796" s="43"/>
      <c r="AG796" s="43"/>
      <c r="AH796" s="43"/>
      <c r="AI796" s="43"/>
      <c r="AJ796" s="43"/>
      <c r="AK796" s="43"/>
      <c r="AL796" s="43"/>
      <c r="AM796" s="43"/>
      <c r="AN796" s="43"/>
      <c r="AO796" s="43"/>
      <c r="AP796" s="43"/>
      <c r="AQ796" s="43"/>
      <c r="AR796" s="43"/>
      <c r="AS796" s="43"/>
      <c r="AT796" s="43"/>
      <c r="AU796" s="43"/>
      <c r="AV796" s="43"/>
      <c r="AW796" s="43"/>
      <c r="AX796" s="43"/>
      <c r="AY796" s="43"/>
      <c r="AZ796" s="43"/>
      <c r="BA796" s="43"/>
      <c r="BB796" s="43"/>
      <c r="BC796" s="43"/>
      <c r="BD796" s="43"/>
      <c r="BE796" s="43"/>
      <c r="BF796" s="43"/>
      <c r="BG796" s="43"/>
      <c r="BH796" s="43"/>
      <c r="BI796" s="43"/>
      <c r="BJ796" s="43"/>
      <c r="BK796" s="43"/>
      <c r="BL796" s="43"/>
      <c r="BM796" s="43"/>
      <c r="BN796" s="43"/>
      <c r="BO796" s="43"/>
      <c r="BP796" s="43"/>
      <c r="BQ796" s="43"/>
      <c r="BR796" s="43"/>
      <c r="BS796" s="43"/>
      <c r="BT796" s="43"/>
      <c r="BU796" s="43"/>
      <c r="BV796" s="43"/>
      <c r="BW796" s="43"/>
      <c r="BX796" s="43"/>
      <c r="BY796" s="43"/>
      <c r="BZ796" s="43"/>
      <c r="CA796" s="43"/>
      <c r="CB796" s="43"/>
      <c r="CC796" s="43"/>
      <c r="CD796" s="43"/>
      <c r="CE796" s="43"/>
      <c r="CF796" s="43"/>
      <c r="CG796" s="43"/>
      <c r="CH796" s="43"/>
      <c r="CI796" s="43"/>
      <c r="CJ796" s="43"/>
      <c r="CK796" s="43"/>
      <c r="CL796" s="43"/>
      <c r="CM796" s="43"/>
      <c r="CN796" s="43"/>
      <c r="CO796" s="43"/>
      <c r="CP796" s="43"/>
      <c r="CQ796" s="43"/>
      <c r="CR796" s="43"/>
      <c r="CS796" s="43"/>
      <c r="CT796" s="43"/>
      <c r="CU796" s="43"/>
      <c r="CV796" s="43"/>
      <c r="CW796" s="43"/>
      <c r="CX796" s="43"/>
      <c r="CY796" s="43"/>
      <c r="CZ796" s="43"/>
      <c r="DA796" s="43"/>
      <c r="DB796" s="43"/>
      <c r="DC796" s="43"/>
      <c r="DD796" s="43"/>
      <c r="DE796" s="43"/>
      <c r="DF796" s="43"/>
      <c r="DG796" s="43"/>
      <c r="DH796" s="43"/>
      <c r="DI796" s="43"/>
      <c r="DJ796" s="43"/>
      <c r="DK796" s="43"/>
      <c r="DL796" s="43"/>
      <c r="DM796" s="43"/>
      <c r="DN796" s="43"/>
      <c r="DO796" s="43"/>
      <c r="DP796" s="43"/>
      <c r="DQ796" s="43"/>
      <c r="DR796" s="43"/>
      <c r="DS796" s="43"/>
    </row>
    <row r="797" spans="1:123" ht="14.45">
      <c r="A797"/>
      <c r="B797"/>
      <c r="C797"/>
      <c r="D797"/>
      <c r="E797"/>
      <c r="F797"/>
      <c r="G797"/>
      <c r="H797"/>
      <c r="I797"/>
      <c r="J797"/>
      <c r="K797" s="43"/>
      <c r="L797" s="43"/>
      <c r="M797" s="43"/>
      <c r="N797" s="43"/>
      <c r="O797" s="43"/>
      <c r="P797" s="43"/>
      <c r="Q797" s="43"/>
      <c r="R797" s="43"/>
      <c r="S797" s="43"/>
      <c r="T797" s="43"/>
      <c r="U797" s="43"/>
      <c r="V797" s="43"/>
      <c r="W797" s="43"/>
      <c r="X797" s="43"/>
      <c r="Y797" s="43"/>
      <c r="Z797" s="43"/>
      <c r="AA797" s="43"/>
      <c r="AB797" s="43"/>
      <c r="AC797" s="43"/>
      <c r="AD797" s="43"/>
      <c r="AE797" s="43"/>
      <c r="AF797" s="43"/>
      <c r="AG797" s="43"/>
      <c r="AH797" s="43"/>
      <c r="AI797" s="43"/>
      <c r="AJ797" s="43"/>
      <c r="AK797" s="43"/>
      <c r="AL797" s="43"/>
      <c r="AM797" s="43"/>
      <c r="AN797" s="43"/>
      <c r="AO797" s="43"/>
      <c r="AP797" s="43"/>
      <c r="AQ797" s="43"/>
      <c r="AR797" s="43"/>
      <c r="AS797" s="43"/>
      <c r="AT797" s="43"/>
      <c r="AU797" s="43"/>
      <c r="AV797" s="43"/>
      <c r="AW797" s="43"/>
      <c r="AX797" s="43"/>
      <c r="AY797" s="43"/>
      <c r="AZ797" s="43"/>
      <c r="BA797" s="43"/>
      <c r="BB797" s="43"/>
      <c r="BC797" s="43"/>
      <c r="BD797" s="43"/>
      <c r="BE797" s="43"/>
      <c r="BF797" s="43"/>
      <c r="BG797" s="43"/>
      <c r="BH797" s="43"/>
      <c r="BI797" s="43"/>
      <c r="BJ797" s="43"/>
      <c r="BK797" s="43"/>
      <c r="BL797" s="43"/>
      <c r="BM797" s="43"/>
      <c r="BN797" s="43"/>
      <c r="BO797" s="43"/>
      <c r="BP797" s="43"/>
      <c r="BQ797" s="43"/>
      <c r="BR797" s="43"/>
      <c r="BS797" s="43"/>
      <c r="BT797" s="43"/>
      <c r="BU797" s="43"/>
      <c r="BV797" s="43"/>
      <c r="BW797" s="43"/>
      <c r="BX797" s="43"/>
      <c r="BY797" s="43"/>
      <c r="BZ797" s="43"/>
      <c r="CA797" s="43"/>
      <c r="CB797" s="43"/>
      <c r="CC797" s="43"/>
      <c r="CD797" s="43"/>
      <c r="CE797" s="43"/>
      <c r="CF797" s="43"/>
      <c r="CG797" s="43"/>
      <c r="CH797" s="43"/>
      <c r="CI797" s="43"/>
      <c r="CJ797" s="43"/>
      <c r="CK797" s="43"/>
      <c r="CL797" s="43"/>
      <c r="CM797" s="43"/>
      <c r="CN797" s="43"/>
      <c r="CO797" s="43"/>
      <c r="CP797" s="43"/>
      <c r="CQ797" s="43"/>
      <c r="CR797" s="43"/>
      <c r="CS797" s="43"/>
      <c r="CT797" s="43"/>
      <c r="CU797" s="43"/>
      <c r="CV797" s="43"/>
      <c r="CW797" s="43"/>
      <c r="CX797" s="43"/>
      <c r="CY797" s="43"/>
      <c r="CZ797" s="43"/>
      <c r="DA797" s="43"/>
      <c r="DB797" s="43"/>
      <c r="DC797" s="43"/>
      <c r="DD797" s="43"/>
      <c r="DE797" s="43"/>
      <c r="DF797" s="43"/>
      <c r="DG797" s="43"/>
      <c r="DH797" s="43"/>
      <c r="DI797" s="43"/>
      <c r="DJ797" s="43"/>
      <c r="DK797" s="43"/>
      <c r="DL797" s="43"/>
      <c r="DM797" s="43"/>
      <c r="DN797" s="43"/>
      <c r="DO797" s="43"/>
      <c r="DP797" s="43"/>
      <c r="DQ797" s="43"/>
      <c r="DR797" s="43"/>
      <c r="DS797" s="43"/>
    </row>
    <row r="798" spans="1:123" ht="14.45">
      <c r="A798"/>
      <c r="B798"/>
      <c r="C798"/>
      <c r="D798"/>
      <c r="E798"/>
      <c r="F798"/>
      <c r="G798"/>
      <c r="H798"/>
      <c r="I798"/>
      <c r="J798"/>
      <c r="K798" s="43"/>
      <c r="L798" s="43"/>
      <c r="M798" s="43"/>
      <c r="N798" s="43"/>
      <c r="O798" s="43"/>
      <c r="P798" s="43"/>
      <c r="Q798" s="43"/>
      <c r="R798" s="43"/>
      <c r="S798" s="43"/>
      <c r="T798" s="43"/>
      <c r="U798" s="43"/>
      <c r="V798" s="43"/>
      <c r="W798" s="43"/>
      <c r="X798" s="43"/>
      <c r="Y798" s="43"/>
      <c r="Z798" s="43"/>
      <c r="AA798" s="43"/>
      <c r="AB798" s="43"/>
      <c r="AC798" s="43"/>
      <c r="AD798" s="43"/>
      <c r="AE798" s="43"/>
      <c r="AF798" s="43"/>
      <c r="AG798" s="43"/>
      <c r="AH798" s="43"/>
      <c r="AI798" s="43"/>
      <c r="AJ798" s="43"/>
      <c r="AK798" s="43"/>
      <c r="AL798" s="43"/>
      <c r="AM798" s="43"/>
      <c r="AN798" s="43"/>
      <c r="AO798" s="43"/>
      <c r="AP798" s="43"/>
      <c r="AQ798" s="43"/>
      <c r="AR798" s="43"/>
      <c r="AS798" s="43"/>
      <c r="AT798" s="43"/>
      <c r="AU798" s="43"/>
      <c r="AV798" s="43"/>
      <c r="AW798" s="43"/>
      <c r="AX798" s="43"/>
      <c r="AY798" s="43"/>
      <c r="AZ798" s="43"/>
      <c r="BA798" s="43"/>
      <c r="BB798" s="43"/>
      <c r="BC798" s="43"/>
      <c r="BD798" s="43"/>
      <c r="BE798" s="43"/>
      <c r="BF798" s="43"/>
      <c r="BG798" s="43"/>
      <c r="BH798" s="43"/>
      <c r="BI798" s="43"/>
      <c r="BJ798" s="43"/>
      <c r="BK798" s="43"/>
      <c r="BL798" s="43"/>
      <c r="BM798" s="43"/>
      <c r="BN798" s="43"/>
      <c r="BO798" s="43"/>
      <c r="BP798" s="43"/>
      <c r="BQ798" s="43"/>
      <c r="BR798" s="43"/>
      <c r="BS798" s="43"/>
      <c r="BT798" s="43"/>
      <c r="BU798" s="43"/>
      <c r="BV798" s="43"/>
      <c r="BW798" s="43"/>
      <c r="BX798" s="43"/>
      <c r="BY798" s="43"/>
      <c r="BZ798" s="43"/>
      <c r="CA798" s="43"/>
      <c r="CB798" s="43"/>
      <c r="CC798" s="43"/>
      <c r="CD798" s="43"/>
      <c r="CE798" s="43"/>
      <c r="CF798" s="43"/>
      <c r="CG798" s="43"/>
      <c r="CH798" s="43"/>
      <c r="CI798" s="43"/>
      <c r="CJ798" s="43"/>
      <c r="CK798" s="43"/>
      <c r="CL798" s="43"/>
      <c r="CM798" s="43"/>
      <c r="CN798" s="43"/>
      <c r="CO798" s="43"/>
      <c r="CP798" s="43"/>
      <c r="CQ798" s="43"/>
      <c r="CR798" s="43"/>
      <c r="CS798" s="43"/>
      <c r="CT798" s="43"/>
      <c r="CU798" s="43"/>
      <c r="CV798" s="43"/>
      <c r="CW798" s="43"/>
      <c r="CX798" s="43"/>
      <c r="CY798" s="43"/>
      <c r="CZ798" s="43"/>
      <c r="DA798" s="43"/>
      <c r="DB798" s="43"/>
      <c r="DC798" s="43"/>
      <c r="DD798" s="43"/>
      <c r="DE798" s="43"/>
      <c r="DF798" s="43"/>
      <c r="DG798" s="43"/>
      <c r="DH798" s="43"/>
      <c r="DI798" s="43"/>
      <c r="DJ798" s="43"/>
      <c r="DK798" s="43"/>
      <c r="DL798" s="43"/>
      <c r="DM798" s="43"/>
      <c r="DN798" s="43"/>
      <c r="DO798" s="43"/>
      <c r="DP798" s="43"/>
      <c r="DQ798" s="43"/>
      <c r="DR798" s="43"/>
      <c r="DS798" s="43"/>
    </row>
    <row r="799" spans="1:123" ht="14.45">
      <c r="A799"/>
      <c r="B799"/>
      <c r="C799"/>
      <c r="D799"/>
      <c r="E799"/>
      <c r="F799"/>
      <c r="G799"/>
      <c r="H799"/>
      <c r="I799"/>
      <c r="J799"/>
      <c r="K799" s="43"/>
      <c r="L799" s="43"/>
      <c r="M799" s="43"/>
      <c r="N799" s="43"/>
      <c r="O799" s="43"/>
      <c r="P799" s="43"/>
      <c r="Q799" s="43"/>
      <c r="R799" s="43"/>
      <c r="S799" s="43"/>
      <c r="T799" s="43"/>
      <c r="U799" s="43"/>
      <c r="V799" s="43"/>
      <c r="W799" s="43"/>
      <c r="X799" s="43"/>
      <c r="Y799" s="43"/>
      <c r="Z799" s="43"/>
      <c r="AA799" s="43"/>
      <c r="AB799" s="43"/>
      <c r="AC799" s="43"/>
      <c r="AD799" s="43"/>
      <c r="AE799" s="43"/>
      <c r="AF799" s="43"/>
      <c r="AG799" s="43"/>
      <c r="AH799" s="43"/>
      <c r="AI799" s="43"/>
      <c r="AJ799" s="43"/>
      <c r="AK799" s="43"/>
      <c r="AL799" s="43"/>
      <c r="AM799" s="43"/>
      <c r="AN799" s="43"/>
      <c r="AO799" s="43"/>
      <c r="AP799" s="43"/>
      <c r="AQ799" s="43"/>
      <c r="AR799" s="43"/>
      <c r="AS799" s="43"/>
      <c r="AT799" s="43"/>
      <c r="AU799" s="43"/>
      <c r="AV799" s="43"/>
      <c r="AW799" s="43"/>
      <c r="AX799" s="43"/>
      <c r="AY799" s="43"/>
      <c r="AZ799" s="43"/>
      <c r="BA799" s="43"/>
      <c r="BB799" s="43"/>
      <c r="BC799" s="43"/>
      <c r="BD799" s="43"/>
      <c r="BE799" s="43"/>
      <c r="BF799" s="43"/>
      <c r="BG799" s="43"/>
      <c r="BH799" s="43"/>
      <c r="BI799" s="43"/>
      <c r="BJ799" s="43"/>
      <c r="BK799" s="43"/>
      <c r="BL799" s="43"/>
      <c r="BM799" s="43"/>
      <c r="BN799" s="43"/>
      <c r="BO799" s="43"/>
      <c r="BP799" s="43"/>
      <c r="BQ799" s="43"/>
      <c r="BR799" s="43"/>
      <c r="BS799" s="43"/>
      <c r="BT799" s="43"/>
      <c r="BU799" s="43"/>
      <c r="BV799" s="43"/>
      <c r="BW799" s="43"/>
      <c r="BX799" s="43"/>
      <c r="BY799" s="43"/>
      <c r="BZ799" s="43"/>
      <c r="CA799" s="43"/>
      <c r="CB799" s="43"/>
      <c r="CC799" s="43"/>
      <c r="CD799" s="43"/>
      <c r="CE799" s="43"/>
      <c r="CF799" s="43"/>
      <c r="CG799" s="43"/>
      <c r="CH799" s="43"/>
      <c r="CI799" s="43"/>
      <c r="CJ799" s="43"/>
      <c r="CK799" s="43"/>
      <c r="CL799" s="43"/>
      <c r="CM799" s="43"/>
      <c r="CN799" s="43"/>
      <c r="CO799" s="43"/>
      <c r="CP799" s="43"/>
      <c r="CQ799" s="43"/>
      <c r="CR799" s="43"/>
      <c r="CS799" s="43"/>
      <c r="CT799" s="43"/>
      <c r="CU799" s="43"/>
      <c r="CV799" s="43"/>
      <c r="CW799" s="43"/>
      <c r="CX799" s="43"/>
      <c r="CY799" s="43"/>
      <c r="CZ799" s="43"/>
      <c r="DA799" s="43"/>
      <c r="DB799" s="43"/>
      <c r="DC799" s="43"/>
      <c r="DD799" s="43"/>
      <c r="DE799" s="43"/>
      <c r="DF799" s="43"/>
      <c r="DG799" s="43"/>
      <c r="DH799" s="43"/>
      <c r="DI799" s="43"/>
      <c r="DJ799" s="43"/>
      <c r="DK799" s="43"/>
      <c r="DL799" s="43"/>
      <c r="DM799" s="43"/>
      <c r="DN799" s="43"/>
      <c r="DO799" s="43"/>
      <c r="DP799" s="43"/>
      <c r="DQ799" s="43"/>
      <c r="DR799" s="43"/>
      <c r="DS799" s="43"/>
    </row>
    <row r="800" spans="1:123" ht="14.45">
      <c r="A800"/>
      <c r="B800"/>
      <c r="C800"/>
      <c r="D800"/>
      <c r="E800"/>
      <c r="F800"/>
      <c r="G800"/>
      <c r="H800"/>
      <c r="I800"/>
      <c r="J800"/>
      <c r="K800" s="43"/>
      <c r="L800" s="43"/>
      <c r="M800" s="43"/>
      <c r="N800" s="43"/>
      <c r="O800" s="43"/>
      <c r="P800" s="43"/>
      <c r="Q800" s="43"/>
      <c r="R800" s="43"/>
      <c r="S800" s="43"/>
      <c r="T800" s="43"/>
      <c r="U800" s="43"/>
      <c r="V800" s="43"/>
      <c r="W800" s="43"/>
      <c r="X800" s="43"/>
      <c r="Y800" s="43"/>
      <c r="Z800" s="43"/>
      <c r="AA800" s="43"/>
      <c r="AB800" s="43"/>
      <c r="AC800" s="43"/>
      <c r="AD800" s="43"/>
      <c r="AE800" s="43"/>
      <c r="AF800" s="43"/>
      <c r="AG800" s="43"/>
      <c r="AH800" s="43"/>
      <c r="AI800" s="43"/>
      <c r="AJ800" s="43"/>
      <c r="AK800" s="43"/>
      <c r="AL800" s="43"/>
      <c r="AM800" s="43"/>
      <c r="AN800" s="43"/>
      <c r="AO800" s="43"/>
      <c r="AP800" s="43"/>
      <c r="AQ800" s="43"/>
      <c r="AR800" s="43"/>
      <c r="AS800" s="43"/>
      <c r="AT800" s="43"/>
      <c r="AU800" s="43"/>
      <c r="AV800" s="43"/>
      <c r="AW800" s="43"/>
      <c r="AX800" s="43"/>
      <c r="AY800" s="43"/>
      <c r="AZ800" s="43"/>
      <c r="BA800" s="43"/>
      <c r="BB800" s="43"/>
      <c r="BC800" s="43"/>
      <c r="BD800" s="43"/>
      <c r="BE800" s="43"/>
      <c r="BF800" s="43"/>
      <c r="BG800" s="43"/>
      <c r="BH800" s="43"/>
      <c r="BI800" s="43"/>
      <c r="BJ800" s="43"/>
      <c r="BK800" s="43"/>
      <c r="BL800" s="43"/>
      <c r="BM800" s="43"/>
      <c r="BN800" s="43"/>
      <c r="BO800" s="43"/>
      <c r="BP800" s="43"/>
      <c r="BQ800" s="43"/>
      <c r="BR800" s="43"/>
      <c r="BS800" s="43"/>
      <c r="BT800" s="43"/>
      <c r="BU800" s="43"/>
      <c r="BV800" s="43"/>
      <c r="BW800" s="43"/>
      <c r="BX800" s="43"/>
      <c r="BY800" s="43"/>
      <c r="BZ800" s="43"/>
      <c r="CA800" s="43"/>
      <c r="CB800" s="43"/>
      <c r="CC800" s="43"/>
      <c r="CD800" s="43"/>
      <c r="CE800" s="43"/>
      <c r="CF800" s="43"/>
      <c r="CG800" s="43"/>
      <c r="CH800" s="43"/>
      <c r="CI800" s="43"/>
      <c r="CJ800" s="43"/>
      <c r="CK800" s="43"/>
      <c r="CL800" s="43"/>
      <c r="CM800" s="43"/>
      <c r="CN800" s="43"/>
      <c r="CO800" s="43"/>
      <c r="CP800" s="43"/>
      <c r="CQ800" s="43"/>
      <c r="CR800" s="43"/>
      <c r="CS800" s="43"/>
      <c r="CT800" s="43"/>
      <c r="CU800" s="43"/>
      <c r="CV800" s="43"/>
      <c r="CW800" s="43"/>
      <c r="CX800" s="43"/>
      <c r="CY800" s="43"/>
      <c r="CZ800" s="43"/>
      <c r="DA800" s="43"/>
      <c r="DB800" s="43"/>
      <c r="DC800" s="43"/>
      <c r="DD800" s="43"/>
      <c r="DE800" s="43"/>
      <c r="DF800" s="43"/>
      <c r="DG800" s="43"/>
      <c r="DH800" s="43"/>
      <c r="DI800" s="43"/>
      <c r="DJ800" s="43"/>
      <c r="DK800" s="43"/>
      <c r="DL800" s="43"/>
      <c r="DM800" s="43"/>
      <c r="DN800" s="43"/>
      <c r="DO800" s="43"/>
      <c r="DP800" s="43"/>
      <c r="DQ800" s="43"/>
      <c r="DR800" s="43"/>
      <c r="DS800" s="43"/>
    </row>
    <row r="801" spans="1:123" ht="14.45">
      <c r="A801"/>
      <c r="B801"/>
      <c r="C801"/>
      <c r="D801"/>
      <c r="E801"/>
      <c r="F801"/>
      <c r="G801"/>
      <c r="H801"/>
      <c r="I801"/>
      <c r="J801"/>
      <c r="K801" s="43"/>
      <c r="L801" s="43"/>
      <c r="M801" s="43"/>
      <c r="N801" s="43"/>
      <c r="O801" s="43"/>
      <c r="P801" s="43"/>
      <c r="Q801" s="43"/>
      <c r="R801" s="43"/>
      <c r="S801" s="43"/>
      <c r="T801" s="43"/>
      <c r="U801" s="43"/>
      <c r="V801" s="43"/>
      <c r="W801" s="43"/>
      <c r="X801" s="43"/>
      <c r="Y801" s="43"/>
      <c r="Z801" s="43"/>
      <c r="AA801" s="43"/>
      <c r="AB801" s="43"/>
      <c r="AC801" s="43"/>
      <c r="AD801" s="43"/>
      <c r="AE801" s="43"/>
      <c r="AF801" s="43"/>
      <c r="AG801" s="43"/>
      <c r="AH801" s="43"/>
      <c r="AI801" s="43"/>
      <c r="AJ801" s="43"/>
      <c r="AK801" s="43"/>
      <c r="AL801" s="43"/>
      <c r="AM801" s="43"/>
      <c r="AN801" s="43"/>
      <c r="AO801" s="43"/>
      <c r="AP801" s="43"/>
      <c r="AQ801" s="43"/>
      <c r="AR801" s="43"/>
      <c r="AS801" s="43"/>
      <c r="AT801" s="43"/>
      <c r="AU801" s="43"/>
      <c r="AV801" s="43"/>
      <c r="AW801" s="43"/>
      <c r="AX801" s="43"/>
      <c r="AY801" s="43"/>
      <c r="AZ801" s="43"/>
      <c r="BA801" s="43"/>
      <c r="BB801" s="43"/>
      <c r="BC801" s="43"/>
      <c r="BD801" s="43"/>
      <c r="BE801" s="43"/>
      <c r="BF801" s="43"/>
      <c r="BG801" s="43"/>
      <c r="BH801" s="43"/>
      <c r="BI801" s="43"/>
      <c r="BJ801" s="43"/>
      <c r="BK801" s="43"/>
      <c r="BL801" s="43"/>
      <c r="BM801" s="43"/>
      <c r="BN801" s="43"/>
      <c r="BO801" s="43"/>
      <c r="BP801" s="43"/>
      <c r="BQ801" s="43"/>
      <c r="BR801" s="43"/>
      <c r="BS801" s="43"/>
      <c r="BT801" s="43"/>
      <c r="BU801" s="43"/>
      <c r="BV801" s="43"/>
      <c r="BW801" s="43"/>
      <c r="BX801" s="43"/>
      <c r="BY801" s="43"/>
      <c r="BZ801" s="43"/>
      <c r="CA801" s="43"/>
      <c r="CB801" s="43"/>
      <c r="CC801" s="43"/>
      <c r="CD801" s="43"/>
      <c r="CE801" s="43"/>
      <c r="CF801" s="43"/>
      <c r="CG801" s="43"/>
      <c r="CH801" s="43"/>
      <c r="CI801" s="43"/>
      <c r="CJ801" s="43"/>
      <c r="CK801" s="43"/>
      <c r="CL801" s="43"/>
      <c r="CM801" s="43"/>
      <c r="CN801" s="43"/>
      <c r="CO801" s="43"/>
      <c r="CP801" s="43"/>
      <c r="CQ801" s="43"/>
      <c r="CR801" s="43"/>
      <c r="CS801" s="43"/>
      <c r="CT801" s="43"/>
      <c r="CU801" s="43"/>
      <c r="CV801" s="43"/>
      <c r="CW801" s="43"/>
      <c r="CX801" s="43"/>
      <c r="CY801" s="43"/>
      <c r="CZ801" s="43"/>
      <c r="DA801" s="43"/>
      <c r="DB801" s="43"/>
      <c r="DC801" s="43"/>
      <c r="DD801" s="43"/>
      <c r="DE801" s="43"/>
      <c r="DF801" s="43"/>
      <c r="DG801" s="43"/>
      <c r="DH801" s="43"/>
      <c r="DI801" s="43"/>
      <c r="DJ801" s="43"/>
      <c r="DK801" s="43"/>
      <c r="DL801" s="43"/>
      <c r="DM801" s="43"/>
      <c r="DN801" s="43"/>
      <c r="DO801" s="43"/>
      <c r="DP801" s="43"/>
      <c r="DQ801" s="43"/>
      <c r="DR801" s="43"/>
      <c r="DS801" s="43"/>
    </row>
    <row r="802" spans="1:123" ht="14.45">
      <c r="A802"/>
      <c r="B802"/>
      <c r="C802"/>
      <c r="D802"/>
      <c r="E802"/>
      <c r="F802"/>
      <c r="G802"/>
      <c r="H802"/>
      <c r="I802"/>
      <c r="J802"/>
      <c r="K802" s="43"/>
      <c r="L802" s="43"/>
      <c r="M802" s="43"/>
      <c r="N802" s="43"/>
      <c r="O802" s="43"/>
      <c r="P802" s="43"/>
      <c r="Q802" s="43"/>
      <c r="R802" s="43"/>
      <c r="S802" s="43"/>
      <c r="T802" s="43"/>
      <c r="U802" s="43"/>
      <c r="V802" s="43"/>
      <c r="W802" s="43"/>
      <c r="X802" s="43"/>
      <c r="Y802" s="43"/>
      <c r="Z802" s="43"/>
      <c r="AA802" s="43"/>
      <c r="AB802" s="43"/>
      <c r="AC802" s="43"/>
      <c r="AD802" s="43"/>
      <c r="AE802" s="43"/>
      <c r="AF802" s="43"/>
      <c r="AG802" s="43"/>
      <c r="AH802" s="43"/>
      <c r="AI802" s="43"/>
      <c r="AJ802" s="43"/>
      <c r="AK802" s="43"/>
      <c r="AL802" s="43"/>
      <c r="AM802" s="43"/>
      <c r="AN802" s="43"/>
      <c r="AO802" s="43"/>
      <c r="AP802" s="43"/>
      <c r="AQ802" s="43"/>
      <c r="AR802" s="43"/>
      <c r="AS802" s="43"/>
      <c r="AT802" s="43"/>
      <c r="AU802" s="43"/>
      <c r="AV802" s="43"/>
      <c r="AW802" s="43"/>
      <c r="AX802" s="43"/>
      <c r="AY802" s="43"/>
      <c r="AZ802" s="43"/>
      <c r="BA802" s="43"/>
      <c r="BB802" s="43"/>
      <c r="BC802" s="43"/>
      <c r="BD802" s="43"/>
      <c r="BE802" s="43"/>
      <c r="BF802" s="43"/>
      <c r="BG802" s="43"/>
      <c r="BH802" s="43"/>
      <c r="BI802" s="43"/>
      <c r="BJ802" s="43"/>
      <c r="BK802" s="43"/>
      <c r="BL802" s="43"/>
      <c r="BM802" s="43"/>
      <c r="BN802" s="43"/>
      <c r="BO802" s="43"/>
      <c r="BP802" s="43"/>
      <c r="BQ802" s="43"/>
      <c r="BR802" s="43"/>
      <c r="BS802" s="43"/>
      <c r="BT802" s="43"/>
      <c r="BU802" s="43"/>
      <c r="BV802" s="43"/>
      <c r="BW802" s="43"/>
      <c r="BX802" s="43"/>
      <c r="BY802" s="43"/>
      <c r="BZ802" s="43"/>
      <c r="CA802" s="43"/>
      <c r="CB802" s="43"/>
      <c r="CC802" s="43"/>
      <c r="CD802" s="43"/>
      <c r="CE802" s="43"/>
      <c r="CF802" s="43"/>
      <c r="CG802" s="43"/>
      <c r="CH802" s="43"/>
      <c r="CI802" s="43"/>
      <c r="CJ802" s="43"/>
      <c r="CK802" s="43"/>
      <c r="CL802" s="43"/>
      <c r="CM802" s="43"/>
      <c r="CN802" s="43"/>
      <c r="CO802" s="43"/>
      <c r="CP802" s="43"/>
      <c r="CQ802" s="43"/>
      <c r="CR802" s="43"/>
      <c r="CS802" s="43"/>
      <c r="CT802" s="43"/>
      <c r="CU802" s="43"/>
      <c r="CV802" s="43"/>
      <c r="CW802" s="43"/>
      <c r="CX802" s="43"/>
      <c r="CY802" s="43"/>
      <c r="CZ802" s="43"/>
      <c r="DA802" s="43"/>
      <c r="DB802" s="43"/>
      <c r="DC802" s="43"/>
      <c r="DD802" s="43"/>
      <c r="DE802" s="43"/>
      <c r="DF802" s="43"/>
      <c r="DG802" s="43"/>
      <c r="DH802" s="43"/>
      <c r="DI802" s="43"/>
      <c r="DJ802" s="43"/>
      <c r="DK802" s="43"/>
      <c r="DL802" s="43"/>
      <c r="DM802" s="43"/>
      <c r="DN802" s="43"/>
      <c r="DO802" s="43"/>
      <c r="DP802" s="43"/>
      <c r="DQ802" s="43"/>
      <c r="DR802" s="43"/>
      <c r="DS802" s="43"/>
    </row>
    <row r="803" spans="1:123" ht="14.45">
      <c r="A803"/>
      <c r="B803"/>
      <c r="C803"/>
      <c r="D803"/>
      <c r="E803"/>
      <c r="F803"/>
      <c r="G803"/>
      <c r="H803"/>
      <c r="I803"/>
      <c r="J803"/>
      <c r="K803" s="43"/>
      <c r="L803" s="43"/>
      <c r="M803" s="43"/>
      <c r="N803" s="43"/>
      <c r="O803" s="43"/>
      <c r="P803" s="43"/>
      <c r="Q803" s="43"/>
      <c r="R803" s="43"/>
      <c r="S803" s="43"/>
      <c r="T803" s="43"/>
      <c r="U803" s="43"/>
      <c r="V803" s="43"/>
      <c r="W803" s="43"/>
      <c r="X803" s="43"/>
      <c r="Y803" s="43"/>
      <c r="Z803" s="43"/>
      <c r="AA803" s="43"/>
      <c r="AB803" s="43"/>
      <c r="AC803" s="43"/>
      <c r="AD803" s="43"/>
      <c r="AE803" s="43"/>
      <c r="AF803" s="43"/>
      <c r="AG803" s="43"/>
      <c r="AH803" s="43"/>
      <c r="AI803" s="43"/>
      <c r="AJ803" s="43"/>
      <c r="AK803" s="43"/>
      <c r="AL803" s="43"/>
      <c r="AM803" s="43"/>
      <c r="AN803" s="43"/>
      <c r="AO803" s="43"/>
      <c r="AP803" s="43"/>
      <c r="AQ803" s="43"/>
      <c r="AR803" s="43"/>
      <c r="AS803" s="43"/>
      <c r="AT803" s="43"/>
      <c r="AU803" s="43"/>
      <c r="AV803" s="43"/>
      <c r="AW803" s="43"/>
      <c r="AX803" s="43"/>
      <c r="AY803" s="43"/>
      <c r="AZ803" s="43"/>
      <c r="BA803" s="43"/>
      <c r="BB803" s="43"/>
      <c r="BC803" s="43"/>
      <c r="BD803" s="43"/>
      <c r="BE803" s="43"/>
      <c r="BF803" s="43"/>
      <c r="BG803" s="43"/>
      <c r="BH803" s="43"/>
      <c r="BI803" s="43"/>
      <c r="BJ803" s="43"/>
      <c r="BK803" s="43"/>
      <c r="BL803" s="43"/>
      <c r="BM803" s="43"/>
      <c r="BN803" s="43"/>
      <c r="BO803" s="43"/>
      <c r="BP803" s="43"/>
      <c r="BQ803" s="43"/>
      <c r="BR803" s="43"/>
      <c r="BS803" s="43"/>
      <c r="BT803" s="43"/>
      <c r="BU803" s="43"/>
      <c r="BV803" s="43"/>
      <c r="BW803" s="43"/>
      <c r="BX803" s="43"/>
      <c r="BY803" s="43"/>
      <c r="BZ803" s="43"/>
      <c r="CA803" s="43"/>
      <c r="CB803" s="43"/>
      <c r="CC803" s="43"/>
      <c r="CD803" s="43"/>
      <c r="CE803" s="43"/>
      <c r="CF803" s="43"/>
      <c r="CG803" s="43"/>
      <c r="CH803" s="43"/>
      <c r="CI803" s="43"/>
      <c r="CJ803" s="43"/>
      <c r="CK803" s="43"/>
      <c r="CL803" s="43"/>
      <c r="CM803" s="43"/>
      <c r="CN803" s="43"/>
      <c r="CO803" s="43"/>
      <c r="CP803" s="43"/>
      <c r="CQ803" s="43"/>
      <c r="CR803" s="43"/>
      <c r="CS803" s="43"/>
      <c r="CT803" s="43"/>
      <c r="CU803" s="43"/>
      <c r="CV803" s="43"/>
      <c r="CW803" s="43"/>
      <c r="CX803" s="43"/>
      <c r="CY803" s="43"/>
      <c r="CZ803" s="43"/>
      <c r="DA803" s="43"/>
      <c r="DB803" s="43"/>
      <c r="DC803" s="43"/>
      <c r="DD803" s="43"/>
      <c r="DE803" s="43"/>
      <c r="DF803" s="43"/>
      <c r="DG803" s="43"/>
      <c r="DH803" s="43"/>
      <c r="DI803" s="43"/>
      <c r="DJ803" s="43"/>
      <c r="DK803" s="43"/>
      <c r="DL803" s="43"/>
      <c r="DM803" s="43"/>
      <c r="DN803" s="43"/>
      <c r="DO803" s="43"/>
      <c r="DP803" s="43"/>
      <c r="DQ803" s="43"/>
      <c r="DR803" s="43"/>
      <c r="DS803" s="43"/>
    </row>
    <row r="804" spans="1:123" ht="14.45">
      <c r="A804"/>
      <c r="B804"/>
      <c r="C804"/>
      <c r="D804"/>
      <c r="E804"/>
      <c r="F804"/>
      <c r="G804"/>
      <c r="H804"/>
      <c r="I804"/>
      <c r="J804"/>
      <c r="K804" s="43"/>
      <c r="L804" s="43"/>
      <c r="M804" s="43"/>
      <c r="N804" s="43"/>
      <c r="O804" s="43"/>
      <c r="P804" s="43"/>
      <c r="Q804" s="43"/>
      <c r="R804" s="43"/>
      <c r="S804" s="43"/>
      <c r="T804" s="43"/>
      <c r="U804" s="43"/>
      <c r="V804" s="43"/>
      <c r="W804" s="43"/>
      <c r="X804" s="43"/>
      <c r="Y804" s="43"/>
      <c r="Z804" s="43"/>
      <c r="AA804" s="43"/>
      <c r="AB804" s="43"/>
      <c r="AC804" s="43"/>
      <c r="AD804" s="43"/>
      <c r="AE804" s="43"/>
      <c r="AF804" s="43"/>
      <c r="AG804" s="43"/>
      <c r="AH804" s="43"/>
      <c r="AI804" s="43"/>
      <c r="AJ804" s="43"/>
      <c r="AK804" s="43"/>
      <c r="AL804" s="43"/>
      <c r="AM804" s="43"/>
      <c r="AN804" s="43"/>
      <c r="AO804" s="43"/>
      <c r="AP804" s="43"/>
      <c r="AQ804" s="43"/>
      <c r="AR804" s="43"/>
      <c r="AS804" s="43"/>
      <c r="AT804" s="43"/>
      <c r="AU804" s="43"/>
      <c r="AV804" s="43"/>
      <c r="AW804" s="43"/>
      <c r="AX804" s="43"/>
      <c r="AY804" s="43"/>
      <c r="AZ804" s="43"/>
      <c r="BA804" s="43"/>
      <c r="BB804" s="43"/>
      <c r="BC804" s="43"/>
      <c r="BD804" s="43"/>
      <c r="BE804" s="43"/>
      <c r="BF804" s="43"/>
      <c r="BG804" s="43"/>
      <c r="BH804" s="43"/>
      <c r="BI804" s="43"/>
      <c r="BJ804" s="43"/>
      <c r="BK804" s="43"/>
      <c r="BL804" s="43"/>
      <c r="BM804" s="43"/>
      <c r="BN804" s="43"/>
      <c r="BO804" s="43"/>
      <c r="BP804" s="43"/>
      <c r="BQ804" s="43"/>
      <c r="BR804" s="43"/>
      <c r="BS804" s="43"/>
      <c r="BT804" s="43"/>
      <c r="BU804" s="43"/>
      <c r="BV804" s="43"/>
      <c r="BW804" s="43"/>
      <c r="BX804" s="43"/>
      <c r="BY804" s="43"/>
      <c r="BZ804" s="43"/>
      <c r="CA804" s="43"/>
      <c r="CB804" s="43"/>
      <c r="CC804" s="43"/>
      <c r="CD804" s="43"/>
      <c r="CE804" s="43"/>
      <c r="CF804" s="43"/>
      <c r="CG804" s="43"/>
      <c r="CH804" s="43"/>
      <c r="CI804" s="43"/>
      <c r="CJ804" s="43"/>
      <c r="CK804" s="43"/>
      <c r="CL804" s="43"/>
      <c r="CM804" s="43"/>
      <c r="CN804" s="43"/>
      <c r="CO804" s="43"/>
      <c r="CP804" s="43"/>
      <c r="CQ804" s="43"/>
      <c r="CR804" s="43"/>
      <c r="CS804" s="43"/>
      <c r="CT804" s="43"/>
      <c r="CU804" s="43"/>
      <c r="CV804" s="43"/>
      <c r="CW804" s="43"/>
      <c r="CX804" s="43"/>
      <c r="CY804" s="43"/>
      <c r="CZ804" s="43"/>
      <c r="DA804" s="43"/>
      <c r="DB804" s="43"/>
      <c r="DC804" s="43"/>
      <c r="DD804" s="43"/>
      <c r="DE804" s="43"/>
      <c r="DF804" s="43"/>
      <c r="DG804" s="43"/>
      <c r="DH804" s="43"/>
      <c r="DI804" s="43"/>
      <c r="DJ804" s="43"/>
      <c r="DK804" s="43"/>
      <c r="DL804" s="43"/>
      <c r="DM804" s="43"/>
      <c r="DN804" s="43"/>
      <c r="DO804" s="43"/>
      <c r="DP804" s="43"/>
      <c r="DQ804" s="43"/>
      <c r="DR804" s="43"/>
      <c r="DS804" s="43"/>
    </row>
    <row r="805" spans="1:123" ht="14.45">
      <c r="A805"/>
      <c r="B805"/>
      <c r="C805"/>
      <c r="D805"/>
      <c r="E805"/>
      <c r="F805"/>
      <c r="G805"/>
      <c r="H805"/>
      <c r="I805"/>
      <c r="J805"/>
      <c r="K805" s="43"/>
      <c r="L805" s="43"/>
      <c r="M805" s="43"/>
      <c r="N805" s="43"/>
      <c r="O805" s="43"/>
      <c r="P805" s="43"/>
      <c r="Q805" s="43"/>
      <c r="R805" s="43"/>
      <c r="S805" s="43"/>
      <c r="T805" s="43"/>
      <c r="U805" s="43"/>
      <c r="V805" s="43"/>
      <c r="W805" s="43"/>
      <c r="X805" s="43"/>
      <c r="Y805" s="43"/>
      <c r="Z805" s="43"/>
      <c r="AA805" s="43"/>
      <c r="AB805" s="43"/>
      <c r="AC805" s="43"/>
      <c r="AD805" s="43"/>
      <c r="AE805" s="43"/>
      <c r="AF805" s="43"/>
      <c r="AG805" s="43"/>
      <c r="AH805" s="43"/>
      <c r="AI805" s="43"/>
      <c r="AJ805" s="43"/>
      <c r="AK805" s="43"/>
      <c r="AL805" s="43"/>
      <c r="AM805" s="43"/>
      <c r="AN805" s="43"/>
      <c r="AO805" s="43"/>
      <c r="AP805" s="43"/>
      <c r="AQ805" s="43"/>
      <c r="AR805" s="43"/>
      <c r="AS805" s="43"/>
      <c r="AT805" s="43"/>
      <c r="AU805" s="43"/>
      <c r="AV805" s="43"/>
      <c r="AW805" s="43"/>
      <c r="AX805" s="43"/>
      <c r="AY805" s="43"/>
      <c r="AZ805" s="43"/>
      <c r="BA805" s="43"/>
      <c r="BB805" s="43"/>
      <c r="BC805" s="43"/>
      <c r="BD805" s="43"/>
      <c r="BE805" s="43"/>
      <c r="BF805" s="43"/>
      <c r="BG805" s="43"/>
      <c r="BH805" s="43"/>
      <c r="BI805" s="43"/>
      <c r="BJ805" s="43"/>
      <c r="BK805" s="43"/>
      <c r="BL805" s="43"/>
      <c r="BM805" s="43"/>
      <c r="BN805" s="43"/>
      <c r="BO805" s="43"/>
      <c r="BP805" s="43"/>
      <c r="BQ805" s="43"/>
      <c r="BR805" s="43"/>
      <c r="BS805" s="43"/>
      <c r="BT805" s="43"/>
      <c r="BU805" s="43"/>
      <c r="BV805" s="43"/>
      <c r="BW805" s="43"/>
      <c r="BX805" s="43"/>
      <c r="BY805" s="43"/>
      <c r="BZ805" s="43"/>
      <c r="CA805" s="43"/>
      <c r="CB805" s="43"/>
      <c r="CC805" s="43"/>
      <c r="CD805" s="43"/>
      <c r="CE805" s="43"/>
      <c r="CF805" s="43"/>
      <c r="CG805" s="43"/>
      <c r="CH805" s="43"/>
      <c r="CI805" s="43"/>
      <c r="CJ805" s="43"/>
      <c r="CK805" s="43"/>
      <c r="CL805" s="43"/>
      <c r="CM805" s="43"/>
      <c r="CN805" s="43"/>
      <c r="CO805" s="43"/>
      <c r="CP805" s="43"/>
      <c r="CQ805" s="43"/>
      <c r="CR805" s="43"/>
      <c r="CS805" s="43"/>
      <c r="CT805" s="43"/>
      <c r="CU805" s="43"/>
      <c r="CV805" s="43"/>
      <c r="CW805" s="43"/>
      <c r="CX805" s="43"/>
      <c r="CY805" s="43"/>
      <c r="CZ805" s="43"/>
      <c r="DA805" s="43"/>
      <c r="DB805" s="43"/>
      <c r="DC805" s="43"/>
      <c r="DD805" s="43"/>
      <c r="DE805" s="43"/>
      <c r="DF805" s="43"/>
      <c r="DG805" s="43"/>
      <c r="DH805" s="43"/>
      <c r="DI805" s="43"/>
      <c r="DJ805" s="43"/>
      <c r="DK805" s="43"/>
      <c r="DL805" s="43"/>
      <c r="DM805" s="43"/>
      <c r="DN805" s="43"/>
      <c r="DO805" s="43"/>
      <c r="DP805" s="43"/>
      <c r="DQ805" s="43"/>
      <c r="DR805" s="43"/>
      <c r="DS805" s="43"/>
    </row>
    <row r="806" spans="1:123" ht="14.45">
      <c r="A806"/>
      <c r="B806"/>
      <c r="C806"/>
      <c r="D806"/>
      <c r="E806"/>
      <c r="F806"/>
      <c r="G806"/>
      <c r="H806"/>
      <c r="I806"/>
      <c r="J806"/>
      <c r="K806" s="43"/>
      <c r="L806" s="43"/>
      <c r="M806" s="43"/>
      <c r="N806" s="43"/>
      <c r="O806" s="43"/>
      <c r="P806" s="43"/>
      <c r="Q806" s="43"/>
      <c r="R806" s="43"/>
      <c r="S806" s="43"/>
      <c r="T806" s="43"/>
      <c r="U806" s="43"/>
      <c r="V806" s="43"/>
      <c r="W806" s="43"/>
      <c r="X806" s="43"/>
      <c r="Y806" s="43"/>
      <c r="Z806" s="43"/>
      <c r="AA806" s="43"/>
      <c r="AB806" s="43"/>
      <c r="AC806" s="43"/>
      <c r="AD806" s="43"/>
      <c r="AE806" s="43"/>
      <c r="AF806" s="43"/>
      <c r="AG806" s="43"/>
      <c r="AH806" s="43"/>
      <c r="AI806" s="43"/>
      <c r="AJ806" s="43"/>
      <c r="AK806" s="43"/>
      <c r="AL806" s="43"/>
      <c r="AM806" s="43"/>
      <c r="AN806" s="43"/>
      <c r="AO806" s="43"/>
      <c r="AP806" s="43"/>
      <c r="AQ806" s="43"/>
      <c r="AR806" s="43"/>
      <c r="AS806" s="43"/>
      <c r="AT806" s="43"/>
      <c r="AU806" s="43"/>
      <c r="AV806" s="43"/>
      <c r="AW806" s="43"/>
      <c r="AX806" s="43"/>
      <c r="AY806" s="43"/>
      <c r="AZ806" s="43"/>
      <c r="BA806" s="43"/>
      <c r="BB806" s="43"/>
      <c r="BC806" s="43"/>
      <c r="BD806" s="43"/>
      <c r="BE806" s="43"/>
      <c r="BF806" s="43"/>
      <c r="BG806" s="43"/>
      <c r="BH806" s="43"/>
      <c r="BI806" s="43"/>
      <c r="BJ806" s="43"/>
      <c r="BK806" s="43"/>
      <c r="BL806" s="43"/>
      <c r="BM806" s="43"/>
      <c r="BN806" s="43"/>
      <c r="BO806" s="43"/>
      <c r="BP806" s="43"/>
      <c r="BQ806" s="43"/>
      <c r="BR806" s="43"/>
      <c r="BS806" s="43"/>
      <c r="BT806" s="43"/>
      <c r="BU806" s="43"/>
      <c r="BV806" s="43"/>
      <c r="BW806" s="43"/>
      <c r="BX806" s="43"/>
      <c r="BY806" s="43"/>
      <c r="BZ806" s="43"/>
      <c r="CA806" s="43"/>
      <c r="CB806" s="43"/>
      <c r="CC806" s="43"/>
      <c r="CD806" s="43"/>
      <c r="CE806" s="43"/>
      <c r="CF806" s="43"/>
      <c r="CG806" s="43"/>
      <c r="CH806" s="43"/>
      <c r="CI806" s="43"/>
      <c r="CJ806" s="43"/>
      <c r="CK806" s="43"/>
      <c r="CL806" s="43"/>
      <c r="CM806" s="43"/>
      <c r="CN806" s="43"/>
      <c r="CO806" s="43"/>
      <c r="CP806" s="43"/>
      <c r="CQ806" s="43"/>
      <c r="CR806" s="43"/>
      <c r="CS806" s="43"/>
      <c r="CT806" s="43"/>
      <c r="CU806" s="43"/>
      <c r="CV806" s="43"/>
      <c r="CW806" s="43"/>
      <c r="CX806" s="43"/>
      <c r="CY806" s="43"/>
      <c r="CZ806" s="43"/>
      <c r="DA806" s="43"/>
      <c r="DB806" s="43"/>
      <c r="DC806" s="43"/>
      <c r="DD806" s="43"/>
      <c r="DE806" s="43"/>
      <c r="DF806" s="43"/>
      <c r="DG806" s="43"/>
      <c r="DH806" s="43"/>
      <c r="DI806" s="43"/>
      <c r="DJ806" s="43"/>
      <c r="DK806" s="43"/>
      <c r="DL806" s="43"/>
      <c r="DM806" s="43"/>
      <c r="DN806" s="43"/>
      <c r="DO806" s="43"/>
      <c r="DP806" s="43"/>
      <c r="DQ806" s="43"/>
      <c r="DR806" s="43"/>
      <c r="DS806" s="43"/>
    </row>
    <row r="807" spans="1:123" ht="14.45">
      <c r="A807"/>
      <c r="B807"/>
      <c r="C807"/>
      <c r="D807"/>
      <c r="E807"/>
      <c r="F807"/>
      <c r="G807"/>
      <c r="H807"/>
      <c r="I807"/>
      <c r="J807"/>
      <c r="K807" s="43"/>
      <c r="L807" s="43"/>
      <c r="M807" s="43"/>
      <c r="N807" s="43"/>
      <c r="O807" s="43"/>
      <c r="P807" s="43"/>
      <c r="Q807" s="43"/>
      <c r="R807" s="43"/>
      <c r="S807" s="43"/>
      <c r="T807" s="43"/>
      <c r="U807" s="43"/>
      <c r="V807" s="43"/>
      <c r="W807" s="43"/>
      <c r="X807" s="43"/>
      <c r="Y807" s="43"/>
      <c r="Z807" s="43"/>
      <c r="AA807" s="43"/>
      <c r="AB807" s="43"/>
      <c r="AC807" s="43"/>
      <c r="AD807" s="43"/>
      <c r="AE807" s="43"/>
      <c r="AF807" s="43"/>
      <c r="AG807" s="43"/>
      <c r="AH807" s="43"/>
      <c r="AI807" s="43"/>
      <c r="AJ807" s="43"/>
      <c r="AK807" s="43"/>
      <c r="AL807" s="43"/>
      <c r="AM807" s="43"/>
      <c r="AN807" s="43"/>
      <c r="AO807" s="43"/>
      <c r="AP807" s="43"/>
      <c r="AQ807" s="43"/>
      <c r="AR807" s="43"/>
      <c r="AS807" s="43"/>
      <c r="AT807" s="43"/>
      <c r="AU807" s="43"/>
      <c r="AV807" s="43"/>
      <c r="AW807" s="43"/>
      <c r="AX807" s="43"/>
      <c r="AY807" s="43"/>
      <c r="AZ807" s="43"/>
      <c r="BA807" s="43"/>
      <c r="BB807" s="43"/>
      <c r="BC807" s="43"/>
      <c r="BD807" s="43"/>
      <c r="BE807" s="43"/>
      <c r="BF807" s="43"/>
      <c r="BG807" s="43"/>
      <c r="BH807" s="43"/>
      <c r="BI807" s="43"/>
      <c r="BJ807" s="43"/>
      <c r="BK807" s="43"/>
      <c r="BL807" s="43"/>
      <c r="BM807" s="43"/>
      <c r="BN807" s="43"/>
      <c r="BO807" s="43"/>
      <c r="BP807" s="43"/>
      <c r="BQ807" s="43"/>
      <c r="BR807" s="43"/>
      <c r="BS807" s="43"/>
      <c r="BT807" s="43"/>
      <c r="BU807" s="43"/>
      <c r="BV807" s="43"/>
      <c r="BW807" s="43"/>
      <c r="BX807" s="43"/>
      <c r="BY807" s="43"/>
      <c r="BZ807" s="43"/>
      <c r="CA807" s="43"/>
      <c r="CB807" s="43"/>
      <c r="CC807" s="43"/>
      <c r="CD807" s="43"/>
      <c r="CE807" s="43"/>
      <c r="CF807" s="43"/>
      <c r="CG807" s="43"/>
      <c r="CH807" s="43"/>
      <c r="CI807" s="43"/>
      <c r="CJ807" s="43"/>
      <c r="CK807" s="43"/>
      <c r="CL807" s="43"/>
      <c r="CM807" s="43"/>
      <c r="CN807" s="43"/>
      <c r="CO807" s="43"/>
      <c r="CP807" s="43"/>
      <c r="CQ807" s="43"/>
      <c r="CR807" s="43"/>
      <c r="CS807" s="43"/>
      <c r="CT807" s="43"/>
      <c r="CU807" s="43"/>
      <c r="CV807" s="43"/>
      <c r="CW807" s="43"/>
      <c r="CX807" s="43"/>
      <c r="CY807" s="43"/>
      <c r="CZ807" s="43"/>
      <c r="DA807" s="43"/>
      <c r="DB807" s="43"/>
      <c r="DC807" s="43"/>
      <c r="DD807" s="43"/>
      <c r="DE807" s="43"/>
      <c r="DF807" s="43"/>
      <c r="DG807" s="43"/>
      <c r="DH807" s="43"/>
      <c r="DI807" s="43"/>
      <c r="DJ807" s="43"/>
      <c r="DK807" s="43"/>
      <c r="DL807" s="43"/>
      <c r="DM807" s="43"/>
      <c r="DN807" s="43"/>
      <c r="DO807" s="43"/>
      <c r="DP807" s="43"/>
      <c r="DQ807" s="43"/>
      <c r="DR807" s="43"/>
      <c r="DS807" s="43"/>
    </row>
    <row r="808" spans="1:123" ht="14.45">
      <c r="A808"/>
      <c r="B808"/>
      <c r="C808"/>
      <c r="D808"/>
      <c r="E808"/>
      <c r="F808"/>
      <c r="G808"/>
      <c r="H808"/>
      <c r="I808"/>
      <c r="J808"/>
      <c r="K808" s="43"/>
      <c r="L808" s="43"/>
      <c r="M808" s="43"/>
      <c r="N808" s="43"/>
      <c r="O808" s="43"/>
      <c r="P808" s="43"/>
      <c r="Q808" s="43"/>
      <c r="R808" s="43"/>
      <c r="S808" s="43"/>
      <c r="T808" s="43"/>
      <c r="U808" s="43"/>
      <c r="V808" s="43"/>
      <c r="W808" s="43"/>
      <c r="X808" s="43"/>
      <c r="Y808" s="43"/>
      <c r="Z808" s="43"/>
      <c r="AA808" s="43"/>
      <c r="AB808" s="43"/>
      <c r="AC808" s="43"/>
      <c r="AD808" s="43"/>
      <c r="AE808" s="43"/>
      <c r="AF808" s="43"/>
      <c r="AG808" s="43"/>
      <c r="AH808" s="43"/>
      <c r="AI808" s="43"/>
      <c r="AJ808" s="43"/>
      <c r="AK808" s="43"/>
      <c r="AL808" s="43"/>
      <c r="AM808" s="43"/>
      <c r="AN808" s="43"/>
      <c r="AO808" s="43"/>
      <c r="AP808" s="43"/>
      <c r="AQ808" s="43"/>
      <c r="AR808" s="43"/>
      <c r="AS808" s="43"/>
      <c r="AT808" s="43"/>
      <c r="AU808" s="43"/>
      <c r="AV808" s="43"/>
      <c r="AW808" s="43"/>
      <c r="AX808" s="43"/>
      <c r="AY808" s="43"/>
      <c r="AZ808" s="43"/>
      <c r="BA808" s="43"/>
      <c r="BB808" s="43"/>
      <c r="BC808" s="43"/>
      <c r="BD808" s="43"/>
      <c r="BE808" s="43"/>
      <c r="BF808" s="43"/>
      <c r="BG808" s="43"/>
      <c r="BH808" s="43"/>
      <c r="BI808" s="43"/>
      <c r="BJ808" s="43"/>
      <c r="BK808" s="43"/>
      <c r="BL808" s="43"/>
      <c r="BM808" s="43"/>
      <c r="BN808" s="43"/>
      <c r="BO808" s="43"/>
      <c r="BP808" s="43"/>
      <c r="BQ808" s="43"/>
      <c r="BR808" s="43"/>
      <c r="BS808" s="43"/>
      <c r="BT808" s="43"/>
      <c r="BU808" s="43"/>
      <c r="BV808" s="43"/>
      <c r="BW808" s="43"/>
      <c r="BX808" s="43"/>
      <c r="BY808" s="43"/>
      <c r="BZ808" s="43"/>
      <c r="CA808" s="43"/>
      <c r="CB808" s="43"/>
      <c r="CC808" s="43"/>
      <c r="CD808" s="43"/>
      <c r="CE808" s="43"/>
      <c r="CF808" s="43"/>
      <c r="CG808" s="43"/>
      <c r="CH808" s="43"/>
      <c r="CI808" s="43"/>
      <c r="CJ808" s="43"/>
      <c r="CK808" s="43"/>
      <c r="CL808" s="43"/>
      <c r="CM808" s="43"/>
      <c r="CN808" s="43"/>
      <c r="CO808" s="43"/>
      <c r="CP808" s="43"/>
      <c r="CQ808" s="43"/>
      <c r="CR808" s="43"/>
      <c r="CS808" s="43"/>
      <c r="CT808" s="43"/>
      <c r="CU808" s="43"/>
      <c r="CV808" s="43"/>
      <c r="CW808" s="43"/>
      <c r="CX808" s="43"/>
      <c r="CY808" s="43"/>
      <c r="CZ808" s="43"/>
      <c r="DA808" s="43"/>
      <c r="DB808" s="43"/>
      <c r="DC808" s="43"/>
      <c r="DD808" s="43"/>
      <c r="DE808" s="43"/>
      <c r="DF808" s="43"/>
      <c r="DG808" s="43"/>
      <c r="DH808" s="43"/>
      <c r="DI808" s="43"/>
      <c r="DJ808" s="43"/>
      <c r="DK808" s="43"/>
      <c r="DL808" s="43"/>
      <c r="DM808" s="43"/>
      <c r="DN808" s="43"/>
      <c r="DO808" s="43"/>
      <c r="DP808" s="43"/>
      <c r="DQ808" s="43"/>
      <c r="DR808" s="43"/>
      <c r="DS808" s="43"/>
    </row>
    <row r="809" spans="1:123" ht="14.45">
      <c r="A809"/>
      <c r="B809"/>
      <c r="C809"/>
      <c r="D809"/>
      <c r="E809"/>
      <c r="F809"/>
      <c r="G809"/>
      <c r="H809"/>
      <c r="I809"/>
      <c r="J809"/>
      <c r="K809" s="43"/>
      <c r="L809" s="43"/>
      <c r="M809" s="43"/>
      <c r="N809" s="43"/>
      <c r="O809" s="43"/>
      <c r="P809" s="43"/>
      <c r="Q809" s="43"/>
      <c r="R809" s="43"/>
      <c r="S809" s="43"/>
      <c r="T809" s="43"/>
      <c r="U809" s="43"/>
      <c r="V809" s="43"/>
      <c r="W809" s="43"/>
      <c r="X809" s="43"/>
      <c r="Y809" s="43"/>
      <c r="Z809" s="43"/>
      <c r="AA809" s="43"/>
      <c r="AB809" s="43"/>
      <c r="AC809" s="43"/>
      <c r="AD809" s="43"/>
      <c r="AE809" s="43"/>
      <c r="AF809" s="43"/>
      <c r="AG809" s="43"/>
      <c r="AH809" s="43"/>
      <c r="AI809" s="43"/>
      <c r="AJ809" s="43"/>
      <c r="AK809" s="43"/>
      <c r="AL809" s="43"/>
      <c r="AM809" s="43"/>
      <c r="AN809" s="43"/>
      <c r="AO809" s="43"/>
      <c r="AP809" s="43"/>
      <c r="AQ809" s="43"/>
      <c r="AR809" s="43"/>
      <c r="AS809" s="43"/>
      <c r="AT809" s="43"/>
      <c r="AU809" s="43"/>
      <c r="AV809" s="43"/>
      <c r="AW809" s="43"/>
      <c r="AX809" s="43"/>
      <c r="AY809" s="43"/>
      <c r="AZ809" s="43"/>
      <c r="BA809" s="43"/>
      <c r="BB809" s="43"/>
      <c r="BC809" s="43"/>
      <c r="BD809" s="43"/>
      <c r="BE809" s="43"/>
      <c r="BF809" s="43"/>
      <c r="BG809" s="43"/>
      <c r="BH809" s="43"/>
      <c r="BI809" s="43"/>
      <c r="BJ809" s="43"/>
      <c r="BK809" s="43"/>
      <c r="BL809" s="43"/>
      <c r="BM809" s="43"/>
      <c r="BN809" s="43"/>
      <c r="BO809" s="43"/>
      <c r="BP809" s="43"/>
      <c r="BQ809" s="43"/>
      <c r="BR809" s="43"/>
      <c r="BS809" s="43"/>
      <c r="BT809" s="43"/>
      <c r="BU809" s="43"/>
      <c r="BV809" s="43"/>
      <c r="BW809" s="43"/>
      <c r="BX809" s="43"/>
      <c r="BY809" s="43"/>
      <c r="BZ809" s="43"/>
      <c r="CA809" s="43"/>
      <c r="CB809" s="43"/>
      <c r="CC809" s="43"/>
      <c r="CD809" s="43"/>
      <c r="CE809" s="43"/>
      <c r="CF809" s="43"/>
      <c r="CG809" s="43"/>
      <c r="CH809" s="43"/>
      <c r="CI809" s="43"/>
      <c r="CJ809" s="43"/>
      <c r="CK809" s="43"/>
      <c r="CL809" s="43"/>
      <c r="CM809" s="43"/>
      <c r="CN809" s="43"/>
      <c r="CO809" s="43"/>
      <c r="CP809" s="43"/>
      <c r="CQ809" s="43"/>
      <c r="CR809" s="43"/>
      <c r="CS809" s="43"/>
      <c r="CT809" s="43"/>
      <c r="CU809" s="43"/>
      <c r="CV809" s="43"/>
      <c r="CW809" s="43"/>
      <c r="CX809" s="43"/>
      <c r="CY809" s="43"/>
      <c r="CZ809" s="43"/>
      <c r="DA809" s="43"/>
      <c r="DB809" s="43"/>
      <c r="DC809" s="43"/>
      <c r="DD809" s="43"/>
      <c r="DE809" s="43"/>
      <c r="DF809" s="43"/>
      <c r="DG809" s="43"/>
      <c r="DH809" s="43"/>
      <c r="DI809" s="43"/>
      <c r="DJ809" s="43"/>
      <c r="DK809" s="43"/>
      <c r="DL809" s="43"/>
      <c r="DM809" s="43"/>
      <c r="DN809" s="43"/>
      <c r="DO809" s="43"/>
      <c r="DP809" s="43"/>
      <c r="DQ809" s="43"/>
      <c r="DR809" s="43"/>
      <c r="DS809" s="43"/>
    </row>
    <row r="810" spans="1:123" ht="14.45">
      <c r="A810"/>
      <c r="B810"/>
      <c r="C810"/>
      <c r="D810"/>
      <c r="E810"/>
      <c r="F810"/>
      <c r="G810"/>
      <c r="H810"/>
      <c r="I810"/>
      <c r="J810"/>
      <c r="K810" s="43"/>
      <c r="L810" s="43"/>
      <c r="M810" s="43"/>
      <c r="N810" s="43"/>
      <c r="O810" s="43"/>
      <c r="P810" s="43"/>
      <c r="Q810" s="43"/>
      <c r="R810" s="43"/>
      <c r="S810" s="43"/>
      <c r="T810" s="43"/>
      <c r="U810" s="43"/>
      <c r="V810" s="43"/>
      <c r="W810" s="43"/>
      <c r="X810" s="43"/>
      <c r="Y810" s="43"/>
      <c r="Z810" s="43"/>
      <c r="AA810" s="43"/>
      <c r="AB810" s="43"/>
      <c r="AC810" s="43"/>
      <c r="AD810" s="43"/>
      <c r="AE810" s="43"/>
      <c r="AF810" s="43"/>
      <c r="AG810" s="43"/>
      <c r="AH810" s="43"/>
      <c r="AI810" s="43"/>
      <c r="AJ810" s="43"/>
      <c r="AK810" s="43"/>
      <c r="AL810" s="43"/>
      <c r="AM810" s="43"/>
      <c r="AN810" s="43"/>
      <c r="AO810" s="43"/>
      <c r="AP810" s="43"/>
      <c r="AQ810" s="43"/>
      <c r="AR810" s="43"/>
      <c r="AS810" s="43"/>
      <c r="AT810" s="43"/>
      <c r="AU810" s="43"/>
      <c r="AV810" s="43"/>
      <c r="AW810" s="43"/>
      <c r="AX810" s="43"/>
      <c r="AY810" s="43"/>
      <c r="AZ810" s="43"/>
      <c r="BA810" s="43"/>
      <c r="BB810" s="43"/>
      <c r="BC810" s="43"/>
      <c r="BD810" s="43"/>
      <c r="BE810" s="43"/>
      <c r="BF810" s="43"/>
      <c r="BG810" s="43"/>
      <c r="BH810" s="43"/>
      <c r="BI810" s="43"/>
      <c r="BJ810" s="43"/>
      <c r="BK810" s="43"/>
      <c r="BL810" s="43"/>
      <c r="BM810" s="43"/>
      <c r="BN810" s="43"/>
      <c r="BO810" s="43"/>
      <c r="BP810" s="43"/>
      <c r="BQ810" s="43"/>
      <c r="BR810" s="43"/>
      <c r="BS810" s="43"/>
      <c r="BT810" s="43"/>
      <c r="BU810" s="43"/>
      <c r="BV810" s="43"/>
      <c r="BW810" s="43"/>
      <c r="BX810" s="43"/>
      <c r="BY810" s="43"/>
      <c r="BZ810" s="43"/>
      <c r="CA810" s="43"/>
      <c r="CB810" s="43"/>
      <c r="CC810" s="43"/>
      <c r="CD810" s="43"/>
      <c r="CE810" s="43"/>
      <c r="CF810" s="43"/>
      <c r="CG810" s="43"/>
      <c r="CH810" s="43"/>
      <c r="CI810" s="43"/>
      <c r="CJ810" s="43"/>
      <c r="CK810" s="43"/>
      <c r="CL810" s="43"/>
      <c r="CM810" s="43"/>
      <c r="CN810" s="43"/>
      <c r="CO810" s="43"/>
      <c r="CP810" s="43"/>
      <c r="CQ810" s="43"/>
      <c r="CR810" s="43"/>
      <c r="CS810" s="43"/>
      <c r="CT810" s="43"/>
      <c r="CU810" s="43"/>
      <c r="CV810" s="43"/>
      <c r="CW810" s="43"/>
      <c r="CX810" s="43"/>
      <c r="CY810" s="43"/>
      <c r="CZ810" s="43"/>
      <c r="DA810" s="43"/>
      <c r="DB810" s="43"/>
      <c r="DC810" s="43"/>
      <c r="DD810" s="43"/>
      <c r="DE810" s="43"/>
      <c r="DF810" s="43"/>
      <c r="DG810" s="43"/>
      <c r="DH810" s="43"/>
      <c r="DI810" s="43"/>
      <c r="DJ810" s="43"/>
      <c r="DK810" s="43"/>
      <c r="DL810" s="43"/>
      <c r="DM810" s="43"/>
      <c r="DN810" s="43"/>
      <c r="DO810" s="43"/>
      <c r="DP810" s="43"/>
      <c r="DQ810" s="43"/>
      <c r="DR810" s="43"/>
      <c r="DS810" s="43"/>
    </row>
    <row r="811" spans="1:123" ht="14.45">
      <c r="A811"/>
      <c r="B811"/>
      <c r="C811"/>
      <c r="D811"/>
      <c r="E811"/>
      <c r="F811"/>
      <c r="G811"/>
      <c r="H811"/>
      <c r="I811"/>
      <c r="J811"/>
      <c r="K811" s="43"/>
      <c r="L811" s="43"/>
      <c r="M811" s="43"/>
      <c r="N811" s="43"/>
      <c r="O811" s="43"/>
      <c r="P811" s="43"/>
      <c r="Q811" s="43"/>
      <c r="R811" s="43"/>
      <c r="S811" s="43"/>
      <c r="T811" s="43"/>
      <c r="U811" s="43"/>
      <c r="V811" s="43"/>
      <c r="W811" s="43"/>
      <c r="X811" s="43"/>
      <c r="Y811" s="43"/>
      <c r="Z811" s="43"/>
      <c r="AA811" s="43"/>
      <c r="AB811" s="43"/>
      <c r="AC811" s="43"/>
      <c r="AD811" s="43"/>
      <c r="AE811" s="43"/>
      <c r="AF811" s="43"/>
      <c r="AG811" s="43"/>
      <c r="AH811" s="43"/>
      <c r="AI811" s="43"/>
      <c r="AJ811" s="43"/>
      <c r="AK811" s="43"/>
      <c r="AL811" s="43"/>
      <c r="AM811" s="43"/>
      <c r="AN811" s="43"/>
      <c r="AO811" s="43"/>
      <c r="AP811" s="43"/>
      <c r="AQ811" s="43"/>
      <c r="AR811" s="43"/>
      <c r="AS811" s="43"/>
      <c r="AT811" s="43"/>
      <c r="AU811" s="43"/>
      <c r="AV811" s="43"/>
      <c r="AW811" s="43"/>
      <c r="AX811" s="43"/>
      <c r="AY811" s="43"/>
      <c r="AZ811" s="43"/>
      <c r="BA811" s="43"/>
      <c r="BB811" s="43"/>
      <c r="BC811" s="43"/>
      <c r="BD811" s="43"/>
      <c r="BE811" s="43"/>
      <c r="BF811" s="43"/>
      <c r="BG811" s="43"/>
      <c r="BH811" s="43"/>
      <c r="BI811" s="43"/>
      <c r="BJ811" s="43"/>
      <c r="BK811" s="43"/>
      <c r="BL811" s="43"/>
      <c r="BM811" s="43"/>
      <c r="BN811" s="43"/>
      <c r="BO811" s="43"/>
      <c r="BP811" s="43"/>
      <c r="BQ811" s="43"/>
      <c r="BR811" s="43"/>
      <c r="BS811" s="43"/>
      <c r="BT811" s="43"/>
      <c r="BU811" s="43"/>
      <c r="BV811" s="43"/>
      <c r="BW811" s="43"/>
      <c r="BX811" s="43"/>
      <c r="BY811" s="43"/>
      <c r="BZ811" s="43"/>
      <c r="CA811" s="43"/>
      <c r="CB811" s="43"/>
      <c r="CC811" s="43"/>
      <c r="CD811" s="43"/>
      <c r="CE811" s="43"/>
      <c r="CF811" s="43"/>
      <c r="CG811" s="43"/>
      <c r="CH811" s="43"/>
      <c r="CI811" s="43"/>
      <c r="CJ811" s="43"/>
      <c r="CK811" s="43"/>
      <c r="CL811" s="43"/>
      <c r="CM811" s="43"/>
      <c r="CN811" s="43"/>
      <c r="CO811" s="43"/>
      <c r="CP811" s="43"/>
      <c r="CQ811" s="43"/>
      <c r="CR811" s="43"/>
      <c r="CS811" s="43"/>
      <c r="CT811" s="43"/>
      <c r="CU811" s="43"/>
      <c r="CV811" s="43"/>
      <c r="CW811" s="43"/>
      <c r="CX811" s="43"/>
      <c r="CY811" s="43"/>
      <c r="CZ811" s="43"/>
      <c r="DA811" s="43"/>
      <c r="DB811" s="43"/>
      <c r="DC811" s="43"/>
      <c r="DD811" s="43"/>
      <c r="DE811" s="43"/>
      <c r="DF811" s="43"/>
      <c r="DG811" s="43"/>
      <c r="DH811" s="43"/>
      <c r="DI811" s="43"/>
      <c r="DJ811" s="43"/>
      <c r="DK811" s="43"/>
      <c r="DL811" s="43"/>
      <c r="DM811" s="43"/>
      <c r="DN811" s="43"/>
      <c r="DO811" s="43"/>
      <c r="DP811" s="43"/>
      <c r="DQ811" s="43"/>
      <c r="DR811" s="43"/>
      <c r="DS811" s="43"/>
    </row>
    <row r="812" spans="1:123" ht="14.45">
      <c r="A812"/>
      <c r="B812"/>
      <c r="C812"/>
      <c r="D812"/>
      <c r="E812"/>
      <c r="F812"/>
      <c r="G812"/>
      <c r="H812"/>
      <c r="I812"/>
      <c r="J812"/>
      <c r="K812" s="43"/>
      <c r="L812" s="43"/>
      <c r="M812" s="43"/>
      <c r="N812" s="43"/>
      <c r="O812" s="43"/>
      <c r="P812" s="43"/>
      <c r="Q812" s="43"/>
      <c r="R812" s="43"/>
      <c r="S812" s="43"/>
      <c r="T812" s="43"/>
      <c r="U812" s="43"/>
      <c r="V812" s="43"/>
      <c r="W812" s="43"/>
      <c r="X812" s="43"/>
      <c r="Y812" s="43"/>
      <c r="Z812" s="43"/>
      <c r="AA812" s="43"/>
      <c r="AB812" s="43"/>
      <c r="AC812" s="43"/>
      <c r="AD812" s="43"/>
      <c r="AE812" s="43"/>
      <c r="AF812" s="43"/>
      <c r="AG812" s="43"/>
      <c r="AH812" s="43"/>
      <c r="AI812" s="43"/>
      <c r="AJ812" s="43"/>
      <c r="AK812" s="43"/>
      <c r="AL812" s="43"/>
      <c r="AM812" s="43"/>
      <c r="AN812" s="43"/>
      <c r="AO812" s="43"/>
      <c r="AP812" s="43"/>
      <c r="AQ812" s="43"/>
      <c r="AR812" s="43"/>
      <c r="AS812" s="43"/>
      <c r="AT812" s="43"/>
      <c r="AU812" s="43"/>
      <c r="AV812" s="43"/>
      <c r="AW812" s="43"/>
      <c r="AX812" s="43"/>
      <c r="AY812" s="43"/>
      <c r="AZ812" s="43"/>
      <c r="BA812" s="43"/>
      <c r="BB812" s="43"/>
      <c r="BC812" s="43"/>
      <c r="BD812" s="43"/>
      <c r="BE812" s="43"/>
      <c r="BF812" s="43"/>
      <c r="BG812" s="43"/>
      <c r="BH812" s="43"/>
      <c r="BI812" s="43"/>
      <c r="BJ812" s="43"/>
      <c r="BK812" s="43"/>
      <c r="BL812" s="43"/>
      <c r="BM812" s="43"/>
      <c r="BN812" s="43"/>
      <c r="BO812" s="43"/>
      <c r="BP812" s="43"/>
      <c r="BQ812" s="43"/>
      <c r="BR812" s="43"/>
      <c r="BS812" s="43"/>
      <c r="BT812" s="43"/>
      <c r="BU812" s="43"/>
      <c r="BV812" s="43"/>
      <c r="BW812" s="43"/>
      <c r="BX812" s="43"/>
      <c r="BY812" s="43"/>
      <c r="BZ812" s="43"/>
      <c r="CA812" s="43"/>
      <c r="CB812" s="43"/>
      <c r="CC812" s="43"/>
      <c r="CD812" s="43"/>
      <c r="CE812" s="43"/>
      <c r="CF812" s="43"/>
      <c r="CG812" s="43"/>
      <c r="CH812" s="43"/>
      <c r="CI812" s="43"/>
      <c r="CJ812" s="43"/>
      <c r="CK812" s="43"/>
      <c r="CL812" s="43"/>
      <c r="CM812" s="43"/>
      <c r="CN812" s="43"/>
      <c r="CO812" s="43"/>
      <c r="CP812" s="43"/>
      <c r="CQ812" s="43"/>
      <c r="CR812" s="43"/>
      <c r="CS812" s="43"/>
      <c r="CT812" s="43"/>
      <c r="CU812" s="43"/>
      <c r="CV812" s="43"/>
      <c r="CW812" s="43"/>
      <c r="CX812" s="43"/>
      <c r="CY812" s="43"/>
      <c r="CZ812" s="43"/>
      <c r="DA812" s="43"/>
      <c r="DB812" s="43"/>
      <c r="DC812" s="43"/>
      <c r="DD812" s="43"/>
      <c r="DE812" s="43"/>
      <c r="DF812" s="43"/>
      <c r="DG812" s="43"/>
      <c r="DH812" s="43"/>
      <c r="DI812" s="43"/>
      <c r="DJ812" s="43"/>
      <c r="DK812" s="43"/>
      <c r="DL812" s="43"/>
      <c r="DM812" s="43"/>
      <c r="DN812" s="43"/>
      <c r="DO812" s="43"/>
      <c r="DP812" s="43"/>
      <c r="DQ812" s="43"/>
      <c r="DR812" s="43"/>
      <c r="DS812" s="43"/>
    </row>
    <row r="813" spans="1:123" ht="14.45">
      <c r="A813"/>
      <c r="B813"/>
      <c r="C813"/>
      <c r="D813"/>
      <c r="E813"/>
      <c r="F813"/>
      <c r="G813"/>
      <c r="H813"/>
      <c r="I813"/>
      <c r="J813"/>
      <c r="K813" s="43"/>
      <c r="L813" s="43"/>
      <c r="M813" s="43"/>
      <c r="N813" s="43"/>
      <c r="O813" s="43"/>
      <c r="P813" s="43"/>
      <c r="Q813" s="43"/>
      <c r="R813" s="43"/>
      <c r="S813" s="43"/>
      <c r="T813" s="43"/>
      <c r="U813" s="43"/>
      <c r="V813" s="43"/>
      <c r="W813" s="43"/>
      <c r="X813" s="43"/>
      <c r="Y813" s="43"/>
      <c r="Z813" s="43"/>
      <c r="AA813" s="43"/>
      <c r="AB813" s="43"/>
      <c r="AC813" s="43"/>
      <c r="AD813" s="43"/>
      <c r="AE813" s="43"/>
      <c r="AF813" s="43"/>
      <c r="AG813" s="43"/>
      <c r="AH813" s="43"/>
      <c r="AI813" s="43"/>
      <c r="AJ813" s="43"/>
      <c r="AK813" s="43"/>
      <c r="AL813" s="43"/>
      <c r="AM813" s="43"/>
      <c r="AN813" s="43"/>
      <c r="AO813" s="43"/>
      <c r="AP813" s="43"/>
      <c r="AQ813" s="43"/>
      <c r="AR813" s="43"/>
      <c r="AS813" s="43"/>
      <c r="AT813" s="43"/>
      <c r="AU813" s="43"/>
      <c r="AV813" s="43"/>
      <c r="AW813" s="43"/>
      <c r="AX813" s="43"/>
      <c r="AY813" s="43"/>
      <c r="AZ813" s="43"/>
      <c r="BA813" s="43"/>
      <c r="BB813" s="43"/>
      <c r="BC813" s="43"/>
      <c r="BD813" s="43"/>
      <c r="BE813" s="43"/>
      <c r="BF813" s="43"/>
      <c r="BG813" s="43"/>
      <c r="BH813" s="43"/>
      <c r="BI813" s="43"/>
      <c r="BJ813" s="43"/>
      <c r="BK813" s="43"/>
      <c r="BL813" s="43"/>
      <c r="BM813" s="43"/>
      <c r="BN813" s="43"/>
      <c r="BO813" s="43"/>
      <c r="BP813" s="43"/>
      <c r="BQ813" s="43"/>
      <c r="BR813" s="43"/>
      <c r="BS813" s="43"/>
      <c r="BT813" s="43"/>
      <c r="BU813" s="43"/>
      <c r="BV813" s="43"/>
      <c r="BW813" s="43"/>
      <c r="BX813" s="43"/>
      <c r="BY813" s="43"/>
      <c r="BZ813" s="43"/>
      <c r="CA813" s="43"/>
      <c r="CB813" s="43"/>
      <c r="CC813" s="43"/>
      <c r="CD813" s="43"/>
      <c r="CE813" s="43"/>
      <c r="CF813" s="43"/>
      <c r="CG813" s="43"/>
      <c r="CH813" s="43"/>
      <c r="CI813" s="43"/>
      <c r="CJ813" s="43"/>
      <c r="CK813" s="43"/>
      <c r="CL813" s="43"/>
      <c r="CM813" s="43"/>
      <c r="CN813" s="43"/>
      <c r="CO813" s="43"/>
      <c r="CP813" s="43"/>
      <c r="CQ813" s="43"/>
      <c r="CR813" s="43"/>
      <c r="CS813" s="43"/>
      <c r="CT813" s="43"/>
      <c r="CU813" s="43"/>
      <c r="CV813" s="43"/>
      <c r="CW813" s="43"/>
      <c r="CX813" s="43"/>
      <c r="CY813" s="43"/>
      <c r="CZ813" s="43"/>
      <c r="DA813" s="43"/>
      <c r="DB813" s="43"/>
      <c r="DC813" s="43"/>
      <c r="DD813" s="43"/>
      <c r="DE813" s="43"/>
      <c r="DF813" s="43"/>
      <c r="DG813" s="43"/>
      <c r="DH813" s="43"/>
      <c r="DI813" s="43"/>
      <c r="DJ813" s="43"/>
      <c r="DK813" s="43"/>
      <c r="DL813" s="43"/>
      <c r="DM813" s="43"/>
      <c r="DN813" s="43"/>
      <c r="DO813" s="43"/>
      <c r="DP813" s="43"/>
      <c r="DQ813" s="43"/>
      <c r="DR813" s="43"/>
      <c r="DS813" s="43"/>
    </row>
    <row r="814" spans="1:123" ht="14.45">
      <c r="A814"/>
      <c r="B814"/>
      <c r="C814"/>
      <c r="D814"/>
      <c r="E814"/>
      <c r="F814"/>
      <c r="G814"/>
      <c r="H814"/>
      <c r="I814"/>
      <c r="J814"/>
      <c r="K814" s="43"/>
      <c r="L814" s="43"/>
      <c r="M814" s="43"/>
      <c r="N814" s="43"/>
      <c r="O814" s="43"/>
      <c r="P814" s="43"/>
      <c r="Q814" s="43"/>
      <c r="R814" s="43"/>
      <c r="S814" s="43"/>
      <c r="T814" s="43"/>
      <c r="U814" s="43"/>
      <c r="V814" s="43"/>
      <c r="W814" s="43"/>
      <c r="X814" s="43"/>
      <c r="Y814" s="43"/>
      <c r="Z814" s="43"/>
      <c r="AA814" s="43"/>
      <c r="AB814" s="43"/>
      <c r="AC814" s="43"/>
      <c r="AD814" s="43"/>
      <c r="AE814" s="43"/>
      <c r="AF814" s="43"/>
      <c r="AG814" s="43"/>
      <c r="AH814" s="43"/>
      <c r="AI814" s="43"/>
      <c r="AJ814" s="43"/>
      <c r="AK814" s="43"/>
      <c r="AL814" s="43"/>
      <c r="AM814" s="43"/>
      <c r="AN814" s="43"/>
      <c r="AO814" s="43"/>
      <c r="AP814" s="43"/>
      <c r="AQ814" s="43"/>
      <c r="AR814" s="43"/>
      <c r="AS814" s="43"/>
      <c r="AT814" s="43"/>
      <c r="AU814" s="43"/>
      <c r="AV814" s="43"/>
      <c r="AW814" s="43"/>
      <c r="AX814" s="43"/>
      <c r="AY814" s="43"/>
      <c r="AZ814" s="43"/>
      <c r="BA814" s="43"/>
      <c r="BB814" s="43"/>
      <c r="BC814" s="43"/>
      <c r="BD814" s="43"/>
      <c r="BE814" s="43"/>
      <c r="BF814" s="43"/>
      <c r="BG814" s="43"/>
      <c r="BH814" s="43"/>
      <c r="BI814" s="43"/>
      <c r="BJ814" s="43"/>
      <c r="BK814" s="43"/>
      <c r="BL814" s="43"/>
      <c r="BM814" s="43"/>
      <c r="BN814" s="43"/>
      <c r="BO814" s="43"/>
      <c r="BP814" s="43"/>
      <c r="BQ814" s="43"/>
      <c r="BR814" s="43"/>
      <c r="BS814" s="43"/>
      <c r="BT814" s="43"/>
      <c r="BU814" s="43"/>
      <c r="BV814" s="43"/>
      <c r="BW814" s="43"/>
      <c r="BX814" s="43"/>
      <c r="BY814" s="43"/>
      <c r="BZ814" s="43"/>
      <c r="CA814" s="43"/>
      <c r="CB814" s="43"/>
      <c r="CC814" s="43"/>
      <c r="CD814" s="43"/>
      <c r="CE814" s="43"/>
      <c r="CF814" s="43"/>
      <c r="CG814" s="43"/>
      <c r="CH814" s="43"/>
      <c r="CI814" s="43"/>
      <c r="CJ814" s="43"/>
      <c r="CK814" s="43"/>
      <c r="CL814" s="43"/>
      <c r="CM814" s="43"/>
      <c r="CN814" s="43"/>
      <c r="CO814" s="43"/>
      <c r="CP814" s="43"/>
      <c r="CQ814" s="43"/>
      <c r="CR814" s="43"/>
      <c r="CS814" s="43"/>
      <c r="CT814" s="43"/>
      <c r="CU814" s="43"/>
      <c r="CV814" s="43"/>
      <c r="CW814" s="43"/>
      <c r="CX814" s="43"/>
      <c r="CY814" s="43"/>
      <c r="CZ814" s="43"/>
      <c r="DA814" s="43"/>
      <c r="DB814" s="43"/>
      <c r="DC814" s="43"/>
      <c r="DD814" s="43"/>
      <c r="DE814" s="43"/>
      <c r="DF814" s="43"/>
      <c r="DG814" s="43"/>
      <c r="DH814" s="43"/>
      <c r="DI814" s="43"/>
      <c r="DJ814" s="43"/>
      <c r="DK814" s="43"/>
      <c r="DL814" s="43"/>
      <c r="DM814" s="43"/>
      <c r="DN814" s="43"/>
      <c r="DO814" s="43"/>
      <c r="DP814" s="43"/>
      <c r="DQ814" s="43"/>
      <c r="DR814" s="43"/>
      <c r="DS814" s="43"/>
    </row>
    <row r="815" spans="1:123" ht="14.45">
      <c r="A815"/>
      <c r="B815"/>
      <c r="C815"/>
      <c r="D815"/>
      <c r="E815"/>
      <c r="F815"/>
      <c r="G815"/>
      <c r="H815"/>
      <c r="I815"/>
      <c r="J815"/>
      <c r="K815" s="43"/>
      <c r="L815" s="43"/>
      <c r="M815" s="43"/>
      <c r="N815" s="43"/>
      <c r="O815" s="43"/>
      <c r="P815" s="43"/>
      <c r="Q815" s="43"/>
      <c r="R815" s="43"/>
      <c r="S815" s="43"/>
      <c r="T815" s="43"/>
      <c r="U815" s="43"/>
      <c r="V815" s="43"/>
      <c r="W815" s="43"/>
      <c r="X815" s="43"/>
      <c r="Y815" s="43"/>
      <c r="Z815" s="43"/>
      <c r="AA815" s="43"/>
      <c r="AB815" s="43"/>
      <c r="AC815" s="43"/>
      <c r="AD815" s="43"/>
      <c r="AE815" s="43"/>
      <c r="AF815" s="43"/>
      <c r="AG815" s="43"/>
      <c r="AH815" s="43"/>
      <c r="AI815" s="43"/>
      <c r="AJ815" s="43"/>
      <c r="AK815" s="43"/>
      <c r="AL815" s="43"/>
      <c r="AM815" s="43"/>
      <c r="AN815" s="43"/>
      <c r="AO815" s="43"/>
      <c r="AP815" s="43"/>
      <c r="AQ815" s="43"/>
      <c r="AR815" s="43"/>
      <c r="AS815" s="43"/>
      <c r="AT815" s="43"/>
      <c r="AU815" s="43"/>
      <c r="AV815" s="43"/>
      <c r="AW815" s="43"/>
      <c r="AX815" s="43"/>
      <c r="AY815" s="43"/>
      <c r="AZ815" s="43"/>
      <c r="BA815" s="43"/>
      <c r="BB815" s="43"/>
      <c r="BC815" s="43"/>
      <c r="BD815" s="43"/>
      <c r="BE815" s="43"/>
      <c r="BF815" s="43"/>
      <c r="BG815" s="43"/>
      <c r="BH815" s="43"/>
      <c r="BI815" s="43"/>
      <c r="BJ815" s="43"/>
      <c r="BK815" s="43"/>
      <c r="BL815" s="43"/>
      <c r="BM815" s="43"/>
      <c r="BN815" s="43"/>
      <c r="BO815" s="43"/>
      <c r="BP815" s="43"/>
      <c r="BQ815" s="43"/>
      <c r="BR815" s="43"/>
      <c r="BS815" s="43"/>
      <c r="BT815" s="43"/>
      <c r="BU815" s="43"/>
      <c r="BV815" s="43"/>
      <c r="BW815" s="43"/>
      <c r="BX815" s="43"/>
      <c r="BY815" s="43"/>
      <c r="BZ815" s="43"/>
      <c r="CA815" s="43"/>
      <c r="CB815" s="43"/>
      <c r="CC815" s="43"/>
      <c r="CD815" s="43"/>
      <c r="CE815" s="43"/>
      <c r="CF815" s="43"/>
      <c r="CG815" s="43"/>
      <c r="CH815" s="43"/>
      <c r="CI815" s="43"/>
      <c r="CJ815" s="43"/>
      <c r="CK815" s="43"/>
      <c r="CL815" s="43"/>
      <c r="CM815" s="43"/>
      <c r="CN815" s="43"/>
      <c r="CO815" s="43"/>
      <c r="CP815" s="43"/>
      <c r="CQ815" s="43"/>
      <c r="CR815" s="43"/>
      <c r="CS815" s="43"/>
      <c r="CT815" s="43"/>
      <c r="CU815" s="43"/>
      <c r="CV815" s="43"/>
      <c r="CW815" s="43"/>
      <c r="CX815" s="43"/>
      <c r="CY815" s="43"/>
      <c r="CZ815" s="43"/>
      <c r="DA815" s="43"/>
      <c r="DB815" s="43"/>
      <c r="DC815" s="43"/>
      <c r="DD815" s="43"/>
      <c r="DE815" s="43"/>
      <c r="DF815" s="43"/>
      <c r="DG815" s="43"/>
      <c r="DH815" s="43"/>
      <c r="DI815" s="43"/>
      <c r="DJ815" s="43"/>
      <c r="DK815" s="43"/>
      <c r="DL815" s="43"/>
      <c r="DM815" s="43"/>
      <c r="DN815" s="43"/>
      <c r="DO815" s="43"/>
      <c r="DP815" s="43"/>
      <c r="DQ815" s="43"/>
      <c r="DR815" s="43"/>
      <c r="DS815" s="43"/>
    </row>
    <row r="816" spans="1:123" ht="14.45">
      <c r="A816"/>
      <c r="B816"/>
      <c r="C816"/>
      <c r="D816"/>
      <c r="E816"/>
      <c r="F816"/>
      <c r="G816"/>
      <c r="H816"/>
      <c r="I816"/>
      <c r="J816"/>
      <c r="K816" s="43"/>
      <c r="L816" s="43"/>
      <c r="M816" s="43"/>
      <c r="N816" s="43"/>
      <c r="O816" s="43"/>
      <c r="P816" s="43"/>
      <c r="Q816" s="43"/>
      <c r="R816" s="43"/>
      <c r="S816" s="43"/>
      <c r="T816" s="43"/>
      <c r="U816" s="43"/>
      <c r="V816" s="43"/>
      <c r="W816" s="43"/>
      <c r="X816" s="43"/>
      <c r="Y816" s="43"/>
      <c r="Z816" s="43"/>
      <c r="AA816" s="43"/>
      <c r="AB816" s="43"/>
      <c r="AC816" s="43"/>
      <c r="AD816" s="43"/>
      <c r="AE816" s="43"/>
      <c r="AF816" s="43"/>
      <c r="AG816" s="43"/>
      <c r="AH816" s="43"/>
      <c r="AI816" s="43"/>
      <c r="AJ816" s="43"/>
      <c r="AK816" s="43"/>
      <c r="AL816" s="43"/>
      <c r="AM816" s="43"/>
      <c r="AN816" s="43"/>
      <c r="AO816" s="43"/>
      <c r="AP816" s="43"/>
      <c r="AQ816" s="43"/>
      <c r="AR816" s="43"/>
      <c r="AS816" s="43"/>
      <c r="AT816" s="43"/>
      <c r="AU816" s="43"/>
      <c r="AV816" s="43"/>
      <c r="AW816" s="43"/>
      <c r="AX816" s="43"/>
      <c r="AY816" s="43"/>
      <c r="AZ816" s="43"/>
      <c r="BA816" s="43"/>
      <c r="BB816" s="43"/>
      <c r="BC816" s="43"/>
      <c r="BD816" s="43"/>
      <c r="BE816" s="43"/>
      <c r="BF816" s="43"/>
      <c r="BG816" s="43"/>
      <c r="BH816" s="43"/>
      <c r="BI816" s="43"/>
      <c r="BJ816" s="43"/>
      <c r="BK816" s="43"/>
      <c r="BL816" s="43"/>
      <c r="BM816" s="43"/>
      <c r="BN816" s="43"/>
      <c r="BO816" s="43"/>
      <c r="BP816" s="43"/>
      <c r="BQ816" s="43"/>
      <c r="BR816" s="43"/>
      <c r="BS816" s="43"/>
      <c r="BT816" s="43"/>
      <c r="BU816" s="43"/>
      <c r="BV816" s="43"/>
      <c r="BW816" s="43"/>
      <c r="BX816" s="43"/>
      <c r="BY816" s="43"/>
      <c r="BZ816" s="43"/>
      <c r="CA816" s="43"/>
      <c r="CB816" s="43"/>
      <c r="CC816" s="43"/>
      <c r="CD816" s="43"/>
      <c r="CE816" s="43"/>
      <c r="CF816" s="43"/>
      <c r="CG816" s="43"/>
      <c r="CH816" s="43"/>
      <c r="CI816" s="43"/>
      <c r="CJ816" s="43"/>
      <c r="CK816" s="43"/>
      <c r="CL816" s="43"/>
      <c r="CM816" s="43"/>
      <c r="CN816" s="43"/>
      <c r="CO816" s="43"/>
      <c r="CP816" s="43"/>
      <c r="CQ816" s="43"/>
      <c r="CR816" s="43"/>
      <c r="CS816" s="43"/>
      <c r="CT816" s="43"/>
      <c r="CU816" s="43"/>
      <c r="CV816" s="43"/>
      <c r="CW816" s="43"/>
      <c r="CX816" s="43"/>
      <c r="CY816" s="43"/>
      <c r="CZ816" s="43"/>
      <c r="DA816" s="43"/>
      <c r="DB816" s="43"/>
      <c r="DC816" s="43"/>
      <c r="DD816" s="43"/>
      <c r="DE816" s="43"/>
      <c r="DF816" s="43"/>
      <c r="DG816" s="43"/>
      <c r="DH816" s="43"/>
      <c r="DI816" s="43"/>
      <c r="DJ816" s="43"/>
      <c r="DK816" s="43"/>
      <c r="DL816" s="43"/>
      <c r="DM816" s="43"/>
      <c r="DN816" s="43"/>
      <c r="DO816" s="43"/>
      <c r="DP816" s="43"/>
      <c r="DQ816" s="43"/>
      <c r="DR816" s="43"/>
      <c r="DS816" s="43"/>
    </row>
    <row r="817" spans="1:123" ht="14.45">
      <c r="A817"/>
      <c r="B817"/>
      <c r="C817"/>
      <c r="D817"/>
      <c r="E817"/>
      <c r="F817"/>
      <c r="G817"/>
      <c r="H817"/>
      <c r="I817"/>
      <c r="J817"/>
      <c r="K817" s="43"/>
      <c r="L817" s="43"/>
      <c r="M817" s="43"/>
      <c r="N817" s="43"/>
      <c r="O817" s="43"/>
      <c r="P817" s="43"/>
      <c r="Q817" s="43"/>
      <c r="R817" s="43"/>
      <c r="S817" s="43"/>
      <c r="T817" s="43"/>
      <c r="U817" s="43"/>
      <c r="V817" s="43"/>
      <c r="W817" s="43"/>
      <c r="X817" s="43"/>
      <c r="Y817" s="43"/>
      <c r="Z817" s="43"/>
      <c r="AA817" s="43"/>
      <c r="AB817" s="43"/>
      <c r="AC817" s="43"/>
      <c r="AD817" s="43"/>
      <c r="AE817" s="43"/>
      <c r="AF817" s="43"/>
      <c r="AG817" s="43"/>
      <c r="AH817" s="43"/>
      <c r="AI817" s="43"/>
      <c r="AJ817" s="43"/>
      <c r="AK817" s="43"/>
      <c r="AL817" s="43"/>
      <c r="AM817" s="43"/>
      <c r="AN817" s="43"/>
      <c r="AO817" s="43"/>
      <c r="AP817" s="43"/>
      <c r="AQ817" s="43"/>
      <c r="AR817" s="43"/>
      <c r="AS817" s="43"/>
      <c r="AT817" s="43"/>
      <c r="AU817" s="43"/>
      <c r="AV817" s="43"/>
      <c r="AW817" s="43"/>
      <c r="AX817" s="43"/>
      <c r="AY817" s="43"/>
      <c r="AZ817" s="43"/>
      <c r="BA817" s="43"/>
      <c r="BB817" s="43"/>
      <c r="BC817" s="43"/>
      <c r="BD817" s="43"/>
      <c r="BE817" s="43"/>
      <c r="BF817" s="43"/>
      <c r="BG817" s="43"/>
      <c r="BH817" s="43"/>
      <c r="BI817" s="43"/>
      <c r="BJ817" s="43"/>
      <c r="BK817" s="43"/>
      <c r="BL817" s="43"/>
      <c r="BM817" s="43"/>
      <c r="BN817" s="43"/>
      <c r="BO817" s="43"/>
      <c r="BP817" s="43"/>
      <c r="BQ817" s="43"/>
      <c r="BR817" s="43"/>
      <c r="BS817" s="43"/>
      <c r="BT817" s="43"/>
      <c r="BU817" s="43"/>
      <c r="BV817" s="43"/>
      <c r="BW817" s="43"/>
      <c r="BX817" s="43"/>
      <c r="BY817" s="43"/>
      <c r="BZ817" s="43"/>
      <c r="CA817" s="43"/>
      <c r="CB817" s="43"/>
      <c r="CC817" s="43"/>
      <c r="CD817" s="43"/>
      <c r="CE817" s="43"/>
      <c r="CF817" s="43"/>
      <c r="CG817" s="43"/>
      <c r="CH817" s="43"/>
      <c r="CI817" s="43"/>
      <c r="CJ817" s="43"/>
      <c r="CK817" s="43"/>
      <c r="CL817" s="43"/>
      <c r="CM817" s="43"/>
      <c r="CN817" s="43"/>
      <c r="CO817" s="43"/>
      <c r="CP817" s="43"/>
      <c r="CQ817" s="43"/>
      <c r="CR817" s="43"/>
      <c r="CS817" s="43"/>
      <c r="CT817" s="43"/>
      <c r="CU817" s="43"/>
      <c r="CV817" s="43"/>
      <c r="CW817" s="43"/>
      <c r="CX817" s="43"/>
      <c r="CY817" s="43"/>
      <c r="CZ817" s="43"/>
      <c r="DA817" s="43"/>
      <c r="DB817" s="43"/>
      <c r="DC817" s="43"/>
      <c r="DD817" s="43"/>
      <c r="DE817" s="43"/>
      <c r="DF817" s="43"/>
      <c r="DG817" s="43"/>
      <c r="DH817" s="43"/>
      <c r="DI817" s="43"/>
      <c r="DJ817" s="43"/>
      <c r="DK817" s="43"/>
      <c r="DL817" s="43"/>
      <c r="DM817" s="43"/>
      <c r="DN817" s="43"/>
      <c r="DO817" s="43"/>
      <c r="DP817" s="43"/>
      <c r="DQ817" s="43"/>
      <c r="DR817" s="43"/>
      <c r="DS817" s="43"/>
    </row>
    <row r="818" spans="1:123" ht="14.45">
      <c r="A818"/>
      <c r="B818"/>
      <c r="C818"/>
      <c r="D818"/>
      <c r="E818"/>
      <c r="F818"/>
      <c r="G818"/>
      <c r="H818"/>
      <c r="I818"/>
      <c r="J818"/>
      <c r="K818" s="43"/>
      <c r="L818" s="43"/>
      <c r="M818" s="43"/>
      <c r="N818" s="43"/>
      <c r="O818" s="43"/>
      <c r="P818" s="43"/>
      <c r="Q818" s="43"/>
      <c r="R818" s="43"/>
      <c r="S818" s="43"/>
      <c r="T818" s="43"/>
      <c r="U818" s="43"/>
      <c r="V818" s="43"/>
      <c r="W818" s="43"/>
      <c r="X818" s="43"/>
      <c r="Y818" s="43"/>
      <c r="Z818" s="43"/>
      <c r="AA818" s="43"/>
      <c r="AB818" s="43"/>
      <c r="AC818" s="43"/>
      <c r="AD818" s="43"/>
      <c r="AE818" s="43"/>
      <c r="AF818" s="43"/>
      <c r="AG818" s="43"/>
      <c r="AH818" s="43"/>
      <c r="AI818" s="43"/>
      <c r="AJ818" s="43"/>
      <c r="AK818" s="43"/>
      <c r="AL818" s="43"/>
      <c r="AM818" s="43"/>
      <c r="AN818" s="43"/>
      <c r="AO818" s="43"/>
      <c r="AP818" s="43"/>
      <c r="AQ818" s="43"/>
      <c r="AR818" s="43"/>
      <c r="AS818" s="43"/>
      <c r="AT818" s="43"/>
      <c r="AU818" s="43"/>
      <c r="AV818" s="43"/>
      <c r="AW818" s="43"/>
      <c r="AX818" s="43"/>
      <c r="AY818" s="43"/>
      <c r="AZ818" s="43"/>
      <c r="BA818" s="43"/>
      <c r="BB818" s="43"/>
      <c r="BC818" s="43"/>
      <c r="BD818" s="43"/>
      <c r="BE818" s="43"/>
      <c r="BF818" s="43"/>
      <c r="BG818" s="43"/>
      <c r="BH818" s="43"/>
      <c r="BI818" s="43"/>
      <c r="BJ818" s="43"/>
      <c r="BK818" s="43"/>
      <c r="BL818" s="43"/>
      <c r="BM818" s="43"/>
      <c r="BN818" s="43"/>
      <c r="BO818" s="43"/>
      <c r="BP818" s="43"/>
      <c r="BQ818" s="43"/>
      <c r="BR818" s="43"/>
      <c r="BS818" s="43"/>
      <c r="BT818" s="43"/>
      <c r="BU818" s="43"/>
      <c r="BV818" s="43"/>
      <c r="BW818" s="43"/>
      <c r="BX818" s="43"/>
      <c r="BY818" s="43"/>
      <c r="BZ818" s="43"/>
      <c r="CA818" s="43"/>
      <c r="CB818" s="43"/>
      <c r="CC818" s="43"/>
      <c r="CD818" s="43"/>
      <c r="CE818" s="43"/>
      <c r="CF818" s="43"/>
      <c r="CG818" s="43"/>
      <c r="CH818" s="43"/>
      <c r="CI818" s="43"/>
      <c r="CJ818" s="43"/>
      <c r="CK818" s="43"/>
      <c r="CL818" s="43"/>
      <c r="CM818" s="43"/>
      <c r="CN818" s="43"/>
      <c r="CO818" s="43"/>
      <c r="CP818" s="43"/>
      <c r="CQ818" s="43"/>
      <c r="CR818" s="43"/>
      <c r="CS818" s="43"/>
      <c r="CT818" s="43"/>
      <c r="CU818" s="43"/>
      <c r="CV818" s="43"/>
      <c r="CW818" s="43"/>
      <c r="CX818" s="43"/>
      <c r="CY818" s="43"/>
      <c r="CZ818" s="43"/>
      <c r="DA818" s="43"/>
      <c r="DB818" s="43"/>
      <c r="DC818" s="43"/>
      <c r="DD818" s="43"/>
      <c r="DE818" s="43"/>
      <c r="DF818" s="43"/>
      <c r="DG818" s="43"/>
      <c r="DH818" s="43"/>
      <c r="DI818" s="43"/>
      <c r="DJ818" s="43"/>
      <c r="DK818" s="43"/>
      <c r="DL818" s="43"/>
      <c r="DM818" s="43"/>
      <c r="DN818" s="43"/>
      <c r="DO818" s="43"/>
      <c r="DP818" s="43"/>
      <c r="DQ818" s="43"/>
      <c r="DR818" s="43"/>
      <c r="DS818" s="43"/>
    </row>
    <row r="819" spans="1:123" ht="14.45">
      <c r="A819"/>
      <c r="B819"/>
      <c r="C819"/>
      <c r="D819"/>
      <c r="E819"/>
      <c r="F819"/>
      <c r="G819"/>
      <c r="H819"/>
      <c r="I819"/>
      <c r="J819"/>
      <c r="K819" s="43"/>
      <c r="L819" s="43"/>
      <c r="M819" s="43"/>
      <c r="N819" s="43"/>
      <c r="O819" s="43"/>
      <c r="P819" s="43"/>
      <c r="Q819" s="43"/>
      <c r="R819" s="43"/>
      <c r="S819" s="43"/>
      <c r="T819" s="43"/>
      <c r="U819" s="43"/>
      <c r="V819" s="43"/>
      <c r="W819" s="43"/>
      <c r="X819" s="43"/>
      <c r="Y819" s="43"/>
      <c r="Z819" s="43"/>
      <c r="AA819" s="43"/>
      <c r="AB819" s="43"/>
      <c r="AC819" s="43"/>
      <c r="AD819" s="43"/>
      <c r="AE819" s="43"/>
      <c r="AF819" s="43"/>
      <c r="AG819" s="43"/>
      <c r="AH819" s="43"/>
      <c r="AI819" s="43"/>
      <c r="AJ819" s="43"/>
      <c r="AK819" s="43"/>
      <c r="AL819" s="43"/>
      <c r="AM819" s="43"/>
      <c r="AN819" s="43"/>
      <c r="AO819" s="43"/>
      <c r="AP819" s="43"/>
      <c r="AQ819" s="43"/>
      <c r="AR819" s="43"/>
      <c r="AS819" s="43"/>
      <c r="AT819" s="43"/>
      <c r="AU819" s="43"/>
      <c r="AV819" s="43"/>
      <c r="AW819" s="43"/>
      <c r="AX819" s="43"/>
      <c r="AY819" s="43"/>
      <c r="AZ819" s="43"/>
      <c r="BA819" s="43"/>
      <c r="BB819" s="43"/>
      <c r="BC819" s="43"/>
      <c r="BD819" s="43"/>
      <c r="BE819" s="43"/>
      <c r="BF819" s="43"/>
      <c r="BG819" s="43"/>
      <c r="BH819" s="43"/>
      <c r="BI819" s="43"/>
      <c r="BJ819" s="43"/>
      <c r="BK819" s="43"/>
      <c r="BL819" s="43"/>
      <c r="BM819" s="43"/>
      <c r="BN819" s="43"/>
      <c r="BO819" s="43"/>
      <c r="BP819" s="43"/>
      <c r="BQ819" s="43"/>
      <c r="BR819" s="43"/>
      <c r="BS819" s="43"/>
      <c r="BT819" s="43"/>
      <c r="BU819" s="43"/>
      <c r="BV819" s="43"/>
      <c r="BW819" s="43"/>
      <c r="BX819" s="43"/>
      <c r="BY819" s="43"/>
      <c r="BZ819" s="43"/>
      <c r="CA819" s="43"/>
      <c r="CB819" s="43"/>
      <c r="CC819" s="43"/>
      <c r="CD819" s="43"/>
      <c r="CE819" s="43"/>
      <c r="CF819" s="43"/>
      <c r="CG819" s="43"/>
      <c r="CH819" s="43"/>
      <c r="CI819" s="43"/>
      <c r="CJ819" s="43"/>
      <c r="CK819" s="43"/>
      <c r="CL819" s="43"/>
      <c r="CM819" s="43"/>
      <c r="CN819" s="43"/>
      <c r="CO819" s="43"/>
      <c r="CP819" s="43"/>
      <c r="CQ819" s="43"/>
      <c r="CR819" s="43"/>
      <c r="CS819" s="43"/>
      <c r="CT819" s="43"/>
      <c r="CU819" s="43"/>
      <c r="CV819" s="43"/>
      <c r="CW819" s="43"/>
      <c r="CX819" s="43"/>
      <c r="CY819" s="43"/>
      <c r="CZ819" s="43"/>
      <c r="DA819" s="43"/>
      <c r="DB819" s="43"/>
      <c r="DC819" s="43"/>
      <c r="DD819" s="43"/>
      <c r="DE819" s="43"/>
      <c r="DF819" s="43"/>
      <c r="DG819" s="43"/>
      <c r="DH819" s="43"/>
      <c r="DI819" s="43"/>
      <c r="DJ819" s="43"/>
      <c r="DK819" s="43"/>
      <c r="DL819" s="43"/>
      <c r="DM819" s="43"/>
      <c r="DN819" s="43"/>
      <c r="DO819" s="43"/>
      <c r="DP819" s="43"/>
      <c r="DQ819" s="43"/>
      <c r="DR819" s="43"/>
      <c r="DS819" s="43"/>
    </row>
    <row r="820" spans="1:123" ht="14.45">
      <c r="A820"/>
      <c r="B820"/>
      <c r="C820"/>
      <c r="D820"/>
      <c r="E820"/>
      <c r="F820"/>
      <c r="G820"/>
      <c r="H820"/>
      <c r="I820"/>
      <c r="J820"/>
      <c r="K820" s="43"/>
      <c r="L820" s="43"/>
      <c r="M820" s="43"/>
      <c r="N820" s="43"/>
      <c r="O820" s="43"/>
      <c r="P820" s="43"/>
      <c r="Q820" s="43"/>
      <c r="R820" s="43"/>
      <c r="S820" s="43"/>
      <c r="T820" s="43"/>
      <c r="U820" s="43"/>
      <c r="V820" s="43"/>
      <c r="W820" s="43"/>
      <c r="X820" s="43"/>
      <c r="Y820" s="43"/>
      <c r="Z820" s="43"/>
      <c r="AA820" s="43"/>
      <c r="AB820" s="43"/>
      <c r="AC820" s="43"/>
      <c r="AD820" s="43"/>
      <c r="AE820" s="43"/>
      <c r="AF820" s="43"/>
      <c r="AG820" s="43"/>
      <c r="AH820" s="43"/>
      <c r="AI820" s="43"/>
      <c r="AJ820" s="43"/>
      <c r="AK820" s="43"/>
      <c r="AL820" s="43"/>
      <c r="AM820" s="43"/>
      <c r="AN820" s="43"/>
      <c r="AO820" s="43"/>
      <c r="AP820" s="43"/>
      <c r="AQ820" s="43"/>
      <c r="AR820" s="43"/>
      <c r="AS820" s="43"/>
      <c r="AT820" s="43"/>
      <c r="AU820" s="43"/>
      <c r="AV820" s="43"/>
      <c r="AW820" s="43"/>
      <c r="AX820" s="43"/>
      <c r="AY820" s="43"/>
      <c r="AZ820" s="43"/>
      <c r="BA820" s="43"/>
      <c r="BB820" s="43"/>
      <c r="BC820" s="43"/>
      <c r="BD820" s="43"/>
      <c r="BE820" s="43"/>
      <c r="BF820" s="43"/>
      <c r="BG820" s="43"/>
      <c r="BH820" s="43"/>
      <c r="BI820" s="43"/>
      <c r="BJ820" s="43"/>
      <c r="BK820" s="43"/>
      <c r="BL820" s="43"/>
      <c r="BM820" s="43"/>
      <c r="BN820" s="43"/>
      <c r="BO820" s="43"/>
      <c r="BP820" s="43"/>
      <c r="BQ820" s="43"/>
      <c r="BR820" s="43"/>
      <c r="BS820" s="43"/>
      <c r="BT820" s="43"/>
      <c r="BU820" s="43"/>
      <c r="BV820" s="43"/>
      <c r="BW820" s="43"/>
      <c r="BX820" s="43"/>
      <c r="BY820" s="43"/>
      <c r="BZ820" s="43"/>
      <c r="CA820" s="43"/>
      <c r="CB820" s="43"/>
      <c r="CC820" s="43"/>
      <c r="CD820" s="43"/>
      <c r="CE820" s="43"/>
      <c r="CF820" s="43"/>
      <c r="CG820" s="43"/>
      <c r="CH820" s="43"/>
      <c r="CI820" s="43"/>
      <c r="CJ820" s="43"/>
      <c r="CK820" s="43"/>
      <c r="CL820" s="43"/>
      <c r="CM820" s="43"/>
      <c r="CN820" s="43"/>
      <c r="CO820" s="43"/>
      <c r="CP820" s="43"/>
      <c r="CQ820" s="43"/>
      <c r="CR820" s="43"/>
      <c r="CS820" s="43"/>
      <c r="CT820" s="43"/>
      <c r="CU820" s="43"/>
      <c r="CV820" s="43"/>
      <c r="CW820" s="43"/>
      <c r="CX820" s="43"/>
      <c r="CY820" s="43"/>
      <c r="CZ820" s="43"/>
      <c r="DA820" s="43"/>
      <c r="DB820" s="43"/>
      <c r="DC820" s="43"/>
      <c r="DD820" s="43"/>
      <c r="DE820" s="43"/>
      <c r="DF820" s="43"/>
      <c r="DG820" s="43"/>
      <c r="DH820" s="43"/>
      <c r="DI820" s="43"/>
      <c r="DJ820" s="43"/>
      <c r="DK820" s="43"/>
      <c r="DL820" s="43"/>
      <c r="DM820" s="43"/>
      <c r="DN820" s="43"/>
      <c r="DO820" s="43"/>
      <c r="DP820" s="43"/>
      <c r="DQ820" s="43"/>
      <c r="DR820" s="43"/>
      <c r="DS820" s="43"/>
    </row>
    <row r="821" spans="1:123" ht="14.45">
      <c r="A821"/>
      <c r="B821"/>
      <c r="C821"/>
      <c r="D821"/>
      <c r="E821"/>
      <c r="F821"/>
      <c r="G821"/>
      <c r="H821"/>
      <c r="I821"/>
      <c r="J821"/>
      <c r="K821" s="43"/>
      <c r="L821" s="43"/>
      <c r="M821" s="43"/>
      <c r="N821" s="43"/>
      <c r="O821" s="43"/>
      <c r="P821" s="43"/>
      <c r="Q821" s="43"/>
      <c r="R821" s="43"/>
      <c r="S821" s="43"/>
      <c r="T821" s="43"/>
      <c r="U821" s="43"/>
      <c r="V821" s="43"/>
      <c r="W821" s="43"/>
      <c r="X821" s="43"/>
      <c r="Y821" s="43"/>
      <c r="Z821" s="43"/>
      <c r="AA821" s="43"/>
      <c r="AB821" s="43"/>
      <c r="AC821" s="43"/>
      <c r="AD821" s="43"/>
      <c r="AE821" s="43"/>
      <c r="AF821" s="43"/>
      <c r="AG821" s="43"/>
      <c r="AH821" s="43"/>
      <c r="AI821" s="43"/>
      <c r="AJ821" s="43"/>
      <c r="AK821" s="43"/>
      <c r="AL821" s="43"/>
      <c r="AM821" s="43"/>
      <c r="AN821" s="43"/>
      <c r="AO821" s="43"/>
      <c r="AP821" s="43"/>
      <c r="AQ821" s="43"/>
      <c r="AR821" s="43"/>
      <c r="AS821" s="43"/>
      <c r="AT821" s="43"/>
      <c r="AU821" s="43"/>
      <c r="AV821" s="43"/>
      <c r="AW821" s="43"/>
      <c r="AX821" s="43"/>
      <c r="AY821" s="43"/>
      <c r="AZ821" s="43"/>
      <c r="BA821" s="43"/>
      <c r="BB821" s="43"/>
      <c r="BC821" s="43"/>
      <c r="BD821" s="43"/>
      <c r="BE821" s="43"/>
      <c r="BF821" s="43"/>
      <c r="BG821" s="43"/>
      <c r="BH821" s="43"/>
      <c r="BI821" s="43"/>
      <c r="BJ821" s="43"/>
      <c r="BK821" s="43"/>
      <c r="BL821" s="43"/>
      <c r="BM821" s="43"/>
      <c r="BN821" s="43"/>
      <c r="BO821" s="43"/>
      <c r="BP821" s="43"/>
      <c r="BQ821" s="43"/>
      <c r="BR821" s="43"/>
      <c r="BS821" s="43"/>
      <c r="BT821" s="43"/>
      <c r="BU821" s="43"/>
      <c r="BV821" s="43"/>
      <c r="BW821" s="43"/>
      <c r="BX821" s="43"/>
      <c r="BY821" s="43"/>
      <c r="BZ821" s="43"/>
      <c r="CA821" s="43"/>
      <c r="CB821" s="43"/>
      <c r="CC821" s="43"/>
      <c r="CD821" s="43"/>
      <c r="CE821" s="43"/>
      <c r="CF821" s="43"/>
      <c r="CG821" s="43"/>
      <c r="CH821" s="43"/>
      <c r="CI821" s="43"/>
      <c r="CJ821" s="43"/>
      <c r="CK821" s="43"/>
      <c r="CL821" s="43"/>
      <c r="CM821" s="43"/>
      <c r="CN821" s="43"/>
      <c r="CO821" s="43"/>
      <c r="CP821" s="43"/>
      <c r="CQ821" s="43"/>
      <c r="CR821" s="43"/>
      <c r="CS821" s="43"/>
      <c r="CT821" s="43"/>
      <c r="CU821" s="43"/>
      <c r="CV821" s="43"/>
      <c r="CW821" s="43"/>
      <c r="CX821" s="43"/>
      <c r="CY821" s="43"/>
      <c r="CZ821" s="43"/>
      <c r="DA821" s="43"/>
      <c r="DB821" s="43"/>
      <c r="DC821" s="43"/>
      <c r="DD821" s="43"/>
      <c r="DE821" s="43"/>
      <c r="DF821" s="43"/>
      <c r="DG821" s="43"/>
      <c r="DH821" s="43"/>
      <c r="DI821" s="43"/>
      <c r="DJ821" s="43"/>
      <c r="DK821" s="43"/>
      <c r="DL821" s="43"/>
      <c r="DM821" s="43"/>
      <c r="DN821" s="43"/>
      <c r="DO821" s="43"/>
      <c r="DP821" s="43"/>
      <c r="DQ821" s="43"/>
      <c r="DR821" s="43"/>
      <c r="DS821" s="43"/>
    </row>
    <row r="822" spans="1:123" ht="14.45">
      <c r="A822"/>
      <c r="B822"/>
      <c r="C822"/>
      <c r="D822"/>
      <c r="E822"/>
      <c r="F822"/>
      <c r="G822"/>
      <c r="H822"/>
      <c r="I822"/>
      <c r="J822"/>
      <c r="K822" s="43"/>
      <c r="L822" s="43"/>
      <c r="M822" s="43"/>
      <c r="N822" s="43"/>
      <c r="O822" s="43"/>
      <c r="P822" s="43"/>
      <c r="Q822" s="43"/>
      <c r="R822" s="43"/>
      <c r="S822" s="43"/>
      <c r="T822" s="43"/>
      <c r="U822" s="43"/>
      <c r="V822" s="43"/>
      <c r="W822" s="43"/>
      <c r="X822" s="43"/>
      <c r="Y822" s="43"/>
      <c r="Z822" s="43"/>
      <c r="AA822" s="43"/>
      <c r="AB822" s="43"/>
      <c r="AC822" s="43"/>
      <c r="AD822" s="43"/>
      <c r="AE822" s="43"/>
      <c r="AF822" s="43"/>
      <c r="AG822" s="43"/>
      <c r="AH822" s="43"/>
      <c r="AI822" s="43"/>
      <c r="AJ822" s="43"/>
      <c r="AK822" s="43"/>
      <c r="AL822" s="43"/>
      <c r="AM822" s="43"/>
      <c r="AN822" s="43"/>
      <c r="AO822" s="43"/>
      <c r="AP822" s="43"/>
      <c r="AQ822" s="43"/>
      <c r="AR822" s="43"/>
      <c r="AS822" s="43"/>
      <c r="AT822" s="43"/>
      <c r="AU822" s="43"/>
      <c r="AV822" s="43"/>
      <c r="AW822" s="43"/>
      <c r="AX822" s="43"/>
      <c r="AY822" s="43"/>
      <c r="AZ822" s="43"/>
      <c r="BA822" s="43"/>
      <c r="BB822" s="43"/>
      <c r="BC822" s="43"/>
      <c r="BD822" s="43"/>
      <c r="BE822" s="43"/>
      <c r="BF822" s="43"/>
      <c r="BG822" s="43"/>
      <c r="BH822" s="43"/>
      <c r="BI822" s="43"/>
      <c r="BJ822" s="43"/>
      <c r="BK822" s="43"/>
      <c r="BL822" s="43"/>
      <c r="BM822" s="43"/>
      <c r="BN822" s="43"/>
      <c r="BO822" s="43"/>
      <c r="BP822" s="43"/>
      <c r="BQ822" s="43"/>
      <c r="BR822" s="43"/>
      <c r="BS822" s="43"/>
      <c r="BT822" s="43"/>
      <c r="BU822" s="43"/>
      <c r="BV822" s="43"/>
      <c r="BW822" s="43"/>
      <c r="BX822" s="43"/>
      <c r="BY822" s="43"/>
      <c r="BZ822" s="43"/>
      <c r="CA822" s="43"/>
      <c r="CB822" s="43"/>
      <c r="CC822" s="43"/>
      <c r="CD822" s="43"/>
      <c r="CE822" s="43"/>
      <c r="CF822" s="43"/>
      <c r="CG822" s="43"/>
      <c r="CH822" s="43"/>
      <c r="CI822" s="43"/>
      <c r="CJ822" s="43"/>
      <c r="CK822" s="43"/>
      <c r="CL822" s="43"/>
      <c r="CM822" s="43"/>
      <c r="CN822" s="43"/>
      <c r="CO822" s="43"/>
      <c r="CP822" s="43"/>
      <c r="CQ822" s="43"/>
      <c r="CR822" s="43"/>
      <c r="CS822" s="43"/>
      <c r="CT822" s="43"/>
      <c r="CU822" s="43"/>
      <c r="CV822" s="43"/>
      <c r="CW822" s="43"/>
      <c r="CX822" s="43"/>
      <c r="CY822" s="43"/>
      <c r="CZ822" s="43"/>
      <c r="DA822" s="43"/>
      <c r="DB822" s="43"/>
      <c r="DC822" s="43"/>
      <c r="DD822" s="43"/>
      <c r="DE822" s="43"/>
      <c r="DF822" s="43"/>
      <c r="DG822" s="43"/>
      <c r="DH822" s="43"/>
      <c r="DI822" s="43"/>
      <c r="DJ822" s="43"/>
      <c r="DK822" s="43"/>
      <c r="DL822" s="43"/>
      <c r="DM822" s="43"/>
      <c r="DN822" s="43"/>
      <c r="DO822" s="43"/>
      <c r="DP822" s="43"/>
      <c r="DQ822" s="43"/>
      <c r="DR822" s="43"/>
      <c r="DS822" s="43"/>
    </row>
    <row r="823" spans="1:123" ht="14.45">
      <c r="A823"/>
      <c r="B823"/>
      <c r="C823"/>
      <c r="D823"/>
      <c r="E823"/>
      <c r="F823"/>
      <c r="G823"/>
      <c r="H823"/>
      <c r="I823"/>
      <c r="J823"/>
      <c r="K823" s="43"/>
      <c r="L823" s="43"/>
      <c r="M823" s="43"/>
      <c r="N823" s="43"/>
      <c r="O823" s="43"/>
      <c r="P823" s="43"/>
      <c r="Q823" s="43"/>
      <c r="R823" s="43"/>
      <c r="S823" s="43"/>
      <c r="T823" s="43"/>
      <c r="U823" s="43"/>
      <c r="V823" s="43"/>
      <c r="W823" s="43"/>
      <c r="X823" s="43"/>
      <c r="Y823" s="43"/>
      <c r="Z823" s="43"/>
      <c r="AA823" s="43"/>
      <c r="AB823" s="43"/>
      <c r="AC823" s="43"/>
      <c r="AD823" s="43"/>
      <c r="AE823" s="43"/>
      <c r="AF823" s="43"/>
      <c r="AG823" s="43"/>
      <c r="AH823" s="43"/>
      <c r="AI823" s="43"/>
      <c r="AJ823" s="43"/>
      <c r="AK823" s="43"/>
      <c r="AL823" s="43"/>
      <c r="AM823" s="43"/>
      <c r="AN823" s="43"/>
      <c r="AO823" s="43"/>
      <c r="AP823" s="43"/>
      <c r="AQ823" s="43"/>
      <c r="AR823" s="43"/>
      <c r="AS823" s="43"/>
      <c r="AT823" s="43"/>
      <c r="AU823" s="43"/>
      <c r="AV823" s="43"/>
      <c r="AW823" s="43"/>
      <c r="AX823" s="43"/>
      <c r="AY823" s="43"/>
      <c r="AZ823" s="43"/>
      <c r="BA823" s="43"/>
      <c r="BB823" s="43"/>
      <c r="BC823" s="43"/>
      <c r="BD823" s="43"/>
      <c r="BE823" s="43"/>
      <c r="BF823" s="43"/>
      <c r="BG823" s="43"/>
      <c r="BH823" s="43"/>
      <c r="BI823" s="43"/>
      <c r="BJ823" s="43"/>
      <c r="BK823" s="43"/>
      <c r="BL823" s="43"/>
      <c r="BM823" s="43"/>
      <c r="BN823" s="43"/>
      <c r="BO823" s="43"/>
      <c r="BP823" s="43"/>
      <c r="BQ823" s="43"/>
      <c r="BR823" s="43"/>
      <c r="BS823" s="43"/>
      <c r="BT823" s="43"/>
      <c r="BU823" s="43"/>
      <c r="BV823" s="43"/>
      <c r="BW823" s="43"/>
      <c r="BX823" s="43"/>
      <c r="BY823" s="43"/>
      <c r="BZ823" s="43"/>
      <c r="CA823" s="43"/>
      <c r="CB823" s="43"/>
      <c r="CC823" s="43"/>
      <c r="CD823" s="43"/>
      <c r="CE823" s="43"/>
      <c r="CF823" s="43"/>
      <c r="CG823" s="43"/>
      <c r="CH823" s="43"/>
      <c r="CI823" s="43"/>
      <c r="CJ823" s="43"/>
      <c r="CK823" s="43"/>
      <c r="CL823" s="43"/>
      <c r="CM823" s="43"/>
      <c r="CN823" s="43"/>
      <c r="CO823" s="43"/>
      <c r="CP823" s="43"/>
      <c r="CQ823" s="43"/>
      <c r="CR823" s="43"/>
      <c r="CS823" s="43"/>
      <c r="CT823" s="43"/>
      <c r="CU823" s="43"/>
      <c r="CV823" s="43"/>
      <c r="CW823" s="43"/>
      <c r="CX823" s="43"/>
      <c r="CY823" s="43"/>
      <c r="CZ823" s="43"/>
      <c r="DA823" s="43"/>
      <c r="DB823" s="43"/>
      <c r="DC823" s="43"/>
      <c r="DD823" s="43"/>
      <c r="DE823" s="43"/>
      <c r="DF823" s="43"/>
      <c r="DG823" s="43"/>
      <c r="DH823" s="43"/>
      <c r="DI823" s="43"/>
      <c r="DJ823" s="43"/>
      <c r="DK823" s="43"/>
      <c r="DL823" s="43"/>
      <c r="DM823" s="43"/>
      <c r="DN823" s="43"/>
      <c r="DO823" s="43"/>
      <c r="DP823" s="43"/>
      <c r="DQ823" s="43"/>
      <c r="DR823" s="43"/>
      <c r="DS823" s="43"/>
    </row>
    <row r="824" spans="1:123" ht="14.45">
      <c r="A824"/>
      <c r="B824"/>
      <c r="C824"/>
      <c r="D824"/>
      <c r="E824"/>
      <c r="F824"/>
      <c r="G824"/>
      <c r="H824"/>
      <c r="I824"/>
      <c r="J824"/>
      <c r="K824" s="43"/>
      <c r="L824" s="43"/>
      <c r="M824" s="43"/>
      <c r="N824" s="43"/>
      <c r="O824" s="43"/>
      <c r="P824" s="43"/>
      <c r="Q824" s="43"/>
      <c r="R824" s="43"/>
      <c r="S824" s="43"/>
      <c r="T824" s="43"/>
      <c r="U824" s="43"/>
      <c r="V824" s="43"/>
      <c r="W824" s="43"/>
      <c r="X824" s="43"/>
      <c r="Y824" s="43"/>
      <c r="Z824" s="43"/>
      <c r="AA824" s="43"/>
      <c r="AB824" s="43"/>
      <c r="AC824" s="43"/>
      <c r="AD824" s="43"/>
      <c r="AE824" s="43"/>
      <c r="AF824" s="43"/>
      <c r="AG824" s="43"/>
      <c r="AH824" s="43"/>
      <c r="AI824" s="43"/>
      <c r="AJ824" s="43"/>
      <c r="AK824" s="43"/>
      <c r="AL824" s="43"/>
      <c r="AM824" s="43"/>
      <c r="AN824" s="43"/>
      <c r="AO824" s="43"/>
      <c r="AP824" s="43"/>
      <c r="AQ824" s="43"/>
      <c r="AR824" s="43"/>
      <c r="AS824" s="43"/>
      <c r="AT824" s="43"/>
      <c r="AU824" s="43"/>
      <c r="AV824" s="43"/>
      <c r="AW824" s="43"/>
      <c r="AX824" s="43"/>
      <c r="AY824" s="43"/>
      <c r="AZ824" s="43"/>
      <c r="BA824" s="43"/>
      <c r="BB824" s="43"/>
      <c r="BC824" s="43"/>
      <c r="BD824" s="43"/>
      <c r="BE824" s="43"/>
      <c r="BF824" s="43"/>
      <c r="BG824" s="43"/>
      <c r="BH824" s="43"/>
      <c r="BI824" s="43"/>
      <c r="BJ824" s="43"/>
      <c r="BK824" s="43"/>
      <c r="BL824" s="43"/>
      <c r="BM824" s="43"/>
      <c r="BN824" s="43"/>
      <c r="BO824" s="43"/>
      <c r="BP824" s="43"/>
      <c r="BQ824" s="43"/>
      <c r="BR824" s="43"/>
      <c r="BS824" s="43"/>
      <c r="BT824" s="43"/>
      <c r="BU824" s="43"/>
      <c r="BV824" s="43"/>
      <c r="BW824" s="43"/>
      <c r="BX824" s="43"/>
      <c r="BY824" s="43"/>
      <c r="BZ824" s="43"/>
      <c r="CA824" s="43"/>
      <c r="CB824" s="43"/>
      <c r="CC824" s="43"/>
      <c r="CD824" s="43"/>
      <c r="CE824" s="43"/>
      <c r="CF824" s="43"/>
      <c r="CG824" s="43"/>
      <c r="CH824" s="43"/>
      <c r="CI824" s="43"/>
      <c r="CJ824" s="43"/>
      <c r="CK824" s="43"/>
      <c r="CL824" s="43"/>
      <c r="CM824" s="43"/>
      <c r="CN824" s="43"/>
      <c r="CO824" s="43"/>
      <c r="CP824" s="43"/>
      <c r="CQ824" s="43"/>
      <c r="CR824" s="43"/>
      <c r="CS824" s="43"/>
      <c r="CT824" s="43"/>
      <c r="CU824" s="43"/>
      <c r="CV824" s="43"/>
      <c r="CW824" s="43"/>
      <c r="CX824" s="43"/>
      <c r="CY824" s="43"/>
      <c r="CZ824" s="43"/>
      <c r="DA824" s="43"/>
      <c r="DB824" s="43"/>
      <c r="DC824" s="43"/>
      <c r="DD824" s="43"/>
      <c r="DE824" s="43"/>
      <c r="DF824" s="43"/>
      <c r="DG824" s="43"/>
      <c r="DH824" s="43"/>
      <c r="DI824" s="43"/>
      <c r="DJ824" s="43"/>
      <c r="DK824" s="43"/>
      <c r="DL824" s="43"/>
      <c r="DM824" s="43"/>
      <c r="DN824" s="43"/>
      <c r="DO824" s="43"/>
      <c r="DP824" s="43"/>
      <c r="DQ824" s="43"/>
      <c r="DR824" s="43"/>
      <c r="DS824" s="43"/>
    </row>
    <row r="825" spans="1:123" ht="14.45">
      <c r="A825"/>
      <c r="B825"/>
      <c r="C825"/>
      <c r="D825"/>
      <c r="E825"/>
      <c r="F825"/>
      <c r="G825"/>
      <c r="H825"/>
      <c r="I825"/>
      <c r="J825"/>
      <c r="K825" s="43"/>
      <c r="L825" s="43"/>
      <c r="M825" s="43"/>
      <c r="N825" s="43"/>
      <c r="O825" s="43"/>
      <c r="P825" s="43"/>
      <c r="Q825" s="43"/>
      <c r="R825" s="43"/>
      <c r="S825" s="43"/>
      <c r="T825" s="43"/>
      <c r="U825" s="43"/>
      <c r="V825" s="43"/>
      <c r="W825" s="43"/>
      <c r="X825" s="43"/>
      <c r="Y825" s="43"/>
      <c r="Z825" s="43"/>
      <c r="AA825" s="43"/>
      <c r="AB825" s="43"/>
      <c r="AC825" s="43"/>
      <c r="AD825" s="43"/>
      <c r="AE825" s="43"/>
      <c r="AF825" s="43"/>
      <c r="AG825" s="43"/>
      <c r="AH825" s="43"/>
      <c r="AI825" s="43"/>
      <c r="AJ825" s="43"/>
      <c r="AK825" s="43"/>
      <c r="AL825" s="43"/>
      <c r="AM825" s="43"/>
      <c r="AN825" s="43"/>
      <c r="AO825" s="43"/>
      <c r="AP825" s="43"/>
      <c r="AQ825" s="43"/>
      <c r="AR825" s="43"/>
      <c r="AS825" s="43"/>
      <c r="AT825" s="43"/>
      <c r="AU825" s="43"/>
      <c r="AV825" s="43"/>
      <c r="AW825" s="43"/>
      <c r="AX825" s="43"/>
      <c r="AY825" s="43"/>
      <c r="AZ825" s="43"/>
      <c r="BA825" s="43"/>
      <c r="BB825" s="43"/>
      <c r="BC825" s="43"/>
      <c r="BD825" s="43"/>
      <c r="BE825" s="43"/>
      <c r="BF825" s="43"/>
      <c r="BG825" s="43"/>
      <c r="BH825" s="43"/>
      <c r="BI825" s="43"/>
      <c r="BJ825" s="43"/>
      <c r="BK825" s="43"/>
      <c r="BL825" s="43"/>
      <c r="BM825" s="43"/>
      <c r="BN825" s="43"/>
      <c r="BO825" s="43"/>
      <c r="BP825" s="43"/>
      <c r="BQ825" s="43"/>
      <c r="BR825" s="43"/>
      <c r="BS825" s="43"/>
      <c r="BT825" s="43"/>
      <c r="BU825" s="43"/>
      <c r="BV825" s="43"/>
      <c r="BW825" s="43"/>
      <c r="BX825" s="43"/>
      <c r="BY825" s="43"/>
      <c r="BZ825" s="43"/>
      <c r="CA825" s="43"/>
      <c r="CB825" s="43"/>
      <c r="CC825" s="43"/>
      <c r="CD825" s="43"/>
      <c r="CE825" s="43"/>
      <c r="CF825" s="43"/>
      <c r="CG825" s="43"/>
      <c r="CH825" s="43"/>
      <c r="CI825" s="43"/>
      <c r="CJ825" s="43"/>
      <c r="CK825" s="43"/>
      <c r="CL825" s="43"/>
      <c r="CM825" s="43"/>
      <c r="CN825" s="43"/>
      <c r="CO825" s="43"/>
      <c r="CP825" s="43"/>
      <c r="CQ825" s="43"/>
      <c r="CR825" s="43"/>
      <c r="CS825" s="43"/>
      <c r="CT825" s="43"/>
      <c r="CU825" s="43"/>
      <c r="CV825" s="43"/>
      <c r="CW825" s="43"/>
      <c r="CX825" s="43"/>
      <c r="CY825" s="43"/>
      <c r="CZ825" s="43"/>
      <c r="DA825" s="43"/>
      <c r="DB825" s="43"/>
      <c r="DC825" s="43"/>
      <c r="DD825" s="43"/>
      <c r="DE825" s="43"/>
      <c r="DF825" s="43"/>
      <c r="DG825" s="43"/>
      <c r="DH825" s="43"/>
      <c r="DI825" s="43"/>
      <c r="DJ825" s="43"/>
      <c r="DK825" s="43"/>
      <c r="DL825" s="43"/>
      <c r="DM825" s="43"/>
      <c r="DN825" s="43"/>
      <c r="DO825" s="43"/>
      <c r="DP825" s="43"/>
      <c r="DQ825" s="43"/>
      <c r="DR825" s="43"/>
      <c r="DS825" s="43"/>
    </row>
    <row r="826" spans="1:123" ht="14.45">
      <c r="A826"/>
      <c r="B826"/>
      <c r="C826"/>
      <c r="D826"/>
      <c r="E826"/>
      <c r="F826"/>
      <c r="G826"/>
      <c r="H826"/>
      <c r="I826"/>
      <c r="J826"/>
      <c r="K826" s="43"/>
      <c r="L826" s="43"/>
      <c r="M826" s="43"/>
      <c r="N826" s="43"/>
      <c r="O826" s="43"/>
      <c r="P826" s="43"/>
      <c r="Q826" s="43"/>
      <c r="R826" s="43"/>
      <c r="S826" s="43"/>
      <c r="T826" s="43"/>
      <c r="U826" s="43"/>
      <c r="V826" s="43"/>
      <c r="W826" s="43"/>
      <c r="X826" s="43"/>
      <c r="Y826" s="43"/>
      <c r="Z826" s="43"/>
      <c r="AA826" s="43"/>
      <c r="AB826" s="43"/>
      <c r="AC826" s="43"/>
      <c r="AD826" s="43"/>
      <c r="AE826" s="43"/>
      <c r="AF826" s="43"/>
      <c r="AG826" s="43"/>
      <c r="AH826" s="43"/>
      <c r="AI826" s="43"/>
      <c r="AJ826" s="43"/>
      <c r="AK826" s="43"/>
      <c r="AL826" s="43"/>
      <c r="AM826" s="43"/>
      <c r="AN826" s="43"/>
      <c r="AO826" s="43"/>
      <c r="AP826" s="43"/>
      <c r="AQ826" s="43"/>
      <c r="AR826" s="43"/>
      <c r="AS826" s="43"/>
      <c r="AT826" s="43"/>
      <c r="AU826" s="43"/>
      <c r="AV826" s="43"/>
      <c r="AW826" s="43"/>
      <c r="AX826" s="43"/>
      <c r="AY826" s="43"/>
      <c r="AZ826" s="43"/>
      <c r="BA826" s="43"/>
      <c r="BB826" s="43"/>
      <c r="BC826" s="43"/>
      <c r="BD826" s="43"/>
      <c r="BE826" s="43"/>
      <c r="BF826" s="43"/>
      <c r="BG826" s="43"/>
      <c r="BH826" s="43"/>
      <c r="BI826" s="43"/>
      <c r="BJ826" s="43"/>
      <c r="BK826" s="43"/>
      <c r="BL826" s="43"/>
      <c r="BM826" s="43"/>
      <c r="BN826" s="43"/>
      <c r="BO826" s="43"/>
      <c r="BP826" s="43"/>
      <c r="BQ826" s="43"/>
      <c r="BR826" s="43"/>
      <c r="BS826" s="43"/>
      <c r="BT826" s="43"/>
      <c r="BU826" s="43"/>
      <c r="BV826" s="43"/>
      <c r="BW826" s="43"/>
      <c r="BX826" s="43"/>
      <c r="BY826" s="43"/>
      <c r="BZ826" s="43"/>
      <c r="CA826" s="43"/>
      <c r="CB826" s="43"/>
      <c r="CC826" s="43"/>
      <c r="CD826" s="43"/>
      <c r="CE826" s="43"/>
      <c r="CF826" s="43"/>
      <c r="CG826" s="43"/>
      <c r="CH826" s="43"/>
      <c r="CI826" s="43"/>
      <c r="CJ826" s="43"/>
      <c r="CK826" s="43"/>
      <c r="CL826" s="43"/>
      <c r="CM826" s="43"/>
      <c r="CN826" s="43"/>
      <c r="CO826" s="43"/>
      <c r="CP826" s="43"/>
      <c r="CQ826" s="43"/>
      <c r="CR826" s="43"/>
      <c r="CS826" s="43"/>
      <c r="CT826" s="43"/>
      <c r="CU826" s="43"/>
      <c r="CV826" s="43"/>
      <c r="CW826" s="43"/>
      <c r="CX826" s="43"/>
      <c r="CY826" s="43"/>
      <c r="CZ826" s="43"/>
      <c r="DA826" s="43"/>
      <c r="DB826" s="43"/>
      <c r="DC826" s="43"/>
      <c r="DD826" s="43"/>
      <c r="DE826" s="43"/>
      <c r="DF826" s="43"/>
      <c r="DG826" s="43"/>
      <c r="DH826" s="43"/>
      <c r="DI826" s="43"/>
      <c r="DJ826" s="43"/>
      <c r="DK826" s="43"/>
      <c r="DL826" s="43"/>
      <c r="DM826" s="43"/>
      <c r="DN826" s="43"/>
      <c r="DO826" s="43"/>
      <c r="DP826" s="43"/>
      <c r="DQ826" s="43"/>
      <c r="DR826" s="43"/>
      <c r="DS826" s="43"/>
    </row>
    <row r="827" spans="1:123" ht="14.45">
      <c r="A827"/>
      <c r="B827"/>
      <c r="C827"/>
      <c r="D827"/>
      <c r="E827"/>
      <c r="F827"/>
      <c r="G827"/>
      <c r="H827"/>
      <c r="I827"/>
      <c r="J827"/>
      <c r="K827" s="43"/>
      <c r="L827" s="43"/>
      <c r="M827" s="43"/>
      <c r="N827" s="43"/>
      <c r="O827" s="43"/>
      <c r="P827" s="43"/>
      <c r="Q827" s="43"/>
      <c r="R827" s="43"/>
      <c r="S827" s="43"/>
      <c r="T827" s="43"/>
      <c r="U827" s="43"/>
      <c r="V827" s="43"/>
      <c r="W827" s="43"/>
      <c r="X827" s="43"/>
      <c r="Y827" s="43"/>
      <c r="Z827" s="43"/>
      <c r="AA827" s="43"/>
      <c r="AB827" s="43"/>
      <c r="AC827" s="43"/>
      <c r="AD827" s="43"/>
      <c r="AE827" s="43"/>
      <c r="AF827" s="43"/>
      <c r="AG827" s="43"/>
      <c r="AH827" s="43"/>
      <c r="AI827" s="43"/>
      <c r="AJ827" s="43"/>
      <c r="AK827" s="43"/>
      <c r="AL827" s="43"/>
      <c r="AM827" s="43"/>
      <c r="AN827" s="43"/>
      <c r="AO827" s="43"/>
      <c r="AP827" s="43"/>
      <c r="AQ827" s="43"/>
      <c r="AR827" s="43"/>
      <c r="AS827" s="43"/>
      <c r="AT827" s="43"/>
      <c r="AU827" s="43"/>
      <c r="AV827" s="43"/>
      <c r="AW827" s="43"/>
      <c r="AX827" s="43"/>
      <c r="AY827" s="43"/>
      <c r="AZ827" s="43"/>
      <c r="BA827" s="43"/>
      <c r="BB827" s="43"/>
      <c r="BC827" s="43"/>
      <c r="BD827" s="43"/>
      <c r="BE827" s="43"/>
      <c r="BF827" s="43"/>
      <c r="BG827" s="43"/>
      <c r="BH827" s="43"/>
      <c r="BI827" s="43"/>
      <c r="BJ827" s="43"/>
      <c r="BK827" s="43"/>
      <c r="BL827" s="43"/>
      <c r="BM827" s="43"/>
      <c r="BN827" s="43"/>
      <c r="BO827" s="43"/>
      <c r="BP827" s="43"/>
      <c r="BQ827" s="43"/>
      <c r="BR827" s="43"/>
      <c r="BS827" s="43"/>
      <c r="BT827" s="43"/>
      <c r="BU827" s="43"/>
      <c r="BV827" s="43"/>
      <c r="BW827" s="43"/>
      <c r="BX827" s="43"/>
      <c r="BY827" s="43"/>
      <c r="BZ827" s="43"/>
      <c r="CA827" s="43"/>
      <c r="CB827" s="43"/>
      <c r="CC827" s="43"/>
      <c r="CD827" s="43"/>
      <c r="CE827" s="43"/>
      <c r="CF827" s="43"/>
      <c r="CG827" s="43"/>
      <c r="CH827" s="43"/>
      <c r="CI827" s="43"/>
      <c r="CJ827" s="43"/>
      <c r="CK827" s="43"/>
      <c r="CL827" s="43"/>
      <c r="CM827" s="43"/>
      <c r="CN827" s="43"/>
      <c r="CO827" s="43"/>
      <c r="CP827" s="43"/>
      <c r="CQ827" s="43"/>
      <c r="CR827" s="43"/>
      <c r="CS827" s="43"/>
      <c r="CT827" s="43"/>
      <c r="CU827" s="43"/>
      <c r="CV827" s="43"/>
      <c r="CW827" s="43"/>
      <c r="CX827" s="43"/>
      <c r="CY827" s="43"/>
      <c r="CZ827" s="43"/>
      <c r="DA827" s="43"/>
      <c r="DB827" s="43"/>
      <c r="DC827" s="43"/>
      <c r="DD827" s="43"/>
      <c r="DE827" s="43"/>
      <c r="DF827" s="43"/>
      <c r="DG827" s="43"/>
      <c r="DH827" s="43"/>
      <c r="DI827" s="43"/>
      <c r="DJ827" s="43"/>
      <c r="DK827" s="43"/>
      <c r="DL827" s="43"/>
      <c r="DM827" s="43"/>
      <c r="DN827" s="43"/>
      <c r="DO827" s="43"/>
      <c r="DP827" s="43"/>
      <c r="DQ827" s="43"/>
      <c r="DR827" s="43"/>
      <c r="DS827" s="43"/>
    </row>
    <row r="828" spans="1:123" ht="14.45">
      <c r="A828"/>
      <c r="B828"/>
      <c r="C828"/>
      <c r="D828"/>
      <c r="E828"/>
      <c r="F828"/>
      <c r="G828"/>
      <c r="H828"/>
      <c r="I828"/>
      <c r="J828"/>
      <c r="K828" s="43"/>
      <c r="L828" s="43"/>
      <c r="M828" s="43"/>
      <c r="N828" s="43"/>
      <c r="O828" s="43"/>
      <c r="P828" s="43"/>
      <c r="Q828" s="43"/>
      <c r="R828" s="43"/>
      <c r="S828" s="43"/>
      <c r="T828" s="43"/>
      <c r="U828" s="43"/>
      <c r="V828" s="43"/>
      <c r="W828" s="43"/>
      <c r="X828" s="43"/>
      <c r="Y828" s="43"/>
      <c r="Z828" s="43"/>
      <c r="AA828" s="43"/>
      <c r="AB828" s="43"/>
      <c r="AC828" s="43"/>
      <c r="AD828" s="43"/>
      <c r="AE828" s="43"/>
      <c r="AF828" s="43"/>
      <c r="AG828" s="43"/>
      <c r="AH828" s="43"/>
      <c r="AI828" s="43"/>
      <c r="AJ828" s="43"/>
      <c r="AK828" s="43"/>
      <c r="AL828" s="43"/>
      <c r="AM828" s="43"/>
      <c r="AN828" s="43"/>
      <c r="AO828" s="43"/>
      <c r="AP828" s="43"/>
      <c r="AQ828" s="43"/>
      <c r="AR828" s="43"/>
      <c r="AS828" s="43"/>
      <c r="AT828" s="43"/>
      <c r="AU828" s="43"/>
      <c r="AV828" s="43"/>
      <c r="AW828" s="43"/>
      <c r="AX828" s="43"/>
      <c r="AY828" s="43"/>
      <c r="AZ828" s="43"/>
      <c r="BA828" s="43"/>
      <c r="BB828" s="43"/>
      <c r="BC828" s="43"/>
      <c r="BD828" s="43"/>
      <c r="BE828" s="43"/>
      <c r="BF828" s="43"/>
      <c r="BG828" s="43"/>
      <c r="BH828" s="43"/>
      <c r="BI828" s="43"/>
      <c r="BJ828" s="43"/>
      <c r="BK828" s="43"/>
      <c r="BL828" s="43"/>
      <c r="BM828" s="43"/>
      <c r="BN828" s="43"/>
      <c r="BO828" s="43"/>
      <c r="BP828" s="43"/>
      <c r="BQ828" s="43"/>
      <c r="BR828" s="43"/>
      <c r="BS828" s="43"/>
      <c r="BT828" s="43"/>
      <c r="BU828" s="43"/>
      <c r="BV828" s="43"/>
      <c r="BW828" s="43"/>
      <c r="BX828" s="43"/>
      <c r="BY828" s="43"/>
      <c r="BZ828" s="43"/>
      <c r="CA828" s="43"/>
      <c r="CB828" s="43"/>
      <c r="CC828" s="43"/>
      <c r="CD828" s="43"/>
      <c r="CE828" s="43"/>
      <c r="CF828" s="43"/>
      <c r="CG828" s="43"/>
      <c r="CH828" s="43"/>
      <c r="CI828" s="43"/>
      <c r="CJ828" s="43"/>
      <c r="CK828" s="43"/>
      <c r="CL828" s="43"/>
      <c r="CM828" s="43"/>
      <c r="CN828" s="43"/>
      <c r="CO828" s="43"/>
      <c r="CP828" s="43"/>
      <c r="CQ828" s="43"/>
      <c r="CR828" s="43"/>
      <c r="CS828" s="43"/>
      <c r="CT828" s="43"/>
      <c r="CU828" s="43"/>
      <c r="CV828" s="43"/>
      <c r="CW828" s="43"/>
      <c r="CX828" s="43"/>
      <c r="CY828" s="43"/>
      <c r="CZ828" s="43"/>
      <c r="DA828" s="43"/>
      <c r="DB828" s="43"/>
      <c r="DC828" s="43"/>
      <c r="DD828" s="43"/>
      <c r="DE828" s="43"/>
      <c r="DF828" s="43"/>
      <c r="DG828" s="43"/>
      <c r="DH828" s="43"/>
      <c r="DI828" s="43"/>
      <c r="DJ828" s="43"/>
      <c r="DK828" s="43"/>
      <c r="DL828" s="43"/>
      <c r="DM828" s="43"/>
      <c r="DN828" s="43"/>
      <c r="DO828" s="43"/>
      <c r="DP828" s="43"/>
      <c r="DQ828" s="43"/>
      <c r="DR828" s="43"/>
      <c r="DS828" s="43"/>
    </row>
    <row r="829" spans="1:123" ht="14.45">
      <c r="A829"/>
      <c r="B829"/>
      <c r="C829"/>
      <c r="D829"/>
      <c r="E829"/>
      <c r="F829"/>
      <c r="G829"/>
      <c r="H829"/>
      <c r="I829"/>
      <c r="J829"/>
      <c r="K829" s="43"/>
      <c r="L829" s="43"/>
      <c r="M829" s="43"/>
      <c r="N829" s="43"/>
      <c r="O829" s="43"/>
      <c r="P829" s="43"/>
      <c r="Q829" s="43"/>
      <c r="R829" s="43"/>
      <c r="S829" s="43"/>
      <c r="T829" s="43"/>
      <c r="U829" s="43"/>
      <c r="V829" s="43"/>
      <c r="W829" s="43"/>
      <c r="X829" s="43"/>
      <c r="Y829" s="43"/>
      <c r="Z829" s="43"/>
      <c r="AA829" s="43"/>
      <c r="AB829" s="43"/>
      <c r="AC829" s="43"/>
      <c r="AD829" s="43"/>
      <c r="AE829" s="43"/>
      <c r="AF829" s="43"/>
      <c r="AG829" s="43"/>
      <c r="AH829" s="43"/>
      <c r="AI829" s="43"/>
      <c r="AJ829" s="43"/>
      <c r="AK829" s="43"/>
      <c r="AL829" s="43"/>
      <c r="AM829" s="43"/>
      <c r="AN829" s="43"/>
      <c r="AO829" s="43"/>
      <c r="AP829" s="43"/>
      <c r="AQ829" s="43"/>
      <c r="AR829" s="43"/>
      <c r="AS829" s="43"/>
      <c r="AT829" s="43"/>
      <c r="AU829" s="43"/>
      <c r="AV829" s="43"/>
      <c r="AW829" s="43"/>
      <c r="AX829" s="43"/>
      <c r="AY829" s="43"/>
      <c r="AZ829" s="43"/>
      <c r="BA829" s="43"/>
      <c r="BB829" s="43"/>
      <c r="BC829" s="43"/>
      <c r="BD829" s="43"/>
      <c r="BE829" s="43"/>
      <c r="BF829" s="43"/>
      <c r="BG829" s="43"/>
      <c r="BH829" s="43"/>
      <c r="BI829" s="43"/>
      <c r="BJ829" s="43"/>
      <c r="BK829" s="43"/>
      <c r="BL829" s="43"/>
      <c r="BM829" s="43"/>
      <c r="BN829" s="43"/>
      <c r="BO829" s="43"/>
      <c r="BP829" s="43"/>
      <c r="BQ829" s="43"/>
      <c r="BR829" s="43"/>
      <c r="BS829" s="43"/>
      <c r="BT829" s="43"/>
      <c r="BU829" s="43"/>
      <c r="BV829" s="43"/>
      <c r="BW829" s="43"/>
      <c r="BX829" s="43"/>
      <c r="BY829" s="43"/>
      <c r="BZ829" s="43"/>
      <c r="CA829" s="43"/>
      <c r="CB829" s="43"/>
      <c r="CC829" s="43"/>
      <c r="CD829" s="43"/>
      <c r="CE829" s="43"/>
      <c r="CF829" s="43"/>
      <c r="CG829" s="43"/>
      <c r="CH829" s="43"/>
      <c r="CI829" s="43"/>
      <c r="CJ829" s="43"/>
      <c r="CK829" s="43"/>
      <c r="CL829" s="43"/>
      <c r="CM829" s="43"/>
      <c r="CN829" s="43"/>
      <c r="CO829" s="43"/>
      <c r="CP829" s="43"/>
      <c r="CQ829" s="43"/>
      <c r="CR829" s="43"/>
      <c r="CS829" s="43"/>
      <c r="CT829" s="43"/>
      <c r="CU829" s="43"/>
      <c r="CV829" s="43"/>
      <c r="CW829" s="43"/>
      <c r="CX829" s="43"/>
      <c r="CY829" s="43"/>
      <c r="CZ829" s="43"/>
      <c r="DA829" s="43"/>
      <c r="DB829" s="43"/>
      <c r="DC829" s="43"/>
      <c r="DD829" s="43"/>
      <c r="DE829" s="43"/>
      <c r="DF829" s="43"/>
      <c r="DG829" s="43"/>
      <c r="DH829" s="43"/>
      <c r="DI829" s="43"/>
      <c r="DJ829" s="43"/>
      <c r="DK829" s="43"/>
      <c r="DL829" s="43"/>
      <c r="DM829" s="43"/>
      <c r="DN829" s="43"/>
      <c r="DO829" s="43"/>
      <c r="DP829" s="43"/>
      <c r="DQ829" s="43"/>
      <c r="DR829" s="43"/>
      <c r="DS829" s="43"/>
    </row>
    <row r="830" spans="1:123" ht="14.45">
      <c r="A830"/>
      <c r="B830"/>
      <c r="C830"/>
      <c r="D830"/>
      <c r="E830"/>
      <c r="F830"/>
      <c r="G830"/>
      <c r="H830"/>
      <c r="I830"/>
      <c r="J830"/>
      <c r="K830" s="43"/>
      <c r="L830" s="43"/>
      <c r="M830" s="43"/>
      <c r="N830" s="43"/>
      <c r="O830" s="43"/>
      <c r="P830" s="43"/>
      <c r="Q830" s="43"/>
      <c r="R830" s="43"/>
      <c r="S830" s="43"/>
      <c r="T830" s="43"/>
      <c r="U830" s="43"/>
      <c r="V830" s="43"/>
      <c r="W830" s="43"/>
      <c r="X830" s="43"/>
      <c r="Y830" s="43"/>
      <c r="Z830" s="43"/>
      <c r="AA830" s="43"/>
      <c r="AB830" s="43"/>
      <c r="AC830" s="43"/>
      <c r="AD830" s="43"/>
      <c r="AE830" s="43"/>
      <c r="AF830" s="43"/>
      <c r="AG830" s="43"/>
      <c r="AH830" s="43"/>
      <c r="AI830" s="43"/>
      <c r="AJ830" s="43"/>
      <c r="AK830" s="43"/>
      <c r="AL830" s="43"/>
      <c r="AM830" s="43"/>
      <c r="AN830" s="43"/>
      <c r="AO830" s="43"/>
      <c r="AP830" s="43"/>
      <c r="AQ830" s="43"/>
      <c r="AR830" s="43"/>
      <c r="AS830" s="43"/>
      <c r="AT830" s="43"/>
      <c r="AU830" s="43"/>
      <c r="AV830" s="43"/>
      <c r="AW830" s="43"/>
      <c r="AX830" s="43"/>
      <c r="AY830" s="43"/>
      <c r="AZ830" s="43"/>
      <c r="BA830" s="43"/>
      <c r="BB830" s="43"/>
      <c r="BC830" s="43"/>
      <c r="BD830" s="43"/>
      <c r="BE830" s="43"/>
      <c r="BF830" s="43"/>
      <c r="BG830" s="43"/>
      <c r="BH830" s="43"/>
      <c r="BI830" s="43"/>
      <c r="BJ830" s="43"/>
      <c r="BK830" s="43"/>
      <c r="BL830" s="43"/>
      <c r="BM830" s="43"/>
      <c r="BN830" s="43"/>
      <c r="BO830" s="43"/>
      <c r="BP830" s="43"/>
      <c r="BQ830" s="43"/>
      <c r="BR830" s="43"/>
      <c r="BS830" s="43"/>
      <c r="BT830" s="43"/>
      <c r="BU830" s="43"/>
      <c r="BV830" s="43"/>
      <c r="BW830" s="43"/>
      <c r="BX830" s="43"/>
      <c r="BY830" s="43"/>
      <c r="BZ830" s="43"/>
      <c r="CA830" s="43"/>
      <c r="CB830" s="43"/>
      <c r="CC830" s="43"/>
      <c r="CD830" s="43"/>
      <c r="CE830" s="43"/>
      <c r="CF830" s="43"/>
      <c r="CG830" s="43"/>
      <c r="CH830" s="43"/>
      <c r="CI830" s="43"/>
      <c r="CJ830" s="43"/>
      <c r="CK830" s="43"/>
      <c r="CL830" s="43"/>
      <c r="CM830" s="43"/>
      <c r="CN830" s="43"/>
      <c r="CO830" s="43"/>
      <c r="CP830" s="43"/>
      <c r="CQ830" s="43"/>
      <c r="CR830" s="43"/>
      <c r="CS830" s="43"/>
      <c r="CT830" s="43"/>
      <c r="CU830" s="43"/>
      <c r="CV830" s="43"/>
      <c r="CW830" s="43"/>
      <c r="CX830" s="43"/>
      <c r="CY830" s="43"/>
      <c r="CZ830" s="43"/>
      <c r="DA830" s="43"/>
      <c r="DB830" s="43"/>
      <c r="DC830" s="43"/>
      <c r="DD830" s="43"/>
      <c r="DE830" s="43"/>
      <c r="DF830" s="43"/>
      <c r="DG830" s="43"/>
      <c r="DH830" s="43"/>
      <c r="DI830" s="43"/>
      <c r="DJ830" s="43"/>
      <c r="DK830" s="43"/>
      <c r="DL830" s="43"/>
      <c r="DM830" s="43"/>
      <c r="DN830" s="43"/>
      <c r="DO830" s="43"/>
      <c r="DP830" s="43"/>
      <c r="DQ830" s="43"/>
      <c r="DR830" s="43"/>
      <c r="DS830" s="43"/>
    </row>
    <row r="831" spans="1:123" ht="14.45">
      <c r="A831"/>
      <c r="B831"/>
      <c r="C831"/>
      <c r="D831"/>
      <c r="E831"/>
      <c r="F831"/>
      <c r="G831"/>
      <c r="H831"/>
      <c r="I831"/>
      <c r="J831"/>
      <c r="K831" s="43"/>
      <c r="L831" s="43"/>
      <c r="M831" s="43"/>
      <c r="N831" s="43"/>
      <c r="O831" s="43"/>
      <c r="P831" s="43"/>
      <c r="Q831" s="43"/>
      <c r="R831" s="43"/>
      <c r="S831" s="43"/>
      <c r="T831" s="43"/>
      <c r="U831" s="43"/>
      <c r="V831" s="43"/>
      <c r="W831" s="43"/>
      <c r="X831" s="43"/>
      <c r="Y831" s="43"/>
      <c r="Z831" s="43"/>
      <c r="AA831" s="43"/>
      <c r="AB831" s="43"/>
      <c r="AC831" s="43"/>
      <c r="AD831" s="43"/>
      <c r="AE831" s="43"/>
      <c r="AF831" s="43"/>
      <c r="AG831" s="43"/>
      <c r="AH831" s="43"/>
      <c r="AI831" s="43"/>
      <c r="AJ831" s="43"/>
      <c r="AK831" s="43"/>
      <c r="AL831" s="43"/>
      <c r="AM831" s="43"/>
      <c r="AN831" s="43"/>
      <c r="AO831" s="43"/>
      <c r="AP831" s="43"/>
      <c r="AQ831" s="43"/>
      <c r="AR831" s="43"/>
      <c r="AS831" s="43"/>
      <c r="AT831" s="43"/>
      <c r="AU831" s="43"/>
      <c r="AV831" s="43"/>
      <c r="AW831" s="43"/>
      <c r="AX831" s="43"/>
      <c r="AY831" s="43"/>
      <c r="AZ831" s="43"/>
      <c r="BA831" s="43"/>
      <c r="BB831" s="43"/>
      <c r="BC831" s="43"/>
      <c r="BD831" s="43"/>
      <c r="BE831" s="43"/>
      <c r="BF831" s="43"/>
      <c r="BG831" s="43"/>
      <c r="BH831" s="43"/>
      <c r="BI831" s="43"/>
      <c r="BJ831" s="43"/>
      <c r="BK831" s="43"/>
      <c r="BL831" s="43"/>
      <c r="BM831" s="43"/>
      <c r="BN831" s="43"/>
      <c r="BO831" s="43"/>
      <c r="BP831" s="43"/>
      <c r="BQ831" s="43"/>
      <c r="BR831" s="43"/>
      <c r="BS831" s="43"/>
      <c r="BT831" s="43"/>
      <c r="BU831" s="43"/>
      <c r="BV831" s="43"/>
      <c r="BW831" s="43"/>
      <c r="BX831" s="43"/>
      <c r="BY831" s="43"/>
      <c r="BZ831" s="43"/>
      <c r="CA831" s="43"/>
      <c r="CB831" s="43"/>
      <c r="CC831" s="43"/>
      <c r="CD831" s="43"/>
      <c r="CE831" s="43"/>
      <c r="CF831" s="43"/>
      <c r="CG831" s="43"/>
      <c r="CH831" s="43"/>
      <c r="CI831" s="43"/>
      <c r="CJ831" s="43"/>
      <c r="CK831" s="43"/>
      <c r="CL831" s="43"/>
      <c r="CM831" s="43"/>
      <c r="CN831" s="43"/>
      <c r="CO831" s="43"/>
      <c r="CP831" s="43"/>
      <c r="CQ831" s="43"/>
      <c r="CR831" s="43"/>
      <c r="CS831" s="43"/>
      <c r="CT831" s="43"/>
      <c r="CU831" s="43"/>
      <c r="CV831" s="43"/>
      <c r="CW831" s="43"/>
      <c r="CX831" s="43"/>
      <c r="CY831" s="43"/>
      <c r="CZ831" s="43"/>
      <c r="DA831" s="43"/>
      <c r="DB831" s="43"/>
      <c r="DC831" s="43"/>
      <c r="DD831" s="43"/>
      <c r="DE831" s="43"/>
      <c r="DF831" s="43"/>
      <c r="DG831" s="43"/>
      <c r="DH831" s="43"/>
      <c r="DI831" s="43"/>
      <c r="DJ831" s="43"/>
      <c r="DK831" s="43"/>
      <c r="DL831" s="43"/>
      <c r="DM831" s="43"/>
      <c r="DN831" s="43"/>
      <c r="DO831" s="43"/>
      <c r="DP831" s="43"/>
      <c r="DQ831" s="43"/>
      <c r="DR831" s="43"/>
      <c r="DS831" s="43"/>
    </row>
    <row r="832" spans="1:123" ht="14.45">
      <c r="A832"/>
      <c r="B832"/>
      <c r="C832"/>
      <c r="D832"/>
      <c r="E832"/>
      <c r="F832"/>
      <c r="G832"/>
      <c r="H832"/>
      <c r="I832"/>
      <c r="J832"/>
      <c r="K832" s="43"/>
      <c r="L832" s="43"/>
      <c r="M832" s="43"/>
      <c r="N832" s="43"/>
      <c r="O832" s="43"/>
      <c r="P832" s="43"/>
      <c r="Q832" s="43"/>
      <c r="R832" s="43"/>
      <c r="S832" s="43"/>
      <c r="T832" s="43"/>
      <c r="U832" s="43"/>
      <c r="V832" s="43"/>
      <c r="W832" s="43"/>
      <c r="X832" s="43"/>
      <c r="Y832" s="43"/>
      <c r="Z832" s="43"/>
      <c r="AA832" s="43"/>
      <c r="AB832" s="43"/>
      <c r="AC832" s="43"/>
      <c r="AD832" s="43"/>
      <c r="AE832" s="43"/>
      <c r="AF832" s="43"/>
      <c r="AG832" s="43"/>
      <c r="AH832" s="43"/>
      <c r="AI832" s="43"/>
      <c r="AJ832" s="43"/>
      <c r="AK832" s="43"/>
      <c r="AL832" s="43"/>
      <c r="AM832" s="43"/>
      <c r="AN832" s="43"/>
      <c r="AO832" s="43"/>
      <c r="AP832" s="43"/>
      <c r="AQ832" s="43"/>
      <c r="AR832" s="43"/>
      <c r="AS832" s="43"/>
      <c r="AT832" s="43"/>
      <c r="AU832" s="43"/>
      <c r="AV832" s="43"/>
      <c r="AW832" s="43"/>
      <c r="AX832" s="43"/>
      <c r="AY832" s="43"/>
      <c r="AZ832" s="43"/>
      <c r="BA832" s="43"/>
      <c r="BB832" s="43"/>
      <c r="BC832" s="43"/>
      <c r="BD832" s="43"/>
      <c r="BE832" s="43"/>
      <c r="BF832" s="43"/>
      <c r="BG832" s="43"/>
      <c r="BH832" s="43"/>
      <c r="BI832" s="43"/>
      <c r="BJ832" s="43"/>
      <c r="BK832" s="43"/>
      <c r="BL832" s="43"/>
      <c r="BM832" s="43"/>
      <c r="BN832" s="43"/>
      <c r="BO832" s="43"/>
      <c r="BP832" s="43"/>
      <c r="BQ832" s="43"/>
      <c r="BR832" s="43"/>
      <c r="BS832" s="43"/>
      <c r="BT832" s="43"/>
      <c r="BU832" s="43"/>
      <c r="BV832" s="43"/>
      <c r="BW832" s="43"/>
      <c r="BX832" s="43"/>
      <c r="BY832" s="43"/>
      <c r="BZ832" s="43"/>
      <c r="CA832" s="43"/>
      <c r="CB832" s="43"/>
      <c r="CC832" s="43"/>
      <c r="CD832" s="43"/>
      <c r="CE832" s="43"/>
      <c r="CF832" s="43"/>
      <c r="CG832" s="43"/>
      <c r="CH832" s="43"/>
      <c r="CI832" s="43"/>
      <c r="CJ832" s="43"/>
      <c r="CK832" s="43"/>
      <c r="CL832" s="43"/>
      <c r="CM832" s="43"/>
      <c r="CN832" s="43"/>
      <c r="CO832" s="43"/>
      <c r="CP832" s="43"/>
      <c r="CQ832" s="43"/>
      <c r="CR832" s="43"/>
      <c r="CS832" s="43"/>
      <c r="CT832" s="43"/>
      <c r="CU832" s="43"/>
      <c r="CV832" s="43"/>
      <c r="CW832" s="43"/>
      <c r="CX832" s="43"/>
      <c r="CY832" s="43"/>
      <c r="CZ832" s="43"/>
      <c r="DA832" s="43"/>
      <c r="DB832" s="43"/>
      <c r="DC832" s="43"/>
      <c r="DD832" s="43"/>
      <c r="DE832" s="43"/>
      <c r="DF832" s="43"/>
      <c r="DG832" s="43"/>
      <c r="DH832" s="43"/>
      <c r="DI832" s="43"/>
      <c r="DJ832" s="43"/>
      <c r="DK832" s="43"/>
      <c r="DL832" s="43"/>
      <c r="DM832" s="43"/>
      <c r="DN832" s="43"/>
      <c r="DO832" s="43"/>
      <c r="DP832" s="43"/>
      <c r="DQ832" s="43"/>
      <c r="DR832" s="43"/>
      <c r="DS832" s="43"/>
    </row>
    <row r="833" spans="1:123" ht="14.45">
      <c r="A833"/>
      <c r="B833"/>
      <c r="C833"/>
      <c r="D833"/>
      <c r="E833"/>
      <c r="F833"/>
      <c r="G833"/>
      <c r="H833"/>
      <c r="I833"/>
      <c r="J833"/>
      <c r="K833" s="43"/>
      <c r="L833" s="43"/>
      <c r="M833" s="43"/>
      <c r="N833" s="43"/>
      <c r="O833" s="43"/>
      <c r="P833" s="43"/>
      <c r="Q833" s="43"/>
      <c r="R833" s="43"/>
      <c r="S833" s="43"/>
      <c r="T833" s="43"/>
      <c r="U833" s="43"/>
      <c r="V833" s="43"/>
      <c r="W833" s="43"/>
      <c r="X833" s="43"/>
      <c r="Y833" s="43"/>
      <c r="Z833" s="43"/>
      <c r="AA833" s="43"/>
      <c r="AB833" s="43"/>
      <c r="AC833" s="43"/>
      <c r="AD833" s="43"/>
      <c r="AE833" s="43"/>
      <c r="AF833" s="43"/>
      <c r="AG833" s="43"/>
      <c r="AH833" s="43"/>
      <c r="AI833" s="43"/>
      <c r="AJ833" s="43"/>
      <c r="AK833" s="43"/>
      <c r="AL833" s="43"/>
      <c r="AM833" s="43"/>
      <c r="AN833" s="43"/>
      <c r="AO833" s="43"/>
      <c r="AP833" s="43"/>
      <c r="AQ833" s="43"/>
      <c r="AR833" s="43"/>
      <c r="AS833" s="43"/>
      <c r="AT833" s="43"/>
      <c r="AU833" s="43"/>
      <c r="AV833" s="43"/>
      <c r="AW833" s="43"/>
      <c r="AX833" s="43"/>
      <c r="AY833" s="43"/>
      <c r="AZ833" s="43"/>
      <c r="BA833" s="43"/>
      <c r="BB833" s="43"/>
      <c r="BC833" s="43"/>
      <c r="BD833" s="43"/>
      <c r="BE833" s="43"/>
      <c r="BF833" s="43"/>
      <c r="BG833" s="43"/>
      <c r="BH833" s="43"/>
      <c r="BI833" s="43"/>
      <c r="BJ833" s="43"/>
      <c r="BK833" s="43"/>
      <c r="BL833" s="43"/>
      <c r="BM833" s="43"/>
      <c r="BN833" s="43"/>
      <c r="BO833" s="43"/>
      <c r="BP833" s="43"/>
      <c r="BQ833" s="43"/>
      <c r="BR833" s="43"/>
      <c r="BS833" s="43"/>
      <c r="BT833" s="43"/>
      <c r="BU833" s="43"/>
      <c r="BV833" s="43"/>
      <c r="BW833" s="43"/>
      <c r="BX833" s="43"/>
      <c r="BY833" s="43"/>
      <c r="BZ833" s="43"/>
      <c r="CA833" s="43"/>
      <c r="CB833" s="43"/>
      <c r="CC833" s="43"/>
      <c r="CD833" s="43"/>
      <c r="CE833" s="43"/>
      <c r="CF833" s="43"/>
      <c r="CG833" s="43"/>
      <c r="CH833" s="43"/>
      <c r="CI833" s="43"/>
      <c r="CJ833" s="43"/>
      <c r="CK833" s="43"/>
      <c r="CL833" s="43"/>
      <c r="CM833" s="43"/>
      <c r="CN833" s="43"/>
      <c r="CO833" s="43"/>
      <c r="CP833" s="43"/>
      <c r="CQ833" s="43"/>
      <c r="CR833" s="43"/>
      <c r="CS833" s="43"/>
      <c r="CT833" s="43"/>
      <c r="CU833" s="43"/>
      <c r="CV833" s="43"/>
      <c r="CW833" s="43"/>
      <c r="CX833" s="43"/>
      <c r="CY833" s="43"/>
      <c r="CZ833" s="43"/>
      <c r="DA833" s="43"/>
      <c r="DB833" s="43"/>
      <c r="DC833" s="43"/>
      <c r="DD833" s="43"/>
      <c r="DE833" s="43"/>
      <c r="DF833" s="43"/>
      <c r="DG833" s="43"/>
      <c r="DH833" s="43"/>
      <c r="DI833" s="43"/>
      <c r="DJ833" s="43"/>
      <c r="DK833" s="43"/>
      <c r="DL833" s="43"/>
      <c r="DM833" s="43"/>
      <c r="DN833" s="43"/>
      <c r="DO833" s="43"/>
      <c r="DP833" s="43"/>
      <c r="DQ833" s="43"/>
      <c r="DR833" s="43"/>
      <c r="DS833" s="43"/>
    </row>
    <row r="834" spans="1:123" ht="14.45">
      <c r="A834"/>
      <c r="B834"/>
      <c r="C834"/>
      <c r="D834"/>
      <c r="E834"/>
      <c r="F834"/>
      <c r="G834"/>
      <c r="H834"/>
      <c r="I834"/>
      <c r="J834"/>
      <c r="K834" s="43"/>
      <c r="L834" s="43"/>
      <c r="M834" s="43"/>
      <c r="N834" s="43"/>
      <c r="O834" s="43"/>
      <c r="P834" s="43"/>
      <c r="Q834" s="43"/>
      <c r="R834" s="43"/>
      <c r="S834" s="43"/>
      <c r="T834" s="43"/>
      <c r="U834" s="43"/>
      <c r="V834" s="43"/>
      <c r="W834" s="43"/>
      <c r="X834" s="43"/>
      <c r="Y834" s="43"/>
      <c r="Z834" s="43"/>
      <c r="AA834" s="43"/>
      <c r="AB834" s="43"/>
      <c r="AC834" s="43"/>
      <c r="AD834" s="43"/>
      <c r="AE834" s="43"/>
      <c r="AF834" s="43"/>
      <c r="AG834" s="43"/>
      <c r="AH834" s="43"/>
      <c r="AI834" s="43"/>
      <c r="AJ834" s="43"/>
      <c r="AK834" s="43"/>
      <c r="AL834" s="43"/>
      <c r="AM834" s="43"/>
      <c r="AN834" s="43"/>
      <c r="AO834" s="43"/>
      <c r="AP834" s="43"/>
      <c r="AQ834" s="43"/>
      <c r="AR834" s="43"/>
      <c r="AS834" s="43"/>
      <c r="AT834" s="43"/>
      <c r="AU834" s="43"/>
      <c r="AV834" s="43"/>
      <c r="AW834" s="43"/>
      <c r="AX834" s="43"/>
      <c r="AY834" s="43"/>
      <c r="AZ834" s="43"/>
      <c r="BA834" s="43"/>
      <c r="BB834" s="43"/>
      <c r="BC834" s="43"/>
      <c r="BD834" s="43"/>
      <c r="BE834" s="43"/>
      <c r="BF834" s="43"/>
      <c r="BG834" s="43"/>
      <c r="BH834" s="43"/>
      <c r="BI834" s="43"/>
      <c r="BJ834" s="43"/>
      <c r="BK834" s="43"/>
      <c r="BL834" s="43"/>
      <c r="BM834" s="43"/>
      <c r="BN834" s="43"/>
      <c r="BO834" s="43"/>
      <c r="BP834" s="43"/>
      <c r="BQ834" s="43"/>
      <c r="BR834" s="43"/>
      <c r="BS834" s="43"/>
      <c r="BT834" s="43"/>
      <c r="BU834" s="43"/>
      <c r="BV834" s="43"/>
      <c r="BW834" s="43"/>
      <c r="BX834" s="43"/>
      <c r="BY834" s="43"/>
      <c r="BZ834" s="43"/>
      <c r="CA834" s="43"/>
      <c r="CB834" s="43"/>
      <c r="CC834" s="43"/>
      <c r="CD834" s="43"/>
      <c r="CE834" s="43"/>
      <c r="CF834" s="43"/>
      <c r="CG834" s="43"/>
      <c r="CH834" s="43"/>
      <c r="CI834" s="43"/>
      <c r="CJ834" s="43"/>
      <c r="CK834" s="43"/>
      <c r="CL834" s="43"/>
      <c r="CM834" s="43"/>
      <c r="CN834" s="43"/>
      <c r="CO834" s="43"/>
      <c r="CP834" s="43"/>
      <c r="CQ834" s="43"/>
      <c r="CR834" s="43"/>
      <c r="CS834" s="43"/>
      <c r="CT834" s="43"/>
      <c r="CU834" s="43"/>
      <c r="CV834" s="43"/>
      <c r="CW834" s="43"/>
      <c r="CX834" s="43"/>
      <c r="CY834" s="43"/>
      <c r="CZ834" s="43"/>
      <c r="DA834" s="43"/>
      <c r="DB834" s="43"/>
      <c r="DC834" s="43"/>
      <c r="DD834" s="43"/>
      <c r="DE834" s="43"/>
      <c r="DF834" s="43"/>
      <c r="DG834" s="43"/>
      <c r="DH834" s="43"/>
      <c r="DI834" s="43"/>
      <c r="DJ834" s="43"/>
      <c r="DK834" s="43"/>
      <c r="DL834" s="43"/>
      <c r="DM834" s="43"/>
      <c r="DN834" s="43"/>
      <c r="DO834" s="43"/>
      <c r="DP834" s="43"/>
      <c r="DQ834" s="43"/>
      <c r="DR834" s="43"/>
      <c r="DS834" s="43"/>
    </row>
    <row r="835" spans="1:123" ht="14.45">
      <c r="A835"/>
      <c r="B835"/>
      <c r="C835"/>
      <c r="D835"/>
      <c r="E835"/>
      <c r="F835"/>
      <c r="G835"/>
      <c r="H835"/>
      <c r="I835"/>
      <c r="J835"/>
      <c r="K835" s="43"/>
      <c r="L835" s="43"/>
      <c r="M835" s="43"/>
      <c r="N835" s="43"/>
      <c r="O835" s="43"/>
      <c r="P835" s="43"/>
      <c r="Q835" s="43"/>
      <c r="R835" s="43"/>
      <c r="S835" s="43"/>
      <c r="T835" s="43"/>
      <c r="U835" s="43"/>
      <c r="V835" s="43"/>
      <c r="W835" s="43"/>
      <c r="X835" s="43"/>
      <c r="Y835" s="43"/>
      <c r="Z835" s="43"/>
      <c r="AA835" s="43"/>
      <c r="AB835" s="43"/>
      <c r="AC835" s="43"/>
      <c r="AD835" s="43"/>
      <c r="AE835" s="43"/>
      <c r="AF835" s="43"/>
      <c r="AG835" s="43"/>
      <c r="AH835" s="43"/>
      <c r="AI835" s="43"/>
      <c r="AJ835" s="43"/>
      <c r="AK835" s="43"/>
      <c r="AL835" s="43"/>
      <c r="AM835" s="43"/>
      <c r="AN835" s="43"/>
      <c r="AO835" s="43"/>
      <c r="AP835" s="43"/>
      <c r="AQ835" s="43"/>
      <c r="AR835" s="43"/>
      <c r="AS835" s="43"/>
      <c r="AT835" s="43"/>
      <c r="AU835" s="43"/>
      <c r="AV835" s="43"/>
      <c r="AW835" s="43"/>
      <c r="AX835" s="43"/>
      <c r="AY835" s="43"/>
      <c r="AZ835" s="43"/>
      <c r="BA835" s="43"/>
      <c r="BB835" s="43"/>
      <c r="BC835" s="43"/>
      <c r="BD835" s="43"/>
      <c r="BE835" s="43"/>
      <c r="BF835" s="43"/>
      <c r="BG835" s="43"/>
      <c r="BH835" s="43"/>
      <c r="BI835" s="43"/>
      <c r="BJ835" s="43"/>
      <c r="BK835" s="43"/>
      <c r="BL835" s="43"/>
      <c r="BM835" s="43"/>
      <c r="BN835" s="43"/>
      <c r="BO835" s="43"/>
      <c r="BP835" s="43"/>
      <c r="BQ835" s="43"/>
      <c r="BR835" s="43"/>
      <c r="BS835" s="43"/>
      <c r="BT835" s="43"/>
      <c r="BU835" s="43"/>
      <c r="BV835" s="43"/>
      <c r="BW835" s="43"/>
      <c r="BX835" s="43"/>
      <c r="BY835" s="43"/>
      <c r="BZ835" s="43"/>
      <c r="CA835" s="43"/>
      <c r="CB835" s="43"/>
      <c r="CC835" s="43"/>
      <c r="CD835" s="43"/>
      <c r="CE835" s="43"/>
      <c r="CF835" s="43"/>
      <c r="CG835" s="43"/>
      <c r="CH835" s="43"/>
      <c r="CI835" s="43"/>
      <c r="CJ835" s="43"/>
      <c r="CK835" s="43"/>
      <c r="CL835" s="43"/>
      <c r="CM835" s="43"/>
      <c r="CN835" s="43"/>
      <c r="CO835" s="43"/>
      <c r="CP835" s="43"/>
      <c r="CQ835" s="43"/>
      <c r="CR835" s="43"/>
      <c r="CS835" s="43"/>
      <c r="CT835" s="43"/>
      <c r="CU835" s="43"/>
      <c r="CV835" s="43"/>
      <c r="CW835" s="43"/>
      <c r="CX835" s="43"/>
      <c r="CY835" s="43"/>
      <c r="CZ835" s="43"/>
      <c r="DA835" s="43"/>
      <c r="DB835" s="43"/>
      <c r="DC835" s="43"/>
      <c r="DD835" s="43"/>
      <c r="DE835" s="43"/>
      <c r="DF835" s="43"/>
      <c r="DG835" s="43"/>
      <c r="DH835" s="43"/>
      <c r="DI835" s="43"/>
      <c r="DJ835" s="43"/>
      <c r="DK835" s="43"/>
      <c r="DL835" s="43"/>
      <c r="DM835" s="43"/>
      <c r="DN835" s="43"/>
      <c r="DO835" s="43"/>
      <c r="DP835" s="43"/>
      <c r="DQ835" s="43"/>
      <c r="DR835" s="43"/>
      <c r="DS835" s="43"/>
    </row>
    <row r="836" spans="1:123" ht="14.45">
      <c r="A836"/>
      <c r="B836"/>
      <c r="C836"/>
      <c r="D836"/>
      <c r="E836"/>
      <c r="F836"/>
      <c r="G836"/>
      <c r="H836"/>
      <c r="I836"/>
      <c r="J836"/>
      <c r="K836" s="43"/>
      <c r="L836" s="43"/>
      <c r="M836" s="43"/>
      <c r="N836" s="43"/>
      <c r="O836" s="43"/>
      <c r="P836" s="43"/>
      <c r="Q836" s="43"/>
      <c r="R836" s="43"/>
      <c r="S836" s="43"/>
      <c r="T836" s="43"/>
      <c r="U836" s="43"/>
      <c r="V836" s="43"/>
      <c r="W836" s="43"/>
      <c r="X836" s="43"/>
      <c r="Y836" s="43"/>
      <c r="Z836" s="43"/>
      <c r="AA836" s="43"/>
      <c r="AB836" s="43"/>
      <c r="AC836" s="43"/>
      <c r="AD836" s="43"/>
      <c r="AE836" s="43"/>
      <c r="AF836" s="43"/>
      <c r="AG836" s="43"/>
      <c r="AH836" s="43"/>
      <c r="AI836" s="43"/>
      <c r="AJ836" s="43"/>
      <c r="AK836" s="43"/>
      <c r="AL836" s="43"/>
      <c r="AM836" s="43"/>
      <c r="AN836" s="43"/>
      <c r="AO836" s="43"/>
      <c r="AP836" s="43"/>
      <c r="AQ836" s="43"/>
      <c r="AR836" s="43"/>
      <c r="AS836" s="43"/>
      <c r="AT836" s="43"/>
      <c r="AU836" s="43"/>
      <c r="AV836" s="43"/>
      <c r="AW836" s="43"/>
      <c r="AX836" s="43"/>
      <c r="AY836" s="43"/>
      <c r="AZ836" s="43"/>
      <c r="BA836" s="43"/>
      <c r="BB836" s="43"/>
      <c r="BC836" s="43"/>
      <c r="BD836" s="43"/>
      <c r="BE836" s="43"/>
      <c r="BF836" s="43"/>
      <c r="BG836" s="43"/>
      <c r="BH836" s="43"/>
      <c r="BI836" s="43"/>
      <c r="BJ836" s="43"/>
      <c r="BK836" s="43"/>
      <c r="BL836" s="43"/>
      <c r="BM836" s="43"/>
      <c r="BN836" s="43"/>
      <c r="BO836" s="43"/>
      <c r="BP836" s="43"/>
      <c r="BQ836" s="43"/>
      <c r="BR836" s="43"/>
      <c r="BS836" s="43"/>
      <c r="BT836" s="43"/>
      <c r="BU836" s="43"/>
      <c r="BV836" s="43"/>
      <c r="BW836" s="43"/>
      <c r="BX836" s="43"/>
      <c r="BY836" s="43"/>
      <c r="BZ836" s="43"/>
      <c r="CA836" s="43"/>
      <c r="CB836" s="43"/>
      <c r="CC836" s="43"/>
      <c r="CD836" s="43"/>
      <c r="CE836" s="43"/>
      <c r="CF836" s="43"/>
      <c r="CG836" s="43"/>
      <c r="CH836" s="43"/>
      <c r="CI836" s="43"/>
      <c r="CJ836" s="43"/>
      <c r="CK836" s="43"/>
      <c r="CL836" s="43"/>
      <c r="CM836" s="43"/>
      <c r="CN836" s="43"/>
      <c r="CO836" s="43"/>
      <c r="CP836" s="43"/>
      <c r="CQ836" s="43"/>
      <c r="CR836" s="43"/>
      <c r="CS836" s="43"/>
      <c r="CT836" s="43"/>
      <c r="CU836" s="43"/>
      <c r="CV836" s="43"/>
      <c r="CW836" s="43"/>
      <c r="CX836" s="43"/>
      <c r="CY836" s="43"/>
      <c r="CZ836" s="43"/>
      <c r="DA836" s="43"/>
      <c r="DB836" s="43"/>
      <c r="DC836" s="43"/>
      <c r="DD836" s="43"/>
      <c r="DE836" s="43"/>
      <c r="DF836" s="43"/>
      <c r="DG836" s="43"/>
      <c r="DH836" s="43"/>
      <c r="DI836" s="43"/>
      <c r="DJ836" s="43"/>
      <c r="DK836" s="43"/>
      <c r="DL836" s="43"/>
      <c r="DM836" s="43"/>
      <c r="DN836" s="43"/>
      <c r="DO836" s="43"/>
      <c r="DP836" s="43"/>
      <c r="DQ836" s="43"/>
      <c r="DR836" s="43"/>
      <c r="DS836" s="43"/>
    </row>
    <row r="837" spans="1:123" ht="14.45">
      <c r="A837"/>
      <c r="B837"/>
      <c r="C837"/>
      <c r="D837"/>
      <c r="E837"/>
      <c r="F837"/>
      <c r="G837"/>
      <c r="H837"/>
      <c r="I837"/>
      <c r="J837"/>
      <c r="K837" s="43"/>
      <c r="L837" s="43"/>
      <c r="M837" s="43"/>
      <c r="N837" s="43"/>
      <c r="O837" s="43"/>
      <c r="P837" s="43"/>
      <c r="Q837" s="43"/>
      <c r="R837" s="43"/>
      <c r="S837" s="43"/>
      <c r="T837" s="43"/>
      <c r="U837" s="43"/>
      <c r="V837" s="43"/>
      <c r="W837" s="43"/>
      <c r="X837" s="43"/>
      <c r="Y837" s="43"/>
      <c r="Z837" s="43"/>
      <c r="AA837" s="43"/>
      <c r="AB837" s="43"/>
      <c r="AC837" s="43"/>
      <c r="AD837" s="43"/>
      <c r="AE837" s="43"/>
      <c r="AF837" s="43"/>
      <c r="AG837" s="43"/>
      <c r="AH837" s="43"/>
      <c r="AI837" s="43"/>
      <c r="AJ837" s="43"/>
      <c r="AK837" s="43"/>
      <c r="AL837" s="43"/>
      <c r="AM837" s="43"/>
      <c r="AN837" s="43"/>
      <c r="AO837" s="43"/>
      <c r="AP837" s="43"/>
      <c r="AQ837" s="43"/>
      <c r="AR837" s="43"/>
      <c r="AS837" s="43"/>
      <c r="AT837" s="43"/>
      <c r="AU837" s="43"/>
      <c r="AV837" s="43"/>
      <c r="AW837" s="43"/>
      <c r="AX837" s="43"/>
      <c r="AY837" s="43"/>
      <c r="AZ837" s="43"/>
      <c r="BA837" s="43"/>
      <c r="BB837" s="43"/>
      <c r="BC837" s="43"/>
      <c r="BD837" s="43"/>
      <c r="BE837" s="43"/>
      <c r="BF837" s="43"/>
      <c r="BG837" s="43"/>
      <c r="BH837" s="43"/>
      <c r="BI837" s="43"/>
      <c r="BJ837" s="43"/>
      <c r="BK837" s="43"/>
      <c r="BL837" s="43"/>
      <c r="BM837" s="43"/>
      <c r="BN837" s="43"/>
      <c r="BO837" s="43"/>
      <c r="BP837" s="43"/>
      <c r="BQ837" s="43"/>
      <c r="BR837" s="43"/>
      <c r="BS837" s="43"/>
      <c r="BT837" s="43"/>
      <c r="BU837" s="43"/>
      <c r="BV837" s="43"/>
      <c r="BW837" s="43"/>
      <c r="BX837" s="43"/>
      <c r="BY837" s="43"/>
      <c r="BZ837" s="43"/>
      <c r="CA837" s="43"/>
      <c r="CB837" s="43"/>
      <c r="CC837" s="43"/>
      <c r="CD837" s="43"/>
      <c r="CE837" s="43"/>
      <c r="CF837" s="43"/>
      <c r="CG837" s="43"/>
      <c r="CH837" s="43"/>
      <c r="CI837" s="43"/>
      <c r="CJ837" s="43"/>
      <c r="CK837" s="43"/>
      <c r="CL837" s="43"/>
      <c r="CM837" s="43"/>
      <c r="CN837" s="43"/>
      <c r="CO837" s="43"/>
      <c r="CP837" s="43"/>
      <c r="CQ837" s="43"/>
      <c r="CR837" s="43"/>
      <c r="CS837" s="43"/>
      <c r="CT837" s="43"/>
      <c r="CU837" s="43"/>
      <c r="CV837" s="43"/>
      <c r="CW837" s="43"/>
      <c r="CX837" s="43"/>
      <c r="CY837" s="43"/>
      <c r="CZ837" s="43"/>
      <c r="DA837" s="43"/>
      <c r="DB837" s="43"/>
      <c r="DC837" s="43"/>
      <c r="DD837" s="43"/>
      <c r="DE837" s="43"/>
      <c r="DF837" s="43"/>
      <c r="DG837" s="43"/>
      <c r="DH837" s="43"/>
      <c r="DI837" s="43"/>
      <c r="DJ837" s="43"/>
      <c r="DK837" s="43"/>
      <c r="DL837" s="43"/>
      <c r="DM837" s="43"/>
      <c r="DN837" s="43"/>
      <c r="DO837" s="43"/>
      <c r="DP837" s="43"/>
      <c r="DQ837" s="43"/>
      <c r="DR837" s="43"/>
      <c r="DS837" s="43"/>
    </row>
    <row r="838" spans="1:123" ht="14.45">
      <c r="A838"/>
      <c r="B838"/>
      <c r="C838"/>
      <c r="D838"/>
      <c r="E838"/>
      <c r="F838"/>
      <c r="G838"/>
      <c r="H838"/>
      <c r="I838"/>
      <c r="J838"/>
      <c r="K838" s="43"/>
      <c r="L838" s="43"/>
      <c r="M838" s="43"/>
      <c r="N838" s="43"/>
      <c r="O838" s="43"/>
      <c r="P838" s="43"/>
      <c r="Q838" s="43"/>
      <c r="R838" s="43"/>
      <c r="S838" s="43"/>
      <c r="T838" s="43"/>
      <c r="U838" s="43"/>
      <c r="V838" s="43"/>
      <c r="W838" s="43"/>
      <c r="X838" s="43"/>
      <c r="Y838" s="43"/>
      <c r="Z838" s="43"/>
      <c r="AA838" s="43"/>
      <c r="AB838" s="43"/>
      <c r="AC838" s="43"/>
      <c r="AD838" s="43"/>
      <c r="AE838" s="43"/>
      <c r="AF838" s="43"/>
      <c r="AG838" s="43"/>
      <c r="AH838" s="43"/>
      <c r="AI838" s="43"/>
      <c r="AJ838" s="43"/>
      <c r="AK838" s="43"/>
      <c r="AL838" s="43"/>
      <c r="AM838" s="43"/>
      <c r="AN838" s="43"/>
      <c r="AO838" s="43"/>
      <c r="AP838" s="43"/>
      <c r="AQ838" s="43"/>
      <c r="AR838" s="43"/>
      <c r="AS838" s="43"/>
      <c r="AT838" s="43"/>
      <c r="AU838" s="43"/>
      <c r="AV838" s="43"/>
      <c r="AW838" s="43"/>
      <c r="AX838" s="43"/>
      <c r="AY838" s="43"/>
      <c r="AZ838" s="43"/>
      <c r="BA838" s="43"/>
      <c r="BB838" s="43"/>
      <c r="BC838" s="43"/>
      <c r="BD838" s="43"/>
      <c r="BE838" s="43"/>
      <c r="BF838" s="43"/>
      <c r="BG838" s="43"/>
      <c r="BH838" s="43"/>
      <c r="BI838" s="43"/>
      <c r="BJ838" s="43"/>
      <c r="BK838" s="43"/>
      <c r="BL838" s="43"/>
      <c r="BM838" s="43"/>
      <c r="BN838" s="43"/>
      <c r="BO838" s="43"/>
      <c r="BP838" s="43"/>
      <c r="BQ838" s="43"/>
      <c r="BR838" s="43"/>
      <c r="BS838" s="43"/>
      <c r="BT838" s="43"/>
      <c r="BU838" s="43"/>
      <c r="BV838" s="43"/>
      <c r="BW838" s="43"/>
      <c r="BX838" s="43"/>
      <c r="BY838" s="43"/>
      <c r="BZ838" s="43"/>
      <c r="CA838" s="43"/>
      <c r="CB838" s="43"/>
      <c r="CC838" s="43"/>
      <c r="CD838" s="43"/>
      <c r="CE838" s="43"/>
      <c r="CF838" s="43"/>
      <c r="CG838" s="43"/>
      <c r="CH838" s="43"/>
      <c r="CI838" s="43"/>
      <c r="CJ838" s="43"/>
      <c r="CK838" s="43"/>
      <c r="CL838" s="43"/>
      <c r="CM838" s="43"/>
      <c r="CN838" s="43"/>
      <c r="CO838" s="43"/>
      <c r="CP838" s="43"/>
      <c r="CQ838" s="43"/>
      <c r="CR838" s="43"/>
      <c r="CS838" s="43"/>
      <c r="CT838" s="43"/>
      <c r="CU838" s="43"/>
      <c r="CV838" s="43"/>
      <c r="CW838" s="43"/>
      <c r="CX838" s="43"/>
      <c r="CY838" s="43"/>
      <c r="CZ838" s="43"/>
      <c r="DA838" s="43"/>
      <c r="DB838" s="43"/>
      <c r="DC838" s="43"/>
      <c r="DD838" s="43"/>
      <c r="DE838" s="43"/>
      <c r="DF838" s="43"/>
      <c r="DG838" s="43"/>
      <c r="DH838" s="43"/>
      <c r="DI838" s="43"/>
      <c r="DJ838" s="43"/>
      <c r="DK838" s="43"/>
      <c r="DL838" s="43"/>
      <c r="DM838" s="43"/>
      <c r="DN838" s="43"/>
      <c r="DO838" s="43"/>
      <c r="DP838" s="43"/>
      <c r="DQ838" s="43"/>
      <c r="DR838" s="43"/>
      <c r="DS838" s="43"/>
    </row>
    <row r="839" spans="1:123" ht="14.45">
      <c r="A839"/>
      <c r="B839"/>
      <c r="C839"/>
      <c r="D839"/>
      <c r="E839"/>
      <c r="F839"/>
      <c r="G839"/>
      <c r="H839"/>
      <c r="I839"/>
      <c r="J839"/>
      <c r="K839" s="43"/>
      <c r="L839" s="43"/>
      <c r="M839" s="43"/>
      <c r="N839" s="43"/>
      <c r="O839" s="43"/>
      <c r="P839" s="43"/>
      <c r="Q839" s="43"/>
      <c r="R839" s="43"/>
      <c r="S839" s="43"/>
      <c r="T839" s="43"/>
      <c r="U839" s="43"/>
      <c r="V839" s="43"/>
      <c r="W839" s="43"/>
      <c r="X839" s="43"/>
      <c r="Y839" s="43"/>
      <c r="Z839" s="43"/>
      <c r="AA839" s="43"/>
      <c r="AB839" s="43"/>
      <c r="AC839" s="43"/>
      <c r="AD839" s="43"/>
      <c r="AE839" s="43"/>
      <c r="AF839" s="43"/>
      <c r="AG839" s="43"/>
      <c r="AH839" s="43"/>
      <c r="AI839" s="43"/>
      <c r="AJ839" s="43"/>
      <c r="AK839" s="43"/>
      <c r="AL839" s="43"/>
      <c r="AM839" s="43"/>
      <c r="AN839" s="43"/>
      <c r="AO839" s="43"/>
      <c r="AP839" s="43"/>
      <c r="AQ839" s="43"/>
      <c r="AR839" s="43"/>
      <c r="AS839" s="43"/>
      <c r="AT839" s="43"/>
      <c r="AU839" s="43"/>
      <c r="AV839" s="43"/>
      <c r="AW839" s="43"/>
      <c r="AX839" s="43"/>
      <c r="AY839" s="43"/>
      <c r="AZ839" s="43"/>
      <c r="BA839" s="43"/>
      <c r="BB839" s="43"/>
      <c r="BC839" s="43"/>
      <c r="BD839" s="43"/>
      <c r="BE839" s="43"/>
      <c r="BF839" s="43"/>
      <c r="BG839" s="43"/>
      <c r="BH839" s="43"/>
      <c r="BI839" s="43"/>
      <c r="BJ839" s="43"/>
      <c r="BK839" s="43"/>
      <c r="BL839" s="43"/>
      <c r="BM839" s="43"/>
      <c r="BN839" s="43"/>
      <c r="BO839" s="43"/>
      <c r="BP839" s="43"/>
      <c r="BQ839" s="43"/>
      <c r="BR839" s="43"/>
      <c r="BS839" s="43"/>
      <c r="BT839" s="43"/>
      <c r="BU839" s="43"/>
      <c r="BV839" s="43"/>
      <c r="BW839" s="43"/>
      <c r="BX839" s="43"/>
      <c r="BY839" s="43"/>
      <c r="BZ839" s="43"/>
      <c r="CA839" s="43"/>
      <c r="CB839" s="43"/>
      <c r="CC839" s="43"/>
      <c r="CD839" s="43"/>
      <c r="CE839" s="43"/>
      <c r="CF839" s="43"/>
      <c r="CG839" s="43"/>
      <c r="CH839" s="43"/>
      <c r="CI839" s="43"/>
      <c r="CJ839" s="43"/>
      <c r="CK839" s="43"/>
      <c r="CL839" s="43"/>
      <c r="CM839" s="43"/>
      <c r="CN839" s="43"/>
      <c r="CO839" s="43"/>
      <c r="CP839" s="43"/>
      <c r="CQ839" s="43"/>
      <c r="CR839" s="43"/>
      <c r="CS839" s="43"/>
      <c r="CT839" s="43"/>
      <c r="CU839" s="43"/>
      <c r="CV839" s="43"/>
      <c r="CW839" s="43"/>
      <c r="CX839" s="43"/>
      <c r="CY839" s="43"/>
      <c r="CZ839" s="43"/>
      <c r="DA839" s="43"/>
      <c r="DB839" s="43"/>
      <c r="DC839" s="43"/>
      <c r="DD839" s="43"/>
      <c r="DE839" s="43"/>
      <c r="DF839" s="43"/>
      <c r="DG839" s="43"/>
      <c r="DH839" s="43"/>
      <c r="DI839" s="43"/>
      <c r="DJ839" s="43"/>
      <c r="DK839" s="43"/>
      <c r="DL839" s="43"/>
      <c r="DM839" s="43"/>
      <c r="DN839" s="43"/>
      <c r="DO839" s="43"/>
      <c r="DP839" s="43"/>
      <c r="DQ839" s="43"/>
      <c r="DR839" s="43"/>
      <c r="DS839" s="43"/>
    </row>
    <row r="840" spans="1:123" ht="14.45">
      <c r="A840"/>
      <c r="B840"/>
      <c r="C840"/>
      <c r="D840"/>
      <c r="E840"/>
      <c r="F840"/>
      <c r="G840"/>
      <c r="H840"/>
      <c r="I840"/>
      <c r="J840"/>
      <c r="K840" s="43"/>
      <c r="L840" s="43"/>
      <c r="M840" s="43"/>
      <c r="N840" s="43"/>
      <c r="O840" s="43"/>
      <c r="P840" s="43"/>
      <c r="Q840" s="43"/>
      <c r="R840" s="43"/>
      <c r="S840" s="43"/>
      <c r="T840" s="43"/>
      <c r="U840" s="43"/>
      <c r="V840" s="43"/>
      <c r="W840" s="43"/>
      <c r="X840" s="43"/>
      <c r="Y840" s="43"/>
      <c r="Z840" s="43"/>
      <c r="AA840" s="43"/>
      <c r="AB840" s="43"/>
      <c r="AC840" s="43"/>
      <c r="AD840" s="43"/>
      <c r="AE840" s="43"/>
      <c r="AF840" s="43"/>
      <c r="AG840" s="43"/>
      <c r="AH840" s="43"/>
      <c r="AI840" s="43"/>
      <c r="AJ840" s="43"/>
      <c r="AK840" s="43"/>
      <c r="AL840" s="43"/>
      <c r="AM840" s="43"/>
      <c r="AN840" s="43"/>
      <c r="AO840" s="43"/>
      <c r="AP840" s="43"/>
      <c r="AQ840" s="43"/>
      <c r="AR840" s="43"/>
      <c r="AS840" s="43"/>
      <c r="AT840" s="43"/>
      <c r="AU840" s="43"/>
      <c r="AV840" s="43"/>
      <c r="AW840" s="43"/>
      <c r="AX840" s="43"/>
      <c r="AY840" s="43"/>
      <c r="AZ840" s="43"/>
      <c r="BA840" s="43"/>
      <c r="BB840" s="43"/>
      <c r="BC840" s="43"/>
      <c r="BD840" s="43"/>
      <c r="BE840" s="43"/>
      <c r="BF840" s="43"/>
      <c r="BG840" s="43"/>
      <c r="BH840" s="43"/>
      <c r="BI840" s="43"/>
      <c r="BJ840" s="43"/>
      <c r="BK840" s="43"/>
      <c r="BL840" s="43"/>
      <c r="BM840" s="43"/>
      <c r="BN840" s="43"/>
      <c r="BO840" s="43"/>
      <c r="BP840" s="43"/>
      <c r="BQ840" s="43"/>
      <c r="BR840" s="43"/>
      <c r="BS840" s="43"/>
      <c r="BT840" s="43"/>
      <c r="BU840" s="43"/>
      <c r="BV840" s="43"/>
      <c r="BW840" s="43"/>
      <c r="BX840" s="43"/>
      <c r="BY840" s="43"/>
      <c r="BZ840" s="43"/>
      <c r="CA840" s="43"/>
      <c r="CB840" s="43"/>
      <c r="CC840" s="43"/>
      <c r="CD840" s="43"/>
      <c r="CE840" s="43"/>
      <c r="CF840" s="43"/>
      <c r="CG840" s="43"/>
      <c r="CH840" s="43"/>
      <c r="CI840" s="43"/>
      <c r="CJ840" s="43"/>
      <c r="CK840" s="43"/>
      <c r="CL840" s="43"/>
      <c r="CM840" s="43"/>
      <c r="CN840" s="43"/>
      <c r="CO840" s="43"/>
      <c r="CP840" s="43"/>
      <c r="CQ840" s="43"/>
      <c r="CR840" s="43"/>
      <c r="CS840" s="43"/>
      <c r="CT840" s="43"/>
      <c r="CU840" s="43"/>
      <c r="CV840" s="43"/>
      <c r="CW840" s="43"/>
      <c r="CX840" s="43"/>
      <c r="CY840" s="43"/>
      <c r="CZ840" s="43"/>
      <c r="DA840" s="43"/>
      <c r="DB840" s="43"/>
      <c r="DC840" s="43"/>
      <c r="DD840" s="43"/>
      <c r="DE840" s="43"/>
      <c r="DF840" s="43"/>
      <c r="DG840" s="43"/>
      <c r="DH840" s="43"/>
      <c r="DI840" s="43"/>
      <c r="DJ840" s="43"/>
      <c r="DK840" s="43"/>
      <c r="DL840" s="43"/>
      <c r="DM840" s="43"/>
      <c r="DN840" s="43"/>
      <c r="DO840" s="43"/>
      <c r="DP840" s="43"/>
      <c r="DQ840" s="43"/>
      <c r="DR840" s="43"/>
      <c r="DS840" s="43"/>
    </row>
    <row r="841" spans="1:123" ht="14.45">
      <c r="A841"/>
      <c r="B841"/>
      <c r="C841"/>
      <c r="D841"/>
      <c r="E841"/>
      <c r="F841"/>
      <c r="G841"/>
      <c r="H841"/>
      <c r="I841"/>
      <c r="J841"/>
      <c r="K841" s="43"/>
      <c r="L841" s="43"/>
      <c r="M841" s="43"/>
      <c r="N841" s="43"/>
      <c r="O841" s="43"/>
      <c r="P841" s="43"/>
      <c r="Q841" s="43"/>
      <c r="R841" s="43"/>
      <c r="S841" s="43"/>
      <c r="T841" s="43"/>
      <c r="U841" s="43"/>
      <c r="V841" s="43"/>
      <c r="W841" s="43"/>
      <c r="X841" s="43"/>
      <c r="Y841" s="43"/>
      <c r="Z841" s="43"/>
      <c r="AA841" s="43"/>
      <c r="AB841" s="43"/>
      <c r="AC841" s="43"/>
      <c r="AD841" s="43"/>
      <c r="AE841" s="43"/>
      <c r="AF841" s="43"/>
      <c r="AG841" s="43"/>
      <c r="AH841" s="43"/>
      <c r="AI841" s="43"/>
      <c r="AJ841" s="43"/>
      <c r="AK841" s="43"/>
      <c r="AL841" s="43"/>
      <c r="AM841" s="43"/>
      <c r="AN841" s="43"/>
      <c r="AO841" s="43"/>
      <c r="AP841" s="43"/>
      <c r="AQ841" s="43"/>
      <c r="AR841" s="43"/>
      <c r="AS841" s="43"/>
      <c r="AT841" s="43"/>
      <c r="AU841" s="43"/>
      <c r="AV841" s="43"/>
      <c r="AW841" s="43"/>
      <c r="AX841" s="43"/>
      <c r="AY841" s="43"/>
      <c r="AZ841" s="43"/>
      <c r="BA841" s="43"/>
      <c r="BB841" s="43"/>
      <c r="BC841" s="43"/>
      <c r="BD841" s="43"/>
      <c r="BE841" s="43"/>
      <c r="BF841" s="43"/>
      <c r="BG841" s="43"/>
      <c r="BH841" s="43"/>
      <c r="BI841" s="43"/>
      <c r="BJ841" s="43"/>
      <c r="BK841" s="43"/>
      <c r="BL841" s="43"/>
      <c r="BM841" s="43"/>
      <c r="BN841" s="43"/>
      <c r="BO841" s="43"/>
      <c r="BP841" s="43"/>
      <c r="BQ841" s="43"/>
      <c r="BR841" s="43"/>
      <c r="BS841" s="43"/>
      <c r="BT841" s="43"/>
      <c r="BU841" s="43"/>
      <c r="BV841" s="43"/>
      <c r="BW841" s="43"/>
      <c r="BX841" s="43"/>
      <c r="BY841" s="43"/>
      <c r="BZ841" s="43"/>
      <c r="CA841" s="43"/>
      <c r="CB841" s="43"/>
      <c r="CC841" s="43"/>
      <c r="CD841" s="43"/>
      <c r="CE841" s="43"/>
      <c r="CF841" s="43"/>
      <c r="CG841" s="43"/>
      <c r="CH841" s="43"/>
      <c r="CI841" s="43"/>
      <c r="CJ841" s="43"/>
      <c r="CK841" s="43"/>
      <c r="CL841" s="43"/>
      <c r="CM841" s="43"/>
      <c r="CN841" s="43"/>
      <c r="CO841" s="43"/>
      <c r="CP841" s="43"/>
      <c r="CQ841" s="43"/>
      <c r="CR841" s="43"/>
      <c r="CS841" s="43"/>
      <c r="CT841" s="43"/>
      <c r="CU841" s="43"/>
      <c r="CV841" s="43"/>
      <c r="CW841" s="43"/>
      <c r="CX841" s="43"/>
      <c r="CY841" s="43"/>
      <c r="CZ841" s="43"/>
      <c r="DA841" s="43"/>
      <c r="DB841" s="43"/>
      <c r="DC841" s="43"/>
      <c r="DD841" s="43"/>
      <c r="DE841" s="43"/>
      <c r="DF841" s="43"/>
      <c r="DG841" s="43"/>
      <c r="DH841" s="43"/>
      <c r="DI841" s="43"/>
      <c r="DJ841" s="43"/>
      <c r="DK841" s="43"/>
      <c r="DL841" s="43"/>
      <c r="DM841" s="43"/>
      <c r="DN841" s="43"/>
      <c r="DO841" s="43"/>
      <c r="DP841" s="43"/>
      <c r="DQ841" s="43"/>
      <c r="DR841" s="43"/>
      <c r="DS841" s="43"/>
    </row>
    <row r="842" spans="1:123" ht="14.45">
      <c r="A842"/>
      <c r="B842"/>
      <c r="C842"/>
      <c r="D842"/>
      <c r="E842"/>
      <c r="F842"/>
      <c r="G842"/>
      <c r="H842"/>
      <c r="I842"/>
      <c r="J842"/>
      <c r="K842" s="43"/>
      <c r="L842" s="43"/>
      <c r="M842" s="43"/>
      <c r="N842" s="43"/>
      <c r="O842" s="43"/>
      <c r="P842" s="43"/>
      <c r="Q842" s="43"/>
      <c r="R842" s="43"/>
      <c r="S842" s="43"/>
      <c r="T842" s="43"/>
      <c r="U842" s="43"/>
      <c r="V842" s="43"/>
      <c r="W842" s="43"/>
      <c r="X842" s="43"/>
      <c r="Y842" s="43"/>
      <c r="Z842" s="43"/>
      <c r="AA842" s="43"/>
      <c r="AB842" s="43"/>
      <c r="AC842" s="43"/>
      <c r="AD842" s="43"/>
      <c r="AE842" s="43"/>
      <c r="AF842" s="43"/>
      <c r="AG842" s="43"/>
      <c r="AH842" s="43"/>
      <c r="AI842" s="43"/>
      <c r="AJ842" s="43"/>
      <c r="AK842" s="43"/>
      <c r="AL842" s="43"/>
      <c r="AM842" s="43"/>
      <c r="AN842" s="43"/>
      <c r="AO842" s="43"/>
      <c r="AP842" s="43"/>
      <c r="AQ842" s="43"/>
      <c r="AR842" s="43"/>
      <c r="AS842" s="43"/>
      <c r="AT842" s="43"/>
      <c r="AU842" s="43"/>
      <c r="AV842" s="43"/>
      <c r="AW842" s="43"/>
      <c r="AX842" s="43"/>
      <c r="AY842" s="43"/>
      <c r="AZ842" s="43"/>
      <c r="BA842" s="43"/>
      <c r="BB842" s="43"/>
      <c r="BC842" s="43"/>
      <c r="BD842" s="43"/>
      <c r="BE842" s="43"/>
      <c r="BF842" s="43"/>
      <c r="BG842" s="43"/>
      <c r="BH842" s="43"/>
      <c r="BI842" s="43"/>
      <c r="BJ842" s="43"/>
      <c r="BK842" s="43"/>
      <c r="BL842" s="43"/>
      <c r="BM842" s="43"/>
      <c r="BN842" s="43"/>
      <c r="BO842" s="43"/>
      <c r="BP842" s="43"/>
      <c r="BQ842" s="43"/>
      <c r="BR842" s="43"/>
      <c r="BS842" s="43"/>
      <c r="BT842" s="43"/>
      <c r="BU842" s="43"/>
      <c r="BV842" s="43"/>
      <c r="BW842" s="43"/>
      <c r="BX842" s="43"/>
      <c r="BY842" s="43"/>
      <c r="BZ842" s="43"/>
      <c r="CA842" s="43"/>
      <c r="CB842" s="43"/>
      <c r="CC842" s="43"/>
      <c r="CD842" s="43"/>
      <c r="CE842" s="43"/>
      <c r="CF842" s="43"/>
      <c r="CG842" s="43"/>
      <c r="CH842" s="43"/>
      <c r="CI842" s="43"/>
      <c r="CJ842" s="43"/>
      <c r="CK842" s="43"/>
      <c r="CL842" s="43"/>
      <c r="CM842" s="43"/>
      <c r="CN842" s="43"/>
      <c r="CO842" s="43"/>
      <c r="CP842" s="43"/>
      <c r="CQ842" s="43"/>
      <c r="CR842" s="43"/>
      <c r="CS842" s="43"/>
      <c r="CT842" s="43"/>
      <c r="CU842" s="43"/>
      <c r="CV842" s="43"/>
      <c r="CW842" s="43"/>
      <c r="CX842" s="43"/>
      <c r="CY842" s="43"/>
      <c r="CZ842" s="43"/>
      <c r="DA842" s="43"/>
      <c r="DB842" s="43"/>
      <c r="DC842" s="43"/>
      <c r="DD842" s="43"/>
      <c r="DE842" s="43"/>
      <c r="DF842" s="43"/>
      <c r="DG842" s="43"/>
      <c r="DH842" s="43"/>
      <c r="DI842" s="43"/>
      <c r="DJ842" s="43"/>
      <c r="DK842" s="43"/>
      <c r="DL842" s="43"/>
      <c r="DM842" s="43"/>
      <c r="DN842" s="43"/>
      <c r="DO842" s="43"/>
      <c r="DP842" s="43"/>
      <c r="DQ842" s="43"/>
      <c r="DR842" s="43"/>
      <c r="DS842" s="43"/>
    </row>
    <row r="843" spans="1:123" ht="14.45">
      <c r="A843"/>
      <c r="B843"/>
      <c r="C843"/>
      <c r="D843"/>
      <c r="E843"/>
      <c r="F843"/>
      <c r="G843"/>
      <c r="H843"/>
      <c r="I843"/>
      <c r="J843"/>
      <c r="K843" s="43"/>
      <c r="L843" s="43"/>
      <c r="M843" s="43"/>
      <c r="N843" s="43"/>
      <c r="O843" s="43"/>
      <c r="P843" s="43"/>
      <c r="Q843" s="43"/>
      <c r="R843" s="43"/>
      <c r="S843" s="43"/>
      <c r="T843" s="43"/>
      <c r="U843" s="43"/>
      <c r="V843" s="43"/>
      <c r="W843" s="43"/>
      <c r="X843" s="43"/>
      <c r="Y843" s="43"/>
      <c r="Z843" s="43"/>
      <c r="AA843" s="43"/>
      <c r="AB843" s="43"/>
      <c r="AC843" s="43"/>
      <c r="AD843" s="43"/>
      <c r="AE843" s="43"/>
      <c r="AF843" s="43"/>
      <c r="AG843" s="43"/>
      <c r="AH843" s="43"/>
      <c r="AI843" s="43"/>
      <c r="AJ843" s="43"/>
      <c r="AK843" s="43"/>
      <c r="AL843" s="43"/>
      <c r="AM843" s="43"/>
      <c r="AN843" s="43"/>
      <c r="AO843" s="43"/>
      <c r="AP843" s="43"/>
      <c r="AQ843" s="43"/>
      <c r="AR843" s="43"/>
      <c r="AS843" s="43"/>
      <c r="AT843" s="43"/>
      <c r="AU843" s="43"/>
      <c r="AV843" s="43"/>
      <c r="AW843" s="43"/>
      <c r="AX843" s="43"/>
      <c r="AY843" s="43"/>
      <c r="AZ843" s="43"/>
      <c r="BA843" s="43"/>
      <c r="BB843" s="43"/>
      <c r="BC843" s="43"/>
      <c r="BD843" s="43"/>
      <c r="BE843" s="43"/>
      <c r="BF843" s="43"/>
      <c r="BG843" s="43"/>
      <c r="BH843" s="43"/>
      <c r="BI843" s="43"/>
      <c r="BJ843" s="43"/>
      <c r="BK843" s="43"/>
      <c r="BL843" s="43"/>
      <c r="BM843" s="43"/>
      <c r="BN843" s="43"/>
      <c r="BO843" s="43"/>
      <c r="BP843" s="43"/>
      <c r="BQ843" s="43"/>
      <c r="BR843" s="43"/>
      <c r="BS843" s="43"/>
      <c r="BT843" s="43"/>
      <c r="BU843" s="43"/>
      <c r="BV843" s="43"/>
      <c r="BW843" s="43"/>
      <c r="BX843" s="43"/>
      <c r="BY843" s="43"/>
      <c r="BZ843" s="43"/>
      <c r="CA843" s="43"/>
      <c r="CB843" s="43"/>
      <c r="CC843" s="43"/>
      <c r="CD843" s="43"/>
      <c r="CE843" s="43"/>
      <c r="CF843" s="43"/>
      <c r="CG843" s="43"/>
      <c r="CH843" s="43"/>
      <c r="CI843" s="43"/>
      <c r="CJ843" s="43"/>
      <c r="CK843" s="43"/>
      <c r="CL843" s="43"/>
      <c r="CM843" s="43"/>
      <c r="CN843" s="43"/>
      <c r="CO843" s="43"/>
      <c r="CP843" s="43"/>
      <c r="CQ843" s="43"/>
      <c r="CR843" s="43"/>
      <c r="CS843" s="43"/>
      <c r="CT843" s="43"/>
      <c r="CU843" s="43"/>
      <c r="CV843" s="43"/>
      <c r="CW843" s="43"/>
      <c r="CX843" s="43"/>
      <c r="CY843" s="43"/>
      <c r="CZ843" s="43"/>
      <c r="DA843" s="43"/>
      <c r="DB843" s="43"/>
      <c r="DC843" s="43"/>
      <c r="DD843" s="43"/>
      <c r="DE843" s="43"/>
      <c r="DF843" s="43"/>
      <c r="DG843" s="43"/>
      <c r="DH843" s="43"/>
      <c r="DI843" s="43"/>
      <c r="DJ843" s="43"/>
      <c r="DK843" s="43"/>
      <c r="DL843" s="43"/>
      <c r="DM843" s="43"/>
      <c r="DN843" s="43"/>
      <c r="DO843" s="43"/>
      <c r="DP843" s="43"/>
      <c r="DQ843" s="43"/>
      <c r="DR843" s="43"/>
      <c r="DS843" s="43"/>
    </row>
    <row r="844" spans="1:123" ht="14.45">
      <c r="A844"/>
      <c r="B844"/>
      <c r="C844"/>
      <c r="D844"/>
      <c r="E844"/>
      <c r="F844"/>
      <c r="G844"/>
      <c r="H844"/>
      <c r="I844"/>
      <c r="J844"/>
      <c r="K844" s="43"/>
      <c r="L844" s="43"/>
      <c r="M844" s="43"/>
      <c r="N844" s="43"/>
      <c r="O844" s="43"/>
      <c r="P844" s="43"/>
      <c r="Q844" s="43"/>
      <c r="R844" s="43"/>
      <c r="S844" s="43"/>
      <c r="T844" s="43"/>
      <c r="U844" s="43"/>
      <c r="V844" s="43"/>
      <c r="W844" s="43"/>
      <c r="X844" s="43"/>
      <c r="Y844" s="43"/>
      <c r="Z844" s="43"/>
      <c r="AA844" s="43"/>
      <c r="AB844" s="43"/>
      <c r="AC844" s="43"/>
      <c r="AD844" s="43"/>
      <c r="AE844" s="43"/>
      <c r="AF844" s="43"/>
      <c r="AG844" s="43"/>
      <c r="AH844" s="43"/>
      <c r="AI844" s="43"/>
      <c r="AJ844" s="43"/>
      <c r="AK844" s="43"/>
      <c r="AL844" s="43"/>
      <c r="AM844" s="43"/>
      <c r="AN844" s="43"/>
      <c r="AO844" s="43"/>
      <c r="AP844" s="43"/>
      <c r="AQ844" s="43"/>
      <c r="AR844" s="43"/>
      <c r="AS844" s="43"/>
      <c r="AT844" s="43"/>
      <c r="AU844" s="43"/>
      <c r="AV844" s="43"/>
      <c r="AW844" s="43"/>
      <c r="AX844" s="43"/>
      <c r="AY844" s="43"/>
      <c r="AZ844" s="43"/>
      <c r="BA844" s="43"/>
      <c r="BB844" s="43"/>
      <c r="BC844" s="43"/>
      <c r="BD844" s="43"/>
      <c r="BE844" s="43"/>
      <c r="BF844" s="43"/>
      <c r="BG844" s="43"/>
      <c r="BH844" s="43"/>
      <c r="BI844" s="43"/>
      <c r="BJ844" s="43"/>
      <c r="BK844" s="43"/>
      <c r="BL844" s="43"/>
      <c r="BM844" s="43"/>
      <c r="BN844" s="43"/>
      <c r="BO844" s="43"/>
      <c r="BP844" s="43"/>
      <c r="BQ844" s="43"/>
      <c r="BR844" s="43"/>
      <c r="BS844" s="43"/>
      <c r="BT844" s="43"/>
      <c r="BU844" s="43"/>
      <c r="BV844" s="43"/>
      <c r="BW844" s="43"/>
      <c r="BX844" s="43"/>
      <c r="BY844" s="43"/>
      <c r="BZ844" s="43"/>
      <c r="CA844" s="43"/>
      <c r="CB844" s="43"/>
      <c r="CC844" s="43"/>
      <c r="CD844" s="43"/>
      <c r="CE844" s="43"/>
      <c r="CF844" s="43"/>
      <c r="CG844" s="43"/>
      <c r="CH844" s="43"/>
      <c r="CI844" s="43"/>
      <c r="CJ844" s="43"/>
      <c r="CK844" s="43"/>
      <c r="CL844" s="43"/>
      <c r="CM844" s="43"/>
      <c r="CN844" s="43"/>
      <c r="CO844" s="43"/>
      <c r="CP844" s="43"/>
      <c r="CQ844" s="43"/>
      <c r="CR844" s="43"/>
      <c r="CS844" s="43"/>
      <c r="CT844" s="43"/>
      <c r="CU844" s="43"/>
      <c r="CV844" s="43"/>
      <c r="CW844" s="43"/>
      <c r="CX844" s="43"/>
      <c r="CY844" s="43"/>
      <c r="CZ844" s="43"/>
      <c r="DA844" s="43"/>
      <c r="DB844" s="43"/>
      <c r="DC844" s="43"/>
      <c r="DD844" s="43"/>
      <c r="DE844" s="43"/>
      <c r="DF844" s="43"/>
      <c r="DG844" s="43"/>
      <c r="DH844" s="43"/>
      <c r="DI844" s="43"/>
      <c r="DJ844" s="43"/>
      <c r="DK844" s="43"/>
      <c r="DL844" s="43"/>
      <c r="DM844" s="43"/>
      <c r="DN844" s="43"/>
      <c r="DO844" s="43"/>
      <c r="DP844" s="43"/>
      <c r="DQ844" s="43"/>
      <c r="DR844" s="43"/>
      <c r="DS844" s="43"/>
    </row>
    <row r="845" spans="1:123" ht="14.45">
      <c r="A845"/>
      <c r="B845"/>
      <c r="C845"/>
      <c r="D845"/>
      <c r="E845"/>
      <c r="F845"/>
      <c r="G845"/>
      <c r="H845"/>
      <c r="I845"/>
      <c r="J845"/>
      <c r="K845" s="43"/>
      <c r="L845" s="43"/>
      <c r="M845" s="43"/>
      <c r="N845" s="43"/>
      <c r="O845" s="43"/>
      <c r="P845" s="43"/>
      <c r="Q845" s="43"/>
      <c r="R845" s="43"/>
      <c r="S845" s="43"/>
      <c r="T845" s="43"/>
      <c r="U845" s="43"/>
      <c r="V845" s="43"/>
      <c r="W845" s="43"/>
      <c r="X845" s="43"/>
      <c r="Y845" s="43"/>
      <c r="Z845" s="43"/>
      <c r="AA845" s="43"/>
      <c r="AB845" s="43"/>
      <c r="AC845" s="43"/>
      <c r="AD845" s="43"/>
      <c r="AE845" s="43"/>
      <c r="AF845" s="43"/>
      <c r="AG845" s="43"/>
      <c r="AH845" s="43"/>
      <c r="AI845" s="43"/>
      <c r="AJ845" s="43"/>
      <c r="AK845" s="43"/>
      <c r="AL845" s="43"/>
      <c r="AM845" s="43"/>
      <c r="AN845" s="43"/>
      <c r="AO845" s="43"/>
      <c r="AP845" s="43"/>
      <c r="AQ845" s="43"/>
      <c r="AR845" s="43"/>
      <c r="AS845" s="43"/>
      <c r="AT845" s="43"/>
      <c r="AU845" s="43"/>
      <c r="AV845" s="43"/>
      <c r="AW845" s="43"/>
      <c r="AX845" s="43"/>
      <c r="AY845" s="43"/>
      <c r="AZ845" s="43"/>
      <c r="BA845" s="43"/>
      <c r="BB845" s="43"/>
      <c r="BC845" s="43"/>
      <c r="BD845" s="43"/>
      <c r="BE845" s="43"/>
      <c r="BF845" s="43"/>
      <c r="BG845" s="43"/>
      <c r="BH845" s="43"/>
      <c r="BI845" s="43"/>
      <c r="BJ845" s="43"/>
      <c r="BK845" s="43"/>
      <c r="BL845" s="43"/>
      <c r="BM845" s="43"/>
      <c r="BN845" s="43"/>
      <c r="BO845" s="43"/>
      <c r="BP845" s="43"/>
      <c r="BQ845" s="43"/>
      <c r="BR845" s="43"/>
      <c r="BS845" s="43"/>
      <c r="BT845" s="43"/>
      <c r="BU845" s="43"/>
      <c r="BV845" s="43"/>
      <c r="BW845" s="43"/>
      <c r="BX845" s="43"/>
      <c r="BY845" s="43"/>
      <c r="BZ845" s="43"/>
      <c r="CA845" s="43"/>
      <c r="CB845" s="43"/>
      <c r="CC845" s="43"/>
      <c r="CD845" s="43"/>
      <c r="CE845" s="43"/>
      <c r="CF845" s="43"/>
      <c r="CG845" s="43"/>
      <c r="CH845" s="43"/>
      <c r="CI845" s="43"/>
      <c r="CJ845" s="43"/>
      <c r="CK845" s="43"/>
      <c r="CL845" s="43"/>
      <c r="CM845" s="43"/>
      <c r="CN845" s="43"/>
      <c r="CO845" s="43"/>
      <c r="CP845" s="43"/>
      <c r="CQ845" s="43"/>
      <c r="CR845" s="43"/>
      <c r="CS845" s="43"/>
      <c r="CT845" s="43"/>
      <c r="CU845" s="43"/>
      <c r="CV845" s="43"/>
      <c r="CW845" s="43"/>
      <c r="CX845" s="43"/>
      <c r="CY845" s="43"/>
      <c r="CZ845" s="43"/>
      <c r="DA845" s="43"/>
      <c r="DB845" s="43"/>
      <c r="DC845" s="43"/>
      <c r="DD845" s="43"/>
      <c r="DE845" s="43"/>
      <c r="DF845" s="43"/>
      <c r="DG845" s="43"/>
      <c r="DH845" s="43"/>
      <c r="DI845" s="43"/>
      <c r="DJ845" s="43"/>
      <c r="DK845" s="43"/>
      <c r="DL845" s="43"/>
      <c r="DM845" s="43"/>
      <c r="DN845" s="43"/>
      <c r="DO845" s="43"/>
      <c r="DP845" s="43"/>
      <c r="DQ845" s="43"/>
      <c r="DR845" s="43"/>
      <c r="DS845" s="43"/>
    </row>
    <row r="846" spans="1:123" ht="14.45">
      <c r="A846"/>
      <c r="B846"/>
      <c r="C846"/>
      <c r="D846"/>
      <c r="E846"/>
      <c r="F846"/>
      <c r="G846"/>
      <c r="H846"/>
      <c r="I846"/>
      <c r="J846"/>
      <c r="K846" s="43"/>
      <c r="L846" s="43"/>
      <c r="M846" s="43"/>
      <c r="N846" s="43"/>
      <c r="O846" s="43"/>
      <c r="P846" s="43"/>
      <c r="Q846" s="43"/>
      <c r="R846" s="43"/>
      <c r="S846" s="43"/>
      <c r="T846" s="43"/>
      <c r="U846" s="43"/>
      <c r="V846" s="43"/>
      <c r="W846" s="43"/>
      <c r="X846" s="43"/>
      <c r="Y846" s="43"/>
      <c r="Z846" s="43"/>
      <c r="AA846" s="43"/>
      <c r="AB846" s="43"/>
      <c r="AC846" s="43"/>
      <c r="AD846" s="43"/>
      <c r="AE846" s="43"/>
      <c r="AF846" s="43"/>
      <c r="AG846" s="43"/>
      <c r="AH846" s="43"/>
      <c r="AI846" s="43"/>
      <c r="AJ846" s="43"/>
      <c r="AK846" s="43"/>
      <c r="AL846" s="43"/>
      <c r="AM846" s="43"/>
      <c r="AN846" s="43"/>
      <c r="AO846" s="43"/>
      <c r="AP846" s="43"/>
      <c r="AQ846" s="43"/>
      <c r="AR846" s="43"/>
      <c r="AS846" s="43"/>
      <c r="AT846" s="43"/>
      <c r="AU846" s="43"/>
      <c r="AV846" s="43"/>
      <c r="AW846" s="43"/>
      <c r="AX846" s="43"/>
      <c r="AY846" s="43"/>
      <c r="AZ846" s="43"/>
      <c r="BA846" s="43"/>
      <c r="BB846" s="43"/>
      <c r="BC846" s="43"/>
      <c r="BD846" s="43"/>
      <c r="BE846" s="43"/>
      <c r="BF846" s="43"/>
      <c r="BG846" s="43"/>
      <c r="BH846" s="43"/>
      <c r="BI846" s="43"/>
      <c r="BJ846" s="43"/>
      <c r="BK846" s="43"/>
      <c r="BL846" s="43"/>
      <c r="BM846" s="43"/>
      <c r="BN846" s="43"/>
      <c r="BO846" s="43"/>
      <c r="BP846" s="43"/>
      <c r="BQ846" s="43"/>
      <c r="BR846" s="43"/>
      <c r="BS846" s="43"/>
      <c r="BT846" s="43"/>
      <c r="BU846" s="43"/>
      <c r="BV846" s="43"/>
      <c r="BW846" s="43"/>
      <c r="BX846" s="43"/>
      <c r="BY846" s="43"/>
      <c r="BZ846" s="43"/>
      <c r="CA846" s="43"/>
      <c r="CB846" s="43"/>
      <c r="CC846" s="43"/>
      <c r="CD846" s="43"/>
      <c r="CE846" s="43"/>
      <c r="CF846" s="43"/>
      <c r="CG846" s="43"/>
      <c r="CH846" s="43"/>
      <c r="CI846" s="43"/>
      <c r="CJ846" s="43"/>
      <c r="CK846" s="43"/>
      <c r="CL846" s="43"/>
      <c r="CM846" s="43"/>
      <c r="CN846" s="43"/>
      <c r="CO846" s="43"/>
      <c r="CP846" s="43"/>
      <c r="CQ846" s="43"/>
      <c r="CR846" s="43"/>
      <c r="CS846" s="43"/>
      <c r="CT846" s="43"/>
      <c r="CU846" s="43"/>
      <c r="CV846" s="43"/>
      <c r="CW846" s="43"/>
      <c r="CX846" s="43"/>
      <c r="CY846" s="43"/>
      <c r="CZ846" s="43"/>
      <c r="DA846" s="43"/>
      <c r="DB846" s="43"/>
      <c r="DC846" s="43"/>
      <c r="DD846" s="43"/>
      <c r="DE846" s="43"/>
      <c r="DF846" s="43"/>
      <c r="DG846" s="43"/>
      <c r="DH846" s="43"/>
      <c r="DI846" s="43"/>
      <c r="DJ846" s="43"/>
      <c r="DK846" s="43"/>
      <c r="DL846" s="43"/>
      <c r="DM846" s="43"/>
      <c r="DN846" s="43"/>
      <c r="DO846" s="43"/>
      <c r="DP846" s="43"/>
      <c r="DQ846" s="43"/>
      <c r="DR846" s="43"/>
      <c r="DS846" s="43"/>
    </row>
    <row r="847" spans="1:123" ht="14.45">
      <c r="A847"/>
      <c r="B847"/>
      <c r="C847"/>
      <c r="D847"/>
      <c r="E847"/>
      <c r="F847"/>
      <c r="G847"/>
      <c r="H847"/>
      <c r="I847"/>
      <c r="J847"/>
      <c r="K847" s="43"/>
      <c r="L847" s="43"/>
      <c r="M847" s="43"/>
      <c r="N847" s="43"/>
      <c r="O847" s="43"/>
      <c r="P847" s="43"/>
      <c r="Q847" s="43"/>
      <c r="R847" s="43"/>
      <c r="S847" s="43"/>
      <c r="T847" s="43"/>
      <c r="U847" s="43"/>
      <c r="V847" s="43"/>
      <c r="W847" s="43"/>
      <c r="X847" s="43"/>
      <c r="Y847" s="43"/>
      <c r="Z847" s="43"/>
      <c r="AA847" s="43"/>
      <c r="AB847" s="43"/>
      <c r="AC847" s="43"/>
      <c r="AD847" s="43"/>
      <c r="AE847" s="43"/>
      <c r="AF847" s="43"/>
      <c r="AG847" s="43"/>
      <c r="AH847" s="43"/>
      <c r="AI847" s="43"/>
      <c r="AJ847" s="43"/>
      <c r="AK847" s="43"/>
      <c r="AL847" s="43"/>
      <c r="AM847" s="43"/>
      <c r="AN847" s="43"/>
      <c r="AO847" s="43"/>
      <c r="AP847" s="43"/>
      <c r="AQ847" s="43"/>
      <c r="AR847" s="43"/>
      <c r="AS847" s="43"/>
      <c r="AT847" s="43"/>
      <c r="AU847" s="43"/>
      <c r="AV847" s="43"/>
      <c r="AW847" s="43"/>
      <c r="AX847" s="43"/>
      <c r="AY847" s="43"/>
      <c r="AZ847" s="43"/>
      <c r="BA847" s="43"/>
      <c r="BB847" s="43"/>
      <c r="BC847" s="43"/>
      <c r="BD847" s="43"/>
      <c r="BE847" s="43"/>
      <c r="BF847" s="43"/>
      <c r="BG847" s="43"/>
      <c r="BH847" s="43"/>
      <c r="BI847" s="43"/>
      <c r="BJ847" s="43"/>
      <c r="BK847" s="43"/>
      <c r="BL847" s="43"/>
      <c r="BM847" s="43"/>
      <c r="BN847" s="43"/>
      <c r="BO847" s="43"/>
      <c r="BP847" s="43"/>
      <c r="BQ847" s="43"/>
      <c r="BR847" s="43"/>
      <c r="BS847" s="43"/>
      <c r="BT847" s="43"/>
      <c r="BU847" s="43"/>
      <c r="BV847" s="43"/>
      <c r="BW847" s="43"/>
      <c r="BX847" s="43"/>
      <c r="BY847" s="43"/>
      <c r="BZ847" s="43"/>
      <c r="CA847" s="43"/>
      <c r="CB847" s="43"/>
      <c r="CC847" s="43"/>
      <c r="CD847" s="43"/>
      <c r="CE847" s="43"/>
      <c r="CF847" s="43"/>
      <c r="CG847" s="43"/>
      <c r="CH847" s="43"/>
      <c r="CI847" s="43"/>
      <c r="CJ847" s="43"/>
      <c r="CK847" s="43"/>
      <c r="CL847" s="43"/>
      <c r="CM847" s="43"/>
      <c r="CN847" s="43"/>
      <c r="CO847" s="43"/>
      <c r="CP847" s="43"/>
      <c r="CQ847" s="43"/>
      <c r="CR847" s="43"/>
      <c r="CS847" s="43"/>
      <c r="CT847" s="43"/>
      <c r="CU847" s="43"/>
      <c r="CV847" s="43"/>
      <c r="CW847" s="43"/>
      <c r="CX847" s="43"/>
      <c r="CY847" s="43"/>
      <c r="CZ847" s="43"/>
      <c r="DA847" s="43"/>
      <c r="DB847" s="43"/>
      <c r="DC847" s="43"/>
      <c r="DD847" s="43"/>
      <c r="DE847" s="43"/>
      <c r="DF847" s="43"/>
      <c r="DG847" s="43"/>
      <c r="DH847" s="43"/>
      <c r="DI847" s="43"/>
      <c r="DJ847" s="43"/>
      <c r="DK847" s="43"/>
      <c r="DL847" s="43"/>
      <c r="DM847" s="43"/>
      <c r="DN847" s="43"/>
      <c r="DO847" s="43"/>
      <c r="DP847" s="43"/>
      <c r="DQ847" s="43"/>
      <c r="DR847" s="43"/>
      <c r="DS847" s="43"/>
    </row>
    <row r="848" spans="1:123" ht="14.45">
      <c r="A848"/>
      <c r="B848"/>
      <c r="C848"/>
      <c r="D848"/>
      <c r="E848"/>
      <c r="F848"/>
      <c r="G848"/>
      <c r="H848"/>
      <c r="I848"/>
      <c r="J848"/>
      <c r="K848" s="43"/>
      <c r="L848" s="43"/>
      <c r="M848" s="43"/>
      <c r="N848" s="43"/>
      <c r="O848" s="43"/>
      <c r="P848" s="43"/>
      <c r="Q848" s="43"/>
      <c r="R848" s="43"/>
      <c r="S848" s="43"/>
      <c r="T848" s="43"/>
      <c r="U848" s="43"/>
      <c r="V848" s="43"/>
      <c r="W848" s="43"/>
      <c r="X848" s="43"/>
      <c r="Y848" s="43"/>
      <c r="Z848" s="43"/>
      <c r="AA848" s="43"/>
      <c r="AB848" s="43"/>
      <c r="AC848" s="43"/>
      <c r="AD848" s="43"/>
      <c r="AE848" s="43"/>
      <c r="AF848" s="43"/>
      <c r="AG848" s="43"/>
      <c r="AH848" s="43"/>
      <c r="AI848" s="43"/>
      <c r="AJ848" s="43"/>
      <c r="AK848" s="43"/>
      <c r="AL848" s="43"/>
      <c r="AM848" s="43"/>
      <c r="AN848" s="43"/>
      <c r="AO848" s="43"/>
      <c r="AP848" s="43"/>
      <c r="AQ848" s="43"/>
      <c r="AR848" s="43"/>
      <c r="AS848" s="43"/>
      <c r="AT848" s="43"/>
      <c r="AU848" s="43"/>
      <c r="AV848" s="43"/>
      <c r="AW848" s="43"/>
      <c r="AX848" s="43"/>
      <c r="AY848" s="43"/>
      <c r="AZ848" s="43"/>
      <c r="BA848" s="43"/>
      <c r="BB848" s="43"/>
      <c r="BC848" s="43"/>
      <c r="BD848" s="43"/>
      <c r="BE848" s="43"/>
      <c r="BF848" s="43"/>
      <c r="BG848" s="43"/>
      <c r="BH848" s="43"/>
      <c r="BI848" s="43"/>
      <c r="BJ848" s="43"/>
      <c r="BK848" s="43"/>
      <c r="BL848" s="43"/>
      <c r="BM848" s="43"/>
      <c r="BN848" s="43"/>
      <c r="BO848" s="43"/>
      <c r="BP848" s="43"/>
      <c r="BQ848" s="43"/>
      <c r="BR848" s="43"/>
      <c r="BS848" s="43"/>
      <c r="BT848" s="43"/>
      <c r="BU848" s="43"/>
      <c r="BV848" s="43"/>
      <c r="BW848" s="43"/>
      <c r="BX848" s="43"/>
      <c r="BY848" s="43"/>
      <c r="BZ848" s="43"/>
      <c r="CA848" s="43"/>
      <c r="CB848" s="43"/>
      <c r="CC848" s="43"/>
      <c r="CD848" s="43"/>
      <c r="CE848" s="43"/>
      <c r="CF848" s="43"/>
      <c r="CG848" s="43"/>
      <c r="CH848" s="43"/>
      <c r="CI848" s="43"/>
      <c r="CJ848" s="43"/>
      <c r="CK848" s="43"/>
      <c r="CL848" s="43"/>
      <c r="CM848" s="43"/>
      <c r="CN848" s="43"/>
      <c r="CO848" s="43"/>
      <c r="CP848" s="43"/>
      <c r="CQ848" s="43"/>
      <c r="CR848" s="43"/>
      <c r="CS848" s="43"/>
      <c r="CT848" s="43"/>
      <c r="CU848" s="43"/>
      <c r="CV848" s="43"/>
      <c r="CW848" s="43"/>
      <c r="CX848" s="43"/>
      <c r="CY848" s="43"/>
      <c r="CZ848" s="43"/>
      <c r="DA848" s="43"/>
      <c r="DB848" s="43"/>
      <c r="DC848" s="43"/>
      <c r="DD848" s="43"/>
      <c r="DE848" s="43"/>
      <c r="DF848" s="43"/>
      <c r="DG848" s="43"/>
      <c r="DH848" s="43"/>
      <c r="DI848" s="43"/>
      <c r="DJ848" s="43"/>
      <c r="DK848" s="43"/>
      <c r="DL848" s="43"/>
      <c r="DM848" s="43"/>
      <c r="DN848" s="43"/>
      <c r="DO848" s="43"/>
      <c r="DP848" s="43"/>
      <c r="DQ848" s="43"/>
      <c r="DR848" s="43"/>
      <c r="DS848" s="43"/>
    </row>
    <row r="849" spans="1:123" ht="14.45">
      <c r="A849"/>
      <c r="B849"/>
      <c r="C849"/>
      <c r="D849"/>
      <c r="E849"/>
      <c r="F849"/>
      <c r="G849"/>
      <c r="H849"/>
      <c r="I849"/>
      <c r="J849"/>
      <c r="K849" s="43"/>
      <c r="L849" s="43"/>
      <c r="M849" s="43"/>
      <c r="N849" s="43"/>
      <c r="O849" s="43"/>
      <c r="P849" s="43"/>
      <c r="Q849" s="43"/>
      <c r="R849" s="43"/>
      <c r="S849" s="43"/>
      <c r="T849" s="43"/>
      <c r="U849" s="43"/>
      <c r="V849" s="43"/>
      <c r="W849" s="43"/>
      <c r="X849" s="43"/>
      <c r="Y849" s="43"/>
      <c r="Z849" s="43"/>
      <c r="AA849" s="43"/>
      <c r="AB849" s="43"/>
      <c r="AC849" s="43"/>
      <c r="AD849" s="43"/>
      <c r="AE849" s="43"/>
      <c r="AF849" s="43"/>
      <c r="AG849" s="43"/>
      <c r="AH849" s="43"/>
      <c r="AI849" s="43"/>
      <c r="AJ849" s="43"/>
      <c r="AK849" s="43"/>
      <c r="AL849" s="43"/>
      <c r="AM849" s="43"/>
      <c r="AN849" s="43"/>
      <c r="AO849" s="43"/>
      <c r="AP849" s="43"/>
      <c r="AQ849" s="43"/>
      <c r="AR849" s="43"/>
      <c r="AS849" s="43"/>
      <c r="AT849" s="43"/>
      <c r="AU849" s="43"/>
      <c r="AV849" s="43"/>
      <c r="AW849" s="43"/>
      <c r="AX849" s="43"/>
      <c r="AY849" s="43"/>
      <c r="AZ849" s="43"/>
      <c r="BA849" s="43"/>
      <c r="BB849" s="43"/>
      <c r="BC849" s="43"/>
      <c r="BD849" s="43"/>
      <c r="BE849" s="43"/>
      <c r="BF849" s="43"/>
      <c r="BG849" s="43"/>
      <c r="BH849" s="43"/>
      <c r="BI849" s="43"/>
      <c r="BJ849" s="43"/>
      <c r="BK849" s="43"/>
      <c r="BL849" s="43"/>
      <c r="BM849" s="43"/>
      <c r="BN849" s="43"/>
      <c r="BO849" s="43"/>
      <c r="BP849" s="43"/>
      <c r="BQ849" s="43"/>
      <c r="BR849" s="43"/>
      <c r="BS849" s="43"/>
      <c r="BT849" s="43"/>
      <c r="BU849" s="43"/>
      <c r="BV849" s="43"/>
      <c r="BW849" s="43"/>
      <c r="BX849" s="43"/>
      <c r="BY849" s="43"/>
      <c r="BZ849" s="43"/>
      <c r="CA849" s="43"/>
      <c r="CB849" s="43"/>
      <c r="CC849" s="43"/>
      <c r="CD849" s="43"/>
      <c r="CE849" s="43"/>
      <c r="CF849" s="43"/>
      <c r="CG849" s="43"/>
      <c r="CH849" s="43"/>
      <c r="CI849" s="43"/>
      <c r="CJ849" s="43"/>
      <c r="CK849" s="43"/>
      <c r="CL849" s="43"/>
      <c r="CM849" s="43"/>
      <c r="CN849" s="43"/>
      <c r="CO849" s="43"/>
      <c r="CP849" s="43"/>
      <c r="CQ849" s="43"/>
      <c r="CR849" s="43"/>
      <c r="CS849" s="43"/>
      <c r="CT849" s="43"/>
      <c r="CU849" s="43"/>
      <c r="CV849" s="43"/>
      <c r="CW849" s="43"/>
      <c r="CX849" s="43"/>
      <c r="CY849" s="43"/>
      <c r="CZ849" s="43"/>
      <c r="DA849" s="43"/>
      <c r="DB849" s="43"/>
      <c r="DC849" s="43"/>
      <c r="DD849" s="43"/>
      <c r="DE849" s="43"/>
      <c r="DF849" s="43"/>
      <c r="DG849" s="43"/>
      <c r="DH849" s="43"/>
      <c r="DI849" s="43"/>
      <c r="DJ849" s="43"/>
      <c r="DK849" s="43"/>
      <c r="DL849" s="43"/>
      <c r="DM849" s="43"/>
      <c r="DN849" s="43"/>
      <c r="DO849" s="43"/>
      <c r="DP849" s="43"/>
      <c r="DQ849" s="43"/>
      <c r="DR849" s="43"/>
      <c r="DS849" s="43"/>
    </row>
    <row r="850" spans="1:123" ht="14.45">
      <c r="A850"/>
      <c r="B850"/>
      <c r="C850"/>
      <c r="D850"/>
      <c r="E850"/>
      <c r="F850"/>
      <c r="G850"/>
      <c r="H850"/>
      <c r="I850"/>
      <c r="J850"/>
      <c r="K850" s="43"/>
      <c r="L850" s="43"/>
      <c r="M850" s="43"/>
      <c r="N850" s="43"/>
      <c r="O850" s="43"/>
      <c r="P850" s="43"/>
      <c r="Q850" s="43"/>
      <c r="R850" s="43"/>
      <c r="S850" s="43"/>
      <c r="T850" s="43"/>
      <c r="U850" s="43"/>
      <c r="V850" s="43"/>
      <c r="W850" s="43"/>
      <c r="X850" s="43"/>
      <c r="Y850" s="43"/>
      <c r="Z850" s="43"/>
      <c r="AA850" s="43"/>
      <c r="AB850" s="43"/>
      <c r="AC850" s="43"/>
      <c r="AD850" s="43"/>
      <c r="AE850" s="43"/>
      <c r="AF850" s="43"/>
      <c r="AG850" s="43"/>
      <c r="AH850" s="43"/>
      <c r="AI850" s="43"/>
      <c r="AJ850" s="43"/>
      <c r="AK850" s="43"/>
      <c r="AL850" s="43"/>
      <c r="AM850" s="43"/>
      <c r="AN850" s="43"/>
      <c r="AO850" s="43"/>
      <c r="AP850" s="43"/>
      <c r="AQ850" s="43"/>
      <c r="AR850" s="43"/>
      <c r="AS850" s="43"/>
      <c r="AT850" s="43"/>
      <c r="AU850" s="43"/>
      <c r="AV850" s="43"/>
      <c r="AW850" s="43"/>
      <c r="AX850" s="43"/>
      <c r="AY850" s="43"/>
      <c r="AZ850" s="43"/>
      <c r="BA850" s="43"/>
      <c r="BB850" s="43"/>
      <c r="BC850" s="43"/>
      <c r="BD850" s="43"/>
      <c r="BE850" s="43"/>
      <c r="BF850" s="43"/>
      <c r="BG850" s="43"/>
      <c r="BH850" s="43"/>
      <c r="BI850" s="43"/>
      <c r="BJ850" s="43"/>
      <c r="BK850" s="43"/>
      <c r="BL850" s="43"/>
      <c r="BM850" s="43"/>
      <c r="BN850" s="43"/>
      <c r="BO850" s="43"/>
      <c r="BP850" s="43"/>
      <c r="BQ850" s="43"/>
      <c r="BR850" s="43"/>
      <c r="BS850" s="43"/>
      <c r="BT850" s="43"/>
      <c r="BU850" s="43"/>
      <c r="BV850" s="43"/>
      <c r="BW850" s="43"/>
      <c r="BX850" s="43"/>
      <c r="BY850" s="43"/>
      <c r="BZ850" s="43"/>
      <c r="CA850" s="43"/>
      <c r="CB850" s="43"/>
      <c r="CC850" s="43"/>
      <c r="CD850" s="43"/>
      <c r="CE850" s="43"/>
      <c r="CF850" s="43"/>
      <c r="CG850" s="43"/>
      <c r="CH850" s="43"/>
      <c r="CI850" s="43"/>
      <c r="CJ850" s="43"/>
      <c r="CK850" s="43"/>
      <c r="CL850" s="43"/>
      <c r="CM850" s="43"/>
      <c r="CN850" s="43"/>
      <c r="CO850" s="43"/>
      <c r="CP850" s="43"/>
      <c r="CQ850" s="43"/>
      <c r="CR850" s="43"/>
      <c r="CS850" s="43"/>
      <c r="CT850" s="43"/>
      <c r="CU850" s="43"/>
      <c r="CV850" s="43"/>
      <c r="CW850" s="43"/>
      <c r="CX850" s="43"/>
      <c r="CY850" s="43"/>
      <c r="CZ850" s="43"/>
      <c r="DA850" s="43"/>
      <c r="DB850" s="43"/>
      <c r="DC850" s="43"/>
      <c r="DD850" s="43"/>
      <c r="DE850" s="43"/>
      <c r="DF850" s="43"/>
      <c r="DG850" s="43"/>
      <c r="DH850" s="43"/>
      <c r="DI850" s="43"/>
      <c r="DJ850" s="43"/>
      <c r="DK850" s="43"/>
      <c r="DL850" s="43"/>
      <c r="DM850" s="43"/>
      <c r="DN850" s="43"/>
      <c r="DO850" s="43"/>
      <c r="DP850" s="43"/>
      <c r="DQ850" s="43"/>
      <c r="DR850" s="43"/>
      <c r="DS850" s="43"/>
    </row>
    <row r="851" spans="1:123" ht="14.45">
      <c r="A851"/>
      <c r="B851"/>
      <c r="C851"/>
      <c r="D851"/>
      <c r="E851"/>
      <c r="F851"/>
      <c r="G851"/>
      <c r="H851"/>
      <c r="I851"/>
      <c r="J851"/>
      <c r="K851" s="43"/>
      <c r="L851" s="43"/>
      <c r="M851" s="43"/>
      <c r="N851" s="43"/>
      <c r="O851" s="43"/>
      <c r="P851" s="43"/>
      <c r="Q851" s="43"/>
      <c r="R851" s="43"/>
      <c r="S851" s="43"/>
      <c r="T851" s="43"/>
      <c r="U851" s="43"/>
      <c r="V851" s="43"/>
      <c r="W851" s="43"/>
      <c r="X851" s="43"/>
      <c r="Y851" s="43"/>
      <c r="Z851" s="43"/>
      <c r="AA851" s="43"/>
      <c r="AB851" s="43"/>
      <c r="AC851" s="43"/>
      <c r="AD851" s="43"/>
      <c r="AE851" s="43"/>
      <c r="AF851" s="43"/>
      <c r="AG851" s="43"/>
      <c r="AH851" s="43"/>
      <c r="AI851" s="43"/>
      <c r="AJ851" s="43"/>
      <c r="AK851" s="43"/>
      <c r="AL851" s="43"/>
      <c r="AM851" s="43"/>
      <c r="AN851" s="43"/>
      <c r="AO851" s="43"/>
      <c r="AP851" s="43"/>
      <c r="AQ851" s="43"/>
      <c r="AR851" s="43"/>
      <c r="AS851" s="43"/>
      <c r="AT851" s="43"/>
      <c r="AU851" s="43"/>
      <c r="AV851" s="43"/>
      <c r="AW851" s="43"/>
      <c r="AX851" s="43"/>
      <c r="AY851" s="43"/>
      <c r="AZ851" s="43"/>
      <c r="BA851" s="43"/>
      <c r="BB851" s="43"/>
      <c r="BC851" s="43"/>
      <c r="BD851" s="43"/>
      <c r="BE851" s="43"/>
      <c r="BF851" s="43"/>
      <c r="BG851" s="43"/>
      <c r="BH851" s="43"/>
      <c r="BI851" s="43"/>
      <c r="BJ851" s="43"/>
      <c r="BK851" s="43"/>
      <c r="BL851" s="43"/>
      <c r="BM851" s="43"/>
      <c r="BN851" s="43"/>
      <c r="BO851" s="43"/>
      <c r="BP851" s="43"/>
      <c r="BQ851" s="43"/>
      <c r="BR851" s="43"/>
      <c r="BS851" s="43"/>
      <c r="BT851" s="43"/>
      <c r="BU851" s="43"/>
      <c r="BV851" s="43"/>
      <c r="BW851" s="43"/>
      <c r="BX851" s="43"/>
      <c r="BY851" s="43"/>
      <c r="BZ851" s="43"/>
      <c r="CA851" s="43"/>
      <c r="CB851" s="43"/>
      <c r="CC851" s="43"/>
      <c r="CD851" s="43"/>
      <c r="CE851" s="43"/>
      <c r="CF851" s="43"/>
      <c r="CG851" s="43"/>
      <c r="CH851" s="43"/>
      <c r="CI851" s="43"/>
      <c r="CJ851" s="43"/>
      <c r="CK851" s="43"/>
      <c r="CL851" s="43"/>
      <c r="CM851" s="43"/>
      <c r="CN851" s="43"/>
      <c r="CO851" s="43"/>
      <c r="CP851" s="43"/>
      <c r="CQ851" s="43"/>
      <c r="CR851" s="43"/>
      <c r="CS851" s="43"/>
      <c r="CT851" s="43"/>
      <c r="CU851" s="43"/>
      <c r="CV851" s="43"/>
      <c r="CW851" s="43"/>
      <c r="CX851" s="43"/>
      <c r="CY851" s="43"/>
      <c r="CZ851" s="43"/>
      <c r="DA851" s="43"/>
      <c r="DB851" s="43"/>
      <c r="DC851" s="43"/>
      <c r="DD851" s="43"/>
      <c r="DE851" s="43"/>
      <c r="DF851" s="43"/>
      <c r="DG851" s="43"/>
      <c r="DH851" s="43"/>
      <c r="DI851" s="43"/>
      <c r="DJ851" s="43"/>
      <c r="DK851" s="43"/>
      <c r="DL851" s="43"/>
      <c r="DM851" s="43"/>
      <c r="DN851" s="43"/>
      <c r="DO851" s="43"/>
      <c r="DP851" s="43"/>
      <c r="DQ851" s="43"/>
      <c r="DR851" s="43"/>
      <c r="DS851" s="43"/>
    </row>
    <row r="852" spans="1:123" ht="14.45">
      <c r="A852"/>
      <c r="B852"/>
      <c r="C852"/>
      <c r="D852"/>
      <c r="E852"/>
      <c r="F852"/>
      <c r="G852"/>
      <c r="H852"/>
      <c r="I852"/>
      <c r="J852"/>
      <c r="K852" s="43"/>
      <c r="L852" s="43"/>
      <c r="M852" s="43"/>
      <c r="N852" s="43"/>
      <c r="O852" s="43"/>
      <c r="P852" s="43"/>
      <c r="Q852" s="43"/>
      <c r="R852" s="43"/>
      <c r="S852" s="43"/>
      <c r="T852" s="43"/>
      <c r="U852" s="43"/>
      <c r="V852" s="43"/>
      <c r="W852" s="43"/>
      <c r="X852" s="43"/>
      <c r="Y852" s="43"/>
      <c r="Z852" s="43"/>
      <c r="AA852" s="43"/>
      <c r="AB852" s="43"/>
      <c r="AC852" s="43"/>
      <c r="AD852" s="43"/>
      <c r="AE852" s="43"/>
      <c r="AF852" s="43"/>
      <c r="AG852" s="43"/>
      <c r="AH852" s="43"/>
      <c r="AI852" s="43"/>
      <c r="AJ852" s="43"/>
      <c r="AK852" s="43"/>
      <c r="AL852" s="43"/>
      <c r="AM852" s="43"/>
      <c r="AN852" s="43"/>
      <c r="AO852" s="43"/>
      <c r="AP852" s="43"/>
      <c r="AQ852" s="43"/>
      <c r="AR852" s="43"/>
      <c r="AS852" s="43"/>
      <c r="AT852" s="43"/>
      <c r="AU852" s="43"/>
      <c r="AV852" s="43"/>
      <c r="AW852" s="43"/>
      <c r="AX852" s="43"/>
      <c r="AY852" s="43"/>
      <c r="AZ852" s="43"/>
      <c r="BA852" s="43"/>
      <c r="BB852" s="43"/>
      <c r="BC852" s="43"/>
      <c r="BD852" s="43"/>
      <c r="BE852" s="43"/>
      <c r="BF852" s="43"/>
      <c r="BG852" s="43"/>
      <c r="BH852" s="43"/>
      <c r="BI852" s="43"/>
      <c r="BJ852" s="43"/>
      <c r="BK852" s="43"/>
      <c r="BL852" s="43"/>
      <c r="BM852" s="43"/>
      <c r="BN852" s="43"/>
      <c r="BO852" s="43"/>
      <c r="BP852" s="43"/>
      <c r="BQ852" s="43"/>
      <c r="BR852" s="43"/>
      <c r="BS852" s="43"/>
      <c r="BT852" s="43"/>
      <c r="BU852" s="43"/>
      <c r="BV852" s="43"/>
      <c r="BW852" s="43"/>
      <c r="BX852" s="43"/>
      <c r="BY852" s="43"/>
      <c r="BZ852" s="43"/>
      <c r="CA852" s="43"/>
      <c r="CB852" s="43"/>
      <c r="CC852" s="43"/>
      <c r="CD852" s="43"/>
      <c r="CE852" s="43"/>
      <c r="CF852" s="43"/>
      <c r="CG852" s="43"/>
      <c r="CH852" s="43"/>
      <c r="CI852" s="43"/>
      <c r="CJ852" s="43"/>
      <c r="CK852" s="43"/>
      <c r="CL852" s="43"/>
      <c r="CM852" s="43"/>
      <c r="CN852" s="43"/>
      <c r="CO852" s="43"/>
      <c r="CP852" s="43"/>
      <c r="CQ852" s="43"/>
      <c r="CR852" s="43"/>
      <c r="CS852" s="43"/>
      <c r="CT852" s="43"/>
      <c r="CU852" s="43"/>
      <c r="CV852" s="43"/>
      <c r="CW852" s="43"/>
      <c r="CX852" s="43"/>
      <c r="CY852" s="43"/>
      <c r="CZ852" s="43"/>
      <c r="DA852" s="43"/>
      <c r="DB852" s="43"/>
      <c r="DC852" s="43"/>
      <c r="DD852" s="43"/>
      <c r="DE852" s="43"/>
      <c r="DF852" s="43"/>
      <c r="DG852" s="43"/>
      <c r="DH852" s="43"/>
      <c r="DI852" s="43"/>
      <c r="DJ852" s="43"/>
      <c r="DK852" s="43"/>
      <c r="DL852" s="43"/>
      <c r="DM852" s="43"/>
      <c r="DN852" s="43"/>
      <c r="DO852" s="43"/>
      <c r="DP852" s="43"/>
      <c r="DQ852" s="43"/>
      <c r="DR852" s="43"/>
      <c r="DS852" s="43"/>
    </row>
    <row r="853" spans="1:123" ht="14.45">
      <c r="A853"/>
      <c r="B853"/>
      <c r="C853"/>
      <c r="D853"/>
      <c r="E853"/>
      <c r="F853"/>
      <c r="G853"/>
      <c r="H853"/>
      <c r="I853"/>
      <c r="J853"/>
      <c r="K853" s="43"/>
      <c r="L853" s="43"/>
      <c r="M853" s="43"/>
      <c r="N853" s="43"/>
      <c r="O853" s="43"/>
      <c r="P853" s="43"/>
      <c r="Q853" s="43"/>
      <c r="R853" s="43"/>
      <c r="S853" s="43"/>
      <c r="T853" s="43"/>
      <c r="U853" s="43"/>
      <c r="V853" s="43"/>
      <c r="W853" s="43"/>
      <c r="X853" s="43"/>
      <c r="Y853" s="43"/>
      <c r="Z853" s="43"/>
      <c r="AA853" s="43"/>
      <c r="AB853" s="43"/>
      <c r="AC853" s="43"/>
      <c r="AD853" s="43"/>
      <c r="AE853" s="43"/>
      <c r="AF853" s="43"/>
      <c r="AG853" s="43"/>
      <c r="AH853" s="43"/>
      <c r="AI853" s="43"/>
      <c r="AJ853" s="43"/>
      <c r="AK853" s="43"/>
      <c r="AL853" s="43"/>
      <c r="AM853" s="43"/>
      <c r="AN853" s="43"/>
      <c r="AO853" s="43"/>
      <c r="AP853" s="43"/>
      <c r="AQ853" s="43"/>
      <c r="AR853" s="43"/>
      <c r="AS853" s="43"/>
      <c r="AT853" s="43"/>
      <c r="AU853" s="43"/>
      <c r="AV853" s="43"/>
      <c r="AW853" s="43"/>
      <c r="AX853" s="43"/>
      <c r="AY853" s="43"/>
      <c r="AZ853" s="43"/>
      <c r="BA853" s="43"/>
      <c r="BB853" s="43"/>
      <c r="BC853" s="43"/>
      <c r="BD853" s="43"/>
      <c r="BE853" s="43"/>
      <c r="BF853" s="43"/>
      <c r="BG853" s="43"/>
      <c r="BH853" s="43"/>
      <c r="BI853" s="43"/>
      <c r="BJ853" s="43"/>
      <c r="BK853" s="43"/>
      <c r="BL853" s="43"/>
      <c r="BM853" s="43"/>
      <c r="BN853" s="43"/>
      <c r="BO853" s="43"/>
      <c r="BP853" s="43"/>
      <c r="BQ853" s="43"/>
      <c r="BR853" s="43"/>
      <c r="BS853" s="43"/>
      <c r="BT853" s="43"/>
      <c r="BU853" s="43"/>
      <c r="BV853" s="43"/>
      <c r="BW853" s="43"/>
      <c r="BX853" s="43"/>
      <c r="BY853" s="43"/>
      <c r="BZ853" s="43"/>
      <c r="CA853" s="43"/>
      <c r="CB853" s="43"/>
      <c r="CC853" s="43"/>
      <c r="CD853" s="43"/>
      <c r="CE853" s="43"/>
      <c r="CF853" s="43"/>
      <c r="CG853" s="43"/>
      <c r="CH853" s="43"/>
      <c r="CI853" s="43"/>
      <c r="CJ853" s="43"/>
      <c r="CK853" s="43"/>
      <c r="CL853" s="43"/>
      <c r="CM853" s="43"/>
      <c r="CN853" s="43"/>
      <c r="CO853" s="43"/>
      <c r="CP853" s="43"/>
      <c r="CQ853" s="43"/>
      <c r="CR853" s="43"/>
      <c r="CS853" s="43"/>
      <c r="CT853" s="43"/>
      <c r="CU853" s="43"/>
      <c r="CV853" s="43"/>
      <c r="CW853" s="43"/>
      <c r="CX853" s="43"/>
      <c r="CY853" s="43"/>
      <c r="CZ853" s="43"/>
      <c r="DA853" s="43"/>
      <c r="DB853" s="43"/>
      <c r="DC853" s="43"/>
      <c r="DD853" s="43"/>
      <c r="DE853" s="43"/>
      <c r="DF853" s="43"/>
      <c r="DG853" s="43"/>
      <c r="DH853" s="43"/>
      <c r="DI853" s="43"/>
      <c r="DJ853" s="43"/>
      <c r="DK853" s="43"/>
      <c r="DL853" s="43"/>
      <c r="DM853" s="43"/>
      <c r="DN853" s="43"/>
      <c r="DO853" s="43"/>
      <c r="DP853" s="43"/>
      <c r="DQ853" s="43"/>
      <c r="DR853" s="43"/>
      <c r="DS853" s="43"/>
    </row>
    <row r="854" spans="1:123" ht="14.45">
      <c r="A854"/>
      <c r="B854"/>
      <c r="C854"/>
      <c r="D854"/>
      <c r="E854"/>
      <c r="F854"/>
      <c r="G854"/>
      <c r="H854"/>
      <c r="I854"/>
      <c r="J854"/>
      <c r="K854" s="43"/>
      <c r="L854" s="43"/>
      <c r="M854" s="43"/>
      <c r="N854" s="43"/>
      <c r="O854" s="43"/>
      <c r="P854" s="43"/>
      <c r="Q854" s="43"/>
      <c r="R854" s="43"/>
      <c r="S854" s="43"/>
      <c r="T854" s="43"/>
      <c r="U854" s="43"/>
      <c r="V854" s="43"/>
      <c r="W854" s="43"/>
      <c r="X854" s="43"/>
      <c r="Y854" s="43"/>
      <c r="Z854" s="43"/>
      <c r="AA854" s="43"/>
      <c r="AB854" s="43"/>
      <c r="AC854" s="43"/>
      <c r="AD854" s="43"/>
      <c r="AE854" s="43"/>
      <c r="AF854" s="43"/>
      <c r="AG854" s="43"/>
      <c r="AH854" s="43"/>
      <c r="AI854" s="43"/>
      <c r="AJ854" s="43"/>
      <c r="AK854" s="43"/>
      <c r="AL854" s="43"/>
      <c r="AM854" s="43"/>
      <c r="AN854" s="43"/>
      <c r="AO854" s="43"/>
      <c r="AP854" s="43"/>
      <c r="AQ854" s="43"/>
      <c r="AR854" s="43"/>
      <c r="AS854" s="43"/>
      <c r="AT854" s="43"/>
      <c r="AU854" s="43"/>
      <c r="AV854" s="43"/>
      <c r="AW854" s="43"/>
      <c r="AX854" s="43"/>
      <c r="AY854" s="43"/>
      <c r="AZ854" s="43"/>
      <c r="BA854" s="43"/>
      <c r="BB854" s="43"/>
      <c r="BC854" s="43"/>
      <c r="BD854" s="43"/>
      <c r="BE854" s="43"/>
      <c r="BF854" s="43"/>
      <c r="BG854" s="43"/>
      <c r="BH854" s="43"/>
      <c r="BI854" s="43"/>
      <c r="BJ854" s="43"/>
      <c r="BK854" s="43"/>
      <c r="BL854" s="43"/>
      <c r="BM854" s="43"/>
      <c r="BN854" s="43"/>
      <c r="BO854" s="43"/>
      <c r="BP854" s="43"/>
      <c r="BQ854" s="43"/>
      <c r="BR854" s="43"/>
      <c r="BS854" s="43"/>
      <c r="BT854" s="43"/>
      <c r="BU854" s="43"/>
      <c r="BV854" s="43"/>
      <c r="BW854" s="43"/>
      <c r="BX854" s="43"/>
      <c r="BY854" s="43"/>
      <c r="BZ854" s="43"/>
      <c r="CA854" s="43"/>
      <c r="CB854" s="43"/>
      <c r="CC854" s="43"/>
      <c r="CD854" s="43"/>
      <c r="CE854" s="43"/>
      <c r="CF854" s="43"/>
      <c r="CG854" s="43"/>
      <c r="CH854" s="43"/>
      <c r="CI854" s="43"/>
      <c r="CJ854" s="43"/>
      <c r="CK854" s="43"/>
      <c r="CL854" s="43"/>
      <c r="CM854" s="43"/>
      <c r="CN854" s="43"/>
      <c r="CO854" s="43"/>
      <c r="CP854" s="43"/>
      <c r="CQ854" s="43"/>
      <c r="CR854" s="43"/>
      <c r="CS854" s="43"/>
      <c r="CT854" s="43"/>
      <c r="CU854" s="43"/>
      <c r="CV854" s="43"/>
      <c r="CW854" s="43"/>
      <c r="CX854" s="43"/>
      <c r="CY854" s="43"/>
      <c r="CZ854" s="43"/>
      <c r="DA854" s="43"/>
      <c r="DB854" s="43"/>
      <c r="DC854" s="43"/>
      <c r="DD854" s="43"/>
      <c r="DE854" s="43"/>
      <c r="DF854" s="43"/>
      <c r="DG854" s="43"/>
      <c r="DH854" s="43"/>
      <c r="DI854" s="43"/>
      <c r="DJ854" s="43"/>
      <c r="DK854" s="43"/>
      <c r="DL854" s="43"/>
      <c r="DM854" s="43"/>
      <c r="DN854" s="43"/>
      <c r="DO854" s="43"/>
      <c r="DP854" s="43"/>
      <c r="DQ854" s="43"/>
      <c r="DR854" s="43"/>
      <c r="DS854" s="43"/>
    </row>
    <row r="855" spans="1:123" ht="14.45">
      <c r="A855"/>
      <c r="B855"/>
      <c r="C855"/>
      <c r="D855"/>
      <c r="E855"/>
      <c r="F855"/>
      <c r="G855"/>
      <c r="H855"/>
      <c r="I855"/>
      <c r="J855"/>
      <c r="K855" s="43"/>
      <c r="L855" s="43"/>
      <c r="M855" s="43"/>
      <c r="N855" s="43"/>
      <c r="O855" s="43"/>
      <c r="P855" s="43"/>
      <c r="Q855" s="43"/>
      <c r="R855" s="43"/>
      <c r="S855" s="43"/>
      <c r="T855" s="43"/>
      <c r="U855" s="43"/>
      <c r="V855" s="43"/>
      <c r="W855" s="43"/>
      <c r="X855" s="43"/>
      <c r="Y855" s="43"/>
      <c r="Z855" s="43"/>
      <c r="AA855" s="43"/>
      <c r="AB855" s="43"/>
      <c r="AC855" s="43"/>
      <c r="AD855" s="43"/>
      <c r="AE855" s="43"/>
      <c r="AF855" s="43"/>
      <c r="AG855" s="43"/>
      <c r="AH855" s="43"/>
      <c r="AI855" s="43"/>
      <c r="AJ855" s="43"/>
      <c r="AK855" s="43"/>
      <c r="AL855" s="43"/>
      <c r="AM855" s="43"/>
      <c r="AN855" s="43"/>
      <c r="AO855" s="43"/>
      <c r="AP855" s="43"/>
      <c r="AQ855" s="43"/>
      <c r="AR855" s="43"/>
      <c r="AS855" s="43"/>
      <c r="AT855" s="43"/>
      <c r="AU855" s="43"/>
      <c r="AV855" s="43"/>
      <c r="AW855" s="43"/>
      <c r="AX855" s="43"/>
      <c r="AY855" s="43"/>
      <c r="AZ855" s="43"/>
      <c r="BA855" s="43"/>
      <c r="BB855" s="43"/>
      <c r="BC855" s="43"/>
      <c r="BD855" s="43"/>
      <c r="BE855" s="43"/>
      <c r="BF855" s="43"/>
      <c r="BG855" s="43"/>
      <c r="BH855" s="43"/>
      <c r="BI855" s="43"/>
      <c r="BJ855" s="43"/>
      <c r="BK855" s="43"/>
      <c r="BL855" s="43"/>
      <c r="BM855" s="43"/>
      <c r="BN855" s="43"/>
      <c r="BO855" s="43"/>
      <c r="BP855" s="43"/>
      <c r="BQ855" s="43"/>
      <c r="BR855" s="43"/>
      <c r="BS855" s="43"/>
      <c r="BT855" s="43"/>
      <c r="BU855" s="43"/>
      <c r="BV855" s="43"/>
      <c r="BW855" s="43"/>
      <c r="BX855" s="43"/>
      <c r="BY855" s="43"/>
      <c r="BZ855" s="43"/>
      <c r="CA855" s="43"/>
      <c r="CB855" s="43"/>
      <c r="CC855" s="43"/>
      <c r="CD855" s="43"/>
      <c r="CE855" s="43"/>
      <c r="CF855" s="43"/>
      <c r="CG855" s="43"/>
      <c r="CH855" s="43"/>
      <c r="CI855" s="43"/>
      <c r="CJ855" s="43"/>
      <c r="CK855" s="43"/>
      <c r="CL855" s="43"/>
      <c r="CM855" s="43"/>
      <c r="CN855" s="43"/>
      <c r="CO855" s="43"/>
      <c r="CP855" s="43"/>
      <c r="CQ855" s="43"/>
      <c r="CR855" s="43"/>
      <c r="CS855" s="43"/>
      <c r="CT855" s="43"/>
      <c r="CU855" s="43"/>
      <c r="CV855" s="43"/>
      <c r="CW855" s="43"/>
      <c r="CX855" s="43"/>
      <c r="CY855" s="43"/>
      <c r="CZ855" s="43"/>
      <c r="DA855" s="43"/>
      <c r="DB855" s="43"/>
      <c r="DC855" s="43"/>
      <c r="DD855" s="43"/>
      <c r="DE855" s="43"/>
      <c r="DF855" s="43"/>
      <c r="DG855" s="43"/>
      <c r="DH855" s="43"/>
      <c r="DI855" s="43"/>
      <c r="DJ855" s="43"/>
      <c r="DK855" s="43"/>
      <c r="DL855" s="43"/>
      <c r="DM855" s="43"/>
      <c r="DN855" s="43"/>
      <c r="DO855" s="43"/>
      <c r="DP855" s="43"/>
      <c r="DQ855" s="43"/>
      <c r="DR855" s="43"/>
      <c r="DS855" s="43"/>
    </row>
    <row r="856" spans="1:123" ht="14.45">
      <c r="A856"/>
      <c r="B856"/>
      <c r="C856"/>
      <c r="D856"/>
      <c r="E856"/>
      <c r="F856"/>
      <c r="G856"/>
      <c r="H856"/>
      <c r="I856"/>
      <c r="J856"/>
      <c r="K856" s="43"/>
      <c r="L856" s="43"/>
      <c r="M856" s="43"/>
      <c r="N856" s="43"/>
      <c r="O856" s="43"/>
      <c r="P856" s="43"/>
      <c r="Q856" s="43"/>
      <c r="R856" s="43"/>
      <c r="S856" s="43"/>
      <c r="T856" s="43"/>
      <c r="U856" s="43"/>
      <c r="V856" s="43"/>
      <c r="W856" s="43"/>
      <c r="X856" s="43"/>
      <c r="Y856" s="43"/>
      <c r="Z856" s="43"/>
      <c r="AA856" s="43"/>
      <c r="AB856" s="43"/>
      <c r="AC856" s="43"/>
      <c r="AD856" s="43"/>
      <c r="AE856" s="43"/>
      <c r="AF856" s="43"/>
      <c r="AG856" s="43"/>
      <c r="AH856" s="43"/>
      <c r="AI856" s="43"/>
      <c r="AJ856" s="43"/>
      <c r="AK856" s="43"/>
      <c r="AL856" s="43"/>
      <c r="AM856" s="43"/>
      <c r="AN856" s="43"/>
      <c r="AO856" s="43"/>
      <c r="AP856" s="43"/>
      <c r="AQ856" s="43"/>
      <c r="AR856" s="43"/>
      <c r="AS856" s="43"/>
      <c r="AT856" s="43"/>
      <c r="AU856" s="43"/>
      <c r="AV856" s="43"/>
      <c r="AW856" s="43"/>
      <c r="AX856" s="43"/>
      <c r="AY856" s="43"/>
      <c r="AZ856" s="43"/>
      <c r="BA856" s="43"/>
      <c r="BB856" s="43"/>
      <c r="BC856" s="43"/>
      <c r="BD856" s="43"/>
      <c r="BE856" s="43"/>
      <c r="BF856" s="43"/>
      <c r="BG856" s="43"/>
      <c r="BH856" s="43"/>
      <c r="BI856" s="43"/>
      <c r="BJ856" s="43"/>
      <c r="BK856" s="43"/>
      <c r="BL856" s="43"/>
      <c r="BM856" s="43"/>
      <c r="BN856" s="43"/>
      <c r="BO856" s="43"/>
      <c r="BP856" s="43"/>
      <c r="BQ856" s="43"/>
      <c r="BR856" s="43"/>
      <c r="BS856" s="43"/>
      <c r="BT856" s="43"/>
      <c r="BU856" s="43"/>
      <c r="BV856" s="43"/>
      <c r="BW856" s="43"/>
      <c r="BX856" s="43"/>
      <c r="BY856" s="43"/>
      <c r="BZ856" s="43"/>
      <c r="CA856" s="43"/>
      <c r="CB856" s="43"/>
      <c r="CC856" s="43"/>
      <c r="CD856" s="43"/>
      <c r="CE856" s="43"/>
      <c r="CF856" s="43"/>
      <c r="CG856" s="43"/>
      <c r="CH856" s="43"/>
      <c r="CI856" s="43"/>
      <c r="CJ856" s="43"/>
      <c r="CK856" s="43"/>
      <c r="CL856" s="43"/>
      <c r="CM856" s="43"/>
      <c r="CN856" s="43"/>
      <c r="CO856" s="43"/>
      <c r="CP856" s="43"/>
      <c r="CQ856" s="43"/>
      <c r="CR856" s="43"/>
      <c r="CS856" s="43"/>
      <c r="CT856" s="43"/>
      <c r="CU856" s="43"/>
      <c r="CV856" s="43"/>
      <c r="CW856" s="43"/>
      <c r="CX856" s="43"/>
      <c r="CY856" s="43"/>
      <c r="CZ856" s="43"/>
      <c r="DA856" s="43"/>
      <c r="DB856" s="43"/>
      <c r="DC856" s="43"/>
      <c r="DD856" s="43"/>
      <c r="DE856" s="43"/>
      <c r="DF856" s="43"/>
      <c r="DG856" s="43"/>
      <c r="DH856" s="43"/>
      <c r="DI856" s="43"/>
      <c r="DJ856" s="43"/>
      <c r="DK856" s="43"/>
      <c r="DL856" s="43"/>
      <c r="DM856" s="43"/>
      <c r="DN856" s="43"/>
      <c r="DO856" s="43"/>
      <c r="DP856" s="43"/>
      <c r="DQ856" s="43"/>
      <c r="DR856" s="43"/>
      <c r="DS856" s="43"/>
    </row>
    <row r="857" spans="1:123" ht="14.45">
      <c r="A857"/>
      <c r="B857"/>
      <c r="C857"/>
      <c r="D857"/>
      <c r="E857"/>
      <c r="F857"/>
      <c r="G857"/>
      <c r="H857"/>
      <c r="I857"/>
      <c r="J857"/>
      <c r="K857" s="43"/>
      <c r="L857" s="43"/>
      <c r="M857" s="43"/>
      <c r="N857" s="43"/>
      <c r="O857" s="43"/>
      <c r="P857" s="43"/>
      <c r="Q857" s="43"/>
      <c r="R857" s="43"/>
      <c r="S857" s="43"/>
      <c r="T857" s="43"/>
      <c r="U857" s="43"/>
      <c r="V857" s="43"/>
      <c r="W857" s="43"/>
      <c r="X857" s="43"/>
      <c r="Y857" s="43"/>
      <c r="Z857" s="43"/>
      <c r="AA857" s="43"/>
      <c r="AB857" s="43"/>
      <c r="AC857" s="43"/>
      <c r="AD857" s="43"/>
      <c r="AE857" s="43"/>
      <c r="AF857" s="43"/>
      <c r="AG857" s="43"/>
      <c r="AH857" s="43"/>
      <c r="AI857" s="43"/>
      <c r="AJ857" s="43"/>
      <c r="AK857" s="43"/>
      <c r="AL857" s="43"/>
      <c r="AM857" s="43"/>
      <c r="AN857" s="43"/>
      <c r="AO857" s="43"/>
      <c r="AP857" s="43"/>
      <c r="AQ857" s="43"/>
      <c r="AR857" s="43"/>
      <c r="AS857" s="43"/>
      <c r="AT857" s="43"/>
      <c r="AU857" s="43"/>
      <c r="AV857" s="43"/>
      <c r="AW857" s="43"/>
      <c r="AX857" s="43"/>
      <c r="AY857" s="43"/>
      <c r="AZ857" s="43"/>
      <c r="BA857" s="43"/>
      <c r="BB857" s="43"/>
      <c r="BC857" s="43"/>
      <c r="BD857" s="43"/>
      <c r="BE857" s="43"/>
      <c r="BF857" s="43"/>
      <c r="BG857" s="43"/>
      <c r="BH857" s="43"/>
      <c r="BI857" s="43"/>
      <c r="BJ857" s="43"/>
      <c r="BK857" s="43"/>
      <c r="BL857" s="43"/>
      <c r="BM857" s="43"/>
      <c r="BN857" s="43"/>
      <c r="BO857" s="43"/>
      <c r="BP857" s="43"/>
      <c r="BQ857" s="43"/>
      <c r="BR857" s="43"/>
      <c r="BS857" s="43"/>
      <c r="BT857" s="43"/>
      <c r="BU857" s="43"/>
      <c r="BV857" s="43"/>
      <c r="BW857" s="43"/>
      <c r="BX857" s="43"/>
      <c r="BY857" s="43"/>
      <c r="BZ857" s="43"/>
      <c r="CA857" s="43"/>
      <c r="CB857" s="43"/>
      <c r="CC857" s="43"/>
      <c r="CD857" s="43"/>
      <c r="CE857" s="43"/>
      <c r="CF857" s="43"/>
      <c r="CG857" s="43"/>
      <c r="CH857" s="43"/>
      <c r="CI857" s="43"/>
      <c r="CJ857" s="43"/>
      <c r="CK857" s="43"/>
      <c r="CL857" s="43"/>
      <c r="CM857" s="43"/>
      <c r="CN857" s="43"/>
      <c r="CO857" s="43"/>
      <c r="CP857" s="43"/>
      <c r="CQ857" s="43"/>
      <c r="CR857" s="43"/>
      <c r="CS857" s="43"/>
      <c r="CT857" s="43"/>
      <c r="CU857" s="43"/>
      <c r="CV857" s="43"/>
      <c r="CW857" s="43"/>
      <c r="CX857" s="43"/>
      <c r="CY857" s="43"/>
      <c r="CZ857" s="43"/>
      <c r="DA857" s="43"/>
      <c r="DB857" s="43"/>
      <c r="DC857" s="43"/>
      <c r="DD857" s="43"/>
      <c r="DE857" s="43"/>
      <c r="DF857" s="43"/>
      <c r="DG857" s="43"/>
      <c r="DH857" s="43"/>
      <c r="DI857" s="43"/>
      <c r="DJ857" s="43"/>
      <c r="DK857" s="43"/>
      <c r="DL857" s="43"/>
      <c r="DM857" s="43"/>
      <c r="DN857" s="43"/>
      <c r="DO857" s="43"/>
      <c r="DP857" s="43"/>
      <c r="DQ857" s="43"/>
      <c r="DR857" s="43"/>
      <c r="DS857" s="43"/>
    </row>
    <row r="858" spans="1:123" ht="14.45">
      <c r="A858"/>
      <c r="B858"/>
      <c r="C858"/>
      <c r="D858"/>
      <c r="E858"/>
      <c r="F858"/>
      <c r="G858"/>
      <c r="H858"/>
      <c r="I858"/>
      <c r="J858"/>
      <c r="K858" s="43"/>
      <c r="L858" s="43"/>
      <c r="M858" s="43"/>
      <c r="N858" s="43"/>
      <c r="O858" s="43"/>
      <c r="P858" s="43"/>
      <c r="Q858" s="43"/>
      <c r="R858" s="43"/>
      <c r="S858" s="43"/>
      <c r="T858" s="43"/>
      <c r="U858" s="43"/>
      <c r="V858" s="43"/>
      <c r="W858" s="43"/>
      <c r="X858" s="43"/>
      <c r="Y858" s="43"/>
      <c r="Z858" s="43"/>
      <c r="AA858" s="43"/>
      <c r="AB858" s="43"/>
      <c r="AC858" s="43"/>
      <c r="AD858" s="43"/>
      <c r="AE858" s="43"/>
      <c r="AF858" s="43"/>
      <c r="AG858" s="43"/>
      <c r="AH858" s="43"/>
      <c r="AI858" s="43"/>
      <c r="AJ858" s="43"/>
      <c r="AK858" s="43"/>
      <c r="AL858" s="43"/>
      <c r="AM858" s="43"/>
      <c r="AN858" s="43"/>
      <c r="AO858" s="43"/>
      <c r="AP858" s="43"/>
      <c r="AQ858" s="43"/>
      <c r="AR858" s="43"/>
      <c r="AS858" s="43"/>
      <c r="AT858" s="43"/>
      <c r="AU858" s="43"/>
      <c r="AV858" s="43"/>
      <c r="AW858" s="43"/>
      <c r="AX858" s="43"/>
      <c r="AY858" s="43"/>
      <c r="AZ858" s="43"/>
      <c r="BA858" s="43"/>
      <c r="BB858" s="43"/>
      <c r="BC858" s="43"/>
      <c r="BD858" s="43"/>
      <c r="BE858" s="43"/>
      <c r="BF858" s="43"/>
      <c r="BG858" s="43"/>
      <c r="BH858" s="43"/>
      <c r="BI858" s="43"/>
      <c r="BJ858" s="43"/>
      <c r="BK858" s="43"/>
      <c r="BL858" s="43"/>
      <c r="BM858" s="43"/>
      <c r="BN858" s="43"/>
      <c r="BO858" s="43"/>
      <c r="BP858" s="43"/>
      <c r="BQ858" s="43"/>
      <c r="BR858" s="43"/>
      <c r="BS858" s="43"/>
      <c r="BT858" s="43"/>
      <c r="BU858" s="43"/>
      <c r="BV858" s="43"/>
      <c r="BW858" s="43"/>
      <c r="BX858" s="43"/>
      <c r="BY858" s="43"/>
      <c r="BZ858" s="43"/>
      <c r="CA858" s="43"/>
      <c r="CB858" s="43"/>
      <c r="CC858" s="43"/>
      <c r="CD858" s="43"/>
      <c r="CE858" s="43"/>
      <c r="CF858" s="43"/>
      <c r="CG858" s="43"/>
      <c r="CH858" s="43"/>
      <c r="CI858" s="43"/>
      <c r="CJ858" s="43"/>
      <c r="CK858" s="43"/>
      <c r="CL858" s="43"/>
      <c r="CM858" s="43"/>
      <c r="CN858" s="43"/>
      <c r="CO858" s="43"/>
      <c r="CP858" s="43"/>
      <c r="CQ858" s="43"/>
      <c r="CR858" s="43"/>
      <c r="CS858" s="43"/>
      <c r="CT858" s="43"/>
      <c r="CU858" s="43"/>
      <c r="CV858" s="43"/>
      <c r="CW858" s="43"/>
      <c r="CX858" s="43"/>
      <c r="CY858" s="43"/>
      <c r="CZ858" s="43"/>
      <c r="DA858" s="43"/>
      <c r="DB858" s="43"/>
      <c r="DC858" s="43"/>
      <c r="DD858" s="43"/>
      <c r="DE858" s="43"/>
      <c r="DF858" s="43"/>
      <c r="DG858" s="43"/>
      <c r="DH858" s="43"/>
      <c r="DI858" s="43"/>
      <c r="DJ858" s="43"/>
      <c r="DK858" s="43"/>
      <c r="DL858" s="43"/>
      <c r="DM858" s="43"/>
      <c r="DN858" s="43"/>
      <c r="DO858" s="43"/>
      <c r="DP858" s="43"/>
      <c r="DQ858" s="43"/>
      <c r="DR858" s="43"/>
      <c r="DS858" s="43"/>
    </row>
    <row r="859" spans="1:123" ht="14.45">
      <c r="A859"/>
      <c r="B859"/>
      <c r="C859"/>
      <c r="D859"/>
      <c r="E859"/>
      <c r="F859"/>
      <c r="G859"/>
      <c r="H859"/>
      <c r="I859"/>
      <c r="J859"/>
      <c r="K859" s="43"/>
      <c r="L859" s="43"/>
      <c r="M859" s="43"/>
      <c r="N859" s="43"/>
      <c r="O859" s="43"/>
      <c r="P859" s="43"/>
      <c r="Q859" s="43"/>
      <c r="R859" s="43"/>
      <c r="S859" s="43"/>
      <c r="T859" s="43"/>
      <c r="U859" s="43"/>
      <c r="V859" s="43"/>
      <c r="W859" s="43"/>
      <c r="X859" s="43"/>
      <c r="Y859" s="43"/>
      <c r="Z859" s="43"/>
      <c r="AA859" s="43"/>
      <c r="AB859" s="43"/>
      <c r="AC859" s="43"/>
      <c r="AD859" s="43"/>
      <c r="AE859" s="43"/>
      <c r="AF859" s="43"/>
      <c r="AG859" s="43"/>
      <c r="AH859" s="43"/>
      <c r="AI859" s="43"/>
      <c r="AJ859" s="43"/>
      <c r="AK859" s="43"/>
      <c r="AL859" s="43"/>
      <c r="AM859" s="43"/>
      <c r="AN859" s="43"/>
      <c r="AO859" s="43"/>
      <c r="AP859" s="43"/>
      <c r="AQ859" s="43"/>
      <c r="AR859" s="43"/>
      <c r="AS859" s="43"/>
      <c r="AT859" s="43"/>
      <c r="AU859" s="43"/>
      <c r="AV859" s="43"/>
      <c r="AW859" s="43"/>
      <c r="AX859" s="43"/>
      <c r="AY859" s="43"/>
      <c r="AZ859" s="43"/>
      <c r="BA859" s="43"/>
      <c r="BB859" s="43"/>
      <c r="BC859" s="43"/>
      <c r="BD859" s="43"/>
      <c r="BE859" s="43"/>
      <c r="BF859" s="43"/>
      <c r="BG859" s="43"/>
      <c r="BH859" s="43"/>
      <c r="BI859" s="43"/>
      <c r="BJ859" s="43"/>
      <c r="BK859" s="43"/>
      <c r="BL859" s="43"/>
      <c r="BM859" s="43"/>
      <c r="BN859" s="43"/>
      <c r="BO859" s="43"/>
      <c r="BP859" s="43"/>
      <c r="BQ859" s="43"/>
      <c r="BR859" s="43"/>
      <c r="BS859" s="43"/>
      <c r="BT859" s="43"/>
      <c r="BU859" s="43"/>
      <c r="BV859" s="43"/>
      <c r="BW859" s="43"/>
      <c r="BX859" s="43"/>
      <c r="BY859" s="43"/>
      <c r="BZ859" s="43"/>
      <c r="CA859" s="43"/>
      <c r="CB859" s="43"/>
      <c r="CC859" s="43"/>
      <c r="CD859" s="43"/>
      <c r="CE859" s="43"/>
      <c r="CF859" s="43"/>
      <c r="CG859" s="43"/>
      <c r="CH859" s="43"/>
      <c r="CI859" s="43"/>
      <c r="CJ859" s="43"/>
      <c r="CK859" s="43"/>
      <c r="CL859" s="43"/>
      <c r="CM859" s="43"/>
      <c r="CN859" s="43"/>
      <c r="CO859" s="43"/>
      <c r="CP859" s="43"/>
      <c r="CQ859" s="43"/>
      <c r="CR859" s="43"/>
      <c r="CS859" s="43"/>
      <c r="CT859" s="43"/>
      <c r="CU859" s="43"/>
      <c r="CV859" s="43"/>
      <c r="CW859" s="43"/>
      <c r="CX859" s="43"/>
      <c r="CY859" s="43"/>
      <c r="CZ859" s="43"/>
      <c r="DA859" s="43"/>
      <c r="DB859" s="43"/>
      <c r="DC859" s="43"/>
      <c r="DD859" s="43"/>
      <c r="DE859" s="43"/>
      <c r="DF859" s="43"/>
      <c r="DG859" s="43"/>
      <c r="DH859" s="43"/>
      <c r="DI859" s="43"/>
      <c r="DJ859" s="43"/>
      <c r="DK859" s="43"/>
      <c r="DL859" s="43"/>
      <c r="DM859" s="43"/>
      <c r="DN859" s="43"/>
      <c r="DO859" s="43"/>
      <c r="DP859" s="43"/>
      <c r="DQ859" s="43"/>
      <c r="DR859" s="43"/>
      <c r="DS859" s="43"/>
    </row>
    <row r="860" spans="1:123" ht="14.45">
      <c r="A860"/>
      <c r="B860"/>
      <c r="C860"/>
      <c r="D860"/>
      <c r="E860"/>
      <c r="F860"/>
      <c r="G860"/>
      <c r="H860"/>
      <c r="I860"/>
      <c r="J860"/>
      <c r="K860" s="43"/>
      <c r="L860" s="43"/>
      <c r="M860" s="43"/>
      <c r="N860" s="43"/>
      <c r="O860" s="43"/>
      <c r="P860" s="43"/>
      <c r="Q860" s="43"/>
      <c r="R860" s="43"/>
      <c r="S860" s="43"/>
      <c r="T860" s="43"/>
      <c r="U860" s="43"/>
      <c r="V860" s="43"/>
      <c r="W860" s="43"/>
      <c r="X860" s="43"/>
      <c r="Y860" s="43"/>
      <c r="Z860" s="43"/>
      <c r="AA860" s="43"/>
      <c r="AB860" s="43"/>
      <c r="AC860" s="43"/>
      <c r="AD860" s="43"/>
      <c r="AE860" s="43"/>
      <c r="AF860" s="43"/>
      <c r="AG860" s="43"/>
      <c r="AH860" s="43"/>
      <c r="AI860" s="43"/>
      <c r="AJ860" s="43"/>
      <c r="AK860" s="43"/>
      <c r="AL860" s="43"/>
      <c r="AM860" s="43"/>
      <c r="AN860" s="43"/>
      <c r="AO860" s="43"/>
      <c r="AP860" s="43"/>
      <c r="AQ860" s="43"/>
      <c r="AR860" s="43"/>
      <c r="AS860" s="43"/>
      <c r="AT860" s="43"/>
      <c r="AU860" s="43"/>
      <c r="AV860" s="43"/>
      <c r="AW860" s="43"/>
      <c r="AX860" s="43"/>
      <c r="AY860" s="43"/>
      <c r="AZ860" s="43"/>
      <c r="BA860" s="43"/>
      <c r="BB860" s="43"/>
      <c r="BC860" s="43"/>
      <c r="BD860" s="43"/>
      <c r="BE860" s="43"/>
      <c r="BF860" s="43"/>
      <c r="BG860" s="43"/>
      <c r="BH860" s="43"/>
      <c r="BI860" s="43"/>
      <c r="BJ860" s="43"/>
      <c r="BK860" s="43"/>
      <c r="BL860" s="43"/>
      <c r="BM860" s="43"/>
      <c r="BN860" s="43"/>
      <c r="BO860" s="43"/>
      <c r="BP860" s="43"/>
      <c r="BQ860" s="43"/>
      <c r="BR860" s="43"/>
      <c r="BS860" s="43"/>
      <c r="BT860" s="43"/>
      <c r="BU860" s="43"/>
      <c r="BV860" s="43"/>
      <c r="BW860" s="43"/>
      <c r="BX860" s="43"/>
      <c r="BY860" s="43"/>
      <c r="BZ860" s="43"/>
      <c r="CA860" s="43"/>
      <c r="CB860" s="43"/>
      <c r="CC860" s="43"/>
      <c r="CD860" s="43"/>
      <c r="CE860" s="43"/>
      <c r="CF860" s="43"/>
      <c r="CG860" s="43"/>
      <c r="CH860" s="43"/>
      <c r="CI860" s="43"/>
      <c r="CJ860" s="43"/>
      <c r="CK860" s="43"/>
      <c r="CL860" s="43"/>
      <c r="CM860" s="43"/>
      <c r="CN860" s="43"/>
      <c r="CO860" s="43"/>
      <c r="CP860" s="43"/>
      <c r="CQ860" s="43"/>
      <c r="CR860" s="43"/>
      <c r="CS860" s="43"/>
      <c r="CT860" s="43"/>
      <c r="CU860" s="43"/>
      <c r="CV860" s="43"/>
      <c r="CW860" s="43"/>
      <c r="CX860" s="43"/>
      <c r="CY860" s="43"/>
      <c r="CZ860" s="43"/>
      <c r="DA860" s="43"/>
      <c r="DB860" s="43"/>
      <c r="DC860" s="43"/>
      <c r="DD860" s="43"/>
      <c r="DE860" s="43"/>
      <c r="DF860" s="43"/>
      <c r="DG860" s="43"/>
      <c r="DH860" s="43"/>
      <c r="DI860" s="43"/>
      <c r="DJ860" s="43"/>
      <c r="DK860" s="43"/>
      <c r="DL860" s="43"/>
      <c r="DM860" s="43"/>
      <c r="DN860" s="43"/>
      <c r="DO860" s="43"/>
      <c r="DP860" s="43"/>
      <c r="DQ860" s="43"/>
      <c r="DR860" s="43"/>
      <c r="DS860" s="43"/>
    </row>
    <row r="861" spans="1:123" ht="14.45">
      <c r="A861"/>
      <c r="B861"/>
      <c r="C861"/>
      <c r="D861"/>
      <c r="E861"/>
      <c r="F861"/>
      <c r="G861"/>
      <c r="H861"/>
      <c r="I861"/>
      <c r="J861"/>
      <c r="K861" s="43"/>
      <c r="L861" s="43"/>
      <c r="M861" s="43"/>
      <c r="N861" s="43"/>
      <c r="O861" s="43"/>
      <c r="P861" s="43"/>
      <c r="Q861" s="43"/>
      <c r="R861" s="43"/>
      <c r="S861" s="43"/>
      <c r="T861" s="43"/>
      <c r="U861" s="43"/>
      <c r="V861" s="43"/>
      <c r="W861" s="43"/>
      <c r="X861" s="43"/>
      <c r="Y861" s="43"/>
      <c r="Z861" s="43"/>
      <c r="AA861" s="43"/>
      <c r="AB861" s="43"/>
      <c r="AC861" s="43"/>
      <c r="AD861" s="43"/>
      <c r="AE861" s="43"/>
      <c r="AF861" s="43"/>
      <c r="AG861" s="43"/>
      <c r="AH861" s="43"/>
      <c r="AI861" s="43"/>
      <c r="AJ861" s="43"/>
      <c r="AK861" s="43"/>
      <c r="AL861" s="43"/>
      <c r="AM861" s="43"/>
      <c r="AN861" s="43"/>
      <c r="AO861" s="43"/>
      <c r="AP861" s="43"/>
      <c r="AQ861" s="43"/>
      <c r="AR861" s="43"/>
      <c r="AS861" s="43"/>
      <c r="AT861" s="43"/>
      <c r="AU861" s="43"/>
      <c r="AV861" s="43"/>
      <c r="AW861" s="43"/>
      <c r="AX861" s="43"/>
      <c r="AY861" s="43"/>
      <c r="AZ861" s="43"/>
      <c r="BA861" s="43"/>
      <c r="BB861" s="43"/>
      <c r="BC861" s="43"/>
      <c r="BD861" s="43"/>
      <c r="BE861" s="43"/>
      <c r="BF861" s="43"/>
      <c r="BG861" s="43"/>
      <c r="BH861" s="43"/>
      <c r="BI861" s="43"/>
      <c r="BJ861" s="43"/>
      <c r="BK861" s="43"/>
      <c r="BL861" s="43"/>
      <c r="BM861" s="43"/>
      <c r="BN861" s="43"/>
      <c r="BO861" s="43"/>
      <c r="BP861" s="43"/>
      <c r="BQ861" s="43"/>
      <c r="BR861" s="43"/>
      <c r="BS861" s="43"/>
      <c r="BT861" s="43"/>
      <c r="BU861" s="43"/>
      <c r="BV861" s="43"/>
      <c r="BW861" s="43"/>
      <c r="BX861" s="43"/>
      <c r="BY861" s="43"/>
      <c r="BZ861" s="43"/>
      <c r="CA861" s="43"/>
      <c r="CB861" s="43"/>
      <c r="CC861" s="43"/>
      <c r="CD861" s="43"/>
      <c r="CE861" s="43"/>
      <c r="CF861" s="43"/>
      <c r="CG861" s="43"/>
      <c r="CH861" s="43"/>
      <c r="CI861" s="43"/>
      <c r="CJ861" s="43"/>
      <c r="CK861" s="43"/>
      <c r="CL861" s="43"/>
      <c r="CM861" s="43"/>
      <c r="CN861" s="43"/>
      <c r="CO861" s="43"/>
      <c r="CP861" s="43"/>
      <c r="CQ861" s="43"/>
      <c r="CR861" s="43"/>
      <c r="CS861" s="43"/>
      <c r="CT861" s="43"/>
      <c r="CU861" s="43"/>
      <c r="CV861" s="43"/>
      <c r="CW861" s="43"/>
      <c r="CX861" s="43"/>
      <c r="CY861" s="43"/>
      <c r="CZ861" s="43"/>
      <c r="DA861" s="43"/>
      <c r="DB861" s="43"/>
      <c r="DC861" s="43"/>
      <c r="DD861" s="43"/>
      <c r="DE861" s="43"/>
      <c r="DF861" s="43"/>
      <c r="DG861" s="43"/>
      <c r="DH861" s="43"/>
      <c r="DI861" s="43"/>
      <c r="DJ861" s="43"/>
      <c r="DK861" s="43"/>
      <c r="DL861" s="43"/>
      <c r="DM861" s="43"/>
      <c r="DN861" s="43"/>
      <c r="DO861" s="43"/>
      <c r="DP861" s="43"/>
      <c r="DQ861" s="43"/>
      <c r="DR861" s="43"/>
      <c r="DS861" s="43"/>
    </row>
    <row r="862" spans="1:123" ht="14.45">
      <c r="A862"/>
      <c r="B862"/>
      <c r="C862"/>
      <c r="D862"/>
      <c r="E862"/>
      <c r="F862"/>
      <c r="G862"/>
      <c r="H862"/>
      <c r="I862"/>
      <c r="J862"/>
      <c r="K862" s="43"/>
      <c r="L862" s="43"/>
      <c r="M862" s="43"/>
      <c r="N862" s="43"/>
      <c r="O862" s="43"/>
      <c r="P862" s="43"/>
      <c r="Q862" s="43"/>
      <c r="R862" s="43"/>
      <c r="S862" s="43"/>
      <c r="T862" s="43"/>
      <c r="U862" s="43"/>
      <c r="V862" s="43"/>
      <c r="W862" s="43"/>
      <c r="X862" s="43"/>
      <c r="Y862" s="43"/>
      <c r="Z862" s="43"/>
      <c r="AA862" s="43"/>
      <c r="AB862" s="43"/>
      <c r="AC862" s="43"/>
      <c r="AD862" s="43"/>
      <c r="AE862" s="43"/>
      <c r="AF862" s="43"/>
      <c r="AG862" s="43"/>
      <c r="AH862" s="43"/>
      <c r="AI862" s="43"/>
      <c r="AJ862" s="43"/>
      <c r="AK862" s="43"/>
      <c r="AL862" s="43"/>
      <c r="AM862" s="43"/>
      <c r="AN862" s="43"/>
      <c r="AO862" s="43"/>
      <c r="AP862" s="43"/>
      <c r="AQ862" s="43"/>
      <c r="AR862" s="43"/>
      <c r="AS862" s="43"/>
      <c r="AT862" s="43"/>
      <c r="AU862" s="43"/>
      <c r="AV862" s="43"/>
      <c r="AW862" s="43"/>
      <c r="AX862" s="43"/>
      <c r="AY862" s="43"/>
      <c r="AZ862" s="43"/>
      <c r="BA862" s="43"/>
      <c r="BB862" s="43"/>
      <c r="BC862" s="43"/>
      <c r="BD862" s="43"/>
      <c r="BE862" s="43"/>
      <c r="BF862" s="43"/>
      <c r="BG862" s="43"/>
      <c r="BH862" s="43"/>
      <c r="BI862" s="43"/>
      <c r="BJ862" s="43"/>
      <c r="BK862" s="43"/>
      <c r="BL862" s="43"/>
      <c r="BM862" s="43"/>
      <c r="BN862" s="43"/>
      <c r="BO862" s="43"/>
      <c r="BP862" s="43"/>
      <c r="BQ862" s="43"/>
      <c r="BR862" s="43"/>
      <c r="BS862" s="43"/>
      <c r="BT862" s="43"/>
      <c r="BU862" s="43"/>
      <c r="BV862" s="43"/>
      <c r="BW862" s="43"/>
      <c r="BX862" s="43"/>
      <c r="BY862" s="43"/>
      <c r="BZ862" s="43"/>
      <c r="CA862" s="43"/>
      <c r="CB862" s="43"/>
      <c r="CC862" s="43"/>
      <c r="CD862" s="43"/>
      <c r="CE862" s="43"/>
      <c r="CF862" s="43"/>
      <c r="CG862" s="43"/>
      <c r="CH862" s="43"/>
      <c r="CI862" s="43"/>
      <c r="CJ862" s="43"/>
      <c r="CK862" s="43"/>
      <c r="CL862" s="43"/>
      <c r="CM862" s="43"/>
      <c r="CN862" s="43"/>
      <c r="CO862" s="43"/>
      <c r="CP862" s="43"/>
      <c r="CQ862" s="43"/>
      <c r="CR862" s="43"/>
      <c r="CS862" s="43"/>
      <c r="CT862" s="43"/>
      <c r="CU862" s="43"/>
      <c r="CV862" s="43"/>
      <c r="CW862" s="43"/>
      <c r="CX862" s="43"/>
      <c r="CY862" s="43"/>
      <c r="CZ862" s="43"/>
      <c r="DA862" s="43"/>
      <c r="DB862" s="43"/>
      <c r="DC862" s="43"/>
      <c r="DD862" s="43"/>
      <c r="DE862" s="43"/>
      <c r="DF862" s="43"/>
      <c r="DG862" s="43"/>
      <c r="DH862" s="43"/>
      <c r="DI862" s="43"/>
      <c r="DJ862" s="43"/>
      <c r="DK862" s="43"/>
      <c r="DL862" s="43"/>
      <c r="DM862" s="43"/>
      <c r="DN862" s="43"/>
      <c r="DO862" s="43"/>
      <c r="DP862" s="43"/>
      <c r="DQ862" s="43"/>
      <c r="DR862" s="43"/>
      <c r="DS862" s="43"/>
    </row>
    <row r="863" spans="1:123" ht="14.45">
      <c r="A863"/>
      <c r="B863"/>
      <c r="C863"/>
      <c r="D863"/>
      <c r="E863"/>
      <c r="F863"/>
      <c r="G863"/>
      <c r="H863"/>
      <c r="I863"/>
      <c r="J863"/>
      <c r="K863" s="43"/>
      <c r="L863" s="43"/>
      <c r="M863" s="43"/>
      <c r="N863" s="43"/>
      <c r="O863" s="43"/>
      <c r="P863" s="43"/>
      <c r="Q863" s="43"/>
      <c r="R863" s="43"/>
      <c r="S863" s="43"/>
      <c r="T863" s="43"/>
      <c r="U863" s="43"/>
      <c r="V863" s="43"/>
      <c r="W863" s="43"/>
      <c r="X863" s="43"/>
      <c r="Y863" s="43"/>
      <c r="Z863" s="43"/>
      <c r="AA863" s="43"/>
      <c r="AB863" s="43"/>
      <c r="AC863" s="43"/>
      <c r="AD863" s="43"/>
      <c r="AE863" s="43"/>
      <c r="AF863" s="43"/>
      <c r="AG863" s="43"/>
      <c r="AH863" s="43"/>
      <c r="AI863" s="43"/>
      <c r="AJ863" s="43"/>
      <c r="AK863" s="43"/>
      <c r="AL863" s="43"/>
      <c r="AM863" s="43"/>
      <c r="AN863" s="43"/>
      <c r="AO863" s="43"/>
      <c r="AP863" s="43"/>
      <c r="AQ863" s="43"/>
      <c r="AR863" s="43"/>
      <c r="AS863" s="43"/>
      <c r="AT863" s="43"/>
      <c r="AU863" s="43"/>
      <c r="AV863" s="43"/>
      <c r="AW863" s="43"/>
      <c r="AX863" s="43"/>
      <c r="AY863" s="43"/>
      <c r="AZ863" s="43"/>
      <c r="BA863" s="43"/>
      <c r="BB863" s="43"/>
      <c r="BC863" s="43"/>
      <c r="BD863" s="43"/>
      <c r="BE863" s="43"/>
      <c r="BF863" s="43"/>
      <c r="BG863" s="43"/>
      <c r="BH863" s="43"/>
      <c r="BI863" s="43"/>
      <c r="BJ863" s="43"/>
      <c r="BK863" s="43"/>
      <c r="BL863" s="43"/>
      <c r="BM863" s="43"/>
      <c r="BN863" s="43"/>
      <c r="BO863" s="43"/>
      <c r="BP863" s="43"/>
      <c r="BQ863" s="43"/>
      <c r="BR863" s="43"/>
      <c r="BS863" s="43"/>
      <c r="BT863" s="43"/>
      <c r="BU863" s="43"/>
      <c r="BV863" s="43"/>
      <c r="BW863" s="43"/>
      <c r="BX863" s="43"/>
      <c r="BY863" s="43"/>
      <c r="BZ863" s="43"/>
      <c r="CA863" s="43"/>
      <c r="CB863" s="43"/>
      <c r="CC863" s="43"/>
      <c r="CD863" s="43"/>
      <c r="CE863" s="43"/>
      <c r="CF863" s="43"/>
      <c r="CG863" s="43"/>
      <c r="CH863" s="43"/>
      <c r="CI863" s="43"/>
      <c r="CJ863" s="43"/>
      <c r="CK863" s="43"/>
      <c r="CL863" s="43"/>
      <c r="CM863" s="43"/>
      <c r="CN863" s="43"/>
      <c r="CO863" s="43"/>
      <c r="CP863" s="43"/>
      <c r="CQ863" s="43"/>
      <c r="CR863" s="43"/>
      <c r="CS863" s="43"/>
      <c r="CT863" s="43"/>
      <c r="CU863" s="43"/>
      <c r="CV863" s="43"/>
      <c r="CW863" s="43"/>
      <c r="CX863" s="43"/>
      <c r="CY863" s="43"/>
      <c r="CZ863" s="43"/>
      <c r="DA863" s="43"/>
      <c r="DB863" s="43"/>
      <c r="DC863" s="43"/>
      <c r="DD863" s="43"/>
      <c r="DE863" s="43"/>
      <c r="DF863" s="43"/>
      <c r="DG863" s="43"/>
      <c r="DH863" s="43"/>
      <c r="DI863" s="43"/>
      <c r="DJ863" s="43"/>
      <c r="DK863" s="43"/>
      <c r="DL863" s="43"/>
      <c r="DM863" s="43"/>
      <c r="DN863" s="43"/>
      <c r="DO863" s="43"/>
      <c r="DP863" s="43"/>
      <c r="DQ863" s="43"/>
      <c r="DR863" s="43"/>
      <c r="DS863" s="43"/>
    </row>
    <row r="864" spans="1:123" ht="14.45">
      <c r="A864"/>
      <c r="B864"/>
      <c r="C864"/>
      <c r="D864"/>
      <c r="E864"/>
      <c r="F864"/>
      <c r="G864"/>
      <c r="H864"/>
      <c r="I864"/>
      <c r="J864"/>
      <c r="K864" s="43"/>
      <c r="L864" s="43"/>
      <c r="M864" s="43"/>
      <c r="N864" s="43"/>
      <c r="O864" s="43"/>
      <c r="P864" s="43"/>
      <c r="Q864" s="43"/>
      <c r="R864" s="43"/>
      <c r="S864" s="43"/>
      <c r="T864" s="43"/>
      <c r="U864" s="43"/>
      <c r="V864" s="43"/>
      <c r="W864" s="43"/>
      <c r="X864" s="43"/>
      <c r="Y864" s="43"/>
      <c r="Z864" s="43"/>
      <c r="AA864" s="43"/>
      <c r="AB864" s="43"/>
      <c r="AC864" s="43"/>
      <c r="AD864" s="43"/>
      <c r="AE864" s="43"/>
      <c r="AF864" s="43"/>
      <c r="AG864" s="43"/>
      <c r="AH864" s="43"/>
      <c r="AI864" s="43"/>
      <c r="AJ864" s="43"/>
      <c r="AK864" s="43"/>
      <c r="AL864" s="43"/>
      <c r="AM864" s="43"/>
      <c r="AN864" s="43"/>
      <c r="AO864" s="43"/>
      <c r="AP864" s="43"/>
      <c r="AQ864" s="43"/>
      <c r="AR864" s="43"/>
      <c r="AS864" s="43"/>
      <c r="AT864" s="43"/>
      <c r="AU864" s="43"/>
      <c r="AV864" s="43"/>
      <c r="AW864" s="43"/>
      <c r="AX864" s="43"/>
      <c r="AY864" s="43"/>
      <c r="AZ864" s="43"/>
      <c r="BA864" s="43"/>
      <c r="BB864" s="43"/>
      <c r="BC864" s="43"/>
      <c r="BD864" s="43"/>
      <c r="BE864" s="43"/>
      <c r="BF864" s="43"/>
      <c r="BG864" s="43"/>
      <c r="BH864" s="43"/>
      <c r="BI864" s="43"/>
      <c r="BJ864" s="43"/>
      <c r="BK864" s="43"/>
      <c r="BL864" s="43"/>
      <c r="BM864" s="43"/>
      <c r="BN864" s="43"/>
      <c r="BO864" s="43"/>
      <c r="BP864" s="43"/>
      <c r="BQ864" s="43"/>
      <c r="BR864" s="43"/>
      <c r="BS864" s="43"/>
      <c r="BT864" s="43"/>
      <c r="BU864" s="43"/>
      <c r="BV864" s="43"/>
      <c r="BW864" s="43"/>
      <c r="BX864" s="43"/>
      <c r="BY864" s="43"/>
      <c r="BZ864" s="43"/>
      <c r="CA864" s="43"/>
      <c r="CB864" s="43"/>
      <c r="CC864" s="43"/>
      <c r="CD864" s="43"/>
      <c r="CE864" s="43"/>
      <c r="CF864" s="43"/>
      <c r="CG864" s="43"/>
      <c r="CH864" s="43"/>
      <c r="CI864" s="43"/>
      <c r="CJ864" s="43"/>
      <c r="CK864" s="43"/>
      <c r="CL864" s="43"/>
      <c r="CM864" s="43"/>
      <c r="CN864" s="43"/>
      <c r="CO864" s="43"/>
      <c r="CP864" s="43"/>
      <c r="CQ864" s="43"/>
      <c r="CR864" s="43"/>
      <c r="CS864" s="43"/>
      <c r="CT864" s="43"/>
      <c r="CU864" s="43"/>
      <c r="CV864" s="43"/>
      <c r="CW864" s="43"/>
      <c r="CX864" s="43"/>
      <c r="CY864" s="43"/>
      <c r="CZ864" s="43"/>
      <c r="DA864" s="43"/>
      <c r="DB864" s="43"/>
      <c r="DC864" s="43"/>
      <c r="DD864" s="43"/>
      <c r="DE864" s="43"/>
      <c r="DF864" s="43"/>
      <c r="DG864" s="43"/>
      <c r="DH864" s="43"/>
      <c r="DI864" s="43"/>
      <c r="DJ864" s="43"/>
      <c r="DK864" s="43"/>
      <c r="DL864" s="43"/>
      <c r="DM864" s="43"/>
      <c r="DN864" s="43"/>
      <c r="DO864" s="43"/>
      <c r="DP864" s="43"/>
      <c r="DQ864" s="43"/>
      <c r="DR864" s="43"/>
      <c r="DS864" s="43"/>
    </row>
    <row r="865" spans="1:123" ht="14.45">
      <c r="A865"/>
      <c r="B865"/>
      <c r="C865"/>
      <c r="D865"/>
      <c r="E865"/>
      <c r="F865"/>
      <c r="G865"/>
      <c r="H865"/>
      <c r="I865"/>
      <c r="J865"/>
      <c r="K865" s="43"/>
      <c r="L865" s="43"/>
      <c r="M865" s="43"/>
      <c r="N865" s="43"/>
      <c r="O865" s="43"/>
      <c r="P865" s="43"/>
      <c r="Q865" s="43"/>
      <c r="R865" s="43"/>
      <c r="S865" s="43"/>
      <c r="T865" s="43"/>
      <c r="U865" s="43"/>
      <c r="V865" s="43"/>
      <c r="W865" s="43"/>
      <c r="X865" s="43"/>
      <c r="Y865" s="43"/>
      <c r="Z865" s="43"/>
      <c r="AA865" s="43"/>
      <c r="AB865" s="43"/>
      <c r="AC865" s="43"/>
      <c r="AD865" s="43"/>
      <c r="AE865" s="43"/>
      <c r="AF865" s="43"/>
      <c r="AG865" s="43"/>
      <c r="AH865" s="43"/>
      <c r="AI865" s="43"/>
      <c r="AJ865" s="43"/>
      <c r="AK865" s="43"/>
      <c r="AL865" s="43"/>
      <c r="AM865" s="43"/>
      <c r="AN865" s="43"/>
      <c r="AO865" s="43"/>
      <c r="AP865" s="43"/>
      <c r="AQ865" s="43"/>
      <c r="AR865" s="43"/>
      <c r="AS865" s="43"/>
      <c r="AT865" s="43"/>
      <c r="AU865" s="43"/>
      <c r="AV865" s="43"/>
      <c r="AW865" s="43"/>
      <c r="AX865" s="43"/>
      <c r="AY865" s="43"/>
      <c r="AZ865" s="43"/>
      <c r="BA865" s="43"/>
      <c r="BB865" s="43"/>
      <c r="BC865" s="43"/>
      <c r="BD865" s="43"/>
      <c r="BE865" s="43"/>
      <c r="BF865" s="43"/>
      <c r="BG865" s="43"/>
      <c r="BH865" s="43"/>
      <c r="BI865" s="43"/>
      <c r="BJ865" s="43"/>
      <c r="BK865" s="43"/>
      <c r="BL865" s="43"/>
      <c r="BM865" s="43"/>
      <c r="BN865" s="43"/>
      <c r="BO865" s="43"/>
      <c r="BP865" s="43"/>
      <c r="BQ865" s="43"/>
      <c r="BR865" s="43"/>
      <c r="BS865" s="43"/>
      <c r="BT865" s="43"/>
      <c r="BU865" s="43"/>
      <c r="BV865" s="43"/>
      <c r="BW865" s="43"/>
      <c r="BX865" s="43"/>
      <c r="BY865" s="43"/>
      <c r="BZ865" s="43"/>
      <c r="CA865" s="43"/>
      <c r="CB865" s="43"/>
      <c r="CC865" s="43"/>
      <c r="CD865" s="43"/>
      <c r="CE865" s="43"/>
      <c r="CF865" s="43"/>
      <c r="CG865" s="43"/>
      <c r="CH865" s="43"/>
      <c r="CI865" s="43"/>
      <c r="CJ865" s="43"/>
      <c r="CK865" s="43"/>
      <c r="CL865" s="43"/>
      <c r="CM865" s="43"/>
      <c r="CN865" s="43"/>
      <c r="CO865" s="43"/>
      <c r="CP865" s="43"/>
      <c r="CQ865" s="43"/>
      <c r="CR865" s="43"/>
      <c r="CS865" s="43"/>
      <c r="CT865" s="43"/>
      <c r="CU865" s="43"/>
      <c r="CV865" s="43"/>
      <c r="CW865" s="43"/>
      <c r="CX865" s="43"/>
      <c r="CY865" s="43"/>
      <c r="CZ865" s="43"/>
      <c r="DA865" s="43"/>
      <c r="DB865" s="43"/>
      <c r="DC865" s="43"/>
      <c r="DD865" s="43"/>
      <c r="DE865" s="43"/>
      <c r="DF865" s="43"/>
      <c r="DG865" s="43"/>
      <c r="DH865" s="43"/>
      <c r="DI865" s="43"/>
      <c r="DJ865" s="43"/>
      <c r="DK865" s="43"/>
      <c r="DL865" s="43"/>
      <c r="DM865" s="43"/>
      <c r="DN865" s="43"/>
      <c r="DO865" s="43"/>
      <c r="DP865" s="43"/>
      <c r="DQ865" s="43"/>
      <c r="DR865" s="43"/>
      <c r="DS865" s="43"/>
    </row>
    <row r="866" spans="1:123" ht="14.45">
      <c r="A866"/>
      <c r="B866"/>
      <c r="C866"/>
      <c r="D866"/>
      <c r="E866"/>
      <c r="F866"/>
      <c r="G866"/>
      <c r="H866"/>
      <c r="I866"/>
      <c r="J866"/>
      <c r="K866" s="43"/>
      <c r="L866" s="43"/>
      <c r="M866" s="43"/>
      <c r="N866" s="43"/>
      <c r="O866" s="43"/>
      <c r="P866" s="43"/>
      <c r="Q866" s="43"/>
      <c r="R866" s="43"/>
      <c r="S866" s="43"/>
      <c r="T866" s="43"/>
      <c r="U866" s="43"/>
      <c r="V866" s="43"/>
      <c r="W866" s="43"/>
      <c r="X866" s="43"/>
      <c r="Y866" s="43"/>
      <c r="Z866" s="43"/>
      <c r="AA866" s="43"/>
      <c r="AB866" s="43"/>
      <c r="AC866" s="43"/>
      <c r="AD866" s="43"/>
      <c r="AE866" s="43"/>
      <c r="AF866" s="43"/>
      <c r="AG866" s="43"/>
      <c r="AH866" s="43"/>
      <c r="AI866" s="43"/>
      <c r="AJ866" s="43"/>
      <c r="AK866" s="43"/>
      <c r="AL866" s="43"/>
      <c r="AM866" s="43"/>
      <c r="AN866" s="43"/>
      <c r="AO866" s="43"/>
      <c r="AP866" s="43"/>
      <c r="AQ866" s="43"/>
      <c r="AR866" s="43"/>
      <c r="AS866" s="43"/>
      <c r="AT866" s="43"/>
      <c r="AU866" s="43"/>
      <c r="AV866" s="43"/>
      <c r="AW866" s="43"/>
      <c r="AX866" s="43"/>
      <c r="AY866" s="43"/>
      <c r="AZ866" s="43"/>
      <c r="BA866" s="43"/>
      <c r="BB866" s="43"/>
      <c r="BC866" s="43"/>
      <c r="BD866" s="43"/>
      <c r="BE866" s="43"/>
      <c r="BF866" s="43"/>
      <c r="BG866" s="43"/>
      <c r="BH866" s="43"/>
      <c r="BI866" s="43"/>
      <c r="BJ866" s="43"/>
      <c r="BK866" s="43"/>
      <c r="BL866" s="43"/>
      <c r="BM866" s="43"/>
      <c r="BN866" s="43"/>
      <c r="BO866" s="43"/>
      <c r="BP866" s="43"/>
      <c r="BQ866" s="43"/>
      <c r="BR866" s="43"/>
      <c r="BS866" s="43"/>
      <c r="BT866" s="43"/>
      <c r="BU866" s="43"/>
      <c r="BV866" s="43"/>
      <c r="BW866" s="43"/>
      <c r="BX866" s="43"/>
      <c r="BY866" s="43"/>
      <c r="BZ866" s="43"/>
      <c r="CA866" s="43"/>
      <c r="CB866" s="43"/>
      <c r="CC866" s="43"/>
      <c r="CD866" s="43"/>
      <c r="CE866" s="43"/>
      <c r="CF866" s="43"/>
      <c r="CG866" s="43"/>
      <c r="CH866" s="43"/>
      <c r="CI866" s="43"/>
      <c r="CJ866" s="43"/>
      <c r="CK866" s="43"/>
      <c r="CL866" s="43"/>
      <c r="CM866" s="43"/>
      <c r="CN866" s="43"/>
      <c r="CO866" s="43"/>
      <c r="CP866" s="43"/>
      <c r="CQ866" s="43"/>
      <c r="CR866" s="43"/>
      <c r="CS866" s="43"/>
      <c r="CT866" s="43"/>
      <c r="CU866" s="43"/>
      <c r="CV866" s="43"/>
      <c r="CW866" s="43"/>
      <c r="CX866" s="43"/>
      <c r="CY866" s="43"/>
      <c r="CZ866" s="43"/>
      <c r="DA866" s="43"/>
      <c r="DB866" s="43"/>
      <c r="DC866" s="43"/>
      <c r="DD866" s="43"/>
      <c r="DE866" s="43"/>
      <c r="DF866" s="43"/>
      <c r="DG866" s="43"/>
      <c r="DH866" s="43"/>
      <c r="DI866" s="43"/>
      <c r="DJ866" s="43"/>
      <c r="DK866" s="43"/>
      <c r="DL866" s="43"/>
      <c r="DM866" s="43"/>
      <c r="DN866" s="43"/>
      <c r="DO866" s="43"/>
      <c r="DP866" s="43"/>
      <c r="DQ866" s="43"/>
      <c r="DR866" s="43"/>
      <c r="DS866" s="43"/>
    </row>
    <row r="867" spans="1:123" ht="14.45">
      <c r="A867"/>
      <c r="B867"/>
      <c r="C867"/>
      <c r="D867"/>
      <c r="E867"/>
      <c r="F867"/>
      <c r="G867"/>
      <c r="H867"/>
      <c r="I867"/>
      <c r="J867"/>
      <c r="K867" s="43"/>
      <c r="L867" s="43"/>
      <c r="M867" s="43"/>
      <c r="N867" s="43"/>
      <c r="O867" s="43"/>
      <c r="P867" s="43"/>
      <c r="Q867" s="43"/>
      <c r="R867" s="43"/>
      <c r="S867" s="43"/>
      <c r="T867" s="43"/>
      <c r="U867" s="43"/>
      <c r="V867" s="43"/>
      <c r="W867" s="43"/>
      <c r="X867" s="43"/>
      <c r="Y867" s="43"/>
      <c r="Z867" s="43"/>
      <c r="AA867" s="43"/>
      <c r="AB867" s="43"/>
      <c r="AC867" s="43"/>
      <c r="AD867" s="43"/>
      <c r="AE867" s="43"/>
      <c r="AF867" s="43"/>
      <c r="AG867" s="43"/>
      <c r="AH867" s="43"/>
      <c r="AI867" s="43"/>
      <c r="AJ867" s="43"/>
      <c r="AK867" s="43"/>
      <c r="AL867" s="43"/>
      <c r="AM867" s="43"/>
      <c r="AN867" s="43"/>
      <c r="AO867" s="43"/>
      <c r="AP867" s="43"/>
      <c r="AQ867" s="43"/>
      <c r="AR867" s="43"/>
      <c r="AS867" s="43"/>
      <c r="AT867" s="43"/>
      <c r="AU867" s="43"/>
      <c r="AV867" s="43"/>
      <c r="AW867" s="43"/>
      <c r="AX867" s="43"/>
      <c r="AY867" s="43"/>
      <c r="AZ867" s="43"/>
      <c r="BA867" s="43"/>
      <c r="BB867" s="43"/>
      <c r="BC867" s="43"/>
      <c r="BD867" s="43"/>
      <c r="BE867" s="43"/>
      <c r="BF867" s="43"/>
      <c r="BG867" s="43"/>
      <c r="BH867" s="43"/>
      <c r="BI867" s="43"/>
      <c r="BJ867" s="43"/>
      <c r="BK867" s="43"/>
      <c r="BL867" s="43"/>
      <c r="BM867" s="43"/>
      <c r="BN867" s="43"/>
      <c r="BO867" s="43"/>
      <c r="BP867" s="43"/>
      <c r="BQ867" s="43"/>
      <c r="BR867" s="43"/>
      <c r="BS867" s="43"/>
      <c r="BT867" s="43"/>
      <c r="BU867" s="43"/>
      <c r="BV867" s="43"/>
      <c r="BW867" s="43"/>
      <c r="BX867" s="43"/>
      <c r="BY867" s="43"/>
      <c r="BZ867" s="43"/>
      <c r="CA867" s="43"/>
      <c r="CB867" s="43"/>
      <c r="CC867" s="43"/>
      <c r="CD867" s="43"/>
      <c r="CE867" s="43"/>
      <c r="CF867" s="43"/>
      <c r="CG867" s="43"/>
      <c r="CH867" s="43"/>
      <c r="CI867" s="43"/>
      <c r="CJ867" s="43"/>
      <c r="CK867" s="43"/>
      <c r="CL867" s="43"/>
      <c r="CM867" s="43"/>
      <c r="CN867" s="43"/>
      <c r="CO867" s="43"/>
      <c r="CP867" s="43"/>
      <c r="CQ867" s="43"/>
      <c r="CR867" s="43"/>
      <c r="CS867" s="43"/>
      <c r="CT867" s="43"/>
      <c r="CU867" s="43"/>
      <c r="CV867" s="43"/>
      <c r="CW867" s="43"/>
      <c r="CX867" s="43"/>
      <c r="CY867" s="43"/>
      <c r="CZ867" s="43"/>
      <c r="DA867" s="43"/>
      <c r="DB867" s="43"/>
      <c r="DC867" s="43"/>
      <c r="DD867" s="43"/>
      <c r="DE867" s="43"/>
      <c r="DF867" s="43"/>
      <c r="DG867" s="43"/>
      <c r="DH867" s="43"/>
      <c r="DI867" s="43"/>
      <c r="DJ867" s="43"/>
      <c r="DK867" s="43"/>
      <c r="DL867" s="43"/>
      <c r="DM867" s="43"/>
      <c r="DN867" s="43"/>
      <c r="DO867" s="43"/>
      <c r="DP867" s="43"/>
      <c r="DQ867" s="43"/>
      <c r="DR867" s="43"/>
      <c r="DS867" s="43"/>
    </row>
    <row r="868" spans="1:123" ht="14.45">
      <c r="A868"/>
      <c r="B868"/>
      <c r="C868"/>
      <c r="D868"/>
      <c r="E868"/>
      <c r="F868"/>
      <c r="G868"/>
      <c r="H868"/>
      <c r="I868"/>
      <c r="J868"/>
      <c r="K868" s="43"/>
      <c r="L868" s="43"/>
      <c r="M868" s="43"/>
      <c r="N868" s="43"/>
      <c r="O868" s="43"/>
      <c r="P868" s="43"/>
      <c r="Q868" s="43"/>
      <c r="R868" s="43"/>
      <c r="S868" s="43"/>
      <c r="T868" s="43"/>
      <c r="U868" s="43"/>
      <c r="V868" s="43"/>
      <c r="W868" s="43"/>
      <c r="X868" s="43"/>
      <c r="Y868" s="43"/>
      <c r="Z868" s="43"/>
      <c r="AA868" s="43"/>
      <c r="AB868" s="43"/>
      <c r="AC868" s="43"/>
      <c r="AD868" s="43"/>
      <c r="AE868" s="43"/>
      <c r="AF868" s="43"/>
      <c r="AG868" s="43"/>
      <c r="AH868" s="43"/>
      <c r="AI868" s="43"/>
      <c r="AJ868" s="43"/>
      <c r="AK868" s="43"/>
      <c r="AL868" s="43"/>
      <c r="AM868" s="43"/>
      <c r="AN868" s="43"/>
      <c r="AO868" s="43"/>
      <c r="AP868" s="43"/>
      <c r="AQ868" s="43"/>
      <c r="AR868" s="43"/>
      <c r="AS868" s="43"/>
      <c r="AT868" s="43"/>
      <c r="AU868" s="43"/>
      <c r="AV868" s="43"/>
      <c r="AW868" s="43"/>
      <c r="AX868" s="43"/>
      <c r="AY868" s="43"/>
      <c r="AZ868" s="43"/>
      <c r="BA868" s="43"/>
      <c r="BB868" s="43"/>
      <c r="BC868" s="43"/>
      <c r="BD868" s="43"/>
      <c r="BE868" s="43"/>
      <c r="BF868" s="43"/>
      <c r="BG868" s="43"/>
      <c r="BH868" s="43"/>
      <c r="BI868" s="43"/>
      <c r="BJ868" s="43"/>
      <c r="BK868" s="43"/>
      <c r="BL868" s="43"/>
      <c r="BM868" s="43"/>
      <c r="BN868" s="43"/>
      <c r="BO868" s="43"/>
      <c r="BP868" s="43"/>
      <c r="BQ868" s="43"/>
      <c r="BR868" s="43"/>
      <c r="BS868" s="43"/>
      <c r="BT868" s="43"/>
      <c r="BU868" s="43"/>
      <c r="BV868" s="43"/>
      <c r="BW868" s="43"/>
      <c r="BX868" s="43"/>
      <c r="BY868" s="43"/>
      <c r="BZ868" s="43"/>
      <c r="CA868" s="43"/>
      <c r="CB868" s="43"/>
      <c r="CC868" s="43"/>
      <c r="CD868" s="43"/>
      <c r="CE868" s="43"/>
      <c r="CF868" s="43"/>
      <c r="CG868" s="43"/>
      <c r="CH868" s="43"/>
      <c r="CI868" s="43"/>
      <c r="CJ868" s="43"/>
      <c r="CK868" s="43"/>
      <c r="CL868" s="43"/>
      <c r="CM868" s="43"/>
      <c r="CN868" s="43"/>
      <c r="CO868" s="43"/>
      <c r="CP868" s="43"/>
      <c r="CQ868" s="43"/>
      <c r="CR868" s="43"/>
      <c r="CS868" s="43"/>
      <c r="CT868" s="43"/>
      <c r="CU868" s="43"/>
      <c r="CV868" s="43"/>
      <c r="CW868" s="43"/>
      <c r="CX868" s="43"/>
      <c r="CY868" s="43"/>
      <c r="CZ868" s="43"/>
      <c r="DA868" s="43"/>
      <c r="DB868" s="43"/>
      <c r="DC868" s="43"/>
      <c r="DD868" s="43"/>
      <c r="DE868" s="43"/>
      <c r="DF868" s="43"/>
      <c r="DG868" s="43"/>
      <c r="DH868" s="43"/>
      <c r="DI868" s="43"/>
      <c r="DJ868" s="43"/>
      <c r="DK868" s="43"/>
      <c r="DL868" s="43"/>
      <c r="DM868" s="43"/>
      <c r="DN868" s="43"/>
      <c r="DO868" s="43"/>
      <c r="DP868" s="43"/>
      <c r="DQ868" s="43"/>
      <c r="DR868" s="43"/>
      <c r="DS868" s="43"/>
    </row>
    <row r="869" spans="1:123" ht="14.45">
      <c r="A869"/>
      <c r="B869"/>
      <c r="C869"/>
      <c r="D869"/>
      <c r="E869"/>
      <c r="F869"/>
      <c r="G869"/>
      <c r="H869"/>
      <c r="I869"/>
      <c r="J869"/>
      <c r="K869" s="43"/>
      <c r="L869" s="43"/>
      <c r="M869" s="43"/>
      <c r="N869" s="43"/>
      <c r="O869" s="43"/>
      <c r="P869" s="43"/>
      <c r="Q869" s="43"/>
      <c r="R869" s="43"/>
      <c r="S869" s="43"/>
      <c r="T869" s="43"/>
      <c r="U869" s="43"/>
      <c r="V869" s="43"/>
      <c r="W869" s="43"/>
      <c r="X869" s="43"/>
      <c r="Y869" s="43"/>
      <c r="Z869" s="43"/>
      <c r="AA869" s="43"/>
      <c r="AB869" s="43"/>
      <c r="AC869" s="43"/>
      <c r="AD869" s="43"/>
      <c r="AE869" s="43"/>
      <c r="AF869" s="43"/>
      <c r="AG869" s="43"/>
      <c r="AH869" s="43"/>
      <c r="AI869" s="43"/>
      <c r="AJ869" s="43"/>
      <c r="AK869" s="43"/>
      <c r="AL869" s="43"/>
      <c r="AM869" s="43"/>
      <c r="AN869" s="43"/>
      <c r="AO869" s="43"/>
      <c r="AP869" s="43"/>
      <c r="AQ869" s="43"/>
      <c r="AR869" s="43"/>
      <c r="AS869" s="43"/>
      <c r="AT869" s="43"/>
      <c r="AU869" s="43"/>
      <c r="AV869" s="43"/>
      <c r="AW869" s="43"/>
      <c r="AX869" s="43"/>
      <c r="AY869" s="43"/>
      <c r="AZ869" s="43"/>
      <c r="BA869" s="43"/>
      <c r="BB869" s="43"/>
      <c r="BC869" s="43"/>
      <c r="BD869" s="43"/>
      <c r="BE869" s="43"/>
      <c r="BF869" s="43"/>
      <c r="BG869" s="43"/>
      <c r="BH869" s="43"/>
      <c r="BI869" s="43"/>
      <c r="BJ869" s="43"/>
      <c r="BK869" s="43"/>
      <c r="BL869" s="43"/>
      <c r="BM869" s="43"/>
      <c r="BN869" s="43"/>
      <c r="BO869" s="43"/>
      <c r="BP869" s="43"/>
      <c r="BQ869" s="43"/>
      <c r="BR869" s="43"/>
      <c r="BS869" s="43"/>
      <c r="BT869" s="43"/>
      <c r="BU869" s="43"/>
      <c r="BV869" s="43"/>
      <c r="BW869" s="43"/>
      <c r="BX869" s="43"/>
      <c r="BY869" s="43"/>
      <c r="BZ869" s="43"/>
      <c r="CA869" s="43"/>
      <c r="CB869" s="43"/>
      <c r="CC869" s="43"/>
      <c r="CD869" s="43"/>
      <c r="CE869" s="43"/>
      <c r="CF869" s="43"/>
      <c r="CG869" s="43"/>
      <c r="CH869" s="43"/>
      <c r="CI869" s="43"/>
      <c r="CJ869" s="43"/>
      <c r="CK869" s="43"/>
      <c r="CL869" s="43"/>
      <c r="CM869" s="43"/>
      <c r="CN869" s="43"/>
      <c r="CO869" s="43"/>
      <c r="CP869" s="43"/>
      <c r="CQ869" s="43"/>
      <c r="CR869" s="43"/>
      <c r="CS869" s="43"/>
      <c r="CT869" s="43"/>
      <c r="CU869" s="43"/>
      <c r="CV869" s="43"/>
      <c r="CW869" s="43"/>
      <c r="CX869" s="43"/>
      <c r="CY869" s="43"/>
      <c r="CZ869" s="43"/>
      <c r="DA869" s="43"/>
      <c r="DB869" s="43"/>
      <c r="DC869" s="43"/>
      <c r="DD869" s="43"/>
      <c r="DE869" s="43"/>
      <c r="DF869" s="43"/>
      <c r="DG869" s="43"/>
      <c r="DH869" s="43"/>
      <c r="DI869" s="43"/>
      <c r="DJ869" s="43"/>
      <c r="DK869" s="43"/>
      <c r="DL869" s="43"/>
      <c r="DM869" s="43"/>
      <c r="DN869" s="43"/>
      <c r="DO869" s="43"/>
      <c r="DP869" s="43"/>
      <c r="DQ869" s="43"/>
      <c r="DR869" s="43"/>
      <c r="DS869" s="43"/>
    </row>
    <row r="870" spans="1:123" ht="14.45">
      <c r="A870"/>
      <c r="B870"/>
      <c r="C870"/>
      <c r="D870"/>
      <c r="E870"/>
      <c r="F870"/>
      <c r="G870"/>
      <c r="H870"/>
      <c r="I870"/>
      <c r="J870"/>
      <c r="K870" s="43"/>
      <c r="L870" s="43"/>
      <c r="M870" s="43"/>
      <c r="N870" s="43"/>
      <c r="O870" s="43"/>
      <c r="P870" s="43"/>
      <c r="Q870" s="43"/>
      <c r="R870" s="43"/>
      <c r="S870" s="43"/>
      <c r="T870" s="43"/>
      <c r="U870" s="43"/>
      <c r="V870" s="43"/>
      <c r="W870" s="43"/>
      <c r="X870" s="43"/>
      <c r="Y870" s="43"/>
      <c r="Z870" s="43"/>
      <c r="AA870" s="43"/>
      <c r="AB870" s="43"/>
      <c r="AC870" s="43"/>
      <c r="AD870" s="43"/>
      <c r="AE870" s="43"/>
      <c r="AF870" s="43"/>
      <c r="AG870" s="43"/>
      <c r="AH870" s="43"/>
      <c r="AI870" s="43"/>
      <c r="AJ870" s="43"/>
      <c r="AK870" s="43"/>
      <c r="AL870" s="43"/>
      <c r="AM870" s="43"/>
      <c r="AN870" s="43"/>
      <c r="AO870" s="43"/>
      <c r="AP870" s="43"/>
      <c r="AQ870" s="43"/>
      <c r="AR870" s="43"/>
      <c r="AS870" s="43"/>
      <c r="AT870" s="43"/>
      <c r="AU870" s="43"/>
      <c r="AV870" s="43"/>
      <c r="AW870" s="43"/>
      <c r="AX870" s="43"/>
      <c r="AY870" s="43"/>
      <c r="AZ870" s="43"/>
      <c r="BA870" s="43"/>
      <c r="BB870" s="43"/>
      <c r="BC870" s="43"/>
      <c r="BD870" s="43"/>
      <c r="BE870" s="43"/>
      <c r="BF870" s="43"/>
      <c r="BG870" s="43"/>
      <c r="BH870" s="43"/>
      <c r="BI870" s="43"/>
      <c r="BJ870" s="43"/>
      <c r="BK870" s="43"/>
      <c r="BL870" s="43"/>
      <c r="BM870" s="43"/>
      <c r="BN870" s="43"/>
      <c r="BO870" s="43"/>
      <c r="BP870" s="43"/>
      <c r="BQ870" s="43"/>
      <c r="BR870" s="43"/>
      <c r="BS870" s="43"/>
      <c r="BT870" s="43"/>
      <c r="BU870" s="43"/>
      <c r="BV870" s="43"/>
      <c r="BW870" s="43"/>
      <c r="BX870" s="43"/>
      <c r="BY870" s="43"/>
      <c r="BZ870" s="43"/>
      <c r="CA870" s="43"/>
      <c r="CB870" s="43"/>
      <c r="CC870" s="43"/>
      <c r="CD870" s="43"/>
      <c r="CE870" s="43"/>
      <c r="CF870" s="43"/>
      <c r="CG870" s="43"/>
      <c r="CH870" s="43"/>
      <c r="CI870" s="43"/>
      <c r="CJ870" s="43"/>
      <c r="CK870" s="43"/>
      <c r="CL870" s="43"/>
      <c r="CM870" s="43"/>
      <c r="CN870" s="43"/>
      <c r="CO870" s="43"/>
      <c r="CP870" s="43"/>
      <c r="CQ870" s="43"/>
      <c r="CR870" s="43"/>
      <c r="CS870" s="43"/>
      <c r="CT870" s="43"/>
      <c r="CU870" s="43"/>
      <c r="CV870" s="43"/>
      <c r="CW870" s="43"/>
      <c r="CX870" s="43"/>
      <c r="CY870" s="43"/>
      <c r="CZ870" s="43"/>
      <c r="DA870" s="43"/>
      <c r="DB870" s="43"/>
      <c r="DC870" s="43"/>
      <c r="DD870" s="43"/>
      <c r="DE870" s="43"/>
      <c r="DF870" s="43"/>
      <c r="DG870" s="43"/>
      <c r="DH870" s="43"/>
      <c r="DI870" s="43"/>
      <c r="DJ870" s="43"/>
      <c r="DK870" s="43"/>
      <c r="DL870" s="43"/>
      <c r="DM870" s="43"/>
      <c r="DN870" s="43"/>
      <c r="DO870" s="43"/>
      <c r="DP870" s="43"/>
      <c r="DQ870" s="43"/>
      <c r="DR870" s="43"/>
      <c r="DS870" s="43"/>
    </row>
    <row r="871" spans="1:123" ht="14.45">
      <c r="A871"/>
      <c r="B871"/>
      <c r="C871"/>
      <c r="D871"/>
      <c r="E871"/>
      <c r="F871"/>
      <c r="G871"/>
      <c r="H871"/>
      <c r="I871"/>
      <c r="J871"/>
      <c r="K871" s="43"/>
      <c r="L871" s="43"/>
      <c r="M871" s="43"/>
      <c r="N871" s="43"/>
      <c r="O871" s="43"/>
      <c r="P871" s="43"/>
      <c r="Q871" s="43"/>
      <c r="R871" s="43"/>
      <c r="S871" s="43"/>
      <c r="T871" s="43"/>
      <c r="U871" s="43"/>
      <c r="V871" s="43"/>
      <c r="W871" s="43"/>
      <c r="X871" s="43"/>
      <c r="Y871" s="43"/>
      <c r="Z871" s="43"/>
      <c r="AA871" s="43"/>
      <c r="AB871" s="43"/>
      <c r="AC871" s="43"/>
      <c r="AD871" s="43"/>
      <c r="AE871" s="43"/>
      <c r="AF871" s="43"/>
      <c r="AG871" s="43"/>
      <c r="AH871" s="43"/>
      <c r="AI871" s="43"/>
      <c r="AJ871" s="43"/>
      <c r="AK871" s="43"/>
      <c r="AL871" s="43"/>
      <c r="AM871" s="43"/>
      <c r="AN871" s="43"/>
      <c r="AO871" s="43"/>
      <c r="AP871" s="43"/>
      <c r="AQ871" s="43"/>
      <c r="AR871" s="43"/>
      <c r="AS871" s="43"/>
      <c r="AT871" s="43"/>
      <c r="AU871" s="43"/>
      <c r="AV871" s="43"/>
      <c r="AW871" s="43"/>
      <c r="AX871" s="43"/>
      <c r="AY871" s="43"/>
      <c r="AZ871" s="43"/>
      <c r="BA871" s="43"/>
      <c r="BB871" s="43"/>
      <c r="BC871" s="43"/>
      <c r="BD871" s="43"/>
      <c r="BE871" s="43"/>
      <c r="BF871" s="43"/>
      <c r="BG871" s="43"/>
      <c r="BH871" s="43"/>
      <c r="BI871" s="43"/>
      <c r="BJ871" s="43"/>
      <c r="BK871" s="43"/>
      <c r="BL871" s="43"/>
      <c r="BM871" s="43"/>
      <c r="BN871" s="43"/>
      <c r="BO871" s="43"/>
      <c r="BP871" s="43"/>
      <c r="BQ871" s="43"/>
      <c r="BR871" s="43"/>
      <c r="BS871" s="43"/>
      <c r="BT871" s="43"/>
      <c r="BU871" s="43"/>
      <c r="BV871" s="43"/>
      <c r="BW871" s="43"/>
      <c r="BX871" s="43"/>
      <c r="BY871" s="43"/>
      <c r="BZ871" s="43"/>
      <c r="CA871" s="43"/>
      <c r="CB871" s="43"/>
      <c r="CC871" s="43"/>
      <c r="CD871" s="43"/>
      <c r="CE871" s="43"/>
      <c r="CF871" s="43"/>
      <c r="CG871" s="43"/>
      <c r="CH871" s="43"/>
      <c r="CI871" s="43"/>
      <c r="CJ871" s="43"/>
      <c r="CK871" s="43"/>
      <c r="CL871" s="43"/>
      <c r="CM871" s="43"/>
      <c r="CN871" s="43"/>
      <c r="CO871" s="43"/>
      <c r="CP871" s="43"/>
      <c r="CQ871" s="43"/>
      <c r="CR871" s="43"/>
      <c r="CS871" s="43"/>
      <c r="CT871" s="43"/>
      <c r="CU871" s="43"/>
      <c r="CV871" s="43"/>
      <c r="CW871" s="43"/>
      <c r="CX871" s="43"/>
      <c r="CY871" s="43"/>
      <c r="CZ871" s="43"/>
      <c r="DA871" s="43"/>
      <c r="DB871" s="43"/>
      <c r="DC871" s="43"/>
      <c r="DD871" s="43"/>
      <c r="DE871" s="43"/>
      <c r="DF871" s="43"/>
      <c r="DG871" s="43"/>
      <c r="DH871" s="43"/>
      <c r="DI871" s="43"/>
      <c r="DJ871" s="43"/>
      <c r="DK871" s="43"/>
      <c r="DL871" s="43"/>
      <c r="DM871" s="43"/>
      <c r="DN871" s="43"/>
      <c r="DO871" s="43"/>
      <c r="DP871" s="43"/>
      <c r="DQ871" s="43"/>
      <c r="DR871" s="43"/>
      <c r="DS871" s="43"/>
    </row>
    <row r="872" spans="1:123" ht="14.45">
      <c r="A872"/>
      <c r="B872"/>
      <c r="C872"/>
      <c r="D872"/>
      <c r="E872"/>
      <c r="F872"/>
      <c r="G872"/>
      <c r="H872"/>
      <c r="I872"/>
      <c r="J872"/>
      <c r="K872" s="43"/>
      <c r="L872" s="43"/>
      <c r="M872" s="43"/>
      <c r="N872" s="43"/>
      <c r="O872" s="43"/>
      <c r="P872" s="43"/>
      <c r="Q872" s="43"/>
      <c r="R872" s="43"/>
      <c r="S872" s="43"/>
      <c r="T872" s="43"/>
      <c r="U872" s="43"/>
      <c r="V872" s="43"/>
      <c r="W872" s="43"/>
      <c r="X872" s="43"/>
      <c r="Y872" s="43"/>
      <c r="Z872" s="43"/>
      <c r="AA872" s="43"/>
      <c r="AB872" s="43"/>
      <c r="AC872" s="43"/>
      <c r="AD872" s="43"/>
      <c r="AE872" s="43"/>
      <c r="AF872" s="43"/>
      <c r="AG872" s="43"/>
      <c r="AH872" s="43"/>
      <c r="AI872" s="43"/>
      <c r="AJ872" s="43"/>
      <c r="AK872" s="43"/>
      <c r="AL872" s="43"/>
      <c r="AM872" s="43"/>
      <c r="AN872" s="43"/>
      <c r="AO872" s="43"/>
      <c r="AP872" s="43"/>
      <c r="AQ872" s="43"/>
      <c r="AR872" s="43"/>
      <c r="AS872" s="43"/>
      <c r="AT872" s="43"/>
      <c r="AU872" s="43"/>
      <c r="AV872" s="43"/>
      <c r="AW872" s="43"/>
      <c r="AX872" s="43"/>
      <c r="AY872" s="43"/>
      <c r="AZ872" s="43"/>
      <c r="BA872" s="43"/>
      <c r="BB872" s="43"/>
      <c r="BC872" s="43"/>
      <c r="BD872" s="43"/>
      <c r="BE872" s="43"/>
      <c r="BF872" s="43"/>
      <c r="BG872" s="43"/>
      <c r="BH872" s="43"/>
      <c r="BI872" s="43"/>
      <c r="BJ872" s="43"/>
      <c r="BK872" s="43"/>
      <c r="BL872" s="43"/>
      <c r="BM872" s="43"/>
      <c r="BN872" s="43"/>
      <c r="BO872" s="43"/>
      <c r="BP872" s="43"/>
      <c r="BQ872" s="43"/>
      <c r="BR872" s="43"/>
      <c r="BS872" s="43"/>
      <c r="BT872" s="43"/>
      <c r="BU872" s="43"/>
      <c r="BV872" s="43"/>
      <c r="BW872" s="43"/>
      <c r="BX872" s="43"/>
      <c r="BY872" s="43"/>
      <c r="BZ872" s="43"/>
      <c r="CA872" s="43"/>
      <c r="CB872" s="43"/>
      <c r="CC872" s="43"/>
      <c r="CD872" s="43"/>
      <c r="CE872" s="43"/>
      <c r="CF872" s="43"/>
      <c r="CG872" s="43"/>
      <c r="CH872" s="43"/>
      <c r="CI872" s="43"/>
      <c r="CJ872" s="43"/>
      <c r="CK872" s="43"/>
      <c r="CL872" s="43"/>
      <c r="CM872" s="43"/>
      <c r="CN872" s="43"/>
      <c r="CO872" s="43"/>
      <c r="CP872" s="43"/>
      <c r="CQ872" s="43"/>
      <c r="CR872" s="43"/>
      <c r="CS872" s="43"/>
      <c r="CT872" s="43"/>
      <c r="CU872" s="43"/>
      <c r="CV872" s="43"/>
      <c r="CW872" s="43"/>
      <c r="CX872" s="43"/>
      <c r="CY872" s="43"/>
      <c r="CZ872" s="43"/>
      <c r="DA872" s="43"/>
      <c r="DB872" s="43"/>
      <c r="DC872" s="43"/>
      <c r="DD872" s="43"/>
      <c r="DE872" s="43"/>
      <c r="DF872" s="43"/>
      <c r="DG872" s="43"/>
      <c r="DH872" s="43"/>
      <c r="DI872" s="43"/>
      <c r="DJ872" s="43"/>
      <c r="DK872" s="43"/>
      <c r="DL872" s="43"/>
      <c r="DM872" s="43"/>
      <c r="DN872" s="43"/>
      <c r="DO872" s="43"/>
      <c r="DP872" s="43"/>
      <c r="DQ872" s="43"/>
      <c r="DR872" s="43"/>
      <c r="DS872" s="43"/>
    </row>
    <row r="873" spans="1:123" ht="14.45">
      <c r="A873"/>
      <c r="B873"/>
      <c r="C873"/>
      <c r="D873"/>
      <c r="E873"/>
      <c r="F873"/>
      <c r="G873"/>
      <c r="H873"/>
      <c r="I873"/>
      <c r="J873"/>
      <c r="K873" s="43"/>
      <c r="L873" s="43"/>
      <c r="M873" s="43"/>
      <c r="N873" s="43"/>
      <c r="O873" s="43"/>
      <c r="P873" s="43"/>
      <c r="Q873" s="43"/>
      <c r="R873" s="43"/>
      <c r="S873" s="43"/>
      <c r="T873" s="43"/>
      <c r="U873" s="43"/>
      <c r="V873" s="43"/>
      <c r="W873" s="43"/>
      <c r="X873" s="43"/>
      <c r="Y873" s="43"/>
      <c r="Z873" s="43"/>
      <c r="AA873" s="43"/>
      <c r="AB873" s="43"/>
      <c r="AC873" s="43"/>
      <c r="AD873" s="43"/>
      <c r="AE873" s="43"/>
      <c r="AF873" s="43"/>
      <c r="AG873" s="43"/>
      <c r="AH873" s="43"/>
      <c r="AI873" s="43"/>
      <c r="AJ873" s="43"/>
      <c r="AK873" s="43"/>
      <c r="AL873" s="43"/>
      <c r="AM873" s="43"/>
      <c r="AN873" s="43"/>
      <c r="AO873" s="43"/>
      <c r="AP873" s="43"/>
      <c r="AQ873" s="43"/>
      <c r="AR873" s="43"/>
      <c r="AS873" s="43"/>
      <c r="AT873" s="43"/>
      <c r="AU873" s="43"/>
      <c r="AV873" s="43"/>
      <c r="AW873" s="43"/>
      <c r="AX873" s="43"/>
      <c r="AY873" s="43"/>
      <c r="AZ873" s="43"/>
      <c r="BA873" s="43"/>
      <c r="BB873" s="43"/>
      <c r="BC873" s="43"/>
      <c r="BD873" s="43"/>
      <c r="BE873" s="43"/>
      <c r="BF873" s="43"/>
      <c r="BG873" s="43"/>
      <c r="BH873" s="43"/>
      <c r="BI873" s="43"/>
      <c r="BJ873" s="43"/>
      <c r="BK873" s="43"/>
      <c r="BL873" s="43"/>
      <c r="BM873" s="43"/>
      <c r="BN873" s="43"/>
      <c r="BO873" s="43"/>
      <c r="BP873" s="43"/>
      <c r="BQ873" s="43"/>
      <c r="BR873" s="43"/>
      <c r="BS873" s="43"/>
      <c r="BT873" s="43"/>
      <c r="BU873" s="43"/>
      <c r="BV873" s="43"/>
      <c r="BW873" s="43"/>
      <c r="BX873" s="43"/>
      <c r="BY873" s="43"/>
      <c r="BZ873" s="43"/>
      <c r="CA873" s="43"/>
      <c r="CB873" s="43"/>
      <c r="CC873" s="43"/>
      <c r="CD873" s="43"/>
      <c r="CE873" s="43"/>
      <c r="CF873" s="43"/>
      <c r="CG873" s="43"/>
      <c r="CH873" s="43"/>
      <c r="CI873" s="43"/>
      <c r="CJ873" s="43"/>
      <c r="CK873" s="43"/>
      <c r="CL873" s="43"/>
      <c r="CM873" s="43"/>
      <c r="CN873" s="43"/>
      <c r="CO873" s="43"/>
      <c r="CP873" s="43"/>
      <c r="CQ873" s="43"/>
      <c r="CR873" s="43"/>
      <c r="CS873" s="43"/>
      <c r="CT873" s="43"/>
      <c r="CU873" s="43"/>
      <c r="CV873" s="43"/>
      <c r="CW873" s="43"/>
      <c r="CX873" s="43"/>
      <c r="CY873" s="43"/>
      <c r="CZ873" s="43"/>
      <c r="DA873" s="43"/>
      <c r="DB873" s="43"/>
      <c r="DC873" s="43"/>
      <c r="DD873" s="43"/>
      <c r="DE873" s="43"/>
      <c r="DF873" s="43"/>
      <c r="DG873" s="43"/>
      <c r="DH873" s="43"/>
      <c r="DI873" s="43"/>
      <c r="DJ873" s="43"/>
      <c r="DK873" s="43"/>
      <c r="DL873" s="43"/>
      <c r="DM873" s="43"/>
      <c r="DN873" s="43"/>
      <c r="DO873" s="43"/>
      <c r="DP873" s="43"/>
      <c r="DQ873" s="43"/>
      <c r="DR873" s="43"/>
      <c r="DS873" s="43"/>
    </row>
    <row r="874" spans="1:123" ht="14.45">
      <c r="A874"/>
      <c r="B874"/>
      <c r="C874"/>
      <c r="D874"/>
      <c r="E874"/>
      <c r="F874"/>
      <c r="G874"/>
      <c r="H874"/>
      <c r="I874"/>
      <c r="J874"/>
      <c r="K874" s="43"/>
      <c r="L874" s="43"/>
      <c r="M874" s="43"/>
      <c r="N874" s="43"/>
      <c r="O874" s="43"/>
      <c r="P874" s="43"/>
      <c r="Q874" s="43"/>
      <c r="R874" s="43"/>
      <c r="S874" s="43"/>
      <c r="T874" s="43"/>
      <c r="U874" s="43"/>
      <c r="V874" s="43"/>
      <c r="W874" s="43"/>
      <c r="X874" s="43"/>
      <c r="Y874" s="43"/>
      <c r="Z874" s="43"/>
      <c r="AA874" s="43"/>
      <c r="AB874" s="43"/>
      <c r="AC874" s="43"/>
      <c r="AD874" s="43"/>
      <c r="AE874" s="43"/>
      <c r="AF874" s="43"/>
      <c r="AG874" s="43"/>
      <c r="AH874" s="43"/>
      <c r="AI874" s="43"/>
      <c r="AJ874" s="43"/>
      <c r="AK874" s="43"/>
      <c r="AL874" s="43"/>
      <c r="AM874" s="43"/>
      <c r="AN874" s="43"/>
      <c r="AO874" s="43"/>
      <c r="AP874" s="43"/>
      <c r="AQ874" s="43"/>
      <c r="AR874" s="43"/>
      <c r="AS874" s="43"/>
      <c r="AT874" s="43"/>
      <c r="AU874" s="43"/>
      <c r="AV874" s="43"/>
      <c r="AW874" s="43"/>
      <c r="AX874" s="43"/>
      <c r="AY874" s="43"/>
      <c r="AZ874" s="43"/>
      <c r="BA874" s="43"/>
      <c r="BB874" s="43"/>
      <c r="BC874" s="43"/>
      <c r="BD874" s="43"/>
      <c r="BE874" s="43"/>
      <c r="BF874" s="43"/>
      <c r="BG874" s="43"/>
      <c r="BH874" s="43"/>
      <c r="BI874" s="43"/>
      <c r="BJ874" s="43"/>
      <c r="BK874" s="43"/>
      <c r="BL874" s="43"/>
      <c r="BM874" s="43"/>
      <c r="BN874" s="43"/>
      <c r="BO874" s="43"/>
      <c r="BP874" s="43"/>
      <c r="BQ874" s="43"/>
      <c r="BR874" s="43"/>
      <c r="BS874" s="43"/>
      <c r="BT874" s="43"/>
      <c r="BU874" s="43"/>
      <c r="BV874" s="43"/>
      <c r="BW874" s="43"/>
      <c r="BX874" s="43"/>
      <c r="BY874" s="43"/>
      <c r="BZ874" s="43"/>
      <c r="CA874" s="43"/>
      <c r="CB874" s="43"/>
      <c r="CC874" s="43"/>
      <c r="CD874" s="43"/>
      <c r="CE874" s="43"/>
      <c r="CF874" s="43"/>
      <c r="CG874" s="43"/>
      <c r="CH874" s="43"/>
      <c r="CI874" s="43"/>
      <c r="CJ874" s="43"/>
      <c r="CK874" s="43"/>
      <c r="CL874" s="43"/>
      <c r="CM874" s="43"/>
      <c r="CN874" s="43"/>
      <c r="CO874" s="43"/>
      <c r="CP874" s="43"/>
      <c r="CQ874" s="43"/>
      <c r="CR874" s="43"/>
      <c r="CS874" s="43"/>
      <c r="CT874" s="43"/>
      <c r="CU874" s="43"/>
      <c r="CV874" s="43"/>
      <c r="CW874" s="43"/>
      <c r="CX874" s="43"/>
      <c r="CY874" s="43"/>
      <c r="CZ874" s="43"/>
      <c r="DA874" s="43"/>
      <c r="DB874" s="43"/>
      <c r="DC874" s="43"/>
      <c r="DD874" s="43"/>
      <c r="DE874" s="43"/>
      <c r="DF874" s="43"/>
      <c r="DG874" s="43"/>
      <c r="DH874" s="43"/>
      <c r="DI874" s="43"/>
      <c r="DJ874" s="43"/>
      <c r="DK874" s="43"/>
      <c r="DL874" s="43"/>
      <c r="DM874" s="43"/>
      <c r="DN874" s="43"/>
      <c r="DO874" s="43"/>
      <c r="DP874" s="43"/>
      <c r="DQ874" s="43"/>
      <c r="DR874" s="43"/>
      <c r="DS874" s="43"/>
    </row>
    <row r="875" spans="1:123" ht="14.45">
      <c r="A875"/>
      <c r="B875"/>
      <c r="C875"/>
      <c r="D875"/>
      <c r="E875"/>
      <c r="F875"/>
      <c r="G875"/>
      <c r="H875"/>
      <c r="I875"/>
      <c r="J875"/>
      <c r="K875" s="43"/>
      <c r="L875" s="43"/>
      <c r="M875" s="43"/>
      <c r="N875" s="43"/>
      <c r="O875" s="43"/>
      <c r="P875" s="43"/>
      <c r="Q875" s="43"/>
      <c r="R875" s="43"/>
      <c r="S875" s="43"/>
      <c r="T875" s="43"/>
      <c r="U875" s="43"/>
      <c r="V875" s="43"/>
      <c r="W875" s="43"/>
      <c r="X875" s="43"/>
      <c r="Y875" s="43"/>
      <c r="Z875" s="43"/>
      <c r="AA875" s="43"/>
      <c r="AB875" s="43"/>
      <c r="AC875" s="43"/>
      <c r="AD875" s="43"/>
      <c r="AE875" s="43"/>
      <c r="AF875" s="43"/>
      <c r="AG875" s="43"/>
      <c r="AH875" s="43"/>
      <c r="AI875" s="43"/>
      <c r="AJ875" s="43"/>
      <c r="AK875" s="43"/>
      <c r="AL875" s="43"/>
      <c r="AM875" s="43"/>
      <c r="AN875" s="43"/>
      <c r="AO875" s="43"/>
      <c r="AP875" s="43"/>
      <c r="AQ875" s="43"/>
      <c r="AR875" s="43"/>
      <c r="AS875" s="43"/>
      <c r="AT875" s="43"/>
      <c r="AU875" s="43"/>
      <c r="AV875" s="43"/>
      <c r="AW875" s="43"/>
      <c r="AX875" s="43"/>
      <c r="AY875" s="43"/>
      <c r="AZ875" s="43"/>
      <c r="BA875" s="43"/>
      <c r="BB875" s="43"/>
      <c r="BC875" s="43"/>
      <c r="BD875" s="43"/>
      <c r="BE875" s="43"/>
      <c r="BF875" s="43"/>
      <c r="BG875" s="43"/>
      <c r="BH875" s="43"/>
      <c r="BI875" s="43"/>
      <c r="BJ875" s="43"/>
      <c r="BK875" s="43"/>
      <c r="BL875" s="43"/>
      <c r="BM875" s="43"/>
      <c r="BN875" s="43"/>
      <c r="BO875" s="43"/>
      <c r="BP875" s="43"/>
      <c r="BQ875" s="43"/>
      <c r="BR875" s="43"/>
      <c r="BS875" s="43"/>
      <c r="BT875" s="43"/>
      <c r="BU875" s="43"/>
      <c r="BV875" s="43"/>
      <c r="BW875" s="43"/>
      <c r="BX875" s="43"/>
      <c r="BY875" s="43"/>
      <c r="BZ875" s="43"/>
      <c r="CA875" s="43"/>
      <c r="CB875" s="43"/>
      <c r="CC875" s="43"/>
      <c r="CD875" s="43"/>
      <c r="CE875" s="43"/>
      <c r="CF875" s="43"/>
      <c r="CG875" s="43"/>
      <c r="CH875" s="43"/>
      <c r="CI875" s="43"/>
      <c r="CJ875" s="43"/>
      <c r="CK875" s="43"/>
      <c r="CL875" s="43"/>
      <c r="CM875" s="43"/>
      <c r="CN875" s="43"/>
      <c r="CO875" s="43"/>
      <c r="CP875" s="43"/>
      <c r="CQ875" s="43"/>
      <c r="CR875" s="43"/>
      <c r="CS875" s="43"/>
      <c r="CT875" s="43"/>
      <c r="CU875" s="43"/>
      <c r="CV875" s="43"/>
      <c r="CW875" s="43"/>
      <c r="CX875" s="43"/>
      <c r="CY875" s="43"/>
      <c r="CZ875" s="43"/>
      <c r="DA875" s="43"/>
      <c r="DB875" s="43"/>
      <c r="DC875" s="43"/>
      <c r="DD875" s="43"/>
      <c r="DE875" s="43"/>
      <c r="DF875" s="43"/>
      <c r="DG875" s="43"/>
      <c r="DH875" s="43"/>
      <c r="DI875" s="43"/>
      <c r="DJ875" s="43"/>
      <c r="DK875" s="43"/>
      <c r="DL875" s="43"/>
      <c r="DM875" s="43"/>
      <c r="DN875" s="43"/>
      <c r="DO875" s="43"/>
      <c r="DP875" s="43"/>
      <c r="DQ875" s="43"/>
      <c r="DR875" s="43"/>
      <c r="DS875" s="43"/>
    </row>
    <row r="876" spans="1:123" ht="14.45">
      <c r="A876"/>
      <c r="B876"/>
      <c r="C876"/>
      <c r="D876"/>
      <c r="E876"/>
      <c r="F876"/>
      <c r="G876"/>
      <c r="H876"/>
      <c r="I876"/>
      <c r="J876"/>
      <c r="K876" s="43"/>
      <c r="L876" s="43"/>
      <c r="M876" s="43"/>
      <c r="N876" s="43"/>
      <c r="O876" s="43"/>
      <c r="P876" s="43"/>
      <c r="Q876" s="43"/>
      <c r="R876" s="43"/>
      <c r="S876" s="43"/>
      <c r="T876" s="43"/>
      <c r="U876" s="43"/>
      <c r="V876" s="43"/>
      <c r="W876" s="43"/>
      <c r="X876" s="43"/>
      <c r="Y876" s="43"/>
      <c r="Z876" s="43"/>
      <c r="AA876" s="43"/>
      <c r="AB876" s="43"/>
      <c r="AC876" s="43"/>
      <c r="AD876" s="43"/>
      <c r="AE876" s="43"/>
      <c r="AF876" s="43"/>
      <c r="AG876" s="43"/>
      <c r="AH876" s="43"/>
      <c r="AI876" s="43"/>
      <c r="AJ876" s="43"/>
      <c r="AK876" s="43"/>
      <c r="AL876" s="43"/>
      <c r="AM876" s="43"/>
      <c r="AN876" s="43"/>
      <c r="AO876" s="43"/>
      <c r="AP876" s="43"/>
      <c r="AQ876" s="43"/>
      <c r="AR876" s="43"/>
      <c r="AS876" s="43"/>
      <c r="AT876" s="43"/>
      <c r="AU876" s="43"/>
      <c r="AV876" s="43"/>
      <c r="AW876" s="43"/>
      <c r="AX876" s="43"/>
      <c r="AY876" s="43"/>
      <c r="AZ876" s="43"/>
      <c r="BA876" s="43"/>
      <c r="BB876" s="43"/>
      <c r="BC876" s="43"/>
      <c r="BD876" s="43"/>
      <c r="BE876" s="43"/>
      <c r="BF876" s="43"/>
      <c r="BG876" s="43"/>
      <c r="BH876" s="43"/>
      <c r="BI876" s="43"/>
      <c r="BJ876" s="43"/>
      <c r="BK876" s="43"/>
      <c r="BL876" s="43"/>
      <c r="BM876" s="43"/>
      <c r="BN876" s="43"/>
      <c r="BO876" s="43"/>
      <c r="BP876" s="43"/>
      <c r="BQ876" s="43"/>
      <c r="BR876" s="43"/>
      <c r="BS876" s="43"/>
      <c r="BT876" s="43"/>
      <c r="BU876" s="43"/>
      <c r="BV876" s="43"/>
      <c r="BW876" s="43"/>
      <c r="BX876" s="43"/>
      <c r="BY876" s="43"/>
      <c r="BZ876" s="43"/>
      <c r="CA876" s="43"/>
      <c r="CB876" s="43"/>
      <c r="CC876" s="43"/>
      <c r="CD876" s="43"/>
      <c r="CE876" s="43"/>
      <c r="CF876" s="43"/>
      <c r="CG876" s="43"/>
      <c r="CH876" s="43"/>
      <c r="CI876" s="43"/>
      <c r="CJ876" s="43"/>
      <c r="CK876" s="43"/>
      <c r="CL876" s="43"/>
      <c r="CM876" s="43"/>
      <c r="CN876" s="43"/>
      <c r="CO876" s="43"/>
      <c r="CP876" s="43"/>
      <c r="CQ876" s="43"/>
      <c r="CR876" s="43"/>
      <c r="CS876" s="43"/>
      <c r="CT876" s="43"/>
      <c r="CU876" s="43"/>
      <c r="CV876" s="43"/>
      <c r="CW876" s="43"/>
      <c r="CX876" s="43"/>
      <c r="CY876" s="43"/>
      <c r="CZ876" s="43"/>
      <c r="DA876" s="43"/>
      <c r="DB876" s="43"/>
      <c r="DC876" s="43"/>
      <c r="DD876" s="43"/>
      <c r="DE876" s="43"/>
      <c r="DF876" s="43"/>
      <c r="DG876" s="43"/>
      <c r="DH876" s="43"/>
      <c r="DI876" s="43"/>
      <c r="DJ876" s="43"/>
      <c r="DK876" s="43"/>
      <c r="DL876" s="43"/>
      <c r="DM876" s="43"/>
      <c r="DN876" s="43"/>
      <c r="DO876" s="43"/>
      <c r="DP876" s="43"/>
      <c r="DQ876" s="43"/>
      <c r="DR876" s="43"/>
      <c r="DS876" s="43"/>
    </row>
    <row r="877" spans="1:123" ht="14.45">
      <c r="A877"/>
      <c r="B877"/>
      <c r="C877"/>
      <c r="D877"/>
      <c r="E877"/>
      <c r="F877"/>
      <c r="G877"/>
      <c r="H877"/>
      <c r="I877"/>
      <c r="J877"/>
      <c r="K877" s="43"/>
      <c r="L877" s="43"/>
      <c r="M877" s="43"/>
      <c r="N877" s="43"/>
      <c r="O877" s="43"/>
      <c r="P877" s="43"/>
      <c r="Q877" s="43"/>
      <c r="R877" s="43"/>
      <c r="S877" s="43"/>
      <c r="T877" s="43"/>
      <c r="U877" s="43"/>
      <c r="V877" s="43"/>
      <c r="W877" s="43"/>
      <c r="X877" s="43"/>
      <c r="Y877" s="43"/>
      <c r="Z877" s="43"/>
      <c r="AA877" s="43"/>
      <c r="AB877" s="43"/>
      <c r="AC877" s="43"/>
      <c r="AD877" s="43"/>
      <c r="AE877" s="43"/>
      <c r="AF877" s="43"/>
      <c r="AG877" s="43"/>
      <c r="AH877" s="43"/>
      <c r="AI877" s="43"/>
      <c r="AJ877" s="43"/>
      <c r="AK877" s="43"/>
      <c r="AL877" s="43"/>
      <c r="AM877" s="43"/>
      <c r="AN877" s="43"/>
      <c r="AO877" s="43"/>
      <c r="AP877" s="43"/>
      <c r="AQ877" s="43"/>
      <c r="AR877" s="43"/>
      <c r="AS877" s="43"/>
      <c r="AT877" s="43"/>
      <c r="AU877" s="43"/>
      <c r="AV877" s="43"/>
      <c r="AW877" s="43"/>
      <c r="AX877" s="43"/>
      <c r="AY877" s="43"/>
      <c r="AZ877" s="43"/>
      <c r="BA877" s="43"/>
      <c r="BB877" s="43"/>
      <c r="BC877" s="43"/>
      <c r="BD877" s="43"/>
      <c r="BE877" s="43"/>
      <c r="BF877" s="43"/>
      <c r="BG877" s="43"/>
      <c r="BH877" s="43"/>
      <c r="BI877" s="43"/>
      <c r="BJ877" s="43"/>
      <c r="BK877" s="43"/>
      <c r="BL877" s="43"/>
      <c r="BM877" s="43"/>
      <c r="BN877" s="43"/>
      <c r="BO877" s="43"/>
      <c r="BP877" s="43"/>
      <c r="BQ877" s="43"/>
      <c r="BR877" s="43"/>
      <c r="BS877" s="43"/>
      <c r="BT877" s="43"/>
      <c r="BU877" s="43"/>
      <c r="BV877" s="43"/>
      <c r="BW877" s="43"/>
      <c r="BX877" s="43"/>
      <c r="BY877" s="43"/>
      <c r="BZ877" s="43"/>
      <c r="CA877" s="43"/>
      <c r="CB877" s="43"/>
      <c r="CC877" s="43"/>
      <c r="CD877" s="43"/>
      <c r="CE877" s="43"/>
      <c r="CF877" s="43"/>
      <c r="CG877" s="43"/>
      <c r="CH877" s="43"/>
      <c r="CI877" s="43"/>
      <c r="CJ877" s="43"/>
      <c r="CK877" s="43"/>
      <c r="CL877" s="43"/>
      <c r="CM877" s="43"/>
      <c r="CN877" s="43"/>
      <c r="CO877" s="43"/>
      <c r="CP877" s="43"/>
      <c r="CQ877" s="43"/>
      <c r="CR877" s="43"/>
      <c r="CS877" s="43"/>
      <c r="CT877" s="43"/>
      <c r="CU877" s="43"/>
      <c r="CV877" s="43"/>
      <c r="CW877" s="43"/>
      <c r="CX877" s="43"/>
      <c r="CY877" s="43"/>
      <c r="CZ877" s="43"/>
      <c r="DA877" s="43"/>
      <c r="DB877" s="43"/>
      <c r="DC877" s="43"/>
      <c r="DD877" s="43"/>
      <c r="DE877" s="43"/>
      <c r="DF877" s="43"/>
      <c r="DG877" s="43"/>
      <c r="DH877" s="43"/>
      <c r="DI877" s="43"/>
      <c r="DJ877" s="43"/>
      <c r="DK877" s="43"/>
      <c r="DL877" s="43"/>
      <c r="DM877" s="43"/>
      <c r="DN877" s="43"/>
      <c r="DO877" s="43"/>
      <c r="DP877" s="43"/>
      <c r="DQ877" s="43"/>
      <c r="DR877" s="43"/>
      <c r="DS877" s="43"/>
    </row>
    <row r="878" spans="1:123" ht="14.45">
      <c r="A878"/>
      <c r="B878"/>
      <c r="C878"/>
      <c r="D878"/>
      <c r="E878"/>
      <c r="F878"/>
      <c r="G878"/>
      <c r="H878"/>
      <c r="I878"/>
      <c r="J878"/>
      <c r="K878" s="43"/>
      <c r="L878" s="43"/>
      <c r="M878" s="43"/>
      <c r="N878" s="43"/>
      <c r="O878" s="43"/>
      <c r="P878" s="43"/>
      <c r="Q878" s="43"/>
      <c r="R878" s="43"/>
      <c r="S878" s="43"/>
      <c r="T878" s="43"/>
      <c r="U878" s="43"/>
      <c r="V878" s="43"/>
      <c r="W878" s="43"/>
      <c r="X878" s="43"/>
      <c r="Y878" s="43"/>
      <c r="Z878" s="43"/>
      <c r="AA878" s="43"/>
      <c r="AB878" s="43"/>
      <c r="AC878" s="43"/>
      <c r="AD878" s="43"/>
      <c r="AE878" s="43"/>
      <c r="AF878" s="43"/>
      <c r="AG878" s="43"/>
      <c r="AH878" s="43"/>
      <c r="AI878" s="43"/>
      <c r="AJ878" s="43"/>
      <c r="AK878" s="43"/>
      <c r="AL878" s="43"/>
      <c r="AM878" s="43"/>
      <c r="AN878" s="43"/>
      <c r="AO878" s="43"/>
      <c r="AP878" s="43"/>
      <c r="AQ878" s="43"/>
      <c r="AR878" s="43"/>
      <c r="AS878" s="43"/>
      <c r="AT878" s="43"/>
      <c r="AU878" s="43"/>
      <c r="AV878" s="43"/>
      <c r="AW878" s="43"/>
      <c r="AX878" s="43"/>
      <c r="AY878" s="43"/>
      <c r="AZ878" s="43"/>
      <c r="BA878" s="43"/>
      <c r="BB878" s="43"/>
      <c r="BC878" s="43"/>
      <c r="BD878" s="43"/>
      <c r="BE878" s="43"/>
      <c r="BF878" s="43"/>
      <c r="BG878" s="43"/>
      <c r="BH878" s="43"/>
      <c r="BI878" s="43"/>
      <c r="BJ878" s="43"/>
      <c r="BK878" s="43"/>
      <c r="BL878" s="43"/>
      <c r="BM878" s="43"/>
      <c r="BN878" s="43"/>
      <c r="BO878" s="43"/>
      <c r="BP878" s="43"/>
      <c r="BQ878" s="43"/>
      <c r="BR878" s="43"/>
      <c r="BS878" s="43"/>
      <c r="BT878" s="43"/>
      <c r="BU878" s="43"/>
      <c r="BV878" s="43"/>
      <c r="BW878" s="43"/>
      <c r="BX878" s="43"/>
      <c r="BY878" s="43"/>
      <c r="BZ878" s="43"/>
      <c r="CA878" s="43"/>
      <c r="CB878" s="43"/>
      <c r="CC878" s="43"/>
      <c r="CD878" s="43"/>
      <c r="CE878" s="43"/>
      <c r="CF878" s="43"/>
      <c r="CG878" s="43"/>
      <c r="CH878" s="43"/>
      <c r="CI878" s="43"/>
      <c r="CJ878" s="43"/>
      <c r="CK878" s="43"/>
      <c r="CL878" s="43"/>
      <c r="CM878" s="43"/>
      <c r="CN878" s="43"/>
      <c r="CO878" s="43"/>
      <c r="CP878" s="43"/>
      <c r="CQ878" s="43"/>
      <c r="CR878" s="43"/>
      <c r="CS878" s="43"/>
      <c r="CT878" s="43"/>
      <c r="CU878" s="43"/>
      <c r="CV878" s="43"/>
      <c r="CW878" s="43"/>
      <c r="CX878" s="43"/>
      <c r="CY878" s="43"/>
      <c r="CZ878" s="43"/>
      <c r="DA878" s="43"/>
      <c r="DB878" s="43"/>
      <c r="DC878" s="43"/>
      <c r="DD878" s="43"/>
      <c r="DE878" s="43"/>
      <c r="DF878" s="43"/>
      <c r="DG878" s="43"/>
      <c r="DH878" s="43"/>
      <c r="DI878" s="43"/>
      <c r="DJ878" s="43"/>
      <c r="DK878" s="43"/>
      <c r="DL878" s="43"/>
      <c r="DM878" s="43"/>
      <c r="DN878" s="43"/>
      <c r="DO878" s="43"/>
      <c r="DP878" s="43"/>
      <c r="DQ878" s="43"/>
      <c r="DR878" s="43"/>
      <c r="DS878" s="43"/>
    </row>
    <row r="879" spans="1:123" ht="14.45">
      <c r="A879"/>
      <c r="B879"/>
      <c r="C879"/>
      <c r="D879"/>
      <c r="E879"/>
      <c r="F879"/>
      <c r="G879"/>
      <c r="H879"/>
      <c r="I879"/>
      <c r="J879"/>
      <c r="K879" s="43"/>
      <c r="L879" s="43"/>
      <c r="M879" s="43"/>
      <c r="N879" s="43"/>
      <c r="O879" s="43"/>
      <c r="P879" s="43"/>
      <c r="Q879" s="43"/>
      <c r="R879" s="43"/>
      <c r="S879" s="43"/>
      <c r="T879" s="43"/>
      <c r="U879" s="43"/>
      <c r="V879" s="43"/>
      <c r="W879" s="43"/>
      <c r="X879" s="43"/>
      <c r="Y879" s="43"/>
      <c r="Z879" s="43"/>
      <c r="AA879" s="43"/>
      <c r="AB879" s="43"/>
      <c r="AC879" s="43"/>
      <c r="AD879" s="43"/>
      <c r="AE879" s="43"/>
      <c r="AF879" s="43"/>
      <c r="AG879" s="43"/>
      <c r="AH879" s="43"/>
      <c r="AI879" s="43"/>
      <c r="AJ879" s="43"/>
      <c r="AK879" s="43"/>
      <c r="AL879" s="43"/>
      <c r="AM879" s="43"/>
      <c r="AN879" s="43"/>
      <c r="AO879" s="43"/>
      <c r="AP879" s="43"/>
      <c r="AQ879" s="43"/>
      <c r="AR879" s="43"/>
      <c r="AS879" s="43"/>
      <c r="AT879" s="43"/>
      <c r="AU879" s="43"/>
      <c r="AV879" s="43"/>
      <c r="AW879" s="43"/>
      <c r="AX879" s="43"/>
      <c r="AY879" s="43"/>
      <c r="AZ879" s="43"/>
      <c r="BA879" s="43"/>
      <c r="BB879" s="43"/>
      <c r="BC879" s="43"/>
      <c r="BD879" s="43"/>
      <c r="BE879" s="43"/>
      <c r="BF879" s="43"/>
      <c r="BG879" s="43"/>
      <c r="BH879" s="43"/>
      <c r="BI879" s="43"/>
      <c r="BJ879" s="43"/>
      <c r="BK879" s="43"/>
      <c r="BL879" s="43"/>
      <c r="BM879" s="43"/>
      <c r="BN879" s="43"/>
      <c r="BO879" s="43"/>
      <c r="BP879" s="43"/>
      <c r="BQ879" s="43"/>
      <c r="BR879" s="43"/>
      <c r="BS879" s="43"/>
      <c r="BT879" s="43"/>
      <c r="BU879" s="43"/>
      <c r="BV879" s="43"/>
      <c r="BW879" s="43"/>
      <c r="BX879" s="43"/>
      <c r="BY879" s="43"/>
      <c r="BZ879" s="43"/>
      <c r="CA879" s="43"/>
      <c r="CB879" s="43"/>
      <c r="CC879" s="43"/>
      <c r="CD879" s="43"/>
      <c r="CE879" s="43"/>
      <c r="CF879" s="43"/>
      <c r="CG879" s="43"/>
      <c r="CH879" s="43"/>
      <c r="CI879" s="43"/>
      <c r="CJ879" s="43"/>
      <c r="CK879" s="43"/>
      <c r="CL879" s="43"/>
      <c r="CM879" s="43"/>
      <c r="CN879" s="43"/>
      <c r="CO879" s="43"/>
      <c r="CP879" s="43"/>
      <c r="CQ879" s="43"/>
      <c r="CR879" s="43"/>
      <c r="CS879" s="43"/>
      <c r="CT879" s="43"/>
      <c r="CU879" s="43"/>
      <c r="CV879" s="43"/>
      <c r="CW879" s="43"/>
      <c r="CX879" s="43"/>
      <c r="CY879" s="43"/>
      <c r="CZ879" s="43"/>
      <c r="DA879" s="43"/>
      <c r="DB879" s="43"/>
      <c r="DC879" s="43"/>
      <c r="DD879" s="43"/>
      <c r="DE879" s="43"/>
      <c r="DF879" s="43"/>
      <c r="DG879" s="43"/>
      <c r="DH879" s="43"/>
      <c r="DI879" s="43"/>
      <c r="DJ879" s="43"/>
      <c r="DK879" s="43"/>
      <c r="DL879" s="43"/>
      <c r="DM879" s="43"/>
      <c r="DN879" s="43"/>
      <c r="DO879" s="43"/>
      <c r="DP879" s="43"/>
      <c r="DQ879" s="43"/>
      <c r="DR879" s="43"/>
      <c r="DS879" s="43"/>
    </row>
    <row r="880" spans="1:123" ht="14.45">
      <c r="A880"/>
      <c r="B880"/>
      <c r="C880"/>
      <c r="D880"/>
      <c r="E880"/>
      <c r="F880"/>
      <c r="G880"/>
      <c r="H880"/>
      <c r="I880"/>
      <c r="J880"/>
      <c r="K880" s="43"/>
      <c r="L880" s="43"/>
      <c r="M880" s="43"/>
      <c r="N880" s="43"/>
      <c r="O880" s="43"/>
      <c r="P880" s="43"/>
      <c r="Q880" s="43"/>
      <c r="R880" s="43"/>
      <c r="S880" s="43"/>
      <c r="T880" s="43"/>
      <c r="U880" s="43"/>
      <c r="V880" s="43"/>
      <c r="W880" s="43"/>
      <c r="X880" s="43"/>
      <c r="Y880" s="43"/>
      <c r="Z880" s="43"/>
      <c r="AA880" s="43"/>
      <c r="AB880" s="43"/>
      <c r="AC880" s="43"/>
      <c r="AD880" s="43"/>
      <c r="AE880" s="43"/>
      <c r="AF880" s="43"/>
      <c r="AG880" s="43"/>
      <c r="AH880" s="43"/>
      <c r="AI880" s="43"/>
      <c r="AJ880" s="43"/>
      <c r="AK880" s="43"/>
      <c r="AL880" s="43"/>
      <c r="AM880" s="43"/>
      <c r="AN880" s="43"/>
      <c r="AO880" s="43"/>
      <c r="AP880" s="43"/>
      <c r="AQ880" s="43"/>
      <c r="AR880" s="43"/>
      <c r="AS880" s="43"/>
      <c r="AT880" s="43"/>
      <c r="AU880" s="43"/>
      <c r="AV880" s="43"/>
      <c r="AW880" s="43"/>
      <c r="AX880" s="43"/>
      <c r="AY880" s="43"/>
      <c r="AZ880" s="43"/>
      <c r="BA880" s="43"/>
      <c r="BB880" s="43"/>
      <c r="BC880" s="43"/>
      <c r="BD880" s="43"/>
      <c r="BE880" s="43"/>
      <c r="BF880" s="43"/>
      <c r="BG880" s="43"/>
      <c r="BH880" s="43"/>
      <c r="BI880" s="43"/>
      <c r="BJ880" s="43"/>
      <c r="BK880" s="43"/>
      <c r="BL880" s="43"/>
      <c r="BM880" s="43"/>
      <c r="BN880" s="43"/>
      <c r="BO880" s="43"/>
      <c r="BP880" s="43"/>
      <c r="BQ880" s="43"/>
      <c r="BR880" s="43"/>
      <c r="BS880" s="43"/>
      <c r="BT880" s="43"/>
      <c r="BU880" s="43"/>
      <c r="BV880" s="43"/>
      <c r="BW880" s="43"/>
      <c r="BX880" s="43"/>
      <c r="BY880" s="43"/>
      <c r="BZ880" s="43"/>
      <c r="CA880" s="43"/>
      <c r="CB880" s="43"/>
      <c r="CC880" s="43"/>
      <c r="CD880" s="43"/>
      <c r="CE880" s="43"/>
      <c r="CF880" s="43"/>
      <c r="CG880" s="43"/>
      <c r="CH880" s="43"/>
      <c r="CI880" s="43"/>
      <c r="CJ880" s="43"/>
      <c r="CK880" s="43"/>
      <c r="CL880" s="43"/>
      <c r="CM880" s="43"/>
      <c r="CN880" s="43"/>
      <c r="CO880" s="43"/>
      <c r="CP880" s="43"/>
      <c r="CQ880" s="43"/>
      <c r="CR880" s="43"/>
      <c r="CS880" s="43"/>
      <c r="CT880" s="43"/>
      <c r="CU880" s="43"/>
      <c r="CV880" s="43"/>
      <c r="CW880" s="43"/>
      <c r="CX880" s="43"/>
      <c r="CY880" s="43"/>
      <c r="CZ880" s="43"/>
      <c r="DA880" s="43"/>
      <c r="DB880" s="43"/>
      <c r="DC880" s="43"/>
      <c r="DD880" s="43"/>
      <c r="DE880" s="43"/>
      <c r="DF880" s="43"/>
      <c r="DG880" s="43"/>
      <c r="DH880" s="43"/>
      <c r="DI880" s="43"/>
      <c r="DJ880" s="43"/>
      <c r="DK880" s="43"/>
      <c r="DL880" s="43"/>
      <c r="DM880" s="43"/>
      <c r="DN880" s="43"/>
      <c r="DO880" s="43"/>
      <c r="DP880" s="43"/>
      <c r="DQ880" s="43"/>
      <c r="DR880" s="43"/>
      <c r="DS880" s="43"/>
    </row>
    <row r="881" spans="1:123" ht="14.45">
      <c r="A881"/>
      <c r="B881"/>
      <c r="C881"/>
      <c r="D881"/>
      <c r="E881"/>
      <c r="F881"/>
      <c r="G881"/>
      <c r="H881"/>
      <c r="I881"/>
      <c r="J881"/>
      <c r="K881" s="43"/>
      <c r="L881" s="43"/>
      <c r="M881" s="43"/>
      <c r="N881" s="43"/>
      <c r="O881" s="43"/>
      <c r="P881" s="43"/>
      <c r="Q881" s="43"/>
      <c r="R881" s="43"/>
      <c r="S881" s="43"/>
      <c r="T881" s="43"/>
      <c r="U881" s="43"/>
      <c r="V881" s="43"/>
      <c r="W881" s="43"/>
      <c r="X881" s="43"/>
      <c r="Y881" s="43"/>
      <c r="Z881" s="43"/>
      <c r="AA881" s="43"/>
      <c r="AB881" s="43"/>
      <c r="AC881" s="43"/>
      <c r="AD881" s="43"/>
      <c r="AE881" s="43"/>
      <c r="AF881" s="43"/>
      <c r="AG881" s="43"/>
      <c r="AH881" s="43"/>
      <c r="AI881" s="43"/>
      <c r="AJ881" s="43"/>
      <c r="AK881" s="43"/>
      <c r="AL881" s="43"/>
      <c r="AM881" s="43"/>
      <c r="AN881" s="43"/>
      <c r="AO881" s="43"/>
      <c r="AP881" s="43"/>
      <c r="AQ881" s="43"/>
      <c r="AR881" s="43"/>
      <c r="AS881" s="43"/>
      <c r="AT881" s="43"/>
      <c r="AU881" s="43"/>
      <c r="AV881" s="43"/>
      <c r="AW881" s="43"/>
      <c r="AX881" s="43"/>
      <c r="AY881" s="43"/>
      <c r="AZ881" s="43"/>
      <c r="BA881" s="43"/>
      <c r="BB881" s="43"/>
      <c r="BC881" s="43"/>
      <c r="BD881" s="43"/>
      <c r="BE881" s="43"/>
      <c r="BF881" s="43"/>
      <c r="BG881" s="43"/>
      <c r="BH881" s="43"/>
      <c r="BI881" s="43"/>
      <c r="BJ881" s="43"/>
      <c r="BK881" s="43"/>
      <c r="BL881" s="43"/>
      <c r="BM881" s="43"/>
      <c r="BN881" s="43"/>
      <c r="BO881" s="43"/>
      <c r="BP881" s="43"/>
      <c r="BQ881" s="43"/>
      <c r="BR881" s="43"/>
      <c r="BS881" s="43"/>
      <c r="BT881" s="43"/>
      <c r="BU881" s="43"/>
      <c r="BV881" s="43"/>
      <c r="BW881" s="43"/>
      <c r="BX881" s="43"/>
      <c r="BY881" s="43"/>
      <c r="BZ881" s="43"/>
      <c r="CA881" s="43"/>
      <c r="CB881" s="43"/>
      <c r="CC881" s="43"/>
      <c r="CD881" s="43"/>
      <c r="CE881" s="43"/>
      <c r="CF881" s="43"/>
      <c r="CG881" s="43"/>
      <c r="CH881" s="43"/>
      <c r="CI881" s="43"/>
      <c r="CJ881" s="43"/>
      <c r="CK881" s="43"/>
      <c r="CL881" s="43"/>
      <c r="CM881" s="43"/>
      <c r="CN881" s="43"/>
      <c r="CO881" s="43"/>
      <c r="CP881" s="43"/>
      <c r="CQ881" s="43"/>
      <c r="CR881" s="43"/>
      <c r="CS881" s="43"/>
      <c r="CT881" s="43"/>
      <c r="CU881" s="43"/>
      <c r="CV881" s="43"/>
      <c r="CW881" s="43"/>
      <c r="CX881" s="43"/>
      <c r="CY881" s="43"/>
      <c r="CZ881" s="43"/>
      <c r="DA881" s="43"/>
      <c r="DB881" s="43"/>
      <c r="DC881" s="43"/>
      <c r="DD881" s="43"/>
      <c r="DE881" s="43"/>
      <c r="DF881" s="43"/>
      <c r="DG881" s="43"/>
      <c r="DH881" s="43"/>
      <c r="DI881" s="43"/>
      <c r="DJ881" s="43"/>
      <c r="DK881" s="43"/>
      <c r="DL881" s="43"/>
      <c r="DM881" s="43"/>
      <c r="DN881" s="43"/>
      <c r="DO881" s="43"/>
      <c r="DP881" s="43"/>
      <c r="DQ881" s="43"/>
      <c r="DR881" s="43"/>
      <c r="DS881" s="43"/>
    </row>
    <row r="882" spans="1:123" ht="14.45">
      <c r="A882"/>
      <c r="B882"/>
      <c r="C882"/>
      <c r="D882"/>
      <c r="E882"/>
      <c r="F882"/>
      <c r="G882"/>
      <c r="H882"/>
      <c r="I882"/>
      <c r="J882"/>
      <c r="K882" s="43"/>
      <c r="L882" s="43"/>
      <c r="M882" s="43"/>
      <c r="N882" s="43"/>
      <c r="O882" s="43"/>
      <c r="P882" s="43"/>
      <c r="Q882" s="43"/>
      <c r="R882" s="43"/>
      <c r="S882" s="43"/>
      <c r="T882" s="43"/>
      <c r="U882" s="43"/>
      <c r="V882" s="43"/>
      <c r="W882" s="43"/>
      <c r="X882" s="43"/>
      <c r="Y882" s="43"/>
      <c r="Z882" s="43"/>
      <c r="AA882" s="43"/>
      <c r="AB882" s="43"/>
      <c r="AC882" s="43"/>
      <c r="AD882" s="43"/>
      <c r="AE882" s="43"/>
      <c r="AF882" s="43"/>
      <c r="AG882" s="43"/>
      <c r="AH882" s="43"/>
      <c r="AI882" s="43"/>
      <c r="AJ882" s="43"/>
      <c r="AK882" s="43"/>
      <c r="AL882" s="43"/>
      <c r="AM882" s="43"/>
      <c r="AN882" s="43"/>
      <c r="AO882" s="43"/>
      <c r="AP882" s="43"/>
      <c r="AQ882" s="43"/>
      <c r="AR882" s="43"/>
      <c r="AS882" s="43"/>
      <c r="AT882" s="43"/>
      <c r="AU882" s="43"/>
      <c r="AV882" s="43"/>
      <c r="AW882" s="43"/>
      <c r="AX882" s="43"/>
      <c r="AY882" s="43"/>
      <c r="AZ882" s="43"/>
      <c r="BA882" s="43"/>
      <c r="BB882" s="43"/>
      <c r="BC882" s="43"/>
      <c r="BD882" s="43"/>
      <c r="BE882" s="43"/>
      <c r="BF882" s="43"/>
      <c r="BG882" s="43"/>
      <c r="BH882" s="43"/>
      <c r="BI882" s="43"/>
      <c r="BJ882" s="43"/>
      <c r="BK882" s="43"/>
      <c r="BL882" s="43"/>
      <c r="BM882" s="43"/>
      <c r="BN882" s="43"/>
      <c r="BO882" s="43"/>
      <c r="BP882" s="43"/>
      <c r="BQ882" s="43"/>
      <c r="BR882" s="43"/>
      <c r="BS882" s="43"/>
      <c r="BT882" s="43"/>
      <c r="BU882" s="43"/>
      <c r="BV882" s="43"/>
      <c r="BW882" s="43"/>
      <c r="BX882" s="43"/>
      <c r="BY882" s="43"/>
      <c r="BZ882" s="43"/>
      <c r="CA882" s="43"/>
      <c r="CB882" s="43"/>
      <c r="CC882" s="43"/>
      <c r="CD882" s="43"/>
      <c r="CE882" s="43"/>
      <c r="CF882" s="43"/>
      <c r="CG882" s="43"/>
      <c r="CH882" s="43"/>
      <c r="CI882" s="43"/>
      <c r="CJ882" s="43"/>
      <c r="CK882" s="43"/>
      <c r="CL882" s="43"/>
      <c r="CM882" s="43"/>
      <c r="CN882" s="43"/>
      <c r="CO882" s="43"/>
      <c r="CP882" s="43"/>
      <c r="CQ882" s="43"/>
      <c r="CR882" s="43"/>
      <c r="CS882" s="43"/>
      <c r="CT882" s="43"/>
      <c r="CU882" s="43"/>
      <c r="CV882" s="43"/>
      <c r="CW882" s="43"/>
      <c r="CX882" s="43"/>
      <c r="CY882" s="43"/>
      <c r="CZ882" s="43"/>
      <c r="DA882" s="43"/>
      <c r="DB882" s="43"/>
      <c r="DC882" s="43"/>
      <c r="DD882" s="43"/>
      <c r="DE882" s="43"/>
      <c r="DF882" s="43"/>
      <c r="DG882" s="43"/>
      <c r="DH882" s="43"/>
      <c r="DI882" s="43"/>
      <c r="DJ882" s="43"/>
      <c r="DK882" s="43"/>
      <c r="DL882" s="43"/>
      <c r="DM882" s="43"/>
      <c r="DN882" s="43"/>
      <c r="DO882" s="43"/>
      <c r="DP882" s="43"/>
      <c r="DQ882" s="43"/>
      <c r="DR882" s="43"/>
      <c r="DS882" s="43"/>
    </row>
    <row r="883" spans="1:123" ht="14.45">
      <c r="A883"/>
      <c r="B883"/>
      <c r="C883"/>
      <c r="D883"/>
      <c r="E883"/>
      <c r="F883"/>
      <c r="G883"/>
      <c r="H883"/>
      <c r="I883"/>
      <c r="J883"/>
      <c r="K883" s="43"/>
      <c r="L883" s="43"/>
      <c r="M883" s="43"/>
      <c r="N883" s="43"/>
      <c r="O883" s="43"/>
      <c r="P883" s="43"/>
      <c r="Q883" s="43"/>
      <c r="R883" s="43"/>
      <c r="S883" s="43"/>
      <c r="T883" s="43"/>
      <c r="U883" s="43"/>
      <c r="V883" s="43"/>
      <c r="W883" s="43"/>
      <c r="X883" s="43"/>
      <c r="Y883" s="43"/>
      <c r="Z883" s="43"/>
      <c r="AA883" s="43"/>
      <c r="AB883" s="43"/>
      <c r="AC883" s="43"/>
      <c r="AD883" s="43"/>
      <c r="AE883" s="43"/>
      <c r="AF883" s="43"/>
      <c r="AG883" s="43"/>
      <c r="AH883" s="43"/>
      <c r="AI883" s="43"/>
      <c r="AJ883" s="43"/>
      <c r="AK883" s="43"/>
      <c r="AL883" s="43"/>
      <c r="AM883" s="43"/>
      <c r="AN883" s="43"/>
      <c r="AO883" s="43"/>
      <c r="AP883" s="43"/>
      <c r="AQ883" s="43"/>
      <c r="AR883" s="43"/>
      <c r="AS883" s="43"/>
      <c r="AT883" s="43"/>
      <c r="AU883" s="43"/>
      <c r="AV883" s="43"/>
      <c r="AW883" s="43"/>
      <c r="AX883" s="43"/>
      <c r="AY883" s="43"/>
      <c r="AZ883" s="43"/>
      <c r="BA883" s="43"/>
      <c r="BB883" s="43"/>
      <c r="BC883" s="43"/>
      <c r="BD883" s="43"/>
      <c r="BE883" s="43"/>
      <c r="BF883" s="43"/>
      <c r="BG883" s="43"/>
      <c r="BH883" s="43"/>
      <c r="BI883" s="43"/>
      <c r="BJ883" s="43"/>
      <c r="BK883" s="43"/>
      <c r="BL883" s="43"/>
      <c r="BM883" s="43"/>
      <c r="BN883" s="43"/>
      <c r="BO883" s="43"/>
      <c r="BP883" s="43"/>
      <c r="BQ883" s="43"/>
      <c r="BR883" s="43"/>
      <c r="BS883" s="43"/>
      <c r="BT883" s="43"/>
      <c r="BU883" s="43"/>
      <c r="BV883" s="43"/>
      <c r="BW883" s="43"/>
      <c r="BX883" s="43"/>
      <c r="BY883" s="43"/>
      <c r="BZ883" s="43"/>
      <c r="CA883" s="43"/>
      <c r="CB883" s="43"/>
      <c r="CC883" s="43"/>
      <c r="CD883" s="43"/>
      <c r="CE883" s="43"/>
      <c r="CF883" s="43"/>
      <c r="CG883" s="43"/>
      <c r="CH883" s="43"/>
      <c r="CI883" s="43"/>
      <c r="CJ883" s="43"/>
      <c r="CK883" s="43"/>
      <c r="CL883" s="43"/>
      <c r="CM883" s="43"/>
      <c r="CN883" s="43"/>
      <c r="CO883" s="43"/>
      <c r="CP883" s="43"/>
      <c r="CQ883" s="43"/>
      <c r="CR883" s="43"/>
      <c r="CS883" s="43"/>
      <c r="CT883" s="43"/>
      <c r="CU883" s="43"/>
      <c r="CV883" s="43"/>
      <c r="CW883" s="43"/>
      <c r="CX883" s="43"/>
      <c r="CY883" s="43"/>
      <c r="CZ883" s="43"/>
      <c r="DA883" s="43"/>
      <c r="DB883" s="43"/>
      <c r="DC883" s="43"/>
      <c r="DD883" s="43"/>
      <c r="DE883" s="43"/>
      <c r="DF883" s="43"/>
      <c r="DG883" s="43"/>
      <c r="DH883" s="43"/>
      <c r="DI883" s="43"/>
      <c r="DJ883" s="43"/>
      <c r="DK883" s="43"/>
      <c r="DL883" s="43"/>
      <c r="DM883" s="43"/>
      <c r="DN883" s="43"/>
      <c r="DO883" s="43"/>
      <c r="DP883" s="43"/>
      <c r="DQ883" s="43"/>
      <c r="DR883" s="43"/>
      <c r="DS883" s="43"/>
    </row>
    <row r="884" spans="1:123" ht="14.45">
      <c r="A884"/>
      <c r="B884"/>
      <c r="C884"/>
      <c r="D884"/>
      <c r="E884"/>
      <c r="F884"/>
      <c r="G884"/>
      <c r="H884"/>
      <c r="I884"/>
      <c r="J884"/>
      <c r="K884" s="43"/>
      <c r="L884" s="43"/>
      <c r="M884" s="43"/>
      <c r="N884" s="43"/>
      <c r="O884" s="43"/>
      <c r="P884" s="43"/>
      <c r="Q884" s="43"/>
      <c r="R884" s="43"/>
      <c r="S884" s="43"/>
      <c r="T884" s="43"/>
      <c r="U884" s="43"/>
      <c r="V884" s="43"/>
      <c r="W884" s="43"/>
      <c r="X884" s="43"/>
      <c r="Y884" s="43"/>
      <c r="Z884" s="43"/>
      <c r="AA884" s="43"/>
      <c r="AB884" s="43"/>
      <c r="AC884" s="43"/>
      <c r="AD884" s="43"/>
      <c r="AE884" s="43"/>
      <c r="AF884" s="43"/>
      <c r="AG884" s="43"/>
      <c r="AH884" s="43"/>
      <c r="AI884" s="43"/>
      <c r="AJ884" s="43"/>
      <c r="AK884" s="43"/>
      <c r="AL884" s="43"/>
      <c r="AM884" s="43"/>
      <c r="AN884" s="43"/>
      <c r="AO884" s="43"/>
      <c r="AP884" s="43"/>
      <c r="AQ884" s="43"/>
      <c r="AR884" s="43"/>
      <c r="AS884" s="43"/>
      <c r="AT884" s="43"/>
      <c r="AU884" s="43"/>
      <c r="AV884" s="43"/>
      <c r="AW884" s="43"/>
      <c r="AX884" s="43"/>
      <c r="AY884" s="43"/>
      <c r="AZ884" s="43"/>
      <c r="BA884" s="43"/>
      <c r="BB884" s="43"/>
      <c r="BC884" s="43"/>
      <c r="BD884" s="43"/>
      <c r="BE884" s="43"/>
      <c r="BF884" s="43"/>
      <c r="BG884" s="43"/>
      <c r="BH884" s="43"/>
      <c r="BI884" s="43"/>
      <c r="BJ884" s="43"/>
      <c r="BK884" s="43"/>
      <c r="BL884" s="43"/>
      <c r="BM884" s="43"/>
      <c r="BN884" s="43"/>
      <c r="BO884" s="43"/>
      <c r="BP884" s="43"/>
      <c r="BQ884" s="43"/>
      <c r="BR884" s="43"/>
      <c r="BS884" s="43"/>
      <c r="BT884" s="43"/>
      <c r="BU884" s="43"/>
      <c r="BV884" s="43"/>
      <c r="BW884" s="43"/>
      <c r="BX884" s="43"/>
      <c r="BY884" s="43"/>
      <c r="BZ884" s="43"/>
      <c r="CA884" s="43"/>
      <c r="CB884" s="43"/>
      <c r="CC884" s="43"/>
      <c r="CD884" s="43"/>
      <c r="CE884" s="43"/>
      <c r="CF884" s="43"/>
      <c r="CG884" s="43"/>
      <c r="CH884" s="43"/>
      <c r="CI884" s="43"/>
      <c r="CJ884" s="43"/>
      <c r="CK884" s="43"/>
      <c r="CL884" s="43"/>
      <c r="CM884" s="43"/>
      <c r="CN884" s="43"/>
      <c r="CO884" s="43"/>
      <c r="CP884" s="43"/>
      <c r="CQ884" s="43"/>
      <c r="CR884" s="43"/>
      <c r="CS884" s="43"/>
      <c r="CT884" s="43"/>
      <c r="CU884" s="43"/>
      <c r="CV884" s="43"/>
      <c r="CW884" s="43"/>
      <c r="CX884" s="43"/>
      <c r="CY884" s="43"/>
      <c r="CZ884" s="43"/>
      <c r="DA884" s="43"/>
      <c r="DB884" s="43"/>
      <c r="DC884" s="43"/>
      <c r="DD884" s="43"/>
      <c r="DE884" s="43"/>
      <c r="DF884" s="43"/>
      <c r="DG884" s="43"/>
      <c r="DH884" s="43"/>
      <c r="DI884" s="43"/>
      <c r="DJ884" s="43"/>
      <c r="DK884" s="43"/>
      <c r="DL884" s="43"/>
      <c r="DM884" s="43"/>
      <c r="DN884" s="43"/>
      <c r="DO884" s="43"/>
      <c r="DP884" s="43"/>
      <c r="DQ884" s="43"/>
      <c r="DR884" s="43"/>
      <c r="DS884" s="43"/>
    </row>
    <row r="885" spans="1:123" ht="14.45">
      <c r="A885"/>
      <c r="B885"/>
      <c r="C885"/>
      <c r="D885"/>
      <c r="E885"/>
      <c r="F885"/>
      <c r="G885"/>
      <c r="H885"/>
      <c r="I885"/>
      <c r="J885"/>
      <c r="K885" s="43"/>
      <c r="L885" s="43"/>
      <c r="M885" s="43"/>
      <c r="N885" s="43"/>
      <c r="O885" s="43"/>
      <c r="P885" s="43"/>
      <c r="Q885" s="43"/>
      <c r="R885" s="43"/>
      <c r="S885" s="43"/>
      <c r="T885" s="43"/>
      <c r="U885" s="43"/>
      <c r="V885" s="43"/>
      <c r="W885" s="43"/>
      <c r="X885" s="43"/>
      <c r="Y885" s="43"/>
      <c r="Z885" s="43"/>
      <c r="AA885" s="43"/>
      <c r="AB885" s="43"/>
      <c r="AC885" s="43"/>
      <c r="AD885" s="43"/>
      <c r="AE885" s="43"/>
      <c r="AF885" s="43"/>
      <c r="AG885" s="43"/>
      <c r="AH885" s="43"/>
      <c r="AI885" s="43"/>
      <c r="AJ885" s="43"/>
      <c r="AK885" s="43"/>
      <c r="AL885" s="43"/>
      <c r="AM885" s="43"/>
      <c r="AN885" s="43"/>
      <c r="AO885" s="43"/>
      <c r="AP885" s="43"/>
      <c r="AQ885" s="43"/>
      <c r="AR885" s="43"/>
      <c r="AS885" s="43"/>
      <c r="AT885" s="43"/>
      <c r="AU885" s="43"/>
      <c r="AV885" s="43"/>
      <c r="AW885" s="43"/>
      <c r="AX885" s="43"/>
      <c r="AY885" s="43"/>
      <c r="AZ885" s="43"/>
      <c r="BA885" s="43"/>
      <c r="BB885" s="43"/>
      <c r="BC885" s="43"/>
      <c r="BD885" s="43"/>
      <c r="BE885" s="43"/>
      <c r="BF885" s="43"/>
      <c r="BG885" s="43"/>
      <c r="BH885" s="43"/>
      <c r="BI885" s="43"/>
      <c r="BJ885" s="43"/>
      <c r="BK885" s="43"/>
      <c r="BL885" s="43"/>
      <c r="BM885" s="43"/>
      <c r="BN885" s="43"/>
      <c r="BO885" s="43"/>
      <c r="BP885" s="43"/>
      <c r="BQ885" s="43"/>
      <c r="BR885" s="43"/>
      <c r="BS885" s="43"/>
      <c r="BT885" s="43"/>
      <c r="BU885" s="43"/>
      <c r="BV885" s="43"/>
      <c r="BW885" s="43"/>
      <c r="BX885" s="43"/>
      <c r="BY885" s="43"/>
      <c r="BZ885" s="43"/>
      <c r="CA885" s="43"/>
      <c r="CB885" s="43"/>
      <c r="CC885" s="43"/>
      <c r="CD885" s="43"/>
      <c r="CE885" s="43"/>
      <c r="CF885" s="43"/>
      <c r="CG885" s="43"/>
      <c r="CH885" s="43"/>
      <c r="CI885" s="43"/>
      <c r="CJ885" s="43"/>
      <c r="CK885" s="43"/>
      <c r="CL885" s="43"/>
      <c r="CM885" s="43"/>
      <c r="CN885" s="43"/>
      <c r="CO885" s="43"/>
      <c r="CP885" s="43"/>
      <c r="CQ885" s="43"/>
      <c r="CR885" s="43"/>
      <c r="CS885" s="43"/>
      <c r="CT885" s="43"/>
      <c r="CU885" s="43"/>
      <c r="CV885" s="43"/>
      <c r="CW885" s="43"/>
      <c r="CX885" s="43"/>
      <c r="CY885" s="43"/>
      <c r="CZ885" s="43"/>
      <c r="DA885" s="43"/>
      <c r="DB885" s="43"/>
      <c r="DC885" s="43"/>
      <c r="DD885" s="43"/>
      <c r="DE885" s="43"/>
      <c r="DF885" s="43"/>
      <c r="DG885" s="43"/>
      <c r="DH885" s="43"/>
      <c r="DI885" s="43"/>
      <c r="DJ885" s="43"/>
      <c r="DK885" s="43"/>
      <c r="DL885" s="43"/>
      <c r="DM885" s="43"/>
      <c r="DN885" s="43"/>
      <c r="DO885" s="43"/>
      <c r="DP885" s="43"/>
      <c r="DQ885" s="43"/>
      <c r="DR885" s="43"/>
      <c r="DS885" s="43"/>
    </row>
    <row r="886" spans="1:123" ht="14.45">
      <c r="A886"/>
      <c r="B886"/>
      <c r="C886"/>
      <c r="D886"/>
      <c r="E886"/>
      <c r="F886"/>
      <c r="G886"/>
      <c r="H886"/>
      <c r="I886"/>
      <c r="J886"/>
      <c r="K886" s="43"/>
      <c r="L886" s="43"/>
      <c r="M886" s="43"/>
      <c r="N886" s="43"/>
      <c r="O886" s="43"/>
      <c r="P886" s="43"/>
      <c r="Q886" s="43"/>
      <c r="R886" s="43"/>
      <c r="S886" s="43"/>
      <c r="T886" s="43"/>
      <c r="U886" s="43"/>
      <c r="V886" s="43"/>
      <c r="W886" s="43"/>
      <c r="X886" s="43"/>
      <c r="Y886" s="43"/>
      <c r="Z886" s="43"/>
      <c r="AA886" s="43"/>
      <c r="AB886" s="43"/>
      <c r="AC886" s="43"/>
      <c r="AD886" s="43"/>
      <c r="AE886" s="43"/>
      <c r="AF886" s="43"/>
      <c r="AG886" s="43"/>
      <c r="AH886" s="43"/>
      <c r="AI886" s="43"/>
      <c r="AJ886" s="43"/>
      <c r="AK886" s="43"/>
      <c r="AL886" s="43"/>
      <c r="AM886" s="43"/>
      <c r="AN886" s="43"/>
      <c r="AO886" s="43"/>
      <c r="AP886" s="43"/>
      <c r="AQ886" s="43"/>
      <c r="AR886" s="43"/>
      <c r="AS886" s="43"/>
      <c r="AT886" s="43"/>
      <c r="AU886" s="43"/>
      <c r="AV886" s="43"/>
      <c r="AW886" s="43"/>
      <c r="AX886" s="43"/>
      <c r="AY886" s="43"/>
      <c r="AZ886" s="43"/>
      <c r="BA886" s="43"/>
      <c r="BB886" s="43"/>
      <c r="BC886" s="43"/>
      <c r="BD886" s="43"/>
      <c r="BE886" s="43"/>
      <c r="BF886" s="43"/>
      <c r="BG886" s="43"/>
      <c r="BH886" s="43"/>
      <c r="BI886" s="43"/>
      <c r="BJ886" s="43"/>
      <c r="BK886" s="43"/>
      <c r="BL886" s="43"/>
      <c r="BM886" s="43"/>
      <c r="BN886" s="43"/>
      <c r="BO886" s="43"/>
      <c r="BP886" s="43"/>
      <c r="BQ886" s="43"/>
      <c r="BR886" s="43"/>
      <c r="BS886" s="43"/>
      <c r="BT886" s="43"/>
      <c r="BU886" s="43"/>
      <c r="BV886" s="43"/>
      <c r="BW886" s="43"/>
      <c r="BX886" s="43"/>
      <c r="BY886" s="43"/>
      <c r="BZ886" s="43"/>
      <c r="CA886" s="43"/>
      <c r="CB886" s="43"/>
      <c r="CC886" s="43"/>
      <c r="CD886" s="43"/>
      <c r="CE886" s="43"/>
      <c r="CF886" s="43"/>
      <c r="CG886" s="43"/>
      <c r="CH886" s="43"/>
      <c r="CI886" s="43"/>
      <c r="CJ886" s="43"/>
      <c r="CK886" s="43"/>
      <c r="CL886" s="43"/>
      <c r="CM886" s="43"/>
      <c r="CN886" s="43"/>
      <c r="CO886" s="43"/>
      <c r="CP886" s="43"/>
      <c r="CQ886" s="43"/>
      <c r="CR886" s="43"/>
      <c r="CS886" s="43"/>
      <c r="CT886" s="43"/>
      <c r="CU886" s="43"/>
      <c r="CV886" s="43"/>
      <c r="CW886" s="43"/>
      <c r="CX886" s="43"/>
      <c r="CY886" s="43"/>
      <c r="CZ886" s="43"/>
      <c r="DA886" s="43"/>
      <c r="DB886" s="43"/>
      <c r="DC886" s="43"/>
      <c r="DD886" s="43"/>
      <c r="DE886" s="43"/>
      <c r="DF886" s="43"/>
      <c r="DG886" s="43"/>
      <c r="DH886" s="43"/>
      <c r="DI886" s="43"/>
      <c r="DJ886" s="43"/>
      <c r="DK886" s="43"/>
      <c r="DL886" s="43"/>
      <c r="DM886" s="43"/>
      <c r="DN886" s="43"/>
      <c r="DO886" s="43"/>
      <c r="DP886" s="43"/>
      <c r="DQ886" s="43"/>
      <c r="DR886" s="43"/>
      <c r="DS886" s="43"/>
    </row>
    <row r="887" spans="1:123" ht="14.45">
      <c r="A887"/>
      <c r="B887"/>
      <c r="C887"/>
      <c r="D887"/>
      <c r="E887"/>
      <c r="F887"/>
      <c r="G887"/>
      <c r="H887"/>
      <c r="I887"/>
      <c r="J887"/>
      <c r="K887" s="43"/>
      <c r="L887" s="43"/>
      <c r="M887" s="43"/>
      <c r="N887" s="43"/>
      <c r="O887" s="43"/>
      <c r="P887" s="43"/>
      <c r="Q887" s="43"/>
      <c r="R887" s="43"/>
      <c r="S887" s="43"/>
      <c r="T887" s="43"/>
      <c r="U887" s="43"/>
      <c r="V887" s="43"/>
      <c r="W887" s="43"/>
      <c r="X887" s="43"/>
      <c r="Y887" s="43"/>
      <c r="Z887" s="43"/>
      <c r="AA887" s="43"/>
      <c r="AB887" s="43"/>
      <c r="AC887" s="43"/>
      <c r="AD887" s="43"/>
      <c r="AE887" s="43"/>
      <c r="AF887" s="43"/>
      <c r="AG887" s="43"/>
      <c r="AH887" s="43"/>
      <c r="AI887" s="43"/>
      <c r="AJ887" s="43"/>
      <c r="AK887" s="43"/>
      <c r="AL887" s="43"/>
      <c r="AM887" s="43"/>
      <c r="AN887" s="43"/>
      <c r="AO887" s="43"/>
      <c r="AP887" s="43"/>
      <c r="AQ887" s="43"/>
      <c r="AR887" s="43"/>
      <c r="AS887" s="43"/>
      <c r="AT887" s="43"/>
      <c r="AU887" s="43"/>
      <c r="AV887" s="43"/>
      <c r="AW887" s="43"/>
      <c r="AX887" s="43"/>
      <c r="AY887" s="43"/>
      <c r="AZ887" s="43"/>
      <c r="BA887" s="43"/>
      <c r="BB887" s="43"/>
      <c r="BC887" s="43"/>
      <c r="BD887" s="43"/>
      <c r="BE887" s="43"/>
      <c r="BF887" s="43"/>
      <c r="BG887" s="43"/>
      <c r="BH887" s="43"/>
      <c r="BI887" s="43"/>
      <c r="BJ887" s="43"/>
      <c r="BK887" s="43"/>
      <c r="BL887" s="43"/>
      <c r="BM887" s="43"/>
      <c r="BN887" s="43"/>
      <c r="BO887" s="43"/>
      <c r="BP887" s="43"/>
      <c r="BQ887" s="43"/>
      <c r="BR887" s="43"/>
      <c r="BS887" s="43"/>
      <c r="BT887" s="43"/>
      <c r="BU887" s="43"/>
      <c r="BV887" s="43"/>
      <c r="BW887" s="43"/>
      <c r="BX887" s="43"/>
      <c r="BY887" s="43"/>
      <c r="BZ887" s="43"/>
      <c r="CA887" s="43"/>
      <c r="CB887" s="43"/>
      <c r="CC887" s="43"/>
      <c r="CD887" s="43"/>
      <c r="CE887" s="43"/>
      <c r="CF887" s="43"/>
      <c r="CG887" s="43"/>
      <c r="CH887" s="43"/>
      <c r="CI887" s="43"/>
      <c r="CJ887" s="43"/>
      <c r="CK887" s="43"/>
      <c r="CL887" s="43"/>
      <c r="CM887" s="43"/>
      <c r="CN887" s="43"/>
      <c r="CO887" s="43"/>
      <c r="CP887" s="43"/>
      <c r="CQ887" s="43"/>
      <c r="CR887" s="43"/>
      <c r="CS887" s="43"/>
      <c r="CT887" s="43"/>
      <c r="CU887" s="43"/>
      <c r="CV887" s="43"/>
      <c r="CW887" s="43"/>
      <c r="CX887" s="43"/>
      <c r="CY887" s="43"/>
      <c r="CZ887" s="43"/>
      <c r="DA887" s="43"/>
      <c r="DB887" s="43"/>
      <c r="DC887" s="43"/>
      <c r="DD887" s="43"/>
      <c r="DE887" s="43"/>
      <c r="DF887" s="43"/>
      <c r="DG887" s="43"/>
      <c r="DH887" s="43"/>
      <c r="DI887" s="43"/>
      <c r="DJ887" s="43"/>
      <c r="DK887" s="43"/>
      <c r="DL887" s="43"/>
      <c r="DM887" s="43"/>
      <c r="DN887" s="43"/>
      <c r="DO887" s="43"/>
      <c r="DP887" s="43"/>
      <c r="DQ887" s="43"/>
      <c r="DR887" s="43"/>
      <c r="DS887" s="43"/>
    </row>
    <row r="888" spans="1:123" ht="14.45">
      <c r="A888"/>
      <c r="B888"/>
      <c r="C888"/>
      <c r="D888"/>
      <c r="E888"/>
      <c r="F888"/>
      <c r="G888"/>
      <c r="H888"/>
      <c r="I888"/>
      <c r="J888"/>
      <c r="K888" s="43"/>
      <c r="L888" s="43"/>
      <c r="M888" s="43"/>
      <c r="N888" s="43"/>
      <c r="O888" s="43"/>
      <c r="P888" s="43"/>
      <c r="Q888" s="43"/>
      <c r="R888" s="43"/>
      <c r="S888" s="43"/>
      <c r="T888" s="43"/>
      <c r="U888" s="43"/>
      <c r="V888" s="43"/>
      <c r="W888" s="43"/>
      <c r="X888" s="43"/>
      <c r="Y888" s="43"/>
      <c r="Z888" s="43"/>
      <c r="AA888" s="43"/>
      <c r="AB888" s="43"/>
      <c r="AC888" s="43"/>
      <c r="AD888" s="43"/>
      <c r="AE888" s="43"/>
      <c r="AF888" s="43"/>
      <c r="AG888" s="43"/>
      <c r="AH888" s="43"/>
      <c r="AI888" s="43"/>
      <c r="AJ888" s="43"/>
      <c r="AK888" s="43"/>
      <c r="AL888" s="43"/>
      <c r="AM888" s="43"/>
      <c r="AN888" s="43"/>
      <c r="AO888" s="43"/>
      <c r="AP888" s="43"/>
      <c r="AQ888" s="43"/>
      <c r="AR888" s="43"/>
      <c r="AS888" s="43"/>
      <c r="AT888" s="43"/>
      <c r="AU888" s="43"/>
      <c r="AV888" s="43"/>
      <c r="AW888" s="43"/>
      <c r="AX888" s="43"/>
      <c r="AY888" s="43"/>
      <c r="AZ888" s="43"/>
      <c r="BA888" s="43"/>
      <c r="BB888" s="43"/>
      <c r="BC888" s="43"/>
      <c r="BD888" s="43"/>
      <c r="BE888" s="43"/>
      <c r="BF888" s="43"/>
      <c r="BG888" s="43"/>
      <c r="BH888" s="43"/>
      <c r="BI888" s="43"/>
      <c r="BJ888" s="43"/>
      <c r="BK888" s="43"/>
      <c r="BL888" s="43"/>
      <c r="BM888" s="43"/>
      <c r="BN888" s="43"/>
      <c r="BO888" s="43"/>
      <c r="BP888" s="43"/>
      <c r="BQ888" s="43"/>
      <c r="BR888" s="43"/>
      <c r="BS888" s="43"/>
      <c r="BT888" s="43"/>
      <c r="BU888" s="43"/>
      <c r="BV888" s="43"/>
      <c r="BW888" s="43"/>
      <c r="BX888" s="43"/>
      <c r="BY888" s="43"/>
      <c r="BZ888" s="43"/>
      <c r="CA888" s="43"/>
      <c r="CB888" s="43"/>
      <c r="CC888" s="43"/>
      <c r="CD888" s="43"/>
      <c r="CE888" s="43"/>
      <c r="CF888" s="43"/>
      <c r="CG888" s="43"/>
      <c r="CH888" s="43"/>
      <c r="CI888" s="43"/>
      <c r="CJ888" s="43"/>
      <c r="CK888" s="43"/>
      <c r="CL888" s="43"/>
      <c r="CM888" s="43"/>
      <c r="CN888" s="43"/>
      <c r="CO888" s="43"/>
      <c r="CP888" s="43"/>
      <c r="CQ888" s="43"/>
      <c r="CR888" s="43"/>
      <c r="CS888" s="43"/>
      <c r="CT888" s="43"/>
      <c r="CU888" s="43"/>
      <c r="CV888" s="43"/>
      <c r="CW888" s="43"/>
      <c r="CX888" s="43"/>
      <c r="CY888" s="43"/>
      <c r="CZ888" s="43"/>
      <c r="DA888" s="43"/>
      <c r="DB888" s="43"/>
      <c r="DC888" s="43"/>
      <c r="DD888" s="43"/>
      <c r="DE888" s="43"/>
      <c r="DF888" s="43"/>
      <c r="DG888" s="43"/>
      <c r="DH888" s="43"/>
      <c r="DI888" s="43"/>
      <c r="DJ888" s="43"/>
      <c r="DK888" s="43"/>
      <c r="DL888" s="43"/>
      <c r="DM888" s="43"/>
      <c r="DN888" s="43"/>
      <c r="DO888" s="43"/>
      <c r="DP888" s="43"/>
      <c r="DQ888" s="43"/>
      <c r="DR888" s="43"/>
      <c r="DS888" s="43"/>
    </row>
    <row r="889" spans="1:123" ht="14.45">
      <c r="A889"/>
      <c r="B889"/>
      <c r="C889"/>
      <c r="D889"/>
      <c r="E889"/>
      <c r="F889"/>
      <c r="G889"/>
      <c r="H889"/>
      <c r="I889"/>
      <c r="J889"/>
      <c r="K889" s="43"/>
      <c r="L889" s="43"/>
      <c r="M889" s="43"/>
      <c r="N889" s="43"/>
      <c r="O889" s="43"/>
      <c r="P889" s="43"/>
      <c r="Q889" s="43"/>
      <c r="R889" s="43"/>
      <c r="S889" s="43"/>
      <c r="T889" s="43"/>
      <c r="U889" s="43"/>
      <c r="V889" s="43"/>
      <c r="W889" s="43"/>
      <c r="X889" s="43"/>
      <c r="Y889" s="43"/>
      <c r="Z889" s="43"/>
      <c r="AA889" s="43"/>
      <c r="AB889" s="43"/>
      <c r="AC889" s="43"/>
      <c r="AD889" s="43"/>
      <c r="AE889" s="43"/>
      <c r="AF889" s="43"/>
      <c r="AG889" s="43"/>
      <c r="AH889" s="43"/>
      <c r="AI889" s="43"/>
      <c r="AJ889" s="43"/>
      <c r="AK889" s="43"/>
      <c r="AL889" s="43"/>
      <c r="AM889" s="43"/>
      <c r="AN889" s="43"/>
      <c r="AO889" s="43"/>
      <c r="AP889" s="43"/>
      <c r="AQ889" s="43"/>
      <c r="AR889" s="43"/>
      <c r="AS889" s="43"/>
      <c r="AT889" s="43"/>
      <c r="AU889" s="43"/>
      <c r="AV889" s="43"/>
      <c r="AW889" s="43"/>
      <c r="AX889" s="43"/>
      <c r="AY889" s="43"/>
      <c r="AZ889" s="43"/>
      <c r="BA889" s="43"/>
      <c r="BB889" s="43"/>
      <c r="BC889" s="43"/>
      <c r="BD889" s="43"/>
      <c r="BE889" s="43"/>
      <c r="BF889" s="43"/>
      <c r="BG889" s="43"/>
      <c r="BH889" s="43"/>
      <c r="BI889" s="43"/>
      <c r="BJ889" s="43"/>
      <c r="BK889" s="43"/>
      <c r="BL889" s="43"/>
      <c r="BM889" s="43"/>
      <c r="BN889" s="43"/>
      <c r="BO889" s="43"/>
      <c r="BP889" s="43"/>
      <c r="BQ889" s="43"/>
      <c r="BR889" s="43"/>
      <c r="BS889" s="43"/>
      <c r="BT889" s="43"/>
      <c r="BU889" s="43"/>
      <c r="BV889" s="43"/>
      <c r="BW889" s="43"/>
      <c r="BX889" s="43"/>
      <c r="BY889" s="43"/>
      <c r="BZ889" s="43"/>
      <c r="CA889" s="43"/>
      <c r="CB889" s="43"/>
      <c r="CC889" s="43"/>
      <c r="CD889" s="43"/>
      <c r="CE889" s="43"/>
      <c r="CF889" s="43"/>
      <c r="CG889" s="43"/>
      <c r="CH889" s="43"/>
      <c r="CI889" s="43"/>
      <c r="CJ889" s="43"/>
      <c r="CK889" s="43"/>
      <c r="CL889" s="43"/>
      <c r="CM889" s="43"/>
      <c r="CN889" s="43"/>
      <c r="CO889" s="43"/>
      <c r="CP889" s="43"/>
      <c r="CQ889" s="43"/>
      <c r="CR889" s="43"/>
      <c r="CS889" s="43"/>
      <c r="CT889" s="43"/>
      <c r="CU889" s="43"/>
      <c r="CV889" s="43"/>
      <c r="CW889" s="43"/>
      <c r="CX889" s="43"/>
      <c r="CY889" s="43"/>
      <c r="CZ889" s="43"/>
      <c r="DA889" s="43"/>
      <c r="DB889" s="43"/>
      <c r="DC889" s="43"/>
      <c r="DD889" s="43"/>
      <c r="DE889" s="43"/>
      <c r="DF889" s="43"/>
      <c r="DG889" s="43"/>
      <c r="DH889" s="43"/>
      <c r="DI889" s="43"/>
      <c r="DJ889" s="43"/>
      <c r="DK889" s="43"/>
      <c r="DL889" s="43"/>
      <c r="DM889" s="43"/>
      <c r="DN889" s="43"/>
      <c r="DO889" s="43"/>
      <c r="DP889" s="43"/>
      <c r="DQ889" s="43"/>
      <c r="DR889" s="43"/>
      <c r="DS889" s="43"/>
    </row>
    <row r="890" spans="1:123" ht="14.45">
      <c r="A890"/>
      <c r="B890"/>
      <c r="C890"/>
      <c r="D890"/>
      <c r="E890"/>
      <c r="F890"/>
      <c r="G890"/>
      <c r="H890"/>
      <c r="I890"/>
      <c r="J890"/>
      <c r="K890" s="43"/>
      <c r="L890" s="43"/>
      <c r="M890" s="43"/>
      <c r="N890" s="43"/>
      <c r="O890" s="43"/>
      <c r="P890" s="43"/>
      <c r="Q890" s="43"/>
      <c r="R890" s="43"/>
      <c r="S890" s="43"/>
      <c r="T890" s="43"/>
      <c r="U890" s="43"/>
      <c r="V890" s="43"/>
      <c r="W890" s="43"/>
      <c r="X890" s="43"/>
      <c r="Y890" s="43"/>
      <c r="Z890" s="43"/>
      <c r="AA890" s="43"/>
      <c r="AB890" s="43"/>
      <c r="AC890" s="43"/>
      <c r="AD890" s="43"/>
      <c r="AE890" s="43"/>
      <c r="AF890" s="43"/>
      <c r="AG890" s="43"/>
      <c r="AH890" s="43"/>
      <c r="AI890" s="43"/>
      <c r="AJ890" s="43"/>
      <c r="AK890" s="43"/>
      <c r="AL890" s="43"/>
      <c r="AM890" s="43"/>
      <c r="AN890" s="43"/>
      <c r="AO890" s="43"/>
      <c r="AP890" s="43"/>
      <c r="AQ890" s="43"/>
      <c r="AR890" s="43"/>
      <c r="AS890" s="43"/>
      <c r="AT890" s="43"/>
      <c r="AU890" s="43"/>
      <c r="AV890" s="43"/>
      <c r="AW890" s="43"/>
      <c r="AX890" s="43"/>
      <c r="AY890" s="43"/>
      <c r="AZ890" s="43"/>
      <c r="BA890" s="43"/>
      <c r="BB890" s="43"/>
      <c r="BC890" s="43"/>
      <c r="BD890" s="43"/>
      <c r="BE890" s="43"/>
      <c r="BF890" s="43"/>
      <c r="BG890" s="43"/>
      <c r="BH890" s="43"/>
      <c r="BI890" s="43"/>
      <c r="BJ890" s="43"/>
      <c r="BK890" s="43"/>
      <c r="BL890" s="43"/>
      <c r="BM890" s="43"/>
      <c r="BN890" s="43"/>
      <c r="BO890" s="43"/>
      <c r="BP890" s="43"/>
      <c r="BQ890" s="43"/>
      <c r="BR890" s="43"/>
      <c r="BS890" s="43"/>
      <c r="BT890" s="43"/>
      <c r="BU890" s="43"/>
      <c r="BV890" s="43"/>
      <c r="BW890" s="43"/>
      <c r="BX890" s="43"/>
      <c r="BY890" s="43"/>
      <c r="BZ890" s="43"/>
      <c r="CA890" s="43"/>
      <c r="CB890" s="43"/>
      <c r="CC890" s="43"/>
      <c r="CD890" s="43"/>
      <c r="CE890" s="43"/>
      <c r="CF890" s="43"/>
      <c r="CG890" s="43"/>
      <c r="CH890" s="43"/>
      <c r="CI890" s="43"/>
      <c r="CJ890" s="43"/>
      <c r="CK890" s="43"/>
      <c r="CL890" s="43"/>
      <c r="CM890" s="43"/>
      <c r="CN890" s="43"/>
      <c r="CO890" s="43"/>
      <c r="CP890" s="43"/>
      <c r="CQ890" s="43"/>
      <c r="CR890" s="43"/>
      <c r="CS890" s="43"/>
      <c r="CT890" s="43"/>
      <c r="CU890" s="43"/>
      <c r="CV890" s="43"/>
      <c r="CW890" s="43"/>
      <c r="CX890" s="43"/>
      <c r="CY890" s="43"/>
      <c r="CZ890" s="43"/>
      <c r="DA890" s="43"/>
      <c r="DB890" s="43"/>
      <c r="DC890" s="43"/>
      <c r="DD890" s="43"/>
      <c r="DE890" s="43"/>
      <c r="DF890" s="43"/>
      <c r="DG890" s="43"/>
      <c r="DH890" s="43"/>
      <c r="DI890" s="43"/>
      <c r="DJ890" s="43"/>
      <c r="DK890" s="43"/>
      <c r="DL890" s="43"/>
      <c r="DM890" s="43"/>
      <c r="DN890" s="43"/>
      <c r="DO890" s="43"/>
      <c r="DP890" s="43"/>
      <c r="DQ890" s="43"/>
      <c r="DR890" s="43"/>
      <c r="DS890" s="43"/>
    </row>
    <row r="891" spans="1:123" ht="14.45">
      <c r="A891"/>
      <c r="B891"/>
      <c r="C891"/>
      <c r="D891"/>
      <c r="E891"/>
      <c r="F891"/>
      <c r="G891"/>
      <c r="H891"/>
      <c r="I891"/>
      <c r="J891"/>
      <c r="K891" s="43"/>
      <c r="L891" s="43"/>
      <c r="M891" s="43"/>
      <c r="N891" s="43"/>
      <c r="O891" s="43"/>
      <c r="P891" s="43"/>
      <c r="Q891" s="43"/>
      <c r="R891" s="43"/>
      <c r="S891" s="43"/>
      <c r="T891" s="43"/>
      <c r="U891" s="43"/>
      <c r="V891" s="43"/>
      <c r="W891" s="43"/>
      <c r="X891" s="43"/>
      <c r="Y891" s="43"/>
      <c r="Z891" s="43"/>
      <c r="AA891" s="43"/>
      <c r="AB891" s="43"/>
      <c r="AC891" s="43"/>
      <c r="AD891" s="43"/>
      <c r="AE891" s="43"/>
      <c r="AF891" s="43"/>
      <c r="AG891" s="43"/>
      <c r="AH891" s="43"/>
      <c r="AI891" s="43"/>
      <c r="AJ891" s="43"/>
      <c r="AK891" s="43"/>
      <c r="AL891" s="43"/>
      <c r="AM891" s="43"/>
      <c r="AN891" s="43"/>
      <c r="AO891" s="43"/>
      <c r="AP891" s="43"/>
      <c r="AQ891" s="43"/>
      <c r="AR891" s="43"/>
      <c r="AS891" s="43"/>
      <c r="AT891" s="43"/>
      <c r="AU891" s="43"/>
      <c r="AV891" s="43"/>
      <c r="AW891" s="43"/>
      <c r="AX891" s="43"/>
      <c r="AY891" s="43"/>
      <c r="AZ891" s="43"/>
      <c r="BA891" s="43"/>
      <c r="BB891" s="43"/>
      <c r="BC891" s="43"/>
      <c r="BD891" s="43"/>
      <c r="BE891" s="43"/>
      <c r="BF891" s="43"/>
      <c r="BG891" s="43"/>
      <c r="BH891" s="43"/>
      <c r="BI891" s="43"/>
      <c r="BJ891" s="43"/>
      <c r="BK891" s="43"/>
      <c r="BL891" s="43"/>
      <c r="BM891" s="43"/>
      <c r="BN891" s="43"/>
      <c r="BO891" s="43"/>
      <c r="BP891" s="43"/>
      <c r="BQ891" s="43"/>
      <c r="BR891" s="43"/>
      <c r="BS891" s="43"/>
      <c r="BT891" s="43"/>
      <c r="BU891" s="43"/>
      <c r="BV891" s="43"/>
      <c r="BW891" s="43"/>
      <c r="BX891" s="43"/>
      <c r="BY891" s="43"/>
      <c r="BZ891" s="43"/>
      <c r="CA891" s="43"/>
      <c r="CB891" s="43"/>
      <c r="CC891" s="43"/>
      <c r="CD891" s="43"/>
      <c r="CE891" s="43"/>
      <c r="CF891" s="43"/>
      <c r="CG891" s="43"/>
      <c r="CH891" s="43"/>
      <c r="CI891" s="43"/>
      <c r="CJ891" s="43"/>
      <c r="CK891" s="43"/>
      <c r="CL891" s="43"/>
      <c r="CM891" s="43"/>
      <c r="CN891" s="43"/>
      <c r="CO891" s="43"/>
      <c r="CP891" s="43"/>
      <c r="CQ891" s="43"/>
      <c r="CR891" s="43"/>
      <c r="CS891" s="43"/>
      <c r="CT891" s="43"/>
      <c r="CU891" s="43"/>
      <c r="CV891" s="43"/>
      <c r="CW891" s="43"/>
      <c r="CX891" s="43"/>
      <c r="CY891" s="43"/>
      <c r="CZ891" s="43"/>
      <c r="DA891" s="43"/>
      <c r="DB891" s="43"/>
      <c r="DC891" s="43"/>
      <c r="DD891" s="43"/>
      <c r="DE891" s="43"/>
      <c r="DF891" s="43"/>
      <c r="DG891" s="43"/>
      <c r="DH891" s="43"/>
      <c r="DI891" s="43"/>
      <c r="DJ891" s="43"/>
      <c r="DK891" s="43"/>
      <c r="DL891" s="43"/>
      <c r="DM891" s="43"/>
      <c r="DN891" s="43"/>
      <c r="DO891" s="43"/>
      <c r="DP891" s="43"/>
      <c r="DQ891" s="43"/>
      <c r="DR891" s="43"/>
      <c r="DS891" s="43"/>
    </row>
    <row r="892" spans="1:123" ht="14.45">
      <c r="A892"/>
      <c r="B892"/>
      <c r="C892"/>
      <c r="D892"/>
      <c r="E892"/>
      <c r="F892"/>
      <c r="G892"/>
      <c r="H892"/>
      <c r="I892"/>
      <c r="J892"/>
      <c r="K892" s="43"/>
      <c r="L892" s="43"/>
      <c r="M892" s="43"/>
      <c r="N892" s="43"/>
      <c r="O892" s="43"/>
      <c r="P892" s="43"/>
      <c r="Q892" s="43"/>
      <c r="R892" s="43"/>
      <c r="S892" s="43"/>
      <c r="T892" s="43"/>
      <c r="U892" s="43"/>
      <c r="V892" s="43"/>
      <c r="W892" s="43"/>
      <c r="X892" s="43"/>
      <c r="Y892" s="43"/>
      <c r="Z892" s="43"/>
      <c r="AA892" s="43"/>
      <c r="AB892" s="43"/>
      <c r="AC892" s="43"/>
      <c r="AD892" s="43"/>
      <c r="AE892" s="43"/>
      <c r="AF892" s="43"/>
      <c r="AG892" s="43"/>
      <c r="AH892" s="43"/>
      <c r="AI892" s="43"/>
      <c r="AJ892" s="43"/>
      <c r="AK892" s="43"/>
      <c r="AL892" s="43"/>
      <c r="AM892" s="43"/>
      <c r="AN892" s="43"/>
      <c r="AO892" s="43"/>
      <c r="AP892" s="43"/>
      <c r="AQ892" s="43"/>
      <c r="AR892" s="43"/>
      <c r="AS892" s="43"/>
      <c r="AT892" s="43"/>
      <c r="AU892" s="43"/>
      <c r="AV892" s="43"/>
      <c r="AW892" s="43"/>
      <c r="AX892" s="43"/>
      <c r="AY892" s="43"/>
      <c r="AZ892" s="43"/>
      <c r="BA892" s="43"/>
      <c r="BB892" s="43"/>
      <c r="BC892" s="43"/>
      <c r="BD892" s="43"/>
      <c r="BE892" s="43"/>
      <c r="BF892" s="43"/>
      <c r="BG892" s="43"/>
      <c r="BH892" s="43"/>
      <c r="BI892" s="43"/>
      <c r="BJ892" s="43"/>
      <c r="BK892" s="43"/>
      <c r="BL892" s="43"/>
      <c r="BM892" s="43"/>
      <c r="BN892" s="43"/>
      <c r="BO892" s="43"/>
      <c r="BP892" s="43"/>
      <c r="BQ892" s="43"/>
      <c r="BR892" s="43"/>
      <c r="BS892" s="43"/>
      <c r="BT892" s="43"/>
      <c r="BU892" s="43"/>
      <c r="BV892" s="43"/>
      <c r="BW892" s="43"/>
      <c r="BX892" s="43"/>
      <c r="BY892" s="43"/>
      <c r="BZ892" s="43"/>
      <c r="CA892" s="43"/>
      <c r="CB892" s="43"/>
      <c r="CC892" s="43"/>
      <c r="CD892" s="43"/>
      <c r="CE892" s="43"/>
      <c r="CF892" s="43"/>
      <c r="CG892" s="43"/>
      <c r="CH892" s="43"/>
      <c r="CI892" s="43"/>
      <c r="CJ892" s="43"/>
      <c r="CK892" s="43"/>
      <c r="CL892" s="43"/>
      <c r="CM892" s="43"/>
      <c r="CN892" s="43"/>
      <c r="CO892" s="43"/>
      <c r="CP892" s="43"/>
      <c r="CQ892" s="43"/>
      <c r="CR892" s="43"/>
      <c r="CS892" s="43"/>
      <c r="CT892" s="43"/>
      <c r="CU892" s="43"/>
      <c r="CV892" s="43"/>
      <c r="CW892" s="43"/>
      <c r="CX892" s="43"/>
      <c r="CY892" s="43"/>
      <c r="CZ892" s="43"/>
      <c r="DA892" s="43"/>
      <c r="DB892" s="43"/>
      <c r="DC892" s="43"/>
      <c r="DD892" s="43"/>
      <c r="DE892" s="43"/>
      <c r="DF892" s="43"/>
      <c r="DG892" s="43"/>
      <c r="DH892" s="43"/>
      <c r="DI892" s="43"/>
      <c r="DJ892" s="43"/>
      <c r="DK892" s="43"/>
      <c r="DL892" s="43"/>
      <c r="DM892" s="43"/>
      <c r="DN892" s="43"/>
      <c r="DO892" s="43"/>
      <c r="DP892" s="43"/>
      <c r="DQ892" s="43"/>
      <c r="DR892" s="43"/>
      <c r="DS892" s="43"/>
    </row>
    <row r="893" spans="1:123" ht="14.45">
      <c r="A893"/>
      <c r="B893"/>
      <c r="C893"/>
      <c r="D893"/>
      <c r="E893"/>
      <c r="F893"/>
      <c r="G893"/>
      <c r="H893"/>
      <c r="I893"/>
      <c r="J893"/>
      <c r="K893" s="43"/>
      <c r="L893" s="43"/>
      <c r="M893" s="43"/>
      <c r="N893" s="43"/>
      <c r="O893" s="43"/>
      <c r="P893" s="43"/>
      <c r="Q893" s="43"/>
      <c r="R893" s="43"/>
      <c r="S893" s="43"/>
      <c r="T893" s="43"/>
      <c r="U893" s="43"/>
      <c r="V893" s="43"/>
      <c r="W893" s="43"/>
      <c r="X893" s="43"/>
      <c r="Y893" s="43"/>
      <c r="Z893" s="43"/>
      <c r="AA893" s="43"/>
      <c r="AB893" s="43"/>
      <c r="AC893" s="43"/>
      <c r="AD893" s="43"/>
      <c r="AE893" s="43"/>
      <c r="AF893" s="43"/>
      <c r="AG893" s="43"/>
      <c r="AH893" s="43"/>
      <c r="AI893" s="43"/>
      <c r="AJ893" s="43"/>
      <c r="AK893" s="43"/>
      <c r="AL893" s="43"/>
      <c r="AM893" s="43"/>
      <c r="AN893" s="43"/>
      <c r="AO893" s="43"/>
      <c r="AP893" s="43"/>
      <c r="AQ893" s="43"/>
      <c r="AR893" s="43"/>
      <c r="AS893" s="43"/>
      <c r="AT893" s="43"/>
      <c r="AU893" s="43"/>
      <c r="AV893" s="43"/>
      <c r="AW893" s="43"/>
      <c r="AX893" s="43"/>
      <c r="AY893" s="43"/>
      <c r="AZ893" s="43"/>
      <c r="BA893" s="43"/>
      <c r="BB893" s="43"/>
      <c r="BC893" s="43"/>
      <c r="BD893" s="43"/>
      <c r="BE893" s="43"/>
      <c r="BF893" s="43"/>
      <c r="BG893" s="43"/>
      <c r="BH893" s="43"/>
      <c r="BI893" s="43"/>
      <c r="BJ893" s="43"/>
      <c r="BK893" s="43"/>
      <c r="BL893" s="43"/>
      <c r="BM893" s="43"/>
      <c r="BN893" s="43"/>
      <c r="BO893" s="43"/>
      <c r="BP893" s="43"/>
      <c r="BQ893" s="43"/>
      <c r="BR893" s="43"/>
      <c r="BS893" s="43"/>
      <c r="BT893" s="43"/>
      <c r="BU893" s="43"/>
      <c r="BV893" s="43"/>
      <c r="BW893" s="43"/>
      <c r="BX893" s="43"/>
      <c r="BY893" s="43"/>
      <c r="BZ893" s="43"/>
      <c r="CA893" s="43"/>
      <c r="CB893" s="43"/>
      <c r="CC893" s="43"/>
      <c r="CD893" s="43"/>
      <c r="CE893" s="43"/>
      <c r="CF893" s="43"/>
      <c r="CG893" s="43"/>
      <c r="CH893" s="43"/>
      <c r="CI893" s="43"/>
      <c r="CJ893" s="43"/>
      <c r="CK893" s="43"/>
      <c r="CL893" s="43"/>
      <c r="CM893" s="43"/>
      <c r="CN893" s="43"/>
      <c r="CO893" s="43"/>
      <c r="CP893" s="43"/>
      <c r="CQ893" s="43"/>
      <c r="CR893" s="43"/>
      <c r="CS893" s="43"/>
      <c r="CT893" s="43"/>
      <c r="CU893" s="43"/>
      <c r="CV893" s="43"/>
      <c r="CW893" s="43"/>
      <c r="CX893" s="43"/>
      <c r="CY893" s="43"/>
      <c r="CZ893" s="43"/>
      <c r="DA893" s="43"/>
      <c r="DB893" s="43"/>
      <c r="DC893" s="43"/>
      <c r="DD893" s="43"/>
      <c r="DE893" s="43"/>
      <c r="DF893" s="43"/>
      <c r="DG893" s="43"/>
      <c r="DH893" s="43"/>
      <c r="DI893" s="43"/>
      <c r="DJ893" s="43"/>
      <c r="DK893" s="43"/>
      <c r="DL893" s="43"/>
      <c r="DM893" s="43"/>
      <c r="DN893" s="43"/>
      <c r="DO893" s="43"/>
      <c r="DP893" s="43"/>
      <c r="DQ893" s="43"/>
      <c r="DR893" s="43"/>
      <c r="DS893" s="43"/>
    </row>
    <row r="894" spans="1:123" ht="14.45">
      <c r="A894"/>
      <c r="B894"/>
      <c r="C894"/>
      <c r="D894"/>
      <c r="E894"/>
      <c r="F894"/>
      <c r="G894"/>
      <c r="H894"/>
      <c r="I894"/>
      <c r="J894"/>
      <c r="K894" s="43"/>
      <c r="L894" s="43"/>
      <c r="M894" s="43"/>
      <c r="N894" s="43"/>
      <c r="O894" s="43"/>
      <c r="P894" s="43"/>
      <c r="Q894" s="43"/>
      <c r="R894" s="43"/>
      <c r="S894" s="43"/>
      <c r="T894" s="43"/>
      <c r="U894" s="43"/>
      <c r="V894" s="43"/>
      <c r="W894" s="43"/>
      <c r="X894" s="43"/>
      <c r="Y894" s="43"/>
      <c r="Z894" s="43"/>
      <c r="AA894" s="43"/>
      <c r="AB894" s="43"/>
      <c r="AC894" s="43"/>
      <c r="AD894" s="43"/>
      <c r="AE894" s="43"/>
      <c r="AF894" s="43"/>
      <c r="AG894" s="43"/>
      <c r="AH894" s="43"/>
      <c r="AI894" s="43"/>
      <c r="AJ894" s="43"/>
      <c r="AK894" s="43"/>
      <c r="AL894" s="43"/>
      <c r="AM894" s="43"/>
      <c r="AN894" s="43"/>
      <c r="AO894" s="43"/>
      <c r="AP894" s="43"/>
      <c r="AQ894" s="43"/>
      <c r="AR894" s="43"/>
      <c r="AS894" s="43"/>
      <c r="AT894" s="43"/>
      <c r="AU894" s="43"/>
      <c r="AV894" s="43"/>
      <c r="AW894" s="43"/>
      <c r="AX894" s="43"/>
      <c r="AY894" s="43"/>
      <c r="AZ894" s="43"/>
      <c r="BA894" s="43"/>
      <c r="BB894" s="43"/>
      <c r="BC894" s="43"/>
      <c r="BD894" s="43"/>
      <c r="BE894" s="43"/>
      <c r="BF894" s="43"/>
      <c r="BG894" s="43"/>
      <c r="BH894" s="43"/>
      <c r="BI894" s="43"/>
      <c r="BJ894" s="43"/>
      <c r="BK894" s="43"/>
      <c r="BL894" s="43"/>
      <c r="BM894" s="43"/>
      <c r="BN894" s="43"/>
      <c r="BO894" s="43"/>
      <c r="BP894" s="43"/>
      <c r="BQ894" s="43"/>
      <c r="BR894" s="43"/>
      <c r="BS894" s="43"/>
      <c r="BT894" s="43"/>
      <c r="BU894" s="43"/>
      <c r="BV894" s="43"/>
      <c r="BW894" s="43"/>
      <c r="BX894" s="43"/>
      <c r="BY894" s="43"/>
      <c r="BZ894" s="43"/>
      <c r="CA894" s="43"/>
      <c r="CB894" s="43"/>
      <c r="CC894" s="43"/>
      <c r="CD894" s="43"/>
      <c r="CE894" s="43"/>
      <c r="CF894" s="43"/>
      <c r="CG894" s="43"/>
      <c r="CH894" s="43"/>
      <c r="CI894" s="43"/>
      <c r="CJ894" s="43"/>
      <c r="CK894" s="43"/>
      <c r="CL894" s="43"/>
      <c r="CM894" s="43"/>
      <c r="CN894" s="43"/>
      <c r="CO894" s="43"/>
      <c r="CP894" s="43"/>
      <c r="CQ894" s="43"/>
      <c r="CR894" s="43"/>
      <c r="CS894" s="43"/>
      <c r="CT894" s="43"/>
      <c r="CU894" s="43"/>
      <c r="CV894" s="43"/>
      <c r="CW894" s="43"/>
      <c r="CX894" s="43"/>
      <c r="CY894" s="43"/>
      <c r="CZ894" s="43"/>
      <c r="DA894" s="43"/>
      <c r="DB894" s="43"/>
      <c r="DC894" s="43"/>
      <c r="DD894" s="43"/>
      <c r="DE894" s="43"/>
      <c r="DF894" s="43"/>
      <c r="DG894" s="43"/>
      <c r="DH894" s="43"/>
      <c r="DI894" s="43"/>
      <c r="DJ894" s="43"/>
      <c r="DK894" s="43"/>
      <c r="DL894" s="43"/>
      <c r="DM894" s="43"/>
      <c r="DN894" s="43"/>
      <c r="DO894" s="43"/>
      <c r="DP894" s="43"/>
      <c r="DQ894" s="43"/>
      <c r="DR894" s="43"/>
      <c r="DS894" s="43"/>
    </row>
    <row r="895" spans="1:123" ht="14.45">
      <c r="A895"/>
      <c r="B895"/>
      <c r="C895"/>
      <c r="D895"/>
      <c r="E895"/>
      <c r="F895"/>
      <c r="G895"/>
      <c r="H895"/>
      <c r="I895"/>
      <c r="J895"/>
      <c r="K895" s="43"/>
      <c r="L895" s="43"/>
      <c r="M895" s="43"/>
      <c r="N895" s="43"/>
      <c r="O895" s="43"/>
      <c r="P895" s="43"/>
      <c r="Q895" s="43"/>
      <c r="R895" s="43"/>
      <c r="S895" s="43"/>
      <c r="T895" s="43"/>
      <c r="U895" s="43"/>
      <c r="V895" s="43"/>
      <c r="W895" s="43"/>
      <c r="X895" s="43"/>
      <c r="Y895" s="43"/>
      <c r="Z895" s="43"/>
      <c r="AA895" s="43"/>
      <c r="AB895" s="43"/>
      <c r="AC895" s="43"/>
      <c r="AD895" s="43"/>
      <c r="AE895" s="43"/>
      <c r="AF895" s="43"/>
      <c r="AG895" s="43"/>
      <c r="AH895" s="43"/>
      <c r="AI895" s="43"/>
      <c r="AJ895" s="43"/>
      <c r="AK895" s="43"/>
      <c r="AL895" s="43"/>
      <c r="AM895" s="43"/>
      <c r="AN895" s="43"/>
      <c r="AO895" s="43"/>
      <c r="AP895" s="43"/>
      <c r="AQ895" s="43"/>
      <c r="AR895" s="43"/>
      <c r="AS895" s="43"/>
      <c r="AT895" s="43"/>
      <c r="AU895" s="43"/>
      <c r="AV895" s="43"/>
      <c r="AW895" s="43"/>
      <c r="AX895" s="43"/>
      <c r="AY895" s="43"/>
      <c r="AZ895" s="43"/>
      <c r="BA895" s="43"/>
      <c r="BB895" s="43"/>
      <c r="BC895" s="43"/>
      <c r="BD895" s="43"/>
      <c r="BE895" s="43"/>
      <c r="BF895" s="43"/>
      <c r="BG895" s="43"/>
      <c r="BH895" s="43"/>
      <c r="BI895" s="43"/>
      <c r="BJ895" s="43"/>
      <c r="BK895" s="43"/>
      <c r="BL895" s="43"/>
      <c r="BM895" s="43"/>
      <c r="BN895" s="43"/>
      <c r="BO895" s="43"/>
      <c r="BP895" s="43"/>
      <c r="BQ895" s="43"/>
      <c r="BR895" s="43"/>
      <c r="BS895" s="43"/>
      <c r="BT895" s="43"/>
      <c r="BU895" s="43"/>
      <c r="BV895" s="43"/>
      <c r="BW895" s="43"/>
      <c r="BX895" s="43"/>
      <c r="BY895" s="43"/>
      <c r="BZ895" s="43"/>
      <c r="CA895" s="43"/>
      <c r="CB895" s="43"/>
      <c r="CC895" s="43"/>
      <c r="CD895" s="43"/>
      <c r="CE895" s="43"/>
      <c r="CF895" s="43"/>
      <c r="CG895" s="43"/>
      <c r="CH895" s="43"/>
      <c r="CI895" s="43"/>
      <c r="CJ895" s="43"/>
      <c r="CK895" s="43"/>
      <c r="CL895" s="43"/>
      <c r="CM895" s="43"/>
      <c r="CN895" s="43"/>
      <c r="CO895" s="43"/>
      <c r="CP895" s="43"/>
      <c r="CQ895" s="43"/>
      <c r="CR895" s="43"/>
      <c r="CS895" s="43"/>
      <c r="CT895" s="43"/>
      <c r="CU895" s="43"/>
      <c r="CV895" s="43"/>
      <c r="CW895" s="43"/>
      <c r="CX895" s="43"/>
      <c r="CY895" s="43"/>
      <c r="CZ895" s="43"/>
      <c r="DA895" s="43"/>
      <c r="DB895" s="43"/>
      <c r="DC895" s="43"/>
      <c r="DD895" s="43"/>
      <c r="DE895" s="43"/>
      <c r="DF895" s="43"/>
      <c r="DG895" s="43"/>
      <c r="DH895" s="43"/>
      <c r="DI895" s="43"/>
      <c r="DJ895" s="43"/>
      <c r="DK895" s="43"/>
      <c r="DL895" s="43"/>
      <c r="DM895" s="43"/>
      <c r="DN895" s="43"/>
      <c r="DO895" s="43"/>
      <c r="DP895" s="43"/>
      <c r="DQ895" s="43"/>
      <c r="DR895" s="43"/>
      <c r="DS895" s="43"/>
    </row>
    <row r="896" spans="1:123" ht="14.45">
      <c r="A896"/>
      <c r="B896"/>
      <c r="C896"/>
      <c r="D896"/>
      <c r="E896"/>
      <c r="F896"/>
      <c r="G896"/>
      <c r="H896"/>
      <c r="I896"/>
      <c r="J896"/>
      <c r="K896" s="43"/>
      <c r="L896" s="43"/>
      <c r="M896" s="43"/>
      <c r="N896" s="43"/>
      <c r="O896" s="43"/>
      <c r="P896" s="43"/>
      <c r="Q896" s="43"/>
      <c r="R896" s="43"/>
      <c r="S896" s="43"/>
      <c r="T896" s="43"/>
      <c r="U896" s="43"/>
      <c r="V896" s="43"/>
      <c r="W896" s="43"/>
      <c r="X896" s="43"/>
      <c r="Y896" s="43"/>
      <c r="Z896" s="43"/>
      <c r="AA896" s="43"/>
      <c r="AB896" s="43"/>
      <c r="AC896" s="43"/>
      <c r="AD896" s="43"/>
      <c r="AE896" s="43"/>
      <c r="AF896" s="43"/>
      <c r="AG896" s="43"/>
      <c r="AH896" s="43"/>
      <c r="AI896" s="43"/>
      <c r="AJ896" s="43"/>
      <c r="AK896" s="43"/>
      <c r="AL896" s="43"/>
      <c r="AM896" s="43"/>
      <c r="AN896" s="43"/>
      <c r="AO896" s="43"/>
      <c r="AP896" s="43"/>
      <c r="AQ896" s="43"/>
      <c r="AR896" s="43"/>
      <c r="AS896" s="43"/>
      <c r="AT896" s="43"/>
      <c r="AU896" s="43"/>
      <c r="AV896" s="43"/>
      <c r="AW896" s="43"/>
      <c r="AX896" s="43"/>
      <c r="AY896" s="43"/>
      <c r="AZ896" s="43"/>
      <c r="BA896" s="43"/>
      <c r="BB896" s="43"/>
      <c r="BC896" s="43"/>
      <c r="BD896" s="43"/>
      <c r="BE896" s="43"/>
      <c r="BF896" s="43"/>
      <c r="BG896" s="43"/>
      <c r="BH896" s="43"/>
      <c r="BI896" s="43"/>
      <c r="BJ896" s="43"/>
      <c r="BK896" s="43"/>
      <c r="BL896" s="43"/>
      <c r="BM896" s="43"/>
      <c r="BN896" s="43"/>
      <c r="BO896" s="43"/>
      <c r="BP896" s="43"/>
      <c r="BQ896" s="43"/>
      <c r="BR896" s="43"/>
      <c r="BS896" s="43"/>
      <c r="BT896" s="43"/>
      <c r="BU896" s="43"/>
      <c r="BV896" s="43"/>
      <c r="BW896" s="43"/>
      <c r="BX896" s="43"/>
      <c r="BY896" s="43"/>
      <c r="BZ896" s="43"/>
      <c r="CA896" s="43"/>
      <c r="CB896" s="43"/>
      <c r="CC896" s="43"/>
      <c r="CD896" s="43"/>
      <c r="CE896" s="43"/>
      <c r="CF896" s="43"/>
      <c r="CG896" s="43"/>
      <c r="CH896" s="43"/>
      <c r="CI896" s="43"/>
      <c r="CJ896" s="43"/>
      <c r="CK896" s="43"/>
      <c r="CL896" s="43"/>
      <c r="CM896" s="43"/>
      <c r="CN896" s="43"/>
      <c r="CO896" s="43"/>
      <c r="CP896" s="43"/>
      <c r="CQ896" s="43"/>
      <c r="CR896" s="43"/>
      <c r="CS896" s="43"/>
      <c r="CT896" s="43"/>
      <c r="CU896" s="43"/>
      <c r="CV896" s="43"/>
      <c r="CW896" s="43"/>
      <c r="CX896" s="43"/>
      <c r="CY896" s="43"/>
      <c r="CZ896" s="43"/>
      <c r="DA896" s="43"/>
      <c r="DB896" s="43"/>
      <c r="DC896" s="43"/>
      <c r="DD896" s="43"/>
      <c r="DE896" s="43"/>
      <c r="DF896" s="43"/>
      <c r="DG896" s="43"/>
      <c r="DH896" s="43"/>
      <c r="DI896" s="43"/>
      <c r="DJ896" s="43"/>
      <c r="DK896" s="43"/>
      <c r="DL896" s="43"/>
      <c r="DM896" s="43"/>
      <c r="DN896" s="43"/>
      <c r="DO896" s="43"/>
      <c r="DP896" s="43"/>
      <c r="DQ896" s="43"/>
      <c r="DR896" s="43"/>
      <c r="DS896" s="43"/>
    </row>
    <row r="897" spans="1:123" ht="14.45">
      <c r="A897"/>
      <c r="B897"/>
      <c r="C897"/>
      <c r="D897"/>
      <c r="E897"/>
      <c r="F897"/>
      <c r="G897"/>
      <c r="H897"/>
      <c r="I897"/>
      <c r="J897"/>
      <c r="K897" s="43"/>
      <c r="L897" s="43"/>
      <c r="M897" s="43"/>
      <c r="N897" s="43"/>
      <c r="O897" s="43"/>
      <c r="P897" s="43"/>
      <c r="Q897" s="43"/>
      <c r="R897" s="43"/>
      <c r="S897" s="43"/>
      <c r="T897" s="43"/>
      <c r="U897" s="43"/>
      <c r="V897" s="43"/>
      <c r="W897" s="43"/>
      <c r="X897" s="43"/>
      <c r="Y897" s="43"/>
      <c r="Z897" s="43"/>
      <c r="AA897" s="43"/>
      <c r="AB897" s="43"/>
      <c r="AC897" s="43"/>
      <c r="AD897" s="43"/>
      <c r="AE897" s="43"/>
      <c r="AF897" s="43"/>
      <c r="AG897" s="43"/>
      <c r="AH897" s="43"/>
      <c r="AI897" s="43"/>
      <c r="AJ897" s="43"/>
      <c r="AK897" s="43"/>
      <c r="AL897" s="43"/>
      <c r="AM897" s="43"/>
      <c r="AN897" s="43"/>
      <c r="AO897" s="43"/>
      <c r="AP897" s="43"/>
      <c r="AQ897" s="43"/>
      <c r="AR897" s="43"/>
      <c r="AS897" s="43"/>
      <c r="AT897" s="43"/>
      <c r="AU897" s="43"/>
      <c r="AV897" s="43"/>
      <c r="AW897" s="43"/>
      <c r="AX897" s="43"/>
      <c r="AY897" s="43"/>
      <c r="AZ897" s="43"/>
      <c r="BA897" s="43"/>
      <c r="BB897" s="43"/>
      <c r="BC897" s="43"/>
      <c r="BD897" s="43"/>
      <c r="BE897" s="43"/>
      <c r="BF897" s="43"/>
      <c r="BG897" s="43"/>
      <c r="BH897" s="43"/>
      <c r="BI897" s="43"/>
      <c r="BJ897" s="43"/>
      <c r="BK897" s="43"/>
      <c r="BL897" s="43"/>
      <c r="BM897" s="43"/>
      <c r="BN897" s="43"/>
      <c r="BO897" s="43"/>
      <c r="BP897" s="43"/>
      <c r="BQ897" s="43"/>
      <c r="BR897" s="43"/>
      <c r="BS897" s="43"/>
      <c r="BT897" s="43"/>
      <c r="BU897" s="43"/>
      <c r="BV897" s="43"/>
      <c r="BW897" s="43"/>
      <c r="BX897" s="43"/>
      <c r="BY897" s="43"/>
      <c r="BZ897" s="43"/>
      <c r="CA897" s="43"/>
      <c r="CB897" s="43"/>
      <c r="CC897" s="43"/>
      <c r="CD897" s="43"/>
      <c r="CE897" s="43"/>
      <c r="CF897" s="43"/>
      <c r="CG897" s="43"/>
      <c r="CH897" s="43"/>
      <c r="CI897" s="43"/>
      <c r="CJ897" s="43"/>
      <c r="CK897" s="43"/>
      <c r="CL897" s="43"/>
      <c r="CM897" s="43"/>
      <c r="CN897" s="43"/>
      <c r="CO897" s="43"/>
      <c r="CP897" s="43"/>
      <c r="CQ897" s="43"/>
      <c r="CR897" s="43"/>
      <c r="CS897" s="43"/>
      <c r="CT897" s="43"/>
      <c r="CU897" s="43"/>
      <c r="CV897" s="43"/>
      <c r="CW897" s="43"/>
      <c r="CX897" s="43"/>
      <c r="CY897" s="43"/>
      <c r="CZ897" s="43"/>
      <c r="DA897" s="43"/>
      <c r="DB897" s="43"/>
      <c r="DC897" s="43"/>
      <c r="DD897" s="43"/>
      <c r="DE897" s="43"/>
      <c r="DF897" s="43"/>
      <c r="DG897" s="43"/>
      <c r="DH897" s="43"/>
      <c r="DI897" s="43"/>
      <c r="DJ897" s="43"/>
      <c r="DK897" s="43"/>
      <c r="DL897" s="43"/>
      <c r="DM897" s="43"/>
      <c r="DN897" s="43"/>
      <c r="DO897" s="43"/>
      <c r="DP897" s="43"/>
      <c r="DQ897" s="43"/>
      <c r="DR897" s="43"/>
      <c r="DS897" s="43"/>
    </row>
    <row r="898" spans="1:123" ht="14.45">
      <c r="A898"/>
      <c r="B898"/>
      <c r="C898"/>
      <c r="D898"/>
      <c r="E898"/>
      <c r="F898"/>
      <c r="G898"/>
      <c r="H898"/>
      <c r="I898"/>
      <c r="J898"/>
      <c r="K898" s="43"/>
      <c r="L898" s="43"/>
      <c r="M898" s="43"/>
      <c r="N898" s="43"/>
      <c r="O898" s="43"/>
      <c r="P898" s="43"/>
      <c r="Q898" s="43"/>
      <c r="R898" s="43"/>
      <c r="S898" s="43"/>
      <c r="T898" s="43"/>
      <c r="U898" s="43"/>
      <c r="V898" s="43"/>
      <c r="W898" s="43"/>
      <c r="X898" s="43"/>
      <c r="Y898" s="43"/>
      <c r="Z898" s="43"/>
      <c r="AA898" s="43"/>
      <c r="AB898" s="43"/>
      <c r="AC898" s="43"/>
      <c r="AD898" s="43"/>
      <c r="AE898" s="43"/>
      <c r="AF898" s="43"/>
      <c r="AG898" s="43"/>
      <c r="AH898" s="43"/>
      <c r="AI898" s="43"/>
      <c r="AJ898" s="43"/>
      <c r="AK898" s="43"/>
      <c r="AL898" s="43"/>
      <c r="AM898" s="43"/>
      <c r="AN898" s="43"/>
      <c r="AO898" s="43"/>
      <c r="AP898" s="43"/>
      <c r="AQ898" s="43"/>
      <c r="AR898" s="43"/>
      <c r="AS898" s="43"/>
      <c r="AT898" s="43"/>
      <c r="AU898" s="43"/>
      <c r="AV898" s="43"/>
      <c r="AW898" s="43"/>
      <c r="AX898" s="43"/>
      <c r="AY898" s="43"/>
      <c r="AZ898" s="43"/>
      <c r="BA898" s="43"/>
      <c r="BB898" s="43"/>
      <c r="BC898" s="43"/>
      <c r="BD898" s="43"/>
      <c r="BE898" s="43"/>
      <c r="BF898" s="43"/>
      <c r="BG898" s="43"/>
      <c r="BH898" s="43"/>
      <c r="BI898" s="43"/>
      <c r="BJ898" s="43"/>
      <c r="BK898" s="43"/>
      <c r="BL898" s="43"/>
      <c r="BM898" s="43"/>
      <c r="BN898" s="43"/>
      <c r="BO898" s="43"/>
      <c r="BP898" s="43"/>
      <c r="BQ898" s="43"/>
      <c r="BR898" s="43"/>
      <c r="BS898" s="43"/>
      <c r="BT898" s="43"/>
      <c r="BU898" s="43"/>
      <c r="BV898" s="43"/>
      <c r="BW898" s="43"/>
      <c r="BX898" s="43"/>
      <c r="BY898" s="43"/>
      <c r="BZ898" s="43"/>
      <c r="CA898" s="43"/>
      <c r="CB898" s="43"/>
      <c r="CC898" s="43"/>
      <c r="CD898" s="43"/>
      <c r="CE898" s="43"/>
      <c r="CF898" s="43"/>
      <c r="CG898" s="43"/>
      <c r="CH898" s="43"/>
      <c r="CI898" s="43"/>
      <c r="CJ898" s="43"/>
      <c r="CK898" s="43"/>
      <c r="CL898" s="43"/>
      <c r="CM898" s="43"/>
      <c r="CN898" s="43"/>
      <c r="CO898" s="43"/>
      <c r="CP898" s="43"/>
      <c r="CQ898" s="43"/>
      <c r="CR898" s="43"/>
      <c r="CS898" s="43"/>
      <c r="CT898" s="43"/>
      <c r="CU898" s="43"/>
      <c r="CV898" s="43"/>
      <c r="CW898" s="43"/>
      <c r="CX898" s="43"/>
      <c r="CY898" s="43"/>
      <c r="CZ898" s="43"/>
      <c r="DA898" s="43"/>
      <c r="DB898" s="43"/>
      <c r="DC898" s="43"/>
      <c r="DD898" s="43"/>
      <c r="DE898" s="43"/>
      <c r="DF898" s="43"/>
      <c r="DG898" s="43"/>
      <c r="DH898" s="43"/>
      <c r="DI898" s="43"/>
      <c r="DJ898" s="43"/>
      <c r="DK898" s="43"/>
      <c r="DL898" s="43"/>
      <c r="DM898" s="43"/>
      <c r="DN898" s="43"/>
      <c r="DO898" s="43"/>
      <c r="DP898" s="43"/>
      <c r="DQ898" s="43"/>
      <c r="DR898" s="43"/>
      <c r="DS898" s="43"/>
    </row>
    <row r="899" spans="1:123" ht="14.45">
      <c r="A899"/>
      <c r="B899"/>
      <c r="C899"/>
      <c r="D899"/>
      <c r="E899"/>
      <c r="F899"/>
      <c r="G899"/>
      <c r="H899"/>
      <c r="I899"/>
      <c r="J899"/>
      <c r="K899" s="43"/>
      <c r="L899" s="43"/>
      <c r="M899" s="43"/>
      <c r="N899" s="43"/>
      <c r="O899" s="43"/>
      <c r="P899" s="43"/>
      <c r="Q899" s="43"/>
      <c r="R899" s="43"/>
      <c r="S899" s="43"/>
      <c r="T899" s="43"/>
      <c r="U899" s="43"/>
      <c r="V899" s="43"/>
      <c r="W899" s="43"/>
      <c r="X899" s="43"/>
      <c r="Y899" s="43"/>
      <c r="Z899" s="43"/>
      <c r="AA899" s="43"/>
      <c r="AB899" s="43"/>
      <c r="AC899" s="43"/>
      <c r="AD899" s="43"/>
      <c r="AE899" s="43"/>
      <c r="AF899" s="43"/>
      <c r="AG899" s="43"/>
      <c r="AH899" s="43"/>
      <c r="AI899" s="43"/>
      <c r="AJ899" s="43"/>
      <c r="AK899" s="43"/>
      <c r="AL899" s="43"/>
      <c r="AM899" s="43"/>
      <c r="AN899" s="43"/>
      <c r="AO899" s="43"/>
      <c r="AP899" s="43"/>
      <c r="AQ899" s="43"/>
      <c r="AR899" s="43"/>
      <c r="AS899" s="43"/>
      <c r="AT899" s="43"/>
      <c r="AU899" s="43"/>
      <c r="AV899" s="43"/>
      <c r="AW899" s="43"/>
      <c r="AX899" s="43"/>
      <c r="AY899" s="43"/>
      <c r="AZ899" s="43"/>
      <c r="BA899" s="43"/>
      <c r="BB899" s="43"/>
      <c r="BC899" s="43"/>
      <c r="BD899" s="43"/>
      <c r="BE899" s="43"/>
      <c r="BF899" s="43"/>
      <c r="BG899" s="43"/>
      <c r="BH899" s="43"/>
      <c r="BI899" s="43"/>
      <c r="BJ899" s="43"/>
      <c r="BK899" s="43"/>
      <c r="BL899" s="43"/>
      <c r="BM899" s="43"/>
      <c r="BN899" s="43"/>
      <c r="BO899" s="43"/>
      <c r="BP899" s="43"/>
      <c r="BQ899" s="43"/>
      <c r="BR899" s="43"/>
      <c r="BS899" s="43"/>
      <c r="BT899" s="43"/>
      <c r="BU899" s="43"/>
      <c r="BV899" s="43"/>
      <c r="BW899" s="43"/>
      <c r="BX899" s="43"/>
      <c r="BY899" s="43"/>
      <c r="BZ899" s="43"/>
      <c r="CA899" s="43"/>
      <c r="CB899" s="43"/>
      <c r="CC899" s="43"/>
      <c r="CD899" s="43"/>
      <c r="CE899" s="43"/>
      <c r="CF899" s="43"/>
      <c r="CG899" s="43"/>
      <c r="CH899" s="43"/>
      <c r="CI899" s="43"/>
      <c r="CJ899" s="43"/>
      <c r="CK899" s="43"/>
      <c r="CL899" s="43"/>
      <c r="CM899" s="43"/>
      <c r="CN899" s="43"/>
      <c r="CO899" s="43"/>
      <c r="CP899" s="43"/>
      <c r="CQ899" s="43"/>
      <c r="CR899" s="43"/>
      <c r="CS899" s="43"/>
      <c r="CT899" s="43"/>
      <c r="CU899" s="43"/>
      <c r="CV899" s="43"/>
      <c r="CW899" s="43"/>
      <c r="CX899" s="43"/>
      <c r="CY899" s="43"/>
      <c r="CZ899" s="43"/>
      <c r="DA899" s="43"/>
      <c r="DB899" s="43"/>
      <c r="DC899" s="43"/>
      <c r="DD899" s="43"/>
      <c r="DE899" s="43"/>
      <c r="DF899" s="43"/>
      <c r="DG899" s="43"/>
      <c r="DH899" s="43"/>
      <c r="DI899" s="43"/>
      <c r="DJ899" s="43"/>
      <c r="DK899" s="43"/>
      <c r="DL899" s="43"/>
      <c r="DM899" s="43"/>
      <c r="DN899" s="43"/>
      <c r="DO899" s="43"/>
      <c r="DP899" s="43"/>
      <c r="DQ899" s="43"/>
      <c r="DR899" s="43"/>
      <c r="DS899" s="43"/>
    </row>
    <row r="900" spans="1:123" ht="14.45">
      <c r="A900"/>
      <c r="B900"/>
      <c r="C900"/>
      <c r="D900"/>
      <c r="E900"/>
      <c r="F900"/>
      <c r="G900"/>
      <c r="H900"/>
      <c r="I900"/>
      <c r="J900"/>
      <c r="K900" s="43"/>
      <c r="L900" s="43"/>
      <c r="M900" s="43"/>
      <c r="N900" s="43"/>
      <c r="O900" s="43"/>
      <c r="P900" s="43"/>
      <c r="Q900" s="43"/>
      <c r="R900" s="43"/>
      <c r="S900" s="43"/>
      <c r="T900" s="43"/>
      <c r="U900" s="43"/>
      <c r="V900" s="43"/>
      <c r="W900" s="43"/>
      <c r="X900" s="43"/>
      <c r="Y900" s="43"/>
      <c r="Z900" s="43"/>
      <c r="AA900" s="43"/>
      <c r="AB900" s="43"/>
      <c r="AC900" s="43"/>
      <c r="AD900" s="43"/>
      <c r="AE900" s="43"/>
      <c r="AF900" s="43"/>
      <c r="AG900" s="43"/>
      <c r="AH900" s="43"/>
      <c r="AI900" s="43"/>
      <c r="AJ900" s="43"/>
      <c r="AK900" s="43"/>
      <c r="AL900" s="43"/>
      <c r="AM900" s="43"/>
      <c r="AN900" s="43"/>
      <c r="AO900" s="43"/>
      <c r="AP900" s="43"/>
      <c r="AQ900" s="43"/>
      <c r="AR900" s="43"/>
      <c r="AS900" s="43"/>
      <c r="AT900" s="43"/>
      <c r="AU900" s="43"/>
      <c r="AV900" s="43"/>
      <c r="AW900" s="43"/>
      <c r="AX900" s="43"/>
      <c r="AY900" s="43"/>
      <c r="AZ900" s="43"/>
      <c r="BA900" s="43"/>
      <c r="BB900" s="43"/>
      <c r="BC900" s="43"/>
      <c r="BD900" s="43"/>
      <c r="BE900" s="43"/>
      <c r="BF900" s="43"/>
      <c r="BG900" s="43"/>
      <c r="BH900" s="43"/>
      <c r="BI900" s="43"/>
      <c r="BJ900" s="43"/>
      <c r="BK900" s="43"/>
      <c r="BL900" s="43"/>
      <c r="BM900" s="43"/>
      <c r="BN900" s="43"/>
      <c r="BO900" s="43"/>
      <c r="BP900" s="43"/>
      <c r="BQ900" s="43"/>
      <c r="BR900" s="43"/>
      <c r="BS900" s="43"/>
      <c r="BT900" s="43"/>
      <c r="BU900" s="43"/>
      <c r="BV900" s="43"/>
      <c r="BW900" s="43"/>
      <c r="BX900" s="43"/>
      <c r="BY900" s="43"/>
      <c r="BZ900" s="43"/>
      <c r="CA900" s="43"/>
      <c r="CB900" s="43"/>
      <c r="CC900" s="43"/>
      <c r="CD900" s="43"/>
      <c r="CE900" s="43"/>
      <c r="CF900" s="43"/>
      <c r="CG900" s="43"/>
      <c r="CH900" s="43"/>
      <c r="CI900" s="43"/>
      <c r="CJ900" s="43"/>
      <c r="CK900" s="43"/>
      <c r="CL900" s="43"/>
      <c r="CM900" s="43"/>
      <c r="CN900" s="43"/>
      <c r="CO900" s="43"/>
      <c r="CP900" s="43"/>
      <c r="CQ900" s="43"/>
      <c r="CR900" s="43"/>
      <c r="CS900" s="43"/>
      <c r="CT900" s="43"/>
      <c r="CU900" s="43"/>
      <c r="CV900" s="43"/>
      <c r="CW900" s="43"/>
      <c r="CX900" s="43"/>
      <c r="CY900" s="43"/>
      <c r="CZ900" s="43"/>
      <c r="DA900" s="43"/>
      <c r="DB900" s="43"/>
      <c r="DC900" s="43"/>
      <c r="DD900" s="43"/>
      <c r="DE900" s="43"/>
      <c r="DF900" s="43"/>
      <c r="DG900" s="43"/>
      <c r="DH900" s="43"/>
      <c r="DI900" s="43"/>
      <c r="DJ900" s="43"/>
      <c r="DK900" s="43"/>
      <c r="DL900" s="43"/>
      <c r="DM900" s="43"/>
      <c r="DN900" s="43"/>
      <c r="DO900" s="43"/>
      <c r="DP900" s="43"/>
      <c r="DQ900" s="43"/>
      <c r="DR900" s="43"/>
      <c r="DS900" s="43"/>
    </row>
    <row r="901" spans="1:123" ht="14.45">
      <c r="A901"/>
      <c r="B901"/>
      <c r="C901"/>
      <c r="D901"/>
      <c r="E901"/>
      <c r="F901"/>
      <c r="G901"/>
      <c r="H901"/>
      <c r="I901"/>
      <c r="J901"/>
      <c r="K901" s="43"/>
      <c r="L901" s="43"/>
      <c r="M901" s="43"/>
      <c r="N901" s="43"/>
      <c r="O901" s="43"/>
      <c r="P901" s="43"/>
      <c r="Q901" s="43"/>
      <c r="R901" s="43"/>
      <c r="S901" s="43"/>
      <c r="T901" s="43"/>
      <c r="U901" s="43"/>
      <c r="V901" s="43"/>
      <c r="W901" s="43"/>
      <c r="X901" s="43"/>
      <c r="Y901" s="43"/>
      <c r="Z901" s="43"/>
      <c r="AA901" s="43"/>
      <c r="AB901" s="43"/>
      <c r="AC901" s="43"/>
      <c r="AD901" s="43"/>
      <c r="AE901" s="43"/>
      <c r="AF901" s="43"/>
      <c r="AG901" s="43"/>
      <c r="AH901" s="43"/>
      <c r="AI901" s="43"/>
      <c r="AJ901" s="43"/>
      <c r="AK901" s="43"/>
      <c r="AL901" s="43"/>
      <c r="AM901" s="43"/>
      <c r="AN901" s="43"/>
      <c r="AO901" s="43"/>
      <c r="AP901" s="43"/>
      <c r="AQ901" s="43"/>
      <c r="AR901" s="43"/>
      <c r="AS901" s="43"/>
      <c r="AT901" s="43"/>
      <c r="AU901" s="43"/>
      <c r="AV901" s="43"/>
      <c r="AW901" s="43"/>
      <c r="AX901" s="43"/>
      <c r="AY901" s="43"/>
      <c r="AZ901" s="43"/>
      <c r="BA901" s="43"/>
      <c r="BB901" s="43"/>
      <c r="BC901" s="43"/>
      <c r="BD901" s="43"/>
      <c r="BE901" s="43"/>
      <c r="BF901" s="43"/>
      <c r="BG901" s="43"/>
      <c r="BH901" s="43"/>
      <c r="BI901" s="43"/>
      <c r="BJ901" s="43"/>
      <c r="BK901" s="43"/>
      <c r="BL901" s="43"/>
      <c r="BM901" s="43"/>
      <c r="BN901" s="43"/>
      <c r="BO901" s="43"/>
      <c r="BP901" s="43"/>
      <c r="BQ901" s="43"/>
      <c r="BR901" s="43"/>
      <c r="BS901" s="43"/>
      <c r="BT901" s="43"/>
      <c r="BU901" s="43"/>
      <c r="BV901" s="43"/>
      <c r="BW901" s="43"/>
      <c r="BX901" s="43"/>
      <c r="BY901" s="43"/>
      <c r="BZ901" s="43"/>
      <c r="CA901" s="43"/>
      <c r="CB901" s="43"/>
      <c r="CC901" s="43"/>
      <c r="CD901" s="43"/>
      <c r="CE901" s="43"/>
      <c r="CF901" s="43"/>
      <c r="CG901" s="43"/>
      <c r="CH901" s="43"/>
      <c r="CI901" s="43"/>
      <c r="CJ901" s="43"/>
      <c r="CK901" s="43"/>
      <c r="CL901" s="43"/>
      <c r="CM901" s="43"/>
      <c r="CN901" s="43"/>
      <c r="CO901" s="43"/>
      <c r="CP901" s="43"/>
      <c r="CQ901" s="43"/>
      <c r="CR901" s="43"/>
      <c r="CS901" s="43"/>
      <c r="CT901" s="43"/>
      <c r="CU901" s="43"/>
      <c r="CV901" s="43"/>
      <c r="CW901" s="43"/>
      <c r="CX901" s="43"/>
      <c r="CY901" s="43"/>
      <c r="CZ901" s="43"/>
      <c r="DA901" s="43"/>
      <c r="DB901" s="43"/>
      <c r="DC901" s="43"/>
      <c r="DD901" s="43"/>
      <c r="DE901" s="43"/>
      <c r="DF901" s="43"/>
      <c r="DG901" s="43"/>
      <c r="DH901" s="43"/>
      <c r="DI901" s="43"/>
      <c r="DJ901" s="43"/>
      <c r="DK901" s="43"/>
      <c r="DL901" s="43"/>
      <c r="DM901" s="43"/>
      <c r="DN901" s="43"/>
      <c r="DO901" s="43"/>
      <c r="DP901" s="43"/>
      <c r="DQ901" s="43"/>
      <c r="DR901" s="43"/>
      <c r="DS901" s="43"/>
    </row>
    <row r="902" spans="1:123" ht="14.45">
      <c r="A902"/>
      <c r="B902"/>
      <c r="C902"/>
      <c r="D902"/>
      <c r="E902"/>
      <c r="F902"/>
      <c r="G902"/>
      <c r="H902"/>
      <c r="I902"/>
      <c r="J902"/>
      <c r="K902" s="43"/>
      <c r="L902" s="43"/>
      <c r="M902" s="43"/>
      <c r="N902" s="43"/>
      <c r="O902" s="43"/>
      <c r="P902" s="43"/>
      <c r="Q902" s="43"/>
      <c r="R902" s="43"/>
      <c r="S902" s="43"/>
      <c r="T902" s="43"/>
      <c r="U902" s="43"/>
      <c r="V902" s="43"/>
      <c r="W902" s="43"/>
      <c r="X902" s="43"/>
      <c r="Y902" s="43"/>
      <c r="Z902" s="43"/>
      <c r="AA902" s="43"/>
      <c r="AB902" s="43"/>
      <c r="AC902" s="43"/>
      <c r="AD902" s="43"/>
      <c r="AE902" s="43"/>
      <c r="AF902" s="43"/>
      <c r="AG902" s="43"/>
      <c r="AH902" s="43"/>
      <c r="AI902" s="43"/>
      <c r="AJ902" s="43"/>
      <c r="AK902" s="43"/>
      <c r="AL902" s="43"/>
      <c r="AM902" s="43"/>
      <c r="AN902" s="43"/>
      <c r="AO902" s="43"/>
      <c r="AP902" s="43"/>
      <c r="AQ902" s="43"/>
      <c r="AR902" s="43"/>
      <c r="AS902" s="43"/>
      <c r="AT902" s="43"/>
      <c r="AU902" s="43"/>
      <c r="AV902" s="43"/>
      <c r="AW902" s="43"/>
      <c r="AX902" s="43"/>
      <c r="AY902" s="43"/>
      <c r="AZ902" s="43"/>
      <c r="BA902" s="43"/>
      <c r="BB902" s="43"/>
      <c r="BC902" s="43"/>
      <c r="BD902" s="43"/>
      <c r="BE902" s="43"/>
      <c r="BF902" s="43"/>
      <c r="BG902" s="43"/>
      <c r="BH902" s="43"/>
      <c r="BI902" s="43"/>
      <c r="BJ902" s="43"/>
      <c r="BK902" s="43"/>
      <c r="BL902" s="43"/>
      <c r="BM902" s="43"/>
      <c r="BN902" s="43"/>
      <c r="BO902" s="43"/>
      <c r="BP902" s="43"/>
      <c r="BQ902" s="43"/>
      <c r="BR902" s="43"/>
      <c r="BS902" s="43"/>
      <c r="BT902" s="43"/>
      <c r="BU902" s="43"/>
      <c r="BV902" s="43"/>
      <c r="BW902" s="43"/>
      <c r="BX902" s="43"/>
      <c r="BY902" s="43"/>
      <c r="BZ902" s="43"/>
      <c r="CA902" s="43"/>
      <c r="CB902" s="43"/>
      <c r="CC902" s="43"/>
      <c r="CD902" s="43"/>
      <c r="CE902" s="43"/>
      <c r="CF902" s="43"/>
      <c r="CG902" s="43"/>
      <c r="CH902" s="43"/>
      <c r="CI902" s="43"/>
      <c r="CJ902" s="43"/>
      <c r="CK902" s="43"/>
      <c r="CL902" s="43"/>
      <c r="CM902" s="43"/>
      <c r="CN902" s="43"/>
      <c r="CO902" s="43"/>
      <c r="CP902" s="43"/>
      <c r="CQ902" s="43"/>
      <c r="CR902" s="43"/>
      <c r="CS902" s="43"/>
      <c r="CT902" s="43"/>
      <c r="CU902" s="43"/>
      <c r="CV902" s="43"/>
      <c r="CW902" s="43"/>
      <c r="CX902" s="43"/>
      <c r="CY902" s="43"/>
      <c r="CZ902" s="43"/>
      <c r="DA902" s="43"/>
      <c r="DB902" s="43"/>
      <c r="DC902" s="43"/>
      <c r="DD902" s="43"/>
      <c r="DE902" s="43"/>
      <c r="DF902" s="43"/>
      <c r="DG902" s="43"/>
      <c r="DH902" s="43"/>
      <c r="DI902" s="43"/>
      <c r="DJ902" s="43"/>
      <c r="DK902" s="43"/>
      <c r="DL902" s="43"/>
      <c r="DM902" s="43"/>
      <c r="DN902" s="43"/>
      <c r="DO902" s="43"/>
      <c r="DP902" s="43"/>
      <c r="DQ902" s="43"/>
      <c r="DR902" s="43"/>
      <c r="DS902" s="43"/>
    </row>
    <row r="903" spans="1:123" ht="14.45">
      <c r="A903"/>
      <c r="B903"/>
      <c r="C903"/>
      <c r="D903"/>
      <c r="E903"/>
      <c r="F903"/>
      <c r="G903"/>
      <c r="H903"/>
      <c r="I903"/>
      <c r="J903"/>
      <c r="K903" s="43"/>
      <c r="L903" s="43"/>
      <c r="M903" s="43"/>
      <c r="N903" s="43"/>
      <c r="O903" s="43"/>
      <c r="P903" s="43"/>
      <c r="Q903" s="43"/>
      <c r="R903" s="43"/>
      <c r="S903" s="43"/>
      <c r="T903" s="43"/>
      <c r="U903" s="43"/>
      <c r="V903" s="43"/>
      <c r="W903" s="43"/>
      <c r="X903" s="43"/>
      <c r="Y903" s="43"/>
      <c r="Z903" s="43"/>
      <c r="AA903" s="43"/>
      <c r="AB903" s="43"/>
      <c r="AC903" s="43"/>
      <c r="AD903" s="43"/>
      <c r="AE903" s="43"/>
      <c r="AF903" s="43"/>
      <c r="AG903" s="43"/>
      <c r="AH903" s="43"/>
      <c r="AI903" s="43"/>
      <c r="AJ903" s="43"/>
      <c r="AK903" s="43"/>
      <c r="AL903" s="43"/>
      <c r="AM903" s="43"/>
      <c r="AN903" s="43"/>
      <c r="AO903" s="43"/>
      <c r="AP903" s="43"/>
      <c r="AQ903" s="43"/>
      <c r="AR903" s="43"/>
      <c r="AS903" s="43"/>
      <c r="AT903" s="43"/>
      <c r="AU903" s="43"/>
      <c r="AV903" s="43"/>
      <c r="AW903" s="43"/>
      <c r="AX903" s="43"/>
      <c r="AY903" s="43"/>
      <c r="AZ903" s="43"/>
      <c r="BA903" s="43"/>
      <c r="BB903" s="43"/>
      <c r="BC903" s="43"/>
      <c r="BD903" s="43"/>
      <c r="BE903" s="43"/>
      <c r="BF903" s="43"/>
      <c r="BG903" s="43"/>
      <c r="BH903" s="43"/>
      <c r="BI903" s="43"/>
      <c r="BJ903" s="43"/>
      <c r="BK903" s="43"/>
      <c r="BL903" s="43"/>
      <c r="BM903" s="43"/>
      <c r="BN903" s="43"/>
      <c r="BO903" s="43"/>
      <c r="BP903" s="43"/>
      <c r="BQ903" s="43"/>
      <c r="BR903" s="43"/>
      <c r="BS903" s="43"/>
      <c r="BT903" s="43"/>
      <c r="BU903" s="43"/>
      <c r="BV903" s="43"/>
      <c r="BW903" s="43"/>
      <c r="BX903" s="43"/>
      <c r="BY903" s="43"/>
      <c r="BZ903" s="43"/>
      <c r="CA903" s="43"/>
      <c r="CB903" s="43"/>
      <c r="CC903" s="43"/>
      <c r="CD903" s="43"/>
      <c r="CE903" s="43"/>
      <c r="CF903" s="43"/>
      <c r="CG903" s="43"/>
      <c r="CH903" s="43"/>
      <c r="CI903" s="43"/>
      <c r="CJ903" s="43"/>
      <c r="CK903" s="43"/>
      <c r="CL903" s="43"/>
      <c r="CM903" s="43"/>
      <c r="CN903" s="43"/>
      <c r="CO903" s="43"/>
      <c r="CP903" s="43"/>
      <c r="CQ903" s="43"/>
      <c r="CR903" s="43"/>
      <c r="CS903" s="43"/>
      <c r="CT903" s="43"/>
      <c r="CU903" s="43"/>
      <c r="CV903" s="43"/>
      <c r="CW903" s="43"/>
      <c r="CX903" s="43"/>
      <c r="CY903" s="43"/>
      <c r="CZ903" s="43"/>
      <c r="DA903" s="43"/>
      <c r="DB903" s="43"/>
      <c r="DC903" s="43"/>
      <c r="DD903" s="43"/>
      <c r="DE903" s="43"/>
      <c r="DF903" s="43"/>
      <c r="DG903" s="43"/>
      <c r="DH903" s="43"/>
      <c r="DI903" s="43"/>
      <c r="DJ903" s="43"/>
      <c r="DK903" s="43"/>
      <c r="DL903" s="43"/>
      <c r="DM903" s="43"/>
      <c r="DN903" s="43"/>
      <c r="DO903" s="43"/>
      <c r="DP903" s="43"/>
      <c r="DQ903" s="43"/>
      <c r="DR903" s="43"/>
      <c r="DS903" s="43"/>
    </row>
    <row r="904" spans="1:123" ht="14.45">
      <c r="A904"/>
      <c r="B904"/>
      <c r="C904"/>
      <c r="D904"/>
      <c r="E904"/>
      <c r="F904"/>
      <c r="G904"/>
      <c r="H904"/>
      <c r="I904"/>
      <c r="J904"/>
      <c r="K904" s="43"/>
      <c r="L904" s="43"/>
      <c r="M904" s="43"/>
      <c r="N904" s="43"/>
      <c r="O904" s="43"/>
      <c r="P904" s="43"/>
      <c r="Q904" s="43"/>
      <c r="R904" s="43"/>
      <c r="S904" s="43"/>
      <c r="T904" s="43"/>
      <c r="U904" s="43"/>
      <c r="V904" s="43"/>
      <c r="W904" s="43"/>
      <c r="X904" s="43"/>
      <c r="Y904" s="43"/>
      <c r="Z904" s="43"/>
      <c r="AA904" s="43"/>
      <c r="AB904" s="43"/>
      <c r="AC904" s="43"/>
      <c r="AD904" s="43"/>
      <c r="AE904" s="43"/>
      <c r="AF904" s="43"/>
      <c r="AG904" s="43"/>
      <c r="AH904" s="43"/>
      <c r="AI904" s="43"/>
      <c r="AJ904" s="43"/>
      <c r="AK904" s="43"/>
      <c r="AL904" s="43"/>
      <c r="AM904" s="43"/>
      <c r="AN904" s="43"/>
      <c r="AO904" s="43"/>
      <c r="AP904" s="43"/>
      <c r="AQ904" s="43"/>
      <c r="AR904" s="43"/>
      <c r="AS904" s="43"/>
      <c r="AT904" s="43"/>
      <c r="AU904" s="43"/>
      <c r="AV904" s="43"/>
      <c r="AW904" s="43"/>
      <c r="AX904" s="43"/>
      <c r="AY904" s="43"/>
      <c r="AZ904" s="43"/>
      <c r="BA904" s="43"/>
      <c r="BB904" s="43"/>
      <c r="BC904" s="43"/>
      <c r="BD904" s="43"/>
      <c r="BE904" s="43"/>
      <c r="BF904" s="43"/>
      <c r="BG904" s="43"/>
      <c r="BH904" s="43"/>
      <c r="BI904" s="43"/>
      <c r="BJ904" s="43"/>
      <c r="BK904" s="43"/>
      <c r="BL904" s="43"/>
      <c r="BM904" s="43"/>
      <c r="BN904" s="43"/>
      <c r="BO904" s="43"/>
      <c r="BP904" s="43"/>
      <c r="BQ904" s="43"/>
      <c r="BR904" s="43"/>
      <c r="BS904" s="43"/>
      <c r="BT904" s="43"/>
      <c r="BU904" s="43"/>
      <c r="BV904" s="43"/>
      <c r="BW904" s="43"/>
      <c r="BX904" s="43"/>
      <c r="BY904" s="43"/>
      <c r="BZ904" s="43"/>
      <c r="CA904" s="43"/>
      <c r="CB904" s="43"/>
      <c r="CC904" s="43"/>
      <c r="CD904" s="43"/>
      <c r="CE904" s="43"/>
      <c r="CF904" s="43"/>
      <c r="CG904" s="43"/>
      <c r="CH904" s="43"/>
      <c r="CI904" s="43"/>
      <c r="CJ904" s="43"/>
      <c r="CK904" s="43"/>
      <c r="CL904" s="43"/>
      <c r="CM904" s="43"/>
      <c r="CN904" s="43"/>
      <c r="CO904" s="43"/>
      <c r="CP904" s="43"/>
      <c r="CQ904" s="43"/>
      <c r="CR904" s="43"/>
      <c r="CS904" s="43"/>
      <c r="CT904" s="43"/>
      <c r="CU904" s="43"/>
      <c r="CV904" s="43"/>
      <c r="CW904" s="43"/>
      <c r="CX904" s="43"/>
      <c r="CY904" s="43"/>
      <c r="CZ904" s="43"/>
      <c r="DA904" s="43"/>
      <c r="DB904" s="43"/>
      <c r="DC904" s="43"/>
      <c r="DD904" s="43"/>
      <c r="DE904" s="43"/>
      <c r="DF904" s="43"/>
      <c r="DG904" s="43"/>
      <c r="DH904" s="43"/>
      <c r="DI904" s="43"/>
      <c r="DJ904" s="43"/>
      <c r="DK904" s="43"/>
      <c r="DL904" s="43"/>
      <c r="DM904" s="43"/>
      <c r="DN904" s="43"/>
      <c r="DO904" s="43"/>
      <c r="DP904" s="43"/>
      <c r="DQ904" s="43"/>
      <c r="DR904" s="43"/>
      <c r="DS904" s="43"/>
    </row>
    <row r="905" spans="1:123" ht="14.45">
      <c r="A905"/>
      <c r="B905"/>
      <c r="C905"/>
      <c r="D905"/>
      <c r="E905"/>
      <c r="F905"/>
      <c r="G905"/>
      <c r="H905"/>
      <c r="I905"/>
      <c r="J905"/>
      <c r="K905" s="43"/>
      <c r="L905" s="43"/>
      <c r="M905" s="43"/>
      <c r="N905" s="43"/>
      <c r="O905" s="43"/>
      <c r="P905" s="43"/>
      <c r="Q905" s="43"/>
      <c r="R905" s="43"/>
      <c r="S905" s="43"/>
      <c r="T905" s="43"/>
      <c r="U905" s="43"/>
      <c r="V905" s="43"/>
      <c r="W905" s="43"/>
      <c r="X905" s="43"/>
      <c r="Y905" s="43"/>
      <c r="Z905" s="43"/>
      <c r="AA905" s="43"/>
      <c r="AB905" s="43"/>
      <c r="AC905" s="43"/>
      <c r="AD905" s="43"/>
      <c r="AE905" s="43"/>
      <c r="AF905" s="43"/>
      <c r="AG905" s="43"/>
      <c r="AH905" s="43"/>
      <c r="AI905" s="43"/>
      <c r="AJ905" s="43"/>
      <c r="AK905" s="43"/>
      <c r="AL905" s="43"/>
      <c r="AM905" s="43"/>
      <c r="AN905" s="43"/>
      <c r="AO905" s="43"/>
      <c r="AP905" s="43"/>
      <c r="AQ905" s="43"/>
      <c r="AR905" s="43"/>
      <c r="AS905" s="43"/>
      <c r="AT905" s="43"/>
      <c r="AU905" s="43"/>
      <c r="AV905" s="43"/>
      <c r="AW905" s="43"/>
      <c r="AX905" s="43"/>
      <c r="AY905" s="43"/>
      <c r="AZ905" s="43"/>
      <c r="BA905" s="43"/>
      <c r="BB905" s="43"/>
      <c r="BC905" s="43"/>
      <c r="BD905" s="43"/>
      <c r="BE905" s="43"/>
      <c r="BF905" s="43"/>
      <c r="BG905" s="43"/>
      <c r="BH905" s="43"/>
      <c r="BI905" s="43"/>
      <c r="BJ905" s="43"/>
      <c r="BK905" s="43"/>
      <c r="BL905" s="43"/>
      <c r="BM905" s="43"/>
      <c r="BN905" s="43"/>
      <c r="BO905" s="43"/>
      <c r="BP905" s="43"/>
      <c r="BQ905" s="43"/>
      <c r="BR905" s="43"/>
      <c r="BS905" s="43"/>
      <c r="BT905" s="43"/>
      <c r="BU905" s="43"/>
      <c r="BV905" s="43"/>
      <c r="BW905" s="43"/>
      <c r="BX905" s="43"/>
      <c r="BY905" s="43"/>
      <c r="BZ905" s="43"/>
      <c r="CA905" s="43"/>
      <c r="CB905" s="43"/>
      <c r="CC905" s="43"/>
      <c r="CD905" s="43"/>
      <c r="CE905" s="43"/>
      <c r="CF905" s="43"/>
      <c r="CG905" s="43"/>
      <c r="CH905" s="43"/>
      <c r="CI905" s="43"/>
      <c r="CJ905" s="43"/>
      <c r="CK905" s="43"/>
      <c r="CL905" s="43"/>
      <c r="CM905" s="43"/>
      <c r="CN905" s="43"/>
      <c r="CO905" s="43"/>
      <c r="CP905" s="43"/>
      <c r="CQ905" s="43"/>
      <c r="CR905" s="43"/>
      <c r="CS905" s="43"/>
      <c r="CT905" s="43"/>
      <c r="CU905" s="43"/>
      <c r="CV905" s="43"/>
      <c r="CW905" s="43"/>
      <c r="CX905" s="43"/>
      <c r="CY905" s="43"/>
      <c r="CZ905" s="43"/>
      <c r="DA905" s="43"/>
      <c r="DB905" s="43"/>
      <c r="DC905" s="43"/>
      <c r="DD905" s="43"/>
      <c r="DE905" s="43"/>
      <c r="DF905" s="43"/>
      <c r="DG905" s="43"/>
      <c r="DH905" s="43"/>
      <c r="DI905" s="43"/>
      <c r="DJ905" s="43"/>
      <c r="DK905" s="43"/>
      <c r="DL905" s="43"/>
      <c r="DM905" s="43"/>
      <c r="DN905" s="43"/>
      <c r="DO905" s="43"/>
      <c r="DP905" s="43"/>
      <c r="DQ905" s="43"/>
      <c r="DR905" s="43"/>
      <c r="DS905" s="43"/>
    </row>
    <row r="906" spans="1:123" ht="14.45">
      <c r="A906"/>
      <c r="B906"/>
      <c r="C906"/>
      <c r="D906"/>
      <c r="E906"/>
      <c r="F906"/>
      <c r="G906"/>
      <c r="H906"/>
      <c r="I906"/>
      <c r="J906"/>
      <c r="K906" s="43"/>
      <c r="L906" s="43"/>
      <c r="M906" s="43"/>
      <c r="N906" s="43"/>
      <c r="O906" s="43"/>
      <c r="P906" s="43"/>
      <c r="Q906" s="43"/>
      <c r="R906" s="43"/>
      <c r="S906" s="43"/>
      <c r="T906" s="43"/>
      <c r="U906" s="43"/>
      <c r="V906" s="43"/>
      <c r="W906" s="43"/>
      <c r="X906" s="43"/>
      <c r="Y906" s="43"/>
      <c r="Z906" s="43"/>
      <c r="AA906" s="43"/>
      <c r="AB906" s="43"/>
      <c r="AC906" s="43"/>
      <c r="AD906" s="43"/>
      <c r="AE906" s="43"/>
      <c r="AF906" s="43"/>
      <c r="AG906" s="43"/>
      <c r="AH906" s="43"/>
      <c r="AI906" s="43"/>
      <c r="AJ906" s="43"/>
      <c r="AK906" s="43"/>
      <c r="AL906" s="43"/>
      <c r="AM906" s="43"/>
      <c r="AN906" s="43"/>
      <c r="AO906" s="43"/>
      <c r="AP906" s="43"/>
      <c r="AQ906" s="43"/>
      <c r="AR906" s="43"/>
      <c r="AS906" s="43"/>
      <c r="AT906" s="43"/>
      <c r="AU906" s="43"/>
      <c r="AV906" s="43"/>
      <c r="AW906" s="43"/>
      <c r="AX906" s="43"/>
      <c r="AY906" s="43"/>
      <c r="AZ906" s="43"/>
      <c r="BA906" s="43"/>
      <c r="BB906" s="43"/>
      <c r="BC906" s="43"/>
      <c r="BD906" s="43"/>
      <c r="BE906" s="43"/>
      <c r="BF906" s="43"/>
      <c r="BG906" s="43"/>
      <c r="BH906" s="43"/>
      <c r="BI906" s="43"/>
      <c r="BJ906" s="43"/>
      <c r="BK906" s="43"/>
      <c r="BL906" s="43"/>
      <c r="BM906" s="43"/>
      <c r="BN906" s="43"/>
      <c r="BO906" s="43"/>
      <c r="BP906" s="43"/>
      <c r="BQ906" s="43"/>
      <c r="BR906" s="43"/>
      <c r="BS906" s="43"/>
      <c r="BT906" s="43"/>
      <c r="BU906" s="43"/>
      <c r="BV906" s="43"/>
      <c r="BW906" s="43"/>
      <c r="BX906" s="43"/>
      <c r="BY906" s="43"/>
      <c r="BZ906" s="43"/>
      <c r="CA906" s="43"/>
      <c r="CB906" s="43"/>
      <c r="CC906" s="43"/>
      <c r="CD906" s="43"/>
      <c r="CE906" s="43"/>
      <c r="CF906" s="43"/>
      <c r="CG906" s="43"/>
      <c r="CH906" s="43"/>
      <c r="CI906" s="43"/>
      <c r="CJ906" s="43"/>
      <c r="CK906" s="43"/>
      <c r="CL906" s="43"/>
      <c r="CM906" s="43"/>
      <c r="CN906" s="43"/>
      <c r="CO906" s="43"/>
      <c r="CP906" s="43"/>
      <c r="CQ906" s="43"/>
      <c r="CR906" s="43"/>
      <c r="CS906" s="43"/>
      <c r="CT906" s="43"/>
      <c r="CU906" s="43"/>
      <c r="CV906" s="43"/>
      <c r="CW906" s="43"/>
      <c r="CX906" s="43"/>
      <c r="CY906" s="43"/>
      <c r="CZ906" s="43"/>
      <c r="DA906" s="43"/>
      <c r="DB906" s="43"/>
      <c r="DC906" s="43"/>
      <c r="DD906" s="43"/>
      <c r="DE906" s="43"/>
      <c r="DF906" s="43"/>
      <c r="DG906" s="43"/>
      <c r="DH906" s="43"/>
      <c r="DI906" s="43"/>
      <c r="DJ906" s="43"/>
      <c r="DK906" s="43"/>
      <c r="DL906" s="43"/>
      <c r="DM906" s="43"/>
      <c r="DN906" s="43"/>
      <c r="DO906" s="43"/>
      <c r="DP906" s="43"/>
      <c r="DQ906" s="43"/>
      <c r="DR906" s="43"/>
      <c r="DS906" s="43"/>
    </row>
    <row r="907" spans="1:123" ht="14.45">
      <c r="A907"/>
      <c r="B907"/>
      <c r="C907"/>
      <c r="D907"/>
      <c r="E907"/>
      <c r="F907"/>
      <c r="G907"/>
      <c r="H907"/>
      <c r="I907"/>
      <c r="J907"/>
      <c r="K907" s="43"/>
      <c r="L907" s="43"/>
      <c r="M907" s="43"/>
      <c r="N907" s="43"/>
      <c r="O907" s="43"/>
      <c r="P907" s="43"/>
      <c r="Q907" s="43"/>
      <c r="R907" s="43"/>
      <c r="S907" s="43"/>
      <c r="T907" s="43"/>
      <c r="U907" s="43"/>
      <c r="V907" s="43"/>
      <c r="W907" s="43"/>
      <c r="X907" s="43"/>
      <c r="Y907" s="43"/>
      <c r="Z907" s="43"/>
      <c r="AA907" s="43"/>
      <c r="AB907" s="43"/>
      <c r="AC907" s="43"/>
      <c r="AD907" s="43"/>
      <c r="AE907" s="43"/>
      <c r="AF907" s="43"/>
      <c r="AG907" s="43"/>
      <c r="AH907" s="43"/>
      <c r="AI907" s="43"/>
      <c r="AJ907" s="43"/>
      <c r="AK907" s="43"/>
      <c r="AL907" s="43"/>
      <c r="AM907" s="43"/>
      <c r="AN907" s="43"/>
      <c r="AO907" s="43"/>
      <c r="AP907" s="43"/>
      <c r="AQ907" s="43"/>
      <c r="AR907" s="43"/>
      <c r="AS907" s="43"/>
      <c r="AT907" s="43"/>
      <c r="AU907" s="43"/>
      <c r="AV907" s="43"/>
      <c r="AW907" s="43"/>
      <c r="AX907" s="43"/>
      <c r="AY907" s="43"/>
      <c r="AZ907" s="43"/>
      <c r="BA907" s="43"/>
      <c r="BB907" s="43"/>
      <c r="BC907" s="43"/>
      <c r="BD907" s="43"/>
      <c r="BE907" s="43"/>
      <c r="BF907" s="43"/>
      <c r="BG907" s="43"/>
      <c r="BH907" s="43"/>
      <c r="BI907" s="43"/>
      <c r="BJ907" s="43"/>
      <c r="BK907" s="43"/>
      <c r="BL907" s="43"/>
      <c r="BM907" s="43"/>
      <c r="BN907" s="43"/>
      <c r="BO907" s="43"/>
      <c r="BP907" s="43"/>
      <c r="BQ907" s="43"/>
      <c r="BR907" s="43"/>
      <c r="BS907" s="43"/>
      <c r="BT907" s="43"/>
      <c r="BU907" s="43"/>
      <c r="BV907" s="43"/>
      <c r="BW907" s="43"/>
      <c r="BX907" s="43"/>
      <c r="BY907" s="43"/>
      <c r="BZ907" s="43"/>
      <c r="CA907" s="43"/>
      <c r="CB907" s="43"/>
      <c r="CC907" s="43"/>
      <c r="CD907" s="43"/>
      <c r="CE907" s="43"/>
      <c r="CF907" s="43"/>
      <c r="CG907" s="43"/>
      <c r="CH907" s="43"/>
      <c r="CI907" s="43"/>
      <c r="CJ907" s="43"/>
      <c r="CK907" s="43"/>
      <c r="CL907" s="43"/>
      <c r="CM907" s="43"/>
      <c r="CN907" s="43"/>
      <c r="CO907" s="43"/>
      <c r="CP907" s="43"/>
      <c r="CQ907" s="43"/>
      <c r="CR907" s="43"/>
      <c r="CS907" s="43"/>
      <c r="CT907" s="43"/>
      <c r="CU907" s="43"/>
      <c r="CV907" s="43"/>
      <c r="CW907" s="43"/>
      <c r="CX907" s="43"/>
      <c r="CY907" s="43"/>
      <c r="CZ907" s="43"/>
      <c r="DA907" s="43"/>
      <c r="DB907" s="43"/>
      <c r="DC907" s="43"/>
      <c r="DD907" s="43"/>
      <c r="DE907" s="43"/>
      <c r="DF907" s="43"/>
      <c r="DG907" s="43"/>
      <c r="DH907" s="43"/>
      <c r="DI907" s="43"/>
      <c r="DJ907" s="43"/>
      <c r="DK907" s="43"/>
      <c r="DL907" s="43"/>
      <c r="DM907" s="43"/>
      <c r="DN907" s="43"/>
      <c r="DO907" s="43"/>
      <c r="DP907" s="43"/>
      <c r="DQ907" s="43"/>
      <c r="DR907" s="43"/>
      <c r="DS907" s="43"/>
    </row>
    <row r="908" spans="1:123" ht="14.45">
      <c r="A908"/>
      <c r="B908"/>
      <c r="C908"/>
      <c r="D908"/>
      <c r="E908"/>
      <c r="F908"/>
      <c r="G908"/>
      <c r="H908"/>
      <c r="I908"/>
      <c r="J908"/>
      <c r="K908" s="43"/>
      <c r="L908" s="43"/>
      <c r="M908" s="43"/>
      <c r="N908" s="43"/>
      <c r="O908" s="43"/>
      <c r="P908" s="43"/>
      <c r="Q908" s="43"/>
      <c r="R908" s="43"/>
      <c r="S908" s="43"/>
      <c r="T908" s="43"/>
      <c r="U908" s="43"/>
      <c r="V908" s="43"/>
      <c r="W908" s="43"/>
      <c r="X908" s="43"/>
      <c r="Y908" s="43"/>
      <c r="Z908" s="43"/>
      <c r="AA908" s="43"/>
      <c r="AB908" s="43"/>
      <c r="AC908" s="43"/>
      <c r="AD908" s="43"/>
      <c r="AE908" s="43"/>
      <c r="AF908" s="43"/>
      <c r="AG908" s="43"/>
      <c r="AH908" s="43"/>
      <c r="AI908" s="43"/>
      <c r="AJ908" s="43"/>
      <c r="AK908" s="43"/>
      <c r="AL908" s="43"/>
      <c r="AM908" s="43"/>
      <c r="AN908" s="43"/>
      <c r="AO908" s="43"/>
      <c r="AP908" s="43"/>
      <c r="AQ908" s="43"/>
      <c r="AR908" s="43"/>
      <c r="AS908" s="43"/>
      <c r="AT908" s="43"/>
      <c r="AU908" s="43"/>
      <c r="AV908" s="43"/>
      <c r="AW908" s="43"/>
      <c r="AX908" s="43"/>
      <c r="AY908" s="43"/>
      <c r="AZ908" s="43"/>
      <c r="BA908" s="43"/>
      <c r="BB908" s="43"/>
      <c r="BC908" s="43"/>
      <c r="BD908" s="43"/>
      <c r="BE908" s="43"/>
      <c r="BF908" s="43"/>
      <c r="BG908" s="43"/>
      <c r="BH908" s="43"/>
      <c r="BI908" s="43"/>
      <c r="BJ908" s="43"/>
      <c r="BK908" s="43"/>
      <c r="BL908" s="43"/>
      <c r="BM908" s="43"/>
      <c r="BN908" s="43"/>
      <c r="BO908" s="43"/>
      <c r="BP908" s="43"/>
      <c r="BQ908" s="43"/>
      <c r="BR908" s="43"/>
      <c r="BS908" s="43"/>
      <c r="BT908" s="43"/>
      <c r="BU908" s="43"/>
      <c r="BV908" s="43"/>
      <c r="BW908" s="43"/>
      <c r="BX908" s="43"/>
      <c r="BY908" s="43"/>
      <c r="BZ908" s="43"/>
      <c r="CA908" s="43"/>
      <c r="CB908" s="43"/>
      <c r="CC908" s="43"/>
      <c r="CD908" s="43"/>
      <c r="CE908" s="43"/>
      <c r="CF908" s="43"/>
      <c r="CG908" s="43"/>
      <c r="CH908" s="43"/>
      <c r="CI908" s="43"/>
      <c r="CJ908" s="43"/>
      <c r="CK908" s="43"/>
      <c r="CL908" s="43"/>
      <c r="CM908" s="43"/>
      <c r="CN908" s="43"/>
      <c r="CO908" s="43"/>
      <c r="CP908" s="43"/>
      <c r="CQ908" s="43"/>
      <c r="CR908" s="43"/>
      <c r="CS908" s="43"/>
      <c r="CT908" s="43"/>
      <c r="CU908" s="43"/>
      <c r="CV908" s="43"/>
      <c r="CW908" s="43"/>
      <c r="CX908" s="43"/>
      <c r="CY908" s="43"/>
      <c r="CZ908" s="43"/>
      <c r="DA908" s="43"/>
      <c r="DB908" s="43"/>
      <c r="DC908" s="43"/>
      <c r="DD908" s="43"/>
      <c r="DE908" s="43"/>
      <c r="DF908" s="43"/>
      <c r="DG908" s="43"/>
      <c r="DH908" s="43"/>
      <c r="DI908" s="43"/>
      <c r="DJ908" s="43"/>
      <c r="DK908" s="43"/>
      <c r="DL908" s="43"/>
      <c r="DM908" s="43"/>
      <c r="DN908" s="43"/>
      <c r="DO908" s="43"/>
      <c r="DP908" s="43"/>
      <c r="DQ908" s="43"/>
      <c r="DR908" s="43"/>
      <c r="DS908" s="43"/>
    </row>
    <row r="909" spans="1:123" ht="14.45">
      <c r="A909"/>
      <c r="B909"/>
      <c r="C909"/>
      <c r="D909"/>
      <c r="E909"/>
      <c r="F909"/>
      <c r="G909"/>
      <c r="H909"/>
      <c r="I909"/>
      <c r="J909"/>
      <c r="K909" s="43"/>
      <c r="L909" s="43"/>
      <c r="M909" s="43"/>
      <c r="N909" s="43"/>
      <c r="O909" s="43"/>
      <c r="P909" s="43"/>
      <c r="Q909" s="43"/>
      <c r="R909" s="43"/>
      <c r="S909" s="43"/>
      <c r="T909" s="43"/>
      <c r="U909" s="43"/>
      <c r="V909" s="43"/>
      <c r="W909" s="43"/>
      <c r="X909" s="43"/>
      <c r="Y909" s="43"/>
      <c r="Z909" s="43"/>
      <c r="AA909" s="43"/>
      <c r="AB909" s="43"/>
      <c r="AC909" s="43"/>
      <c r="AD909" s="43"/>
      <c r="AE909" s="43"/>
      <c r="AF909" s="43"/>
      <c r="AG909" s="43"/>
      <c r="AH909" s="43"/>
      <c r="AI909" s="43"/>
      <c r="AJ909" s="43"/>
      <c r="AK909" s="43"/>
      <c r="AL909" s="43"/>
      <c r="AM909" s="43"/>
      <c r="AN909" s="43"/>
      <c r="AO909" s="43"/>
      <c r="AP909" s="43"/>
      <c r="AQ909" s="43"/>
      <c r="AR909" s="43"/>
      <c r="AS909" s="43"/>
      <c r="AT909" s="43"/>
      <c r="AU909" s="43"/>
      <c r="AV909" s="43"/>
      <c r="AW909" s="43"/>
      <c r="AX909" s="43"/>
      <c r="AY909" s="43"/>
      <c r="AZ909" s="43"/>
      <c r="BA909" s="43"/>
      <c r="BB909" s="43"/>
      <c r="BC909" s="43"/>
      <c r="BD909" s="43"/>
      <c r="BE909" s="43"/>
      <c r="BF909" s="43"/>
      <c r="BG909" s="43"/>
      <c r="BH909" s="43"/>
      <c r="BI909" s="43"/>
      <c r="BJ909" s="43"/>
      <c r="BK909" s="43"/>
      <c r="BL909" s="43"/>
      <c r="BM909" s="43"/>
      <c r="BN909" s="43"/>
      <c r="BO909" s="43"/>
      <c r="BP909" s="43"/>
      <c r="BQ909" s="43"/>
      <c r="BR909" s="43"/>
      <c r="BS909" s="43"/>
      <c r="BT909" s="43"/>
      <c r="BU909" s="43"/>
      <c r="BV909" s="43"/>
      <c r="BW909" s="43"/>
      <c r="BX909" s="43"/>
      <c r="BY909" s="43"/>
      <c r="BZ909" s="43"/>
      <c r="CA909" s="43"/>
      <c r="CB909" s="43"/>
      <c r="CC909" s="43"/>
      <c r="CD909" s="43"/>
      <c r="CE909" s="43"/>
      <c r="CF909" s="43"/>
      <c r="CG909" s="43"/>
      <c r="CH909" s="43"/>
      <c r="CI909" s="43"/>
      <c r="CJ909" s="43"/>
      <c r="CK909" s="43"/>
      <c r="CL909" s="43"/>
      <c r="CM909" s="43"/>
      <c r="CN909" s="43"/>
      <c r="CO909" s="43"/>
      <c r="CP909" s="43"/>
      <c r="CQ909" s="43"/>
      <c r="CR909" s="43"/>
      <c r="CS909" s="43"/>
      <c r="CT909" s="43"/>
      <c r="CU909" s="43"/>
      <c r="CV909" s="43"/>
      <c r="CW909" s="43"/>
      <c r="CX909" s="43"/>
      <c r="CY909" s="43"/>
      <c r="CZ909" s="43"/>
      <c r="DA909" s="43"/>
      <c r="DB909" s="43"/>
      <c r="DC909" s="43"/>
      <c r="DD909" s="43"/>
      <c r="DE909" s="43"/>
      <c r="DF909" s="43"/>
      <c r="DG909" s="43"/>
      <c r="DH909" s="43"/>
      <c r="DI909" s="43"/>
      <c r="DJ909" s="43"/>
      <c r="DK909" s="43"/>
      <c r="DL909" s="43"/>
      <c r="DM909" s="43"/>
      <c r="DN909" s="43"/>
      <c r="DO909" s="43"/>
      <c r="DP909" s="43"/>
      <c r="DQ909" s="43"/>
      <c r="DR909" s="43"/>
      <c r="DS909" s="43"/>
    </row>
    <row r="910" spans="1:123" ht="14.45">
      <c r="A910"/>
      <c r="B910"/>
      <c r="C910"/>
      <c r="D910"/>
      <c r="E910"/>
      <c r="F910"/>
      <c r="G910"/>
      <c r="H910"/>
      <c r="I910"/>
      <c r="J910"/>
      <c r="K910" s="43"/>
      <c r="L910" s="43"/>
      <c r="M910" s="43"/>
      <c r="N910" s="43"/>
      <c r="O910" s="43"/>
      <c r="P910" s="43"/>
      <c r="Q910" s="43"/>
      <c r="R910" s="43"/>
      <c r="S910" s="43"/>
      <c r="T910" s="43"/>
      <c r="U910" s="43"/>
      <c r="V910" s="43"/>
      <c r="W910" s="43"/>
      <c r="X910" s="43"/>
      <c r="Y910" s="43"/>
      <c r="Z910" s="43"/>
      <c r="AA910" s="43"/>
      <c r="AB910" s="43"/>
      <c r="AC910" s="43"/>
      <c r="AD910" s="43"/>
      <c r="AE910" s="43"/>
      <c r="AF910" s="43"/>
      <c r="AG910" s="43"/>
      <c r="AH910" s="43"/>
      <c r="AI910" s="43"/>
      <c r="AJ910" s="43"/>
      <c r="AK910" s="43"/>
      <c r="AL910" s="43"/>
      <c r="AM910" s="43"/>
      <c r="AN910" s="43"/>
      <c r="AO910" s="43"/>
      <c r="AP910" s="43"/>
      <c r="AQ910" s="43"/>
      <c r="AR910" s="43"/>
      <c r="AS910" s="43"/>
      <c r="AT910" s="43"/>
      <c r="AU910" s="43"/>
      <c r="AV910" s="43"/>
      <c r="AW910" s="43"/>
      <c r="AX910" s="43"/>
      <c r="AY910" s="43"/>
      <c r="AZ910" s="43"/>
      <c r="BA910" s="43"/>
      <c r="BB910" s="43"/>
      <c r="BC910" s="43"/>
      <c r="BD910" s="43"/>
      <c r="BE910" s="43"/>
      <c r="BF910" s="43"/>
      <c r="BG910" s="43"/>
      <c r="BH910" s="43"/>
      <c r="BI910" s="43"/>
      <c r="BJ910" s="43"/>
      <c r="BK910" s="43"/>
      <c r="BL910" s="43"/>
      <c r="BM910" s="43"/>
      <c r="BN910" s="43"/>
      <c r="BO910" s="43"/>
      <c r="BP910" s="43"/>
      <c r="BQ910" s="43"/>
      <c r="BR910" s="43"/>
      <c r="BS910" s="43"/>
      <c r="BT910" s="43"/>
      <c r="BU910" s="43"/>
      <c r="BV910" s="43"/>
      <c r="BW910" s="43"/>
      <c r="BX910" s="43"/>
      <c r="BY910" s="43"/>
      <c r="BZ910" s="43"/>
      <c r="CA910" s="43"/>
      <c r="CB910" s="43"/>
      <c r="CC910" s="43"/>
      <c r="CD910" s="43"/>
      <c r="CE910" s="43"/>
      <c r="CF910" s="43"/>
      <c r="CG910" s="43"/>
      <c r="CH910" s="43"/>
      <c r="CI910" s="43"/>
      <c r="CJ910" s="43"/>
      <c r="CK910" s="43"/>
      <c r="CL910" s="43"/>
      <c r="CM910" s="43"/>
      <c r="CN910" s="43"/>
      <c r="CO910" s="43"/>
      <c r="CP910" s="43"/>
      <c r="CQ910" s="43"/>
      <c r="CR910" s="43"/>
      <c r="CS910" s="43"/>
      <c r="CT910" s="43"/>
      <c r="CU910" s="43"/>
      <c r="CV910" s="43"/>
      <c r="CW910" s="43"/>
      <c r="CX910" s="43"/>
      <c r="CY910" s="43"/>
      <c r="CZ910" s="43"/>
      <c r="DA910" s="43"/>
      <c r="DB910" s="43"/>
      <c r="DC910" s="43"/>
      <c r="DD910" s="43"/>
      <c r="DE910" s="43"/>
      <c r="DF910" s="43"/>
      <c r="DG910" s="43"/>
      <c r="DH910" s="43"/>
      <c r="DI910" s="43"/>
      <c r="DJ910" s="43"/>
      <c r="DK910" s="43"/>
      <c r="DL910" s="43"/>
      <c r="DM910" s="43"/>
      <c r="DN910" s="43"/>
      <c r="DO910" s="43"/>
      <c r="DP910" s="43"/>
      <c r="DQ910" s="43"/>
      <c r="DR910" s="43"/>
      <c r="DS910" s="43"/>
    </row>
    <row r="911" spans="1:123" ht="14.45">
      <c r="A911"/>
      <c r="B911"/>
      <c r="C911"/>
      <c r="D911"/>
      <c r="E911"/>
      <c r="F911"/>
      <c r="G911"/>
      <c r="H911"/>
      <c r="I911"/>
      <c r="J911"/>
      <c r="K911" s="43"/>
      <c r="L911" s="43"/>
      <c r="M911" s="43"/>
      <c r="N911" s="43"/>
      <c r="O911" s="43"/>
      <c r="P911" s="43"/>
      <c r="Q911" s="43"/>
      <c r="R911" s="43"/>
      <c r="S911" s="43"/>
      <c r="T911" s="43"/>
      <c r="U911" s="43"/>
      <c r="V911" s="43"/>
      <c r="W911" s="43"/>
      <c r="X911" s="43"/>
      <c r="Y911" s="43"/>
      <c r="Z911" s="43"/>
      <c r="AA911" s="43"/>
      <c r="AB911" s="43"/>
      <c r="AC911" s="43"/>
      <c r="AD911" s="43"/>
      <c r="AE911" s="43"/>
      <c r="AF911" s="43"/>
      <c r="AG911" s="43"/>
      <c r="AH911" s="43"/>
      <c r="AI911" s="43"/>
      <c r="AJ911" s="43"/>
      <c r="AK911" s="43"/>
      <c r="AL911" s="43"/>
      <c r="AM911" s="43"/>
      <c r="AN911" s="43"/>
      <c r="AO911" s="43"/>
      <c r="AP911" s="43"/>
      <c r="AQ911" s="43"/>
      <c r="AR911" s="43"/>
      <c r="AS911" s="43"/>
      <c r="AT911" s="43"/>
      <c r="AU911" s="43"/>
      <c r="AV911" s="43"/>
      <c r="AW911" s="43"/>
      <c r="AX911" s="43"/>
      <c r="AY911" s="43"/>
      <c r="AZ911" s="43"/>
      <c r="BA911" s="43"/>
      <c r="BB911" s="43"/>
      <c r="BC911" s="43"/>
      <c r="BD911" s="43"/>
      <c r="BE911" s="43"/>
      <c r="BF911" s="43"/>
      <c r="BG911" s="43"/>
      <c r="BH911" s="43"/>
      <c r="BI911" s="43"/>
      <c r="BJ911" s="43"/>
      <c r="BK911" s="43"/>
      <c r="BL911" s="43"/>
      <c r="BM911" s="43"/>
      <c r="BN911" s="43"/>
      <c r="BO911" s="43"/>
      <c r="BP911" s="43"/>
      <c r="BQ911" s="43"/>
      <c r="BR911" s="43"/>
      <c r="BS911" s="43"/>
      <c r="BT911" s="43"/>
      <c r="BU911" s="43"/>
      <c r="BV911" s="43"/>
      <c r="BW911" s="43"/>
      <c r="BX911" s="43"/>
      <c r="BY911" s="43"/>
      <c r="BZ911" s="43"/>
      <c r="CA911" s="43"/>
      <c r="CB911" s="43"/>
      <c r="CC911" s="43"/>
      <c r="CD911" s="43"/>
      <c r="CE911" s="43"/>
      <c r="CF911" s="43"/>
      <c r="CG911" s="43"/>
      <c r="CH911" s="43"/>
      <c r="CI911" s="43"/>
      <c r="CJ911" s="43"/>
      <c r="CK911" s="43"/>
      <c r="CL911" s="43"/>
      <c r="CM911" s="43"/>
      <c r="CN911" s="43"/>
      <c r="CO911" s="43"/>
      <c r="CP911" s="43"/>
      <c r="CQ911" s="43"/>
      <c r="CR911" s="43"/>
      <c r="CS911" s="43"/>
      <c r="CT911" s="43"/>
      <c r="CU911" s="43"/>
      <c r="CV911" s="43"/>
      <c r="CW911" s="43"/>
      <c r="CX911" s="43"/>
      <c r="CY911" s="43"/>
      <c r="CZ911" s="43"/>
      <c r="DA911" s="43"/>
      <c r="DB911" s="43"/>
      <c r="DC911" s="43"/>
      <c r="DD911" s="43"/>
      <c r="DE911" s="43"/>
      <c r="DF911" s="43"/>
      <c r="DG911" s="43"/>
      <c r="DH911" s="43"/>
      <c r="DI911" s="43"/>
      <c r="DJ911" s="43"/>
      <c r="DK911" s="43"/>
      <c r="DL911" s="43"/>
      <c r="DM911" s="43"/>
      <c r="DN911" s="43"/>
      <c r="DO911" s="43"/>
      <c r="DP911" s="43"/>
      <c r="DQ911" s="43"/>
      <c r="DR911" s="43"/>
      <c r="DS911" s="43"/>
    </row>
    <row r="912" spans="1:123" ht="14.45">
      <c r="A912"/>
      <c r="B912"/>
      <c r="C912"/>
      <c r="D912"/>
      <c r="E912"/>
      <c r="F912"/>
      <c r="G912"/>
      <c r="H912"/>
      <c r="I912"/>
      <c r="J912"/>
      <c r="K912" s="43"/>
      <c r="L912" s="43"/>
      <c r="M912" s="43"/>
      <c r="N912" s="43"/>
      <c r="O912" s="43"/>
      <c r="P912" s="43"/>
      <c r="Q912" s="43"/>
      <c r="R912" s="43"/>
      <c r="S912" s="43"/>
      <c r="T912" s="43"/>
      <c r="U912" s="43"/>
      <c r="V912" s="43"/>
      <c r="W912" s="43"/>
      <c r="X912" s="43"/>
      <c r="Y912" s="43"/>
      <c r="Z912" s="43"/>
      <c r="AA912" s="43"/>
      <c r="AB912" s="43"/>
      <c r="AC912" s="43"/>
      <c r="AD912" s="43"/>
      <c r="AE912" s="43"/>
      <c r="AF912" s="43"/>
      <c r="AG912" s="43"/>
      <c r="AH912" s="43"/>
      <c r="AI912" s="43"/>
      <c r="AJ912" s="43"/>
      <c r="AK912" s="43"/>
      <c r="AL912" s="43"/>
      <c r="AM912" s="43"/>
      <c r="AN912" s="43"/>
      <c r="AO912" s="43"/>
      <c r="AP912" s="43"/>
      <c r="AQ912" s="43"/>
      <c r="AR912" s="43"/>
      <c r="AS912" s="43"/>
      <c r="AT912" s="43"/>
      <c r="AU912" s="43"/>
      <c r="AV912" s="43"/>
      <c r="AW912" s="43"/>
      <c r="AX912" s="43"/>
      <c r="AY912" s="43"/>
      <c r="AZ912" s="43"/>
      <c r="BA912" s="43"/>
      <c r="BB912" s="43"/>
      <c r="BC912" s="43"/>
      <c r="BD912" s="43"/>
      <c r="BE912" s="43"/>
      <c r="BF912" s="43"/>
      <c r="BG912" s="43"/>
      <c r="BH912" s="43"/>
      <c r="BI912" s="43"/>
      <c r="BJ912" s="43"/>
      <c r="BK912" s="43"/>
      <c r="BL912" s="43"/>
      <c r="BM912" s="43"/>
      <c r="BN912" s="43"/>
      <c r="BO912" s="43"/>
      <c r="BP912" s="43"/>
      <c r="BQ912" s="43"/>
      <c r="BR912" s="43"/>
      <c r="BS912" s="43"/>
      <c r="BT912" s="43"/>
      <c r="BU912" s="43"/>
      <c r="BV912" s="43"/>
      <c r="BW912" s="43"/>
      <c r="BX912" s="43"/>
      <c r="BY912" s="43"/>
      <c r="BZ912" s="43"/>
      <c r="CA912" s="43"/>
      <c r="CB912" s="43"/>
      <c r="CC912" s="43"/>
      <c r="CD912" s="43"/>
      <c r="CE912" s="43"/>
      <c r="CF912" s="43"/>
      <c r="CG912" s="43"/>
      <c r="CH912" s="43"/>
      <c r="CI912" s="43"/>
      <c r="CJ912" s="43"/>
      <c r="CK912" s="43"/>
      <c r="CL912" s="43"/>
      <c r="CM912" s="43"/>
      <c r="CN912" s="43"/>
      <c r="CO912" s="43"/>
      <c r="CP912" s="43"/>
      <c r="CQ912" s="43"/>
      <c r="CR912" s="43"/>
      <c r="CS912" s="43"/>
      <c r="CT912" s="43"/>
      <c r="CU912" s="43"/>
      <c r="CV912" s="43"/>
      <c r="CW912" s="43"/>
      <c r="CX912" s="43"/>
      <c r="CY912" s="43"/>
      <c r="CZ912" s="43"/>
      <c r="DA912" s="43"/>
      <c r="DB912" s="43"/>
      <c r="DC912" s="43"/>
      <c r="DD912" s="43"/>
      <c r="DE912" s="43"/>
      <c r="DF912" s="43"/>
      <c r="DG912" s="43"/>
      <c r="DH912" s="43"/>
      <c r="DI912" s="43"/>
      <c r="DJ912" s="43"/>
      <c r="DK912" s="43"/>
      <c r="DL912" s="43"/>
      <c r="DM912" s="43"/>
      <c r="DN912" s="43"/>
      <c r="DO912" s="43"/>
      <c r="DP912" s="43"/>
      <c r="DQ912" s="43"/>
      <c r="DR912" s="43"/>
      <c r="DS912" s="43"/>
    </row>
    <row r="913" spans="1:123" ht="14.45">
      <c r="A913"/>
      <c r="B913"/>
      <c r="C913"/>
      <c r="D913"/>
      <c r="E913"/>
      <c r="F913"/>
      <c r="G913"/>
      <c r="H913"/>
      <c r="I913"/>
      <c r="J913"/>
      <c r="K913" s="43"/>
      <c r="L913" s="43"/>
      <c r="M913" s="43"/>
      <c r="N913" s="43"/>
      <c r="O913" s="43"/>
      <c r="P913" s="43"/>
      <c r="Q913" s="43"/>
      <c r="R913" s="43"/>
      <c r="S913" s="43"/>
      <c r="T913" s="43"/>
      <c r="U913" s="43"/>
      <c r="V913" s="43"/>
      <c r="W913" s="43"/>
      <c r="X913" s="43"/>
      <c r="Y913" s="43"/>
      <c r="Z913" s="43"/>
      <c r="AA913" s="43"/>
      <c r="AB913" s="43"/>
      <c r="AC913" s="43"/>
      <c r="AD913" s="43"/>
      <c r="AE913" s="43"/>
      <c r="AF913" s="43"/>
      <c r="AG913" s="43"/>
      <c r="AH913" s="43"/>
      <c r="AI913" s="43"/>
      <c r="AJ913" s="43"/>
      <c r="AK913" s="43"/>
      <c r="AL913" s="43"/>
      <c r="AM913" s="43"/>
      <c r="AN913" s="43"/>
      <c r="AO913" s="43"/>
      <c r="AP913" s="43"/>
      <c r="AQ913" s="43"/>
      <c r="AR913" s="43"/>
      <c r="AS913" s="43"/>
      <c r="AT913" s="43"/>
      <c r="AU913" s="43"/>
      <c r="AV913" s="43"/>
      <c r="AW913" s="43"/>
      <c r="AX913" s="43"/>
      <c r="AY913" s="43"/>
      <c r="AZ913" s="43"/>
      <c r="BA913" s="43"/>
      <c r="BB913" s="43"/>
      <c r="BC913" s="43"/>
      <c r="BD913" s="43"/>
      <c r="BE913" s="43"/>
      <c r="BF913" s="43"/>
      <c r="BG913" s="43"/>
      <c r="BH913" s="43"/>
      <c r="BI913" s="43"/>
      <c r="BJ913" s="43"/>
      <c r="BK913" s="43"/>
      <c r="BL913" s="43"/>
      <c r="BM913" s="43"/>
      <c r="BN913" s="43"/>
      <c r="BO913" s="43"/>
      <c r="BP913" s="43"/>
      <c r="BQ913" s="43"/>
      <c r="BR913" s="43"/>
      <c r="BS913" s="43"/>
      <c r="BT913" s="43"/>
      <c r="BU913" s="43"/>
      <c r="BV913" s="43"/>
      <c r="BW913" s="43"/>
      <c r="BX913" s="43"/>
      <c r="BY913" s="43"/>
      <c r="BZ913" s="43"/>
      <c r="CA913" s="43"/>
      <c r="CB913" s="43"/>
      <c r="CC913" s="43"/>
      <c r="CD913" s="43"/>
      <c r="CE913" s="43"/>
      <c r="CF913" s="43"/>
      <c r="CG913" s="43"/>
      <c r="CH913" s="43"/>
      <c r="CI913" s="43"/>
      <c r="CJ913" s="43"/>
      <c r="CK913" s="43"/>
      <c r="CL913" s="43"/>
      <c r="CM913" s="43"/>
      <c r="CN913" s="43"/>
      <c r="CO913" s="43"/>
      <c r="CP913" s="43"/>
      <c r="CQ913" s="43"/>
      <c r="CR913" s="43"/>
      <c r="CS913" s="43"/>
      <c r="CT913" s="43"/>
      <c r="CU913" s="43"/>
      <c r="CV913" s="43"/>
      <c r="CW913" s="43"/>
      <c r="CX913" s="43"/>
      <c r="CY913" s="43"/>
      <c r="CZ913" s="43"/>
      <c r="DA913" s="43"/>
      <c r="DB913" s="43"/>
      <c r="DC913" s="43"/>
      <c r="DD913" s="43"/>
      <c r="DE913" s="43"/>
      <c r="DF913" s="43"/>
      <c r="DG913" s="43"/>
      <c r="DH913" s="43"/>
      <c r="DI913" s="43"/>
      <c r="DJ913" s="43"/>
      <c r="DK913" s="43"/>
      <c r="DL913" s="43"/>
      <c r="DM913" s="43"/>
      <c r="DN913" s="43"/>
      <c r="DO913" s="43"/>
      <c r="DP913" s="43"/>
      <c r="DQ913" s="43"/>
      <c r="DR913" s="43"/>
      <c r="DS913" s="43"/>
    </row>
    <row r="914" spans="1:123" ht="14.45">
      <c r="A914"/>
      <c r="B914"/>
      <c r="C914"/>
      <c r="D914"/>
      <c r="E914"/>
      <c r="F914"/>
      <c r="G914"/>
      <c r="H914"/>
      <c r="I914"/>
      <c r="J914"/>
      <c r="K914" s="43"/>
      <c r="L914" s="43"/>
      <c r="M914" s="43"/>
      <c r="N914" s="43"/>
      <c r="O914" s="43"/>
      <c r="P914" s="43"/>
      <c r="Q914" s="43"/>
      <c r="R914" s="43"/>
      <c r="S914" s="43"/>
      <c r="T914" s="43"/>
      <c r="U914" s="43"/>
      <c r="V914" s="43"/>
      <c r="W914" s="43"/>
      <c r="X914" s="43"/>
      <c r="Y914" s="43"/>
      <c r="Z914" s="43"/>
      <c r="AA914" s="43"/>
      <c r="AB914" s="43"/>
      <c r="AC914" s="43"/>
      <c r="AD914" s="43"/>
      <c r="AE914" s="43"/>
      <c r="AF914" s="43"/>
      <c r="AG914" s="43"/>
      <c r="AH914" s="43"/>
      <c r="AI914" s="43"/>
      <c r="AJ914" s="43"/>
      <c r="AK914" s="43"/>
      <c r="AL914" s="43"/>
      <c r="AM914" s="43"/>
      <c r="AN914" s="43"/>
      <c r="AO914" s="43"/>
      <c r="AP914" s="43"/>
      <c r="AQ914" s="43"/>
      <c r="AR914" s="43"/>
      <c r="AS914" s="43"/>
      <c r="AT914" s="43"/>
      <c r="AU914" s="43"/>
      <c r="AV914" s="43"/>
      <c r="AW914" s="43"/>
      <c r="AX914" s="43"/>
      <c r="AY914" s="43"/>
      <c r="AZ914" s="43"/>
      <c r="BA914" s="43"/>
      <c r="BB914" s="43"/>
      <c r="BC914" s="43"/>
      <c r="BD914" s="43"/>
      <c r="BE914" s="43"/>
      <c r="BF914" s="43"/>
      <c r="BG914" s="43"/>
      <c r="BH914" s="43"/>
      <c r="BI914" s="43"/>
      <c r="BJ914" s="43"/>
      <c r="BK914" s="43"/>
      <c r="BL914" s="43"/>
      <c r="BM914" s="43"/>
      <c r="BN914" s="43"/>
      <c r="BO914" s="43"/>
      <c r="BP914" s="43"/>
      <c r="BQ914" s="43"/>
      <c r="BR914" s="43"/>
      <c r="BS914" s="43"/>
      <c r="BT914" s="43"/>
      <c r="BU914" s="43"/>
      <c r="BV914" s="43"/>
      <c r="BW914" s="43"/>
      <c r="BX914" s="43"/>
      <c r="BY914" s="43"/>
      <c r="BZ914" s="43"/>
      <c r="CA914" s="43"/>
      <c r="CB914" s="43"/>
      <c r="CC914" s="43"/>
      <c r="CD914" s="43"/>
      <c r="CE914" s="43"/>
      <c r="CF914" s="43"/>
      <c r="CG914" s="43"/>
      <c r="CH914" s="43"/>
      <c r="CI914" s="43"/>
      <c r="CJ914" s="43"/>
      <c r="CK914" s="43"/>
      <c r="CL914" s="43"/>
      <c r="CM914" s="43"/>
      <c r="CN914" s="43"/>
      <c r="CO914" s="43"/>
      <c r="CP914" s="43"/>
      <c r="CQ914" s="43"/>
      <c r="CR914" s="43"/>
      <c r="CS914" s="43"/>
      <c r="CT914" s="43"/>
      <c r="CU914" s="43"/>
      <c r="CV914" s="43"/>
      <c r="CW914" s="43"/>
      <c r="CX914" s="43"/>
      <c r="CY914" s="43"/>
      <c r="CZ914" s="43"/>
      <c r="DA914" s="43"/>
      <c r="DB914" s="43"/>
      <c r="DC914" s="43"/>
      <c r="DD914" s="43"/>
      <c r="DE914" s="43"/>
      <c r="DF914" s="43"/>
      <c r="DG914" s="43"/>
      <c r="DH914" s="43"/>
      <c r="DI914" s="43"/>
      <c r="DJ914" s="43"/>
      <c r="DK914" s="43"/>
      <c r="DL914" s="43"/>
      <c r="DM914" s="43"/>
      <c r="DN914" s="43"/>
      <c r="DO914" s="43"/>
      <c r="DP914" s="43"/>
      <c r="DQ914" s="43"/>
      <c r="DR914" s="43"/>
      <c r="DS914" s="43"/>
    </row>
    <row r="915" spans="1:123" ht="14.45">
      <c r="A915"/>
      <c r="B915"/>
      <c r="C915"/>
      <c r="D915"/>
      <c r="E915"/>
      <c r="F915"/>
      <c r="G915"/>
      <c r="H915"/>
      <c r="I915"/>
      <c r="J915"/>
      <c r="K915" s="43"/>
      <c r="L915" s="43"/>
      <c r="M915" s="43"/>
      <c r="N915" s="43"/>
      <c r="O915" s="43"/>
      <c r="P915" s="43"/>
      <c r="Q915" s="43"/>
      <c r="R915" s="43"/>
      <c r="S915" s="43"/>
      <c r="T915" s="43"/>
      <c r="U915" s="43"/>
      <c r="V915" s="43"/>
      <c r="W915" s="43"/>
      <c r="X915" s="43"/>
      <c r="Y915" s="43"/>
      <c r="Z915" s="43"/>
      <c r="AA915" s="43"/>
      <c r="AB915" s="43"/>
      <c r="AC915" s="43"/>
      <c r="AD915" s="43"/>
      <c r="AE915" s="43"/>
      <c r="AF915" s="43"/>
      <c r="AG915" s="43"/>
      <c r="AH915" s="43"/>
      <c r="AI915" s="43"/>
      <c r="AJ915" s="43"/>
      <c r="AK915" s="43"/>
      <c r="AL915" s="43"/>
      <c r="AM915" s="43"/>
      <c r="AN915" s="43"/>
      <c r="AO915" s="43"/>
      <c r="AP915" s="43"/>
      <c r="AQ915" s="43"/>
      <c r="AR915" s="43"/>
      <c r="AS915" s="43"/>
      <c r="AT915" s="43"/>
      <c r="AU915" s="43"/>
      <c r="AV915" s="43"/>
      <c r="AW915" s="43"/>
      <c r="AX915" s="43"/>
      <c r="AY915" s="43"/>
      <c r="AZ915" s="43"/>
      <c r="BA915" s="43"/>
      <c r="BB915" s="43"/>
      <c r="BC915" s="43"/>
      <c r="BD915" s="43"/>
      <c r="BE915" s="43"/>
      <c r="BF915" s="43"/>
      <c r="BG915" s="43"/>
      <c r="BH915" s="43"/>
      <c r="BI915" s="43"/>
      <c r="BJ915" s="43"/>
      <c r="BK915" s="43"/>
      <c r="BL915" s="43"/>
      <c r="BM915" s="43"/>
      <c r="BN915" s="43"/>
      <c r="BO915" s="43"/>
      <c r="BP915" s="43"/>
      <c r="BQ915" s="43"/>
      <c r="BR915" s="43"/>
      <c r="BS915" s="43"/>
      <c r="BT915" s="43"/>
      <c r="BU915" s="43"/>
      <c r="BV915" s="43"/>
      <c r="BW915" s="43"/>
      <c r="BX915" s="43"/>
      <c r="BY915" s="43"/>
      <c r="BZ915" s="43"/>
      <c r="CA915" s="43"/>
      <c r="CB915" s="43"/>
      <c r="CC915" s="43"/>
      <c r="CD915" s="43"/>
      <c r="CE915" s="43"/>
      <c r="CF915" s="43"/>
      <c r="CG915" s="43"/>
      <c r="CH915" s="43"/>
      <c r="CI915" s="43"/>
      <c r="CJ915" s="43"/>
      <c r="CK915" s="43"/>
      <c r="CL915" s="43"/>
      <c r="CM915" s="43"/>
      <c r="CN915" s="43"/>
      <c r="CO915" s="43"/>
      <c r="CP915" s="43"/>
      <c r="CQ915" s="43"/>
      <c r="CR915" s="43"/>
      <c r="CS915" s="43"/>
      <c r="CT915" s="43"/>
      <c r="CU915" s="43"/>
      <c r="CV915" s="43"/>
      <c r="CW915" s="43"/>
      <c r="CX915" s="43"/>
      <c r="CY915" s="43"/>
      <c r="CZ915" s="43"/>
      <c r="DA915" s="43"/>
      <c r="DB915" s="43"/>
      <c r="DC915" s="43"/>
      <c r="DD915" s="43"/>
      <c r="DE915" s="43"/>
      <c r="DF915" s="43"/>
      <c r="DG915" s="43"/>
      <c r="DH915" s="43"/>
      <c r="DI915" s="43"/>
      <c r="DJ915" s="43"/>
      <c r="DK915" s="43"/>
      <c r="DL915" s="43"/>
      <c r="DM915" s="43"/>
      <c r="DN915" s="43"/>
      <c r="DO915" s="43"/>
      <c r="DP915" s="43"/>
      <c r="DQ915" s="43"/>
      <c r="DR915" s="43"/>
      <c r="DS915" s="43"/>
    </row>
    <row r="916" spans="1:123" ht="14.45">
      <c r="A916"/>
      <c r="B916"/>
      <c r="C916"/>
      <c r="D916"/>
      <c r="E916"/>
      <c r="F916"/>
      <c r="G916"/>
      <c r="H916"/>
      <c r="I916"/>
      <c r="J916"/>
      <c r="K916" s="43"/>
      <c r="L916" s="43"/>
      <c r="M916" s="43"/>
      <c r="N916" s="43"/>
      <c r="O916" s="43"/>
      <c r="P916" s="43"/>
      <c r="Q916" s="43"/>
      <c r="R916" s="43"/>
      <c r="S916" s="43"/>
      <c r="T916" s="43"/>
      <c r="U916" s="43"/>
      <c r="V916" s="43"/>
      <c r="W916" s="43"/>
      <c r="X916" s="43"/>
      <c r="Y916" s="43"/>
      <c r="Z916" s="43"/>
      <c r="AA916" s="43"/>
      <c r="AB916" s="43"/>
      <c r="AC916" s="43"/>
      <c r="AD916" s="43"/>
      <c r="AE916" s="43"/>
      <c r="AF916" s="43"/>
      <c r="AG916" s="43"/>
      <c r="AH916" s="43"/>
      <c r="AI916" s="43"/>
      <c r="AJ916" s="43"/>
      <c r="AK916" s="43"/>
      <c r="AL916" s="43"/>
      <c r="AM916" s="43"/>
      <c r="AN916" s="43"/>
      <c r="AO916" s="43"/>
      <c r="AP916" s="43"/>
      <c r="AQ916" s="43"/>
      <c r="AR916" s="43"/>
      <c r="AS916" s="43"/>
      <c r="AT916" s="43"/>
      <c r="AU916" s="43"/>
      <c r="AV916" s="43"/>
      <c r="AW916" s="43"/>
      <c r="AX916" s="43"/>
      <c r="AY916" s="43"/>
      <c r="AZ916" s="43"/>
      <c r="BA916" s="43"/>
      <c r="BB916" s="43"/>
      <c r="BC916" s="43"/>
      <c r="BD916" s="43"/>
      <c r="BE916" s="43"/>
      <c r="BF916" s="43"/>
      <c r="BG916" s="43"/>
      <c r="BH916" s="43"/>
      <c r="BI916" s="43"/>
      <c r="BJ916" s="43"/>
      <c r="BK916" s="43"/>
      <c r="BL916" s="43"/>
      <c r="BM916" s="43"/>
      <c r="BN916" s="43"/>
      <c r="BO916" s="43"/>
      <c r="BP916" s="43"/>
      <c r="BQ916" s="43"/>
      <c r="BR916" s="43"/>
      <c r="BS916" s="43"/>
      <c r="BT916" s="43"/>
      <c r="BU916" s="43"/>
      <c r="BV916" s="43"/>
      <c r="BW916" s="43"/>
      <c r="BX916" s="43"/>
      <c r="BY916" s="43"/>
      <c r="BZ916" s="43"/>
      <c r="CA916" s="43"/>
      <c r="CB916" s="43"/>
      <c r="CC916" s="43"/>
      <c r="CD916" s="43"/>
      <c r="CE916" s="43"/>
      <c r="CF916" s="43"/>
      <c r="CG916" s="43"/>
      <c r="CH916" s="43"/>
      <c r="CI916" s="43"/>
      <c r="CJ916" s="43"/>
      <c r="CK916" s="43"/>
      <c r="CL916" s="43"/>
      <c r="CM916" s="43"/>
      <c r="CN916" s="43"/>
      <c r="CO916" s="43"/>
      <c r="CP916" s="43"/>
      <c r="CQ916" s="43"/>
      <c r="CR916" s="43"/>
      <c r="CS916" s="43"/>
      <c r="CT916" s="43"/>
      <c r="CU916" s="43"/>
      <c r="CV916" s="43"/>
      <c r="CW916" s="43"/>
      <c r="CX916" s="43"/>
      <c r="CY916" s="43"/>
      <c r="CZ916" s="43"/>
      <c r="DA916" s="43"/>
      <c r="DB916" s="43"/>
      <c r="DC916" s="43"/>
      <c r="DD916" s="43"/>
      <c r="DE916" s="43"/>
      <c r="DF916" s="43"/>
      <c r="DG916" s="43"/>
      <c r="DH916" s="43"/>
      <c r="DI916" s="43"/>
      <c r="DJ916" s="43"/>
      <c r="DK916" s="43"/>
      <c r="DL916" s="43"/>
      <c r="DM916" s="43"/>
      <c r="DN916" s="43"/>
      <c r="DO916" s="43"/>
      <c r="DP916" s="43"/>
      <c r="DQ916" s="43"/>
      <c r="DR916" s="43"/>
      <c r="DS916" s="43"/>
    </row>
    <row r="917" spans="1:123" ht="14.45">
      <c r="A917"/>
      <c r="B917"/>
      <c r="C917"/>
      <c r="D917"/>
      <c r="E917"/>
      <c r="F917"/>
      <c r="G917"/>
      <c r="H917"/>
      <c r="I917"/>
      <c r="J917"/>
      <c r="K917" s="43"/>
      <c r="L917" s="43"/>
      <c r="M917" s="43"/>
      <c r="N917" s="43"/>
      <c r="O917" s="43"/>
      <c r="P917" s="43"/>
      <c r="Q917" s="43"/>
      <c r="R917" s="43"/>
      <c r="S917" s="43"/>
      <c r="T917" s="43"/>
      <c r="U917" s="43"/>
      <c r="V917" s="43"/>
      <c r="W917" s="43"/>
      <c r="X917" s="43"/>
      <c r="Y917" s="43"/>
      <c r="Z917" s="43"/>
      <c r="AA917" s="43"/>
      <c r="AB917" s="43"/>
      <c r="AC917" s="43"/>
      <c r="AD917" s="43"/>
      <c r="AE917" s="43"/>
      <c r="AF917" s="43"/>
      <c r="AG917" s="43"/>
      <c r="AH917" s="43"/>
      <c r="AI917" s="43"/>
      <c r="AJ917" s="43"/>
      <c r="AK917" s="43"/>
      <c r="AL917" s="43"/>
      <c r="AM917" s="43"/>
      <c r="AN917" s="43"/>
      <c r="AO917" s="43"/>
      <c r="AP917" s="43"/>
      <c r="AQ917" s="43"/>
      <c r="AR917" s="43"/>
      <c r="AS917" s="43"/>
      <c r="AT917" s="43"/>
      <c r="AU917" s="43"/>
      <c r="AV917" s="43"/>
      <c r="AW917" s="43"/>
      <c r="AX917" s="43"/>
      <c r="AY917" s="43"/>
      <c r="AZ917" s="43"/>
      <c r="BA917" s="43"/>
      <c r="BB917" s="43"/>
      <c r="BC917" s="43"/>
      <c r="BD917" s="43"/>
      <c r="BE917" s="43"/>
      <c r="BF917" s="43"/>
      <c r="BG917" s="43"/>
      <c r="BH917" s="43"/>
      <c r="BI917" s="43"/>
      <c r="BJ917" s="43"/>
      <c r="BK917" s="43"/>
      <c r="BL917" s="43"/>
      <c r="BM917" s="43"/>
      <c r="BN917" s="43"/>
      <c r="BO917" s="43"/>
      <c r="BP917" s="43"/>
      <c r="BQ917" s="43"/>
      <c r="BR917" s="43"/>
      <c r="BS917" s="43"/>
      <c r="BT917" s="43"/>
      <c r="BU917" s="43"/>
      <c r="BV917" s="43"/>
      <c r="BW917" s="43"/>
      <c r="BX917" s="43"/>
      <c r="BY917" s="43"/>
      <c r="BZ917" s="43"/>
      <c r="CA917" s="43"/>
      <c r="CB917" s="43"/>
      <c r="CC917" s="43"/>
      <c r="CD917" s="43"/>
      <c r="CE917" s="43"/>
      <c r="CF917" s="43"/>
      <c r="CG917" s="43"/>
      <c r="CH917" s="43"/>
      <c r="CI917" s="43"/>
      <c r="CJ917" s="43"/>
      <c r="CK917" s="43"/>
      <c r="CL917" s="43"/>
      <c r="CM917" s="43"/>
      <c r="CN917" s="43"/>
      <c r="CO917" s="43"/>
      <c r="CP917" s="43"/>
      <c r="CQ917" s="43"/>
      <c r="CR917" s="43"/>
      <c r="CS917" s="43"/>
      <c r="CT917" s="43"/>
      <c r="CU917" s="43"/>
      <c r="CV917" s="43"/>
      <c r="CW917" s="43"/>
      <c r="CX917" s="43"/>
      <c r="CY917" s="43"/>
      <c r="CZ917" s="43"/>
      <c r="DA917" s="43"/>
      <c r="DB917" s="43"/>
      <c r="DC917" s="43"/>
      <c r="DD917" s="43"/>
      <c r="DE917" s="43"/>
      <c r="DF917" s="43"/>
      <c r="DG917" s="43"/>
      <c r="DH917" s="43"/>
      <c r="DI917" s="43"/>
      <c r="DJ917" s="43"/>
      <c r="DK917" s="43"/>
      <c r="DL917" s="43"/>
      <c r="DM917" s="43"/>
      <c r="DN917" s="43"/>
      <c r="DO917" s="43"/>
      <c r="DP917" s="43"/>
      <c r="DQ917" s="43"/>
      <c r="DR917" s="43"/>
      <c r="DS917" s="43"/>
    </row>
    <row r="918" spans="1:123" ht="14.45">
      <c r="A918"/>
      <c r="B918"/>
      <c r="C918"/>
      <c r="D918"/>
      <c r="E918"/>
      <c r="F918"/>
      <c r="G918"/>
      <c r="H918"/>
      <c r="I918"/>
      <c r="J918"/>
      <c r="K918" s="43"/>
      <c r="L918" s="43"/>
      <c r="M918" s="43"/>
      <c r="N918" s="43"/>
      <c r="O918" s="43"/>
      <c r="P918" s="43"/>
      <c r="Q918" s="43"/>
      <c r="R918" s="43"/>
      <c r="S918" s="43"/>
      <c r="T918" s="43"/>
      <c r="U918" s="43"/>
      <c r="V918" s="43"/>
      <c r="W918" s="43"/>
      <c r="X918" s="43"/>
      <c r="Y918" s="43"/>
      <c r="Z918" s="43"/>
      <c r="AA918" s="43"/>
      <c r="AB918" s="43"/>
      <c r="AC918" s="43"/>
      <c r="AD918" s="43"/>
      <c r="AE918" s="43"/>
      <c r="AF918" s="43"/>
      <c r="AG918" s="43"/>
      <c r="AH918" s="43"/>
      <c r="AI918" s="43"/>
      <c r="AJ918" s="43"/>
      <c r="AK918" s="43"/>
      <c r="AL918" s="43"/>
      <c r="AM918" s="43"/>
      <c r="AN918" s="43"/>
      <c r="AO918" s="43"/>
      <c r="AP918" s="43"/>
      <c r="AQ918" s="43"/>
      <c r="AR918" s="43"/>
      <c r="AS918" s="43"/>
      <c r="AT918" s="43"/>
      <c r="AU918" s="43"/>
      <c r="AV918" s="43"/>
      <c r="AW918" s="43"/>
      <c r="AX918" s="43"/>
      <c r="AY918" s="43"/>
      <c r="AZ918" s="43"/>
      <c r="BA918" s="43"/>
      <c r="BB918" s="43"/>
      <c r="BC918" s="43"/>
      <c r="BD918" s="43"/>
      <c r="BE918" s="43"/>
      <c r="BF918" s="43"/>
      <c r="BG918" s="43"/>
      <c r="BH918" s="43"/>
      <c r="BI918" s="43"/>
      <c r="BJ918" s="43"/>
      <c r="BK918" s="43"/>
      <c r="BL918" s="43"/>
      <c r="BM918" s="43"/>
      <c r="BN918" s="43"/>
      <c r="BO918" s="43"/>
      <c r="BP918" s="43"/>
      <c r="BQ918" s="43"/>
      <c r="BR918" s="43"/>
      <c r="BS918" s="43"/>
      <c r="BT918" s="43"/>
      <c r="BU918" s="43"/>
      <c r="BV918" s="43"/>
      <c r="BW918" s="43"/>
      <c r="BX918" s="43"/>
      <c r="BY918" s="43"/>
      <c r="BZ918" s="43"/>
      <c r="CA918" s="43"/>
      <c r="CB918" s="43"/>
      <c r="CC918" s="43"/>
      <c r="CD918" s="43"/>
      <c r="CE918" s="43"/>
      <c r="CF918" s="43"/>
      <c r="CG918" s="43"/>
      <c r="CH918" s="43"/>
      <c r="CI918" s="43"/>
      <c r="CJ918" s="43"/>
      <c r="CK918" s="43"/>
      <c r="CL918" s="43"/>
      <c r="CM918" s="43"/>
      <c r="CN918" s="43"/>
      <c r="CO918" s="43"/>
      <c r="CP918" s="43"/>
      <c r="CQ918" s="43"/>
      <c r="CR918" s="43"/>
      <c r="CS918" s="43"/>
      <c r="CT918" s="43"/>
      <c r="CU918" s="43"/>
      <c r="CV918" s="43"/>
      <c r="CW918" s="43"/>
      <c r="CX918" s="43"/>
      <c r="CY918" s="43"/>
      <c r="CZ918" s="43"/>
      <c r="DA918" s="43"/>
      <c r="DB918" s="43"/>
      <c r="DC918" s="43"/>
      <c r="DD918" s="43"/>
      <c r="DE918" s="43"/>
      <c r="DF918" s="43"/>
      <c r="DG918" s="43"/>
      <c r="DH918" s="43"/>
      <c r="DI918" s="43"/>
      <c r="DJ918" s="43"/>
      <c r="DK918" s="43"/>
      <c r="DL918" s="43"/>
      <c r="DM918" s="43"/>
      <c r="DN918" s="43"/>
      <c r="DO918" s="43"/>
      <c r="DP918" s="43"/>
      <c r="DQ918" s="43"/>
      <c r="DR918" s="43"/>
      <c r="DS918" s="43"/>
    </row>
    <row r="919" spans="1:123" ht="14.45">
      <c r="A919"/>
      <c r="B919"/>
      <c r="C919"/>
      <c r="D919"/>
      <c r="E919"/>
      <c r="F919"/>
      <c r="G919"/>
      <c r="H919"/>
      <c r="I919"/>
      <c r="J919"/>
      <c r="K919" s="43"/>
      <c r="L919" s="43"/>
      <c r="M919" s="43"/>
      <c r="N919" s="43"/>
      <c r="O919" s="43"/>
      <c r="P919" s="43"/>
      <c r="Q919" s="43"/>
      <c r="R919" s="43"/>
      <c r="S919" s="43"/>
      <c r="T919" s="43"/>
      <c r="U919" s="43"/>
      <c r="V919" s="43"/>
      <c r="W919" s="43"/>
      <c r="X919" s="43"/>
      <c r="Y919" s="43"/>
      <c r="Z919" s="43"/>
      <c r="AA919" s="43"/>
      <c r="AB919" s="43"/>
      <c r="AC919" s="43"/>
      <c r="AD919" s="43"/>
      <c r="AE919" s="43"/>
      <c r="AF919" s="43"/>
      <c r="AG919" s="43"/>
      <c r="AH919" s="43"/>
      <c r="AI919" s="43"/>
      <c r="AJ919" s="43"/>
      <c r="AK919" s="43"/>
      <c r="AL919" s="43"/>
      <c r="AM919" s="43"/>
      <c r="AN919" s="43"/>
      <c r="AO919" s="43"/>
      <c r="AP919" s="43"/>
      <c r="AQ919" s="43"/>
      <c r="AR919" s="43"/>
      <c r="AS919" s="43"/>
      <c r="AT919" s="43"/>
      <c r="AU919" s="43"/>
      <c r="AV919" s="43"/>
      <c r="AW919" s="43"/>
      <c r="AX919" s="43"/>
      <c r="AY919" s="43"/>
      <c r="AZ919" s="43"/>
      <c r="BA919" s="43"/>
      <c r="BB919" s="43"/>
      <c r="BC919" s="43"/>
      <c r="BD919" s="43"/>
      <c r="BE919" s="43"/>
      <c r="BF919" s="43"/>
      <c r="BG919" s="43"/>
      <c r="BH919" s="43"/>
      <c r="BI919" s="43"/>
      <c r="BJ919" s="43"/>
      <c r="BK919" s="43"/>
      <c r="BL919" s="43"/>
      <c r="BM919" s="43"/>
      <c r="BN919" s="43"/>
      <c r="BO919" s="43"/>
      <c r="BP919" s="43"/>
      <c r="BQ919" s="43"/>
      <c r="BR919" s="43"/>
      <c r="BS919" s="43"/>
      <c r="BT919" s="43"/>
      <c r="BU919" s="43"/>
      <c r="BV919" s="43"/>
      <c r="BW919" s="43"/>
      <c r="BX919" s="43"/>
      <c r="BY919" s="43"/>
      <c r="BZ919" s="43"/>
      <c r="CA919" s="43"/>
      <c r="CB919" s="43"/>
      <c r="CC919" s="43"/>
      <c r="CD919" s="43"/>
      <c r="CE919" s="43"/>
      <c r="CF919" s="43"/>
      <c r="CG919" s="43"/>
      <c r="CH919" s="43"/>
      <c r="CI919" s="43"/>
      <c r="CJ919" s="43"/>
      <c r="CK919" s="43"/>
      <c r="CL919" s="43"/>
      <c r="CM919" s="43"/>
      <c r="CN919" s="43"/>
      <c r="CO919" s="43"/>
      <c r="CP919" s="43"/>
      <c r="CQ919" s="43"/>
      <c r="CR919" s="43"/>
      <c r="CS919" s="43"/>
      <c r="CT919" s="43"/>
      <c r="CU919" s="43"/>
      <c r="CV919" s="43"/>
      <c r="CW919" s="43"/>
      <c r="CX919" s="43"/>
      <c r="CY919" s="43"/>
      <c r="CZ919" s="43"/>
      <c r="DA919" s="43"/>
      <c r="DB919" s="43"/>
      <c r="DC919" s="43"/>
      <c r="DD919" s="43"/>
      <c r="DE919" s="43"/>
      <c r="DF919" s="43"/>
      <c r="DG919" s="43"/>
      <c r="DH919" s="43"/>
      <c r="DI919" s="43"/>
      <c r="DJ919" s="43"/>
      <c r="DK919" s="43"/>
      <c r="DL919" s="43"/>
      <c r="DM919" s="43"/>
      <c r="DN919" s="43"/>
      <c r="DO919" s="43"/>
      <c r="DP919" s="43"/>
      <c r="DQ919" s="43"/>
      <c r="DR919" s="43"/>
      <c r="DS919" s="43"/>
    </row>
    <row r="920" spans="1:123" ht="14.45">
      <c r="A920"/>
      <c r="B920"/>
      <c r="C920"/>
      <c r="D920"/>
      <c r="E920"/>
      <c r="F920"/>
      <c r="G920"/>
      <c r="H920"/>
      <c r="I920"/>
      <c r="J920"/>
      <c r="K920" s="43"/>
      <c r="L920" s="43"/>
      <c r="M920" s="43"/>
      <c r="N920" s="43"/>
      <c r="O920" s="43"/>
      <c r="P920" s="43"/>
      <c r="Q920" s="43"/>
      <c r="R920" s="43"/>
      <c r="S920" s="43"/>
      <c r="T920" s="43"/>
      <c r="U920" s="43"/>
      <c r="V920" s="43"/>
      <c r="W920" s="43"/>
      <c r="X920" s="43"/>
      <c r="Y920" s="43"/>
      <c r="Z920" s="43"/>
      <c r="AA920" s="43"/>
      <c r="AB920" s="43"/>
      <c r="AC920" s="43"/>
      <c r="AD920" s="43"/>
      <c r="AE920" s="43"/>
      <c r="AF920" s="43"/>
      <c r="AG920" s="43"/>
      <c r="AH920" s="43"/>
      <c r="AI920" s="43"/>
      <c r="AJ920" s="43"/>
      <c r="AK920" s="43"/>
      <c r="AL920" s="43"/>
      <c r="AM920" s="43"/>
      <c r="AN920" s="43"/>
      <c r="AO920" s="43"/>
      <c r="AP920" s="43"/>
      <c r="AQ920" s="43"/>
      <c r="AR920" s="43"/>
      <c r="AS920" s="43"/>
      <c r="AT920" s="43"/>
      <c r="AU920" s="43"/>
      <c r="AV920" s="43"/>
      <c r="AW920" s="43"/>
      <c r="AX920" s="43"/>
      <c r="AY920" s="43"/>
      <c r="AZ920" s="43"/>
      <c r="BA920" s="43"/>
      <c r="BB920" s="43"/>
      <c r="BC920" s="43"/>
      <c r="BD920" s="43"/>
      <c r="BE920" s="43"/>
      <c r="BF920" s="43"/>
      <c r="BG920" s="43"/>
      <c r="BH920" s="43"/>
      <c r="BI920" s="43"/>
      <c r="BJ920" s="43"/>
      <c r="BK920" s="43"/>
      <c r="BL920" s="43"/>
      <c r="BM920" s="43"/>
      <c r="BN920" s="43"/>
      <c r="BO920" s="43"/>
      <c r="BP920" s="43"/>
      <c r="BQ920" s="43"/>
      <c r="BR920" s="43"/>
      <c r="BS920" s="43"/>
      <c r="BT920" s="43"/>
      <c r="BU920" s="43"/>
      <c r="BV920" s="43"/>
      <c r="BW920" s="43"/>
      <c r="BX920" s="43"/>
      <c r="BY920" s="43"/>
      <c r="BZ920" s="43"/>
      <c r="CA920" s="43"/>
      <c r="CB920" s="43"/>
      <c r="CC920" s="43"/>
      <c r="CD920" s="43"/>
      <c r="CE920" s="43"/>
      <c r="CF920" s="43"/>
      <c r="CG920" s="43"/>
      <c r="CH920" s="43"/>
      <c r="CI920" s="43"/>
      <c r="CJ920" s="43"/>
      <c r="CK920" s="43"/>
      <c r="CL920" s="43"/>
      <c r="CM920" s="43"/>
      <c r="CN920" s="43"/>
      <c r="CO920" s="43"/>
      <c r="CP920" s="43"/>
      <c r="CQ920" s="43"/>
      <c r="CR920" s="43"/>
      <c r="CS920" s="43"/>
      <c r="CT920" s="43"/>
      <c r="CU920" s="43"/>
      <c r="CV920" s="43"/>
      <c r="CW920" s="43"/>
      <c r="CX920" s="43"/>
      <c r="CY920" s="43"/>
      <c r="CZ920" s="43"/>
      <c r="DA920" s="43"/>
      <c r="DB920" s="43"/>
      <c r="DC920" s="43"/>
      <c r="DD920" s="43"/>
      <c r="DE920" s="43"/>
      <c r="DF920" s="43"/>
      <c r="DG920" s="43"/>
      <c r="DH920" s="43"/>
      <c r="DI920" s="43"/>
      <c r="DJ920" s="43"/>
      <c r="DK920" s="43"/>
      <c r="DL920" s="43"/>
      <c r="DM920" s="43"/>
      <c r="DN920" s="43"/>
      <c r="DO920" s="43"/>
      <c r="DP920" s="43"/>
      <c r="DQ920" s="43"/>
      <c r="DR920" s="43"/>
      <c r="DS920" s="43"/>
    </row>
    <row r="921" spans="1:123" ht="14.45">
      <c r="A921"/>
      <c r="B921"/>
      <c r="C921"/>
      <c r="D921"/>
      <c r="E921"/>
      <c r="F921"/>
      <c r="G921"/>
      <c r="H921"/>
      <c r="I921"/>
      <c r="J921"/>
      <c r="K921" s="43"/>
      <c r="L921" s="43"/>
      <c r="M921" s="43"/>
      <c r="N921" s="43"/>
      <c r="O921" s="43"/>
      <c r="P921" s="43"/>
      <c r="Q921" s="43"/>
      <c r="R921" s="43"/>
      <c r="S921" s="43"/>
      <c r="T921" s="43"/>
      <c r="U921" s="43"/>
      <c r="V921" s="43"/>
      <c r="W921" s="43"/>
      <c r="X921" s="43"/>
      <c r="Y921" s="43"/>
      <c r="Z921" s="43"/>
      <c r="AA921" s="43"/>
      <c r="AB921" s="43"/>
      <c r="AC921" s="43"/>
      <c r="AD921" s="43"/>
      <c r="AE921" s="43"/>
      <c r="AF921" s="43"/>
      <c r="AG921" s="43"/>
      <c r="AH921" s="43"/>
      <c r="AI921" s="43"/>
      <c r="AJ921" s="43"/>
      <c r="AK921" s="43"/>
      <c r="AL921" s="43"/>
      <c r="AM921" s="43"/>
      <c r="AN921" s="43"/>
      <c r="AO921" s="43"/>
      <c r="AP921" s="43"/>
      <c r="AQ921" s="43"/>
      <c r="AR921" s="43"/>
      <c r="AS921" s="43"/>
      <c r="AT921" s="43"/>
      <c r="AU921" s="43"/>
      <c r="AV921" s="43"/>
      <c r="AW921" s="43"/>
      <c r="AX921" s="43"/>
      <c r="AY921" s="43"/>
      <c r="AZ921" s="43"/>
      <c r="BA921" s="43"/>
      <c r="BB921" s="43"/>
      <c r="BC921" s="43"/>
      <c r="BD921" s="43"/>
      <c r="BE921" s="43"/>
      <c r="BF921" s="43"/>
      <c r="BG921" s="43"/>
      <c r="BH921" s="43"/>
      <c r="BI921" s="43"/>
      <c r="BJ921" s="43"/>
      <c r="BK921" s="43"/>
      <c r="BL921" s="43"/>
      <c r="BM921" s="43"/>
      <c r="BN921" s="43"/>
      <c r="BO921" s="43"/>
      <c r="BP921" s="43"/>
      <c r="BQ921" s="43"/>
      <c r="BR921" s="43"/>
      <c r="BS921" s="43"/>
      <c r="BT921" s="43"/>
      <c r="BU921" s="43"/>
      <c r="BV921" s="43"/>
      <c r="BW921" s="43"/>
      <c r="BX921" s="43"/>
      <c r="BY921" s="43"/>
      <c r="BZ921" s="43"/>
      <c r="CA921" s="43"/>
      <c r="CB921" s="43"/>
      <c r="CC921" s="43"/>
      <c r="CD921" s="43"/>
      <c r="CE921" s="43"/>
      <c r="CF921" s="43"/>
      <c r="CG921" s="43"/>
      <c r="CH921" s="43"/>
      <c r="CI921" s="43"/>
      <c r="CJ921" s="43"/>
      <c r="CK921" s="43"/>
      <c r="CL921" s="43"/>
      <c r="CM921" s="43"/>
      <c r="CN921" s="43"/>
      <c r="CO921" s="43"/>
      <c r="CP921" s="43"/>
      <c r="CQ921" s="43"/>
      <c r="CR921" s="43"/>
      <c r="CS921" s="43"/>
      <c r="CT921" s="43"/>
      <c r="CU921" s="43"/>
      <c r="CV921" s="43"/>
      <c r="CW921" s="43"/>
      <c r="CX921" s="43"/>
      <c r="CY921" s="43"/>
      <c r="CZ921" s="43"/>
      <c r="DA921" s="43"/>
      <c r="DB921" s="43"/>
      <c r="DC921" s="43"/>
      <c r="DD921" s="43"/>
      <c r="DE921" s="43"/>
      <c r="DF921" s="43"/>
      <c r="DG921" s="43"/>
      <c r="DH921" s="43"/>
      <c r="DI921" s="43"/>
      <c r="DJ921" s="43"/>
      <c r="DK921" s="43"/>
      <c r="DL921" s="43"/>
      <c r="DM921" s="43"/>
      <c r="DN921" s="43"/>
      <c r="DO921" s="43"/>
      <c r="DP921" s="43"/>
      <c r="DQ921" s="43"/>
      <c r="DR921" s="43"/>
      <c r="DS921" s="43"/>
    </row>
    <row r="922" spans="1:123" ht="14.45">
      <c r="A922"/>
      <c r="B922"/>
      <c r="C922"/>
      <c r="D922"/>
      <c r="E922"/>
      <c r="F922"/>
      <c r="G922"/>
      <c r="H922"/>
      <c r="I922"/>
      <c r="J922"/>
      <c r="K922" s="43"/>
      <c r="L922" s="43"/>
      <c r="M922" s="43"/>
      <c r="N922" s="43"/>
      <c r="O922" s="43"/>
      <c r="P922" s="43"/>
      <c r="Q922" s="43"/>
      <c r="R922" s="43"/>
      <c r="S922" s="43"/>
      <c r="T922" s="43"/>
      <c r="U922" s="43"/>
      <c r="V922" s="43"/>
      <c r="W922" s="43"/>
      <c r="X922" s="43"/>
      <c r="Y922" s="43"/>
      <c r="Z922" s="43"/>
      <c r="AA922" s="43"/>
      <c r="AB922" s="43"/>
      <c r="AC922" s="43"/>
      <c r="AD922" s="43"/>
      <c r="AE922" s="43"/>
      <c r="AF922" s="43"/>
      <c r="AG922" s="43"/>
      <c r="AH922" s="43"/>
      <c r="AI922" s="43"/>
      <c r="AJ922" s="43"/>
      <c r="AK922" s="43"/>
      <c r="AL922" s="43"/>
      <c r="AM922" s="43"/>
      <c r="AN922" s="43"/>
      <c r="AO922" s="43"/>
      <c r="AP922" s="43"/>
      <c r="AQ922" s="43"/>
      <c r="AR922" s="43"/>
      <c r="AS922" s="43"/>
      <c r="AT922" s="43"/>
      <c r="AU922" s="43"/>
      <c r="AV922" s="43"/>
      <c r="AW922" s="43"/>
      <c r="AX922" s="43"/>
      <c r="AY922" s="43"/>
      <c r="AZ922" s="43"/>
      <c r="BA922" s="43"/>
      <c r="BB922" s="43"/>
      <c r="BC922" s="43"/>
      <c r="BD922" s="43"/>
      <c r="BE922" s="43"/>
      <c r="BF922" s="43"/>
      <c r="BG922" s="43"/>
      <c r="BH922" s="43"/>
      <c r="BI922" s="43"/>
      <c r="BJ922" s="43"/>
      <c r="BK922" s="43"/>
      <c r="BL922" s="43"/>
      <c r="BM922" s="43"/>
      <c r="BN922" s="43"/>
      <c r="BO922" s="43"/>
      <c r="BP922" s="43"/>
      <c r="BQ922" s="43"/>
      <c r="BR922" s="43"/>
      <c r="BS922" s="43"/>
      <c r="BT922" s="43"/>
      <c r="BU922" s="43"/>
      <c r="BV922" s="43"/>
      <c r="BW922" s="43"/>
      <c r="BX922" s="43"/>
      <c r="BY922" s="43"/>
      <c r="BZ922" s="43"/>
      <c r="CA922" s="43"/>
      <c r="CB922" s="43"/>
      <c r="CC922" s="43"/>
      <c r="CD922" s="43"/>
      <c r="CE922" s="43"/>
      <c r="CF922" s="43"/>
      <c r="CG922" s="43"/>
      <c r="CH922" s="43"/>
      <c r="CI922" s="43"/>
      <c r="CJ922" s="43"/>
      <c r="CK922" s="43"/>
      <c r="CL922" s="43"/>
      <c r="CM922" s="43"/>
      <c r="CN922" s="43"/>
      <c r="CO922" s="43"/>
      <c r="CP922" s="43"/>
      <c r="CQ922" s="43"/>
      <c r="CR922" s="43"/>
      <c r="CS922" s="43"/>
      <c r="CT922" s="43"/>
      <c r="CU922" s="43"/>
      <c r="CV922" s="43"/>
      <c r="CW922" s="43"/>
      <c r="CX922" s="43"/>
      <c r="CY922" s="43"/>
      <c r="CZ922" s="43"/>
      <c r="DA922" s="43"/>
      <c r="DB922" s="43"/>
      <c r="DC922" s="43"/>
      <c r="DD922" s="43"/>
      <c r="DE922" s="43"/>
      <c r="DF922" s="43"/>
      <c r="DG922" s="43"/>
      <c r="DH922" s="43"/>
      <c r="DI922" s="43"/>
      <c r="DJ922" s="43"/>
      <c r="DK922" s="43"/>
      <c r="DL922" s="43"/>
      <c r="DM922" s="43"/>
      <c r="DN922" s="43"/>
      <c r="DO922" s="43"/>
      <c r="DP922" s="43"/>
      <c r="DQ922" s="43"/>
      <c r="DR922" s="43"/>
      <c r="DS922" s="43"/>
    </row>
    <row r="923" spans="1:1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c r="AB923" s="43"/>
      <c r="AC923" s="43"/>
      <c r="AD923" s="43"/>
      <c r="AE923" s="43"/>
      <c r="AF923" s="43"/>
      <c r="AG923" s="43"/>
      <c r="AH923" s="43"/>
      <c r="AI923" s="43"/>
      <c r="AJ923" s="43"/>
      <c r="AK923" s="43"/>
      <c r="AL923" s="43"/>
      <c r="AM923" s="43"/>
      <c r="AN923" s="43"/>
      <c r="AO923" s="43"/>
      <c r="AP923" s="43"/>
      <c r="AQ923" s="43"/>
      <c r="AR923" s="43"/>
      <c r="AS923" s="43"/>
      <c r="AT923" s="43"/>
      <c r="AU923" s="43"/>
      <c r="AV923" s="43"/>
      <c r="AW923" s="43"/>
      <c r="AX923" s="43"/>
      <c r="AY923" s="43"/>
      <c r="AZ923" s="43"/>
      <c r="BA923" s="43"/>
      <c r="BB923" s="43"/>
      <c r="BC923" s="43"/>
      <c r="BD923" s="43"/>
      <c r="BE923" s="43"/>
      <c r="BF923" s="43"/>
      <c r="BG923" s="43"/>
      <c r="BH923" s="43"/>
      <c r="BI923" s="43"/>
      <c r="BJ923" s="43"/>
      <c r="BK923" s="43"/>
      <c r="BL923" s="43"/>
      <c r="BM923" s="43"/>
      <c r="BN923" s="43"/>
      <c r="BO923" s="43"/>
      <c r="BP923" s="43"/>
      <c r="BQ923" s="43"/>
      <c r="BR923" s="43"/>
      <c r="BS923" s="43"/>
      <c r="BT923" s="43"/>
      <c r="BU923" s="43"/>
      <c r="BV923" s="43"/>
      <c r="BW923" s="43"/>
      <c r="BX923" s="43"/>
      <c r="BY923" s="43"/>
      <c r="BZ923" s="43"/>
      <c r="CA923" s="43"/>
      <c r="CB923" s="43"/>
      <c r="CC923" s="43"/>
      <c r="CD923" s="43"/>
      <c r="CE923" s="43"/>
      <c r="CF923" s="43"/>
      <c r="CG923" s="43"/>
      <c r="CH923" s="43"/>
      <c r="CI923" s="43"/>
      <c r="CJ923" s="43"/>
      <c r="CK923" s="43"/>
      <c r="CL923" s="43"/>
      <c r="CM923" s="43"/>
      <c r="CN923" s="43"/>
      <c r="CO923" s="43"/>
      <c r="CP923" s="43"/>
      <c r="CQ923" s="43"/>
      <c r="CR923" s="43"/>
      <c r="CS923" s="43"/>
      <c r="CT923" s="43"/>
      <c r="CU923" s="43"/>
      <c r="CV923" s="43"/>
      <c r="CW923" s="43"/>
      <c r="CX923" s="43"/>
      <c r="CY923" s="43"/>
      <c r="CZ923" s="43"/>
      <c r="DA923" s="43"/>
      <c r="DB923" s="43"/>
      <c r="DC923" s="43"/>
      <c r="DD923" s="43"/>
      <c r="DE923" s="43"/>
      <c r="DF923" s="43"/>
      <c r="DG923" s="43"/>
      <c r="DH923" s="43"/>
      <c r="DI923" s="43"/>
      <c r="DJ923" s="43"/>
      <c r="DK923" s="43"/>
      <c r="DL923" s="43"/>
      <c r="DM923" s="43"/>
      <c r="DN923" s="43"/>
      <c r="DO923" s="43"/>
      <c r="DP923" s="43"/>
      <c r="DQ923" s="43"/>
      <c r="DR923" s="43"/>
      <c r="DS923" s="43"/>
    </row>
  </sheetData>
  <conditionalFormatting sqref="K5:L190">
    <cfRule type="colorScale" priority="880">
      <colorScale>
        <cfvo type="min"/>
        <cfvo type="percentile" val="50"/>
        <cfvo type="max"/>
        <color rgb="FFF8696B"/>
        <color rgb="FFFFEB84"/>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cb71a79-cb5e-4503-9be7-1bf9a81b48d1" xsi:nil="true"/>
    <lcf76f155ced4ddcb4097134ff3c332f xmlns="474829a4-a40a-4363-a6f3-a45ddeb8725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E63D18D72676D47AA7C3C1C9EB051F7" ma:contentTypeVersion="16" ma:contentTypeDescription="Create a new document." ma:contentTypeScope="" ma:versionID="5ce0928fd645807c6f21653f64fad326">
  <xsd:schema xmlns:xsd="http://www.w3.org/2001/XMLSchema" xmlns:xs="http://www.w3.org/2001/XMLSchema" xmlns:p="http://schemas.microsoft.com/office/2006/metadata/properties" xmlns:ns2="474829a4-a40a-4363-a6f3-a45ddeb8725a" xmlns:ns3="4cb71a79-cb5e-4503-9be7-1bf9a81b48d1" targetNamespace="http://schemas.microsoft.com/office/2006/metadata/properties" ma:root="true" ma:fieldsID="9210b4657cf26e035bf1276e2e4ddf33" ns2:_="" ns3:_="">
    <xsd:import namespace="474829a4-a40a-4363-a6f3-a45ddeb8725a"/>
    <xsd:import namespace="4cb71a79-cb5e-4503-9be7-1bf9a81b48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4829a4-a40a-4363-a6f3-a45ddeb872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cb71a79-cb5e-4503-9be7-1bf9a81b48d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66fbd9e-d32e-4ed4-8089-c9b5452c55aa}" ma:internalName="TaxCatchAll" ma:showField="CatchAllData" ma:web="4cb71a79-cb5e-4503-9be7-1bf9a81b48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743784-302F-4750-8DAD-A012B0E46E08}"/>
</file>

<file path=customXml/itemProps2.xml><?xml version="1.0" encoding="utf-8"?>
<ds:datastoreItem xmlns:ds="http://schemas.openxmlformats.org/officeDocument/2006/customXml" ds:itemID="{635505E6-B0BC-4975-83D4-73E30781DBDC}"/>
</file>

<file path=customXml/itemProps3.xml><?xml version="1.0" encoding="utf-8"?>
<ds:datastoreItem xmlns:ds="http://schemas.openxmlformats.org/officeDocument/2006/customXml" ds:itemID="{671CC69E-D78D-4392-AE1B-FA854437BF9E}"/>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Krishnan, Pirtheebaa</dc:creator>
  <cp:keywords/>
  <dc:description/>
  <cp:lastModifiedBy>Gogireddy, Pujitha Reddy</cp:lastModifiedBy>
  <cp:revision/>
  <dcterms:created xsi:type="dcterms:W3CDTF">2025-11-25T05:03:34Z</dcterms:created>
  <dcterms:modified xsi:type="dcterms:W3CDTF">2026-04-20T13:06:40Z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0x010100DE63D18D72676D47AA7C3C1C9EB051F7</vt:lpwstr>
  </property>
  <property fmtid="{D5CDD505-2E9C-101B-9397-08002B2CF9AE}" pid="3" name="MediaServiceImageTags">
    <vt:lpwstr/>
  </property>
</Properties>
</file>