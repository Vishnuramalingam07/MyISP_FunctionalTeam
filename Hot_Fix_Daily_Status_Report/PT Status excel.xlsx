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mySPTesting/Shared Documents/General/01 - Deliverables/Releases - FY 2025-2026/April/April18th/"/>
    </mc:Choice>
  </mc:AlternateContent>
  <xr:revisionPtr revIDLastSave="1279" documentId="13_ncr:1_{8A55C71C-6016-4B3E-B48F-91761CB1D2EA}" xr6:coauthVersionLast="47" xr6:coauthVersionMax="47" xr10:uidLastSave="{F3817BA3-CDC9-44A0-881C-5FC0808C9602}"/>
  <bookViews>
    <workbookView minimized="1" xWindow="5480" yWindow="3490" windowWidth="14400" windowHeight="7270" firstSheet="1" activeTab="1" xr2:uid="{C71E9A70-1C48-4917-BB5B-85343CA4DE3F}"/>
  </bookViews>
  <sheets>
    <sheet name="Milestone" sheetId="4" r:id="rId1"/>
    <sheet name="PT status" sheetId="2" r:id="rId2"/>
    <sheet name="TFS Details" sheetId="1" r:id="rId3"/>
    <sheet name="Environment Details" sheetId="5" r:id="rId4"/>
    <sheet name="(DO NOT TOUCH) STATUS PIVOT" sheetId="12" r:id="rId5"/>
  </sheets>
  <definedNames>
    <definedName name="_xlnm._FilterDatabase" localSheetId="3" hidden="1">'Environment Details'!$A$8:$F$8</definedName>
    <definedName name="_xlnm._FilterDatabase" localSheetId="2" hidden="1">'TFS Details'!$A$1:$AE$46</definedName>
    <definedName name="_xlnm._FilterDatabase" localSheetId="1" hidden="1">'PT status'!$A$1:$AD$1</definedName>
  </definedNames>
  <calcPr calcId="191028"/>
  <pivotCaches>
    <pivotCache cacheId="184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2" l="1"/>
  <c r="Y3" i="2"/>
  <c r="Z3" i="2"/>
  <c r="Y4" i="2"/>
  <c r="Z4" i="2"/>
  <c r="X5" i="2"/>
  <c r="Y5" i="2"/>
  <c r="X6" i="2"/>
  <c r="Y6" i="2"/>
  <c r="Z6" i="2"/>
  <c r="X7" i="2"/>
  <c r="Y7" i="2"/>
  <c r="Z7" i="2"/>
  <c r="X8" i="2"/>
  <c r="Y8" i="2"/>
  <c r="Z8" i="2"/>
  <c r="X9" i="2"/>
  <c r="Y9" i="2"/>
  <c r="Z9" i="2"/>
  <c r="X10" i="2"/>
  <c r="Y10" i="2"/>
  <c r="Z10" i="2"/>
  <c r="X11" i="2"/>
  <c r="Y11" i="2"/>
  <c r="Z11" i="2"/>
  <c r="X12" i="2"/>
  <c r="Y12" i="2"/>
  <c r="Z12" i="2"/>
  <c r="X13" i="2"/>
  <c r="Y13" i="2"/>
  <c r="Z13" i="2"/>
  <c r="X14" i="2"/>
  <c r="Y14" i="2"/>
  <c r="Z14" i="2"/>
  <c r="X15" i="2"/>
  <c r="Y15" i="2"/>
  <c r="Z15" i="2"/>
  <c r="X16" i="2"/>
  <c r="Y16" i="2"/>
  <c r="Z16" i="2"/>
  <c r="X17" i="2"/>
  <c r="Y17" i="2"/>
  <c r="Z17" i="2"/>
  <c r="X18" i="2"/>
  <c r="Y18" i="2"/>
  <c r="Z18" i="2"/>
  <c r="X19" i="2"/>
  <c r="Y19" i="2"/>
  <c r="Z19" i="2"/>
  <c r="X20" i="2"/>
  <c r="Y20" i="2"/>
  <c r="Z20" i="2"/>
  <c r="X21" i="2"/>
  <c r="Y21" i="2"/>
  <c r="Z21" i="2"/>
  <c r="X22" i="2"/>
  <c r="Y22" i="2"/>
  <c r="Z22" i="2"/>
  <c r="X23" i="2"/>
  <c r="Y23" i="2"/>
  <c r="Z23" i="2"/>
  <c r="X24" i="2"/>
  <c r="Y24" i="2"/>
  <c r="Z24" i="2"/>
  <c r="X25" i="2"/>
  <c r="Y25" i="2"/>
  <c r="Z25" i="2"/>
  <c r="X26" i="2"/>
  <c r="Y26" i="2"/>
  <c r="Z26" i="2"/>
  <c r="X27" i="2"/>
  <c r="Y27" i="2"/>
  <c r="Z27" i="2"/>
  <c r="X28" i="2"/>
  <c r="Y28" i="2"/>
  <c r="Z28" i="2"/>
  <c r="X29" i="2"/>
  <c r="Y29" i="2"/>
  <c r="Z29" i="2"/>
  <c r="X30" i="2"/>
  <c r="Y30" i="2"/>
  <c r="Z30" i="2"/>
  <c r="X31" i="2"/>
  <c r="Y31" i="2"/>
  <c r="Z31" i="2"/>
  <c r="X32" i="2"/>
  <c r="Y32" i="2"/>
  <c r="Z32" i="2"/>
  <c r="X33" i="2"/>
  <c r="Y33" i="2"/>
  <c r="Z33" i="2"/>
  <c r="X34" i="2"/>
  <c r="Y34" i="2"/>
  <c r="Z34" i="2"/>
  <c r="X35" i="2"/>
  <c r="Y35" i="2"/>
  <c r="Z35" i="2"/>
  <c r="X36" i="2"/>
  <c r="Y36" i="2"/>
  <c r="Z36" i="2"/>
  <c r="X37" i="2"/>
  <c r="Y37" i="2"/>
  <c r="Z37" i="2"/>
  <c r="X38" i="2"/>
  <c r="Y38" i="2"/>
  <c r="Z38" i="2"/>
  <c r="X39" i="2"/>
  <c r="Y39" i="2"/>
  <c r="Z39" i="2"/>
  <c r="X40" i="2"/>
  <c r="Y40" i="2"/>
  <c r="Z40" i="2"/>
  <c r="X41" i="2"/>
  <c r="Y41" i="2"/>
  <c r="Z41" i="2"/>
  <c r="X42" i="2"/>
  <c r="Y42" i="2"/>
  <c r="Z42" i="2"/>
  <c r="X43" i="2"/>
  <c r="Y43" i="2"/>
  <c r="Z43" i="2"/>
  <c r="X44" i="2"/>
  <c r="Y44" i="2"/>
  <c r="Z44" i="2"/>
  <c r="X45" i="2"/>
  <c r="Y45" i="2"/>
  <c r="Z45" i="2"/>
  <c r="X46" i="2"/>
  <c r="Y46" i="2"/>
  <c r="Z46" i="2"/>
  <c r="X2" i="2"/>
  <c r="C6" i="2"/>
  <c r="C7" i="2"/>
  <c r="C8" i="2"/>
  <c r="C9" i="2"/>
  <c r="C10" i="2"/>
  <c r="A6" i="2"/>
  <c r="B6" i="2"/>
  <c r="A7" i="2"/>
  <c r="B7" i="2"/>
  <c r="A8" i="2"/>
  <c r="B8" i="2"/>
  <c r="A9" i="2"/>
  <c r="B9" i="2"/>
  <c r="A10" i="2"/>
  <c r="B10" i="2"/>
  <c r="A43" i="2"/>
  <c r="B43" i="2"/>
  <c r="C43" i="2"/>
  <c r="A44" i="2"/>
  <c r="B44" i="2"/>
  <c r="C44" i="2"/>
  <c r="A45" i="2"/>
  <c r="B45" i="2"/>
  <c r="C45" i="2"/>
  <c r="A46" i="2"/>
  <c r="B46" i="2"/>
  <c r="C46" i="2"/>
  <c r="AC44" i="2"/>
  <c r="AC45" i="2"/>
  <c r="AC43" i="2"/>
  <c r="Q21" i="2"/>
  <c r="Q18" i="2"/>
  <c r="Q17" i="2"/>
  <c r="Q16" i="2"/>
  <c r="Q15" i="2"/>
  <c r="Q14" i="2"/>
  <c r="Q13" i="2"/>
  <c r="A36" i="2"/>
  <c r="B36" i="2"/>
  <c r="C36" i="2"/>
  <c r="AB36" i="2"/>
  <c r="AC36" i="2" s="1"/>
  <c r="A35" i="2"/>
  <c r="B35" i="2"/>
  <c r="C35" i="2"/>
  <c r="AB35" i="2"/>
  <c r="AC35" i="2" s="1"/>
  <c r="AB3" i="2"/>
  <c r="AC3" i="2" s="1"/>
  <c r="AB4" i="2"/>
  <c r="AC4" i="2" s="1"/>
  <c r="AB5" i="2"/>
  <c r="AC5" i="2" s="1"/>
  <c r="AB11" i="2"/>
  <c r="AC11" i="2" s="1"/>
  <c r="AB12" i="2"/>
  <c r="AC12" i="2" s="1"/>
  <c r="AB13" i="2"/>
  <c r="AC13" i="2" s="1"/>
  <c r="AB14" i="2"/>
  <c r="AC14" i="2" s="1"/>
  <c r="AB15" i="2"/>
  <c r="AC15" i="2" s="1"/>
  <c r="AB16" i="2"/>
  <c r="AC16" i="2" s="1"/>
  <c r="AB17" i="2"/>
  <c r="AC17" i="2" s="1"/>
  <c r="AB18" i="2"/>
  <c r="AC18" i="2" s="1"/>
  <c r="AB19" i="2"/>
  <c r="AC19" i="2" s="1"/>
  <c r="AB20" i="2"/>
  <c r="AC20" i="2" s="1"/>
  <c r="AB21" i="2"/>
  <c r="AC21" i="2" s="1"/>
  <c r="AB22" i="2"/>
  <c r="AC22" i="2" s="1"/>
  <c r="AB23" i="2"/>
  <c r="AC23" i="2" s="1"/>
  <c r="AB24" i="2"/>
  <c r="AC24" i="2" s="1"/>
  <c r="AB25" i="2"/>
  <c r="AC25" i="2" s="1"/>
  <c r="AB26" i="2"/>
  <c r="AC26" i="2" s="1"/>
  <c r="AB27" i="2"/>
  <c r="AC27" i="2" s="1"/>
  <c r="AB28" i="2"/>
  <c r="AC28" i="2" s="1"/>
  <c r="AB29" i="2"/>
  <c r="AC29" i="2" s="1"/>
  <c r="AB30" i="2"/>
  <c r="AC30" i="2" s="1"/>
  <c r="AB31" i="2"/>
  <c r="AC31" i="2" s="1"/>
  <c r="AB32" i="2"/>
  <c r="AC32" i="2" s="1"/>
  <c r="AB33" i="2"/>
  <c r="AC33" i="2" s="1"/>
  <c r="AB34" i="2"/>
  <c r="AC34" i="2" s="1"/>
  <c r="AB37" i="2"/>
  <c r="AC37" i="2" s="1"/>
  <c r="AB38" i="2"/>
  <c r="AC38" i="2" s="1"/>
  <c r="AB39" i="2"/>
  <c r="AC39" i="2" s="1"/>
  <c r="AB40" i="2"/>
  <c r="AC40" i="2" s="1"/>
  <c r="AB41" i="2"/>
  <c r="AC41" i="2" s="1"/>
  <c r="AB42" i="2"/>
  <c r="AC42" i="2" s="1"/>
  <c r="AB2" i="2"/>
  <c r="AC2" i="2" s="1"/>
  <c r="A42" i="2"/>
  <c r="B42" i="2"/>
  <c r="C42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34" i="2"/>
  <c r="B34" i="2"/>
  <c r="C34" i="2"/>
  <c r="B26" i="2"/>
  <c r="B23" i="2"/>
  <c r="B22" i="2"/>
  <c r="B15" i="2"/>
  <c r="B13" i="2"/>
  <c r="Z2" i="2"/>
  <c r="Y2" i="2"/>
  <c r="A2" i="2"/>
  <c r="B2" i="2"/>
  <c r="C2" i="2"/>
  <c r="A3" i="2"/>
  <c r="B3" i="2"/>
  <c r="C3" i="2"/>
  <c r="A4" i="2"/>
  <c r="B4" i="2"/>
  <c r="C4" i="2"/>
  <c r="A5" i="2"/>
  <c r="B5" i="2"/>
  <c r="C5" i="2"/>
  <c r="A11" i="2"/>
  <c r="B11" i="2"/>
  <c r="C11" i="2"/>
  <c r="A12" i="2"/>
  <c r="B12" i="2"/>
  <c r="C12" i="2"/>
  <c r="A13" i="2"/>
  <c r="C13" i="2"/>
  <c r="A14" i="2"/>
  <c r="B14" i="2"/>
  <c r="C14" i="2"/>
  <c r="A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C22" i="2"/>
  <c r="A23" i="2"/>
  <c r="C23" i="2"/>
  <c r="A24" i="2"/>
  <c r="B24" i="2"/>
  <c r="C24" i="2"/>
  <c r="A25" i="2"/>
  <c r="B25" i="2"/>
  <c r="C25" i="2"/>
  <c r="A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5" i="12"/>
  <c r="L133" i="12" l="1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</calcChain>
</file>

<file path=xl/sharedStrings.xml><?xml version="1.0" encoding="utf-8"?>
<sst xmlns="http://schemas.openxmlformats.org/spreadsheetml/2006/main" count="1273" uniqueCount="372">
  <si>
    <t>User story Freeze Date</t>
  </si>
  <si>
    <t>Cut off for PT hand over</t>
  </si>
  <si>
    <t>Cut off for UAT hand over</t>
  </si>
  <si>
    <t>UAT Completion</t>
  </si>
  <si>
    <t>Functional Bug closure</t>
  </si>
  <si>
    <t>Code Freeze</t>
  </si>
  <si>
    <t>Initial GNG decision</t>
  </si>
  <si>
    <t>Final Go/No Go Decision</t>
  </si>
  <si>
    <t>Final Go-Live</t>
  </si>
  <si>
    <t>Module (TextVerification)</t>
  </si>
  <si>
    <t>Parent Title</t>
  </si>
  <si>
    <t>Feature ID</t>
  </si>
  <si>
    <t>PT Lead</t>
  </si>
  <si>
    <t>Title</t>
  </si>
  <si>
    <t>ID</t>
  </si>
  <si>
    <t>Primary Tester</t>
  </si>
  <si>
    <t>Secondary Tester</t>
  </si>
  <si>
    <t>Test Planning</t>
  </si>
  <si>
    <t>BA Review</t>
  </si>
  <si>
    <t>TFS upload</t>
  </si>
  <si>
    <t>PT Status</t>
  </si>
  <si>
    <t>Manual Test cases generated from GHC</t>
  </si>
  <si>
    <t>Useful Test cases from GHC</t>
  </si>
  <si>
    <t>Tester Created test case count</t>
  </si>
  <si>
    <t>Reviwed Final Test case count</t>
  </si>
  <si>
    <t>Coverage for Manual Test cases from GHC%</t>
  </si>
  <si>
    <t>Accuracy for Manual test cases from GHC%</t>
  </si>
  <si>
    <t>TFS state</t>
  </si>
  <si>
    <t>Passed</t>
  </si>
  <si>
    <t>Failed</t>
  </si>
  <si>
    <t>Blocked</t>
  </si>
  <si>
    <t>Not Run</t>
  </si>
  <si>
    <t>Total</t>
  </si>
  <si>
    <t>Execution %</t>
  </si>
  <si>
    <t>Pass %</t>
  </si>
  <si>
    <t>Comments</t>
  </si>
  <si>
    <t>Node Name</t>
  </si>
  <si>
    <t>MPOC</t>
  </si>
  <si>
    <t>Pirtheebaa</t>
  </si>
  <si>
    <t>As a myISP Solution Architect, I want to see the Solution Components (AMS) MFE App migrated to Angular 21</t>
  </si>
  <si>
    <t>Mary/Janardhan</t>
  </si>
  <si>
    <t>Completed</t>
  </si>
  <si>
    <t>Leena</t>
  </si>
  <si>
    <t>As a myISP Solution Architect, I want to see the Digital Documentation - MFE App migrated to Angular 21</t>
  </si>
  <si>
    <t>Harshitha</t>
  </si>
  <si>
    <t>In Progress</t>
  </si>
  <si>
    <t>Not Started</t>
  </si>
  <si>
    <t>Rajeswari</t>
  </si>
  <si>
    <t>As a myISP Solution Architect, I want to see the CDAT - MFE App migrated to Angular 21</t>
  </si>
  <si>
    <t>PavithraJabeen</t>
  </si>
  <si>
    <t>Agnes</t>
  </si>
  <si>
    <t>Jaya</t>
  </si>
  <si>
    <t>As a myISP Solution Architect, I want to see the Cost Price Engine UI App migrated to Angular 21</t>
  </si>
  <si>
    <t>Anu</t>
  </si>
  <si>
    <t>Sriram</t>
  </si>
  <si>
    <t xml:space="preserve">
</t>
  </si>
  <si>
    <t>AMS OCP/DCTA: As a mySolutionPlanner developer, I should be able to get the Export/Import status tab in Available Hours screen</t>
  </si>
  <si>
    <t>Ihsana</t>
  </si>
  <si>
    <t>AMS OCP/DCTA: As a mySolutionPlanner developer, I should be able to get the Export option in Available Hours template for Staffing</t>
  </si>
  <si>
    <t>AMS OCP/DCTA: As a mySolutionPlanner developer, I should be able to get the Export option in Available Hours template for PMO</t>
  </si>
  <si>
    <t>AMS OCP/DCTA: As a mySolutionPlanner developer, I should be able to get the Import option in Available Hours template for Staffing</t>
  </si>
  <si>
    <t>AMS OCP/DCTA: As a mySolutionPlanner developer, I should be able to get the Import option in Available Hours template for PMO</t>
  </si>
  <si>
    <t>Shini</t>
  </si>
  <si>
    <t>As a myisp Solution Architect, I want the DCSO tab to be removed from the SI KDA/Reports screen So that users do not access or generate DCSO information from the KDA / Reports interface.</t>
  </si>
  <si>
    <t>Jeba</t>
  </si>
  <si>
    <t>As a myisp Solution Architect, I want the DCSO tab to be removed from the AMS KDA/Reports screen So that users do not access or generate DCSO information from the KDA / Reports interface.</t>
  </si>
  <si>
    <t>Kavi</t>
  </si>
  <si>
    <t>As a myISP SA, I want to change the logic to populate "Role Type" and "Accenture Role/Rate" in MMP FFP so that it is aligned with Dynamic Target Pricing implementation</t>
  </si>
  <si>
    <t>Manisa</t>
  </si>
  <si>
    <t>Sathya</t>
  </si>
  <si>
    <t>Delivered UAT for parallel testing with open bugs-4467554(H),4462668(M),4462709(M)</t>
  </si>
  <si>
    <t>As a myISP SA, I want to apply filter FFP Visible = False in addition to other filters while displaying Standard Role in staffing so that it is aligned with MMP standards</t>
  </si>
  <si>
    <t>As a myISP SA, I want to add new columns in the DCTA JSON file so that dynamic target pricing can be computed</t>
  </si>
  <si>
    <t>As a SA,I want the Profile city Tier field to auto-populate from the Rate Type column in the Staffing Baseline screen</t>
  </si>
  <si>
    <t>As a SA, add Role Type field in Staffing Baseline (auto-populated from Std Location Type &amp; Service Group)</t>
  </si>
  <si>
    <t>Bug-4462284(L),4462476(M),4465936(M)</t>
  </si>
  <si>
    <t>As a SA I want to select standard role from an SSG-specific dropdown selection</t>
  </si>
  <si>
    <t>Anand</t>
  </si>
  <si>
    <t>API - Enhance the defaulting logics to populate 'Accenture Role/Rate' in offline MMP FFP Export</t>
  </si>
  <si>
    <t>Sairam</t>
  </si>
  <si>
    <t>Sneha</t>
  </si>
  <si>
    <t>Delivered to Parallol UAT</t>
  </si>
  <si>
    <t>API - Save the Technology Tier, Profile City Tier, Role Type, Technology Role and Standard Role from Staffing Baseline</t>
  </si>
  <si>
    <t>Viji</t>
  </si>
  <si>
    <t>Naveen S</t>
  </si>
  <si>
    <t>Bug id : 4462520(M),4462534(M), Delivered to UAT for Parallel Testing</t>
  </si>
  <si>
    <t>As a SA, add Role Type field in Staffing Baseline (auto-populated from Std Location Type &amp; Service Group) - OU changes</t>
  </si>
  <si>
    <t>Bug-4461770(M)</t>
  </si>
  <si>
    <t>As a SA I want to select standard role from an SSG-specific dropdown selection- OU changes</t>
  </si>
  <si>
    <t xml:space="preserve">Delivered to UAT for Parallel testing </t>
  </si>
  <si>
    <t>As a Solution Architect, I want to see dynamic target pricing parameters in SDL SI DL regardless of rate card configuration</t>
  </si>
  <si>
    <t>Delivered for parallel testing, Bug : 4465941 (M)</t>
  </si>
  <si>
    <t>As a SA, add Technology &amp; Standard Role columns in Staffing Baseline for auto-population/selection based on Tech Group &amp; SSG.</t>
  </si>
  <si>
    <t>Bug 4462287(M),Bug 4462311(L), Bug: 4462289 (H), Delivered for parallel testing</t>
  </si>
  <si>
    <t>PCW - Pass Role Type column to API as an input filter parameter for defaulting logics of offline MMP FFP Export</t>
  </si>
  <si>
    <t>Rename existing 'Role Type' column in Staffing OU Template</t>
  </si>
  <si>
    <t>Delivered to UAT</t>
  </si>
  <si>
    <t>PCW - Add Technology Role and Standard Role Column in Staffing Baseline to populate the Roles of SI, CON-CAS</t>
  </si>
  <si>
    <t>Bug 4462540(H), Bug 4462512(M)</t>
  </si>
  <si>
    <t>PCW - Add Role Type Column in Staffing Baseline to populate the Role Types for SI, CON-CAS, AMS, IMS and BPMS</t>
  </si>
  <si>
    <t>PCW - Add Profile City Tier Column in Staffing Baseline to populate the Profile City Tier value for all profiles</t>
  </si>
  <si>
    <t>PCW - Rename existing 'Role Type' column in PCW 8.7 Template and Show a warning message in PCW 8.6 template</t>
  </si>
  <si>
    <t>Bug 4462585(M) Delivered to UAT for parallel testing</t>
  </si>
  <si>
    <t>As a SA, I want the Technology Tier field to auto-populate based on the selected Technology - OU Changes</t>
  </si>
  <si>
    <t>Bug id : 4462256(M), 4462256(M), Delivered to UAT</t>
  </si>
  <si>
    <t>As a SA, auto-populate Profile City Tier from Rate Type in Staffing Baseline-OU Changes</t>
  </si>
  <si>
    <t xml:space="preserve">Delivered to UAT </t>
  </si>
  <si>
    <t>As a SA, add Technology &amp; Standard Role columns in Staffing Baseline for auto-population/selection based on Tech Group &amp; SSG.- OU changes</t>
  </si>
  <si>
    <t>Bug : 4465961 (H)</t>
  </si>
  <si>
    <t>As a SA, I want the Technology Tier field to auto-populate based on the selected Technology</t>
  </si>
  <si>
    <t>Devika</t>
  </si>
  <si>
    <t>As a AMS VT user, I want the AMSVT production URL to be updated in the Manage screen, So that the system redirects me to the correct AMSVT Link..</t>
  </si>
  <si>
    <t>Alekhya</t>
  </si>
  <si>
    <t>Chaitanya</t>
  </si>
  <si>
    <t>As a user of the PMO Reporting layer report, I want to add a new column as "Mergers and Acquisitions" in report, so that I can see the newly added column data directly in the report.</t>
  </si>
  <si>
    <t>Vaidheki</t>
  </si>
  <si>
    <t>SI KDA Enhancement - COTS App Replatform Support</t>
  </si>
  <si>
    <t>Keerthana</t>
  </si>
  <si>
    <t>Liharshini</t>
  </si>
  <si>
    <t>MMP FFP Resource Template - COTS App Replatform Handling</t>
  </si>
  <si>
    <t>PCW Integration - COTS App Replatform Support</t>
  </si>
  <si>
    <t>Reverse Order Logic - LCM Infrastructure Migration</t>
  </si>
  <si>
    <t>Reverse Order Logic Extension - LCM Infra Override</t>
  </si>
  <si>
    <t>Monthly MRDB - April'26 Release</t>
  </si>
  <si>
    <t>Himanshu</t>
  </si>
  <si>
    <t xml:space="preserve"> As a DFD requestor, I should get a Reinvention Partner dropdown in all the SA request forms</t>
  </si>
  <si>
    <t>Anusha</t>
  </si>
  <si>
    <t>Manjunath</t>
  </si>
  <si>
    <t>BackDoorGuardians</t>
  </si>
  <si>
    <t>AS a DFD requestor, I should get Reinvention partner field value in the existing SA requests</t>
  </si>
  <si>
    <t>As a DFD requestor, I should get Reinvention Partner field in SA mail templates when request is created/edited</t>
  </si>
  <si>
    <t>LCM Infra Assessment - Questionnaire Update for Migration Type-Based Volume Selection</t>
  </si>
  <si>
    <t xml:space="preserve">  </t>
  </si>
  <si>
    <t>mySP Initiative</t>
  </si>
  <si>
    <t>Sub Initiative</t>
  </si>
  <si>
    <t>TextVerification</t>
  </si>
  <si>
    <t>Parent</t>
  </si>
  <si>
    <t>State</t>
  </si>
  <si>
    <t>Testing POC</t>
  </si>
  <si>
    <t>Planned for PT Date</t>
  </si>
  <si>
    <t>Actual PT Date</t>
  </si>
  <si>
    <t>Planned UAT Date</t>
  </si>
  <si>
    <t>Actual UAT Date</t>
  </si>
  <si>
    <t>Assigned To</t>
  </si>
  <si>
    <t>Production Deployment Date</t>
  </si>
  <si>
    <t>Story Points</t>
  </si>
  <si>
    <t>Original Estimate</t>
  </si>
  <si>
    <t>Priority</t>
  </si>
  <si>
    <t>ETA</t>
  </si>
  <si>
    <t>UT Results Attached</t>
  </si>
  <si>
    <t>Code Review Completed</t>
  </si>
  <si>
    <t>Created By</t>
  </si>
  <si>
    <t>Created Date</t>
  </si>
  <si>
    <t>Tags</t>
  </si>
  <si>
    <t>Area Path</t>
  </si>
  <si>
    <t>Iteration Path</t>
  </si>
  <si>
    <t>Plan</t>
  </si>
  <si>
    <t>Remaining</t>
  </si>
  <si>
    <t>TextVerification1</t>
  </si>
  <si>
    <t>ExternalRef ID</t>
  </si>
  <si>
    <t>Standard Role Implementation in PCW &amp; Online SI - April Release</t>
  </si>
  <si>
    <t>Rapid Soln</t>
  </si>
  <si>
    <t>NextGen SI</t>
  </si>
  <si>
    <t>STD Role</t>
  </si>
  <si>
    <t>PT In Test</t>
  </si>
  <si>
    <t>TechWizards</t>
  </si>
  <si>
    <t>B Gadad, Anand &lt;anand.b.gadad@accenture.com&gt;</t>
  </si>
  <si>
    <t>Sargurunathan, Naveenkumar &lt;n.sargurunathan@accenture.com&gt;</t>
  </si>
  <si>
    <t>Yes</t>
  </si>
  <si>
    <t>Ganesan, Mathangi &lt;mathangi.a.ganesan@accenture.com&gt;</t>
  </si>
  <si>
    <t>Standard Role Configuration</t>
  </si>
  <si>
    <t>AutomationProcess_29697\mySPIntegratedSolutionPlatform\TechWizards</t>
  </si>
  <si>
    <t>AutomationProcess_29697\mySolutionPlannerIntegratedSolutionPlatform\R58 and R59\Sprint148</t>
  </si>
  <si>
    <t>Tech Tier</t>
  </si>
  <si>
    <t>mervinkumar.manickam</t>
  </si>
  <si>
    <t>Ready for Test</t>
  </si>
  <si>
    <t>Sivakumar, Vijayalakshmi &lt;v.b.sivakumar@accenture.com&gt;</t>
  </si>
  <si>
    <t>OU</t>
  </si>
  <si>
    <t>Standard Role Implementation in SI Staffing Baseline - Analysis</t>
  </si>
  <si>
    <t>SDL</t>
  </si>
  <si>
    <t>DevStormers</t>
  </si>
  <si>
    <t>Malapati, Sai Sneha Latha &lt;sai.sneha.l.malapati@accenture.com&gt;</t>
  </si>
  <si>
    <t>April-2026; Enhancement; Export; reporting; SDL; SI-DL; Staffing</t>
  </si>
  <si>
    <t>AutomationProcess_29697\mySPRapidSolutioning\DevStormers</t>
  </si>
  <si>
    <t>AutomationProcess_29697</t>
  </si>
  <si>
    <t>STD role</t>
  </si>
  <si>
    <t>AutomationProcess_29697\mySolutionPlannerIntegratedSolutionPlatform\R61\Sprint154</t>
  </si>
  <si>
    <t>tr</t>
  </si>
  <si>
    <t>Platform Consolidation</t>
  </si>
  <si>
    <t>NextGen</t>
  </si>
  <si>
    <t>SI - PCW</t>
  </si>
  <si>
    <t>Tech Ensemble</t>
  </si>
  <si>
    <t>Akbar Basha, Musrath &lt;musrath.akbar.basha@accenture.com&gt;</t>
  </si>
  <si>
    <t>PCW</t>
  </si>
  <si>
    <t>AutomationProcess_29697\mySPIntegratedSolutionPlatform\Tech Ensemble</t>
  </si>
  <si>
    <t>AutomationProcess_29697\mySolutionPlannerIntegratedSolutionPlatform</t>
  </si>
  <si>
    <t>DCTA</t>
  </si>
  <si>
    <t>suraj.sukumaran</t>
  </si>
  <si>
    <t>NA</t>
  </si>
  <si>
    <t>TechAvengers</t>
  </si>
  <si>
    <t>AutomationProcess_29697\mySPIntegratedSolutionPlatform\TechAvengers</t>
  </si>
  <si>
    <t>Online SI</t>
  </si>
  <si>
    <t>MMP FFP Export update - April release</t>
  </si>
  <si>
    <t>In Test</t>
  </si>
  <si>
    <t>TechAvatar</t>
  </si>
  <si>
    <t>Pamarthi, Sairam &lt;sairam.pamarthi@accenture.com&gt;</t>
  </si>
  <si>
    <t>AutomationProcess_29697\mySPIntegratedSolutionPlatform\TechAvatar</t>
  </si>
  <si>
    <t>AutomationProcess_29697\mySolutionPlannerIntegratedSolutionPlatform\R52</t>
  </si>
  <si>
    <t>MMP FFP</t>
  </si>
  <si>
    <t>Parivallal, Aiswarya &lt;aiswarya.parivallal@accenture.com&gt;</t>
  </si>
  <si>
    <t>Staffing OU</t>
  </si>
  <si>
    <t>Angular upgrade version 19 to version 21 - 18th April</t>
  </si>
  <si>
    <t>Drop 3 - Angular upgrade v19 to v21</t>
  </si>
  <si>
    <t>MYISP_Revamp_UI</t>
  </si>
  <si>
    <t>Damodaran, J. &lt;j.damodaran@accenture.com&gt;</t>
  </si>
  <si>
    <t>Nanditha Uddaraju, Anuradha &lt;a.nanditha.uddaraju@accenture.com&gt;</t>
  </si>
  <si>
    <t>Kamble, Pallavi &lt;pallavi.kamble@accenture.com&gt;</t>
  </si>
  <si>
    <t>Angular upgrade v19 to v21; Cost Price Engine UI; PT Regression; UAT Testing Not Required</t>
  </si>
  <si>
    <t>AutomationProcess_29697\mySPIntegratedSolutionPlatform\MYISP_Revamp_UI</t>
  </si>
  <si>
    <t>Cost Price Engine UI</t>
  </si>
  <si>
    <t>vikrant.r.mohite</t>
  </si>
  <si>
    <t>Available Hours OU Report</t>
  </si>
  <si>
    <t>OCP</t>
  </si>
  <si>
    <t>AMS</t>
  </si>
  <si>
    <t>Active</t>
  </si>
  <si>
    <t>TechMavericks</t>
  </si>
  <si>
    <t>Jallipalli, Nikhila &lt;nikhila.jallipalli@accenture.com&gt;</t>
  </si>
  <si>
    <t>Vijay Deshpande, Prajakta &lt;p.vijay.deshpande@accenture.com&gt;</t>
  </si>
  <si>
    <t>CCB Approved</t>
  </si>
  <si>
    <t>AutomationProcess_29697\mySPRapidSolutioning\TechMavericks</t>
  </si>
  <si>
    <t>AMS - Available Hours</t>
  </si>
  <si>
    <t>Francis.Deepak</t>
  </si>
  <si>
    <t>TechCoders</t>
  </si>
  <si>
    <t>Anirudh, Channagiri &lt;channagiri.anirudh@accenture.com&gt;</t>
  </si>
  <si>
    <t>AutomationProcess_29697\mySPRapidSolutioning\TechCoders</t>
  </si>
  <si>
    <t>Vasant Pawar, Deepti &lt;deepti.vasant.pawar@accenture.com&gt;</t>
  </si>
  <si>
    <t>Das, Leena &lt;leena.a.das@accenture.com&gt;</t>
  </si>
  <si>
    <t>Udhayakumar, Harshitha &lt;h.udhayakumar@accenture.com&gt;</t>
  </si>
  <si>
    <t>Angular upgrade v19 to v21; Digital Documentation - MFE; PT Regression; UAT Testing Not Required</t>
  </si>
  <si>
    <t>Digital Documentation - MFE</t>
  </si>
  <si>
    <t>DFD - Reinvention Partner field addition in SA request</t>
  </si>
  <si>
    <t>DFD</t>
  </si>
  <si>
    <t>As a DFD requestor, I should get a Reinvention Partner dropdown in all the SA request forms</t>
  </si>
  <si>
    <t>New</t>
  </si>
  <si>
    <t>Jain, Himanshu &lt;himanshu.m.jain@accenture.com&gt;</t>
  </si>
  <si>
    <t>Singh, Sudhakar &lt;sudhakar.a.singh@accenture.com&gt;</t>
  </si>
  <si>
    <t>CCB Approved; Po Input</t>
  </si>
  <si>
    <t>AutomationProcess_29697\BackDoorGuardians</t>
  </si>
  <si>
    <t>DFD Enhancement</t>
  </si>
  <si>
    <t>sona.job</t>
  </si>
  <si>
    <t>Mishra, Alok E. &lt;alok.e.mishra@accenture.com&gt;</t>
  </si>
  <si>
    <t>Thirumanikumar, Sneha &lt;sneha.thirumanikumar@accenture.com&gt;</t>
  </si>
  <si>
    <t>Moving current AMSVT to PBI AMSVT.</t>
  </si>
  <si>
    <t>Analytics</t>
  </si>
  <si>
    <t>Manage screen AMS VT Report link</t>
  </si>
  <si>
    <t>GoRetro</t>
  </si>
  <si>
    <t>Kalaivanan, Devika &lt;devika.kalaivanan@accenture.com&gt;</t>
  </si>
  <si>
    <t>Alekhyareddy, Osuru &lt;osuru.alekhyareddy@accenture.com&gt;</t>
  </si>
  <si>
    <t>Rani Agurla, Sowmya &lt;sowmya.rani.agurla@accenture.com&gt;</t>
  </si>
  <si>
    <t>CCB Approved; UAT Testing Not Required</t>
  </si>
  <si>
    <t>AutomationProcess_29697\mySPIntegratedSolutionPlatform\GoRetro</t>
  </si>
  <si>
    <t>AutomationProcess_29697\mySolutionPlannerRapidSolutioning</t>
  </si>
  <si>
    <t>AMS VT</t>
  </si>
  <si>
    <t>sowjanya.kari</t>
  </si>
  <si>
    <t>Addition of "Mergers and Acquisitions" column in PMO Reporting layer</t>
  </si>
  <si>
    <t>PMO reporting Layer</t>
  </si>
  <si>
    <t>Cognilytics</t>
  </si>
  <si>
    <t>Satravada, Rakesh &lt;r.a.satravada@accenture.com&gt;</t>
  </si>
  <si>
    <t>CCB Approved; Po Input; UAT Testing Not Required</t>
  </si>
  <si>
    <t>AutomationProcess_29697\mySPIntegratedSolutionPlatform\Cognilytics</t>
  </si>
  <si>
    <t>anil.kadiri</t>
  </si>
  <si>
    <t>Kalia Moorthy, Rajarajeswari &lt;r.kalia.moorthy@accenture.com&gt;</t>
  </si>
  <si>
    <t>Mohandass, Pavithra &lt;p.mohandass@accenture.com&gt;</t>
  </si>
  <si>
    <t>Angular upgrade v19 to v21; CDAT - MFE; PT Regression; UAT Testing Not Required</t>
  </si>
  <si>
    <t>CDAT - MFE</t>
  </si>
  <si>
    <t>Krishnan, Pirtheebaa &lt;pirtheebaa.krishnan@accenture.com&gt;</t>
  </si>
  <si>
    <t>Veluri, Janardhan &lt;janardhan.veluri@accenture.com&gt;</t>
  </si>
  <si>
    <t>Angular upgrade v19 to v21; PT Regression; Solution Components (AMS)-MFE; UAT Testing Not Required</t>
  </si>
  <si>
    <t>Solution Components (AMS) – MFE</t>
  </si>
  <si>
    <t>Selvamani, Kavichandrika &lt;k.b.selvamani@accenture.com&gt;</t>
  </si>
  <si>
    <t>Bid, Manisa &lt;manisa.bid@accenture.com&gt;</t>
  </si>
  <si>
    <t>role type ou</t>
  </si>
  <si>
    <t>Senthilkumar, Sathya Priya &lt;sathya.senthilkumar@accenture.com&gt;</t>
  </si>
  <si>
    <t>Aggarwal, Sugandha &lt;sugandha.a.aggarwal@accenture.com&gt;</t>
  </si>
  <si>
    <t>AutomationProcess_29697\mySolutionPlannerRapidSolutioning\R64\Sprint162</t>
  </si>
  <si>
    <t xml:space="preserve">SI DCTA </t>
  </si>
  <si>
    <t>TechSprinters</t>
  </si>
  <si>
    <t>AutomationProcess_29697\mySPIntegratedSolutionPlatform\TechSprinters</t>
  </si>
  <si>
    <t>AutomationProcess_29697\mySolutionPlannerRapidSolutioning\R64\Sprint160</t>
  </si>
  <si>
    <t>SI DCTA</t>
  </si>
  <si>
    <t>Field Management; Profile Screen; Role Type; Standard Role Configuration</t>
  </si>
  <si>
    <t>AutomationProcess_29697\mySolutionPlannerIntegratedSolutionPlatform\R65\Sprint163</t>
  </si>
  <si>
    <t>Role type</t>
  </si>
  <si>
    <t>STD role field</t>
  </si>
  <si>
    <t>Staffing baseline</t>
  </si>
  <si>
    <t>Mervinkumar.manickam</t>
  </si>
  <si>
    <t>LCM Infra - COTs App Replatform</t>
  </si>
  <si>
    <t>Inspire</t>
  </si>
  <si>
    <t>LCM COTS Enhancements</t>
  </si>
  <si>
    <t>myISP_IMS</t>
  </si>
  <si>
    <t>Srinivasan, Vaidheki &lt;vaidheki.srinivasan@accenture.com&gt;</t>
  </si>
  <si>
    <t>P K, Prabitha &lt;prabitha.p.k@accenture.com&gt;</t>
  </si>
  <si>
    <t>IMS BAU; UAT Testing Not Required</t>
  </si>
  <si>
    <t>AutomationProcess_29697\mySPIntegratedSolutionPlatform\myISP_IMS</t>
  </si>
  <si>
    <t>AutomationProcess_29697\mySolutionPlannerRapidSolutioning\R65\Sprint163</t>
  </si>
  <si>
    <t>supriya.a.dhingra</t>
  </si>
  <si>
    <t>IMS BAU - Monthy MRDB</t>
  </si>
  <si>
    <t>April MRDB</t>
  </si>
  <si>
    <t>IMS BAU</t>
  </si>
  <si>
    <t>myISP - Digital DCSO</t>
  </si>
  <si>
    <t>DCSO</t>
  </si>
  <si>
    <t>Insurgents</t>
  </si>
  <si>
    <t>Vv, Shini &lt;shini.vv@accenture.com&gt;</t>
  </si>
  <si>
    <t>Momin, Jeba &lt;jeba.momin@accenture.com&gt;</t>
  </si>
  <si>
    <t>Ashok, Sindhuja &lt;sindhuja.ashok@accenture.com&gt;</t>
  </si>
  <si>
    <t>Autocreate; DCSO</t>
  </si>
  <si>
    <t>AutomationProcess_29697\mySPRapidSolutioning\Insurgents</t>
  </si>
  <si>
    <t>K.devaraj</t>
  </si>
  <si>
    <t>System</t>
  </si>
  <si>
    <t>PT</t>
  </si>
  <si>
    <t xml:space="preserve">UAT </t>
  </si>
  <si>
    <t>myISP</t>
  </si>
  <si>
    <t>https://myISPnextgen.ciostage.accenture.com</t>
  </si>
  <si>
    <t>https://myispnextgen-uat.ciotest.accenture.com/</t>
  </si>
  <si>
    <t>MMS</t>
  </si>
  <si>
    <t>https://accenture--AprAglTst.sandbox.my.salesforce.com/</t>
  </si>
  <si>
    <t xml:space="preserve"> https://accenture--q3stg.sandbox.lightning.force.com/l</t>
  </si>
  <si>
    <t>Test Rebar beta - Switch on Jan 12th - Marqtrtst</t>
  </si>
  <si>
    <t>MMP</t>
  </si>
  <si>
    <t>MMP Test</t>
  </si>
  <si>
    <t>MMP Stage</t>
  </si>
  <si>
    <t xml:space="preserve">Test rebar stage - No change - Q2 stage. </t>
  </si>
  <si>
    <t>myISP - Apr 18th Release</t>
  </si>
  <si>
    <t> </t>
  </si>
  <si>
    <t>UAT</t>
  </si>
  <si>
    <t>POC</t>
  </si>
  <si>
    <t>Release POCs</t>
  </si>
  <si>
    <t>IMS</t>
  </si>
  <si>
    <t>https://myispims-opsstage.ciostage.accenture.com/</t>
  </si>
  <si>
    <t>Aqil/Release POCs</t>
  </si>
  <si>
    <t>BPMS</t>
  </si>
  <si>
    <t>https://bpmssolutionestimator.myisppt2.accenture.com/</t>
  </si>
  <si>
    <t>MDA</t>
  </si>
  <si>
    <t>MDA Instance 1</t>
  </si>
  <si>
    <t>Analytics Instance 1</t>
  </si>
  <si>
    <t>DATA KDA</t>
  </si>
  <si>
    <t>SSA</t>
  </si>
  <si>
    <t>SSA Stage</t>
  </si>
  <si>
    <t>SCA</t>
  </si>
  <si>
    <t>SCA UAT 2</t>
  </si>
  <si>
    <t>Costing SCC</t>
  </si>
  <si>
    <t xml:space="preserve">AC- Gen Wizard </t>
  </si>
  <si>
    <t>Nandini</t>
  </si>
  <si>
    <t>Gen AI</t>
  </si>
  <si>
    <t>Hajara</t>
  </si>
  <si>
    <t>IDRA</t>
  </si>
  <si>
    <t xml:space="preserve">AAI - Apps </t>
  </si>
  <si>
    <t>AC - Gen AI Assets</t>
  </si>
  <si>
    <t>mydiagnostics</t>
  </si>
  <si>
    <t>CDAT</t>
  </si>
  <si>
    <t>Raji</t>
  </si>
  <si>
    <t>(All)</t>
  </si>
  <si>
    <t>Count of Title</t>
  </si>
  <si>
    <t>Count of Test Planning</t>
  </si>
  <si>
    <t>Count of BA Review</t>
  </si>
  <si>
    <t>Sum of Passed</t>
  </si>
  <si>
    <t>Sum of Failed</t>
  </si>
  <si>
    <t>Sum of Blocked</t>
  </si>
  <si>
    <t>Sum of Not Run</t>
  </si>
  <si>
    <t>Sum of Total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</si>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</sst>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theme="0"/>
      <name val="Calibri"/>
      <family val="2"/>
    </font>
    <font>
      <u/>
      <sz val="9"/>
      <color theme="10"/>
      <name val="Aptos Narrow"/>
      <family val="2"/>
      <scheme val="minor"/>
    </font>
    <font>
      <sz val="9"/>
      <color rgb="FF000000"/>
      <name val="Aptos Narrow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sz val="11"/>
      <color rgb="FF000000"/>
      <name val="Aptos Narrow"/>
      <family val="2"/>
    </font>
    <font>
      <sz val="9"/>
      <color theme="1"/>
      <name val="Aptos Display"/>
      <family val="2"/>
      <scheme val="major"/>
    </font>
    <font>
      <sz val="10"/>
      <color theme="1"/>
      <name val="Calibri"/>
      <family val="2"/>
    </font>
    <font>
      <sz val="10"/>
      <color theme="0"/>
      <name val="Calibri"/>
      <family val="2"/>
    </font>
    <font>
      <u/>
      <sz val="9"/>
      <color theme="10"/>
      <name val="Calibri"/>
      <family val="2"/>
    </font>
    <font>
      <sz val="9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9"/>
      <color rgb="FF000000"/>
      <name val="Segoe UI"/>
      <family val="2"/>
    </font>
    <font>
      <sz val="11"/>
      <color rgb="FF242424"/>
      <name val="Aptos Narrow"/>
      <family val="2"/>
    </font>
    <font>
      <sz val="11"/>
      <color rgb="FF000000"/>
      <name val="Aptos Narrow"/>
    </font>
    <font>
      <sz val="9"/>
      <color theme="1"/>
      <name val="Calibri"/>
    </font>
    <font>
      <sz val="9"/>
      <color theme="0"/>
      <name val="Calibri"/>
    </font>
    <font>
      <sz val="9"/>
      <color rgb="FF000000"/>
      <name val="Aptos Narrow"/>
    </font>
    <font>
      <sz val="9"/>
      <color rgb="FF000000"/>
      <name val="Calibri"/>
    </font>
    <font>
      <sz val="9"/>
      <name val="Calibri"/>
    </font>
    <font>
      <sz val="10"/>
      <color theme="1"/>
      <name val="Times New Roman"/>
      <family val="1"/>
      <charset val="1"/>
    </font>
    <font>
      <sz val="10"/>
      <color rgb="FF000000"/>
      <name val="Aptos Narrow"/>
      <family val="2"/>
      <charset val="1"/>
    </font>
    <font>
      <sz val="10"/>
      <color theme="1"/>
      <name val="Aptos Narrow"/>
      <family val="2"/>
      <charset val="1"/>
    </font>
    <font>
      <sz val="11"/>
      <color rgb="FF000000"/>
      <name val="Calibri"/>
      <family val="2"/>
    </font>
    <font>
      <u/>
      <sz val="9"/>
      <color theme="10"/>
      <name val="Calibri"/>
    </font>
    <font>
      <b/>
      <sz val="9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305496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D9D9D9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88">
    <xf numFmtId="0" fontId="0" fillId="0" borderId="0" xfId="0"/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" fontId="3" fillId="0" borderId="0" xfId="0" applyNumberFormat="1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vertical="top"/>
      <protection locked="0"/>
    </xf>
    <xf numFmtId="0" fontId="4" fillId="0" borderId="4" xfId="0" applyFont="1" applyBorder="1" applyAlignment="1" applyProtection="1">
      <alignment vertical="top"/>
      <protection locked="0"/>
    </xf>
    <xf numFmtId="0" fontId="4" fillId="0" borderId="5" xfId="0" applyFont="1" applyBorder="1" applyAlignment="1" applyProtection="1">
      <alignment vertical="top"/>
      <protection locked="0"/>
    </xf>
    <xf numFmtId="0" fontId="7" fillId="0" borderId="0" xfId="1" applyFont="1"/>
    <xf numFmtId="0" fontId="4" fillId="0" borderId="4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4" fillId="0" borderId="3" xfId="0" applyFont="1" applyBorder="1" applyAlignment="1" applyProtection="1">
      <alignment vertical="top"/>
      <protection locked="0"/>
    </xf>
    <xf numFmtId="0" fontId="10" fillId="10" borderId="2" xfId="0" applyFont="1" applyFill="1" applyBorder="1" applyAlignment="1">
      <alignment horizontal="center" vertical="top"/>
    </xf>
    <xf numFmtId="0" fontId="1" fillId="0" borderId="1" xfId="1" applyBorder="1" applyAlignment="1">
      <alignment vertical="top"/>
    </xf>
    <xf numFmtId="0" fontId="6" fillId="5" borderId="0" xfId="0" applyFont="1" applyFill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3" fillId="11" borderId="1" xfId="0" applyFont="1" applyFill="1" applyBorder="1" applyAlignment="1">
      <alignment vertical="top"/>
    </xf>
    <xf numFmtId="0" fontId="4" fillId="0" borderId="3" xfId="0" applyFont="1" applyBorder="1" applyAlignment="1" applyProtection="1">
      <alignment horizontal="center" vertical="top"/>
      <protection locked="0"/>
    </xf>
    <xf numFmtId="9" fontId="4" fillId="0" borderId="1" xfId="2" applyFont="1" applyBorder="1" applyAlignment="1" applyProtection="1">
      <alignment horizontal="center" vertical="top"/>
      <protection locked="0"/>
    </xf>
    <xf numFmtId="0" fontId="2" fillId="0" borderId="3" xfId="0" applyFont="1" applyBorder="1" applyAlignment="1" applyProtection="1">
      <alignment horizontal="center" vertical="top"/>
      <protection locked="0"/>
    </xf>
    <xf numFmtId="10" fontId="2" fillId="0" borderId="3" xfId="0" applyNumberFormat="1" applyFont="1" applyBorder="1" applyAlignment="1" applyProtection="1">
      <alignment horizontal="center" vertical="top"/>
      <protection locked="0"/>
    </xf>
    <xf numFmtId="0" fontId="13" fillId="0" borderId="0" xfId="0" applyFont="1"/>
    <xf numFmtId="0" fontId="14" fillId="5" borderId="1" xfId="0" applyFont="1" applyFill="1" applyBorder="1"/>
    <xf numFmtId="0" fontId="3" fillId="0" borderId="3" xfId="0" applyFont="1" applyBorder="1" applyAlignment="1" applyProtection="1">
      <alignment horizontal="center" vertical="top"/>
      <protection locked="0"/>
    </xf>
    <xf numFmtId="0" fontId="3" fillId="0" borderId="0" xfId="0" applyFont="1"/>
    <xf numFmtId="10" fontId="3" fillId="0" borderId="1" xfId="0" applyNumberFormat="1" applyFont="1" applyBorder="1"/>
    <xf numFmtId="0" fontId="15" fillId="2" borderId="3" xfId="0" applyFont="1" applyFill="1" applyBorder="1" applyAlignment="1" applyProtection="1">
      <alignment horizontal="left" vertical="top"/>
      <protection locked="0"/>
    </xf>
    <xf numFmtId="0" fontId="15" fillId="3" borderId="3" xfId="0" applyFont="1" applyFill="1" applyBorder="1" applyAlignment="1" applyProtection="1">
      <alignment horizontal="left" vertical="top"/>
      <protection locked="0"/>
    </xf>
    <xf numFmtId="0" fontId="16" fillId="3" borderId="3" xfId="0" applyFont="1" applyFill="1" applyBorder="1" applyAlignment="1" applyProtection="1">
      <alignment horizontal="left" vertical="top"/>
      <protection locked="0"/>
    </xf>
    <xf numFmtId="14" fontId="16" fillId="2" borderId="3" xfId="0" applyNumberFormat="1" applyFont="1" applyFill="1" applyBorder="1" applyAlignment="1" applyProtection="1">
      <alignment horizontal="left" vertical="top"/>
      <protection locked="0"/>
    </xf>
    <xf numFmtId="0" fontId="16" fillId="3" borderId="3" xfId="0" applyFont="1" applyFill="1" applyBorder="1" applyAlignment="1" applyProtection="1">
      <alignment horizontal="center" vertical="top"/>
      <protection locked="0"/>
    </xf>
    <xf numFmtId="0" fontId="16" fillId="4" borderId="3" xfId="0" applyFont="1" applyFill="1" applyBorder="1" applyAlignment="1" applyProtection="1">
      <alignment horizontal="center" vertical="top"/>
      <protection locked="0"/>
    </xf>
    <xf numFmtId="0" fontId="16" fillId="4" borderId="3" xfId="0" applyFont="1" applyFill="1" applyBorder="1" applyAlignment="1" applyProtection="1">
      <alignment horizontal="left" vertical="top"/>
      <protection locked="0"/>
    </xf>
    <xf numFmtId="0" fontId="16" fillId="5" borderId="3" xfId="0" applyFont="1" applyFill="1" applyBorder="1" applyAlignment="1" applyProtection="1">
      <alignment horizontal="left" vertical="top"/>
      <protection locked="0"/>
    </xf>
    <xf numFmtId="0" fontId="2" fillId="12" borderId="3" xfId="0" applyFont="1" applyFill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vertical="top"/>
      <protection locked="0"/>
    </xf>
    <xf numFmtId="0" fontId="4" fillId="0" borderId="7" xfId="0" applyFont="1" applyBorder="1" applyAlignment="1" applyProtection="1">
      <alignment vertical="top"/>
      <protection locked="0"/>
    </xf>
    <xf numFmtId="0" fontId="8" fillId="0" borderId="13" xfId="0" applyFont="1" applyBorder="1"/>
    <xf numFmtId="0" fontId="7" fillId="0" borderId="13" xfId="1" applyFont="1" applyBorder="1" applyAlignment="1">
      <alignment horizontal="center" vertical="center"/>
    </xf>
    <xf numFmtId="0" fontId="11" fillId="0" borderId="1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7" fillId="0" borderId="1" xfId="1" applyFont="1" applyBorder="1" applyAlignment="1">
      <alignment horizontal="center" vertical="top"/>
    </xf>
    <xf numFmtId="0" fontId="18" fillId="0" borderId="1" xfId="0" applyFont="1" applyBorder="1" applyAlignment="1">
      <alignment horizontal="left" vertical="top"/>
    </xf>
    <xf numFmtId="0" fontId="4" fillId="0" borderId="12" xfId="0" applyFont="1" applyBorder="1" applyAlignment="1" applyProtection="1">
      <alignment vertical="top"/>
      <protection locked="0"/>
    </xf>
    <xf numFmtId="0" fontId="9" fillId="9" borderId="4" xfId="0" applyFont="1" applyFill="1" applyBorder="1" applyAlignment="1">
      <alignment horizontal="center" vertical="top"/>
    </xf>
    <xf numFmtId="0" fontId="10" fillId="10" borderId="4" xfId="0" applyFont="1" applyFill="1" applyBorder="1" applyAlignment="1">
      <alignment horizontal="center" vertical="top"/>
    </xf>
    <xf numFmtId="0" fontId="19" fillId="0" borderId="1" xfId="0" applyFont="1" applyBorder="1"/>
    <xf numFmtId="0" fontId="20" fillId="5" borderId="1" xfId="0" applyFont="1" applyFill="1" applyBorder="1" applyAlignment="1">
      <alignment vertical="top" wrapText="1"/>
    </xf>
    <xf numFmtId="0" fontId="18" fillId="12" borderId="1" xfId="0" applyFont="1" applyFill="1" applyBorder="1" applyAlignment="1">
      <alignment horizontal="left" vertical="top"/>
    </xf>
    <xf numFmtId="9" fontId="4" fillId="0" borderId="7" xfId="2" applyFont="1" applyBorder="1" applyAlignment="1" applyProtection="1">
      <alignment horizontal="center" vertical="top"/>
      <protection locked="0"/>
    </xf>
    <xf numFmtId="0" fontId="21" fillId="0" borderId="1" xfId="1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8" fillId="0" borderId="16" xfId="0" applyFont="1" applyBorder="1"/>
    <xf numFmtId="0" fontId="3" fillId="0" borderId="1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3" xfId="0" applyFont="1" applyBorder="1" applyAlignment="1" applyProtection="1">
      <alignment horizontal="center" vertical="top"/>
      <protection locked="0"/>
    </xf>
    <xf numFmtId="0" fontId="17" fillId="0" borderId="0" xfId="0" applyFont="1"/>
    <xf numFmtId="22" fontId="17" fillId="0" borderId="0" xfId="0" applyNumberFormat="1" applyFont="1"/>
    <xf numFmtId="0" fontId="1" fillId="0" borderId="3" xfId="1" applyBorder="1" applyAlignment="1" applyProtection="1">
      <alignment horizontal="center" vertical="top"/>
      <protection locked="0"/>
    </xf>
    <xf numFmtId="9" fontId="15" fillId="15" borderId="3" xfId="2" applyFont="1" applyFill="1" applyBorder="1" applyAlignment="1" applyProtection="1">
      <alignment horizontal="center" vertical="top"/>
      <protection locked="0"/>
    </xf>
    <xf numFmtId="9" fontId="4" fillId="0" borderId="1" xfId="2" applyFont="1" applyBorder="1" applyAlignment="1" applyProtection="1">
      <alignment horizontal="center" vertical="top" wrapText="1"/>
      <protection locked="0"/>
    </xf>
    <xf numFmtId="0" fontId="4" fillId="0" borderId="1" xfId="2" applyNumberFormat="1" applyFont="1" applyBorder="1" applyAlignment="1" applyProtection="1">
      <alignment horizontal="center" vertical="top" wrapText="1"/>
      <protection locked="0"/>
    </xf>
    <xf numFmtId="0" fontId="8" fillId="0" borderId="7" xfId="0" applyFont="1" applyBorder="1"/>
    <xf numFmtId="0" fontId="7" fillId="0" borderId="3" xfId="1" applyFont="1" applyBorder="1" applyAlignment="1" applyProtection="1">
      <alignment horizontal="center" vertical="top"/>
      <protection locked="0"/>
    </xf>
    <xf numFmtId="0" fontId="7" fillId="0" borderId="1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3" xfId="1" applyFont="1" applyBorder="1" applyAlignment="1">
      <alignment horizontal="center" vertical="top"/>
    </xf>
    <xf numFmtId="0" fontId="7" fillId="12" borderId="13" xfId="1" applyFont="1" applyFill="1" applyBorder="1" applyAlignment="1">
      <alignment horizontal="center" vertical="top"/>
    </xf>
    <xf numFmtId="0" fontId="7" fillId="12" borderId="3" xfId="1" applyFont="1" applyFill="1" applyBorder="1" applyAlignment="1">
      <alignment horizontal="center" vertical="top"/>
    </xf>
    <xf numFmtId="0" fontId="7" fillId="0" borderId="3" xfId="1" applyFont="1" applyFill="1" applyBorder="1" applyAlignment="1">
      <alignment horizontal="center"/>
    </xf>
    <xf numFmtId="0" fontId="7" fillId="0" borderId="13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/>
    </xf>
    <xf numFmtId="9" fontId="22" fillId="0" borderId="1" xfId="0" applyNumberFormat="1" applyFont="1" applyBorder="1" applyAlignment="1">
      <alignment horizontal="center"/>
    </xf>
    <xf numFmtId="0" fontId="8" fillId="0" borderId="13" xfId="0" applyFont="1" applyBorder="1" applyAlignment="1">
      <alignment vertical="top"/>
    </xf>
    <xf numFmtId="0" fontId="8" fillId="0" borderId="1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0" fontId="3" fillId="0" borderId="7" xfId="0" applyFont="1" applyBorder="1" applyAlignment="1">
      <alignment vertical="top"/>
    </xf>
    <xf numFmtId="9" fontId="8" fillId="0" borderId="6" xfId="0" applyNumberFormat="1" applyFont="1" applyBorder="1" applyAlignment="1">
      <alignment horizontal="center"/>
    </xf>
    <xf numFmtId="9" fontId="24" fillId="0" borderId="6" xfId="0" applyNumberFormat="1" applyFont="1" applyBorder="1" applyAlignment="1">
      <alignment horizontal="center"/>
    </xf>
    <xf numFmtId="9" fontId="8" fillId="0" borderId="16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22" fillId="0" borderId="3" xfId="0" applyFont="1" applyBorder="1" applyAlignment="1" applyProtection="1">
      <alignment vertical="top"/>
      <protection locked="0"/>
    </xf>
    <xf numFmtId="9" fontId="4" fillId="0" borderId="2" xfId="2" applyFont="1" applyBorder="1" applyAlignment="1" applyProtection="1">
      <alignment horizontal="center" vertical="top"/>
      <protection locked="0"/>
    </xf>
    <xf numFmtId="0" fontId="4" fillId="0" borderId="11" xfId="0" applyFont="1" applyBorder="1" applyAlignment="1" applyProtection="1">
      <alignment vertical="top"/>
      <protection locked="0"/>
    </xf>
    <xf numFmtId="0" fontId="2" fillId="0" borderId="11" xfId="0" applyFont="1" applyBorder="1" applyAlignment="1" applyProtection="1">
      <alignment horizontal="center" vertical="top"/>
      <protection locked="0"/>
    </xf>
    <xf numFmtId="10" fontId="2" fillId="0" borderId="11" xfId="0" applyNumberFormat="1" applyFont="1" applyBorder="1" applyAlignment="1" applyProtection="1">
      <alignment horizontal="center" vertical="top"/>
      <protection locked="0"/>
    </xf>
    <xf numFmtId="0" fontId="4" fillId="0" borderId="13" xfId="0" applyFont="1" applyBorder="1" applyAlignment="1" applyProtection="1">
      <alignment vertical="top"/>
      <protection locked="0"/>
    </xf>
    <xf numFmtId="0" fontId="2" fillId="0" borderId="13" xfId="0" applyFont="1" applyBorder="1" applyAlignment="1" applyProtection="1">
      <alignment horizontal="center" vertical="top"/>
      <protection locked="0"/>
    </xf>
    <xf numFmtId="10" fontId="2" fillId="0" borderId="13" xfId="0" applyNumberFormat="1" applyFont="1" applyBorder="1" applyAlignment="1" applyProtection="1">
      <alignment horizontal="center" vertical="top"/>
      <protection locked="0"/>
    </xf>
    <xf numFmtId="0" fontId="7" fillId="0" borderId="0" xfId="1" applyFont="1" applyBorder="1" applyAlignment="1">
      <alignment horizontal="center"/>
    </xf>
    <xf numFmtId="0" fontId="15" fillId="15" borderId="3" xfId="2" applyNumberFormat="1" applyFont="1" applyFill="1" applyBorder="1" applyAlignment="1" applyProtection="1">
      <alignment horizontal="center" vertical="top"/>
      <protection locked="0"/>
    </xf>
    <xf numFmtId="0" fontId="2" fillId="0" borderId="1" xfId="0" applyFont="1" applyBorder="1"/>
    <xf numFmtId="0" fontId="21" fillId="0" borderId="1" xfId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left" vertical="top"/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8" fillId="0" borderId="16" xfId="0" applyFont="1" applyBorder="1" applyAlignment="1">
      <alignment horizontal="center"/>
    </xf>
    <xf numFmtId="0" fontId="1" fillId="0" borderId="0" xfId="1" applyAlignment="1"/>
    <xf numFmtId="0" fontId="8" fillId="0" borderId="17" xfId="0" applyFont="1" applyBorder="1" applyAlignment="1">
      <alignment horizontal="center"/>
    </xf>
    <xf numFmtId="0" fontId="8" fillId="0" borderId="1" xfId="0" applyFont="1" applyBorder="1"/>
    <xf numFmtId="0" fontId="4" fillId="0" borderId="1" xfId="2" applyNumberFormat="1" applyFont="1" applyBorder="1" applyAlignment="1" applyProtection="1">
      <alignment horizontal="center" vertical="top"/>
      <protection locked="0"/>
    </xf>
    <xf numFmtId="0" fontId="25" fillId="0" borderId="0" xfId="0" applyFont="1"/>
    <xf numFmtId="9" fontId="4" fillId="0" borderId="0" xfId="2" applyFont="1" applyAlignment="1" applyProtection="1">
      <alignment horizontal="center" vertical="top"/>
      <protection locked="0"/>
    </xf>
    <xf numFmtId="0" fontId="2" fillId="0" borderId="3" xfId="0" applyFont="1" applyBorder="1"/>
    <xf numFmtId="0" fontId="2" fillId="13" borderId="13" xfId="0" applyFont="1" applyFill="1" applyBorder="1"/>
    <xf numFmtId="0" fontId="2" fillId="13" borderId="10" xfId="0" applyFont="1" applyFill="1" applyBorder="1"/>
    <xf numFmtId="0" fontId="2" fillId="0" borderId="13" xfId="0" applyFont="1" applyBorder="1"/>
    <xf numFmtId="0" fontId="8" fillId="0" borderId="10" xfId="0" applyFont="1" applyBorder="1"/>
    <xf numFmtId="49" fontId="4" fillId="0" borderId="1" xfId="2" applyNumberFormat="1" applyFont="1" applyBorder="1" applyAlignment="1" applyProtection="1">
      <alignment horizontal="center" vertical="top"/>
      <protection locked="0"/>
    </xf>
    <xf numFmtId="0" fontId="3" fillId="0" borderId="1" xfId="0" applyFont="1" applyBorder="1"/>
    <xf numFmtId="0" fontId="8" fillId="0" borderId="0" xfId="0" applyFont="1"/>
    <xf numFmtId="0" fontId="8" fillId="0" borderId="18" xfId="0" applyFont="1" applyBorder="1"/>
    <xf numFmtId="0" fontId="8" fillId="0" borderId="3" xfId="0" applyFont="1" applyBorder="1"/>
    <xf numFmtId="0" fontId="2" fillId="0" borderId="6" xfId="0" applyFont="1" applyBorder="1"/>
    <xf numFmtId="0" fontId="1" fillId="0" borderId="0" xfId="1" applyAlignment="1">
      <alignment wrapText="1"/>
    </xf>
    <xf numFmtId="0" fontId="1" fillId="0" borderId="0" xfId="1"/>
    <xf numFmtId="0" fontId="4" fillId="0" borderId="1" xfId="0" quotePrefix="1" applyFont="1" applyBorder="1" applyAlignment="1" applyProtection="1">
      <alignment vertical="top"/>
      <protection locked="0"/>
    </xf>
    <xf numFmtId="0" fontId="8" fillId="0" borderId="0" xfId="0" applyFont="1" applyAlignment="1">
      <alignment wrapText="1"/>
    </xf>
    <xf numFmtId="0" fontId="26" fillId="0" borderId="0" xfId="0" applyFont="1"/>
    <xf numFmtId="22" fontId="26" fillId="0" borderId="0" xfId="0" applyNumberFormat="1" applyFont="1"/>
    <xf numFmtId="0" fontId="27" fillId="0" borderId="1" xfId="0" pivotButton="1" applyFont="1" applyBorder="1"/>
    <xf numFmtId="0" fontId="27" fillId="0" borderId="1" xfId="0" applyFont="1" applyBorder="1"/>
    <xf numFmtId="0" fontId="28" fillId="5" borderId="1" xfId="0" applyFont="1" applyFill="1" applyBorder="1"/>
    <xf numFmtId="0" fontId="29" fillId="0" borderId="16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" fillId="0" borderId="3" xfId="0" applyFont="1" applyBorder="1" applyAlignment="1">
      <alignment vertical="top"/>
    </xf>
    <xf numFmtId="0" fontId="1" fillId="0" borderId="19" xfId="1" applyBorder="1"/>
    <xf numFmtId="0" fontId="32" fillId="0" borderId="19" xfId="0" applyFont="1" applyBorder="1"/>
    <xf numFmtId="0" fontId="33" fillId="0" borderId="19" xfId="0" applyFont="1" applyBorder="1"/>
    <xf numFmtId="0" fontId="34" fillId="0" borderId="19" xfId="0" applyFont="1" applyBorder="1"/>
    <xf numFmtId="0" fontId="27" fillId="0" borderId="3" xfId="0" applyFont="1" applyBorder="1" applyAlignment="1">
      <alignment vertical="top"/>
    </xf>
    <xf numFmtId="0" fontId="35" fillId="0" borderId="1" xfId="0" applyFont="1" applyBorder="1" applyAlignment="1">
      <alignment vertical="top" wrapText="1"/>
    </xf>
    <xf numFmtId="0" fontId="27" fillId="0" borderId="11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1" fillId="0" borderId="0" xfId="1" applyAlignment="1">
      <alignment horizontal="center"/>
    </xf>
    <xf numFmtId="0" fontId="25" fillId="0" borderId="0" xfId="0" applyFont="1" applyAlignment="1">
      <alignment horizontal="center"/>
    </xf>
    <xf numFmtId="0" fontId="27" fillId="0" borderId="3" xfId="0" applyFont="1" applyBorder="1" applyAlignment="1" applyProtection="1">
      <alignment horizontal="center" vertical="top"/>
      <protection locked="0"/>
    </xf>
    <xf numFmtId="0" fontId="2" fillId="0" borderId="11" xfId="0" applyFont="1" applyBorder="1" applyAlignment="1" applyProtection="1">
      <alignment horizontal="left" vertical="top"/>
      <protection locked="0"/>
    </xf>
    <xf numFmtId="0" fontId="2" fillId="12" borderId="11" xfId="0" applyFont="1" applyFill="1" applyBorder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12" borderId="1" xfId="0" applyFont="1" applyFill="1" applyBorder="1" applyAlignment="1" applyProtection="1">
      <alignment horizontal="left" vertical="top"/>
      <protection locked="0"/>
    </xf>
    <xf numFmtId="0" fontId="7" fillId="0" borderId="14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2" fillId="0" borderId="18" xfId="0" applyFont="1" applyBorder="1"/>
    <xf numFmtId="0" fontId="23" fillId="5" borderId="1" xfId="0" applyFont="1" applyFill="1" applyBorder="1"/>
    <xf numFmtId="0" fontId="36" fillId="0" borderId="1" xfId="1" applyFont="1" applyBorder="1" applyAlignment="1">
      <alignment horizontal="center"/>
    </xf>
    <xf numFmtId="0" fontId="36" fillId="0" borderId="1" xfId="1" applyFont="1" applyBorder="1" applyAlignment="1">
      <alignment horizontal="center" vertical="center"/>
    </xf>
    <xf numFmtId="0" fontId="2" fillId="0" borderId="5" xfId="0" applyFont="1" applyBorder="1"/>
    <xf numFmtId="0" fontId="3" fillId="0" borderId="6" xfId="0" applyFont="1" applyBorder="1" applyAlignment="1">
      <alignment vertical="top"/>
    </xf>
    <xf numFmtId="0" fontId="7" fillId="0" borderId="13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1" xfId="1" applyFont="1" applyBorder="1" applyAlignment="1">
      <alignment horizontal="center" wrapText="1"/>
    </xf>
    <xf numFmtId="0" fontId="37" fillId="3" borderId="11" xfId="0" applyFont="1" applyFill="1" applyBorder="1" applyAlignment="1" applyProtection="1">
      <alignment horizontal="center" vertical="top"/>
      <protection locked="0"/>
    </xf>
    <xf numFmtId="0" fontId="27" fillId="0" borderId="1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/>
    </xf>
    <xf numFmtId="0" fontId="11" fillId="0" borderId="14" xfId="0" applyFont="1" applyBorder="1" applyAlignment="1">
      <alignment horizontal="center" vertical="top"/>
    </xf>
  </cellXfs>
  <cellStyles count="3">
    <cellStyle name="Hyperlink" xfId="1" builtinId="8"/>
    <cellStyle name="Normal" xfId="0" builtinId="0"/>
    <cellStyle name="Percent" xfId="2" builtinId="5"/>
  </cellStyles>
  <dxfs count="7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horizontal="center"/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600075</xdr:colOff>
      <xdr:row>135</xdr:row>
      <xdr:rowOff>85725</xdr:rowOff>
    </xdr:from>
    <xdr:to>
      <xdr:col>10</xdr:col>
      <xdr:colOff>609600</xdr:colOff>
      <xdr:row>3637</xdr:row>
      <xdr:rowOff>6985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C28DDA4-F31C-96C3-0A0D-273F0D8F9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08350" y="238125"/>
          <a:ext cx="9525" cy="14547532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ED7210D-B462-4196-8D82-45F3D51E54EA}"/>
  <namedSheetView name="View2" id="{67519ACD-FE09-482C-93CD-C6C697D73734}"/>
  <namedSheetView name="View3" id="{E3451CC4-92CF-4A23-A42B-71612164F570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9.735445486112" createdVersion="8" refreshedVersion="8" minRefreshableVersion="3" recordCount="495" xr:uid="{93BC8ED3-21FB-4B3B-B187-A825BA6DFD33}">
  <cacheSource type="worksheet">
    <worksheetSource ref="A1:AC1048576" sheet="PT status"/>
  </cacheSource>
  <cacheFields count="29">
    <cacheField name="Module (TextVerification)" numFmtId="0">
      <sharedItems containsBlank="1"/>
    </cacheField>
    <cacheField name="Parent Title" numFmtId="0">
      <sharedItems containsBlank="1" containsMixedTypes="1" containsNumber="1" containsInteger="1" minValue="0" maxValue="0" count="13">
        <s v="Angular upgrade version 19 to version 21 - 18th April"/>
        <s v="Available Hours OU Report"/>
        <s v="myISP - Digital DCSO"/>
        <s v="MMP FFP Export update - April release"/>
        <s v="Standard Role Implementation in PCW &amp; Online SI - April Release"/>
        <s v="Standard Role Implementation in SI Staffing Baseline - Analysis"/>
        <s v="Moving current AMSVT to PBI AMSVT."/>
        <s v="Addition of &quot;Mergers and Acquisitions&quot; column in PMO Reporting layer"/>
        <s v="LCM Infra - COTs App Replatform"/>
        <s v="IMS BAU - Monthy MRDB"/>
        <s v="DFD - Reinvention Partner field addition in SA request"/>
        <m/>
        <n v="0" u="1"/>
      </sharedItems>
    </cacheField>
    <cacheField name="Feature ID" numFmtId="0">
      <sharedItems containsString="0" containsBlank="1" containsNumber="1" containsInteger="1" minValue="0" maxValue="4458987" count="273">
        <n v="4429397"/>
        <n v="4439196"/>
        <n v="4278081"/>
        <n v="4389877"/>
        <n v="4373911"/>
        <n v="4277501"/>
        <n v="4446745"/>
        <n v="4458987"/>
        <n v="4386341"/>
        <n v="4386335"/>
        <n v="4458972"/>
        <m/>
        <n v="4330994" u="1"/>
        <n v="4174547" u="1"/>
        <n v="4366165" u="1"/>
        <n v="4405953" u="1"/>
        <n v="4331001" u="1"/>
        <n v="4352723" u="1"/>
        <n v="4365826" u="1"/>
        <n v="4386527" u="1"/>
        <n v="4358702" u="1"/>
        <n v="4364046" u="1"/>
        <n v="4226586" u="1"/>
        <n v="4369027" u="1"/>
        <n v="4282653" u="1"/>
        <n v="4387609" u="1"/>
        <n v="4369575" u="1"/>
        <n v="4378908" u="1"/>
        <n v="4366466" u="1"/>
        <n v="4059417" u="1"/>
        <n v="4317843" u="1"/>
        <n v="4317244" u="1"/>
        <n v="4316934" u="1"/>
        <n v="4275381" u="1"/>
        <n v="4316945" u="1"/>
        <n v="4317373" u="1"/>
        <n v="4275996" u="1"/>
        <n v="4358815" u="1"/>
        <n v="4385939" u="1"/>
        <n v="4368357" u="1"/>
        <n v="4368359" u="1"/>
        <n v="4368361" u="1"/>
        <n v="4387610" u="1"/>
        <n v="4387613" u="1"/>
        <n v="4387615" u="1"/>
        <n v="4349307" u="1"/>
        <n v="4368954" u="1"/>
        <n v="4392317" u="1"/>
        <n v="4349735" u="1"/>
        <n v="4316104" u="1"/>
        <n v="4135829" u="1"/>
        <n v="4048583" u="1"/>
        <n v="4328940" u="1"/>
        <n v="4371748" u="1"/>
        <n v="4344500" u="1"/>
        <n v="4378932" u="1"/>
        <n v="4384974" u="1"/>
        <n v="4319934" u="1"/>
        <n v="4260380" u="1"/>
        <n v="4319932" u="1"/>
        <n v="4223629" u="1"/>
        <n v="4372101" u="1"/>
        <n v="4357664" u="1"/>
        <n v="4361786" u="1"/>
        <n v="4330816" u="1"/>
        <n v="4327472" u="1"/>
        <n v="4373741" u="1"/>
        <n v="4393292" u="1"/>
        <n v="4368560" u="1"/>
        <n v="4369470" u="1"/>
        <n v="4387681" u="1"/>
        <n v="4369453" u="1"/>
        <n v="4364399" u="1"/>
        <n v="4373652" u="1"/>
        <n v="4395058" u="1"/>
        <n v="4364390" u="1"/>
        <n v="4373561" u="1"/>
        <n v="4373584" u="1"/>
        <n v="4319556" u="1"/>
        <n v="4317766" u="1"/>
        <n v="4392680" u="1"/>
        <n v="4393835" u="1"/>
        <n v="4390945" u="1"/>
        <n v="4393838" u="1"/>
        <n v="4390197" u="1"/>
        <n v="4269015" u="1"/>
        <n v="4352766" u="1"/>
        <n v="4367340" u="1"/>
        <n v="4364026" u="1"/>
        <n v="4110461" u="1"/>
        <n v="4316161" u="1"/>
        <n v="4371812" u="1"/>
        <n v="4373529" u="1"/>
        <n v="4351343" u="1"/>
        <n v="4371602" u="1"/>
        <n v="4394114" u="1"/>
        <n v="4371610" u="1"/>
        <n v="4273057" u="1"/>
        <n v="4272104" u="1"/>
        <n v="4378855" u="1"/>
        <n v="4341338" u="1"/>
        <n v="4365879" u="1"/>
        <n v="4385941" u="1"/>
        <n v="4371914" u="1"/>
        <n v="4371834" u="1"/>
        <n v="4371836" u="1"/>
        <n v="4359602" u="1"/>
        <n v="4356899" u="1"/>
        <n v="4368157" u="1"/>
        <n v="4368212" u="1"/>
        <n v="4390100" u="1"/>
        <n v="4389866" u="1"/>
        <n v="4139936" u="1"/>
        <n v="4354186" u="1"/>
        <n v="4318937" u="1"/>
        <n v="4318876" u="1"/>
        <n v="4390112" u="1"/>
        <n v="4371605" u="1"/>
        <n v="4371607" u="1"/>
        <n v="4161205" u="1"/>
        <n v="4160933" u="1"/>
        <n v="4371753" u="1"/>
        <n v="4371783" u="1"/>
        <n v="4319026" u="1"/>
        <n v="4319034" u="1"/>
        <n v="4386347" u="1"/>
        <n v="4317352" u="1"/>
        <n v="4275871" u="1"/>
        <n v="4386334" u="1"/>
        <n v="4278295" u="1"/>
        <n v="4386333" u="1"/>
        <n v="4386339" u="1"/>
        <n v="4278294" u="1"/>
        <n v="4386636" u="1"/>
        <n v="4120361" u="1"/>
        <n v="4311794" u="1"/>
        <n v="4358170" u="1"/>
        <n v="4393834" u="1"/>
        <n v="0" u="1"/>
        <n v="4387279" u="1"/>
        <n v="4372279" u="1"/>
        <n v="4387285" u="1"/>
        <n v="4260483" u="1"/>
        <n v="4356728" u="1"/>
        <n v="4356901" u="1"/>
        <n v="4373965" u="1"/>
        <n v="4392075" u="1"/>
        <n v="4392134" u="1"/>
        <n v="4109361" u="1"/>
        <n v="4366167" u="1"/>
        <n v="4327715" u="1"/>
        <n v="4313249" u="1"/>
        <n v="4341363" u="1"/>
        <n v="4372017" u="1"/>
        <n v="4232673" u="1"/>
        <n v="4366166" u="1"/>
        <n v="4047082" u="1"/>
        <n v="4272030" u="1"/>
        <n v="4316947" u="1"/>
        <n v="4359406" u="1"/>
        <n v="4017211" u="1"/>
        <n v="4358863" u="1"/>
        <n v="4327171" u="1"/>
        <n v="4317765" u="1"/>
        <n v="4250760" u="1"/>
        <n v="4297381" u="1"/>
        <n v="4322578" u="1"/>
        <n v="4277388" u="1"/>
        <n v="4281663" u="1"/>
        <n v="4282777" u="1"/>
        <n v="4309721" u="1"/>
        <n v="4310296" u="1"/>
        <n v="4310219" u="1"/>
        <n v="4315968" u="1"/>
        <n v="4318935" u="1"/>
        <n v="4006005" u="1"/>
        <n v="4317678" u="1"/>
        <n v="4106427" u="1"/>
        <n v="4300535" u="1"/>
        <n v="4024945" u="1"/>
        <n v="4041211" u="1"/>
        <n v="4286469" u="1"/>
        <n v="4221721" u="1"/>
        <n v="4297379" u="1"/>
        <n v="4312426" u="1"/>
        <n v="4276810" u="1"/>
        <n v="4325869" u="1"/>
        <n v="4326891" u="1"/>
        <n v="4330841" u="1"/>
        <n v="4336238" u="1"/>
        <n v="4281722" u="1"/>
        <n v="4159336" u="1"/>
        <n v="4110843" u="1"/>
        <n v="4151502" u="1"/>
        <n v="4260486" u="1"/>
        <n v="4326894" u="1"/>
        <n v="4317001" u="1"/>
        <n v="4309648" u="1"/>
        <n v="4309637" u="1"/>
        <n v="4318286" u="1"/>
        <n v="4327952" u="1"/>
        <n v="4327966" u="1"/>
        <n v="4315825" u="1"/>
        <n v="4318922" u="1"/>
        <n v="4318945" u="1"/>
        <n v="4318920" u="1"/>
        <n v="4034031" u="1"/>
        <n v="4312443" u="1"/>
        <n v="4330383" u="1"/>
        <n v="4278753" u="1"/>
        <n v="4260487" u="1"/>
        <n v="4319598" u="1"/>
        <n v="4147777" u="1"/>
        <n v="4265971" u="1"/>
        <n v="4327196" u="1"/>
        <n v="4317767" u="1"/>
        <n v="4266045" u="1"/>
        <n v="4330819" u="1"/>
        <n v="4265616" u="1"/>
        <n v="4257059" u="1"/>
        <n v="4278604" u="1"/>
        <n v="4330936" u="1"/>
        <n v="4349807" u="1"/>
        <n v="4353738" u="1"/>
        <n v="4357547" u="1"/>
        <n v="4259041" u="1"/>
        <n v="4315766" u="1"/>
        <n v="4317877" u="1"/>
        <n v="4312254" u="1"/>
        <n v="4266011" u="1"/>
        <n v="4331510" u="1"/>
        <n v="4327720" u="1"/>
        <n v="4318153" u="1"/>
        <n v="4163171" u="1"/>
        <n v="4248291" u="1"/>
        <n v="4314178" u="1"/>
        <n v="4224870" u="1"/>
        <n v="4318938" u="1"/>
        <n v="4317845" u="1"/>
        <n v="4110807" u="1"/>
        <n v="4319574" u="1"/>
        <n v="4329399" u="1"/>
        <n v="4320928" u="1"/>
        <n v="4317981" u="1"/>
        <n v="4319023" u="1"/>
        <n v="4054252" u="1"/>
        <n v="4054262" u="1"/>
        <n v="4054292" u="1"/>
        <n v="4115170" u="1"/>
        <n v="4089704" u="1"/>
        <n v="4224175" u="1"/>
        <n v="4187404" u="1"/>
        <n v="4332300" u="1"/>
        <n v="4306621" u="1"/>
        <n v="4316944" u="1"/>
        <n v="4317432" u="1"/>
        <n v="4317371" u="1"/>
        <n v="4278502" u="1"/>
        <n v="4329298" u="1"/>
        <n v="4316958" u="1"/>
        <n v="4328640" u="1"/>
        <n v="4317300" u="1"/>
        <n v="4317310" u="1"/>
        <n v="4317357" u="1"/>
        <n v="4317342" u="1"/>
        <n v="4319792" u="1"/>
        <n v="3771652" u="1"/>
        <n v="3770073" u="1"/>
        <n v="4357110" u="1"/>
        <n v="3804356" u="1"/>
        <n v="4063730" u="1"/>
        <n v="4340066" u="1"/>
        <n v="4249003" u="1"/>
      </sharedItems>
    </cacheField>
    <cacheField name="PT Lead" numFmtId="0">
      <sharedItems containsBlank="1"/>
    </cacheField>
    <cacheField name="Title" numFmtId="0">
      <sharedItems containsBlank="1"/>
    </cacheField>
    <cacheField name="ID" numFmtId="0">
      <sharedItems containsString="0" containsBlank="1" containsNumber="1" containsInteger="1" minValue="4359188" maxValue="4459023"/>
    </cacheField>
    <cacheField name="Primary Tester" numFmtId="0">
      <sharedItems containsBlank="1"/>
    </cacheField>
    <cacheField name="Secondary Tester" numFmtId="0">
      <sharedItems containsBlank="1"/>
    </cacheField>
    <cacheField name="Test Planning" numFmtId="0">
      <sharedItems containsBlank="1" count="4">
        <s v="Completed"/>
        <s v="In Progress"/>
        <s v="Not Started"/>
        <m/>
      </sharedItems>
    </cacheField>
    <cacheField name="BA Review" numFmtId="0">
      <sharedItems containsBlank="1" count="4">
        <s v="Completed"/>
        <s v="In Progress"/>
        <s v="Not Started"/>
        <m/>
      </sharedItems>
    </cacheField>
    <cacheField name="TFS upload" numFmtId="0">
      <sharedItems containsBlank="1"/>
    </cacheField>
    <cacheField name="PT Status" numFmtId="0">
      <sharedItems containsBlank="1"/>
    </cacheField>
    <cacheField name="Manual Test cases generated from GHC" numFmtId="0">
      <sharedItems containsString="0" containsBlank="1" containsNumber="1" containsInteger="1" minValue="10" maxValue="76"/>
    </cacheField>
    <cacheField name="Useful Test cases from GHC" numFmtId="0">
      <sharedItems containsString="0" containsBlank="1" containsNumber="1" containsInteger="1" minValue="2" maxValue="51"/>
    </cacheField>
    <cacheField name="Tester Created test case count" numFmtId="0">
      <sharedItems containsString="0" containsBlank="1" containsNumber="1" containsInteger="1" minValue="0" maxValue="26"/>
    </cacheField>
    <cacheField name="Reviwed Final Test case count" numFmtId="0">
      <sharedItems containsString="0" containsBlank="1" containsNumber="1" containsInteger="1" minValue="3" maxValue="51"/>
    </cacheField>
    <cacheField name="Coverage for Manual Test cases from GHC%" numFmtId="0">
      <sharedItems containsString="0" containsBlank="1" containsNumber="1" minValue="0.4" maxValue="1"/>
    </cacheField>
    <cacheField name="Accuracy for Manual test cases from GHC%" numFmtId="0">
      <sharedItems containsString="0" containsBlank="1" containsNumber="1" minValue="0.4" maxValue="1"/>
    </cacheField>
    <cacheField name="TFS state" numFmtId="0">
      <sharedItems containsNonDate="0" containsString="0" containsBlank="1"/>
    </cacheField>
    <cacheField name="Passed" numFmtId="0">
      <sharedItems containsString="0" containsBlank="1" containsNumber="1" containsInteger="1" minValue="0" maxValue="28"/>
    </cacheField>
    <cacheField name="Failed" numFmtId="0">
      <sharedItems containsString="0" containsBlank="1" containsNumber="1" containsInteger="1" minValue="0" maxValue="8"/>
    </cacheField>
    <cacheField name="Blocked" numFmtId="0">
      <sharedItems containsString="0" containsBlank="1" containsNumber="1" containsInteger="1" minValue="0" maxValue="0"/>
    </cacheField>
    <cacheField name="Not Run" numFmtId="0">
      <sharedItems containsString="0" containsBlank="1" containsNumber="1" containsInteger="1" minValue="0" maxValue="26"/>
    </cacheField>
    <cacheField name="Total" numFmtId="0">
      <sharedItems containsString="0" containsBlank="1" containsNumber="1" containsInteger="1" minValue="0" maxValue="51"/>
    </cacheField>
    <cacheField name="Execution %" numFmtId="0">
      <sharedItems containsString="0" containsBlank="1" containsNumber="1" minValue="0" maxValue="1"/>
    </cacheField>
    <cacheField name="Pass %" numFmtId="0">
      <sharedItems containsString="0" containsBlank="1" containsNumber="1" minValue="0" maxValue="1"/>
    </cacheField>
    <cacheField name="Comments" numFmtId="0">
      <sharedItems containsBlank="1"/>
    </cacheField>
    <cacheField name="Node Name" numFmtId="0">
      <sharedItems containsBlank="1" containsMixedTypes="1" containsNumber="1" containsInteger="1" minValue="0" maxValue="0" count="14">
        <s v="MYISP_Revamp_UI"/>
        <m/>
        <s v="Insurgents"/>
        <s v="DevStormers"/>
        <s v="TechSprinters"/>
        <s v="TechWizards"/>
        <s v="TechAvatar"/>
        <s v="Tech Ensemble"/>
        <s v="TechAvengers"/>
        <s v="GoRetro"/>
        <s v="Cognilytics"/>
        <s v="myISP_IMS"/>
        <s v="BackDoorGuardians"/>
        <n v="0" u="1"/>
      </sharedItems>
    </cacheField>
    <cacheField name="MPOC" numFmtId="0">
      <sharedItems containsBlank="1" containsMixedTypes="1" containsNumber="1" containsInteger="1" minValue="0" maxValue="0" count="10">
        <s v="vikrant.r.mohite"/>
        <m/>
        <s v="K.devaraj"/>
        <s v="mervinkumar.manickam"/>
        <s v="suraj.sukumaran"/>
        <s v="sowjanya.kari"/>
        <s v="anil.kadiri"/>
        <s v="supriya.a.dhingra"/>
        <s v="sona.job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s v="Drop 3 - Angular upgrade v19 to v21"/>
    <x v="0"/>
    <x v="0"/>
    <s v="Pirtheebaa"/>
    <s v="As a myISP Solution Architect, I want to see the Solution Components (AMS) MFE App migrated to Angular 21"/>
    <n v="4429413"/>
    <s v="Mary/Janardhan"/>
    <m/>
    <x v="0"/>
    <x v="0"/>
    <s v="Completed"/>
    <s v="Completed"/>
    <n v="48"/>
    <n v="10"/>
    <n v="14"/>
    <n v="24"/>
    <n v="0.4"/>
    <n v="0.4"/>
    <m/>
    <n v="20"/>
    <n v="0"/>
    <n v="0"/>
    <n v="0"/>
    <n v="20"/>
    <n v="1"/>
    <n v="1"/>
    <m/>
    <x v="0"/>
    <x v="0"/>
  </r>
  <r>
    <s v="Drop 3 - Angular upgrade v19 to v21"/>
    <x v="0"/>
    <x v="0"/>
    <s v="Leena"/>
    <s v="As a myISP Solution Architect, I want to see the Digital Documentation - MFE App migrated to Angular 21"/>
    <n v="4429519"/>
    <s v="Harshitha"/>
    <m/>
    <x v="0"/>
    <x v="1"/>
    <s v="Not Started"/>
    <s v="In Progress"/>
    <n v="15"/>
    <n v="10"/>
    <n v="0"/>
    <n v="10"/>
    <n v="0.95"/>
    <n v="0.95"/>
    <m/>
    <n v="6"/>
    <n v="0"/>
    <n v="0"/>
    <n v="4"/>
    <n v="10"/>
    <n v="0.6"/>
    <n v="1"/>
    <m/>
    <x v="0"/>
    <x v="0"/>
  </r>
  <r>
    <s v="Drop 3 - Angular upgrade v19 to v21"/>
    <x v="0"/>
    <x v="0"/>
    <s v="Rajeswari"/>
    <s v="As a myISP Solution Architect, I want to see the CDAT - MFE App migrated to Angular 21"/>
    <n v="4429521"/>
    <s v="PavithraJabeen"/>
    <s v="Agnes"/>
    <x v="0"/>
    <x v="0"/>
    <s v="In Progress"/>
    <s v="In Progress"/>
    <n v="40"/>
    <n v="40"/>
    <n v="0"/>
    <n v="40"/>
    <n v="1"/>
    <n v="1"/>
    <m/>
    <n v="28"/>
    <n v="0"/>
    <n v="0"/>
    <n v="12"/>
    <n v="40"/>
    <n v="0.7"/>
    <n v="1"/>
    <m/>
    <x v="0"/>
    <x v="0"/>
  </r>
  <r>
    <s v="Drop 3 - Angular upgrade v19 to v21"/>
    <x v="0"/>
    <x v="0"/>
    <s v="Jaya"/>
    <s v="As a myISP Solution Architect, I want to see the Cost Price Engine UI App migrated to Angular 21"/>
    <n v="4429530"/>
    <s v="Anu"/>
    <s v="Sriram"/>
    <x v="0"/>
    <x v="0"/>
    <s v="Not Started"/>
    <s v="In Progress"/>
    <n v="26"/>
    <n v="17"/>
    <n v="17"/>
    <n v="17"/>
    <n v="0.9"/>
    <n v="0.9"/>
    <m/>
    <n v="6"/>
    <n v="1"/>
    <n v="0"/>
    <n v="10"/>
    <n v="17"/>
    <n v="0.41176470588235292"/>
    <n v="0.8571428571428571"/>
    <s v="AMS : Bug id:4461681(H)_x000a_"/>
    <x v="0"/>
    <x v="0"/>
  </r>
  <r>
    <s v="AMS"/>
    <x v="1"/>
    <x v="1"/>
    <s v="Jaya"/>
    <s v="AMS OCP/DCTA: As a mySolutionPlanner developer, I should be able to get the Export/Import status tab in Available Hours screen"/>
    <n v="4439199"/>
    <s v="Anu"/>
    <s v="Ihsana"/>
    <x v="0"/>
    <x v="0"/>
    <s v="Not Started"/>
    <s v="Not Started"/>
    <m/>
    <m/>
    <m/>
    <m/>
    <m/>
    <m/>
    <m/>
    <n v="0"/>
    <n v="0"/>
    <n v="0"/>
    <n v="15"/>
    <n v="15"/>
    <n v="0"/>
    <n v="0"/>
    <m/>
    <x v="1"/>
    <x v="1"/>
  </r>
  <r>
    <s v="AMS"/>
    <x v="1"/>
    <x v="1"/>
    <s v="Jaya"/>
    <s v="AMS OCP/DCTA: As a mySolutionPlanner developer, I should be able to get the Export option in Available Hours template for Staffing"/>
    <n v="4439323"/>
    <s v="Anu"/>
    <s v="Ihsana"/>
    <x v="0"/>
    <x v="0"/>
    <s v="Not Started"/>
    <s v="Not Started"/>
    <m/>
    <m/>
    <m/>
    <m/>
    <m/>
    <m/>
    <m/>
    <n v="0"/>
    <n v="0"/>
    <n v="0"/>
    <n v="17"/>
    <n v="17"/>
    <n v="0"/>
    <n v="0"/>
    <m/>
    <x v="1"/>
    <x v="1"/>
  </r>
  <r>
    <s v="AMS"/>
    <x v="1"/>
    <x v="1"/>
    <s v="Jaya"/>
    <s v="AMS OCP/DCTA: As a mySolutionPlanner developer, I should be able to get the Export option in Available Hours template for PMO"/>
    <n v="4439343"/>
    <s v="Anu"/>
    <s v="Ihsana"/>
    <x v="0"/>
    <x v="0"/>
    <s v="Not Started"/>
    <s v="Not Started"/>
    <m/>
    <m/>
    <m/>
    <m/>
    <m/>
    <m/>
    <m/>
    <n v="0"/>
    <n v="0"/>
    <n v="0"/>
    <n v="7"/>
    <n v="7"/>
    <n v="0"/>
    <n v="0"/>
    <m/>
    <x v="1"/>
    <x v="1"/>
  </r>
  <r>
    <s v="AMS"/>
    <x v="1"/>
    <x v="1"/>
    <s v="Jaya"/>
    <s v="AMS OCP/DCTA: As a mySolutionPlanner developer, I should be able to get the Import option in Available Hours template for Staffing"/>
    <n v="4439357"/>
    <s v="Anu"/>
    <s v="Ihsana"/>
    <x v="0"/>
    <x v="0"/>
    <s v="Not Started"/>
    <s v="Not Started"/>
    <m/>
    <m/>
    <m/>
    <m/>
    <m/>
    <m/>
    <m/>
    <n v="0"/>
    <n v="0"/>
    <n v="0"/>
    <n v="7"/>
    <n v="7"/>
    <n v="0"/>
    <n v="0"/>
    <m/>
    <x v="1"/>
    <x v="1"/>
  </r>
  <r>
    <s v="AMS"/>
    <x v="1"/>
    <x v="1"/>
    <s v="Jaya"/>
    <s v="AMS OCP/DCTA: As a mySolutionPlanner developer, I should be able to get the Import option in Available Hours template for PMO"/>
    <n v="4439362"/>
    <s v="Anu"/>
    <s v="Ihsana"/>
    <x v="0"/>
    <x v="0"/>
    <s v="Not Started"/>
    <s v="Not Started"/>
    <m/>
    <m/>
    <m/>
    <m/>
    <m/>
    <m/>
    <m/>
    <n v="0"/>
    <n v="0"/>
    <n v="0"/>
    <n v="10"/>
    <n v="10"/>
    <n v="0"/>
    <n v="0"/>
    <m/>
    <x v="1"/>
    <x v="1"/>
  </r>
  <r>
    <s v="DCSO"/>
    <x v="2"/>
    <x v="2"/>
    <s v="Shini"/>
    <s v="As a myisp Solution Architect, I want the DCSO tab to be removed from the SI KDA/Reports screen So that users do not access or generate DCSO information from the KDA / Reports interface."/>
    <n v="4362582"/>
    <s v="Jeba"/>
    <m/>
    <x v="0"/>
    <x v="0"/>
    <s v="In Progress"/>
    <s v="In Progress"/>
    <m/>
    <m/>
    <m/>
    <m/>
    <m/>
    <m/>
    <m/>
    <n v="2"/>
    <n v="0"/>
    <n v="0"/>
    <n v="1"/>
    <n v="3"/>
    <n v="0.66666666666666663"/>
    <n v="1"/>
    <m/>
    <x v="2"/>
    <x v="2"/>
  </r>
  <r>
    <s v="DCSO"/>
    <x v="2"/>
    <x v="2"/>
    <s v="Shini"/>
    <s v="As a myisp Solution Architect, I want the DCSO tab to be removed from the AMS KDA/Reports screen So that users do not access or generate DCSO information from the KDA / Reports interface."/>
    <n v="4362592"/>
    <s v="Jeba"/>
    <m/>
    <x v="0"/>
    <x v="0"/>
    <s v="In Progress"/>
    <s v="In Progress"/>
    <m/>
    <m/>
    <m/>
    <m/>
    <m/>
    <m/>
    <m/>
    <n v="2"/>
    <n v="0"/>
    <n v="0"/>
    <n v="1"/>
    <n v="3"/>
    <n v="0.66666666666666663"/>
    <n v="1"/>
    <m/>
    <x v="2"/>
    <x v="2"/>
  </r>
  <r>
    <s v="MMP FFP"/>
    <x v="3"/>
    <x v="3"/>
    <s v="Kavi"/>
    <s v="As a myISP SA, I want to change the logic to populate &quot;Role Type&quot; and &quot;Accenture Role/Rate&quot; in MMP FFP so that it is aligned with Dynamic Target Pricing implementation"/>
    <n v="4391224"/>
    <s v="Manisa"/>
    <s v="Sathya"/>
    <x v="0"/>
    <x v="0"/>
    <s v="Completed"/>
    <s v="In Progress"/>
    <n v="39"/>
    <n v="27"/>
    <n v="0"/>
    <n v="27"/>
    <n v="1"/>
    <n v="0.8"/>
    <m/>
    <n v="11"/>
    <n v="7"/>
    <n v="0"/>
    <n v="9"/>
    <n v="27"/>
    <n v="0.66666666666666663"/>
    <n v="0.61111111111111116"/>
    <s v="Delivered UAT for parallel testing with open bugs-4467554(H),4462668(M),4462709(M)"/>
    <x v="3"/>
    <x v="3"/>
  </r>
  <r>
    <s v="SI DCTA "/>
    <x v="4"/>
    <x v="4"/>
    <s v="Kavi"/>
    <s v="As a myISP SA, I want to apply filter FFP Visible = False in addition to other filters while displaying Standard Role in staffing so that it is aligned with MMP standards"/>
    <n v="4393527"/>
    <s v="Manisa"/>
    <s v="Sathya"/>
    <x v="0"/>
    <x v="0"/>
    <s v="Completed"/>
    <s v="In Progress"/>
    <n v="41"/>
    <n v="27"/>
    <n v="0"/>
    <n v="27"/>
    <n v="1"/>
    <n v="0.75"/>
    <m/>
    <n v="13"/>
    <n v="0"/>
    <n v="0"/>
    <n v="14"/>
    <n v="27"/>
    <n v="0.48148148148148145"/>
    <n v="1"/>
    <m/>
    <x v="4"/>
    <x v="3"/>
  </r>
  <r>
    <s v="SI DCTA"/>
    <x v="4"/>
    <x v="4"/>
    <s v="Kavi"/>
    <s v="As a myISP SA, I want to add new columns in the DCTA JSON file so that dynamic target pricing can be computed"/>
    <n v="4377948"/>
    <s v="Manisa"/>
    <s v="Sathya"/>
    <x v="0"/>
    <x v="0"/>
    <s v="Completed"/>
    <s v="In Progress"/>
    <n v="53"/>
    <n v="27"/>
    <n v="0"/>
    <n v="27"/>
    <n v="1"/>
    <n v="0.85"/>
    <m/>
    <n v="7"/>
    <n v="0"/>
    <n v="0"/>
    <n v="20"/>
    <n v="27"/>
    <n v="0.25925925925925924"/>
    <n v="1"/>
    <m/>
    <x v="4"/>
    <x v="3"/>
  </r>
  <r>
    <s v="STD Role"/>
    <x v="4"/>
    <x v="4"/>
    <s v="Kavi"/>
    <s v="As a SA,I want the Profile city Tier field to auto-populate from the Rate Type column in the Staffing Baseline screen"/>
    <n v="4359188"/>
    <s v="Manisa"/>
    <s v="Sathya"/>
    <x v="0"/>
    <x v="0"/>
    <s v="Completed"/>
    <s v="In Progress"/>
    <n v="51"/>
    <n v="35"/>
    <n v="0"/>
    <n v="35"/>
    <n v="1"/>
    <n v="0.8"/>
    <m/>
    <n v="25"/>
    <n v="0"/>
    <n v="0"/>
    <n v="10"/>
    <n v="35"/>
    <n v="0.7142857142857143"/>
    <n v="1"/>
    <m/>
    <x v="5"/>
    <x v="3"/>
  </r>
  <r>
    <s v="STD Role"/>
    <x v="4"/>
    <x v="4"/>
    <s v="Kavi"/>
    <s v="As a SA, add Role Type field in Staffing Baseline (auto-populated from Std Location Type &amp; Service Group)"/>
    <n v="4359328"/>
    <s v="Sathya"/>
    <s v="Manisa"/>
    <x v="0"/>
    <x v="0"/>
    <s v="Completed"/>
    <s v="In Progress"/>
    <n v="65"/>
    <n v="51"/>
    <n v="0"/>
    <n v="51"/>
    <n v="1"/>
    <n v="0.8"/>
    <m/>
    <n v="20"/>
    <n v="5"/>
    <n v="0"/>
    <n v="26"/>
    <n v="51"/>
    <n v="0.49019607843137253"/>
    <n v="0.8"/>
    <s v="Bug-4462284(L),4462476(M),4465936(M)"/>
    <x v="5"/>
    <x v="3"/>
  </r>
  <r>
    <s v="STD Role"/>
    <x v="4"/>
    <x v="4"/>
    <s v="Kavi"/>
    <s v="As a SA I want to select standard role from an SSG-specific dropdown selection"/>
    <n v="4359507"/>
    <s v="Sathya"/>
    <s v="Manisa"/>
    <x v="0"/>
    <x v="0"/>
    <s v="Completed"/>
    <s v="In Progress"/>
    <n v="54"/>
    <n v="38"/>
    <n v="0"/>
    <n v="38"/>
    <n v="1"/>
    <n v="0.75"/>
    <m/>
    <n v="28"/>
    <n v="0"/>
    <n v="0"/>
    <n v="10"/>
    <n v="38"/>
    <n v="0.73684210526315785"/>
    <n v="1"/>
    <m/>
    <x v="5"/>
    <x v="3"/>
  </r>
  <r>
    <s v="PCW"/>
    <x v="3"/>
    <x v="3"/>
    <s v="Anand"/>
    <s v="API - Enhance the defaulting logics to populate 'Accenture Role/Rate' in offline MMP FFP Export"/>
    <n v="4368135"/>
    <s v="Sairam"/>
    <s v="Sneha"/>
    <x v="0"/>
    <x v="0"/>
    <s v="In Progress"/>
    <s v="In Progress"/>
    <n v="10"/>
    <n v="3"/>
    <n v="3"/>
    <n v="3"/>
    <n v="1"/>
    <n v="0.8"/>
    <m/>
    <n v="2"/>
    <n v="0"/>
    <n v="0"/>
    <n v="1"/>
    <n v="3"/>
    <n v="0.66666666666666663"/>
    <n v="1"/>
    <s v="Delivered to Parallol UAT"/>
    <x v="6"/>
    <x v="4"/>
  </r>
  <r>
    <s v="SI - PCW"/>
    <x v="4"/>
    <x v="4"/>
    <s v="Anand"/>
    <s v="API - Save the Technology Tier, Profile City Tier, Role Type, Technology Role and Standard Role from Staffing Baseline"/>
    <n v="4368224"/>
    <s v="Viji"/>
    <s v="Naveen S"/>
    <x v="0"/>
    <x v="0"/>
    <s v="In Progress"/>
    <s v="In Progress"/>
    <n v="44"/>
    <n v="11"/>
    <n v="8"/>
    <n v="11"/>
    <n v="1"/>
    <n v="1"/>
    <m/>
    <n v="6"/>
    <n v="2"/>
    <n v="0"/>
    <n v="2"/>
    <n v="10"/>
    <n v="0.8"/>
    <n v="0.75"/>
    <s v="Bug id : 4462520(M),4462534(M), Delivered to UAT for Parallel Testing"/>
    <x v="6"/>
    <x v="4"/>
  </r>
  <r>
    <s v="STD Role"/>
    <x v="4"/>
    <x v="4"/>
    <s v="Kavi"/>
    <s v="As a SA, add Role Type field in Staffing Baseline (auto-populated from Std Location Type &amp; Service Group) - OU changes"/>
    <n v="4368812"/>
    <s v="Sathya"/>
    <s v="Manisa"/>
    <x v="0"/>
    <x v="0"/>
    <s v="Completed"/>
    <s v="In Progress"/>
    <n v="61"/>
    <n v="42"/>
    <n v="0"/>
    <n v="42"/>
    <n v="1"/>
    <n v="0.8"/>
    <m/>
    <n v="15"/>
    <n v="3"/>
    <n v="0"/>
    <n v="24"/>
    <n v="42"/>
    <n v="0.42857142857142855"/>
    <n v="0.83333333333333337"/>
    <s v="Bug-4461770(M)"/>
    <x v="5"/>
    <x v="3"/>
  </r>
  <r>
    <s v="STD Role"/>
    <x v="4"/>
    <x v="4"/>
    <s v="Anand"/>
    <s v="As a SA I want to select standard role from an SSG-specific dropdown selection- OU changes"/>
    <n v="4368862"/>
    <s v="Viji"/>
    <s v="Sneha"/>
    <x v="0"/>
    <x v="0"/>
    <s v="In Progress"/>
    <s v="In Progress"/>
    <n v="42"/>
    <n v="12"/>
    <n v="8"/>
    <n v="8"/>
    <n v="1"/>
    <n v="0.9"/>
    <m/>
    <n v="5"/>
    <n v="0"/>
    <n v="0"/>
    <n v="3"/>
    <n v="8"/>
    <n v="0.625"/>
    <n v="1"/>
    <s v="Delivered to UAT for Parallel testing "/>
    <x v="5"/>
    <x v="3"/>
  </r>
  <r>
    <s v="SDL"/>
    <x v="5"/>
    <x v="5"/>
    <s v="Anand"/>
    <s v="As a Solution Architect, I want to see dynamic target pricing parameters in SDL SI DL regardless of rate card configuration"/>
    <n v="4371046"/>
    <s v="Sneha"/>
    <s v="Viji"/>
    <x v="0"/>
    <x v="0"/>
    <s v="Not Started"/>
    <s v="In Progress"/>
    <n v="30"/>
    <n v="8"/>
    <n v="13"/>
    <n v="13"/>
    <n v="0.7"/>
    <n v="0.7"/>
    <m/>
    <n v="7"/>
    <n v="1"/>
    <n v="0"/>
    <n v="3"/>
    <n v="11"/>
    <n v="0.72727272727272729"/>
    <n v="0.875"/>
    <s v="Delivered for parallel testing, Bug : 4465941 (M)"/>
    <x v="3"/>
    <x v="3"/>
  </r>
  <r>
    <s v="STD Role"/>
    <x v="4"/>
    <x v="4"/>
    <s v="Anand"/>
    <s v="As a SA, add Technology &amp; Standard Role columns in Staffing Baseline for auto-population/selection based on Tech Group &amp; SSG."/>
    <n v="4372847"/>
    <s v="Sneha"/>
    <s v="Naveen S"/>
    <x v="0"/>
    <x v="0"/>
    <s v="Not Started"/>
    <s v="In Progress"/>
    <n v="43"/>
    <n v="30"/>
    <n v="24"/>
    <n v="24"/>
    <n v="0.7"/>
    <n v="0.7"/>
    <m/>
    <n v="8"/>
    <n v="8"/>
    <n v="0"/>
    <n v="8"/>
    <n v="24"/>
    <n v="0.66666666666666663"/>
    <n v="0.5"/>
    <s v="Bug 4462287(M),Bug 4462311(L), Bug: 4462289 (H), Delivered for parallel testing"/>
    <x v="5"/>
    <x v="3"/>
  </r>
  <r>
    <s v="PCW"/>
    <x v="3"/>
    <x v="3"/>
    <s v="Anand"/>
    <s v="PCW - Pass Role Type column to API as an input filter parameter for defaulting logics of offline MMP FFP Export"/>
    <n v="4395067"/>
    <s v="Sairam"/>
    <s v="Naveen S"/>
    <x v="0"/>
    <x v="0"/>
    <s v="In Progress"/>
    <s v="In Progress"/>
    <n v="11"/>
    <n v="2"/>
    <n v="8"/>
    <n v="10"/>
    <n v="0.7"/>
    <n v="0.7"/>
    <m/>
    <n v="8"/>
    <n v="0"/>
    <n v="0"/>
    <n v="2"/>
    <n v="10"/>
    <n v="0.8"/>
    <n v="1"/>
    <s v="Delivered to Parallol UAT"/>
    <x v="7"/>
    <x v="4"/>
  </r>
  <r>
    <s v="Online SI"/>
    <x v="4"/>
    <x v="4"/>
    <s v="Anand"/>
    <s v="Rename existing 'Role Type' column in Staffing OU Template"/>
    <n v="4411451"/>
    <s v="Sairam"/>
    <s v="Sneha"/>
    <x v="0"/>
    <x v="0"/>
    <s v="In Progress"/>
    <s v="Completed"/>
    <n v="10"/>
    <n v="3"/>
    <n v="1"/>
    <n v="4"/>
    <n v="1"/>
    <n v="0.9"/>
    <m/>
    <n v="3"/>
    <n v="0"/>
    <n v="0"/>
    <n v="0"/>
    <n v="3"/>
    <n v="1"/>
    <n v="1"/>
    <s v="Delivered to UAT"/>
    <x v="8"/>
    <x v="3"/>
  </r>
  <r>
    <s v="SI - PCW"/>
    <x v="4"/>
    <x v="4"/>
    <s v="Anand"/>
    <s v="PCW - Add Technology Role and Standard Role Column in Staffing Baseline to populate the Roles of SI, CON-CAS"/>
    <n v="4381707"/>
    <s v="Naveen S"/>
    <s v="Viji"/>
    <x v="0"/>
    <x v="0"/>
    <s v="Not Started"/>
    <s v="In Progress"/>
    <n v="76"/>
    <n v="12"/>
    <n v="2"/>
    <n v="14"/>
    <n v="0.85719999999999996"/>
    <n v="1"/>
    <m/>
    <n v="8"/>
    <n v="3"/>
    <n v="0"/>
    <n v="3"/>
    <n v="14"/>
    <n v="0.7857142857142857"/>
    <n v="0.72727272727272729"/>
    <s v="Bug 4462540(H), Bug 4462512(M)"/>
    <x v="7"/>
    <x v="4"/>
  </r>
  <r>
    <s v="SI - PCW"/>
    <x v="4"/>
    <x v="4"/>
    <s v="Anand"/>
    <s v="PCW - Add Role Type Column in Staffing Baseline to populate the Role Types for SI, CON-CAS, AMS, IMS and BPMS"/>
    <n v="4386371"/>
    <s v="Naveen S"/>
    <s v="Sairam"/>
    <x v="0"/>
    <x v="0"/>
    <s v="Not Started"/>
    <s v="In Progress"/>
    <n v="71"/>
    <n v="17"/>
    <n v="0"/>
    <n v="17"/>
    <n v="1"/>
    <n v="1"/>
    <m/>
    <n v="9"/>
    <n v="0"/>
    <n v="0"/>
    <n v="4"/>
    <n v="13"/>
    <n v="0.69230769230769229"/>
    <n v="1"/>
    <s v="Delivered to UAT for Parallel testing "/>
    <x v="7"/>
    <x v="4"/>
  </r>
  <r>
    <s v="SI - PCW"/>
    <x v="4"/>
    <x v="4"/>
    <s v="Anand"/>
    <s v="PCW - Add Profile City Tier Column in Staffing Baseline to populate the Profile City Tier value for all profiles"/>
    <n v="4386372"/>
    <s v="Sneha"/>
    <s v="Viji"/>
    <x v="0"/>
    <x v="0"/>
    <s v="Not Started"/>
    <s v="Completed"/>
    <n v="37"/>
    <n v="15"/>
    <n v="20"/>
    <n v="20"/>
    <n v="0.8"/>
    <n v="0.8"/>
    <m/>
    <n v="20"/>
    <n v="0"/>
    <n v="0"/>
    <n v="0"/>
    <n v="20"/>
    <n v="1"/>
    <n v="1"/>
    <s v="Delivered to UAT"/>
    <x v="7"/>
    <x v="4"/>
  </r>
  <r>
    <s v="SI - PCW"/>
    <x v="4"/>
    <x v="4"/>
    <s v="Anand"/>
    <s v="PCW - Rename existing 'Role Type' column in PCW 8.7 Template and Show a warning message in PCW 8.6 template"/>
    <n v="4386373"/>
    <s v="Naveen S"/>
    <s v="Sairam"/>
    <x v="0"/>
    <x v="0"/>
    <s v="Not Started"/>
    <s v="In Progress"/>
    <n v="51"/>
    <n v="12"/>
    <n v="0"/>
    <n v="12"/>
    <n v="1"/>
    <n v="1"/>
    <m/>
    <n v="11"/>
    <n v="1"/>
    <n v="0"/>
    <n v="0"/>
    <n v="12"/>
    <n v="1"/>
    <n v="0.91666666666666663"/>
    <s v="Bug 4462585(M) Delivered to UAT for parallel testing"/>
    <x v="7"/>
    <x v="4"/>
  </r>
  <r>
    <s v="STD Role"/>
    <x v="4"/>
    <x v="4"/>
    <s v="Anand"/>
    <s v="As a SA, I want the Technology Tier field to auto-populate based on the selected Technology - OU Changes"/>
    <n v="4386942"/>
    <s v="Viji"/>
    <s v="Naveen S"/>
    <x v="0"/>
    <x v="0"/>
    <s v="In Progress"/>
    <s v="In Progress"/>
    <n v="35"/>
    <n v="11"/>
    <n v="5"/>
    <n v="8"/>
    <n v="1"/>
    <n v="0.8"/>
    <m/>
    <n v="7"/>
    <n v="1"/>
    <n v="0"/>
    <n v="0"/>
    <n v="8"/>
    <n v="1"/>
    <n v="0.875"/>
    <s v="Bug id : 4462256(M), 4462256(M), Delivered to UAT"/>
    <x v="8"/>
    <x v="3"/>
  </r>
  <r>
    <s v="STD Role"/>
    <x v="4"/>
    <x v="4"/>
    <s v="Anand"/>
    <s v="As a SA, auto-populate Profile City Tier from Rate Type in Staffing Baseline-OU Changes"/>
    <n v="4386944"/>
    <s v="Viji"/>
    <s v="Sneha"/>
    <x v="0"/>
    <x v="0"/>
    <s v="In Progress"/>
    <s v="Completed"/>
    <n v="40"/>
    <n v="10"/>
    <n v="5"/>
    <n v="9"/>
    <n v="1"/>
    <n v="1"/>
    <m/>
    <n v="9"/>
    <n v="0"/>
    <n v="0"/>
    <n v="0"/>
    <n v="9"/>
    <n v="1"/>
    <n v="1"/>
    <s v="Delivered to UAT "/>
    <x v="8"/>
    <x v="3"/>
  </r>
  <r>
    <s v="STD Role"/>
    <x v="4"/>
    <x v="4"/>
    <s v="Anand"/>
    <s v="As a SA, add Technology &amp; Standard Role columns in Staffing Baseline for auto-population/selection based on Tech Group &amp; SSG.- OU changes"/>
    <n v="4386945"/>
    <s v="Sneha"/>
    <s v="Sairam"/>
    <x v="0"/>
    <x v="0"/>
    <s v="Not Started"/>
    <s v="In Progress"/>
    <n v="54"/>
    <n v="20"/>
    <n v="26"/>
    <n v="26"/>
    <n v="0.8"/>
    <n v="0.8"/>
    <m/>
    <n v="16"/>
    <n v="6"/>
    <n v="0"/>
    <n v="4"/>
    <n v="26"/>
    <n v="0.84615384615384615"/>
    <n v="0.72727272727272729"/>
    <s v="Bug : 4465961 (H)"/>
    <x v="5"/>
    <x v="3"/>
  </r>
  <r>
    <s v="STD Role"/>
    <x v="4"/>
    <x v="4"/>
    <s v="Anand"/>
    <s v="As a SA, I want the Technology Tier field to auto-populate based on the selected Technology"/>
    <n v="4359294"/>
    <s v="Naveen S"/>
    <s v="Viji"/>
    <x v="0"/>
    <x v="0"/>
    <s v="Not Started"/>
    <s v="In Progress"/>
    <n v="53"/>
    <n v="10"/>
    <n v="0"/>
    <n v="10"/>
    <n v="1"/>
    <n v="1"/>
    <m/>
    <n v="2"/>
    <n v="0"/>
    <n v="0"/>
    <n v="8"/>
    <n v="10"/>
    <n v="0.2"/>
    <n v="1"/>
    <m/>
    <x v="5"/>
    <x v="3"/>
  </r>
  <r>
    <s v="Manage screen AMS VT Report link"/>
    <x v="6"/>
    <x v="6"/>
    <s v="Devika"/>
    <s v="As a AMS VT user, I want the AMSVT production URL to be updated in the Manage screen, So that the system redirects me to the correct AMSVT Link.."/>
    <n v="4446747"/>
    <s v="Alekhya"/>
    <s v="Chaitanya"/>
    <x v="0"/>
    <x v="0"/>
    <s v="Not Started"/>
    <s v="Completed"/>
    <n v="11"/>
    <n v="3"/>
    <n v="2"/>
    <n v="3"/>
    <n v="1"/>
    <n v="1"/>
    <m/>
    <n v="3"/>
    <n v="0"/>
    <n v="0"/>
    <n v="0"/>
    <n v="3"/>
    <n v="1"/>
    <n v="1"/>
    <m/>
    <x v="9"/>
    <x v="5"/>
  </r>
  <r>
    <s v="PMO reporting Layer"/>
    <x v="7"/>
    <x v="7"/>
    <s v="Devika"/>
    <s v="As a user of the PMO Reporting layer report, I want to add a new column as &quot;Mergers and Acquisitions&quot; in report, so that I can see the newly added column data directly in the report."/>
    <n v="4459023"/>
    <s v="Alekhya"/>
    <s v="Chaitanya"/>
    <x v="0"/>
    <x v="0"/>
    <s v="Not Started"/>
    <s v="Not Started"/>
    <n v="10"/>
    <n v="5"/>
    <n v="4"/>
    <n v="5"/>
    <n v="1"/>
    <n v="1"/>
    <m/>
    <n v="0"/>
    <n v="0"/>
    <n v="0"/>
    <n v="0"/>
    <n v="0"/>
    <n v="0"/>
    <n v="0"/>
    <m/>
    <x v="10"/>
    <x v="6"/>
  </r>
  <r>
    <s v="LCM COTS Enhancements"/>
    <x v="8"/>
    <x v="8"/>
    <s v="Vaidheki"/>
    <s v="SI KDA Enhancement - COTS App Replatform Support"/>
    <n v="4446805"/>
    <s v="Keerthana"/>
    <s v="Liharshini"/>
    <x v="1"/>
    <x v="2"/>
    <s v="Not Started"/>
    <s v="Not Started"/>
    <m/>
    <m/>
    <m/>
    <m/>
    <m/>
    <m/>
    <m/>
    <n v="0"/>
    <n v="0"/>
    <n v="0"/>
    <n v="0"/>
    <n v="0"/>
    <n v="0"/>
    <n v="0"/>
    <m/>
    <x v="11"/>
    <x v="7"/>
  </r>
  <r>
    <s v="LCM COTS Enhancements"/>
    <x v="8"/>
    <x v="8"/>
    <s v="Vaidheki"/>
    <s v="MMP FFP Resource Template - COTS App Replatform Handling"/>
    <n v="4446806"/>
    <s v="Keerthana"/>
    <s v="Liharshini"/>
    <x v="1"/>
    <x v="2"/>
    <s v="Not Started"/>
    <s v="Not Started"/>
    <m/>
    <m/>
    <m/>
    <m/>
    <m/>
    <m/>
    <m/>
    <n v="0"/>
    <n v="0"/>
    <n v="0"/>
    <n v="0"/>
    <n v="0"/>
    <n v="0"/>
    <n v="0"/>
    <m/>
    <x v="11"/>
    <x v="7"/>
  </r>
  <r>
    <s v="LCM COTS Enhancements"/>
    <x v="8"/>
    <x v="8"/>
    <s v="Vaidheki"/>
    <s v="PCW Integration - COTS App Replatform Support"/>
    <n v="4446807"/>
    <s v="Keerthana"/>
    <s v="Liharshini"/>
    <x v="1"/>
    <x v="2"/>
    <s v="Not Started"/>
    <s v="Not Started"/>
    <m/>
    <m/>
    <m/>
    <m/>
    <m/>
    <m/>
    <m/>
    <n v="0"/>
    <n v="0"/>
    <n v="0"/>
    <n v="0"/>
    <n v="0"/>
    <n v="0"/>
    <n v="0"/>
    <m/>
    <x v="11"/>
    <x v="7"/>
  </r>
  <r>
    <s v="LCM COTS Enhancements"/>
    <x v="8"/>
    <x v="8"/>
    <s v="Vaidheki"/>
    <s v="Reverse Order Logic - LCM Infrastructure Migration"/>
    <n v="4446808"/>
    <s v="Keerthana"/>
    <s v="Liharshini"/>
    <x v="1"/>
    <x v="2"/>
    <s v="Not Started"/>
    <s v="Not Started"/>
    <m/>
    <m/>
    <m/>
    <m/>
    <m/>
    <m/>
    <m/>
    <n v="0"/>
    <n v="0"/>
    <n v="0"/>
    <n v="0"/>
    <n v="0"/>
    <n v="0"/>
    <n v="0"/>
    <m/>
    <x v="11"/>
    <x v="7"/>
  </r>
  <r>
    <s v="LCM COTS Enhancements"/>
    <x v="8"/>
    <x v="8"/>
    <s v="Vaidheki"/>
    <s v="Reverse Order Logic Extension - LCM Infra Override"/>
    <n v="4446809"/>
    <s v="Keerthana"/>
    <s v="Liharshini"/>
    <x v="1"/>
    <x v="2"/>
    <s v="Not Started"/>
    <s v="Not Started"/>
    <m/>
    <m/>
    <m/>
    <m/>
    <m/>
    <m/>
    <m/>
    <n v="0"/>
    <n v="0"/>
    <n v="0"/>
    <n v="0"/>
    <n v="0"/>
    <n v="0"/>
    <n v="0"/>
    <m/>
    <x v="11"/>
    <x v="7"/>
  </r>
  <r>
    <s v="April MRDB"/>
    <x v="9"/>
    <x v="9"/>
    <s v="Vaidheki"/>
    <s v="Monthly MRDB - April'26 Release"/>
    <n v="4450477"/>
    <s v="Keerthana"/>
    <s v="Liharshini"/>
    <x v="1"/>
    <x v="2"/>
    <s v="Not Started"/>
    <s v="Not Started"/>
    <m/>
    <m/>
    <m/>
    <m/>
    <m/>
    <m/>
    <m/>
    <n v="0"/>
    <n v="0"/>
    <n v="0"/>
    <n v="0"/>
    <n v="0"/>
    <n v="0"/>
    <n v="0"/>
    <m/>
    <x v="11"/>
    <x v="7"/>
  </r>
  <r>
    <s v="DFD"/>
    <x v="10"/>
    <x v="10"/>
    <s v="Himanshu"/>
    <s v=" As a DFD requestor, I should get a Reinvention Partner dropdown in all the SA request forms"/>
    <n v="4458973"/>
    <s v="Anusha"/>
    <s v="Manjunath"/>
    <x v="0"/>
    <x v="0"/>
    <s v="Not Started"/>
    <s v="Not Started"/>
    <m/>
    <m/>
    <m/>
    <m/>
    <m/>
    <m/>
    <m/>
    <n v="0"/>
    <n v="0"/>
    <n v="0"/>
    <n v="25"/>
    <n v="25"/>
    <n v="0"/>
    <n v="0"/>
    <m/>
    <x v="12"/>
    <x v="8"/>
  </r>
  <r>
    <s v="DFD"/>
    <x v="10"/>
    <x v="10"/>
    <s v="Himanshu"/>
    <s v="AS a DFD requestor, I should get Reinvention partner field value in the existing SA requests"/>
    <n v="4458985"/>
    <s v="Manjunath"/>
    <s v="Anusha"/>
    <x v="0"/>
    <x v="0"/>
    <s v="Not Started"/>
    <s v="Not Started"/>
    <m/>
    <m/>
    <m/>
    <m/>
    <m/>
    <m/>
    <m/>
    <n v="0"/>
    <n v="0"/>
    <n v="0"/>
    <n v="23"/>
    <n v="23"/>
    <n v="0"/>
    <n v="0"/>
    <m/>
    <x v="12"/>
    <x v="8"/>
  </r>
  <r>
    <s v="DFD"/>
    <x v="10"/>
    <x v="10"/>
    <s v="Himanshu"/>
    <s v="As a DFD requestor, I should get Reinvention Partner field in SA mail templates when request is created/edited"/>
    <n v="4458995"/>
    <s v="Manjunath"/>
    <s v="Anusha"/>
    <x v="0"/>
    <x v="0"/>
    <s v="Not Started"/>
    <s v="Not Started"/>
    <m/>
    <m/>
    <m/>
    <m/>
    <m/>
    <m/>
    <m/>
    <n v="0"/>
    <n v="0"/>
    <n v="0"/>
    <n v="20"/>
    <n v="20"/>
    <n v="0"/>
    <n v="0"/>
    <m/>
    <x v="12"/>
    <x v="8"/>
  </r>
  <r>
    <s v="LCM COTS Enhancements"/>
    <x v="8"/>
    <x v="8"/>
    <s v="Vaidheki"/>
    <s v="LCM Infra Assessment - Questionnaire Update for Migration Type-Based Volume Selection"/>
    <n v="4446804"/>
    <m/>
    <m/>
    <x v="2"/>
    <x v="2"/>
    <s v="Not Started"/>
    <s v="Not Started"/>
    <m/>
    <m/>
    <m/>
    <m/>
    <m/>
    <m/>
    <m/>
    <n v="0"/>
    <n v="0"/>
    <n v="0"/>
    <n v="0"/>
    <n v="0"/>
    <n v="0"/>
    <n v="0"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s v="  "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  <r>
    <m/>
    <x v="11"/>
    <x v="11"/>
    <m/>
    <m/>
    <m/>
    <m/>
    <m/>
    <x v="3"/>
    <x v="3"/>
    <m/>
    <m/>
    <m/>
    <m/>
    <m/>
    <m/>
    <m/>
    <m/>
    <m/>
    <m/>
    <m/>
    <m/>
    <m/>
    <m/>
    <m/>
    <m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1780F-5482-4D41-A5AC-37C8B3457F4F}" name="PivotTable2" cacheId="18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J17" firstHeaderRow="0" firstDataRow="1" firstDataCol="2" rowPageCount="2" colPageCount="1"/>
  <pivotFields count="29">
    <pivotField compact="0" outline="0" showAll="0"/>
    <pivotField axis="axisRow" compact="0" outline="0" showAll="0" defaultSubtotal="0">
      <items count="13">
        <item x="2"/>
        <item x="11"/>
        <item m="1" x="12"/>
        <item x="8"/>
        <item x="9"/>
        <item x="0"/>
        <item x="3"/>
        <item x="4"/>
        <item x="5"/>
        <item x="6"/>
        <item x="7"/>
        <item x="10"/>
        <item x="1"/>
      </items>
    </pivotField>
    <pivotField axis="axisRow" compact="0" outline="0" showAll="0" defaultSubtotal="0">
      <items count="273">
        <item m="1" x="267"/>
        <item m="1" x="266"/>
        <item m="1" x="269"/>
        <item m="1" x="175"/>
        <item m="1" x="179"/>
        <item m="1" x="206"/>
        <item m="1" x="180"/>
        <item m="1" x="245"/>
        <item m="1" x="246"/>
        <item m="1" x="247"/>
        <item m="1" x="270"/>
        <item m="1" x="249"/>
        <item m="1" x="177"/>
        <item m="1" x="148"/>
        <item m="1" x="89"/>
        <item m="1" x="239"/>
        <item m="1" x="192"/>
        <item m="1" x="248"/>
        <item m="1" x="112"/>
        <item m="1" x="212"/>
        <item m="1" x="193"/>
        <item m="1" x="191"/>
        <item m="1" x="120"/>
        <item m="1" x="233"/>
        <item m="1" x="251"/>
        <item m="1" x="182"/>
        <item m="1" x="60"/>
        <item m="1" x="250"/>
        <item m="1" x="236"/>
        <item m="1" x="22"/>
        <item m="1" x="154"/>
        <item m="1" x="234"/>
        <item m="1" x="272"/>
        <item m="1" x="219"/>
        <item m="1" x="225"/>
        <item m="1" x="142"/>
        <item m="1" x="194"/>
        <item m="1" x="210"/>
        <item m="1" x="218"/>
        <item m="1" x="213"/>
        <item m="1" x="229"/>
        <item m="1" x="216"/>
        <item m="1" x="98"/>
        <item m="1" x="36"/>
        <item m="1" x="185"/>
        <item m="1" x="167"/>
        <item x="2"/>
        <item m="1" x="257"/>
        <item m="1" x="220"/>
        <item m="1" x="209"/>
        <item m="1" x="168"/>
        <item m="1" x="190"/>
        <item m="1" x="169"/>
        <item m="1" x="181"/>
        <item m="1" x="183"/>
        <item m="1" x="165"/>
        <item m="1" x="178"/>
        <item m="1" x="253"/>
        <item m="1" x="198"/>
        <item m="1" x="197"/>
        <item m="1" x="170"/>
        <item m="1" x="172"/>
        <item m="1" x="171"/>
        <item m="1" x="228"/>
        <item m="1" x="184"/>
        <item m="1" x="207"/>
        <item m="1" x="235"/>
        <item m="1" x="226"/>
        <item m="1" x="202"/>
        <item m="1" x="173"/>
        <item m="1" x="254"/>
        <item m="1" x="259"/>
        <item m="1" x="196"/>
        <item m="1" x="261"/>
        <item m="1" x="262"/>
        <item m="1" x="264"/>
        <item m="1" x="126"/>
        <item m="1" x="263"/>
        <item m="1" x="256"/>
        <item m="1" x="255"/>
        <item m="1" x="176"/>
        <item m="1" x="215"/>
        <item m="1" x="238"/>
        <item m="1" x="227"/>
        <item m="1" x="243"/>
        <item m="1" x="232"/>
        <item m="1" x="199"/>
        <item m="1" x="205"/>
        <item m="1" x="203"/>
        <item m="1" x="174"/>
        <item m="1" x="114"/>
        <item m="1" x="237"/>
        <item m="1" x="204"/>
        <item m="1" x="123"/>
        <item m="1" x="124"/>
        <item m="1" x="240"/>
        <item m="1" x="211"/>
        <item m="1" x="265"/>
        <item m="1" x="57"/>
        <item m="1" x="242"/>
        <item m="1" x="166"/>
        <item m="1" x="186"/>
        <item m="1" x="187"/>
        <item m="1" x="195"/>
        <item m="1" x="162"/>
        <item m="1" x="214"/>
        <item m="1" x="65"/>
        <item m="1" x="231"/>
        <item m="1" x="200"/>
        <item m="1" x="201"/>
        <item m="1" x="260"/>
        <item m="1" x="258"/>
        <item m="1" x="241"/>
        <item m="1" x="208"/>
        <item m="1" x="64"/>
        <item m="1" x="217"/>
        <item m="1" x="188"/>
        <item m="1" x="221"/>
        <item m="1" x="12"/>
        <item m="1" x="230"/>
        <item m="1" x="252"/>
        <item m="1" x="189"/>
        <item m="1" x="271"/>
        <item x="11"/>
        <item m="1" x="222"/>
        <item m="1" x="223"/>
        <item m="1" x="244"/>
        <item m="1" x="224"/>
        <item m="1" x="268"/>
        <item m="1" x="18"/>
        <item m="1" x="138"/>
        <item m="1" x="149"/>
        <item m="1" x="13"/>
        <item m="1" x="150"/>
        <item m="1" x="151"/>
        <item m="1" x="14"/>
        <item m="1" x="139"/>
        <item m="1" x="140"/>
        <item m="1" x="152"/>
        <item m="1" x="153"/>
        <item m="1" x="135"/>
        <item m="1" x="155"/>
        <item m="1" x="16"/>
        <item m="1" x="141"/>
        <item m="1" x="17"/>
        <item m="1" x="20"/>
        <item m="1" x="21"/>
        <item m="1" x="156"/>
        <item m="1" x="23"/>
        <item m="1" x="24"/>
        <item m="1" x="26"/>
        <item m="1" x="27"/>
        <item m="1" x="28"/>
        <item m="1" x="29"/>
        <item m="1" x="157"/>
        <item m="1" x="30"/>
        <item m="1" x="31"/>
        <item m="1" x="32"/>
        <item m="1" x="33"/>
        <item m="1" x="34"/>
        <item m="1" x="35"/>
        <item m="1" x="158"/>
        <item m="1" x="37"/>
        <item m="1" x="159"/>
        <item m="1" x="38"/>
        <item m="1" x="39"/>
        <item m="1" x="40"/>
        <item m="1" x="41"/>
        <item m="1" x="160"/>
        <item m="1" x="161"/>
        <item m="1" x="45"/>
        <item m="1" x="49"/>
        <item m="1" x="50"/>
        <item m="1" x="51"/>
        <item m="1" x="52"/>
        <item m="1" x="19"/>
        <item m="1" x="53"/>
        <item m="1" x="54"/>
        <item m="1" x="55"/>
        <item m="1" x="73"/>
        <item m="1" x="58"/>
        <item m="1" x="59"/>
        <item m="1" x="136"/>
        <item m="1" x="61"/>
        <item m="1" x="62"/>
        <item m="1" x="63"/>
        <item m="1" x="66"/>
        <item m="1" x="68"/>
        <item m="1" x="69"/>
        <item m="1" x="71"/>
        <item m="1" x="46"/>
        <item m="1" x="72"/>
        <item m="1" x="75"/>
        <item m="1" x="76"/>
        <item m="1" x="77"/>
        <item m="1" x="78"/>
        <item m="1" x="79"/>
        <item m="1" x="163"/>
        <item m="1" x="85"/>
        <item m="1" x="86"/>
        <item m="1" x="87"/>
        <item m="1" x="88"/>
        <item m="1" x="90"/>
        <item m="1" x="91"/>
        <item m="1" x="92"/>
        <item m="1" x="93"/>
        <item m="1" x="94"/>
        <item m="1" x="96"/>
        <item m="1" x="97"/>
        <item m="1" x="99"/>
        <item m="1" x="101"/>
        <item m="1" x="100"/>
        <item m="1" x="102"/>
        <item m="1" x="103"/>
        <item m="1" x="104"/>
        <item m="1" x="105"/>
        <item m="1" x="106"/>
        <item m="1" x="143"/>
        <item m="1" x="144"/>
        <item m="1" x="107"/>
        <item m="1" x="164"/>
        <item m="1" x="108"/>
        <item m="1" x="109"/>
        <item m="1" x="145"/>
        <item m="1" x="25"/>
        <item m="1" x="42"/>
        <item m="1" x="43"/>
        <item m="1" x="44"/>
        <item m="1" x="47"/>
        <item m="1" x="48"/>
        <item m="1" x="56"/>
        <item m="1" x="67"/>
        <item m="1" x="70"/>
        <item m="1" x="82"/>
        <item m="1" x="80"/>
        <item m="1" x="81"/>
        <item m="1" x="137"/>
        <item m="1" x="95"/>
        <item m="1" x="110"/>
        <item m="1" x="146"/>
        <item m="1" x="111"/>
        <item m="1" x="113"/>
        <item m="1" x="115"/>
        <item m="1" x="116"/>
        <item m="1" x="147"/>
        <item m="1" x="74"/>
        <item m="1" x="83"/>
        <item m="1" x="117"/>
        <item m="1" x="118"/>
        <item m="1" x="119"/>
        <item m="1" x="121"/>
        <item m="1" x="122"/>
        <item m="1" x="125"/>
        <item m="1" x="127"/>
        <item m="1" x="128"/>
        <item x="8"/>
        <item m="1" x="129"/>
        <item m="1" x="130"/>
        <item m="1" x="131"/>
        <item m="1" x="132"/>
        <item m="1" x="133"/>
        <item m="1" x="134"/>
        <item x="9"/>
        <item m="1" x="15"/>
        <item m="1" x="84"/>
        <item x="0"/>
        <item x="3"/>
        <item x="4"/>
        <item x="5"/>
        <item x="6"/>
        <item x="7"/>
        <item x="10"/>
        <item x="1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5">
        <item x="0"/>
        <item x="1"/>
        <item x="2"/>
        <item x="3"/>
        <item t="default"/>
      </items>
    </pivotField>
    <pivotField dataField="1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1"/>
        <item m="1" x="13"/>
        <item x="0"/>
        <item x="9"/>
        <item x="8"/>
        <item x="12"/>
        <item x="11"/>
        <item x="10"/>
        <item x="7"/>
        <item x="6"/>
        <item x="3"/>
        <item x="2"/>
        <item x="4"/>
        <item x="5"/>
        <item t="default"/>
      </items>
    </pivotField>
    <pivotField axis="axisPage" compact="0" outline="0" showAll="0">
      <items count="11">
        <item x="1"/>
        <item m="1" x="9"/>
        <item x="5"/>
        <item x="0"/>
        <item x="8"/>
        <item x="3"/>
        <item x="7"/>
        <item x="2"/>
        <item x="6"/>
        <item x="4"/>
        <item t="default"/>
      </items>
    </pivotField>
  </pivotFields>
  <rowFields count="2">
    <field x="2"/>
    <field x="1"/>
  </rowFields>
  <rowItems count="13">
    <i>
      <x v="46"/>
      <x/>
    </i>
    <i>
      <x v="123"/>
      <x v="1"/>
    </i>
    <i>
      <x v="255"/>
      <x v="3"/>
    </i>
    <i>
      <x v="262"/>
      <x v="4"/>
    </i>
    <i>
      <x v="265"/>
      <x v="5"/>
    </i>
    <i>
      <x v="266"/>
      <x v="6"/>
    </i>
    <i>
      <x v="267"/>
      <x v="7"/>
    </i>
    <i>
      <x v="268"/>
      <x v="8"/>
    </i>
    <i>
      <x v="269"/>
      <x v="9"/>
    </i>
    <i>
      <x v="270"/>
      <x v="10"/>
    </i>
    <i>
      <x v="271"/>
      <x v="11"/>
    </i>
    <i>
      <x v="272"/>
      <x v="1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27" hier="-1"/>
    <pageField fld="28" hier="-1"/>
  </pageFields>
  <dataFields count="8">
    <dataField name="Count of Title" fld="4" subtotal="count" baseField="0" baseItem="0"/>
    <dataField name="Count of Test Planning" fld="8" subtotal="count" baseField="0" baseItem="0"/>
    <dataField name="Count of BA Review" fld="9" subtotal="count" baseField="0" baseItem="0"/>
    <dataField name="Sum of Passed" fld="19" baseField="0" baseItem="0"/>
    <dataField name="Sum of Failed" fld="20" baseField="0" baseItem="0"/>
    <dataField name="Sum of Blocked" fld="21" baseField="0" baseItem="0"/>
    <dataField name="Sum of Not Run" fld="22" baseField="0" baseItem="0"/>
    <dataField name="Sum of Total" fld="23" baseField="0" baseItem="0"/>
  </dataFields>
  <formats count="57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" type="button" dataOnly="0" labelOnly="1" outline="0" axis="axisRow" fieldPosition="0"/>
    </format>
    <format dxfId="21">
      <pivotArea field="1" type="button" dataOnly="0" labelOnly="1" outline="0" axis="axisRow" fieldPosition="1"/>
    </format>
    <format dxfId="22">
      <pivotArea field="8" type="button" dataOnly="0" labelOnly="1" outline="0"/>
    </format>
    <format dxfId="23">
      <pivotArea field="9" type="button" dataOnly="0" labelOnly="1" outline="0"/>
    </format>
    <format dxfId="24">
      <pivotArea dataOnly="0" labelOnly="1" outline="0" fieldPosition="0">
        <references count="1">
          <reference field="2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5">
      <pivotArea dataOnly="0" labelOnly="1" outline="0" fieldPosition="0">
        <references count="1">
          <reference field="2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6">
      <pivotArea dataOnly="0" labelOnly="1" outline="0" fieldPosition="0">
        <references count="1">
          <reference field="2" count="25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">
      <pivotArea dataOnly="0" labelOnly="1" outline="0" fieldPosition="0">
        <references count="1">
          <reference field="2" count="25" defaultSubtotal="1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outline="0" fieldPosition="0">
        <references count="1">
          <reference field="2" count="2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29">
      <pivotArea dataOnly="0" labelOnly="1" outline="0" fieldPosition="0">
        <references count="1">
          <reference field="2" count="25" defaultSubtotal="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30">
      <pivotArea dataOnly="0" labelOnly="1" outline="0" fieldPosition="0">
        <references count="1">
          <reference field="2" count="25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1">
      <pivotArea dataOnly="0" labelOnly="1" outline="0" fieldPosition="0">
        <references count="1">
          <reference field="2" count="25" defaultSubtotal="1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2">
      <pivotArea dataOnly="0" labelOnly="1" outline="0" fieldPosition="0">
        <references count="1">
          <reference field="2" count="2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33">
      <pivotArea dataOnly="0" labelOnly="1" outline="0" fieldPosition="0">
        <references count="1">
          <reference field="2" count="24" defaultSubtotal="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6">
            <x v="0"/>
            <x v="3"/>
            <x v="4"/>
            <x v="5"/>
            <x v="6"/>
            <x v="7"/>
          </reference>
        </references>
      </pivotArea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" type="button" dataOnly="0" labelOnly="1" outline="0" axis="axisRow" fieldPosition="0"/>
    </format>
    <format dxfId="39">
      <pivotArea field="1" type="button" dataOnly="0" labelOnly="1" outline="0" axis="axisRow" fieldPosition="1"/>
    </format>
    <format dxfId="40">
      <pivotArea field="8" type="button" dataOnly="0" labelOnly="1" outline="0"/>
    </format>
    <format dxfId="41">
      <pivotArea field="9" type="button" dataOnly="0" labelOnly="1" outline="0"/>
    </format>
    <format dxfId="42">
      <pivotArea dataOnly="0" labelOnly="1" outline="0" fieldPosition="0">
        <references count="1">
          <reference field="2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3">
      <pivotArea dataOnly="0" labelOnly="1" outline="0" fieldPosition="0">
        <references count="1">
          <reference field="2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4">
      <pivotArea dataOnly="0" labelOnly="1" outline="0" fieldPosition="0">
        <references count="1">
          <reference field="2" count="25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5">
      <pivotArea dataOnly="0" labelOnly="1" outline="0" fieldPosition="0">
        <references count="1">
          <reference field="2" count="25" defaultSubtotal="1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6">
      <pivotArea dataOnly="0" labelOnly="1" outline="0" fieldPosition="0">
        <references count="1">
          <reference field="2" count="2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47">
      <pivotArea dataOnly="0" labelOnly="1" outline="0" fieldPosition="0">
        <references count="1">
          <reference field="2" count="25" defaultSubtotal="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48">
      <pivotArea dataOnly="0" labelOnly="1" outline="0" fieldPosition="0">
        <references count="1">
          <reference field="2" count="25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9">
      <pivotArea dataOnly="0" labelOnly="1" outline="0" fieldPosition="0">
        <references count="1">
          <reference field="2" count="25" defaultSubtotal="1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0">
      <pivotArea dataOnly="0" labelOnly="1" outline="0" fieldPosition="0">
        <references count="1">
          <reference field="2" count="2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51">
      <pivotArea dataOnly="0" labelOnly="1" outline="0" fieldPosition="0">
        <references count="1">
          <reference field="2" count="24" defaultSubtotal="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52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6">
            <x v="0"/>
            <x v="3"/>
            <x v="4"/>
            <x v="5"/>
            <x v="6"/>
            <x v="7"/>
          </reference>
        </references>
      </pivotArea>
    </format>
    <format dxfId="54">
      <pivotArea outline="0" collapsedLevelsAreSubtotals="1" fieldPosition="0"/>
    </format>
    <format dxfId="55">
      <pivotArea outline="0" collapsedLevelsAreSubtotals="1" fieldPosition="0"/>
    </format>
    <format dxfId="56">
      <pivotArea grandRow="1" outline="0" collapsedLevelsAreSubtotals="1" fieldPosition="0"/>
    </format>
    <format dxfId="57">
      <pivotArea dataOnly="0" labelOnly="1" grandRow="1" outline="0" fieldPosition="0"/>
    </format>
    <format dxfId="58">
      <pivotArea grandRow="1" outline="0" collapsedLevelsAreSubtotals="1" fieldPosition="0"/>
    </format>
    <format dxfId="59">
      <pivotArea dataOnly="0" labelOnly="1" grandRow="1" outline="0" fieldPosition="0"/>
    </format>
    <format dxfId="60">
      <pivotArea field="2" type="button" dataOnly="0" labelOnly="1" outline="0" axis="axisRow" fieldPosition="0"/>
    </format>
    <format dxfId="61">
      <pivotArea field="1" type="button" dataOnly="0" labelOnly="1" outline="0" axis="axisRow" fieldPosition="1"/>
    </format>
    <format dxfId="6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3">
      <pivotArea field="2" type="button" dataOnly="0" labelOnly="1" outline="0" axis="axisRow" fieldPosition="0"/>
    </format>
    <format dxfId="64">
      <pivotArea field="1" type="button" dataOnly="0" labelOnly="1" outline="0" axis="axisRow" fieldPosition="1"/>
    </format>
    <format dxfId="6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2" type="button" dataOnly="0" labelOnly="1" outline="0" axis="axisRow" fieldPosition="0"/>
    </format>
    <format dxfId="69">
      <pivotArea field="1" type="button" dataOnly="0" labelOnly="1" outline="0" axis="axisRow" fieldPosition="1"/>
    </format>
    <format dxfId="70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1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72">
      <pivotArea dataOnly="0" labelOnly="1" outline="0" fieldPosition="0">
        <references count="1">
          <reference field="2" count="23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73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.azure.com/accenturecio08/AutomationProcess_29697/_workitems/edit/4372847/?view=edit" TargetMode="External"/><Relationship Id="rId18" Type="http://schemas.openxmlformats.org/officeDocument/2006/relationships/hyperlink" Target="https://dev.azure.com/accenturecio08/AutomationProcess_29697/_workitems/edit/4368135/?view=edit" TargetMode="External"/><Relationship Id="rId26" Type="http://schemas.openxmlformats.org/officeDocument/2006/relationships/hyperlink" Target="https://dev.azure.com/accenturecio08/AutomationProcess_29697/_workitems/edit/4362582/?view=edit" TargetMode="External"/><Relationship Id="rId3" Type="http://schemas.openxmlformats.org/officeDocument/2006/relationships/hyperlink" Target="https://dev.azure.com/accenturecio08/AutomationProcess_29697/_workitems/edit/4359294/?view=edit" TargetMode="External"/><Relationship Id="rId21" Type="http://schemas.openxmlformats.org/officeDocument/2006/relationships/hyperlink" Target="https://dev.azure.com/accenturecio08/AutomationProcess_29697/_workitems/edit/4359188/?view=edit" TargetMode="External"/><Relationship Id="rId7" Type="http://schemas.openxmlformats.org/officeDocument/2006/relationships/hyperlink" Target="https://dev.azure.com/accenturecio08/AutomationProcess_29697/_workitems/edit/4386373/?view=edit" TargetMode="External"/><Relationship Id="rId12" Type="http://schemas.openxmlformats.org/officeDocument/2006/relationships/hyperlink" Target="https://dev.azure.com/accenturecio08/AutomationProcess_29697/_workitems/edit/4395067/?view=edit" TargetMode="External"/><Relationship Id="rId17" Type="http://schemas.openxmlformats.org/officeDocument/2006/relationships/hyperlink" Target="https://dev.azure.com/accenturecio08/AutomationProcess_29697/_workitems/edit/4368224/?view=edit" TargetMode="External"/><Relationship Id="rId25" Type="http://schemas.openxmlformats.org/officeDocument/2006/relationships/hyperlink" Target="https://dev.azure.com/accenturecio08/AutomationProcess_29697/_workitems/edit/4362592/?view=edit" TargetMode="External"/><Relationship Id="rId33" Type="http://schemas.microsoft.com/office/2019/04/relationships/namedSheetView" Target="../namedSheetViews/namedSheetView1.xml"/><Relationship Id="rId2" Type="http://schemas.openxmlformats.org/officeDocument/2006/relationships/hyperlink" Target="https://dev.azure.com/accenturecio08/AutomationProcess_29697/_workitems/edit/4446747" TargetMode="External"/><Relationship Id="rId16" Type="http://schemas.openxmlformats.org/officeDocument/2006/relationships/hyperlink" Target="https://dev.azure.com/accenturecio08/AutomationProcess_29697/_workitems/edit/4368812/?view=edit" TargetMode="External"/><Relationship Id="rId20" Type="http://schemas.openxmlformats.org/officeDocument/2006/relationships/hyperlink" Target="https://dev.azure.com/accenturecio08/AutomationProcess_29697/_workitems/edit/4359328/?view=edit" TargetMode="External"/><Relationship Id="rId29" Type="http://schemas.openxmlformats.org/officeDocument/2006/relationships/hyperlink" Target="https://dev.azure.com/accenturecio08/AutomationProcess_29697/_workitems/edit/4429519/?view=edit" TargetMode="External"/><Relationship Id="rId1" Type="http://schemas.openxmlformats.org/officeDocument/2006/relationships/hyperlink" Target="https://dev.azure.com/accenturecio08/AutomationProcess_29697/_workitems/edit/4459023" TargetMode="External"/><Relationship Id="rId6" Type="http://schemas.openxmlformats.org/officeDocument/2006/relationships/hyperlink" Target="https://dev.azure.com/accenturecio08/AutomationProcess_29697/_workitems/edit/4386942/?view=edit" TargetMode="External"/><Relationship Id="rId11" Type="http://schemas.openxmlformats.org/officeDocument/2006/relationships/hyperlink" Target="https://dev.azure.com/accenturecio08/AutomationProcess_29697/_workitems/edit/4411451/?view=edit" TargetMode="External"/><Relationship Id="rId24" Type="http://schemas.openxmlformats.org/officeDocument/2006/relationships/hyperlink" Target="https://dev.azure.com/accenturecio08/AutomationProcess_29697/_workitems/edit/4391224/?view=edit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dev.azure.com/accenturecio08/AutomationProcess_29697/_workitems/edit/4386944/?view=edit" TargetMode="External"/><Relationship Id="rId15" Type="http://schemas.openxmlformats.org/officeDocument/2006/relationships/hyperlink" Target="https://dev.azure.com/accenturecio08/AutomationProcess_29697/_workitems/edit/4368862/?view=edit" TargetMode="External"/><Relationship Id="rId23" Type="http://schemas.openxmlformats.org/officeDocument/2006/relationships/hyperlink" Target="https://dev.azure.com/accenturecio08/AutomationProcess_29697/_workitems/edit/4393527/?view=edit" TargetMode="External"/><Relationship Id="rId28" Type="http://schemas.openxmlformats.org/officeDocument/2006/relationships/hyperlink" Target="https://dev.azure.com/accenturecio08/AutomationProcess_29697/_workitems/edit/4429521/?view=edit" TargetMode="External"/><Relationship Id="rId10" Type="http://schemas.openxmlformats.org/officeDocument/2006/relationships/hyperlink" Target="https://dev.azure.com/accenturecio08/AutomationProcess_29697/_workitems/edit/4381707/?view=edit" TargetMode="External"/><Relationship Id="rId19" Type="http://schemas.openxmlformats.org/officeDocument/2006/relationships/hyperlink" Target="https://dev.azure.com/accenturecio08/AutomationProcess_29697/_workitems/edit/4359507/?view=edit" TargetMode="External"/><Relationship Id="rId31" Type="http://schemas.openxmlformats.org/officeDocument/2006/relationships/hyperlink" Target="https://dev.azure.com/accenturecio08/AutomationProcess_29697/_workitems/edit/4446804" TargetMode="External"/><Relationship Id="rId4" Type="http://schemas.openxmlformats.org/officeDocument/2006/relationships/hyperlink" Target="https://dev.azure.com/accenturecio08/AutomationProcess_29697/_workitems/edit/4386945/?view=edit" TargetMode="External"/><Relationship Id="rId9" Type="http://schemas.openxmlformats.org/officeDocument/2006/relationships/hyperlink" Target="https://dev.azure.com/accenturecio08/AutomationProcess_29697/_workitems/edit/4386371/?view=edit" TargetMode="External"/><Relationship Id="rId14" Type="http://schemas.openxmlformats.org/officeDocument/2006/relationships/hyperlink" Target="https://dev.azure.com/accenturecio08/AutomationProcess_29697/_workitems/edit/4371046/?view=edit" TargetMode="External"/><Relationship Id="rId22" Type="http://schemas.openxmlformats.org/officeDocument/2006/relationships/hyperlink" Target="https://dev.azure.com/accenturecio08/AutomationProcess_29697/_workitems/edit/4377948/?view=edit" TargetMode="External"/><Relationship Id="rId27" Type="http://schemas.openxmlformats.org/officeDocument/2006/relationships/hyperlink" Target="https://dev.azure.com/accenturecio08/AutomationProcess_29697/_workitems/edit/4429530/?view=edit" TargetMode="External"/><Relationship Id="rId30" Type="http://schemas.openxmlformats.org/officeDocument/2006/relationships/hyperlink" Target="https://dev.azure.com/accenturecio08/AutomationProcess_29697/_workitems/edit/4429413/?view=edit" TargetMode="External"/><Relationship Id="rId8" Type="http://schemas.openxmlformats.org/officeDocument/2006/relationships/hyperlink" Target="https://dev.azure.com/accenturecio08/AutomationProcess_29697/_workitems/edit/4386372/?view=edi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ccenture--apragltst.sandbox.my.salesforce.com/" TargetMode="External"/><Relationship Id="rId3" Type="http://schemas.openxmlformats.org/officeDocument/2006/relationships/hyperlink" Target="https://myispims-opsstage.ciostage.accenture.com/" TargetMode="External"/><Relationship Id="rId7" Type="http://schemas.openxmlformats.org/officeDocument/2006/relationships/hyperlink" Target="https://accenture--q2stg.sandbox.lightning.force.com/l" TargetMode="External"/><Relationship Id="rId2" Type="http://schemas.openxmlformats.org/officeDocument/2006/relationships/hyperlink" Target="https://myispnextgen-uat.ciotest.accenture.com/" TargetMode="External"/><Relationship Id="rId1" Type="http://schemas.openxmlformats.org/officeDocument/2006/relationships/hyperlink" Target="https://myispnextgen.ciostage.accenture.com/" TargetMode="External"/><Relationship Id="rId6" Type="http://schemas.openxmlformats.org/officeDocument/2006/relationships/hyperlink" Target="https://myispnextgen-uat.ciotest.accenture.com/" TargetMode="External"/><Relationship Id="rId5" Type="http://schemas.openxmlformats.org/officeDocument/2006/relationships/hyperlink" Target="https://myispnextgen.ciostage.accenture.com/" TargetMode="External"/><Relationship Id="rId4" Type="http://schemas.openxmlformats.org/officeDocument/2006/relationships/hyperlink" Target="https://bpmssolutionestimator.myisppt2.accentur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D040-5E80-4FCE-895F-67D1063A3201}">
  <dimension ref="A1:I2"/>
  <sheetViews>
    <sheetView workbookViewId="0">
      <selection activeCell="B3" sqref="B3"/>
    </sheetView>
  </sheetViews>
  <sheetFormatPr defaultColWidth="15" defaultRowHeight="14.45"/>
  <sheetData>
    <row r="1" spans="1:9" ht="24.6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21" customHeight="1">
      <c r="A2" s="5">
        <v>46104</v>
      </c>
      <c r="B2" s="5">
        <v>46119</v>
      </c>
      <c r="C2" s="5">
        <v>46122</v>
      </c>
      <c r="D2" s="5">
        <v>46127</v>
      </c>
      <c r="E2" s="5">
        <v>46127</v>
      </c>
      <c r="F2" s="5">
        <v>46128</v>
      </c>
      <c r="G2" s="5">
        <v>46126</v>
      </c>
      <c r="H2" s="5">
        <v>46128</v>
      </c>
      <c r="I2" s="5">
        <v>46130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0070-D89D-45C4-9B95-2EC2400183B0}">
  <sheetPr filterMode="1">
    <tabColor rgb="FF00B050"/>
  </sheetPr>
  <dimension ref="A1:AD495"/>
  <sheetViews>
    <sheetView tabSelected="1" topLeftCell="C1" workbookViewId="0">
      <pane ySplit="1" topLeftCell="A19" activePane="bottomLeft" state="frozen"/>
      <selection pane="bottomLeft" activeCell="E34" sqref="E34"/>
      <selection activeCell="E1" sqref="E1"/>
    </sheetView>
  </sheetViews>
  <sheetFormatPr defaultColWidth="9.140625" defaultRowHeight="12"/>
  <cols>
    <col min="1" max="1" width="24.85546875" style="16" customWidth="1"/>
    <col min="2" max="2" width="25.5703125" style="16" customWidth="1"/>
    <col min="3" max="3" width="10" style="16" customWidth="1"/>
    <col min="4" max="4" width="10.140625" style="16" customWidth="1"/>
    <col min="5" max="5" width="51.28515625" style="18" customWidth="1"/>
    <col min="6" max="6" width="16.85546875" style="29" customWidth="1"/>
    <col min="7" max="7" width="20.140625" style="17" customWidth="1"/>
    <col min="8" max="8" width="14.42578125" style="16" customWidth="1"/>
    <col min="9" max="9" width="9.140625" style="16" customWidth="1"/>
    <col min="10" max="10" width="9.140625" style="16" bestFit="1" customWidth="1"/>
    <col min="11" max="11" width="10.42578125" style="16" customWidth="1"/>
    <col min="12" max="12" width="10.42578125" style="16" bestFit="1" customWidth="1"/>
    <col min="13" max="13" width="31.85546875" style="75" bestFit="1" customWidth="1"/>
    <col min="14" max="14" width="29.140625" style="75" bestFit="1" customWidth="1"/>
    <col min="15" max="15" width="29.140625" style="75" customWidth="1"/>
    <col min="16" max="16" width="22.42578125" style="75" customWidth="1"/>
    <col min="17" max="18" width="22.42578125" style="74" customWidth="1"/>
    <col min="19" max="19" width="17.140625" style="16" customWidth="1"/>
    <col min="20" max="26" width="9.140625" style="16"/>
    <col min="27" max="27" width="43.42578125" style="16" customWidth="1"/>
    <col min="28" max="28" width="24.42578125" style="16" customWidth="1"/>
    <col min="29" max="29" width="18.42578125" style="16" customWidth="1"/>
    <col min="30" max="16384" width="9.140625" style="16"/>
  </cols>
  <sheetData>
    <row r="1" spans="1:30" s="15" customFormat="1">
      <c r="A1" s="38" t="s">
        <v>9</v>
      </c>
      <c r="B1" s="38" t="s">
        <v>10</v>
      </c>
      <c r="C1" s="38" t="s">
        <v>11</v>
      </c>
      <c r="D1" s="39" t="s">
        <v>12</v>
      </c>
      <c r="E1" s="120" t="s">
        <v>13</v>
      </c>
      <c r="F1" s="183" t="s">
        <v>14</v>
      </c>
      <c r="G1" s="39" t="s">
        <v>15</v>
      </c>
      <c r="H1" s="39" t="s">
        <v>16</v>
      </c>
      <c r="I1" s="40" t="s">
        <v>17</v>
      </c>
      <c r="J1" s="40" t="s">
        <v>18</v>
      </c>
      <c r="K1" s="40" t="s">
        <v>19</v>
      </c>
      <c r="L1" s="40" t="s">
        <v>20</v>
      </c>
      <c r="M1" s="112" t="s">
        <v>21</v>
      </c>
      <c r="N1" s="112" t="s">
        <v>22</v>
      </c>
      <c r="O1" s="112" t="s">
        <v>23</v>
      </c>
      <c r="P1" s="112" t="s">
        <v>24</v>
      </c>
      <c r="Q1" s="73" t="s">
        <v>25</v>
      </c>
      <c r="R1" s="73" t="s">
        <v>26</v>
      </c>
      <c r="S1" s="41" t="s">
        <v>27</v>
      </c>
      <c r="T1" s="42" t="s">
        <v>28</v>
      </c>
      <c r="U1" s="42" t="s">
        <v>29</v>
      </c>
      <c r="V1" s="42" t="s">
        <v>30</v>
      </c>
      <c r="W1" s="42" t="s">
        <v>31</v>
      </c>
      <c r="X1" s="43" t="s">
        <v>32</v>
      </c>
      <c r="Y1" s="44" t="s">
        <v>33</v>
      </c>
      <c r="Z1" s="44" t="s">
        <v>34</v>
      </c>
      <c r="AA1" s="40" t="s">
        <v>35</v>
      </c>
      <c r="AB1" s="45" t="s">
        <v>36</v>
      </c>
      <c r="AC1" s="45" t="s">
        <v>37</v>
      </c>
      <c r="AD1" s="20"/>
    </row>
    <row r="2" spans="1:30" hidden="1">
      <c r="A2" s="21" t="str">
        <f>_xlfn.XLOOKUP(F2,'TFS Details'!F:F,'TFS Details'!D:D)</f>
        <v>Drop 3 - Angular upgrade v19 to v21</v>
      </c>
      <c r="B2" s="21" t="str">
        <f>_xlfn.XLOOKUP(F2,'TFS Details'!F:F,'TFS Details'!A:A)</f>
        <v>Angular upgrade version 19 to version 21 - 18th April</v>
      </c>
      <c r="C2" s="46">
        <f>_xlfn.XLOOKUP(F2,'TFS Details'!F:F,'TFS Details'!E:E)</f>
        <v>4429397</v>
      </c>
      <c r="D2" s="160" t="s">
        <v>38</v>
      </c>
      <c r="E2" s="155" t="s">
        <v>39</v>
      </c>
      <c r="F2" s="78">
        <v>4429413</v>
      </c>
      <c r="G2" s="66" t="s">
        <v>40</v>
      </c>
      <c r="H2" s="66"/>
      <c r="I2" s="16" t="s">
        <v>41</v>
      </c>
      <c r="J2" s="16" t="s">
        <v>41</v>
      </c>
      <c r="K2" s="16" t="s">
        <v>41</v>
      </c>
      <c r="L2" s="16" t="s">
        <v>41</v>
      </c>
      <c r="M2" s="121">
        <v>48</v>
      </c>
      <c r="N2" s="121">
        <v>10</v>
      </c>
      <c r="O2" s="121">
        <v>14</v>
      </c>
      <c r="P2" s="121">
        <v>24</v>
      </c>
      <c r="Q2" s="101">
        <v>0.4</v>
      </c>
      <c r="R2" s="100">
        <v>0.4</v>
      </c>
      <c r="S2" s="22"/>
      <c r="T2" s="35">
        <v>20</v>
      </c>
      <c r="U2" s="35">
        <v>0</v>
      </c>
      <c r="V2" s="35">
        <v>0</v>
      </c>
      <c r="W2" s="35">
        <v>0</v>
      </c>
      <c r="X2" s="31">
        <f t="shared" ref="X2:X33" si="0">SUM(T2:W2)</f>
        <v>20</v>
      </c>
      <c r="Y2" s="32">
        <f>IF(T2+U2=0,0,SUM(T2:U2)/X2)</f>
        <v>1</v>
      </c>
      <c r="Z2" s="32">
        <f>IF(T2=0,0,T2/(SUM(T2:V2)))</f>
        <v>1</v>
      </c>
      <c r="AA2" s="22"/>
      <c r="AB2" s="155" t="str">
        <f>_xlfn.XLOOKUP(F2,'TFS Details'!F:F,'TFS Details'!I:I)</f>
        <v>MYISP_Revamp_UI</v>
      </c>
      <c r="AC2" s="155" t="str">
        <f>_xlfn.XLOOKUP(AB2,'TFS Details'!I:I,'TFS Details'!AE:AE)</f>
        <v>vikrant.r.mohite</v>
      </c>
    </row>
    <row r="3" spans="1:30" hidden="1">
      <c r="A3" s="21" t="str">
        <f>_xlfn.XLOOKUP(F3,'TFS Details'!F:F,'TFS Details'!D:D)</f>
        <v>Drop 3 - Angular upgrade v19 to v21</v>
      </c>
      <c r="B3" s="21" t="str">
        <f>_xlfn.XLOOKUP(F3,'TFS Details'!F:F,'TFS Details'!A:A)</f>
        <v>Angular upgrade version 19 to version 21 - 18th April</v>
      </c>
      <c r="C3" s="46">
        <f>_xlfn.XLOOKUP(F3,'TFS Details'!F:F,'TFS Details'!E:E)</f>
        <v>4429397</v>
      </c>
      <c r="D3" s="160" t="s">
        <v>42</v>
      </c>
      <c r="E3" s="155" t="s">
        <v>43</v>
      </c>
      <c r="F3" s="78">
        <v>4429519</v>
      </c>
      <c r="G3" s="66" t="s">
        <v>44</v>
      </c>
      <c r="H3" s="66"/>
      <c r="I3" s="16" t="s">
        <v>41</v>
      </c>
      <c r="J3" s="16" t="s">
        <v>45</v>
      </c>
      <c r="K3" s="16" t="s">
        <v>46</v>
      </c>
      <c r="L3" s="16" t="s">
        <v>45</v>
      </c>
      <c r="M3" s="121">
        <v>15</v>
      </c>
      <c r="N3" s="121">
        <v>10</v>
      </c>
      <c r="O3" s="121">
        <v>0</v>
      </c>
      <c r="P3" s="121">
        <v>10</v>
      </c>
      <c r="Q3" s="101">
        <v>0.95</v>
      </c>
      <c r="R3" s="101">
        <v>0.95</v>
      </c>
      <c r="S3" s="22"/>
      <c r="T3" s="35">
        <v>6</v>
      </c>
      <c r="U3" s="35">
        <v>0</v>
      </c>
      <c r="V3" s="35">
        <v>0</v>
      </c>
      <c r="W3" s="35">
        <v>4</v>
      </c>
      <c r="X3" s="31">
        <v>10</v>
      </c>
      <c r="Y3" s="32">
        <f t="shared" ref="Y3:Y46" si="1">IF(T3+U3=0,0,SUM(T3:U3)/X3)</f>
        <v>0.6</v>
      </c>
      <c r="Z3" s="32">
        <f t="shared" ref="Z3:Z46" si="2">IF(T3=0,0,T3/(SUM(T3:V3)))</f>
        <v>1</v>
      </c>
      <c r="AA3" s="22"/>
      <c r="AB3" s="155" t="str">
        <f>_xlfn.XLOOKUP(F3,'TFS Details'!F:F,'TFS Details'!I:I)</f>
        <v>MYISP_Revamp_UI</v>
      </c>
      <c r="AC3" s="155" t="str">
        <f>_xlfn.XLOOKUP(AB3,'TFS Details'!I:I,'TFS Details'!AE:AE)</f>
        <v>vikrant.r.mohite</v>
      </c>
    </row>
    <row r="4" spans="1:30" hidden="1">
      <c r="A4" s="21" t="str">
        <f>_xlfn.XLOOKUP(F4,'TFS Details'!F:F,'TFS Details'!D:D)</f>
        <v>Drop 3 - Angular upgrade v19 to v21</v>
      </c>
      <c r="B4" s="21" t="str">
        <f>_xlfn.XLOOKUP(F4,'TFS Details'!F:F,'TFS Details'!A:A)</f>
        <v>Angular upgrade version 19 to version 21 - 18th April</v>
      </c>
      <c r="C4" s="46">
        <f>_xlfn.XLOOKUP(F4,'TFS Details'!F:F,'TFS Details'!E:E)</f>
        <v>4429397</v>
      </c>
      <c r="D4" s="160" t="s">
        <v>47</v>
      </c>
      <c r="E4" s="155" t="s">
        <v>48</v>
      </c>
      <c r="F4" s="78">
        <v>4429521</v>
      </c>
      <c r="G4" s="66" t="s">
        <v>49</v>
      </c>
      <c r="H4" s="66" t="s">
        <v>50</v>
      </c>
      <c r="I4" s="16" t="s">
        <v>41</v>
      </c>
      <c r="J4" s="16" t="s">
        <v>41</v>
      </c>
      <c r="K4" s="16" t="s">
        <v>45</v>
      </c>
      <c r="L4" s="16" t="s">
        <v>45</v>
      </c>
      <c r="M4" s="121">
        <v>40</v>
      </c>
      <c r="N4" s="121">
        <v>40</v>
      </c>
      <c r="O4" s="121">
        <v>0</v>
      </c>
      <c r="P4" s="121">
        <v>40</v>
      </c>
      <c r="Q4" s="101">
        <v>1</v>
      </c>
      <c r="R4" s="101">
        <v>1</v>
      </c>
      <c r="S4" s="22"/>
      <c r="T4" s="35">
        <v>28</v>
      </c>
      <c r="U4" s="35">
        <v>0</v>
      </c>
      <c r="V4" s="35">
        <v>0</v>
      </c>
      <c r="W4" s="35">
        <v>12</v>
      </c>
      <c r="X4" s="31">
        <v>40</v>
      </c>
      <c r="Y4" s="32">
        <f t="shared" si="1"/>
        <v>0.7</v>
      </c>
      <c r="Z4" s="32">
        <f t="shared" si="2"/>
        <v>1</v>
      </c>
      <c r="AA4" s="89"/>
      <c r="AB4" s="155" t="str">
        <f>_xlfn.XLOOKUP(F4,'TFS Details'!F:F,'TFS Details'!I:I)</f>
        <v>MYISP_Revamp_UI</v>
      </c>
      <c r="AC4" s="155" t="str">
        <f>_xlfn.XLOOKUP(AB4,'TFS Details'!I:I,'TFS Details'!AE:AE)</f>
        <v>vikrant.r.mohite</v>
      </c>
    </row>
    <row r="5" spans="1:30" ht="15.75" hidden="1" customHeight="1">
      <c r="A5" s="21" t="str">
        <f>_xlfn.XLOOKUP(F5,'TFS Details'!F:F,'TFS Details'!D:D)</f>
        <v>Drop 3 - Angular upgrade v19 to v21</v>
      </c>
      <c r="B5" s="21" t="str">
        <f>_xlfn.XLOOKUP(F5,'TFS Details'!F:F,'TFS Details'!A:A)</f>
        <v>Angular upgrade version 19 to version 21 - 18th April</v>
      </c>
      <c r="C5" s="46">
        <f>_xlfn.XLOOKUP(F5,'TFS Details'!F:F,'TFS Details'!E:E)</f>
        <v>4429397</v>
      </c>
      <c r="D5" s="160" t="s">
        <v>51</v>
      </c>
      <c r="E5" s="155" t="s">
        <v>52</v>
      </c>
      <c r="F5" s="78">
        <v>4429530</v>
      </c>
      <c r="G5" s="66" t="s">
        <v>53</v>
      </c>
      <c r="H5" s="66" t="s">
        <v>54</v>
      </c>
      <c r="I5" s="16" t="s">
        <v>41</v>
      </c>
      <c r="J5" s="16" t="s">
        <v>41</v>
      </c>
      <c r="K5" s="16" t="s">
        <v>46</v>
      </c>
      <c r="L5" s="16" t="s">
        <v>45</v>
      </c>
      <c r="M5" s="121">
        <v>26</v>
      </c>
      <c r="N5" s="121">
        <v>17</v>
      </c>
      <c r="O5" s="121">
        <v>17</v>
      </c>
      <c r="P5" s="121">
        <v>17</v>
      </c>
      <c r="Q5" s="101">
        <v>0.9</v>
      </c>
      <c r="R5" s="101">
        <v>0.9</v>
      </c>
      <c r="S5" s="22"/>
      <c r="T5" s="35">
        <v>13</v>
      </c>
      <c r="U5" s="35">
        <v>0</v>
      </c>
      <c r="V5" s="35">
        <v>0</v>
      </c>
      <c r="W5" s="35">
        <v>4</v>
      </c>
      <c r="X5" s="31">
        <f t="shared" ref="X3:X46" si="3">SUM(T5:W5)</f>
        <v>17</v>
      </c>
      <c r="Y5" s="32">
        <f t="shared" si="1"/>
        <v>0.76470588235294112</v>
      </c>
      <c r="Z5" s="32">
        <f>IF(T5=0,0,T5/(SUM(T5:V5)))</f>
        <v>1</v>
      </c>
      <c r="AA5" s="89" t="s">
        <v>55</v>
      </c>
      <c r="AB5" s="155" t="str">
        <f>_xlfn.XLOOKUP(F5,'TFS Details'!F:F,'TFS Details'!I:I)</f>
        <v>MYISP_Revamp_UI</v>
      </c>
      <c r="AC5" s="155" t="str">
        <f>_xlfn.XLOOKUP(AB5,'TFS Details'!I:I,'TFS Details'!AE:AE)</f>
        <v>vikrant.r.mohite</v>
      </c>
    </row>
    <row r="6" spans="1:30" ht="15.75" hidden="1" customHeight="1">
      <c r="A6" s="21" t="str">
        <f>_xlfn.XLOOKUP(F6,'TFS Details'!F:F,'TFS Details'!D:D)</f>
        <v>AMS</v>
      </c>
      <c r="B6" s="21" t="str">
        <f>_xlfn.XLOOKUP(F6,'TFS Details'!F:F,'TFS Details'!A:A)</f>
        <v>Available Hours OU Report</v>
      </c>
      <c r="C6" s="46">
        <f>_xlfn.XLOOKUP(F6,'TFS Details'!F:F,'TFS Details'!E:E)</f>
        <v>4439196</v>
      </c>
      <c r="D6" s="160" t="s">
        <v>51</v>
      </c>
      <c r="E6" s="155" t="s">
        <v>56</v>
      </c>
      <c r="F6" s="182">
        <v>4439199</v>
      </c>
      <c r="G6" s="66" t="s">
        <v>53</v>
      </c>
      <c r="H6" s="66" t="s">
        <v>57</v>
      </c>
      <c r="I6" s="16" t="s">
        <v>41</v>
      </c>
      <c r="J6" s="16" t="s">
        <v>41</v>
      </c>
      <c r="K6" s="16" t="s">
        <v>46</v>
      </c>
      <c r="L6" s="16" t="s">
        <v>46</v>
      </c>
      <c r="M6" s="121"/>
      <c r="N6" s="121"/>
      <c r="O6" s="121"/>
      <c r="P6" s="121"/>
      <c r="Q6" s="101"/>
      <c r="R6" s="101"/>
      <c r="S6" s="22"/>
      <c r="T6" s="35">
        <v>0</v>
      </c>
      <c r="U6" s="35">
        <v>0</v>
      </c>
      <c r="V6" s="35">
        <v>0</v>
      </c>
      <c r="W6" s="35">
        <v>15</v>
      </c>
      <c r="X6" s="31">
        <f t="shared" si="3"/>
        <v>15</v>
      </c>
      <c r="Y6" s="32">
        <f t="shared" si="1"/>
        <v>0</v>
      </c>
      <c r="Z6" s="32">
        <f t="shared" si="2"/>
        <v>0</v>
      </c>
      <c r="AA6" s="89"/>
      <c r="AB6" s="155"/>
      <c r="AC6" s="155"/>
    </row>
    <row r="7" spans="1:30" ht="15.75" hidden="1" customHeight="1">
      <c r="A7" s="21" t="str">
        <f>_xlfn.XLOOKUP(F7,'TFS Details'!F:F,'TFS Details'!D:D)</f>
        <v>AMS</v>
      </c>
      <c r="B7" s="21" t="str">
        <f>_xlfn.XLOOKUP(F7,'TFS Details'!F:F,'TFS Details'!A:A)</f>
        <v>Available Hours OU Report</v>
      </c>
      <c r="C7" s="46">
        <f>_xlfn.XLOOKUP(F7,'TFS Details'!F:F,'TFS Details'!E:E)</f>
        <v>4439196</v>
      </c>
      <c r="D7" s="160" t="s">
        <v>51</v>
      </c>
      <c r="E7" s="155" t="s">
        <v>58</v>
      </c>
      <c r="F7" s="78">
        <v>4439323</v>
      </c>
      <c r="G7" s="66" t="s">
        <v>53</v>
      </c>
      <c r="H7" s="66" t="s">
        <v>57</v>
      </c>
      <c r="I7" s="16" t="s">
        <v>41</v>
      </c>
      <c r="J7" s="16" t="s">
        <v>41</v>
      </c>
      <c r="K7" s="16" t="s">
        <v>46</v>
      </c>
      <c r="L7" s="16" t="s">
        <v>46</v>
      </c>
      <c r="M7" s="121"/>
      <c r="N7" s="121"/>
      <c r="O7" s="121"/>
      <c r="P7" s="121"/>
      <c r="Q7" s="101"/>
      <c r="R7" s="101"/>
      <c r="S7" s="22"/>
      <c r="T7" s="35">
        <v>0</v>
      </c>
      <c r="U7" s="35">
        <v>0</v>
      </c>
      <c r="V7" s="35">
        <v>0</v>
      </c>
      <c r="W7" s="35">
        <v>17</v>
      </c>
      <c r="X7" s="31">
        <f t="shared" si="3"/>
        <v>17</v>
      </c>
      <c r="Y7" s="32">
        <f t="shared" si="1"/>
        <v>0</v>
      </c>
      <c r="Z7" s="32">
        <f t="shared" si="2"/>
        <v>0</v>
      </c>
      <c r="AA7" s="89"/>
      <c r="AB7" s="155"/>
      <c r="AC7" s="155"/>
    </row>
    <row r="8" spans="1:30" ht="15.75" hidden="1" customHeight="1">
      <c r="A8" s="21" t="str">
        <f>_xlfn.XLOOKUP(F8,'TFS Details'!F:F,'TFS Details'!D:D)</f>
        <v>AMS</v>
      </c>
      <c r="B8" s="21" t="str">
        <f>_xlfn.XLOOKUP(F8,'TFS Details'!F:F,'TFS Details'!A:A)</f>
        <v>Available Hours OU Report</v>
      </c>
      <c r="C8" s="46">
        <f>_xlfn.XLOOKUP(F8,'TFS Details'!F:F,'TFS Details'!E:E)</f>
        <v>4439196</v>
      </c>
      <c r="D8" s="160" t="s">
        <v>51</v>
      </c>
      <c r="E8" s="155" t="s">
        <v>59</v>
      </c>
      <c r="F8" s="78">
        <v>4439343</v>
      </c>
      <c r="G8" s="66" t="s">
        <v>53</v>
      </c>
      <c r="H8" s="66" t="s">
        <v>57</v>
      </c>
      <c r="I8" s="16" t="s">
        <v>41</v>
      </c>
      <c r="J8" s="16" t="s">
        <v>41</v>
      </c>
      <c r="K8" s="16" t="s">
        <v>46</v>
      </c>
      <c r="L8" s="16" t="s">
        <v>46</v>
      </c>
      <c r="M8" s="121"/>
      <c r="N8" s="121"/>
      <c r="O8" s="121"/>
      <c r="P8" s="121"/>
      <c r="Q8" s="101"/>
      <c r="R8" s="101"/>
      <c r="S8" s="22"/>
      <c r="T8" s="35">
        <v>0</v>
      </c>
      <c r="U8" s="35">
        <v>0</v>
      </c>
      <c r="V8" s="35">
        <v>0</v>
      </c>
      <c r="W8" s="35">
        <v>7</v>
      </c>
      <c r="X8" s="31">
        <f t="shared" si="3"/>
        <v>7</v>
      </c>
      <c r="Y8" s="32">
        <f t="shared" si="1"/>
        <v>0</v>
      </c>
      <c r="Z8" s="32">
        <f t="shared" si="2"/>
        <v>0</v>
      </c>
      <c r="AA8" s="89"/>
      <c r="AB8" s="155"/>
      <c r="AC8" s="155"/>
    </row>
    <row r="9" spans="1:30" ht="15.75" hidden="1" customHeight="1">
      <c r="A9" s="21" t="str">
        <f>_xlfn.XLOOKUP(F9,'TFS Details'!F:F,'TFS Details'!D:D)</f>
        <v>AMS</v>
      </c>
      <c r="B9" s="21" t="str">
        <f>_xlfn.XLOOKUP(F9,'TFS Details'!F:F,'TFS Details'!A:A)</f>
        <v>Available Hours OU Report</v>
      </c>
      <c r="C9" s="46">
        <f>_xlfn.XLOOKUP(F9,'TFS Details'!F:F,'TFS Details'!E:E)</f>
        <v>4439196</v>
      </c>
      <c r="D9" s="160" t="s">
        <v>51</v>
      </c>
      <c r="E9" s="155" t="s">
        <v>60</v>
      </c>
      <c r="F9" s="78">
        <v>4439357</v>
      </c>
      <c r="G9" s="66" t="s">
        <v>53</v>
      </c>
      <c r="H9" s="66" t="s">
        <v>57</v>
      </c>
      <c r="I9" s="16" t="s">
        <v>41</v>
      </c>
      <c r="J9" s="16" t="s">
        <v>41</v>
      </c>
      <c r="K9" s="16" t="s">
        <v>46</v>
      </c>
      <c r="L9" s="16" t="s">
        <v>46</v>
      </c>
      <c r="M9" s="121"/>
      <c r="N9" s="121"/>
      <c r="O9" s="121"/>
      <c r="P9" s="121"/>
      <c r="Q9" s="101"/>
      <c r="R9" s="101"/>
      <c r="S9" s="22"/>
      <c r="T9" s="35">
        <v>0</v>
      </c>
      <c r="U9" s="35">
        <v>0</v>
      </c>
      <c r="V9" s="35">
        <v>0</v>
      </c>
      <c r="W9" s="35">
        <v>7</v>
      </c>
      <c r="X9" s="31">
        <f t="shared" si="3"/>
        <v>7</v>
      </c>
      <c r="Y9" s="32">
        <f t="shared" si="1"/>
        <v>0</v>
      </c>
      <c r="Z9" s="32">
        <f t="shared" si="2"/>
        <v>0</v>
      </c>
      <c r="AA9" s="89"/>
      <c r="AB9" s="155"/>
      <c r="AC9" s="155"/>
    </row>
    <row r="10" spans="1:30" ht="15.75" hidden="1" customHeight="1">
      <c r="A10" s="21" t="str">
        <f>_xlfn.XLOOKUP(F10,'TFS Details'!F:F,'TFS Details'!D:D)</f>
        <v>AMS</v>
      </c>
      <c r="B10" s="21" t="str">
        <f>_xlfn.XLOOKUP(F10,'TFS Details'!F:F,'TFS Details'!A:A)</f>
        <v>Available Hours OU Report</v>
      </c>
      <c r="C10" s="46">
        <f>_xlfn.XLOOKUP(F10,'TFS Details'!F:F,'TFS Details'!E:E)</f>
        <v>4439196</v>
      </c>
      <c r="D10" s="160" t="s">
        <v>51</v>
      </c>
      <c r="E10" s="155" t="s">
        <v>61</v>
      </c>
      <c r="F10" s="78">
        <v>4439362</v>
      </c>
      <c r="G10" s="66" t="s">
        <v>53</v>
      </c>
      <c r="H10" s="66" t="s">
        <v>57</v>
      </c>
      <c r="I10" s="16" t="s">
        <v>41</v>
      </c>
      <c r="J10" s="16" t="s">
        <v>41</v>
      </c>
      <c r="K10" s="16" t="s">
        <v>46</v>
      </c>
      <c r="L10" s="16" t="s">
        <v>46</v>
      </c>
      <c r="M10" s="121"/>
      <c r="N10" s="121"/>
      <c r="O10" s="121"/>
      <c r="P10" s="121"/>
      <c r="Q10" s="101"/>
      <c r="R10" s="101"/>
      <c r="S10" s="22"/>
      <c r="T10" s="35">
        <v>0</v>
      </c>
      <c r="U10" s="35">
        <v>0</v>
      </c>
      <c r="V10" s="35">
        <v>0</v>
      </c>
      <c r="W10" s="35">
        <v>10</v>
      </c>
      <c r="X10" s="31">
        <f t="shared" si="3"/>
        <v>10</v>
      </c>
      <c r="Y10" s="32">
        <f t="shared" si="1"/>
        <v>0</v>
      </c>
      <c r="Z10" s="32">
        <f t="shared" si="2"/>
        <v>0</v>
      </c>
      <c r="AA10" s="89"/>
      <c r="AB10" s="155"/>
      <c r="AC10" s="155"/>
    </row>
    <row r="11" spans="1:30" hidden="1">
      <c r="A11" s="21" t="str">
        <f>_xlfn.XLOOKUP(F11,'TFS Details'!F:F,'TFS Details'!D:D)</f>
        <v>DCSO</v>
      </c>
      <c r="B11" s="21" t="str">
        <f>_xlfn.XLOOKUP(F11,'TFS Details'!F:F,'TFS Details'!A:A)</f>
        <v>myISP - Digital DCSO</v>
      </c>
      <c r="C11" s="46">
        <f>_xlfn.XLOOKUP(F11,'TFS Details'!F:F,'TFS Details'!E:E)</f>
        <v>4278081</v>
      </c>
      <c r="D11" s="160" t="s">
        <v>62</v>
      </c>
      <c r="E11" s="155" t="s">
        <v>63</v>
      </c>
      <c r="F11" s="78">
        <v>4362582</v>
      </c>
      <c r="G11" s="66" t="s">
        <v>64</v>
      </c>
      <c r="H11" s="66"/>
      <c r="I11" s="16" t="s">
        <v>41</v>
      </c>
      <c r="J11" s="16" t="s">
        <v>41</v>
      </c>
      <c r="K11" s="16" t="s">
        <v>41</v>
      </c>
      <c r="L11" s="16" t="s">
        <v>41</v>
      </c>
      <c r="M11" s="121"/>
      <c r="N11" s="121"/>
      <c r="O11" s="121"/>
      <c r="P11" s="121"/>
      <c r="Q11" s="101"/>
      <c r="R11" s="101"/>
      <c r="S11" s="22"/>
      <c r="T11" s="35">
        <v>3</v>
      </c>
      <c r="U11" s="35">
        <v>0</v>
      </c>
      <c r="V11" s="35">
        <v>0</v>
      </c>
      <c r="W11" s="35">
        <v>0</v>
      </c>
      <c r="X11" s="31">
        <f t="shared" si="3"/>
        <v>3</v>
      </c>
      <c r="Y11" s="32">
        <f t="shared" si="1"/>
        <v>1</v>
      </c>
      <c r="Z11" s="32">
        <f t="shared" si="2"/>
        <v>1</v>
      </c>
      <c r="AA11" s="22"/>
      <c r="AB11" s="155" t="str">
        <f>_xlfn.XLOOKUP(F11,'TFS Details'!F:F,'TFS Details'!I:I)</f>
        <v>Insurgents</v>
      </c>
      <c r="AC11" s="155" t="str">
        <f>_xlfn.XLOOKUP(AB11,'TFS Details'!I:I,'TFS Details'!AE:AE)</f>
        <v>K.devaraj</v>
      </c>
    </row>
    <row r="12" spans="1:30" hidden="1">
      <c r="A12" s="21" t="str">
        <f>_xlfn.XLOOKUP(F12,'TFS Details'!F:F,'TFS Details'!D:D)</f>
        <v>DCSO</v>
      </c>
      <c r="B12" s="21" t="str">
        <f>_xlfn.XLOOKUP(F12,'TFS Details'!F:F,'TFS Details'!A:A)</f>
        <v>myISP - Digital DCSO</v>
      </c>
      <c r="C12" s="46">
        <f>_xlfn.XLOOKUP(F12,'TFS Details'!F:F,'TFS Details'!E:E)</f>
        <v>4278081</v>
      </c>
      <c r="D12" s="160" t="s">
        <v>62</v>
      </c>
      <c r="E12" s="155" t="s">
        <v>65</v>
      </c>
      <c r="F12" s="78">
        <v>4362592</v>
      </c>
      <c r="G12" s="66" t="s">
        <v>64</v>
      </c>
      <c r="H12" s="66"/>
      <c r="I12" s="16" t="s">
        <v>41</v>
      </c>
      <c r="J12" s="16" t="s">
        <v>41</v>
      </c>
      <c r="K12" s="16" t="s">
        <v>41</v>
      </c>
      <c r="L12" s="16" t="s">
        <v>41</v>
      </c>
      <c r="M12" s="121"/>
      <c r="N12" s="121"/>
      <c r="O12" s="121"/>
      <c r="P12" s="121"/>
      <c r="Q12" s="101"/>
      <c r="R12" s="99"/>
      <c r="S12" s="22"/>
      <c r="T12" s="35">
        <v>3</v>
      </c>
      <c r="U12" s="35">
        <v>0</v>
      </c>
      <c r="V12" s="35">
        <v>0</v>
      </c>
      <c r="W12" s="35">
        <v>0</v>
      </c>
      <c r="X12" s="31">
        <f t="shared" si="3"/>
        <v>3</v>
      </c>
      <c r="Y12" s="32">
        <f t="shared" si="1"/>
        <v>1</v>
      </c>
      <c r="Z12" s="32">
        <f t="shared" si="2"/>
        <v>1</v>
      </c>
      <c r="AA12" s="89"/>
      <c r="AB12" s="155" t="str">
        <f>_xlfn.XLOOKUP(F12,'TFS Details'!F:F,'TFS Details'!I:I)</f>
        <v>Insurgents</v>
      </c>
      <c r="AC12" s="155" t="str">
        <f>_xlfn.XLOOKUP(AB12,'TFS Details'!I:I,'TFS Details'!AE:AE)</f>
        <v>K.devaraj</v>
      </c>
    </row>
    <row r="13" spans="1:30" hidden="1">
      <c r="A13" s="21" t="str">
        <f>_xlfn.XLOOKUP(F13,'TFS Details'!F:F,'TFS Details'!D:D)</f>
        <v>MMP FFP</v>
      </c>
      <c r="B13" s="21" t="str">
        <f>_xlfn.XLOOKUP(F13,'TFS Details'!F:F,'TFS Details'!A:A)</f>
        <v>MMP FFP Export update - April release</v>
      </c>
      <c r="C13" s="46">
        <f>_xlfn.XLOOKUP(F13,'TFS Details'!F:F,'TFS Details'!E:E)</f>
        <v>4389877</v>
      </c>
      <c r="D13" s="160" t="s">
        <v>66</v>
      </c>
      <c r="E13" s="155" t="s">
        <v>67</v>
      </c>
      <c r="F13" s="78">
        <v>4391224</v>
      </c>
      <c r="G13" s="66" t="s">
        <v>68</v>
      </c>
      <c r="H13" s="66" t="s">
        <v>69</v>
      </c>
      <c r="I13" s="16" t="s">
        <v>41</v>
      </c>
      <c r="J13" s="16" t="s">
        <v>41</v>
      </c>
      <c r="K13" s="16" t="s">
        <v>41</v>
      </c>
      <c r="L13" s="16" t="s">
        <v>45</v>
      </c>
      <c r="M13" s="121">
        <v>39</v>
      </c>
      <c r="N13" s="121">
        <v>27</v>
      </c>
      <c r="O13" s="121">
        <v>0</v>
      </c>
      <c r="P13" s="121">
        <v>27</v>
      </c>
      <c r="Q13" s="101">
        <f>N13/P13</f>
        <v>1</v>
      </c>
      <c r="R13" s="101">
        <v>0.8</v>
      </c>
      <c r="S13" s="22"/>
      <c r="T13" s="35">
        <v>11</v>
      </c>
      <c r="U13" s="35">
        <v>7</v>
      </c>
      <c r="V13" s="35">
        <v>0</v>
      </c>
      <c r="W13" s="35">
        <v>9</v>
      </c>
      <c r="X13" s="31">
        <f t="shared" si="3"/>
        <v>27</v>
      </c>
      <c r="Y13" s="32">
        <f t="shared" si="1"/>
        <v>0.66666666666666663</v>
      </c>
      <c r="Z13" s="32">
        <f t="shared" si="2"/>
        <v>0.61111111111111116</v>
      </c>
      <c r="AA13" s="22" t="s">
        <v>70</v>
      </c>
      <c r="AB13" s="155" t="str">
        <f>_xlfn.XLOOKUP(F13,'TFS Details'!F:F,'TFS Details'!I:I)</f>
        <v>DevStormers</v>
      </c>
      <c r="AC13" s="155" t="str">
        <f>_xlfn.XLOOKUP(AB13,'TFS Details'!I:I,'TFS Details'!AE:AE)</f>
        <v>mervinkumar.manickam</v>
      </c>
    </row>
    <row r="14" spans="1:30" hidden="1">
      <c r="A14" s="21" t="str">
        <f>_xlfn.XLOOKUP(F14,'TFS Details'!F:F,'TFS Details'!D:D)</f>
        <v xml:space="preserve">SI DCTA </v>
      </c>
      <c r="B14" s="21" t="str">
        <f>_xlfn.XLOOKUP(F14,'TFS Details'!F:F,'TFS Details'!A:A)</f>
        <v>Standard Role Implementation in PCW &amp; Online SI - April Release</v>
      </c>
      <c r="C14" s="46">
        <f>_xlfn.XLOOKUP(F14,'TFS Details'!F:F,'TFS Details'!E:E)</f>
        <v>4373911</v>
      </c>
      <c r="D14" s="160" t="s">
        <v>66</v>
      </c>
      <c r="E14" s="155" t="s">
        <v>71</v>
      </c>
      <c r="F14" s="78">
        <v>4393527</v>
      </c>
      <c r="G14" s="66" t="s">
        <v>68</v>
      </c>
      <c r="H14" s="66" t="s">
        <v>69</v>
      </c>
      <c r="I14" s="16" t="s">
        <v>41</v>
      </c>
      <c r="J14" s="16" t="s">
        <v>41</v>
      </c>
      <c r="K14" s="16" t="s">
        <v>41</v>
      </c>
      <c r="L14" s="16" t="s">
        <v>45</v>
      </c>
      <c r="M14" s="121">
        <v>41</v>
      </c>
      <c r="N14" s="121">
        <v>27</v>
      </c>
      <c r="O14" s="121">
        <v>0</v>
      </c>
      <c r="P14" s="121">
        <v>27</v>
      </c>
      <c r="Q14" s="101">
        <f>N14/P14</f>
        <v>1</v>
      </c>
      <c r="R14" s="99">
        <v>0.75</v>
      </c>
      <c r="S14" s="22"/>
      <c r="T14" s="35">
        <v>13</v>
      </c>
      <c r="U14" s="35">
        <v>0</v>
      </c>
      <c r="V14" s="35">
        <v>0</v>
      </c>
      <c r="W14" s="35">
        <v>14</v>
      </c>
      <c r="X14" s="31">
        <f t="shared" si="3"/>
        <v>27</v>
      </c>
      <c r="Y14" s="32">
        <f t="shared" si="1"/>
        <v>0.48148148148148145</v>
      </c>
      <c r="Z14" s="32">
        <f t="shared" si="2"/>
        <v>1</v>
      </c>
      <c r="AA14" s="89"/>
      <c r="AB14" s="155" t="str">
        <f>_xlfn.XLOOKUP(F14,'TFS Details'!F:F,'TFS Details'!I:I)</f>
        <v>TechSprinters</v>
      </c>
      <c r="AC14" s="155" t="str">
        <f>_xlfn.XLOOKUP(AB14,'TFS Details'!I:I,'TFS Details'!AE:AE)</f>
        <v>mervinkumar.manickam</v>
      </c>
    </row>
    <row r="15" spans="1:30" hidden="1">
      <c r="A15" s="21" t="str">
        <f>_xlfn.XLOOKUP(F15,'TFS Details'!F:F,'TFS Details'!D:D)</f>
        <v>SI DCTA</v>
      </c>
      <c r="B15" s="21" t="str">
        <f>_xlfn.XLOOKUP(F15,'TFS Details'!F:F,'TFS Details'!A:A)</f>
        <v>Standard Role Implementation in PCW &amp; Online SI - April Release</v>
      </c>
      <c r="C15" s="46">
        <f>_xlfn.XLOOKUP(F15,'TFS Details'!F:F,'TFS Details'!E:E)</f>
        <v>4373911</v>
      </c>
      <c r="D15" s="160" t="s">
        <v>66</v>
      </c>
      <c r="E15" s="155" t="s">
        <v>72</v>
      </c>
      <c r="F15" s="78">
        <v>4377948</v>
      </c>
      <c r="G15" s="66" t="s">
        <v>68</v>
      </c>
      <c r="H15" s="66" t="s">
        <v>69</v>
      </c>
      <c r="I15" s="16" t="s">
        <v>41</v>
      </c>
      <c r="J15" s="16" t="s">
        <v>41</v>
      </c>
      <c r="K15" s="16" t="s">
        <v>41</v>
      </c>
      <c r="L15" s="16" t="s">
        <v>45</v>
      </c>
      <c r="M15" s="121">
        <v>53</v>
      </c>
      <c r="N15" s="121">
        <v>27</v>
      </c>
      <c r="O15" s="121">
        <v>0</v>
      </c>
      <c r="P15" s="121">
        <v>27</v>
      </c>
      <c r="Q15" s="101">
        <f>N15/P15</f>
        <v>1</v>
      </c>
      <c r="R15" s="101">
        <v>0.85</v>
      </c>
      <c r="S15" s="22"/>
      <c r="T15" s="35">
        <v>7</v>
      </c>
      <c r="U15" s="35">
        <v>0</v>
      </c>
      <c r="V15" s="35">
        <v>0</v>
      </c>
      <c r="W15" s="35">
        <v>20</v>
      </c>
      <c r="X15" s="31">
        <f t="shared" si="3"/>
        <v>27</v>
      </c>
      <c r="Y15" s="32">
        <f t="shared" si="1"/>
        <v>0.25925925925925924</v>
      </c>
      <c r="Z15" s="32">
        <f t="shared" si="2"/>
        <v>1</v>
      </c>
      <c r="AA15" s="22"/>
      <c r="AB15" s="155" t="str">
        <f>_xlfn.XLOOKUP(F15,'TFS Details'!F:F,'TFS Details'!I:I)</f>
        <v>TechSprinters</v>
      </c>
      <c r="AC15" s="155" t="str">
        <f>_xlfn.XLOOKUP(AB15,'TFS Details'!I:I,'TFS Details'!AE:AE)</f>
        <v>mervinkumar.manickam</v>
      </c>
    </row>
    <row r="16" spans="1:30" hidden="1">
      <c r="A16" s="21" t="str">
        <f>_xlfn.XLOOKUP(F16,'TFS Details'!F:F,'TFS Details'!D:D)</f>
        <v>STD Role</v>
      </c>
      <c r="B16" s="21" t="str">
        <f>_xlfn.XLOOKUP(F16,'TFS Details'!F:F,'TFS Details'!A:A)</f>
        <v>Standard Role Implementation in PCW &amp; Online SI - April Release</v>
      </c>
      <c r="C16" s="46">
        <f>_xlfn.XLOOKUP(F16,'TFS Details'!F:F,'TFS Details'!E:E)</f>
        <v>4373911</v>
      </c>
      <c r="D16" s="160" t="s">
        <v>66</v>
      </c>
      <c r="E16" s="155" t="s">
        <v>73</v>
      </c>
      <c r="F16" s="78">
        <v>4359188</v>
      </c>
      <c r="G16" s="66" t="s">
        <v>68</v>
      </c>
      <c r="H16" s="66" t="s">
        <v>69</v>
      </c>
      <c r="I16" s="16" t="s">
        <v>41</v>
      </c>
      <c r="J16" s="16" t="s">
        <v>41</v>
      </c>
      <c r="K16" s="16" t="s">
        <v>41</v>
      </c>
      <c r="L16" s="16" t="s">
        <v>45</v>
      </c>
      <c r="M16" s="121">
        <v>51</v>
      </c>
      <c r="N16" s="121">
        <v>35</v>
      </c>
      <c r="O16" s="121">
        <v>0</v>
      </c>
      <c r="P16" s="121">
        <v>35</v>
      </c>
      <c r="Q16" s="101">
        <f>N16/P16</f>
        <v>1</v>
      </c>
      <c r="R16" s="101">
        <v>0.8</v>
      </c>
      <c r="S16" s="22"/>
      <c r="T16" s="35">
        <v>25</v>
      </c>
      <c r="U16" s="35">
        <v>0</v>
      </c>
      <c r="V16" s="35">
        <v>0</v>
      </c>
      <c r="W16" s="35">
        <v>10</v>
      </c>
      <c r="X16" s="31">
        <f t="shared" si="3"/>
        <v>35</v>
      </c>
      <c r="Y16" s="32">
        <f t="shared" si="1"/>
        <v>0.7142857142857143</v>
      </c>
      <c r="Z16" s="32">
        <f t="shared" si="2"/>
        <v>1</v>
      </c>
      <c r="AA16" s="22"/>
      <c r="AB16" s="155" t="str">
        <f>_xlfn.XLOOKUP(F16,'TFS Details'!F:F,'TFS Details'!I:I)</f>
        <v>TechWizards</v>
      </c>
      <c r="AC16" s="155" t="str">
        <f>_xlfn.XLOOKUP(AB16,'TFS Details'!I:I,'TFS Details'!AE:AE)</f>
        <v>mervinkumar.manickam</v>
      </c>
    </row>
    <row r="17" spans="1:29" hidden="1">
      <c r="A17" s="21" t="str">
        <f>_xlfn.XLOOKUP(F17,'TFS Details'!F:F,'TFS Details'!D:D)</f>
        <v>STD Role</v>
      </c>
      <c r="B17" s="21" t="str">
        <f>_xlfn.XLOOKUP(F17,'TFS Details'!F:F,'TFS Details'!A:A)</f>
        <v>Standard Role Implementation in PCW &amp; Online SI - April Release</v>
      </c>
      <c r="C17" s="46">
        <f>_xlfn.XLOOKUP(F17,'TFS Details'!F:F,'TFS Details'!E:E)</f>
        <v>4373911</v>
      </c>
      <c r="D17" s="160" t="s">
        <v>66</v>
      </c>
      <c r="E17" s="155" t="s">
        <v>74</v>
      </c>
      <c r="F17" s="78">
        <v>4359328</v>
      </c>
      <c r="G17" s="66" t="s">
        <v>69</v>
      </c>
      <c r="H17" s="66" t="s">
        <v>68</v>
      </c>
      <c r="I17" s="16" t="s">
        <v>41</v>
      </c>
      <c r="J17" s="16" t="s">
        <v>41</v>
      </c>
      <c r="K17" s="16" t="s">
        <v>41</v>
      </c>
      <c r="L17" s="16" t="s">
        <v>45</v>
      </c>
      <c r="M17" s="121">
        <v>65</v>
      </c>
      <c r="N17" s="121">
        <v>51</v>
      </c>
      <c r="O17" s="121">
        <v>0</v>
      </c>
      <c r="P17" s="121">
        <v>51</v>
      </c>
      <c r="Q17" s="101">
        <f>N17/P17</f>
        <v>1</v>
      </c>
      <c r="R17" s="100">
        <v>0.8</v>
      </c>
      <c r="S17" s="22"/>
      <c r="T17" s="35">
        <v>20</v>
      </c>
      <c r="U17" s="35">
        <v>5</v>
      </c>
      <c r="V17" s="35">
        <v>0</v>
      </c>
      <c r="W17" s="35">
        <v>26</v>
      </c>
      <c r="X17" s="31">
        <f t="shared" si="3"/>
        <v>51</v>
      </c>
      <c r="Y17" s="32">
        <f t="shared" si="1"/>
        <v>0.49019607843137253</v>
      </c>
      <c r="Z17" s="32">
        <f t="shared" si="2"/>
        <v>0.8</v>
      </c>
      <c r="AA17" s="22" t="s">
        <v>75</v>
      </c>
      <c r="AB17" s="155" t="str">
        <f>_xlfn.XLOOKUP(F17,'TFS Details'!F:F,'TFS Details'!I:I)</f>
        <v>TechWizards</v>
      </c>
      <c r="AC17" s="155" t="str">
        <f>_xlfn.XLOOKUP(AB17,'TFS Details'!I:I,'TFS Details'!AE:AE)</f>
        <v>mervinkumar.manickam</v>
      </c>
    </row>
    <row r="18" spans="1:29" hidden="1">
      <c r="A18" s="21" t="str">
        <f>_xlfn.XLOOKUP(F18,'TFS Details'!F:F,'TFS Details'!D:D)</f>
        <v>STD Role</v>
      </c>
      <c r="B18" s="21" t="str">
        <f>_xlfn.XLOOKUP(F18,'TFS Details'!F:F,'TFS Details'!A:A)</f>
        <v>Standard Role Implementation in PCW &amp; Online SI - April Release</v>
      </c>
      <c r="C18" s="46">
        <f>_xlfn.XLOOKUP(F18,'TFS Details'!F:F,'TFS Details'!E:E)</f>
        <v>4373911</v>
      </c>
      <c r="D18" s="160" t="s">
        <v>66</v>
      </c>
      <c r="E18" s="155" t="s">
        <v>76</v>
      </c>
      <c r="F18" s="78">
        <v>4359507</v>
      </c>
      <c r="G18" s="66" t="s">
        <v>69</v>
      </c>
      <c r="H18" s="66" t="s">
        <v>68</v>
      </c>
      <c r="I18" s="16" t="s">
        <v>41</v>
      </c>
      <c r="J18" s="16" t="s">
        <v>41</v>
      </c>
      <c r="K18" s="16" t="s">
        <v>41</v>
      </c>
      <c r="L18" s="16" t="s">
        <v>45</v>
      </c>
      <c r="M18" s="121">
        <v>54</v>
      </c>
      <c r="N18" s="121">
        <v>38</v>
      </c>
      <c r="O18" s="121">
        <v>0</v>
      </c>
      <c r="P18" s="121">
        <v>38</v>
      </c>
      <c r="Q18" s="101">
        <f>N18/P18</f>
        <v>1</v>
      </c>
      <c r="R18" s="101">
        <v>0.75</v>
      </c>
      <c r="S18" s="22"/>
      <c r="T18" s="35">
        <v>28</v>
      </c>
      <c r="U18" s="35">
        <v>0</v>
      </c>
      <c r="V18" s="35">
        <v>0</v>
      </c>
      <c r="W18" s="35">
        <v>10</v>
      </c>
      <c r="X18" s="31">
        <f t="shared" si="3"/>
        <v>38</v>
      </c>
      <c r="Y18" s="32">
        <f t="shared" si="1"/>
        <v>0.73684210526315785</v>
      </c>
      <c r="Z18" s="32">
        <f t="shared" si="2"/>
        <v>1</v>
      </c>
      <c r="AA18" s="22"/>
      <c r="AB18" s="155" t="str">
        <f>_xlfn.XLOOKUP(F18,'TFS Details'!F:F,'TFS Details'!I:I)</f>
        <v>TechWizards</v>
      </c>
      <c r="AC18" s="155" t="str">
        <f>_xlfn.XLOOKUP(AB18,'TFS Details'!I:I,'TFS Details'!AE:AE)</f>
        <v>mervinkumar.manickam</v>
      </c>
    </row>
    <row r="19" spans="1:29" ht="15">
      <c r="A19" s="21" t="str">
        <f>_xlfn.XLOOKUP(F19,'TFS Details'!F:F,'TFS Details'!D:D)</f>
        <v>PCW</v>
      </c>
      <c r="B19" s="21" t="str">
        <f>_xlfn.XLOOKUP(F19,'TFS Details'!F:F,'TFS Details'!A:A)</f>
        <v>MMP FFP Export update - April release</v>
      </c>
      <c r="C19" s="46">
        <f>_xlfn.XLOOKUP(F19,'TFS Details'!F:F,'TFS Details'!E:E)</f>
        <v>4389877</v>
      </c>
      <c r="D19" s="160" t="s">
        <v>77</v>
      </c>
      <c r="E19" s="155" t="s">
        <v>78</v>
      </c>
      <c r="F19" s="78">
        <v>4368135</v>
      </c>
      <c r="G19" s="155" t="s">
        <v>79</v>
      </c>
      <c r="H19" s="155" t="s">
        <v>80</v>
      </c>
      <c r="I19" s="16" t="s">
        <v>41</v>
      </c>
      <c r="J19" s="16" t="s">
        <v>41</v>
      </c>
      <c r="K19" s="16" t="s">
        <v>45</v>
      </c>
      <c r="L19" s="16" t="s">
        <v>45</v>
      </c>
      <c r="M19" s="121">
        <v>10</v>
      </c>
      <c r="N19" s="121">
        <v>3</v>
      </c>
      <c r="O19" s="121">
        <v>3</v>
      </c>
      <c r="P19" s="121">
        <v>3</v>
      </c>
      <c r="Q19" s="101">
        <v>1</v>
      </c>
      <c r="R19" s="101">
        <v>0.8</v>
      </c>
      <c r="S19" s="22"/>
      <c r="T19" s="35">
        <v>2</v>
      </c>
      <c r="U19" s="35">
        <v>0</v>
      </c>
      <c r="V19" s="35">
        <v>0</v>
      </c>
      <c r="W19" s="35">
        <v>1</v>
      </c>
      <c r="X19" s="31">
        <f t="shared" si="3"/>
        <v>3</v>
      </c>
      <c r="Y19" s="32">
        <f t="shared" si="1"/>
        <v>0.66666666666666663</v>
      </c>
      <c r="Z19" s="32">
        <f t="shared" si="2"/>
        <v>1</v>
      </c>
      <c r="AA19" s="122" t="s">
        <v>81</v>
      </c>
      <c r="AB19" s="155" t="str">
        <f>_xlfn.XLOOKUP(F19,'TFS Details'!F:F,'TFS Details'!I:I)</f>
        <v>TechAvatar</v>
      </c>
      <c r="AC19" s="155" t="str">
        <f>_xlfn.XLOOKUP(AB19,'TFS Details'!I:I,'TFS Details'!AE:AE)</f>
        <v>suraj.sukumaran</v>
      </c>
    </row>
    <row r="20" spans="1:29">
      <c r="A20" s="21" t="str">
        <f>_xlfn.XLOOKUP(F20,'TFS Details'!F:F,'TFS Details'!D:D)</f>
        <v>SI - PCW</v>
      </c>
      <c r="B20" s="21" t="str">
        <f>_xlfn.XLOOKUP(F20,'TFS Details'!F:F,'TFS Details'!A:A)</f>
        <v>Standard Role Implementation in PCW &amp; Online SI - April Release</v>
      </c>
      <c r="C20" s="46">
        <f>_xlfn.XLOOKUP(F20,'TFS Details'!F:F,'TFS Details'!E:E)</f>
        <v>4373911</v>
      </c>
      <c r="D20" s="160" t="s">
        <v>77</v>
      </c>
      <c r="E20" s="155" t="s">
        <v>82</v>
      </c>
      <c r="F20" s="78">
        <v>4368224</v>
      </c>
      <c r="G20" s="155" t="s">
        <v>83</v>
      </c>
      <c r="H20" s="155" t="s">
        <v>84</v>
      </c>
      <c r="I20" s="16" t="s">
        <v>41</v>
      </c>
      <c r="J20" s="16" t="s">
        <v>41</v>
      </c>
      <c r="K20" s="16" t="s">
        <v>45</v>
      </c>
      <c r="L20" s="16" t="s">
        <v>45</v>
      </c>
      <c r="M20" s="121">
        <v>44</v>
      </c>
      <c r="N20" s="121">
        <v>11</v>
      </c>
      <c r="O20" s="121">
        <v>8</v>
      </c>
      <c r="P20" s="121">
        <v>11</v>
      </c>
      <c r="Q20" s="101">
        <v>1</v>
      </c>
      <c r="R20" s="101">
        <v>1</v>
      </c>
      <c r="S20" s="22"/>
      <c r="T20" s="35">
        <v>6</v>
      </c>
      <c r="U20" s="35">
        <v>2</v>
      </c>
      <c r="V20" s="35">
        <v>0</v>
      </c>
      <c r="W20" s="35">
        <v>2</v>
      </c>
      <c r="X20" s="31">
        <f t="shared" si="3"/>
        <v>10</v>
      </c>
      <c r="Y20" s="32">
        <f t="shared" si="1"/>
        <v>0.8</v>
      </c>
      <c r="Z20" s="32">
        <f t="shared" si="2"/>
        <v>0.75</v>
      </c>
      <c r="AA20" s="22" t="s">
        <v>85</v>
      </c>
      <c r="AB20" s="155" t="str">
        <f>_xlfn.XLOOKUP(F20,'TFS Details'!F:F,'TFS Details'!I:I)</f>
        <v>TechAvatar</v>
      </c>
      <c r="AC20" s="155" t="str">
        <f>_xlfn.XLOOKUP(AB20,'TFS Details'!I:I,'TFS Details'!AE:AE)</f>
        <v>suraj.sukumaran</v>
      </c>
    </row>
    <row r="21" spans="1:29" hidden="1">
      <c r="A21" s="21" t="str">
        <f>_xlfn.XLOOKUP(F21,'TFS Details'!F:F,'TFS Details'!D:D)</f>
        <v>STD Role</v>
      </c>
      <c r="B21" s="21" t="str">
        <f>_xlfn.XLOOKUP(F21,'TFS Details'!F:F,'TFS Details'!A:A)</f>
        <v>Standard Role Implementation in PCW &amp; Online SI - April Release</v>
      </c>
      <c r="C21" s="46">
        <f>_xlfn.XLOOKUP(F21,'TFS Details'!F:F,'TFS Details'!E:E)</f>
        <v>4373911</v>
      </c>
      <c r="D21" s="160" t="s">
        <v>66</v>
      </c>
      <c r="E21" s="155" t="s">
        <v>86</v>
      </c>
      <c r="F21" s="78">
        <v>4368812</v>
      </c>
      <c r="G21" s="66" t="s">
        <v>69</v>
      </c>
      <c r="H21" s="66" t="s">
        <v>68</v>
      </c>
      <c r="I21" s="16" t="s">
        <v>41</v>
      </c>
      <c r="J21" s="16" t="s">
        <v>41</v>
      </c>
      <c r="K21" s="16" t="s">
        <v>41</v>
      </c>
      <c r="L21" s="16" t="s">
        <v>45</v>
      </c>
      <c r="M21" s="121">
        <v>61</v>
      </c>
      <c r="N21" s="121">
        <v>42</v>
      </c>
      <c r="O21" s="121">
        <v>0</v>
      </c>
      <c r="P21" s="121">
        <v>42</v>
      </c>
      <c r="Q21" s="101">
        <f>N21/P21</f>
        <v>1</v>
      </c>
      <c r="R21" s="101">
        <v>0.8</v>
      </c>
      <c r="S21" s="22"/>
      <c r="T21" s="35">
        <v>15</v>
      </c>
      <c r="U21" s="35">
        <v>3</v>
      </c>
      <c r="V21" s="35">
        <v>0</v>
      </c>
      <c r="W21" s="35">
        <v>24</v>
      </c>
      <c r="X21" s="31">
        <f t="shared" si="3"/>
        <v>42</v>
      </c>
      <c r="Y21" s="32">
        <f t="shared" si="1"/>
        <v>0.42857142857142855</v>
      </c>
      <c r="Z21" s="32">
        <f t="shared" si="2"/>
        <v>0.83333333333333337</v>
      </c>
      <c r="AA21" s="22" t="s">
        <v>87</v>
      </c>
      <c r="AB21" s="155" t="str">
        <f>_xlfn.XLOOKUP(F21,'TFS Details'!F:F,'TFS Details'!I:I)</f>
        <v>TechWizards</v>
      </c>
      <c r="AC21" s="155" t="str">
        <f>_xlfn.XLOOKUP(AB21,'TFS Details'!I:I,'TFS Details'!AE:AE)</f>
        <v>mervinkumar.manickam</v>
      </c>
    </row>
    <row r="22" spans="1:29">
      <c r="A22" s="21" t="str">
        <f>_xlfn.XLOOKUP(F22,'TFS Details'!F:F,'TFS Details'!D:D)</f>
        <v>STD Role</v>
      </c>
      <c r="B22" s="21" t="str">
        <f>_xlfn.XLOOKUP(F22,'TFS Details'!F:F,'TFS Details'!A:A)</f>
        <v>Standard Role Implementation in PCW &amp; Online SI - April Release</v>
      </c>
      <c r="C22" s="46">
        <f>_xlfn.XLOOKUP(F22,'TFS Details'!F:F,'TFS Details'!E:E)</f>
        <v>4373911</v>
      </c>
      <c r="D22" s="160" t="s">
        <v>77</v>
      </c>
      <c r="E22" s="155" t="s">
        <v>88</v>
      </c>
      <c r="F22" s="78">
        <v>4368862</v>
      </c>
      <c r="G22" s="155" t="s">
        <v>83</v>
      </c>
      <c r="H22" s="155" t="s">
        <v>80</v>
      </c>
      <c r="I22" s="16" t="s">
        <v>41</v>
      </c>
      <c r="J22" s="16" t="s">
        <v>41</v>
      </c>
      <c r="K22" s="16" t="s">
        <v>45</v>
      </c>
      <c r="L22" s="16" t="s">
        <v>45</v>
      </c>
      <c r="M22" s="121">
        <v>42</v>
      </c>
      <c r="N22" s="121">
        <v>12</v>
      </c>
      <c r="O22" s="121">
        <v>8</v>
      </c>
      <c r="P22" s="121">
        <v>8</v>
      </c>
      <c r="Q22" s="101">
        <v>1</v>
      </c>
      <c r="R22" s="101">
        <v>0.9</v>
      </c>
      <c r="S22" s="22"/>
      <c r="T22" s="35">
        <v>5</v>
      </c>
      <c r="U22" s="35">
        <v>0</v>
      </c>
      <c r="V22" s="35">
        <v>0</v>
      </c>
      <c r="W22" s="35">
        <v>3</v>
      </c>
      <c r="X22" s="31">
        <f t="shared" si="3"/>
        <v>8</v>
      </c>
      <c r="Y22" s="32">
        <f t="shared" si="1"/>
        <v>0.625</v>
      </c>
      <c r="Z22" s="32">
        <f t="shared" si="2"/>
        <v>1</v>
      </c>
      <c r="AA22" s="22" t="s">
        <v>89</v>
      </c>
      <c r="AB22" s="155" t="str">
        <f>_xlfn.XLOOKUP(F22,'TFS Details'!F:F,'TFS Details'!I:I)</f>
        <v>TechWizards</v>
      </c>
      <c r="AC22" s="155" t="str">
        <f>_xlfn.XLOOKUP(AB22,'TFS Details'!I:I,'TFS Details'!AE:AE)</f>
        <v>mervinkumar.manickam</v>
      </c>
    </row>
    <row r="23" spans="1:29">
      <c r="A23" s="21" t="str">
        <f>_xlfn.XLOOKUP(F23,'TFS Details'!F:F,'TFS Details'!D:D)</f>
        <v>SDL</v>
      </c>
      <c r="B23" s="21" t="str">
        <f>_xlfn.XLOOKUP(F23,'TFS Details'!F:F,'TFS Details'!A:A)</f>
        <v>Standard Role Implementation in SI Staffing Baseline - Analysis</v>
      </c>
      <c r="C23" s="46">
        <f>_xlfn.XLOOKUP(F23,'TFS Details'!F:F,'TFS Details'!E:E)</f>
        <v>4277501</v>
      </c>
      <c r="D23" s="160" t="s">
        <v>77</v>
      </c>
      <c r="E23" s="155" t="s">
        <v>90</v>
      </c>
      <c r="F23" s="78">
        <v>4371046</v>
      </c>
      <c r="G23" s="155" t="s">
        <v>80</v>
      </c>
      <c r="H23" s="155" t="s">
        <v>83</v>
      </c>
      <c r="I23" s="16" t="s">
        <v>41</v>
      </c>
      <c r="J23" s="16" t="s">
        <v>41</v>
      </c>
      <c r="K23" s="16" t="s">
        <v>46</v>
      </c>
      <c r="L23" s="16" t="s">
        <v>45</v>
      </c>
      <c r="M23" s="121">
        <v>30</v>
      </c>
      <c r="N23" s="121">
        <v>8</v>
      </c>
      <c r="O23" s="121">
        <v>13</v>
      </c>
      <c r="P23" s="121">
        <v>13</v>
      </c>
      <c r="Q23" s="101">
        <v>0.7</v>
      </c>
      <c r="R23" s="100">
        <v>0.7</v>
      </c>
      <c r="S23" s="22"/>
      <c r="T23" s="35">
        <v>7</v>
      </c>
      <c r="U23" s="35">
        <v>1</v>
      </c>
      <c r="V23" s="35">
        <v>0</v>
      </c>
      <c r="W23" s="35">
        <v>3</v>
      </c>
      <c r="X23" s="31">
        <f t="shared" si="3"/>
        <v>11</v>
      </c>
      <c r="Y23" s="32">
        <f t="shared" si="1"/>
        <v>0.72727272727272729</v>
      </c>
      <c r="Z23" s="32">
        <f t="shared" si="2"/>
        <v>0.875</v>
      </c>
      <c r="AA23" s="22" t="s">
        <v>91</v>
      </c>
      <c r="AB23" s="155" t="str">
        <f>_xlfn.XLOOKUP(F23,'TFS Details'!F:F,'TFS Details'!I:I)</f>
        <v>DevStormers</v>
      </c>
      <c r="AC23" s="155" t="str">
        <f>_xlfn.XLOOKUP(AB23,'TFS Details'!I:I,'TFS Details'!AE:AE)</f>
        <v>mervinkumar.manickam</v>
      </c>
    </row>
    <row r="24" spans="1:29">
      <c r="A24" s="21" t="str">
        <f>_xlfn.XLOOKUP(F24,'TFS Details'!F:F,'TFS Details'!D:D)</f>
        <v>STD Role</v>
      </c>
      <c r="B24" s="21" t="str">
        <f>_xlfn.XLOOKUP(F24,'TFS Details'!F:F,'TFS Details'!A:A)</f>
        <v>Standard Role Implementation in PCW &amp; Online SI - April Release</v>
      </c>
      <c r="C24" s="46">
        <f>_xlfn.XLOOKUP(F24,'TFS Details'!F:F,'TFS Details'!E:E)</f>
        <v>4373911</v>
      </c>
      <c r="D24" s="160" t="s">
        <v>77</v>
      </c>
      <c r="E24" s="155" t="s">
        <v>92</v>
      </c>
      <c r="F24" s="78">
        <v>4372847</v>
      </c>
      <c r="G24" s="155" t="s">
        <v>80</v>
      </c>
      <c r="H24" s="155" t="s">
        <v>84</v>
      </c>
      <c r="I24" s="16" t="s">
        <v>41</v>
      </c>
      <c r="J24" s="16" t="s">
        <v>41</v>
      </c>
      <c r="K24" s="16" t="s">
        <v>46</v>
      </c>
      <c r="L24" s="16" t="s">
        <v>45</v>
      </c>
      <c r="M24" s="121">
        <v>43</v>
      </c>
      <c r="N24" s="121">
        <v>30</v>
      </c>
      <c r="O24" s="121">
        <v>24</v>
      </c>
      <c r="P24" s="121">
        <v>24</v>
      </c>
      <c r="Q24" s="102">
        <v>0.7</v>
      </c>
      <c r="R24" s="102">
        <v>0.7</v>
      </c>
      <c r="S24" s="22"/>
      <c r="T24" s="35">
        <v>8</v>
      </c>
      <c r="U24" s="35">
        <v>8</v>
      </c>
      <c r="V24" s="35">
        <v>0</v>
      </c>
      <c r="W24" s="35">
        <v>8</v>
      </c>
      <c r="X24" s="31">
        <f t="shared" si="3"/>
        <v>24</v>
      </c>
      <c r="Y24" s="32">
        <f t="shared" si="1"/>
        <v>0.66666666666666663</v>
      </c>
      <c r="Z24" s="32">
        <f t="shared" si="2"/>
        <v>0.5</v>
      </c>
      <c r="AA24" s="22" t="s">
        <v>93</v>
      </c>
      <c r="AB24" s="155" t="str">
        <f>_xlfn.XLOOKUP(F24,'TFS Details'!F:F,'TFS Details'!I:I)</f>
        <v>TechWizards</v>
      </c>
      <c r="AC24" s="155" t="str">
        <f>_xlfn.XLOOKUP(AB24,'TFS Details'!I:I,'TFS Details'!AE:AE)</f>
        <v>mervinkumar.manickam</v>
      </c>
    </row>
    <row r="25" spans="1:29">
      <c r="A25" s="21" t="str">
        <f>_xlfn.XLOOKUP(F25,'TFS Details'!F:F,'TFS Details'!D:D)</f>
        <v>PCW</v>
      </c>
      <c r="B25" s="21" t="str">
        <f>_xlfn.XLOOKUP(F25,'TFS Details'!F:F,'TFS Details'!A:A)</f>
        <v>MMP FFP Export update - April release</v>
      </c>
      <c r="C25" s="46">
        <f>_xlfn.XLOOKUP(F25,'TFS Details'!F:F,'TFS Details'!E:E)</f>
        <v>4389877</v>
      </c>
      <c r="D25" s="160" t="s">
        <v>77</v>
      </c>
      <c r="E25" s="155" t="s">
        <v>94</v>
      </c>
      <c r="F25" s="78">
        <v>4395067</v>
      </c>
      <c r="G25" s="155" t="s">
        <v>79</v>
      </c>
      <c r="H25" s="155" t="s">
        <v>84</v>
      </c>
      <c r="I25" s="16" t="s">
        <v>41</v>
      </c>
      <c r="J25" s="16" t="s">
        <v>41</v>
      </c>
      <c r="K25" s="16" t="s">
        <v>45</v>
      </c>
      <c r="L25" s="16" t="s">
        <v>45</v>
      </c>
      <c r="M25" s="121">
        <v>11</v>
      </c>
      <c r="N25" s="121">
        <v>2</v>
      </c>
      <c r="O25" s="121">
        <v>8</v>
      </c>
      <c r="P25" s="121">
        <v>10</v>
      </c>
      <c r="Q25" s="101">
        <v>0.7</v>
      </c>
      <c r="R25" s="102">
        <v>0.7</v>
      </c>
      <c r="S25" s="22"/>
      <c r="T25" s="35">
        <v>8</v>
      </c>
      <c r="U25" s="35">
        <v>0</v>
      </c>
      <c r="V25" s="35">
        <v>0</v>
      </c>
      <c r="W25" s="35">
        <v>2</v>
      </c>
      <c r="X25" s="31">
        <f t="shared" si="3"/>
        <v>10</v>
      </c>
      <c r="Y25" s="32">
        <f t="shared" si="1"/>
        <v>0.8</v>
      </c>
      <c r="Z25" s="32">
        <f t="shared" si="2"/>
        <v>1</v>
      </c>
      <c r="AA25" s="89" t="s">
        <v>81</v>
      </c>
      <c r="AB25" s="155" t="str">
        <f>_xlfn.XLOOKUP(F25,'TFS Details'!F:F,'TFS Details'!I:I)</f>
        <v>Tech Ensemble</v>
      </c>
      <c r="AC25" s="155" t="str">
        <f>_xlfn.XLOOKUP(AB25,'TFS Details'!I:I,'TFS Details'!AE:AE)</f>
        <v>suraj.sukumaran</v>
      </c>
    </row>
    <row r="26" spans="1:29">
      <c r="A26" s="21" t="str">
        <f>_xlfn.XLOOKUP(F26,'TFS Details'!F:F,'TFS Details'!D:D)</f>
        <v>Online SI</v>
      </c>
      <c r="B26" s="21" t="str">
        <f>_xlfn.XLOOKUP(F26,'TFS Details'!F:F,'TFS Details'!A:A)</f>
        <v>Standard Role Implementation in PCW &amp; Online SI - April Release</v>
      </c>
      <c r="C26" s="46">
        <f>_xlfn.XLOOKUP(F26,'TFS Details'!F:F,'TFS Details'!E:E)</f>
        <v>4373911</v>
      </c>
      <c r="D26" s="160" t="s">
        <v>77</v>
      </c>
      <c r="E26" s="155" t="s">
        <v>95</v>
      </c>
      <c r="F26" s="78">
        <v>4411451</v>
      </c>
      <c r="G26" s="155" t="s">
        <v>79</v>
      </c>
      <c r="H26" s="155" t="s">
        <v>80</v>
      </c>
      <c r="I26" s="16" t="s">
        <v>41</v>
      </c>
      <c r="J26" s="16" t="s">
        <v>41</v>
      </c>
      <c r="K26" s="16" t="s">
        <v>45</v>
      </c>
      <c r="L26" s="16" t="s">
        <v>41</v>
      </c>
      <c r="M26" s="121">
        <v>10</v>
      </c>
      <c r="N26" s="121">
        <v>3</v>
      </c>
      <c r="O26" s="121">
        <v>1</v>
      </c>
      <c r="P26" s="121">
        <v>4</v>
      </c>
      <c r="Q26" s="101">
        <v>1</v>
      </c>
      <c r="R26" s="101">
        <v>0.9</v>
      </c>
      <c r="S26" s="22"/>
      <c r="T26" s="35">
        <v>3</v>
      </c>
      <c r="U26" s="35">
        <v>0</v>
      </c>
      <c r="V26" s="35">
        <v>0</v>
      </c>
      <c r="W26" s="35">
        <v>0</v>
      </c>
      <c r="X26" s="31">
        <f t="shared" si="3"/>
        <v>3</v>
      </c>
      <c r="Y26" s="32">
        <f t="shared" si="1"/>
        <v>1</v>
      </c>
      <c r="Z26" s="32">
        <f t="shared" si="2"/>
        <v>1</v>
      </c>
      <c r="AA26" s="22" t="s">
        <v>96</v>
      </c>
      <c r="AB26" s="155" t="str">
        <f>_xlfn.XLOOKUP(F26,'TFS Details'!F:F,'TFS Details'!I:I)</f>
        <v>TechAvengers</v>
      </c>
      <c r="AC26" s="155" t="str">
        <f>_xlfn.XLOOKUP(AB26,'TFS Details'!I:I,'TFS Details'!AE:AE)</f>
        <v>mervinkumar.manickam</v>
      </c>
    </row>
    <row r="27" spans="1:29">
      <c r="A27" s="21" t="str">
        <f>_xlfn.XLOOKUP(F27,'TFS Details'!F:F,'TFS Details'!D:D)</f>
        <v>SI - PCW</v>
      </c>
      <c r="B27" s="21" t="str">
        <f>_xlfn.XLOOKUP(F27,'TFS Details'!F:F,'TFS Details'!A:A)</f>
        <v>Standard Role Implementation in PCW &amp; Online SI - April Release</v>
      </c>
      <c r="C27" s="46">
        <f>_xlfn.XLOOKUP(F27,'TFS Details'!F:F,'TFS Details'!E:E)</f>
        <v>4373911</v>
      </c>
      <c r="D27" s="160" t="s">
        <v>77</v>
      </c>
      <c r="E27" s="155" t="s">
        <v>97</v>
      </c>
      <c r="F27" s="78">
        <v>4381707</v>
      </c>
      <c r="G27" s="155" t="s">
        <v>84</v>
      </c>
      <c r="H27" s="155" t="s">
        <v>83</v>
      </c>
      <c r="I27" s="16" t="s">
        <v>41</v>
      </c>
      <c r="J27" s="16" t="s">
        <v>41</v>
      </c>
      <c r="K27" s="16" t="s">
        <v>46</v>
      </c>
      <c r="L27" s="16" t="s">
        <v>30</v>
      </c>
      <c r="M27" s="121">
        <v>76</v>
      </c>
      <c r="N27" s="121">
        <v>12</v>
      </c>
      <c r="O27" s="121">
        <v>2</v>
      </c>
      <c r="P27" s="121">
        <v>14</v>
      </c>
      <c r="Q27" s="102">
        <v>0.85719999999999996</v>
      </c>
      <c r="R27" s="102">
        <v>1</v>
      </c>
      <c r="S27" s="22"/>
      <c r="T27" s="35">
        <v>8</v>
      </c>
      <c r="U27" s="35">
        <v>3</v>
      </c>
      <c r="V27" s="35">
        <v>3</v>
      </c>
      <c r="W27" s="35">
        <v>0</v>
      </c>
      <c r="X27" s="31">
        <f t="shared" si="3"/>
        <v>14</v>
      </c>
      <c r="Y27" s="32">
        <f t="shared" si="1"/>
        <v>0.7857142857142857</v>
      </c>
      <c r="Z27" s="32">
        <f t="shared" si="2"/>
        <v>0.5714285714285714</v>
      </c>
      <c r="AA27" s="22" t="s">
        <v>98</v>
      </c>
      <c r="AB27" s="155" t="str">
        <f>_xlfn.XLOOKUP(F27,'TFS Details'!F:F,'TFS Details'!I:I)</f>
        <v>Tech Ensemble</v>
      </c>
      <c r="AC27" s="155" t="str">
        <f>_xlfn.XLOOKUP(AB27,'TFS Details'!I:I,'TFS Details'!AE:AE)</f>
        <v>suraj.sukumaran</v>
      </c>
    </row>
    <row r="28" spans="1:29">
      <c r="A28" s="21" t="str">
        <f>_xlfn.XLOOKUP(F28,'TFS Details'!F:F,'TFS Details'!D:D)</f>
        <v>SI - PCW</v>
      </c>
      <c r="B28" s="21" t="str">
        <f>_xlfn.XLOOKUP(F28,'TFS Details'!F:F,'TFS Details'!A:A)</f>
        <v>Standard Role Implementation in PCW &amp; Online SI - April Release</v>
      </c>
      <c r="C28" s="46">
        <f>_xlfn.XLOOKUP(F28,'TFS Details'!F:F,'TFS Details'!E:E)</f>
        <v>4373911</v>
      </c>
      <c r="D28" s="160" t="s">
        <v>77</v>
      </c>
      <c r="E28" s="155" t="s">
        <v>99</v>
      </c>
      <c r="F28" s="78">
        <v>4386371</v>
      </c>
      <c r="G28" s="155" t="s">
        <v>84</v>
      </c>
      <c r="H28" s="155" t="s">
        <v>79</v>
      </c>
      <c r="I28" s="16" t="s">
        <v>41</v>
      </c>
      <c r="J28" s="16" t="s">
        <v>41</v>
      </c>
      <c r="K28" s="16" t="s">
        <v>46</v>
      </c>
      <c r="L28" s="16" t="s">
        <v>45</v>
      </c>
      <c r="M28" s="121">
        <v>71</v>
      </c>
      <c r="N28" s="121">
        <v>17</v>
      </c>
      <c r="O28" s="121">
        <v>0</v>
      </c>
      <c r="P28" s="121">
        <v>17</v>
      </c>
      <c r="Q28" s="30">
        <v>1</v>
      </c>
      <c r="R28" s="30">
        <v>1</v>
      </c>
      <c r="S28" s="22"/>
      <c r="T28" s="35">
        <v>9</v>
      </c>
      <c r="U28" s="35">
        <v>0</v>
      </c>
      <c r="V28" s="35">
        <v>0</v>
      </c>
      <c r="W28" s="35">
        <v>4</v>
      </c>
      <c r="X28" s="31">
        <f t="shared" si="3"/>
        <v>13</v>
      </c>
      <c r="Y28" s="32">
        <f t="shared" si="1"/>
        <v>0.69230769230769229</v>
      </c>
      <c r="Z28" s="32">
        <f t="shared" si="2"/>
        <v>1</v>
      </c>
      <c r="AA28" s="22" t="s">
        <v>89</v>
      </c>
      <c r="AB28" s="155" t="str">
        <f>_xlfn.XLOOKUP(F28,'TFS Details'!F:F,'TFS Details'!I:I)</f>
        <v>Tech Ensemble</v>
      </c>
      <c r="AC28" s="155" t="str">
        <f>_xlfn.XLOOKUP(AB28,'TFS Details'!I:I,'TFS Details'!AE:AE)</f>
        <v>suraj.sukumaran</v>
      </c>
    </row>
    <row r="29" spans="1:29">
      <c r="A29" s="21" t="str">
        <f>_xlfn.XLOOKUP(F29,'TFS Details'!F:F,'TFS Details'!D:D)</f>
        <v>SI - PCW</v>
      </c>
      <c r="B29" s="21" t="str">
        <f>_xlfn.XLOOKUP(F29,'TFS Details'!F:F,'TFS Details'!A:A)</f>
        <v>Standard Role Implementation in PCW &amp; Online SI - April Release</v>
      </c>
      <c r="C29" s="46">
        <f>_xlfn.XLOOKUP(F29,'TFS Details'!F:F,'TFS Details'!E:E)</f>
        <v>4373911</v>
      </c>
      <c r="D29" s="160" t="s">
        <v>77</v>
      </c>
      <c r="E29" s="155" t="s">
        <v>100</v>
      </c>
      <c r="F29" s="78">
        <v>4386372</v>
      </c>
      <c r="G29" s="155" t="s">
        <v>80</v>
      </c>
      <c r="H29" s="155" t="s">
        <v>83</v>
      </c>
      <c r="I29" s="16" t="s">
        <v>41</v>
      </c>
      <c r="J29" s="16" t="s">
        <v>41</v>
      </c>
      <c r="K29" s="16" t="s">
        <v>46</v>
      </c>
      <c r="L29" s="16" t="s">
        <v>41</v>
      </c>
      <c r="M29" s="121">
        <v>37</v>
      </c>
      <c r="N29" s="121">
        <v>15</v>
      </c>
      <c r="O29" s="121">
        <v>20</v>
      </c>
      <c r="P29" s="121">
        <v>20</v>
      </c>
      <c r="Q29" s="30">
        <v>0.8</v>
      </c>
      <c r="R29" s="30">
        <v>0.8</v>
      </c>
      <c r="S29" s="22"/>
      <c r="T29" s="35">
        <v>20</v>
      </c>
      <c r="U29" s="35">
        <v>0</v>
      </c>
      <c r="V29" s="35">
        <v>0</v>
      </c>
      <c r="W29" s="35">
        <v>0</v>
      </c>
      <c r="X29" s="31">
        <f t="shared" si="3"/>
        <v>20</v>
      </c>
      <c r="Y29" s="32">
        <f t="shared" si="1"/>
        <v>1</v>
      </c>
      <c r="Z29" s="32">
        <f t="shared" si="2"/>
        <v>1</v>
      </c>
      <c r="AA29" s="22" t="s">
        <v>96</v>
      </c>
      <c r="AB29" s="155" t="str">
        <f>_xlfn.XLOOKUP(F29,'TFS Details'!F:F,'TFS Details'!I:I)</f>
        <v>Tech Ensemble</v>
      </c>
      <c r="AC29" s="155" t="str">
        <f>_xlfn.XLOOKUP(AB29,'TFS Details'!I:I,'TFS Details'!AE:AE)</f>
        <v>suraj.sukumaran</v>
      </c>
    </row>
    <row r="30" spans="1:29">
      <c r="A30" s="21" t="str">
        <f>_xlfn.XLOOKUP(F30,'TFS Details'!F:F,'TFS Details'!D:D)</f>
        <v>SI - PCW</v>
      </c>
      <c r="B30" s="21" t="str">
        <f>_xlfn.XLOOKUP(F30,'TFS Details'!F:F,'TFS Details'!A:A)</f>
        <v>Standard Role Implementation in PCW &amp; Online SI - April Release</v>
      </c>
      <c r="C30" s="46">
        <f>_xlfn.XLOOKUP(F30,'TFS Details'!F:F,'TFS Details'!E:E)</f>
        <v>4373911</v>
      </c>
      <c r="D30" s="160" t="s">
        <v>77</v>
      </c>
      <c r="E30" s="155" t="s">
        <v>101</v>
      </c>
      <c r="F30" s="78">
        <v>4386373</v>
      </c>
      <c r="G30" s="155" t="s">
        <v>84</v>
      </c>
      <c r="H30" s="155" t="s">
        <v>79</v>
      </c>
      <c r="I30" s="16" t="s">
        <v>41</v>
      </c>
      <c r="J30" s="16" t="s">
        <v>41</v>
      </c>
      <c r="K30" s="16" t="s">
        <v>46</v>
      </c>
      <c r="L30" s="16" t="s">
        <v>45</v>
      </c>
      <c r="M30" s="121">
        <v>51</v>
      </c>
      <c r="N30" s="121">
        <v>12</v>
      </c>
      <c r="O30" s="121">
        <v>0</v>
      </c>
      <c r="P30" s="121">
        <v>12</v>
      </c>
      <c r="Q30" s="92">
        <v>1</v>
      </c>
      <c r="R30" s="92">
        <v>1</v>
      </c>
      <c r="S30" s="22"/>
      <c r="T30" s="35">
        <v>11</v>
      </c>
      <c r="U30" s="35">
        <v>1</v>
      </c>
      <c r="V30" s="35">
        <v>0</v>
      </c>
      <c r="W30" s="35">
        <v>0</v>
      </c>
      <c r="X30" s="31">
        <f t="shared" si="3"/>
        <v>12</v>
      </c>
      <c r="Y30" s="32">
        <f t="shared" si="1"/>
        <v>1</v>
      </c>
      <c r="Z30" s="32">
        <f t="shared" si="2"/>
        <v>0.91666666666666663</v>
      </c>
      <c r="AA30" s="22" t="s">
        <v>102</v>
      </c>
      <c r="AB30" s="155" t="str">
        <f>_xlfn.XLOOKUP(F30,'TFS Details'!F:F,'TFS Details'!I:I)</f>
        <v>Tech Ensemble</v>
      </c>
      <c r="AC30" s="155" t="str">
        <f>_xlfn.XLOOKUP(AB30,'TFS Details'!I:I,'TFS Details'!AE:AE)</f>
        <v>suraj.sukumaran</v>
      </c>
    </row>
    <row r="31" spans="1:29">
      <c r="A31" s="21" t="str">
        <f>_xlfn.XLOOKUP(F31,'TFS Details'!F:F,'TFS Details'!D:D)</f>
        <v>STD Role</v>
      </c>
      <c r="B31" s="21" t="str">
        <f>_xlfn.XLOOKUP(F31,'TFS Details'!F:F,'TFS Details'!A:A)</f>
        <v>Standard Role Implementation in PCW &amp; Online SI - April Release</v>
      </c>
      <c r="C31" s="46">
        <f>_xlfn.XLOOKUP(F31,'TFS Details'!F:F,'TFS Details'!E:E)</f>
        <v>4373911</v>
      </c>
      <c r="D31" s="160" t="s">
        <v>77</v>
      </c>
      <c r="E31" s="155" t="s">
        <v>103</v>
      </c>
      <c r="F31" s="78">
        <v>4386942</v>
      </c>
      <c r="G31" s="155" t="s">
        <v>83</v>
      </c>
      <c r="H31" s="155" t="s">
        <v>84</v>
      </c>
      <c r="I31" s="16" t="s">
        <v>41</v>
      </c>
      <c r="J31" s="16" t="s">
        <v>41</v>
      </c>
      <c r="K31" s="16" t="s">
        <v>45</v>
      </c>
      <c r="L31" s="16" t="s">
        <v>45</v>
      </c>
      <c r="M31" s="121">
        <v>35</v>
      </c>
      <c r="N31" s="121">
        <v>11</v>
      </c>
      <c r="O31" s="121">
        <v>5</v>
      </c>
      <c r="P31" s="121">
        <v>8</v>
      </c>
      <c r="Q31" s="101">
        <v>1</v>
      </c>
      <c r="R31" s="101">
        <v>0.8</v>
      </c>
      <c r="S31" s="22"/>
      <c r="T31" s="35">
        <v>7</v>
      </c>
      <c r="U31" s="35">
        <v>1</v>
      </c>
      <c r="V31" s="35">
        <v>0</v>
      </c>
      <c r="W31" s="35">
        <v>0</v>
      </c>
      <c r="X31" s="31">
        <f t="shared" si="3"/>
        <v>8</v>
      </c>
      <c r="Y31" s="32">
        <f t="shared" si="1"/>
        <v>1</v>
      </c>
      <c r="Z31" s="32">
        <f t="shared" si="2"/>
        <v>0.875</v>
      </c>
      <c r="AA31" s="22" t="s">
        <v>104</v>
      </c>
      <c r="AB31" s="155" t="str">
        <f>_xlfn.XLOOKUP(F31,'TFS Details'!F:F,'TFS Details'!I:I)</f>
        <v>TechAvengers</v>
      </c>
      <c r="AC31" s="155" t="str">
        <f>_xlfn.XLOOKUP(AB31,'TFS Details'!I:I,'TFS Details'!AE:AE)</f>
        <v>mervinkumar.manickam</v>
      </c>
    </row>
    <row r="32" spans="1:29">
      <c r="A32" s="21" t="str">
        <f>_xlfn.XLOOKUP(F32,'TFS Details'!F:F,'TFS Details'!D:D)</f>
        <v>STD Role</v>
      </c>
      <c r="B32" s="21" t="str">
        <f>_xlfn.XLOOKUP(F32,'TFS Details'!F:F,'TFS Details'!A:A)</f>
        <v>Standard Role Implementation in PCW &amp; Online SI - April Release</v>
      </c>
      <c r="C32" s="46">
        <f>_xlfn.XLOOKUP(F32,'TFS Details'!F:F,'TFS Details'!E:E)</f>
        <v>4373911</v>
      </c>
      <c r="D32" s="160" t="s">
        <v>77</v>
      </c>
      <c r="E32" s="155" t="s">
        <v>105</v>
      </c>
      <c r="F32" s="78">
        <v>4386944</v>
      </c>
      <c r="G32" s="155" t="s">
        <v>83</v>
      </c>
      <c r="H32" s="155" t="s">
        <v>80</v>
      </c>
      <c r="I32" s="16" t="s">
        <v>41</v>
      </c>
      <c r="J32" s="16" t="s">
        <v>41</v>
      </c>
      <c r="K32" s="16" t="s">
        <v>45</v>
      </c>
      <c r="L32" s="16" t="s">
        <v>41</v>
      </c>
      <c r="M32" s="121">
        <v>40</v>
      </c>
      <c r="N32" s="121">
        <v>10</v>
      </c>
      <c r="O32" s="121">
        <v>5</v>
      </c>
      <c r="P32" s="121">
        <v>9</v>
      </c>
      <c r="Q32" s="101">
        <v>1</v>
      </c>
      <c r="R32" s="101">
        <v>1</v>
      </c>
      <c r="S32" s="22"/>
      <c r="T32" s="35">
        <v>9</v>
      </c>
      <c r="U32" s="35">
        <v>0</v>
      </c>
      <c r="V32" s="35">
        <v>0</v>
      </c>
      <c r="W32" s="35">
        <v>0</v>
      </c>
      <c r="X32" s="31">
        <f t="shared" si="3"/>
        <v>9</v>
      </c>
      <c r="Y32" s="32">
        <f t="shared" si="1"/>
        <v>1</v>
      </c>
      <c r="Z32" s="32">
        <f t="shared" si="2"/>
        <v>1</v>
      </c>
      <c r="AA32" s="22" t="s">
        <v>106</v>
      </c>
      <c r="AB32" s="155" t="str">
        <f>_xlfn.XLOOKUP(F32,'TFS Details'!F:F,'TFS Details'!I:I)</f>
        <v>TechAvengers</v>
      </c>
      <c r="AC32" s="155" t="str">
        <f>_xlfn.XLOOKUP(AB32,'TFS Details'!I:I,'TFS Details'!AE:AE)</f>
        <v>mervinkumar.manickam</v>
      </c>
    </row>
    <row r="33" spans="1:29">
      <c r="A33" s="21" t="str">
        <f>_xlfn.XLOOKUP(F33,'TFS Details'!F:F,'TFS Details'!D:D)</f>
        <v>STD Role</v>
      </c>
      <c r="B33" s="21" t="str">
        <f>_xlfn.XLOOKUP(F33,'TFS Details'!F:F,'TFS Details'!A:A)</f>
        <v>Standard Role Implementation in PCW &amp; Online SI - April Release</v>
      </c>
      <c r="C33" s="46">
        <f>_xlfn.XLOOKUP(F33,'TFS Details'!F:F,'TFS Details'!E:E)</f>
        <v>4373911</v>
      </c>
      <c r="D33" s="162" t="s">
        <v>77</v>
      </c>
      <c r="E33" s="163" t="s">
        <v>107</v>
      </c>
      <c r="F33" s="78">
        <v>4386945</v>
      </c>
      <c r="G33" s="155" t="s">
        <v>80</v>
      </c>
      <c r="H33" s="155" t="s">
        <v>79</v>
      </c>
      <c r="I33" s="16" t="s">
        <v>41</v>
      </c>
      <c r="J33" s="16" t="s">
        <v>41</v>
      </c>
      <c r="K33" s="16" t="s">
        <v>46</v>
      </c>
      <c r="L33" s="16" t="s">
        <v>45</v>
      </c>
      <c r="M33" s="121">
        <v>54</v>
      </c>
      <c r="N33" s="121">
        <v>20</v>
      </c>
      <c r="O33" s="121">
        <v>26</v>
      </c>
      <c r="P33" s="121">
        <v>26</v>
      </c>
      <c r="Q33" s="30">
        <v>0.8</v>
      </c>
      <c r="R33" s="30">
        <v>0.8</v>
      </c>
      <c r="S33" s="22"/>
      <c r="T33" s="35">
        <v>16</v>
      </c>
      <c r="U33" s="35">
        <v>6</v>
      </c>
      <c r="V33" s="35">
        <v>0</v>
      </c>
      <c r="W33" s="35">
        <v>4</v>
      </c>
      <c r="X33" s="31">
        <f t="shared" si="3"/>
        <v>26</v>
      </c>
      <c r="Y33" s="32">
        <f t="shared" si="1"/>
        <v>0.84615384615384615</v>
      </c>
      <c r="Z33" s="32">
        <f t="shared" si="2"/>
        <v>0.72727272727272729</v>
      </c>
      <c r="AA33" s="22" t="s">
        <v>108</v>
      </c>
      <c r="AB33" s="155" t="str">
        <f>_xlfn.XLOOKUP(F33,'TFS Details'!F:F,'TFS Details'!I:I)</f>
        <v>TechWizards</v>
      </c>
      <c r="AC33" s="155" t="str">
        <f>_xlfn.XLOOKUP(AB33,'TFS Details'!I:I,'TFS Details'!AE:AE)</f>
        <v>mervinkumar.manickam</v>
      </c>
    </row>
    <row r="34" spans="1:29">
      <c r="A34" s="21" t="str">
        <f>_xlfn.XLOOKUP(F34,'TFS Details'!F:F,'TFS Details'!D:D)</f>
        <v>STD Role</v>
      </c>
      <c r="B34" s="21" t="str">
        <f>_xlfn.XLOOKUP(F34,'TFS Details'!F:F,'TFS Details'!A:A)</f>
        <v>Standard Role Implementation in PCW &amp; Online SI - April Release</v>
      </c>
      <c r="C34" s="46">
        <f>_xlfn.XLOOKUP(F34,'TFS Details'!F:F,'TFS Details'!E:E)</f>
        <v>4373911</v>
      </c>
      <c r="D34" s="16" t="s">
        <v>77</v>
      </c>
      <c r="E34" s="113" t="s">
        <v>109</v>
      </c>
      <c r="F34" s="181">
        <v>4359294</v>
      </c>
      <c r="G34" s="155" t="s">
        <v>84</v>
      </c>
      <c r="H34" s="155" t="s">
        <v>83</v>
      </c>
      <c r="I34" s="16" t="s">
        <v>41</v>
      </c>
      <c r="J34" s="16" t="s">
        <v>41</v>
      </c>
      <c r="K34" s="16" t="s">
        <v>46</v>
      </c>
      <c r="L34" s="16" t="s">
        <v>45</v>
      </c>
      <c r="M34" s="121">
        <v>53</v>
      </c>
      <c r="N34" s="121">
        <v>10</v>
      </c>
      <c r="O34" s="121">
        <v>0</v>
      </c>
      <c r="P34" s="121">
        <v>10</v>
      </c>
      <c r="Q34" s="30">
        <v>1</v>
      </c>
      <c r="R34" s="30">
        <v>1</v>
      </c>
      <c r="S34" s="22"/>
      <c r="T34" s="35">
        <v>5</v>
      </c>
      <c r="U34" s="35">
        <v>0</v>
      </c>
      <c r="V34" s="35">
        <v>0</v>
      </c>
      <c r="W34" s="35">
        <v>5</v>
      </c>
      <c r="X34" s="31">
        <f t="shared" si="3"/>
        <v>10</v>
      </c>
      <c r="Y34" s="32">
        <f t="shared" si="1"/>
        <v>0.5</v>
      </c>
      <c r="Z34" s="32">
        <f t="shared" si="2"/>
        <v>1</v>
      </c>
      <c r="AA34" s="22"/>
      <c r="AB34" s="155" t="str">
        <f>_xlfn.XLOOKUP(F34,'TFS Details'!F:F,'TFS Details'!I:I)</f>
        <v>TechWizards</v>
      </c>
      <c r="AC34" s="155" t="str">
        <f>_xlfn.XLOOKUP(AB34,'TFS Details'!I:I,'TFS Details'!AE:AE)</f>
        <v>mervinkumar.manickam</v>
      </c>
    </row>
    <row r="35" spans="1:29" hidden="1">
      <c r="A35" s="21" t="str">
        <f>_xlfn.XLOOKUP(F35,'TFS Details'!F:F,'TFS Details'!D:D)</f>
        <v>Manage screen AMS VT Report link</v>
      </c>
      <c r="B35" s="21" t="str">
        <f>_xlfn.XLOOKUP(F35,'TFS Details'!F:F,'TFS Details'!A:A)</f>
        <v>Moving current AMSVT to PBI AMSVT.</v>
      </c>
      <c r="C35" s="46">
        <f>_xlfn.XLOOKUP(F35,'TFS Details'!F:F,'TFS Details'!E:E)</f>
        <v>4446745</v>
      </c>
      <c r="D35" s="16" t="s">
        <v>110</v>
      </c>
      <c r="E35" s="178" t="s">
        <v>111</v>
      </c>
      <c r="F35" s="176">
        <v>4446747</v>
      </c>
      <c r="G35" s="179" t="s">
        <v>112</v>
      </c>
      <c r="H35" s="155" t="s">
        <v>113</v>
      </c>
      <c r="I35" s="16" t="s">
        <v>41</v>
      </c>
      <c r="J35" s="16" t="s">
        <v>41</v>
      </c>
      <c r="K35" s="16" t="s">
        <v>46</v>
      </c>
      <c r="L35" s="16" t="s">
        <v>41</v>
      </c>
      <c r="M35" s="121">
        <v>11</v>
      </c>
      <c r="N35" s="121">
        <v>3</v>
      </c>
      <c r="O35" s="121">
        <v>2</v>
      </c>
      <c r="P35" s="121">
        <v>3</v>
      </c>
      <c r="Q35" s="30">
        <v>1</v>
      </c>
      <c r="R35" s="30">
        <v>1</v>
      </c>
      <c r="S35" s="22"/>
      <c r="T35" s="35">
        <v>3</v>
      </c>
      <c r="U35" s="35">
        <v>0</v>
      </c>
      <c r="V35" s="35">
        <v>0</v>
      </c>
      <c r="W35" s="35">
        <v>0</v>
      </c>
      <c r="X35" s="31">
        <f t="shared" si="3"/>
        <v>3</v>
      </c>
      <c r="Y35" s="32">
        <f t="shared" si="1"/>
        <v>1</v>
      </c>
      <c r="Z35" s="32">
        <f t="shared" si="2"/>
        <v>1</v>
      </c>
      <c r="AA35" s="22"/>
      <c r="AB35" s="155" t="str">
        <f>_xlfn.XLOOKUP(F35,'TFS Details'!F:F,'TFS Details'!I:I)</f>
        <v>GoRetro</v>
      </c>
      <c r="AC35" s="155" t="str">
        <f>_xlfn.XLOOKUP(AB35,'TFS Details'!I:I,'TFS Details'!AE:AE)</f>
        <v>sowjanya.kari</v>
      </c>
    </row>
    <row r="36" spans="1:29" hidden="1">
      <c r="A36" s="21" t="str">
        <f>_xlfn.XLOOKUP(F36,'TFS Details'!F:F,'TFS Details'!D:D)</f>
        <v>PMO reporting Layer</v>
      </c>
      <c r="B36" s="21" t="str">
        <f>_xlfn.XLOOKUP(F36,'TFS Details'!F:F,'TFS Details'!A:A)</f>
        <v>Addition of "Mergers and Acquisitions" column in PMO Reporting layer</v>
      </c>
      <c r="C36" s="46">
        <f>_xlfn.XLOOKUP(F36,'TFS Details'!F:F,'TFS Details'!E:E)</f>
        <v>4458987</v>
      </c>
      <c r="D36" s="16" t="s">
        <v>110</v>
      </c>
      <c r="E36" s="178" t="s">
        <v>114</v>
      </c>
      <c r="F36" s="177">
        <v>4459023</v>
      </c>
      <c r="G36" s="179" t="s">
        <v>112</v>
      </c>
      <c r="H36" s="155" t="s">
        <v>113</v>
      </c>
      <c r="I36" s="16" t="s">
        <v>41</v>
      </c>
      <c r="J36" s="16" t="s">
        <v>41</v>
      </c>
      <c r="K36" s="16" t="s">
        <v>46</v>
      </c>
      <c r="L36" s="16" t="s">
        <v>46</v>
      </c>
      <c r="M36" s="121">
        <v>10</v>
      </c>
      <c r="N36" s="121">
        <v>5</v>
      </c>
      <c r="O36" s="121">
        <v>4</v>
      </c>
      <c r="P36" s="121">
        <v>5</v>
      </c>
      <c r="Q36" s="30">
        <v>1</v>
      </c>
      <c r="R36" s="30">
        <v>1</v>
      </c>
      <c r="S36" s="22"/>
      <c r="T36" s="35">
        <v>0</v>
      </c>
      <c r="U36" s="35">
        <v>0</v>
      </c>
      <c r="V36" s="35">
        <v>0</v>
      </c>
      <c r="W36" s="35">
        <v>0</v>
      </c>
      <c r="X36" s="31">
        <f t="shared" si="3"/>
        <v>0</v>
      </c>
      <c r="Y36" s="32">
        <f t="shared" si="1"/>
        <v>0</v>
      </c>
      <c r="Z36" s="32">
        <f t="shared" si="2"/>
        <v>0</v>
      </c>
      <c r="AA36" s="22"/>
      <c r="AB36" s="155" t="str">
        <f>_xlfn.XLOOKUP(F36,'TFS Details'!F:F,'TFS Details'!I:I)</f>
        <v>Cognilytics</v>
      </c>
      <c r="AC36" s="155" t="str">
        <f>_xlfn.XLOOKUP(AB36,'TFS Details'!I:I,'TFS Details'!AE:AE)</f>
        <v>anil.kadiri</v>
      </c>
    </row>
    <row r="37" spans="1:29" hidden="1">
      <c r="A37" s="21" t="str">
        <f>_xlfn.XLOOKUP(F37,'TFS Details'!F:F,'TFS Details'!D:D)</f>
        <v>LCM COTS Enhancements</v>
      </c>
      <c r="B37" s="21" t="str">
        <f>_xlfn.XLOOKUP(F37,'TFS Details'!F:F,'TFS Details'!A:A)</f>
        <v>LCM Infra - COTs App Replatform</v>
      </c>
      <c r="C37" s="46">
        <f>_xlfn.XLOOKUP(F37,'TFS Details'!F:F,'TFS Details'!E:E)</f>
        <v>4386341</v>
      </c>
      <c r="D37" s="48" t="s">
        <v>115</v>
      </c>
      <c r="E37" s="131" t="s">
        <v>116</v>
      </c>
      <c r="F37" s="180">
        <v>4446805</v>
      </c>
      <c r="G37" s="160" t="s">
        <v>117</v>
      </c>
      <c r="H37" s="47" t="s">
        <v>118</v>
      </c>
      <c r="I37" s="16" t="s">
        <v>45</v>
      </c>
      <c r="J37" s="16" t="s">
        <v>46</v>
      </c>
      <c r="K37" s="16" t="s">
        <v>46</v>
      </c>
      <c r="L37" s="16" t="s">
        <v>46</v>
      </c>
      <c r="M37" s="121"/>
      <c r="N37" s="121"/>
      <c r="O37" s="121"/>
      <c r="P37" s="121"/>
      <c r="Q37" s="30"/>
      <c r="R37" s="30"/>
      <c r="S37" s="22"/>
      <c r="T37" s="35">
        <v>0</v>
      </c>
      <c r="U37" s="35">
        <v>0</v>
      </c>
      <c r="V37" s="35">
        <v>0</v>
      </c>
      <c r="W37" s="166">
        <v>0</v>
      </c>
      <c r="X37" s="31">
        <f t="shared" si="3"/>
        <v>0</v>
      </c>
      <c r="Y37" s="32">
        <f t="shared" si="1"/>
        <v>0</v>
      </c>
      <c r="Z37" s="32">
        <f t="shared" si="2"/>
        <v>0</v>
      </c>
      <c r="AA37" s="22"/>
      <c r="AB37" s="155" t="str">
        <f>_xlfn.XLOOKUP(F37,'TFS Details'!F:F,'TFS Details'!I:I)</f>
        <v>myISP_IMS</v>
      </c>
      <c r="AC37" s="155" t="str">
        <f>_xlfn.XLOOKUP(AB37,'TFS Details'!I:I,'TFS Details'!AE:AE)</f>
        <v>supriya.a.dhingra</v>
      </c>
    </row>
    <row r="38" spans="1:29" hidden="1">
      <c r="A38" s="21" t="str">
        <f>_xlfn.XLOOKUP(F38,'TFS Details'!F:F,'TFS Details'!D:D)</f>
        <v>LCM COTS Enhancements</v>
      </c>
      <c r="B38" s="21" t="str">
        <f>_xlfn.XLOOKUP(F38,'TFS Details'!F:F,'TFS Details'!A:A)</f>
        <v>LCM Infra - COTs App Replatform</v>
      </c>
      <c r="C38" s="46">
        <f>_xlfn.XLOOKUP(F38,'TFS Details'!F:F,'TFS Details'!E:E)</f>
        <v>4386341</v>
      </c>
      <c r="D38" s="48" t="s">
        <v>115</v>
      </c>
      <c r="E38" s="131" t="s">
        <v>119</v>
      </c>
      <c r="F38" s="180">
        <v>4446806</v>
      </c>
      <c r="G38" s="160" t="s">
        <v>117</v>
      </c>
      <c r="H38" s="47" t="s">
        <v>118</v>
      </c>
      <c r="I38" s="16" t="s">
        <v>45</v>
      </c>
      <c r="J38" s="16" t="s">
        <v>46</v>
      </c>
      <c r="K38" s="16" t="s">
        <v>46</v>
      </c>
      <c r="L38" s="16" t="s">
        <v>46</v>
      </c>
      <c r="M38" s="121"/>
      <c r="N38" s="121"/>
      <c r="O38" s="121"/>
      <c r="P38" s="121"/>
      <c r="Q38" s="92"/>
      <c r="R38" s="92"/>
      <c r="S38" s="22"/>
      <c r="T38" s="35">
        <v>0</v>
      </c>
      <c r="U38" s="35">
        <v>0</v>
      </c>
      <c r="V38" s="35">
        <v>0</v>
      </c>
      <c r="W38" s="166">
        <v>0</v>
      </c>
      <c r="X38" s="31">
        <f t="shared" si="3"/>
        <v>0</v>
      </c>
      <c r="Y38" s="32">
        <f t="shared" si="1"/>
        <v>0</v>
      </c>
      <c r="Z38" s="32">
        <f t="shared" si="2"/>
        <v>0</v>
      </c>
      <c r="AA38" s="22"/>
      <c r="AB38" s="155" t="str">
        <f>_xlfn.XLOOKUP(F38,'TFS Details'!F:F,'TFS Details'!I:I)</f>
        <v>myISP_IMS</v>
      </c>
      <c r="AC38" s="155" t="str">
        <f>_xlfn.XLOOKUP(AB38,'TFS Details'!I:I,'TFS Details'!AE:AE)</f>
        <v>supriya.a.dhingra</v>
      </c>
    </row>
    <row r="39" spans="1:29" hidden="1">
      <c r="A39" s="21" t="str">
        <f>_xlfn.XLOOKUP(F39,'TFS Details'!F:F,'TFS Details'!D:D)</f>
        <v>LCM COTS Enhancements</v>
      </c>
      <c r="B39" s="21" t="str">
        <f>_xlfn.XLOOKUP(F39,'TFS Details'!F:F,'TFS Details'!A:A)</f>
        <v>LCM Infra - COTs App Replatform</v>
      </c>
      <c r="C39" s="46">
        <f>_xlfn.XLOOKUP(F39,'TFS Details'!F:F,'TFS Details'!E:E)</f>
        <v>4386341</v>
      </c>
      <c r="D39" s="48" t="s">
        <v>115</v>
      </c>
      <c r="E39" s="131" t="s">
        <v>120</v>
      </c>
      <c r="F39" s="180">
        <v>4446807</v>
      </c>
      <c r="G39" s="160" t="s">
        <v>117</v>
      </c>
      <c r="H39" s="47" t="s">
        <v>118</v>
      </c>
      <c r="I39" s="16" t="s">
        <v>45</v>
      </c>
      <c r="J39" s="16" t="s">
        <v>46</v>
      </c>
      <c r="K39" s="16" t="s">
        <v>46</v>
      </c>
      <c r="L39" s="16" t="s">
        <v>46</v>
      </c>
      <c r="M39" s="121"/>
      <c r="N39" s="121"/>
      <c r="O39" s="121"/>
      <c r="P39" s="121"/>
      <c r="Q39" s="30"/>
      <c r="R39" s="30"/>
      <c r="S39" s="22"/>
      <c r="T39" s="35">
        <v>0</v>
      </c>
      <c r="U39" s="35">
        <v>0</v>
      </c>
      <c r="V39" s="35">
        <v>0</v>
      </c>
      <c r="W39" s="166">
        <v>0</v>
      </c>
      <c r="X39" s="31">
        <f t="shared" si="3"/>
        <v>0</v>
      </c>
      <c r="Y39" s="32">
        <f t="shared" si="1"/>
        <v>0</v>
      </c>
      <c r="Z39" s="32">
        <f t="shared" si="2"/>
        <v>0</v>
      </c>
      <c r="AA39" s="22"/>
      <c r="AB39" s="155" t="str">
        <f>_xlfn.XLOOKUP(F39,'TFS Details'!F:F,'TFS Details'!I:I)</f>
        <v>myISP_IMS</v>
      </c>
      <c r="AC39" s="155" t="str">
        <f>_xlfn.XLOOKUP(AB39,'TFS Details'!I:I,'TFS Details'!AE:AE)</f>
        <v>supriya.a.dhingra</v>
      </c>
    </row>
    <row r="40" spans="1:29" hidden="1">
      <c r="A40" s="167" t="str">
        <f>_xlfn.XLOOKUP(F40,'TFS Details'!F:F,'TFS Details'!D:D)</f>
        <v>LCM COTS Enhancements</v>
      </c>
      <c r="B40" s="167" t="str">
        <f>_xlfn.XLOOKUP(F40,'TFS Details'!F:F,'TFS Details'!A:A)</f>
        <v>LCM Infra - COTs App Replatform</v>
      </c>
      <c r="C40" s="168">
        <f>_xlfn.XLOOKUP(F40,'TFS Details'!F:F,'TFS Details'!E:E)</f>
        <v>4386341</v>
      </c>
      <c r="D40" s="169" t="s">
        <v>115</v>
      </c>
      <c r="E40" s="174" t="s">
        <v>121</v>
      </c>
      <c r="F40" s="180">
        <v>4446808</v>
      </c>
      <c r="G40" s="160" t="s">
        <v>117</v>
      </c>
      <c r="H40" s="47" t="s">
        <v>118</v>
      </c>
      <c r="I40" s="16" t="s">
        <v>45</v>
      </c>
      <c r="J40" s="16" t="s">
        <v>46</v>
      </c>
      <c r="K40" s="16" t="s">
        <v>46</v>
      </c>
      <c r="L40" s="16" t="s">
        <v>46</v>
      </c>
      <c r="M40" s="121"/>
      <c r="N40" s="121"/>
      <c r="O40" s="121"/>
      <c r="P40" s="121"/>
      <c r="Q40" s="30"/>
      <c r="R40" s="30"/>
      <c r="S40" s="22"/>
      <c r="T40" s="35">
        <v>0</v>
      </c>
      <c r="U40" s="35">
        <v>0</v>
      </c>
      <c r="V40" s="35">
        <v>0</v>
      </c>
      <c r="W40" s="35">
        <v>0</v>
      </c>
      <c r="X40" s="31">
        <f t="shared" si="3"/>
        <v>0</v>
      </c>
      <c r="Y40" s="32">
        <f t="shared" si="1"/>
        <v>0</v>
      </c>
      <c r="Z40" s="32">
        <f t="shared" si="2"/>
        <v>0</v>
      </c>
      <c r="AA40" s="22"/>
      <c r="AB40" s="155" t="str">
        <f>_xlfn.XLOOKUP(F40,'TFS Details'!F:F,'TFS Details'!I:I)</f>
        <v>myISP_IMS</v>
      </c>
      <c r="AC40" s="155" t="str">
        <f>_xlfn.XLOOKUP(AB40,'TFS Details'!I:I,'TFS Details'!AE:AE)</f>
        <v>supriya.a.dhingra</v>
      </c>
    </row>
    <row r="41" spans="1:29" hidden="1">
      <c r="A41" s="170" t="str">
        <f>_xlfn.XLOOKUP(F41,'TFS Details'!F:F,'TFS Details'!D:D)</f>
        <v>LCM COTS Enhancements</v>
      </c>
      <c r="B41" s="170" t="str">
        <f>_xlfn.XLOOKUP(F41,'TFS Details'!F:F,'TFS Details'!A:A)</f>
        <v>LCM Infra - COTs App Replatform</v>
      </c>
      <c r="C41" s="171">
        <f>_xlfn.XLOOKUP(F41,'TFS Details'!F:F,'TFS Details'!E:E)</f>
        <v>4386341</v>
      </c>
      <c r="D41" s="16" t="s">
        <v>115</v>
      </c>
      <c r="E41" s="16" t="s">
        <v>122</v>
      </c>
      <c r="F41" s="172">
        <v>4446809</v>
      </c>
      <c r="G41" s="160" t="s">
        <v>117</v>
      </c>
      <c r="H41" s="47" t="s">
        <v>118</v>
      </c>
      <c r="I41" s="16" t="s">
        <v>45</v>
      </c>
      <c r="J41" s="16" t="s">
        <v>46</v>
      </c>
      <c r="K41" s="16" t="s">
        <v>46</v>
      </c>
      <c r="L41" s="16" t="s">
        <v>46</v>
      </c>
      <c r="M41" s="121"/>
      <c r="N41" s="121"/>
      <c r="O41" s="121"/>
      <c r="P41" s="121"/>
      <c r="Q41" s="125"/>
      <c r="R41" s="125"/>
      <c r="S41" s="22"/>
      <c r="T41" s="35">
        <v>0</v>
      </c>
      <c r="U41" s="35">
        <v>0</v>
      </c>
      <c r="V41" s="35">
        <v>0</v>
      </c>
      <c r="W41" s="35">
        <v>0</v>
      </c>
      <c r="X41" s="31">
        <f t="shared" si="3"/>
        <v>0</v>
      </c>
      <c r="Y41" s="32">
        <f t="shared" si="1"/>
        <v>0</v>
      </c>
      <c r="Z41" s="32">
        <f t="shared" si="2"/>
        <v>0</v>
      </c>
      <c r="AA41" s="22"/>
      <c r="AB41" s="155" t="str">
        <f>_xlfn.XLOOKUP(F41,'TFS Details'!F:F,'TFS Details'!I:I)</f>
        <v>myISP_IMS</v>
      </c>
      <c r="AC41" s="155" t="str">
        <f>_xlfn.XLOOKUP(AB41,'TFS Details'!I:I,'TFS Details'!AE:AE)</f>
        <v>supriya.a.dhingra</v>
      </c>
    </row>
    <row r="42" spans="1:29" hidden="1">
      <c r="A42" s="170" t="str">
        <f>_xlfn.XLOOKUP(F42,'TFS Details'!F:F,'TFS Details'!D:D)</f>
        <v>April MRDB</v>
      </c>
      <c r="B42" s="170" t="str">
        <f>_xlfn.XLOOKUP(F42,'TFS Details'!F:F,'TFS Details'!A:A)</f>
        <v>IMS BAU - Monthy MRDB</v>
      </c>
      <c r="C42" s="171">
        <f>_xlfn.XLOOKUP(F42,'TFS Details'!F:F,'TFS Details'!E:E)</f>
        <v>4386335</v>
      </c>
      <c r="D42" s="16" t="s">
        <v>115</v>
      </c>
      <c r="E42" s="16" t="s">
        <v>123</v>
      </c>
      <c r="F42" s="173">
        <v>4450477</v>
      </c>
      <c r="G42" s="160" t="s">
        <v>117</v>
      </c>
      <c r="H42" s="47" t="s">
        <v>118</v>
      </c>
      <c r="I42" s="16" t="s">
        <v>45</v>
      </c>
      <c r="J42" s="16" t="s">
        <v>46</v>
      </c>
      <c r="K42" s="16" t="s">
        <v>46</v>
      </c>
      <c r="L42" s="16" t="s">
        <v>46</v>
      </c>
      <c r="M42" s="121"/>
      <c r="N42" s="121"/>
      <c r="O42" s="121"/>
      <c r="P42" s="121"/>
      <c r="Q42" s="30"/>
      <c r="R42" s="30"/>
      <c r="S42" s="22"/>
      <c r="T42" s="35">
        <v>0</v>
      </c>
      <c r="U42" s="35">
        <v>0</v>
      </c>
      <c r="V42" s="35">
        <v>0</v>
      </c>
      <c r="W42" s="35">
        <v>0</v>
      </c>
      <c r="X42" s="31">
        <f t="shared" si="3"/>
        <v>0</v>
      </c>
      <c r="Y42" s="32">
        <f t="shared" si="1"/>
        <v>0</v>
      </c>
      <c r="Z42" s="32">
        <f t="shared" si="2"/>
        <v>0</v>
      </c>
      <c r="AA42" s="22"/>
      <c r="AB42" s="155" t="str">
        <f>_xlfn.XLOOKUP(F42,'TFS Details'!F:F,'TFS Details'!I:I)</f>
        <v>myISP_IMS</v>
      </c>
      <c r="AC42" s="155" t="str">
        <f>_xlfn.XLOOKUP(AB42,'TFS Details'!I:I,'TFS Details'!AE:AE)</f>
        <v>supriya.a.dhingra</v>
      </c>
    </row>
    <row r="43" spans="1:29" hidden="1">
      <c r="A43" s="170" t="str">
        <f>_xlfn.XLOOKUP(F43,'TFS Details'!F:F,'TFS Details'!D:D)</f>
        <v>DFD</v>
      </c>
      <c r="B43" s="170" t="str">
        <f>_xlfn.XLOOKUP(F43,'TFS Details'!F:F,'TFS Details'!A:A)</f>
        <v>DFD - Reinvention Partner field addition in SA request</v>
      </c>
      <c r="C43" s="171">
        <f>_xlfn.XLOOKUP(F43,'TFS Details'!F:F,'TFS Details'!E:E)</f>
        <v>4458972</v>
      </c>
      <c r="D43" s="16" t="s">
        <v>124</v>
      </c>
      <c r="E43" s="16" t="s">
        <v>125</v>
      </c>
      <c r="F43" s="173">
        <v>4458973</v>
      </c>
      <c r="G43" s="16" t="s">
        <v>126</v>
      </c>
      <c r="H43" s="16" t="s">
        <v>127</v>
      </c>
      <c r="I43" s="16" t="s">
        <v>41</v>
      </c>
      <c r="J43" s="16" t="s">
        <v>41</v>
      </c>
      <c r="K43" s="16" t="s">
        <v>46</v>
      </c>
      <c r="L43" s="16" t="s">
        <v>46</v>
      </c>
      <c r="M43" s="121"/>
      <c r="N43" s="121"/>
      <c r="O43" s="121"/>
      <c r="P43" s="121"/>
      <c r="Q43" s="93"/>
      <c r="R43" s="93"/>
      <c r="S43" s="22"/>
      <c r="T43" s="35">
        <v>0</v>
      </c>
      <c r="U43" s="35">
        <v>0</v>
      </c>
      <c r="V43" s="35">
        <v>0</v>
      </c>
      <c r="W43" s="35">
        <v>25</v>
      </c>
      <c r="X43" s="31">
        <f t="shared" si="3"/>
        <v>25</v>
      </c>
      <c r="Y43" s="32">
        <f t="shared" si="1"/>
        <v>0</v>
      </c>
      <c r="Z43" s="32">
        <f t="shared" si="2"/>
        <v>0</v>
      </c>
      <c r="AA43" s="22"/>
      <c r="AB43" s="22" t="s">
        <v>128</v>
      </c>
      <c r="AC43" s="155" t="str">
        <f>_xlfn.XLOOKUP(AB43,'TFS Details'!I:I,'TFS Details'!AE:AE)</f>
        <v>sona.job</v>
      </c>
    </row>
    <row r="44" spans="1:29" hidden="1">
      <c r="A44" s="170" t="str">
        <f>_xlfn.XLOOKUP(F44,'TFS Details'!F:F,'TFS Details'!D:D)</f>
        <v>DFD</v>
      </c>
      <c r="B44" s="170" t="str">
        <f>_xlfn.XLOOKUP(F44,'TFS Details'!F:F,'TFS Details'!A:A)</f>
        <v>DFD - Reinvention Partner field addition in SA request</v>
      </c>
      <c r="C44" s="171">
        <f>_xlfn.XLOOKUP(F44,'TFS Details'!F:F,'TFS Details'!E:E)</f>
        <v>4458972</v>
      </c>
      <c r="D44" s="16" t="s">
        <v>124</v>
      </c>
      <c r="E44" s="16" t="s">
        <v>129</v>
      </c>
      <c r="F44" s="173">
        <v>4458985</v>
      </c>
      <c r="G44" s="16" t="s">
        <v>127</v>
      </c>
      <c r="H44" s="16" t="s">
        <v>126</v>
      </c>
      <c r="I44" s="16" t="s">
        <v>41</v>
      </c>
      <c r="J44" s="16" t="s">
        <v>41</v>
      </c>
      <c r="K44" s="16" t="s">
        <v>46</v>
      </c>
      <c r="L44" s="16" t="s">
        <v>46</v>
      </c>
      <c r="M44" s="121"/>
      <c r="N44" s="121"/>
      <c r="O44" s="121"/>
      <c r="P44" s="121"/>
      <c r="Q44" s="30"/>
      <c r="R44" s="30"/>
      <c r="S44" s="22"/>
      <c r="T44" s="35">
        <v>0</v>
      </c>
      <c r="U44" s="35">
        <v>0</v>
      </c>
      <c r="V44" s="35">
        <v>0</v>
      </c>
      <c r="W44" s="35">
        <v>34</v>
      </c>
      <c r="X44" s="31">
        <f t="shared" si="3"/>
        <v>34</v>
      </c>
      <c r="Y44" s="32">
        <f t="shared" si="1"/>
        <v>0</v>
      </c>
      <c r="Z44" s="32">
        <f t="shared" si="2"/>
        <v>0</v>
      </c>
      <c r="AA44" s="22"/>
      <c r="AB44" s="22" t="s">
        <v>128</v>
      </c>
      <c r="AC44" s="155" t="str">
        <f>_xlfn.XLOOKUP(AB44,'TFS Details'!I:I,'TFS Details'!AE:AE)</f>
        <v>sona.job</v>
      </c>
    </row>
    <row r="45" spans="1:29" hidden="1">
      <c r="A45" s="170" t="str">
        <f>_xlfn.XLOOKUP(F45,'TFS Details'!F:F,'TFS Details'!D:D)</f>
        <v>DFD</v>
      </c>
      <c r="B45" s="170" t="str">
        <f>_xlfn.XLOOKUP(F45,'TFS Details'!F:F,'TFS Details'!A:A)</f>
        <v>DFD - Reinvention Partner field addition in SA request</v>
      </c>
      <c r="C45" s="171">
        <f>_xlfn.XLOOKUP(F45,'TFS Details'!F:F,'TFS Details'!E:E)</f>
        <v>4458972</v>
      </c>
      <c r="D45" s="16" t="s">
        <v>124</v>
      </c>
      <c r="E45" s="16" t="s">
        <v>130</v>
      </c>
      <c r="F45" s="173">
        <v>4458995</v>
      </c>
      <c r="G45" s="18" t="s">
        <v>127</v>
      </c>
      <c r="H45" s="16" t="s">
        <v>126</v>
      </c>
      <c r="I45" s="16" t="s">
        <v>41</v>
      </c>
      <c r="J45" s="16" t="s">
        <v>41</v>
      </c>
      <c r="K45" s="16" t="s">
        <v>46</v>
      </c>
      <c r="L45" s="16" t="s">
        <v>46</v>
      </c>
      <c r="M45" s="121"/>
      <c r="N45" s="121"/>
      <c r="O45" s="121"/>
      <c r="P45" s="121"/>
      <c r="Q45" s="125"/>
      <c r="R45" s="125"/>
      <c r="S45" s="22"/>
      <c r="T45" s="35">
        <v>0</v>
      </c>
      <c r="U45" s="35">
        <v>0</v>
      </c>
      <c r="V45" s="35">
        <v>0</v>
      </c>
      <c r="W45" s="35">
        <v>32</v>
      </c>
      <c r="X45" s="31">
        <f t="shared" si="3"/>
        <v>32</v>
      </c>
      <c r="Y45" s="32">
        <f t="shared" si="1"/>
        <v>0</v>
      </c>
      <c r="Z45" s="32">
        <f t="shared" si="2"/>
        <v>0</v>
      </c>
      <c r="AA45" s="22"/>
      <c r="AB45" s="22" t="s">
        <v>128</v>
      </c>
      <c r="AC45" s="155" t="str">
        <f>_xlfn.XLOOKUP(AB45,'TFS Details'!I:I,'TFS Details'!AE:AE)</f>
        <v>sona.job</v>
      </c>
    </row>
    <row r="46" spans="1:29" hidden="1">
      <c r="A46" s="170" t="str">
        <f>_xlfn.XLOOKUP(F46,'TFS Details'!F:F,'TFS Details'!D:D)</f>
        <v>LCM COTS Enhancements</v>
      </c>
      <c r="B46" s="170" t="str">
        <f>_xlfn.XLOOKUP(F46,'TFS Details'!F:F,'TFS Details'!A:A)</f>
        <v>LCM Infra - COTs App Replatform</v>
      </c>
      <c r="C46" s="171">
        <f>_xlfn.XLOOKUP(F46,'TFS Details'!F:F,'TFS Details'!E:E)</f>
        <v>4386341</v>
      </c>
      <c r="D46" s="16" t="s">
        <v>115</v>
      </c>
      <c r="E46" s="16" t="s">
        <v>131</v>
      </c>
      <c r="F46" s="80">
        <v>4446804</v>
      </c>
      <c r="G46" s="48"/>
      <c r="H46" s="48"/>
      <c r="I46" s="16" t="s">
        <v>46</v>
      </c>
      <c r="J46" s="16" t="s">
        <v>46</v>
      </c>
      <c r="K46" s="16" t="s">
        <v>46</v>
      </c>
      <c r="L46" s="16" t="s">
        <v>46</v>
      </c>
      <c r="M46" s="121"/>
      <c r="N46" s="121"/>
      <c r="O46" s="121"/>
      <c r="P46" s="121"/>
      <c r="Q46" s="30"/>
      <c r="R46" s="30"/>
      <c r="S46" s="22"/>
      <c r="T46" s="35">
        <v>0</v>
      </c>
      <c r="U46" s="35">
        <v>0</v>
      </c>
      <c r="V46" s="35">
        <v>0</v>
      </c>
      <c r="W46" s="35">
        <v>0</v>
      </c>
      <c r="X46" s="31">
        <f t="shared" si="3"/>
        <v>0</v>
      </c>
      <c r="Y46" s="32">
        <f t="shared" si="1"/>
        <v>0</v>
      </c>
      <c r="Z46" s="32">
        <f t="shared" si="2"/>
        <v>0</v>
      </c>
      <c r="AA46" s="22"/>
      <c r="AB46" s="22"/>
      <c r="AC46" s="22"/>
    </row>
    <row r="47" spans="1:29">
      <c r="A47" s="21"/>
      <c r="B47" s="21"/>
      <c r="C47" s="46"/>
      <c r="E47" s="16"/>
      <c r="F47" s="78"/>
      <c r="G47" s="16"/>
      <c r="M47" s="121"/>
      <c r="N47" s="121"/>
      <c r="O47" s="121"/>
      <c r="P47" s="121"/>
      <c r="Q47" s="93"/>
      <c r="R47" s="93"/>
      <c r="S47" s="22"/>
      <c r="T47" s="35"/>
      <c r="U47" s="35"/>
      <c r="V47" s="35"/>
      <c r="W47" s="35"/>
      <c r="X47" s="31"/>
      <c r="Y47" s="32"/>
      <c r="Z47" s="32"/>
      <c r="AA47" s="22"/>
      <c r="AB47" s="22"/>
      <c r="AC47" s="22"/>
    </row>
    <row r="48" spans="1:29">
      <c r="A48" s="21"/>
      <c r="B48" s="21"/>
      <c r="C48" s="46"/>
      <c r="E48" s="16"/>
      <c r="F48" s="78"/>
      <c r="G48" s="16"/>
      <c r="M48" s="121"/>
      <c r="N48" s="121"/>
      <c r="O48" s="121"/>
      <c r="P48" s="121"/>
      <c r="Q48" s="30"/>
      <c r="R48" s="30"/>
      <c r="S48" s="22"/>
      <c r="T48" s="35"/>
      <c r="U48" s="35"/>
      <c r="V48" s="35"/>
      <c r="W48" s="35"/>
      <c r="X48" s="31"/>
      <c r="Y48" s="32"/>
      <c r="Z48" s="32"/>
      <c r="AA48" s="89"/>
      <c r="AB48" s="22"/>
      <c r="AC48" s="22"/>
    </row>
    <row r="49" spans="1:29">
      <c r="A49" s="21"/>
      <c r="B49" s="21"/>
      <c r="C49" s="46"/>
      <c r="E49" s="16"/>
      <c r="F49" s="78"/>
      <c r="G49" s="47"/>
      <c r="H49" s="47"/>
      <c r="M49" s="121"/>
      <c r="N49" s="121"/>
      <c r="O49" s="121"/>
      <c r="P49" s="121"/>
      <c r="Q49" s="30"/>
      <c r="R49" s="30"/>
      <c r="S49" s="22"/>
      <c r="T49" s="35"/>
      <c r="U49" s="35"/>
      <c r="V49" s="35"/>
      <c r="W49" s="35"/>
      <c r="X49" s="31"/>
      <c r="Y49" s="32"/>
      <c r="Z49" s="32"/>
      <c r="AA49" s="22"/>
      <c r="AB49" s="22"/>
      <c r="AC49" s="22"/>
    </row>
    <row r="50" spans="1:29">
      <c r="A50" s="21"/>
      <c r="B50" s="21"/>
      <c r="C50" s="46"/>
      <c r="E50" s="16"/>
      <c r="F50" s="81"/>
      <c r="G50" s="18"/>
      <c r="M50" s="121"/>
      <c r="N50" s="121"/>
      <c r="O50" s="121"/>
      <c r="P50" s="121"/>
      <c r="Q50" s="30"/>
      <c r="R50" s="30"/>
      <c r="S50" s="22"/>
      <c r="T50" s="35"/>
      <c r="U50" s="35"/>
      <c r="V50" s="35"/>
      <c r="W50" s="35"/>
      <c r="X50" s="31"/>
      <c r="Y50" s="32"/>
      <c r="Z50" s="32"/>
      <c r="AA50" s="22"/>
      <c r="AB50" s="22"/>
      <c r="AC50" s="22"/>
    </row>
    <row r="51" spans="1:29">
      <c r="A51" s="21"/>
      <c r="B51" s="21"/>
      <c r="C51" s="46"/>
      <c r="E51" s="16"/>
      <c r="F51" s="81"/>
      <c r="G51" s="18"/>
      <c r="M51" s="121"/>
      <c r="N51" s="121"/>
      <c r="O51" s="121"/>
      <c r="P51" s="121"/>
      <c r="Q51" s="125"/>
      <c r="R51" s="125"/>
      <c r="S51" s="22"/>
      <c r="T51" s="35"/>
      <c r="U51" s="35"/>
      <c r="V51" s="35"/>
      <c r="W51" s="35"/>
      <c r="X51" s="31"/>
      <c r="Y51" s="32"/>
      <c r="Z51" s="32"/>
      <c r="AA51" s="22"/>
      <c r="AB51" s="22"/>
      <c r="AC51" s="22"/>
    </row>
    <row r="52" spans="1:29" ht="14.45">
      <c r="A52" s="126"/>
      <c r="B52" s="21"/>
      <c r="C52" s="46"/>
      <c r="E52" s="16"/>
      <c r="F52" s="81"/>
      <c r="G52" s="57"/>
      <c r="H52" s="18"/>
      <c r="M52" s="121"/>
      <c r="N52" s="121"/>
      <c r="O52" s="121"/>
      <c r="P52" s="121"/>
      <c r="Q52" s="30"/>
      <c r="R52" s="30"/>
      <c r="S52" s="22"/>
      <c r="T52" s="35"/>
      <c r="U52" s="35"/>
      <c r="V52" s="35"/>
      <c r="W52" s="35"/>
      <c r="X52" s="31"/>
      <c r="Y52" s="32"/>
      <c r="Z52" s="32"/>
      <c r="AA52" s="22"/>
      <c r="AB52" s="22"/>
      <c r="AC52" s="22"/>
    </row>
    <row r="53" spans="1:29">
      <c r="A53" s="21"/>
      <c r="B53" s="21"/>
      <c r="C53" s="46"/>
      <c r="E53" s="48"/>
      <c r="F53" s="79"/>
      <c r="G53" s="48"/>
      <c r="H53" s="48"/>
      <c r="I53" s="48"/>
      <c r="J53" s="48"/>
      <c r="K53" s="48"/>
      <c r="L53" s="48"/>
      <c r="M53" s="121"/>
      <c r="N53" s="121"/>
      <c r="O53" s="121"/>
      <c r="P53" s="121"/>
      <c r="Q53" s="63"/>
      <c r="R53" s="63"/>
      <c r="S53" s="22"/>
      <c r="T53" s="69"/>
      <c r="U53" s="69"/>
      <c r="V53" s="69"/>
      <c r="W53" s="69"/>
      <c r="X53" s="31"/>
      <c r="Y53" s="32"/>
      <c r="Z53" s="32"/>
      <c r="AA53" s="22"/>
      <c r="AB53" s="22"/>
      <c r="AC53" s="22"/>
    </row>
    <row r="54" spans="1:29">
      <c r="A54" s="21"/>
      <c r="B54" s="21"/>
      <c r="C54" s="46"/>
      <c r="E54" s="16"/>
      <c r="F54" s="81"/>
      <c r="G54" s="57"/>
      <c r="H54" s="18"/>
      <c r="M54" s="121"/>
      <c r="N54" s="121"/>
      <c r="O54" s="121"/>
      <c r="P54" s="121"/>
      <c r="Q54" s="30"/>
      <c r="R54" s="30"/>
      <c r="S54" s="22"/>
      <c r="T54" s="35"/>
      <c r="U54" s="35"/>
      <c r="V54" s="35"/>
      <c r="W54" s="35"/>
      <c r="X54" s="31"/>
      <c r="Y54" s="32"/>
      <c r="Z54" s="32"/>
      <c r="AA54" s="22"/>
      <c r="AB54" s="22"/>
      <c r="AC54" s="22"/>
    </row>
    <row r="55" spans="1:29">
      <c r="A55" s="21"/>
      <c r="B55" s="21"/>
      <c r="C55" s="46"/>
      <c r="E55" s="16"/>
      <c r="F55" s="81"/>
      <c r="G55" s="57"/>
      <c r="H55" s="57"/>
      <c r="M55" s="121"/>
      <c r="N55" s="121"/>
      <c r="O55" s="121"/>
      <c r="P55" s="121"/>
      <c r="Q55" s="125"/>
      <c r="R55" s="125"/>
      <c r="S55" s="22"/>
      <c r="T55" s="35"/>
      <c r="U55" s="35"/>
      <c r="V55" s="35"/>
      <c r="W55" s="35"/>
      <c r="X55" s="31"/>
      <c r="Y55" s="32"/>
      <c r="Z55" s="32"/>
      <c r="AA55" s="22"/>
      <c r="AB55" s="22"/>
      <c r="AC55" s="22"/>
    </row>
    <row r="56" spans="1:29">
      <c r="A56" s="21"/>
      <c r="B56" s="21"/>
      <c r="C56" s="46"/>
      <c r="E56" s="16"/>
      <c r="F56" s="81"/>
      <c r="G56" s="57"/>
      <c r="H56" s="57"/>
      <c r="M56" s="121"/>
      <c r="N56" s="121"/>
      <c r="O56" s="121"/>
      <c r="P56" s="121"/>
      <c r="Q56" s="30"/>
      <c r="R56" s="30"/>
      <c r="S56" s="22"/>
      <c r="T56" s="35"/>
      <c r="U56" s="35"/>
      <c r="V56" s="35"/>
      <c r="W56" s="35"/>
      <c r="X56" s="31"/>
      <c r="Y56" s="32"/>
      <c r="Z56" s="32"/>
      <c r="AA56" s="89"/>
      <c r="AB56" s="22"/>
      <c r="AC56" s="22"/>
    </row>
    <row r="57" spans="1:29">
      <c r="A57" s="21"/>
      <c r="B57" s="21"/>
      <c r="C57" s="46"/>
      <c r="E57" s="16"/>
      <c r="F57" s="81"/>
      <c r="G57" s="57"/>
      <c r="H57" s="57"/>
      <c r="M57" s="121"/>
      <c r="N57" s="121"/>
      <c r="O57" s="121"/>
      <c r="P57" s="121"/>
      <c r="Q57" s="30"/>
      <c r="R57" s="30"/>
      <c r="S57" s="22"/>
      <c r="T57" s="35"/>
      <c r="U57" s="35"/>
      <c r="V57" s="35"/>
      <c r="W57" s="35"/>
      <c r="X57" s="31"/>
      <c r="Y57" s="32"/>
      <c r="Z57" s="32"/>
      <c r="AA57" s="89"/>
      <c r="AB57" s="22"/>
      <c r="AC57" s="22"/>
    </row>
    <row r="58" spans="1:29">
      <c r="A58" s="21"/>
      <c r="B58" s="21"/>
      <c r="C58" s="46"/>
      <c r="E58" s="16"/>
      <c r="F58" s="81"/>
      <c r="G58" s="57"/>
      <c r="H58" s="57"/>
      <c r="M58" s="121"/>
      <c r="N58" s="121"/>
      <c r="O58" s="121"/>
      <c r="P58" s="121"/>
      <c r="Q58" s="30"/>
      <c r="R58" s="30"/>
      <c r="S58" s="22"/>
      <c r="T58" s="35"/>
      <c r="U58" s="35"/>
      <c r="V58" s="35"/>
      <c r="W58" s="35"/>
      <c r="X58" s="31"/>
      <c r="Y58" s="32"/>
      <c r="Z58" s="32"/>
      <c r="AA58" s="89"/>
      <c r="AB58" s="22"/>
      <c r="AC58" s="22"/>
    </row>
    <row r="59" spans="1:29">
      <c r="A59" s="21"/>
      <c r="B59" s="21"/>
      <c r="C59" s="46"/>
      <c r="E59" s="16"/>
      <c r="F59" s="81"/>
      <c r="G59" s="57"/>
      <c r="H59" s="57"/>
      <c r="M59" s="121"/>
      <c r="N59" s="121"/>
      <c r="O59" s="121"/>
      <c r="P59" s="121"/>
      <c r="Q59" s="30"/>
      <c r="R59" s="30"/>
      <c r="S59" s="22"/>
      <c r="T59" s="35"/>
      <c r="U59" s="35"/>
      <c r="V59" s="35"/>
      <c r="W59" s="35"/>
      <c r="X59" s="31"/>
      <c r="Y59" s="32"/>
      <c r="Z59" s="32"/>
      <c r="AA59" s="89"/>
      <c r="AB59" s="22"/>
      <c r="AC59" s="22"/>
    </row>
    <row r="60" spans="1:29">
      <c r="A60" s="21"/>
      <c r="B60" s="21"/>
      <c r="C60" s="46"/>
      <c r="E60" s="16"/>
      <c r="F60" s="81"/>
      <c r="G60" s="57"/>
      <c r="H60" s="18"/>
      <c r="M60" s="121"/>
      <c r="N60" s="121"/>
      <c r="O60" s="121"/>
      <c r="P60" s="121"/>
      <c r="Q60" s="30"/>
      <c r="R60" s="30"/>
      <c r="S60" s="22"/>
      <c r="T60" s="35"/>
      <c r="U60" s="35"/>
      <c r="V60" s="35"/>
      <c r="W60" s="35"/>
      <c r="X60" s="31"/>
      <c r="Y60" s="32"/>
      <c r="Z60" s="32"/>
      <c r="AA60" s="22"/>
      <c r="AB60" s="22"/>
      <c r="AC60" s="22"/>
    </row>
    <row r="61" spans="1:29">
      <c r="A61" s="21"/>
      <c r="B61" s="21"/>
      <c r="C61" s="46"/>
      <c r="E61" s="16"/>
      <c r="F61" s="81"/>
      <c r="G61" s="57"/>
      <c r="H61" s="57"/>
      <c r="M61" s="121"/>
      <c r="N61" s="121"/>
      <c r="O61" s="121"/>
      <c r="P61" s="121"/>
      <c r="Q61" s="30"/>
      <c r="R61" s="30"/>
      <c r="S61" s="22"/>
      <c r="T61" s="35"/>
      <c r="U61" s="35"/>
      <c r="V61" s="35"/>
      <c r="W61" s="35"/>
      <c r="X61" s="31"/>
      <c r="Y61" s="32"/>
      <c r="Z61" s="32"/>
      <c r="AA61" s="22"/>
      <c r="AB61" s="22"/>
      <c r="AC61" s="22"/>
    </row>
    <row r="62" spans="1:29">
      <c r="A62" s="21"/>
      <c r="B62" s="21"/>
      <c r="C62" s="46"/>
      <c r="E62" s="16"/>
      <c r="F62" s="81"/>
      <c r="G62" s="57"/>
      <c r="H62" s="57"/>
      <c r="M62" s="121"/>
      <c r="N62" s="121"/>
      <c r="O62" s="121"/>
      <c r="P62" s="121"/>
      <c r="Q62" s="30"/>
      <c r="R62" s="30"/>
      <c r="S62" s="22"/>
      <c r="T62" s="35"/>
      <c r="U62" s="35"/>
      <c r="V62" s="35"/>
      <c r="W62" s="35"/>
      <c r="X62" s="31"/>
      <c r="Y62" s="32"/>
      <c r="Z62" s="32"/>
      <c r="AA62" s="22"/>
      <c r="AB62" s="22"/>
      <c r="AC62" s="22"/>
    </row>
    <row r="63" spans="1:29">
      <c r="A63" s="21"/>
      <c r="B63" s="21"/>
      <c r="C63" s="46"/>
      <c r="E63" s="16"/>
      <c r="F63" s="81"/>
      <c r="G63" s="57"/>
      <c r="H63" s="57"/>
      <c r="M63" s="121"/>
      <c r="N63" s="121"/>
      <c r="O63" s="121"/>
      <c r="P63" s="121"/>
      <c r="Q63" s="30"/>
      <c r="R63" s="30"/>
      <c r="S63" s="22"/>
      <c r="T63" s="35"/>
      <c r="U63" s="35"/>
      <c r="V63" s="35"/>
      <c r="W63" s="35"/>
      <c r="X63" s="31"/>
      <c r="Y63" s="32"/>
      <c r="Z63" s="32"/>
      <c r="AA63" s="89"/>
      <c r="AB63" s="22"/>
      <c r="AC63" s="22"/>
    </row>
    <row r="64" spans="1:29">
      <c r="A64" s="21"/>
      <c r="B64" s="21"/>
      <c r="C64" s="46"/>
      <c r="E64" s="16"/>
      <c r="F64" s="81"/>
      <c r="G64" s="57"/>
      <c r="H64" s="57"/>
      <c r="M64" s="121"/>
      <c r="N64" s="121"/>
      <c r="O64" s="121"/>
      <c r="P64" s="121"/>
      <c r="Q64" s="125"/>
      <c r="R64" s="125"/>
      <c r="S64" s="22"/>
      <c r="T64" s="35"/>
      <c r="U64" s="35"/>
      <c r="V64" s="35"/>
      <c r="W64" s="35"/>
      <c r="X64" s="31"/>
      <c r="Y64" s="32"/>
      <c r="Z64" s="32"/>
      <c r="AA64" s="22"/>
      <c r="AB64" s="22"/>
      <c r="AC64" s="22"/>
    </row>
    <row r="65" spans="1:29">
      <c r="A65" s="21"/>
      <c r="B65" s="21"/>
      <c r="C65" s="46"/>
      <c r="E65" s="16"/>
      <c r="F65" s="78"/>
      <c r="G65" s="48"/>
      <c r="H65" s="57"/>
      <c r="M65" s="121"/>
      <c r="N65" s="121"/>
      <c r="O65" s="121"/>
      <c r="P65" s="121"/>
      <c r="Q65" s="30"/>
      <c r="R65" s="30"/>
      <c r="S65" s="22"/>
      <c r="T65" s="35"/>
      <c r="U65" s="35"/>
      <c r="V65" s="35"/>
      <c r="W65" s="35"/>
      <c r="X65" s="31"/>
      <c r="Y65" s="32"/>
      <c r="Z65" s="32"/>
      <c r="AA65" s="22"/>
      <c r="AB65" s="22"/>
      <c r="AC65" s="22"/>
    </row>
    <row r="66" spans="1:29">
      <c r="A66" s="21"/>
      <c r="B66" s="21"/>
      <c r="C66" s="46"/>
      <c r="E66" s="16"/>
      <c r="F66" s="78"/>
      <c r="G66" s="16"/>
      <c r="M66" s="121"/>
      <c r="N66" s="121"/>
      <c r="O66" s="121"/>
      <c r="P66" s="121"/>
      <c r="Q66" s="30"/>
      <c r="R66" s="30"/>
      <c r="S66" s="22"/>
      <c r="T66" s="35"/>
      <c r="U66" s="35"/>
      <c r="V66" s="35"/>
      <c r="W66" s="35"/>
      <c r="X66" s="31"/>
      <c r="Y66" s="32"/>
      <c r="Z66" s="32"/>
      <c r="AA66" s="22"/>
      <c r="AB66" s="22"/>
      <c r="AC66" s="22"/>
    </row>
    <row r="67" spans="1:29">
      <c r="A67" s="21"/>
      <c r="B67" s="21"/>
      <c r="C67" s="46"/>
      <c r="E67" s="16"/>
      <c r="F67" s="78"/>
      <c r="G67" s="16"/>
      <c r="M67" s="121"/>
      <c r="N67" s="121"/>
      <c r="O67" s="121"/>
      <c r="P67" s="121"/>
      <c r="Q67" s="30"/>
      <c r="R67" s="30"/>
      <c r="S67" s="22"/>
      <c r="T67" s="35"/>
      <c r="U67" s="35"/>
      <c r="V67" s="35"/>
      <c r="W67" s="35"/>
      <c r="X67" s="31"/>
      <c r="Y67" s="32"/>
      <c r="Z67" s="32"/>
      <c r="AA67" s="22"/>
      <c r="AB67" s="22"/>
      <c r="AC67" s="22"/>
    </row>
    <row r="68" spans="1:29">
      <c r="A68" s="21"/>
      <c r="B68" s="21"/>
      <c r="C68" s="46"/>
      <c r="E68" s="16"/>
      <c r="F68" s="78"/>
      <c r="G68" s="16"/>
      <c r="M68" s="121"/>
      <c r="N68" s="121"/>
      <c r="O68" s="121"/>
      <c r="P68" s="121"/>
      <c r="Q68" s="30"/>
      <c r="R68" s="30"/>
      <c r="S68" s="22"/>
      <c r="T68" s="35"/>
      <c r="U68" s="35"/>
      <c r="V68" s="35"/>
      <c r="W68" s="35"/>
      <c r="X68" s="31"/>
      <c r="Y68" s="32"/>
      <c r="Z68" s="32"/>
      <c r="AA68" s="22"/>
      <c r="AB68" s="22"/>
      <c r="AC68" s="22"/>
    </row>
    <row r="69" spans="1:29" ht="14.45">
      <c r="A69" s="21"/>
      <c r="B69" s="21"/>
      <c r="C69" s="46"/>
      <c r="E69" s="16"/>
      <c r="F69" s="78"/>
      <c r="G69" s="16"/>
      <c r="M69" s="121"/>
      <c r="N69" s="121"/>
      <c r="O69" s="121"/>
      <c r="P69" s="121"/>
      <c r="Q69" s="30"/>
      <c r="R69" s="30"/>
      <c r="S69" s="22"/>
      <c r="T69" s="35"/>
      <c r="U69" s="35"/>
      <c r="V69" s="35"/>
      <c r="W69" s="35"/>
      <c r="X69" s="31"/>
      <c r="Y69" s="32"/>
      <c r="Z69" s="32"/>
      <c r="AA69" s="139"/>
      <c r="AB69" s="22"/>
      <c r="AC69" s="22"/>
    </row>
    <row r="70" spans="1:29">
      <c r="A70" s="21"/>
      <c r="B70" s="21"/>
      <c r="C70" s="46"/>
      <c r="E70" s="16"/>
      <c r="F70" s="78"/>
      <c r="G70" s="16"/>
      <c r="M70" s="121"/>
      <c r="N70" s="121"/>
      <c r="O70" s="121"/>
      <c r="P70" s="121"/>
      <c r="Q70" s="30"/>
      <c r="R70" s="30"/>
      <c r="S70" s="22"/>
      <c r="T70" s="35"/>
      <c r="U70" s="35"/>
      <c r="V70" s="35"/>
      <c r="W70" s="35"/>
      <c r="X70" s="31"/>
      <c r="Y70" s="32"/>
      <c r="Z70" s="32"/>
      <c r="AA70" s="22"/>
      <c r="AB70" s="22"/>
      <c r="AC70" s="22"/>
    </row>
    <row r="71" spans="1:29">
      <c r="A71" s="21"/>
      <c r="B71" s="21"/>
      <c r="C71" s="46"/>
      <c r="E71" s="16"/>
      <c r="F71" s="78"/>
      <c r="G71" s="16"/>
      <c r="M71" s="121"/>
      <c r="N71" s="121"/>
      <c r="O71" s="121"/>
      <c r="P71" s="121"/>
      <c r="Q71" s="30"/>
      <c r="R71" s="30"/>
      <c r="S71" s="22"/>
      <c r="T71" s="35"/>
      <c r="U71" s="35"/>
      <c r="V71" s="35"/>
      <c r="W71" s="35"/>
      <c r="X71" s="31"/>
      <c r="Y71" s="32"/>
      <c r="Z71" s="32"/>
      <c r="AA71" s="22"/>
      <c r="AB71" s="22"/>
      <c r="AC71" s="22"/>
    </row>
    <row r="72" spans="1:29">
      <c r="A72" s="21"/>
      <c r="B72" s="21"/>
      <c r="C72" s="46"/>
      <c r="E72" s="16"/>
      <c r="F72" s="78"/>
      <c r="G72" s="16"/>
      <c r="M72" s="121"/>
      <c r="N72" s="121"/>
      <c r="O72" s="121"/>
      <c r="P72" s="121"/>
      <c r="Q72" s="30"/>
      <c r="R72" s="30"/>
      <c r="S72" s="22"/>
      <c r="T72" s="35"/>
      <c r="U72" s="35"/>
      <c r="V72" s="35"/>
      <c r="W72" s="35"/>
      <c r="X72" s="31"/>
      <c r="Y72" s="32"/>
      <c r="Z72" s="32"/>
      <c r="AA72" s="22"/>
      <c r="AB72" s="22"/>
      <c r="AC72" s="22"/>
    </row>
    <row r="73" spans="1:29" ht="14.45">
      <c r="A73" s="21"/>
      <c r="B73" s="21"/>
      <c r="C73" s="46"/>
      <c r="E73" s="16"/>
      <c r="F73" s="78"/>
      <c r="G73" s="16"/>
      <c r="M73" s="121"/>
      <c r="N73" s="121"/>
      <c r="O73" s="121"/>
      <c r="P73" s="121"/>
      <c r="Q73" s="30"/>
      <c r="R73" s="30"/>
      <c r="S73" s="22"/>
      <c r="T73" s="35"/>
      <c r="U73" s="35"/>
      <c r="V73" s="35"/>
      <c r="W73" s="35"/>
      <c r="X73" s="31"/>
      <c r="Y73" s="32"/>
      <c r="Z73" s="32"/>
      <c r="AA73" s="140"/>
      <c r="AB73" s="22"/>
      <c r="AC73" s="22"/>
    </row>
    <row r="74" spans="1:29">
      <c r="A74" s="21"/>
      <c r="B74" s="21"/>
      <c r="C74" s="46"/>
      <c r="E74" s="16"/>
      <c r="F74" s="78"/>
      <c r="G74" s="16"/>
      <c r="M74" s="121"/>
      <c r="N74" s="121"/>
      <c r="O74" s="121"/>
      <c r="P74" s="121"/>
      <c r="Q74" s="30"/>
      <c r="R74" s="30"/>
      <c r="S74" s="22"/>
      <c r="T74" s="35"/>
      <c r="U74" s="35"/>
      <c r="V74" s="35"/>
      <c r="W74" s="35"/>
      <c r="X74" s="31"/>
      <c r="Y74" s="32"/>
      <c r="Z74" s="32"/>
      <c r="AA74" s="22"/>
      <c r="AB74" s="22"/>
      <c r="AC74" s="22"/>
    </row>
    <row r="75" spans="1:29">
      <c r="A75" s="21"/>
      <c r="B75" s="21"/>
      <c r="C75" s="46"/>
      <c r="E75" s="16"/>
      <c r="F75" s="78"/>
      <c r="G75" s="16"/>
      <c r="M75" s="121"/>
      <c r="N75" s="121"/>
      <c r="O75" s="121"/>
      <c r="P75" s="121"/>
      <c r="Q75" s="30"/>
      <c r="R75" s="30"/>
      <c r="S75" s="22"/>
      <c r="T75" s="35"/>
      <c r="U75" s="35"/>
      <c r="V75" s="35"/>
      <c r="W75" s="35"/>
      <c r="X75" s="31"/>
      <c r="Y75" s="32"/>
      <c r="Z75" s="32"/>
      <c r="AA75" s="22"/>
      <c r="AB75" s="22"/>
      <c r="AC75" s="22"/>
    </row>
    <row r="76" spans="1:29">
      <c r="A76" s="21"/>
      <c r="B76" s="21"/>
      <c r="C76" s="46"/>
      <c r="E76" s="16"/>
      <c r="F76" s="78"/>
      <c r="G76" s="16"/>
      <c r="M76" s="121"/>
      <c r="N76" s="121"/>
      <c r="O76" s="121"/>
      <c r="P76" s="121"/>
      <c r="Q76" s="30"/>
      <c r="R76" s="30"/>
      <c r="S76" s="22"/>
      <c r="T76" s="35"/>
      <c r="U76" s="35"/>
      <c r="V76" s="35"/>
      <c r="W76" s="35"/>
      <c r="X76" s="31"/>
      <c r="Y76" s="32"/>
      <c r="Z76" s="32"/>
      <c r="AA76" s="22"/>
      <c r="AB76" s="22"/>
      <c r="AC76" s="22"/>
    </row>
    <row r="77" spans="1:29">
      <c r="A77" s="21"/>
      <c r="B77" s="21"/>
      <c r="C77" s="46"/>
      <c r="E77" s="16"/>
      <c r="F77" s="78"/>
      <c r="G77" s="16"/>
      <c r="M77" s="121"/>
      <c r="N77" s="121"/>
      <c r="O77" s="121"/>
      <c r="P77" s="121"/>
      <c r="Q77" s="30"/>
      <c r="R77" s="30"/>
      <c r="S77" s="22"/>
      <c r="T77" s="35"/>
      <c r="U77" s="35"/>
      <c r="V77" s="35"/>
      <c r="W77" s="35"/>
      <c r="X77" s="31"/>
      <c r="Y77" s="32"/>
      <c r="Z77" s="32"/>
      <c r="AA77" s="22"/>
      <c r="AB77" s="22"/>
      <c r="AC77" s="22"/>
    </row>
    <row r="78" spans="1:29">
      <c r="A78" s="21"/>
      <c r="B78" s="21"/>
      <c r="C78" s="46"/>
      <c r="E78" s="16"/>
      <c r="F78" s="78"/>
      <c r="G78" s="16"/>
      <c r="M78" s="121"/>
      <c r="N78" s="121"/>
      <c r="O78" s="121"/>
      <c r="P78" s="121"/>
      <c r="Q78" s="30"/>
      <c r="R78" s="30"/>
      <c r="S78" s="22"/>
      <c r="T78" s="35"/>
      <c r="U78" s="35"/>
      <c r="V78" s="35"/>
      <c r="W78" s="35"/>
      <c r="X78" s="31"/>
      <c r="Y78" s="32"/>
      <c r="Z78" s="32"/>
      <c r="AA78" s="22"/>
      <c r="AB78" s="22"/>
      <c r="AC78" s="22"/>
    </row>
    <row r="79" spans="1:29">
      <c r="A79" s="21"/>
      <c r="B79" s="21"/>
      <c r="C79" s="46"/>
      <c r="E79" s="16"/>
      <c r="F79" s="78"/>
      <c r="G79" s="16"/>
      <c r="M79" s="121"/>
      <c r="N79" s="121"/>
      <c r="O79" s="121"/>
      <c r="P79" s="121"/>
      <c r="Q79" s="127"/>
      <c r="R79" s="127"/>
      <c r="S79" s="22"/>
      <c r="T79" s="35"/>
      <c r="U79" s="35"/>
      <c r="V79" s="35"/>
      <c r="W79" s="35"/>
      <c r="X79" s="31"/>
      <c r="Y79" s="32"/>
      <c r="Z79" s="32"/>
      <c r="AA79" s="22"/>
      <c r="AB79" s="22"/>
      <c r="AC79" s="22"/>
    </row>
    <row r="80" spans="1:29">
      <c r="A80" s="21"/>
      <c r="B80" s="21"/>
      <c r="C80" s="46"/>
      <c r="E80" s="16"/>
      <c r="F80" s="78"/>
      <c r="G80" s="16"/>
      <c r="M80" s="121"/>
      <c r="N80" s="121"/>
      <c r="O80" s="121"/>
      <c r="P80" s="121"/>
      <c r="Q80" s="127"/>
      <c r="R80" s="127"/>
      <c r="S80" s="22"/>
      <c r="T80" s="35"/>
      <c r="U80" s="35"/>
      <c r="V80" s="35"/>
      <c r="W80" s="35"/>
      <c r="X80" s="31"/>
      <c r="Y80" s="32"/>
      <c r="Z80" s="32"/>
      <c r="AA80" s="22"/>
      <c r="AB80" s="22"/>
      <c r="AC80" s="22"/>
    </row>
    <row r="81" spans="1:29" ht="14.45">
      <c r="A81" s="21"/>
      <c r="B81" s="21"/>
      <c r="C81" s="46"/>
      <c r="E81" s="16"/>
      <c r="F81" s="78"/>
      <c r="G81" s="16"/>
      <c r="M81" s="121"/>
      <c r="N81" s="121"/>
      <c r="O81" s="121"/>
      <c r="P81" s="121"/>
      <c r="Q81" s="30"/>
      <c r="R81" s="30"/>
      <c r="S81" s="22"/>
      <c r="T81" s="35"/>
      <c r="U81" s="35"/>
      <c r="V81" s="35"/>
      <c r="W81" s="35"/>
      <c r="X81" s="31"/>
      <c r="Y81" s="32"/>
      <c r="Z81" s="32"/>
      <c r="AA81" s="122"/>
      <c r="AB81" s="22"/>
      <c r="AC81" s="22"/>
    </row>
    <row r="82" spans="1:29" ht="14.45">
      <c r="A82" s="21"/>
      <c r="B82" s="21"/>
      <c r="C82" s="46"/>
      <c r="E82" s="16"/>
      <c r="F82" s="78"/>
      <c r="G82" s="16"/>
      <c r="M82" s="121"/>
      <c r="N82" s="121"/>
      <c r="O82" s="121"/>
      <c r="P82" s="121"/>
      <c r="Q82" s="30"/>
      <c r="R82" s="30"/>
      <c r="S82" s="22"/>
      <c r="T82" s="35"/>
      <c r="U82" s="35"/>
      <c r="V82" s="35"/>
      <c r="W82" s="35"/>
      <c r="X82" s="31"/>
      <c r="Y82" s="32"/>
      <c r="Z82" s="32"/>
      <c r="AA82" s="122"/>
      <c r="AB82" s="22"/>
      <c r="AC82" s="22"/>
    </row>
    <row r="83" spans="1:29">
      <c r="A83" s="21"/>
      <c r="B83" s="21"/>
      <c r="C83" s="46"/>
      <c r="E83" s="16"/>
      <c r="F83" s="78"/>
      <c r="G83" s="16"/>
      <c r="M83" s="121"/>
      <c r="N83" s="121"/>
      <c r="O83" s="121"/>
      <c r="P83" s="121"/>
      <c r="Q83" s="30"/>
      <c r="R83" s="30"/>
      <c r="S83" s="22"/>
      <c r="T83" s="35"/>
      <c r="U83" s="35"/>
      <c r="V83" s="35"/>
      <c r="W83" s="35"/>
      <c r="X83" s="31"/>
      <c r="Y83" s="32"/>
      <c r="Z83" s="32"/>
      <c r="AA83" s="22"/>
      <c r="AB83" s="22"/>
      <c r="AC83" s="22"/>
    </row>
    <row r="84" spans="1:29">
      <c r="A84" s="21"/>
      <c r="B84" s="21"/>
      <c r="C84" s="46"/>
      <c r="E84" s="16"/>
      <c r="F84" s="78"/>
      <c r="G84" s="16"/>
      <c r="M84" s="121"/>
      <c r="N84" s="121"/>
      <c r="O84" s="121"/>
      <c r="P84" s="121"/>
      <c r="Q84" s="30"/>
      <c r="R84" s="30"/>
      <c r="S84" s="22"/>
      <c r="T84" s="35"/>
      <c r="U84" s="35"/>
      <c r="V84" s="35"/>
      <c r="W84" s="35"/>
      <c r="X84" s="31"/>
      <c r="Y84" s="32"/>
      <c r="Z84" s="32"/>
      <c r="AA84" s="22"/>
      <c r="AB84" s="22"/>
      <c r="AC84" s="22"/>
    </row>
    <row r="85" spans="1:29">
      <c r="A85" s="21"/>
      <c r="B85" s="21"/>
      <c r="C85" s="46"/>
      <c r="E85" s="16"/>
      <c r="F85" s="78"/>
      <c r="G85" s="16"/>
      <c r="M85" s="121"/>
      <c r="N85" s="121"/>
      <c r="O85" s="121"/>
      <c r="P85" s="121"/>
      <c r="Q85" s="30"/>
      <c r="R85" s="30"/>
      <c r="S85" s="22"/>
      <c r="T85" s="35"/>
      <c r="U85" s="35"/>
      <c r="V85" s="35"/>
      <c r="W85" s="35"/>
      <c r="X85" s="31"/>
      <c r="Y85" s="32"/>
      <c r="Z85" s="32"/>
      <c r="AA85" s="22"/>
      <c r="AB85" s="22"/>
      <c r="AC85" s="22"/>
    </row>
    <row r="86" spans="1:29">
      <c r="A86" s="21"/>
      <c r="B86" s="21"/>
      <c r="C86" s="46"/>
      <c r="E86" s="16"/>
      <c r="F86" s="78"/>
      <c r="G86" s="16"/>
      <c r="M86" s="121"/>
      <c r="N86" s="121"/>
      <c r="O86" s="121"/>
      <c r="P86" s="121"/>
      <c r="Q86" s="30"/>
      <c r="R86" s="30"/>
      <c r="S86" s="22"/>
      <c r="T86" s="35"/>
      <c r="U86" s="35"/>
      <c r="V86" s="35"/>
      <c r="W86" s="35"/>
      <c r="X86" s="31"/>
      <c r="Y86" s="32"/>
      <c r="Z86" s="32"/>
      <c r="AA86" s="22"/>
      <c r="AB86" s="22"/>
      <c r="AC86" s="22"/>
    </row>
    <row r="87" spans="1:29">
      <c r="A87" s="21"/>
      <c r="B87" s="21"/>
      <c r="C87" s="46"/>
      <c r="E87" s="16"/>
      <c r="F87" s="78"/>
      <c r="G87" s="16"/>
      <c r="M87" s="121"/>
      <c r="N87" s="121"/>
      <c r="O87" s="121"/>
      <c r="P87" s="121"/>
      <c r="Q87" s="30"/>
      <c r="R87" s="30"/>
      <c r="S87" s="22"/>
      <c r="T87" s="35"/>
      <c r="U87" s="35"/>
      <c r="V87" s="35"/>
      <c r="W87" s="35"/>
      <c r="X87" s="31"/>
      <c r="Y87" s="32"/>
      <c r="Z87" s="32"/>
      <c r="AA87" s="89"/>
      <c r="AB87" s="22"/>
      <c r="AC87" s="22"/>
    </row>
    <row r="88" spans="1:29">
      <c r="A88" s="21"/>
      <c r="B88" s="21"/>
      <c r="C88" s="46"/>
      <c r="E88" s="16"/>
      <c r="F88" s="78"/>
      <c r="G88" s="16"/>
      <c r="M88" s="121"/>
      <c r="N88" s="121"/>
      <c r="O88" s="121"/>
      <c r="P88" s="121"/>
      <c r="Q88" s="30"/>
      <c r="R88" s="30"/>
      <c r="S88" s="22"/>
      <c r="T88" s="35"/>
      <c r="U88" s="35"/>
      <c r="V88" s="35"/>
      <c r="W88" s="35"/>
      <c r="X88" s="31"/>
      <c r="Y88" s="32"/>
      <c r="Z88" s="32"/>
      <c r="AA88" s="22"/>
      <c r="AB88" s="22"/>
      <c r="AC88" s="22"/>
    </row>
    <row r="89" spans="1:29">
      <c r="A89" s="21"/>
      <c r="B89" s="21"/>
      <c r="C89" s="46"/>
      <c r="E89" s="16"/>
      <c r="F89" s="78"/>
      <c r="G89" s="16"/>
      <c r="M89" s="121"/>
      <c r="N89" s="121"/>
      <c r="O89" s="121"/>
      <c r="P89" s="121"/>
      <c r="Q89" s="30"/>
      <c r="R89" s="30"/>
      <c r="S89" s="22"/>
      <c r="T89" s="35"/>
      <c r="U89" s="35"/>
      <c r="V89" s="35"/>
      <c r="W89" s="35"/>
      <c r="X89" s="31"/>
      <c r="Y89" s="32"/>
      <c r="Z89" s="32"/>
      <c r="AA89" s="119"/>
      <c r="AB89" s="22"/>
      <c r="AC89" s="22"/>
    </row>
    <row r="90" spans="1:29">
      <c r="A90" s="21"/>
      <c r="B90" s="21"/>
      <c r="C90" s="46"/>
      <c r="E90" s="16"/>
      <c r="F90" s="78"/>
      <c r="G90" s="16"/>
      <c r="M90" s="121"/>
      <c r="N90" s="121"/>
      <c r="O90" s="121"/>
      <c r="P90" s="121"/>
      <c r="Q90" s="30"/>
      <c r="R90" s="30"/>
      <c r="S90" s="22"/>
      <c r="T90" s="35"/>
      <c r="U90" s="35"/>
      <c r="V90" s="35"/>
      <c r="W90" s="35"/>
      <c r="X90" s="31"/>
      <c r="Y90" s="32"/>
      <c r="Z90" s="32"/>
      <c r="AA90" s="119"/>
      <c r="AB90" s="22"/>
      <c r="AC90" s="22"/>
    </row>
    <row r="91" spans="1:29">
      <c r="A91" s="21"/>
      <c r="B91" s="21"/>
      <c r="C91" s="46"/>
      <c r="E91" s="16"/>
      <c r="F91" s="78"/>
      <c r="G91" s="16"/>
      <c r="M91" s="121"/>
      <c r="N91" s="121"/>
      <c r="O91" s="121"/>
      <c r="P91" s="121"/>
      <c r="Q91" s="30"/>
      <c r="R91" s="30"/>
      <c r="S91" s="22"/>
      <c r="T91" s="35"/>
      <c r="U91" s="35"/>
      <c r="V91" s="35"/>
      <c r="W91" s="35"/>
      <c r="X91" s="31"/>
      <c r="Y91" s="32"/>
      <c r="Z91" s="32"/>
      <c r="AA91" s="22"/>
      <c r="AB91" s="22"/>
      <c r="AC91" s="22"/>
    </row>
    <row r="92" spans="1:29">
      <c r="A92" s="21"/>
      <c r="B92" s="21"/>
      <c r="C92" s="46"/>
      <c r="E92" s="16"/>
      <c r="F92" s="78"/>
      <c r="G92" s="16"/>
      <c r="M92" s="121"/>
      <c r="N92" s="121"/>
      <c r="O92" s="121"/>
      <c r="P92" s="121"/>
      <c r="Q92" s="30"/>
      <c r="R92" s="30"/>
      <c r="S92" s="22"/>
      <c r="T92" s="35"/>
      <c r="U92" s="35"/>
      <c r="V92" s="35"/>
      <c r="W92" s="35"/>
      <c r="X92" s="31"/>
      <c r="Y92" s="32"/>
      <c r="Z92" s="32"/>
      <c r="AA92" s="22"/>
      <c r="AB92" s="22"/>
      <c r="AC92" s="22"/>
    </row>
    <row r="93" spans="1:29">
      <c r="A93" s="21"/>
      <c r="B93" s="21"/>
      <c r="C93" s="46"/>
      <c r="E93" s="16"/>
      <c r="F93" s="78"/>
      <c r="G93" s="16"/>
      <c r="M93" s="121"/>
      <c r="N93" s="121"/>
      <c r="O93" s="121"/>
      <c r="P93" s="121"/>
      <c r="Q93" s="127"/>
      <c r="R93" s="127"/>
      <c r="S93" s="22"/>
      <c r="T93" s="35"/>
      <c r="U93" s="35"/>
      <c r="V93" s="35"/>
      <c r="W93" s="35"/>
      <c r="X93" s="31"/>
      <c r="Y93" s="32"/>
      <c r="Z93" s="32"/>
      <c r="AA93" s="22"/>
      <c r="AB93" s="22"/>
      <c r="AC93" s="22"/>
    </row>
    <row r="94" spans="1:29">
      <c r="A94" s="21"/>
      <c r="B94" s="21"/>
      <c r="C94" s="46"/>
      <c r="E94" s="16"/>
      <c r="F94" s="78"/>
      <c r="G94" s="16"/>
      <c r="M94" s="121"/>
      <c r="N94" s="121"/>
      <c r="O94" s="121"/>
      <c r="P94" s="121"/>
      <c r="Q94" s="127"/>
      <c r="R94" s="127"/>
      <c r="S94" s="22"/>
      <c r="T94" s="35"/>
      <c r="U94" s="35"/>
      <c r="V94" s="35"/>
      <c r="W94" s="35"/>
      <c r="X94" s="31"/>
      <c r="Y94" s="32"/>
      <c r="Z94" s="32"/>
      <c r="AA94" s="22"/>
      <c r="AB94" s="22"/>
      <c r="AC94" s="22"/>
    </row>
    <row r="95" spans="1:29">
      <c r="A95" s="21"/>
      <c r="B95" s="21"/>
      <c r="C95" s="46"/>
      <c r="E95" s="16"/>
      <c r="F95" s="78"/>
      <c r="G95" s="16"/>
      <c r="M95" s="121"/>
      <c r="N95" s="121"/>
      <c r="O95" s="121"/>
      <c r="P95" s="121"/>
      <c r="Q95" s="127"/>
      <c r="R95" s="127"/>
      <c r="S95" s="22"/>
      <c r="T95" s="35"/>
      <c r="U95" s="35"/>
      <c r="V95" s="35"/>
      <c r="W95" s="35"/>
      <c r="X95" s="31"/>
      <c r="Y95" s="32"/>
      <c r="Z95" s="32"/>
      <c r="AA95" s="22"/>
      <c r="AB95" s="22"/>
      <c r="AC95" s="22"/>
    </row>
    <row r="96" spans="1:29">
      <c r="A96" s="21"/>
      <c r="B96" s="21"/>
      <c r="C96" s="46"/>
      <c r="E96" s="16"/>
      <c r="F96" s="78"/>
      <c r="G96" s="16"/>
      <c r="M96" s="121"/>
      <c r="N96" s="121"/>
      <c r="O96" s="121"/>
      <c r="P96" s="121"/>
      <c r="Q96" s="127"/>
      <c r="R96" s="127"/>
      <c r="S96" s="22"/>
      <c r="T96" s="35"/>
      <c r="U96" s="35"/>
      <c r="V96" s="35"/>
      <c r="W96" s="35"/>
      <c r="X96" s="31"/>
      <c r="Y96" s="32"/>
      <c r="Z96" s="32"/>
      <c r="AA96" s="22"/>
      <c r="AB96" s="22"/>
      <c r="AC96" s="22"/>
    </row>
    <row r="97" spans="1:29">
      <c r="A97" s="21"/>
      <c r="B97" s="21"/>
      <c r="C97" s="46"/>
      <c r="E97" s="16"/>
      <c r="F97" s="78"/>
      <c r="G97" s="16"/>
      <c r="M97" s="121"/>
      <c r="N97" s="121"/>
      <c r="O97" s="121"/>
      <c r="P97" s="121"/>
      <c r="Q97" s="30"/>
      <c r="R97" s="30"/>
      <c r="S97" s="22"/>
      <c r="T97" s="35"/>
      <c r="U97" s="35"/>
      <c r="V97" s="35"/>
      <c r="W97" s="35"/>
      <c r="X97" s="31"/>
      <c r="Y97" s="32"/>
      <c r="Z97" s="32"/>
      <c r="AA97" s="22"/>
      <c r="AB97" s="22"/>
      <c r="AC97" s="22"/>
    </row>
    <row r="98" spans="1:29">
      <c r="A98" s="21"/>
      <c r="B98" s="21"/>
      <c r="C98" s="46"/>
      <c r="E98" s="16"/>
      <c r="F98" s="78"/>
      <c r="G98" s="16"/>
      <c r="M98" s="121"/>
      <c r="N98" s="121"/>
      <c r="O98" s="121"/>
      <c r="P98" s="121"/>
      <c r="Q98" s="30"/>
      <c r="R98" s="30"/>
      <c r="S98" s="22"/>
      <c r="T98" s="35"/>
      <c r="U98" s="35"/>
      <c r="V98" s="35"/>
      <c r="W98" s="35"/>
      <c r="X98" s="31"/>
      <c r="Y98" s="32"/>
      <c r="Z98" s="32"/>
      <c r="AA98" s="22"/>
      <c r="AB98" s="22"/>
      <c r="AC98" s="22"/>
    </row>
    <row r="99" spans="1:29">
      <c r="A99" s="21"/>
      <c r="B99" s="21"/>
      <c r="C99" s="46"/>
      <c r="E99" s="16"/>
      <c r="F99" s="78"/>
      <c r="G99" s="16"/>
      <c r="M99" s="121"/>
      <c r="N99" s="121"/>
      <c r="O99" s="121"/>
      <c r="P99" s="121"/>
      <c r="Q99" s="30"/>
      <c r="R99" s="30"/>
      <c r="S99" s="22"/>
      <c r="T99" s="35"/>
      <c r="U99" s="35"/>
      <c r="V99" s="35"/>
      <c r="W99" s="35"/>
      <c r="X99" s="31"/>
      <c r="Y99" s="32"/>
      <c r="Z99" s="32"/>
      <c r="AA99" s="22"/>
      <c r="AB99" s="22"/>
      <c r="AC99" s="22"/>
    </row>
    <row r="100" spans="1:29" ht="14.45">
      <c r="A100" s="21"/>
      <c r="B100" s="21"/>
      <c r="C100" s="46"/>
      <c r="E100" s="16"/>
      <c r="F100" s="78"/>
      <c r="G100" s="16"/>
      <c r="M100" s="121"/>
      <c r="N100" s="121"/>
      <c r="O100" s="121"/>
      <c r="P100" s="121"/>
      <c r="Q100" s="30"/>
      <c r="R100" s="30"/>
      <c r="S100" s="22"/>
      <c r="T100" s="35"/>
      <c r="U100" s="35"/>
      <c r="V100" s="35"/>
      <c r="W100" s="35"/>
      <c r="X100" s="31"/>
      <c r="Y100" s="32"/>
      <c r="Z100" s="32"/>
      <c r="AA100" s="140"/>
      <c r="AB100" s="22"/>
      <c r="AC100" s="22"/>
    </row>
    <row r="101" spans="1:29">
      <c r="A101" s="21"/>
      <c r="B101" s="21"/>
      <c r="C101" s="46"/>
      <c r="E101" s="16"/>
      <c r="F101" s="78"/>
      <c r="G101" s="16"/>
      <c r="M101" s="121"/>
      <c r="N101" s="121"/>
      <c r="O101" s="121"/>
      <c r="P101" s="121"/>
      <c r="Q101" s="30"/>
      <c r="R101" s="30"/>
      <c r="S101" s="22"/>
      <c r="T101" s="35"/>
      <c r="U101" s="35"/>
      <c r="V101" s="35"/>
      <c r="W101" s="35"/>
      <c r="X101" s="31"/>
      <c r="Y101" s="32"/>
      <c r="Z101" s="32"/>
      <c r="AA101" s="22"/>
      <c r="AB101" s="22"/>
      <c r="AC101" s="22"/>
    </row>
    <row r="102" spans="1:29">
      <c r="A102" s="21"/>
      <c r="B102" s="21"/>
      <c r="C102" s="46"/>
      <c r="E102" s="16"/>
      <c r="F102" s="78"/>
      <c r="G102" s="16"/>
      <c r="M102" s="121"/>
      <c r="N102" s="121"/>
      <c r="O102" s="121"/>
      <c r="P102" s="121"/>
      <c r="Q102" s="30"/>
      <c r="R102" s="30"/>
      <c r="S102" s="22"/>
      <c r="T102" s="35"/>
      <c r="U102" s="35"/>
      <c r="V102" s="35"/>
      <c r="W102" s="35"/>
      <c r="X102" s="31"/>
      <c r="Y102" s="32"/>
      <c r="Z102" s="32"/>
      <c r="AA102" s="22"/>
      <c r="AB102" s="22"/>
      <c r="AC102" s="22"/>
    </row>
    <row r="103" spans="1:29">
      <c r="A103" s="21"/>
      <c r="B103" s="21"/>
      <c r="C103" s="46"/>
      <c r="E103" s="16"/>
      <c r="F103" s="78"/>
      <c r="G103" s="16"/>
      <c r="M103" s="121"/>
      <c r="N103" s="121"/>
      <c r="O103" s="121"/>
      <c r="P103" s="121"/>
      <c r="Q103" s="30"/>
      <c r="R103" s="30"/>
      <c r="S103" s="22"/>
      <c r="T103" s="35"/>
      <c r="U103" s="35"/>
      <c r="V103" s="35"/>
      <c r="W103" s="35"/>
      <c r="X103" s="31"/>
      <c r="Y103" s="32"/>
      <c r="Z103" s="32"/>
      <c r="AA103" s="22"/>
      <c r="AB103" s="22"/>
      <c r="AC103" s="22"/>
    </row>
    <row r="104" spans="1:29">
      <c r="A104" s="21"/>
      <c r="B104" s="21"/>
      <c r="C104" s="46"/>
      <c r="E104" s="16"/>
      <c r="F104" s="78"/>
      <c r="G104" s="16"/>
      <c r="M104" s="121"/>
      <c r="N104" s="121"/>
      <c r="O104" s="121"/>
      <c r="P104" s="121"/>
      <c r="Q104" s="30"/>
      <c r="R104" s="30"/>
      <c r="S104" s="22"/>
      <c r="T104" s="35"/>
      <c r="U104" s="35"/>
      <c r="V104" s="35"/>
      <c r="W104" s="35"/>
      <c r="X104" s="31"/>
      <c r="Y104" s="32"/>
      <c r="Z104" s="32"/>
      <c r="AA104" s="22"/>
      <c r="AB104" s="22"/>
      <c r="AC104" s="22"/>
    </row>
    <row r="105" spans="1:29">
      <c r="A105" s="21"/>
      <c r="B105" s="21"/>
      <c r="C105" s="46"/>
      <c r="E105" s="16"/>
      <c r="F105" s="78"/>
      <c r="G105" s="16"/>
      <c r="M105" s="121"/>
      <c r="N105" s="121"/>
      <c r="O105" s="121"/>
      <c r="P105" s="121"/>
      <c r="Q105" s="30"/>
      <c r="R105" s="30"/>
      <c r="S105" s="22"/>
      <c r="T105" s="35"/>
      <c r="U105" s="35"/>
      <c r="V105" s="35"/>
      <c r="W105" s="35"/>
      <c r="X105" s="31"/>
      <c r="Y105" s="32"/>
      <c r="Z105" s="32"/>
      <c r="AA105" s="22"/>
      <c r="AB105" s="22"/>
      <c r="AC105" s="22"/>
    </row>
    <row r="106" spans="1:29">
      <c r="A106" s="21"/>
      <c r="B106" s="21"/>
      <c r="C106" s="46"/>
      <c r="E106" s="16"/>
      <c r="F106" s="78"/>
      <c r="G106" s="16"/>
      <c r="M106" s="121"/>
      <c r="N106" s="121"/>
      <c r="O106" s="121"/>
      <c r="P106" s="121"/>
      <c r="Q106" s="30"/>
      <c r="R106" s="30"/>
      <c r="S106" s="22"/>
      <c r="T106" s="35"/>
      <c r="U106" s="35"/>
      <c r="V106" s="35"/>
      <c r="W106" s="35"/>
      <c r="X106" s="31"/>
      <c r="Y106" s="32"/>
      <c r="Z106" s="32"/>
      <c r="AA106" s="22"/>
      <c r="AB106" s="22"/>
      <c r="AC106" s="22"/>
    </row>
    <row r="107" spans="1:29">
      <c r="A107" s="21"/>
      <c r="B107" s="21"/>
      <c r="C107" s="46"/>
      <c r="E107" s="16"/>
      <c r="F107" s="78"/>
      <c r="G107" s="16"/>
      <c r="M107" s="121"/>
      <c r="N107" s="121"/>
      <c r="O107" s="121"/>
      <c r="P107" s="121"/>
      <c r="Q107" s="30"/>
      <c r="R107" s="30"/>
      <c r="S107" s="22"/>
      <c r="T107" s="35"/>
      <c r="U107" s="35"/>
      <c r="V107" s="35"/>
      <c r="W107" s="35"/>
      <c r="X107" s="31"/>
      <c r="Y107" s="32"/>
      <c r="Z107" s="32"/>
      <c r="AA107" s="22"/>
      <c r="AB107" s="22"/>
      <c r="AC107" s="22"/>
    </row>
    <row r="108" spans="1:29">
      <c r="A108" s="21"/>
      <c r="B108" s="21"/>
      <c r="C108" s="46"/>
      <c r="E108" s="16"/>
      <c r="F108" s="78"/>
      <c r="G108" s="16"/>
      <c r="M108" s="121"/>
      <c r="N108" s="121"/>
      <c r="O108" s="121"/>
      <c r="P108" s="121"/>
      <c r="Q108" s="30"/>
      <c r="R108" s="30"/>
      <c r="S108" s="22"/>
      <c r="T108" s="35"/>
      <c r="U108" s="35"/>
      <c r="V108" s="35"/>
      <c r="W108" s="35"/>
      <c r="X108" s="31"/>
      <c r="Y108" s="32"/>
      <c r="Z108" s="32"/>
      <c r="AA108" s="22"/>
      <c r="AB108" s="22"/>
      <c r="AC108" s="22"/>
    </row>
    <row r="109" spans="1:29">
      <c r="A109" s="21"/>
      <c r="B109" s="21"/>
      <c r="C109" s="46"/>
      <c r="E109" s="16"/>
      <c r="F109" s="78"/>
      <c r="G109" s="16"/>
      <c r="M109" s="121"/>
      <c r="N109" s="121"/>
      <c r="O109" s="121"/>
      <c r="P109" s="121"/>
      <c r="Q109" s="30"/>
      <c r="R109" s="30"/>
      <c r="S109" s="22"/>
      <c r="T109" s="35"/>
      <c r="U109" s="35"/>
      <c r="V109" s="35"/>
      <c r="W109" s="35"/>
      <c r="X109" s="31"/>
      <c r="Y109" s="32"/>
      <c r="Z109" s="32"/>
      <c r="AA109" s="22"/>
      <c r="AB109" s="22"/>
      <c r="AC109" s="22"/>
    </row>
    <row r="110" spans="1:29">
      <c r="A110" s="21"/>
      <c r="B110" s="21"/>
      <c r="C110" s="46"/>
      <c r="E110" s="16"/>
      <c r="F110" s="78"/>
      <c r="G110" s="16"/>
      <c r="M110" s="121"/>
      <c r="N110" s="121"/>
      <c r="O110" s="121"/>
      <c r="P110" s="121"/>
      <c r="Q110" s="30"/>
      <c r="R110" s="30"/>
      <c r="S110" s="22"/>
      <c r="T110" s="35"/>
      <c r="U110" s="35"/>
      <c r="V110" s="35"/>
      <c r="W110" s="35"/>
      <c r="X110" s="31"/>
      <c r="Y110" s="32"/>
      <c r="Z110" s="32"/>
      <c r="AA110" s="22"/>
      <c r="AB110" s="22"/>
      <c r="AC110" s="22"/>
    </row>
    <row r="111" spans="1:29">
      <c r="A111" s="21"/>
      <c r="B111" s="21"/>
      <c r="C111" s="46"/>
      <c r="E111" s="16"/>
      <c r="F111" s="78"/>
      <c r="G111" s="16"/>
      <c r="M111" s="121"/>
      <c r="N111" s="121"/>
      <c r="O111" s="121"/>
      <c r="P111" s="121"/>
      <c r="Q111" s="30"/>
      <c r="R111" s="30"/>
      <c r="S111" s="22"/>
      <c r="T111" s="35"/>
      <c r="U111" s="35"/>
      <c r="V111" s="35"/>
      <c r="W111" s="35"/>
      <c r="X111" s="31"/>
      <c r="Y111" s="32"/>
      <c r="Z111" s="32"/>
      <c r="AA111" s="22"/>
      <c r="AB111" s="22"/>
      <c r="AC111" s="22"/>
    </row>
    <row r="112" spans="1:29">
      <c r="A112" s="21"/>
      <c r="B112" s="21"/>
      <c r="C112" s="46"/>
      <c r="E112" s="16"/>
      <c r="F112" s="78"/>
      <c r="G112" s="16"/>
      <c r="M112" s="121"/>
      <c r="N112" s="121"/>
      <c r="O112" s="121"/>
      <c r="P112" s="121"/>
      <c r="Q112" s="30"/>
      <c r="R112" s="30"/>
      <c r="S112" s="22"/>
      <c r="T112" s="35"/>
      <c r="U112" s="35"/>
      <c r="V112" s="35"/>
      <c r="W112" s="35"/>
      <c r="X112" s="31"/>
      <c r="Y112" s="32"/>
      <c r="Z112" s="32"/>
      <c r="AA112" s="22"/>
      <c r="AB112" s="22"/>
      <c r="AC112" s="22"/>
    </row>
    <row r="113" spans="1:29">
      <c r="A113" s="21"/>
      <c r="B113" s="21"/>
      <c r="C113" s="46"/>
      <c r="E113" s="16"/>
      <c r="F113" s="78"/>
      <c r="G113" s="16"/>
      <c r="M113" s="121"/>
      <c r="N113" s="121"/>
      <c r="O113" s="121"/>
      <c r="P113" s="121"/>
      <c r="Q113" s="30"/>
      <c r="R113" s="30"/>
      <c r="S113" s="22"/>
      <c r="T113" s="35"/>
      <c r="U113" s="35"/>
      <c r="V113" s="35"/>
      <c r="W113" s="35"/>
      <c r="X113" s="31"/>
      <c r="Y113" s="32"/>
      <c r="Z113" s="32"/>
      <c r="AA113" s="22"/>
      <c r="AB113" s="22"/>
      <c r="AC113" s="22"/>
    </row>
    <row r="114" spans="1:29">
      <c r="A114" s="21"/>
      <c r="B114" s="21"/>
      <c r="C114" s="46"/>
      <c r="E114" s="16"/>
      <c r="F114" s="78"/>
      <c r="G114" s="16"/>
      <c r="M114" s="121"/>
      <c r="N114" s="121"/>
      <c r="O114" s="121"/>
      <c r="P114" s="121"/>
      <c r="Q114" s="30"/>
      <c r="R114" s="30"/>
      <c r="S114" s="22"/>
      <c r="T114" s="35"/>
      <c r="U114" s="35"/>
      <c r="V114" s="35"/>
      <c r="W114" s="35"/>
      <c r="X114" s="31"/>
      <c r="Y114" s="32"/>
      <c r="Z114" s="32"/>
      <c r="AA114" s="22"/>
      <c r="AB114" s="22"/>
      <c r="AC114" s="22"/>
    </row>
    <row r="115" spans="1:29">
      <c r="A115" s="21"/>
      <c r="B115" s="21"/>
      <c r="C115" s="46"/>
      <c r="E115" s="16"/>
      <c r="F115" s="78"/>
      <c r="G115" s="16"/>
      <c r="M115" s="121"/>
      <c r="N115" s="121"/>
      <c r="O115" s="121"/>
      <c r="P115" s="121"/>
      <c r="Q115" s="30"/>
      <c r="R115" s="30"/>
      <c r="S115" s="22"/>
      <c r="T115" s="35"/>
      <c r="U115" s="35"/>
      <c r="V115" s="35"/>
      <c r="W115" s="35"/>
      <c r="X115" s="31"/>
      <c r="Y115" s="32"/>
      <c r="Z115" s="32"/>
      <c r="AA115" s="22"/>
      <c r="AB115" s="22"/>
      <c r="AC115" s="22"/>
    </row>
    <row r="116" spans="1:29">
      <c r="A116" s="21"/>
      <c r="B116" s="21"/>
      <c r="C116" s="46"/>
      <c r="E116" s="16"/>
      <c r="F116" s="78"/>
      <c r="G116" s="16"/>
      <c r="M116" s="121"/>
      <c r="N116" s="121"/>
      <c r="O116" s="121"/>
      <c r="P116" s="121"/>
      <c r="Q116" s="30"/>
      <c r="R116" s="30"/>
      <c r="S116" s="22"/>
      <c r="T116" s="35"/>
      <c r="U116" s="35"/>
      <c r="V116" s="35"/>
      <c r="W116" s="35"/>
      <c r="X116" s="31"/>
      <c r="Y116" s="32"/>
      <c r="Z116" s="32"/>
      <c r="AA116" s="22"/>
      <c r="AB116" s="22"/>
      <c r="AC116" s="22"/>
    </row>
    <row r="117" spans="1:29">
      <c r="A117" s="21"/>
      <c r="B117" s="21"/>
      <c r="C117" s="46"/>
      <c r="E117" s="128"/>
      <c r="F117" s="82"/>
      <c r="G117" s="129"/>
      <c r="H117" s="129"/>
      <c r="M117" s="121"/>
      <c r="N117" s="121"/>
      <c r="O117" s="121"/>
      <c r="P117" s="121"/>
      <c r="Q117" s="30"/>
      <c r="R117" s="30"/>
      <c r="S117" s="22"/>
      <c r="T117" s="149"/>
      <c r="U117" s="150"/>
      <c r="V117" s="150"/>
      <c r="W117" s="151"/>
      <c r="X117" s="31"/>
      <c r="Y117" s="32"/>
      <c r="Z117" s="32"/>
      <c r="AA117" s="22"/>
      <c r="AB117" s="22"/>
      <c r="AC117" s="22"/>
    </row>
    <row r="118" spans="1:29">
      <c r="A118" s="21"/>
      <c r="B118" s="21"/>
      <c r="C118" s="46"/>
      <c r="E118" s="65"/>
      <c r="F118" s="82"/>
      <c r="G118" s="129"/>
      <c r="H118" s="129"/>
      <c r="M118" s="121"/>
      <c r="N118" s="121"/>
      <c r="O118" s="121"/>
      <c r="P118" s="121"/>
      <c r="Q118" s="30"/>
      <c r="R118" s="30"/>
      <c r="S118" s="22"/>
      <c r="T118" s="152"/>
      <c r="U118" s="153"/>
      <c r="V118" s="153"/>
      <c r="W118" s="154"/>
      <c r="X118" s="31"/>
      <c r="Y118" s="32"/>
      <c r="Z118" s="32"/>
      <c r="AA118" s="22"/>
      <c r="AB118" s="22"/>
      <c r="AC118" s="22"/>
    </row>
    <row r="119" spans="1:29">
      <c r="A119" s="21"/>
      <c r="B119" s="21"/>
      <c r="C119" s="46"/>
      <c r="E119" s="65"/>
      <c r="F119" s="82"/>
      <c r="G119" s="129"/>
      <c r="H119" s="129"/>
      <c r="M119" s="121"/>
      <c r="N119" s="121"/>
      <c r="O119" s="121"/>
      <c r="P119" s="121"/>
      <c r="Q119" s="30"/>
      <c r="R119" s="30"/>
      <c r="S119" s="22"/>
      <c r="T119" s="152"/>
      <c r="U119" s="153"/>
      <c r="V119" s="153"/>
      <c r="W119" s="154"/>
      <c r="X119" s="31"/>
      <c r="Y119" s="32"/>
      <c r="Z119" s="32"/>
      <c r="AA119" s="22"/>
      <c r="AB119" s="22"/>
      <c r="AC119" s="22"/>
    </row>
    <row r="120" spans="1:29">
      <c r="A120" s="21"/>
      <c r="B120" s="21"/>
      <c r="C120" s="46"/>
      <c r="E120" s="65"/>
      <c r="F120" s="82"/>
      <c r="G120" s="129"/>
      <c r="H120" s="129"/>
      <c r="M120" s="121"/>
      <c r="N120" s="121"/>
      <c r="O120" s="121"/>
      <c r="P120" s="121"/>
      <c r="Q120" s="30"/>
      <c r="R120" s="30"/>
      <c r="S120" s="22"/>
      <c r="T120" s="152"/>
      <c r="U120" s="153"/>
      <c r="V120" s="153"/>
      <c r="W120" s="154"/>
      <c r="X120" s="31"/>
      <c r="Y120" s="32"/>
      <c r="Z120" s="32"/>
      <c r="AA120" s="22"/>
      <c r="AB120" s="22"/>
      <c r="AC120" s="22"/>
    </row>
    <row r="121" spans="1:29">
      <c r="A121" s="21"/>
      <c r="B121" s="21"/>
      <c r="C121" s="46"/>
      <c r="E121" s="65"/>
      <c r="F121" s="82"/>
      <c r="G121" s="129"/>
      <c r="H121" s="129"/>
      <c r="M121" s="121"/>
      <c r="N121" s="121"/>
      <c r="O121" s="121"/>
      <c r="P121" s="121"/>
      <c r="Q121" s="30"/>
      <c r="R121" s="30"/>
      <c r="S121" s="22"/>
      <c r="T121" s="152"/>
      <c r="U121" s="153"/>
      <c r="V121" s="153"/>
      <c r="W121" s="154"/>
      <c r="X121" s="31"/>
      <c r="Y121" s="32"/>
      <c r="Z121" s="32"/>
      <c r="AA121" s="22"/>
      <c r="AB121" s="22"/>
      <c r="AC121" s="22"/>
    </row>
    <row r="122" spans="1:29">
      <c r="A122" s="21"/>
      <c r="B122" s="21"/>
      <c r="C122" s="46"/>
      <c r="E122" s="65"/>
      <c r="F122" s="82"/>
      <c r="G122" s="129"/>
      <c r="H122" s="129"/>
      <c r="M122" s="121"/>
      <c r="N122" s="121"/>
      <c r="O122" s="121"/>
      <c r="P122" s="121"/>
      <c r="Q122" s="30"/>
      <c r="R122" s="30"/>
      <c r="S122" s="22"/>
      <c r="T122" s="152"/>
      <c r="U122" s="153"/>
      <c r="V122" s="153"/>
      <c r="W122" s="154"/>
      <c r="X122" s="31"/>
      <c r="Y122" s="32"/>
      <c r="Z122" s="32"/>
      <c r="AA122" s="22"/>
      <c r="AB122" s="22"/>
      <c r="AC122" s="22"/>
    </row>
    <row r="123" spans="1:29">
      <c r="A123" s="21"/>
      <c r="B123" s="21"/>
      <c r="C123" s="46"/>
      <c r="E123" s="65"/>
      <c r="F123" s="82"/>
      <c r="G123" s="129"/>
      <c r="H123" s="129"/>
      <c r="M123" s="121"/>
      <c r="N123" s="121"/>
      <c r="O123" s="121"/>
      <c r="P123" s="121"/>
      <c r="Q123" s="30"/>
      <c r="R123" s="30"/>
      <c r="S123" s="22"/>
      <c r="T123" s="152"/>
      <c r="U123" s="153"/>
      <c r="V123" s="153"/>
      <c r="W123" s="154"/>
      <c r="X123" s="31"/>
      <c r="Y123" s="32"/>
      <c r="Z123" s="32"/>
      <c r="AA123" s="22"/>
      <c r="AB123" s="22"/>
      <c r="AC123" s="22"/>
    </row>
    <row r="124" spans="1:29">
      <c r="A124" s="21"/>
      <c r="B124" s="21"/>
      <c r="C124" s="46"/>
      <c r="E124" s="65"/>
      <c r="F124" s="82"/>
      <c r="G124" s="129"/>
      <c r="H124" s="129"/>
      <c r="M124" s="121"/>
      <c r="N124" s="121"/>
      <c r="O124" s="121"/>
      <c r="P124" s="121"/>
      <c r="Q124" s="30"/>
      <c r="R124" s="30"/>
      <c r="S124" s="22"/>
      <c r="T124" s="152"/>
      <c r="U124" s="153"/>
      <c r="V124" s="153"/>
      <c r="W124" s="154"/>
      <c r="X124" s="31"/>
      <c r="Y124" s="32"/>
      <c r="Z124" s="32"/>
      <c r="AA124" s="22"/>
      <c r="AB124" s="22"/>
      <c r="AC124" s="22"/>
    </row>
    <row r="125" spans="1:29">
      <c r="A125" s="21"/>
      <c r="B125" s="21"/>
      <c r="C125" s="46"/>
      <c r="E125" s="65"/>
      <c r="F125" s="83"/>
      <c r="G125" s="129"/>
      <c r="H125" s="130"/>
      <c r="M125" s="121"/>
      <c r="N125" s="121"/>
      <c r="O125" s="121"/>
      <c r="P125" s="121"/>
      <c r="Q125" s="30"/>
      <c r="R125" s="30"/>
      <c r="S125" s="22"/>
      <c r="T125" s="152"/>
      <c r="U125" s="153"/>
      <c r="V125" s="153"/>
      <c r="W125" s="154"/>
      <c r="X125" s="31"/>
      <c r="Y125" s="32"/>
      <c r="Z125" s="32"/>
      <c r="AA125" s="22"/>
      <c r="AB125" s="22"/>
      <c r="AC125" s="22"/>
    </row>
    <row r="126" spans="1:29">
      <c r="A126" s="21"/>
      <c r="B126" s="21"/>
      <c r="C126" s="46"/>
      <c r="E126" s="131"/>
      <c r="F126" s="84"/>
      <c r="G126" s="129"/>
      <c r="H126" s="130"/>
      <c r="M126" s="121"/>
      <c r="N126" s="121"/>
      <c r="O126" s="121"/>
      <c r="P126" s="121"/>
      <c r="Q126" s="30"/>
      <c r="R126" s="30"/>
      <c r="S126" s="22"/>
      <c r="T126" s="152"/>
      <c r="U126" s="153"/>
      <c r="V126" s="153"/>
      <c r="W126" s="154"/>
      <c r="X126" s="31"/>
      <c r="Y126" s="32"/>
      <c r="Z126" s="32"/>
      <c r="AA126" s="22"/>
      <c r="AB126" s="22"/>
      <c r="AC126" s="22"/>
    </row>
    <row r="127" spans="1:29">
      <c r="A127" s="21"/>
      <c r="B127" s="21"/>
      <c r="C127" s="46"/>
      <c r="E127" s="131"/>
      <c r="F127" s="84"/>
      <c r="G127" s="129"/>
      <c r="H127" s="130"/>
      <c r="M127" s="121"/>
      <c r="N127" s="121"/>
      <c r="O127" s="121"/>
      <c r="P127" s="121"/>
      <c r="Q127" s="30"/>
      <c r="R127" s="30"/>
      <c r="S127" s="22"/>
      <c r="T127" s="152"/>
      <c r="U127" s="153"/>
      <c r="V127" s="153"/>
      <c r="W127" s="154"/>
      <c r="X127" s="31"/>
      <c r="Y127" s="32"/>
      <c r="Z127" s="32"/>
      <c r="AA127" s="22"/>
      <c r="AB127" s="22"/>
      <c r="AC127" s="22"/>
    </row>
    <row r="128" spans="1:29">
      <c r="A128" s="21"/>
      <c r="B128" s="21"/>
      <c r="C128" s="46"/>
      <c r="E128" s="131"/>
      <c r="F128" s="84"/>
      <c r="G128" s="129"/>
      <c r="H128" s="130"/>
      <c r="M128" s="121"/>
      <c r="N128" s="121"/>
      <c r="O128" s="121"/>
      <c r="P128" s="121"/>
      <c r="Q128" s="30"/>
      <c r="R128" s="30"/>
      <c r="S128" s="22"/>
      <c r="T128" s="152"/>
      <c r="U128" s="153"/>
      <c r="V128" s="153"/>
      <c r="W128" s="154"/>
      <c r="X128" s="31"/>
      <c r="Y128" s="32"/>
      <c r="Z128" s="32"/>
      <c r="AA128" s="22"/>
      <c r="AB128" s="22"/>
      <c r="AC128" s="22"/>
    </row>
    <row r="129" spans="1:29">
      <c r="A129" s="21"/>
      <c r="B129" s="21"/>
      <c r="C129" s="46"/>
      <c r="E129" s="131"/>
      <c r="F129" s="84"/>
      <c r="G129" s="129"/>
      <c r="H129" s="130"/>
      <c r="M129" s="121"/>
      <c r="N129" s="121"/>
      <c r="O129" s="121"/>
      <c r="P129" s="121"/>
      <c r="Q129" s="30"/>
      <c r="R129" s="30"/>
      <c r="S129" s="22"/>
      <c r="T129" s="152"/>
      <c r="U129" s="153"/>
      <c r="V129" s="153"/>
      <c r="W129" s="154"/>
      <c r="X129" s="31"/>
      <c r="Y129" s="32"/>
      <c r="Z129" s="32"/>
      <c r="AA129" s="22"/>
      <c r="AB129" s="22"/>
      <c r="AC129" s="22"/>
    </row>
    <row r="130" spans="1:29">
      <c r="A130" s="21"/>
      <c r="B130" s="21"/>
      <c r="C130" s="46"/>
      <c r="E130" s="131"/>
      <c r="F130" s="84"/>
      <c r="G130" s="130"/>
      <c r="H130" s="130"/>
      <c r="M130" s="121"/>
      <c r="N130" s="121"/>
      <c r="O130" s="121"/>
      <c r="P130" s="121"/>
      <c r="Q130" s="30"/>
      <c r="R130" s="30"/>
      <c r="S130" s="22"/>
      <c r="T130" s="152"/>
      <c r="U130" s="153"/>
      <c r="V130" s="153"/>
      <c r="W130" s="154"/>
      <c r="X130" s="31"/>
      <c r="Y130" s="32"/>
      <c r="Z130" s="32"/>
      <c r="AA130" s="22"/>
      <c r="AB130" s="22"/>
      <c r="AC130" s="22"/>
    </row>
    <row r="131" spans="1:29">
      <c r="A131" s="21"/>
      <c r="B131" s="21"/>
      <c r="C131" s="46"/>
      <c r="E131" s="131"/>
      <c r="F131" s="84"/>
      <c r="G131" s="130"/>
      <c r="H131" s="130"/>
      <c r="M131" s="121"/>
      <c r="N131" s="121"/>
      <c r="O131" s="121"/>
      <c r="P131" s="121"/>
      <c r="Q131" s="30"/>
      <c r="R131" s="30"/>
      <c r="S131" s="22"/>
      <c r="T131" s="152"/>
      <c r="U131" s="153"/>
      <c r="V131" s="153"/>
      <c r="W131" s="154"/>
      <c r="X131" s="31"/>
      <c r="Y131" s="32"/>
      <c r="Z131" s="32"/>
      <c r="AA131" s="22"/>
      <c r="AB131" s="22"/>
      <c r="AC131" s="22"/>
    </row>
    <row r="132" spans="1:29">
      <c r="A132" s="21"/>
      <c r="B132" s="21"/>
      <c r="C132" s="46"/>
      <c r="E132" s="131"/>
      <c r="F132" s="84"/>
      <c r="G132" s="130"/>
      <c r="H132" s="130"/>
      <c r="M132" s="121"/>
      <c r="N132" s="121"/>
      <c r="O132" s="121"/>
      <c r="P132" s="121"/>
      <c r="Q132" s="30"/>
      <c r="R132" s="30"/>
      <c r="S132" s="22"/>
      <c r="T132" s="152"/>
      <c r="U132" s="153"/>
      <c r="V132" s="153"/>
      <c r="W132" s="154"/>
      <c r="X132" s="31"/>
      <c r="Y132" s="32"/>
      <c r="Z132" s="32"/>
      <c r="AA132" s="22"/>
      <c r="AB132" s="22"/>
      <c r="AC132" s="22"/>
    </row>
    <row r="133" spans="1:29">
      <c r="A133" s="21"/>
      <c r="B133" s="21"/>
      <c r="C133" s="46"/>
      <c r="E133" s="131"/>
      <c r="F133" s="84"/>
      <c r="G133" s="130"/>
      <c r="H133" s="130"/>
      <c r="M133" s="121"/>
      <c r="N133" s="121"/>
      <c r="O133" s="121"/>
      <c r="P133" s="121"/>
      <c r="Q133" s="30"/>
      <c r="R133" s="30"/>
      <c r="S133" s="22"/>
      <c r="T133" s="152"/>
      <c r="U133" s="153"/>
      <c r="V133" s="153"/>
      <c r="W133" s="154"/>
      <c r="X133" s="31"/>
      <c r="Y133" s="32"/>
      <c r="Z133" s="32"/>
      <c r="AA133" s="22"/>
      <c r="AB133" s="22"/>
      <c r="AC133" s="22"/>
    </row>
    <row r="134" spans="1:29">
      <c r="A134" s="21"/>
      <c r="B134" s="21"/>
      <c r="C134" s="46"/>
      <c r="E134" s="131"/>
      <c r="F134" s="84"/>
      <c r="G134" s="130"/>
      <c r="H134" s="130"/>
      <c r="M134" s="121"/>
      <c r="N134" s="121"/>
      <c r="O134" s="121"/>
      <c r="P134" s="121"/>
      <c r="Q134" s="30"/>
      <c r="R134" s="30"/>
      <c r="S134" s="22"/>
      <c r="T134" s="152"/>
      <c r="U134" s="153"/>
      <c r="V134" s="153"/>
      <c r="W134" s="154"/>
      <c r="X134" s="31"/>
      <c r="Y134" s="32"/>
      <c r="Z134" s="32"/>
      <c r="AA134" s="22"/>
      <c r="AB134" s="22"/>
      <c r="AC134" s="22"/>
    </row>
    <row r="135" spans="1:29">
      <c r="A135" s="21"/>
      <c r="B135" s="21"/>
      <c r="C135" s="46"/>
      <c r="E135" s="49"/>
      <c r="F135" s="85"/>
      <c r="G135" s="132"/>
      <c r="H135" s="132"/>
      <c r="M135" s="121"/>
      <c r="N135" s="121"/>
      <c r="O135" s="121"/>
      <c r="P135" s="121"/>
      <c r="Q135" s="30"/>
      <c r="R135" s="30"/>
      <c r="S135" s="22"/>
      <c r="T135" s="35"/>
      <c r="U135" s="35"/>
      <c r="V135" s="35"/>
      <c r="W135" s="35"/>
      <c r="X135" s="31"/>
      <c r="Y135" s="32"/>
      <c r="Z135" s="32"/>
      <c r="AA135" s="22"/>
      <c r="AB135" s="22"/>
      <c r="AC135" s="22"/>
    </row>
    <row r="136" spans="1:29">
      <c r="A136" s="21"/>
      <c r="B136" s="21"/>
      <c r="C136" s="46"/>
      <c r="E136" s="49"/>
      <c r="F136" s="86"/>
      <c r="G136" s="49"/>
      <c r="H136" s="132"/>
      <c r="M136" s="121"/>
      <c r="N136" s="121"/>
      <c r="O136" s="121"/>
      <c r="P136" s="121"/>
      <c r="Q136" s="30"/>
      <c r="R136" s="30"/>
      <c r="S136" s="22"/>
      <c r="T136" s="35"/>
      <c r="U136" s="35"/>
      <c r="V136" s="35"/>
      <c r="W136" s="35"/>
      <c r="X136" s="31"/>
      <c r="Y136" s="32"/>
      <c r="Z136" s="32"/>
      <c r="AA136" s="22"/>
      <c r="AB136" s="22"/>
      <c r="AC136" s="22"/>
    </row>
    <row r="137" spans="1:29">
      <c r="A137" s="21"/>
      <c r="B137" s="21"/>
      <c r="C137" s="46"/>
      <c r="E137" s="49"/>
      <c r="F137" s="86"/>
      <c r="G137" s="49"/>
      <c r="H137" s="132"/>
      <c r="M137" s="121"/>
      <c r="N137" s="121"/>
      <c r="O137" s="121"/>
      <c r="P137" s="121"/>
      <c r="Q137" s="30"/>
      <c r="R137" s="30"/>
      <c r="S137" s="22"/>
      <c r="T137" s="35"/>
      <c r="U137" s="35"/>
      <c r="V137" s="35"/>
      <c r="W137" s="35"/>
      <c r="X137" s="31"/>
      <c r="Y137" s="32"/>
      <c r="Z137" s="32"/>
      <c r="AA137" s="22"/>
      <c r="AB137" s="22"/>
      <c r="AC137" s="22"/>
    </row>
    <row r="138" spans="1:29">
      <c r="A138" s="21"/>
      <c r="B138" s="21"/>
      <c r="C138" s="46"/>
      <c r="E138" s="49"/>
      <c r="F138" s="86"/>
      <c r="G138" s="49"/>
      <c r="H138" s="132"/>
      <c r="M138" s="121"/>
      <c r="N138" s="121"/>
      <c r="O138" s="121"/>
      <c r="P138" s="121"/>
      <c r="Q138" s="30"/>
      <c r="R138" s="30"/>
      <c r="S138" s="22"/>
      <c r="T138" s="35"/>
      <c r="U138" s="35"/>
      <c r="V138" s="35"/>
      <c r="W138" s="35"/>
      <c r="X138" s="31"/>
      <c r="Y138" s="32"/>
      <c r="Z138" s="32"/>
      <c r="AA138" s="22"/>
      <c r="AB138" s="22"/>
      <c r="AC138" s="22"/>
    </row>
    <row r="139" spans="1:29">
      <c r="A139" s="21"/>
      <c r="B139" s="21"/>
      <c r="C139" s="46"/>
      <c r="E139" s="49"/>
      <c r="F139" s="86"/>
      <c r="G139" s="49"/>
      <c r="H139" s="132"/>
      <c r="M139" s="121"/>
      <c r="N139" s="121"/>
      <c r="O139" s="121"/>
      <c r="P139" s="121"/>
      <c r="Q139" s="30"/>
      <c r="R139" s="30"/>
      <c r="S139" s="22"/>
      <c r="T139" s="35"/>
      <c r="U139" s="35"/>
      <c r="V139" s="35"/>
      <c r="W139" s="35"/>
      <c r="X139" s="31"/>
      <c r="Y139" s="32"/>
      <c r="Z139" s="32"/>
      <c r="AA139" s="22"/>
      <c r="AB139" s="22"/>
      <c r="AC139" s="22"/>
    </row>
    <row r="140" spans="1:29">
      <c r="A140" s="21"/>
      <c r="B140" s="21"/>
      <c r="C140" s="46"/>
      <c r="E140" s="49"/>
      <c r="F140" s="86"/>
      <c r="G140" s="49"/>
      <c r="H140" s="132"/>
      <c r="M140" s="121"/>
      <c r="N140" s="121"/>
      <c r="O140" s="121"/>
      <c r="P140" s="121"/>
      <c r="Q140" s="30"/>
      <c r="R140" s="30"/>
      <c r="S140" s="22"/>
      <c r="T140" s="35"/>
      <c r="U140" s="35"/>
      <c r="V140" s="35"/>
      <c r="W140" s="35"/>
      <c r="X140" s="31"/>
      <c r="Y140" s="32"/>
      <c r="Z140" s="32"/>
      <c r="AA140" s="22"/>
      <c r="AB140" s="22"/>
      <c r="AC140" s="22"/>
    </row>
    <row r="141" spans="1:29">
      <c r="A141" s="21"/>
      <c r="B141" s="21"/>
      <c r="C141" s="46"/>
      <c r="E141" s="49"/>
      <c r="F141" s="86"/>
      <c r="G141" s="49"/>
      <c r="H141" s="132"/>
      <c r="M141" s="121"/>
      <c r="N141" s="121"/>
      <c r="O141" s="121"/>
      <c r="P141" s="121"/>
      <c r="Q141" s="30"/>
      <c r="R141" s="30"/>
      <c r="S141" s="22"/>
      <c r="T141" s="35"/>
      <c r="U141" s="35"/>
      <c r="V141" s="35"/>
      <c r="W141" s="35"/>
      <c r="X141" s="31"/>
      <c r="Y141" s="32"/>
      <c r="Z141" s="32"/>
      <c r="AA141" s="22"/>
      <c r="AB141" s="22"/>
      <c r="AC141" s="22"/>
    </row>
    <row r="142" spans="1:29">
      <c r="A142" s="21"/>
      <c r="B142" s="21"/>
      <c r="C142" s="46"/>
      <c r="E142" s="49"/>
      <c r="F142" s="86"/>
      <c r="G142" s="49"/>
      <c r="H142" s="132"/>
      <c r="M142" s="121"/>
      <c r="N142" s="121"/>
      <c r="O142" s="121"/>
      <c r="P142" s="121"/>
      <c r="Q142" s="30"/>
      <c r="R142" s="30"/>
      <c r="S142" s="22"/>
      <c r="T142" s="35"/>
      <c r="U142" s="35"/>
      <c r="V142" s="35"/>
      <c r="W142" s="35"/>
      <c r="X142" s="31"/>
      <c r="Y142" s="32"/>
      <c r="Z142" s="32"/>
      <c r="AA142" s="89"/>
      <c r="AB142" s="22"/>
      <c r="AC142" s="22"/>
    </row>
    <row r="143" spans="1:29">
      <c r="A143" s="21"/>
      <c r="B143" s="21"/>
      <c r="C143" s="46"/>
      <c r="E143" s="49"/>
      <c r="F143" s="86"/>
      <c r="G143" s="49"/>
      <c r="H143" s="132"/>
      <c r="M143" s="121"/>
      <c r="N143" s="121"/>
      <c r="O143" s="121"/>
      <c r="P143" s="121"/>
      <c r="Q143" s="30"/>
      <c r="R143" s="30"/>
      <c r="S143" s="22"/>
      <c r="T143" s="35"/>
      <c r="U143" s="35"/>
      <c r="V143" s="35"/>
      <c r="W143" s="35"/>
      <c r="X143" s="31"/>
      <c r="Y143" s="32"/>
      <c r="Z143" s="32"/>
      <c r="AA143" s="22"/>
      <c r="AB143" s="22"/>
      <c r="AC143" s="22"/>
    </row>
    <row r="144" spans="1:29">
      <c r="A144" s="21"/>
      <c r="B144" s="21"/>
      <c r="C144" s="46"/>
      <c r="E144" s="49"/>
      <c r="F144" s="86"/>
      <c r="G144" s="49"/>
      <c r="H144" s="132"/>
      <c r="M144" s="121"/>
      <c r="N144" s="121"/>
      <c r="O144" s="121"/>
      <c r="P144" s="121"/>
      <c r="Q144" s="30"/>
      <c r="R144" s="30"/>
      <c r="S144" s="22"/>
      <c r="T144" s="35"/>
      <c r="U144" s="35"/>
      <c r="V144" s="35"/>
      <c r="W144" s="35"/>
      <c r="X144" s="31"/>
      <c r="Y144" s="32"/>
      <c r="Z144" s="32"/>
      <c r="AA144" s="22"/>
      <c r="AB144" s="22"/>
      <c r="AC144" s="22"/>
    </row>
    <row r="145" spans="1:29">
      <c r="A145" s="21"/>
      <c r="B145" s="21"/>
      <c r="C145" s="46"/>
      <c r="E145" s="49"/>
      <c r="F145" s="86"/>
      <c r="G145" s="49"/>
      <c r="H145" s="132"/>
      <c r="M145" s="121"/>
      <c r="N145" s="121"/>
      <c r="O145" s="121"/>
      <c r="P145" s="121"/>
      <c r="Q145" s="30"/>
      <c r="R145" s="30"/>
      <c r="S145" s="22"/>
      <c r="T145" s="35"/>
      <c r="U145" s="35"/>
      <c r="V145" s="35"/>
      <c r="W145" s="35"/>
      <c r="X145" s="31"/>
      <c r="Y145" s="32"/>
      <c r="Z145" s="32"/>
      <c r="AA145" s="22"/>
      <c r="AB145" s="22"/>
      <c r="AC145" s="22"/>
    </row>
    <row r="146" spans="1:29">
      <c r="A146" s="21"/>
      <c r="B146" s="21"/>
      <c r="C146" s="46"/>
      <c r="E146" s="49"/>
      <c r="F146" s="86"/>
      <c r="G146" s="49"/>
      <c r="H146" s="132"/>
      <c r="M146" s="121"/>
      <c r="N146" s="121"/>
      <c r="O146" s="121"/>
      <c r="P146" s="121"/>
      <c r="Q146" s="30"/>
      <c r="R146" s="30"/>
      <c r="S146" s="22"/>
      <c r="T146" s="35"/>
      <c r="U146" s="35"/>
      <c r="V146" s="35"/>
      <c r="W146" s="35"/>
      <c r="X146" s="31"/>
      <c r="Y146" s="32"/>
      <c r="Z146" s="32"/>
      <c r="AA146" s="22"/>
      <c r="AB146" s="22"/>
      <c r="AC146" s="22"/>
    </row>
    <row r="147" spans="1:29">
      <c r="A147" s="21"/>
      <c r="B147" s="21"/>
      <c r="C147" s="46"/>
      <c r="E147" s="49"/>
      <c r="F147" s="86"/>
      <c r="G147" s="49"/>
      <c r="H147" s="132"/>
      <c r="M147" s="121"/>
      <c r="N147" s="121"/>
      <c r="O147" s="121"/>
      <c r="P147" s="121"/>
      <c r="Q147" s="30"/>
      <c r="R147" s="30"/>
      <c r="S147" s="22"/>
      <c r="T147" s="35"/>
      <c r="U147" s="35"/>
      <c r="V147" s="35"/>
      <c r="W147" s="35"/>
      <c r="X147" s="31"/>
      <c r="Y147" s="32"/>
      <c r="Z147" s="32"/>
      <c r="AA147" s="22"/>
      <c r="AB147" s="22"/>
      <c r="AC147" s="22"/>
    </row>
    <row r="148" spans="1:29">
      <c r="A148" s="21"/>
      <c r="B148" s="21"/>
      <c r="C148" s="46"/>
      <c r="E148" s="49"/>
      <c r="F148" s="86"/>
      <c r="G148" s="49"/>
      <c r="H148" s="132"/>
      <c r="M148" s="121"/>
      <c r="N148" s="121"/>
      <c r="O148" s="121"/>
      <c r="P148" s="121"/>
      <c r="Q148" s="30"/>
      <c r="R148" s="30"/>
      <c r="S148" s="22"/>
      <c r="T148" s="35"/>
      <c r="U148" s="35"/>
      <c r="V148" s="35"/>
      <c r="W148" s="35"/>
      <c r="X148" s="31"/>
      <c r="Y148" s="32"/>
      <c r="Z148" s="32"/>
      <c r="AA148" s="22"/>
      <c r="AB148" s="22"/>
      <c r="AC148" s="22"/>
    </row>
    <row r="149" spans="1:29">
      <c r="A149" s="21"/>
      <c r="B149" s="21"/>
      <c r="C149" s="46"/>
      <c r="E149" s="49"/>
      <c r="F149" s="86"/>
      <c r="G149" s="49"/>
      <c r="H149" s="132"/>
      <c r="M149" s="121"/>
      <c r="N149" s="121"/>
      <c r="O149" s="121"/>
      <c r="P149" s="121"/>
      <c r="Q149" s="30"/>
      <c r="R149" s="30"/>
      <c r="S149" s="22"/>
      <c r="T149" s="35"/>
      <c r="U149" s="35"/>
      <c r="V149" s="35"/>
      <c r="W149" s="35"/>
      <c r="X149" s="31"/>
      <c r="Y149" s="32"/>
      <c r="Z149" s="32"/>
      <c r="AA149" s="22"/>
      <c r="AB149" s="22"/>
      <c r="AC149" s="22"/>
    </row>
    <row r="150" spans="1:29">
      <c r="A150" s="21"/>
      <c r="B150" s="21"/>
      <c r="C150" s="46"/>
      <c r="E150" s="49"/>
      <c r="F150" s="86"/>
      <c r="G150" s="49"/>
      <c r="H150" s="132"/>
      <c r="M150" s="121"/>
      <c r="N150" s="121"/>
      <c r="O150" s="121"/>
      <c r="P150" s="121"/>
      <c r="Q150" s="30"/>
      <c r="R150" s="30"/>
      <c r="S150" s="22"/>
      <c r="T150" s="35"/>
      <c r="U150" s="35"/>
      <c r="V150" s="35"/>
      <c r="W150" s="35"/>
      <c r="X150" s="31"/>
      <c r="Y150" s="32"/>
      <c r="Z150" s="32"/>
      <c r="AA150" s="22"/>
      <c r="AB150" s="22"/>
      <c r="AC150" s="22"/>
    </row>
    <row r="151" spans="1:29">
      <c r="A151" s="21"/>
      <c r="B151" s="21"/>
      <c r="C151" s="46"/>
      <c r="E151" s="49"/>
      <c r="F151" s="86"/>
      <c r="G151" s="49"/>
      <c r="H151" s="132"/>
      <c r="M151" s="121"/>
      <c r="N151" s="121"/>
      <c r="O151" s="121"/>
      <c r="P151" s="121"/>
      <c r="Q151" s="30"/>
      <c r="R151" s="30"/>
      <c r="S151" s="22"/>
      <c r="T151" s="35"/>
      <c r="U151" s="35"/>
      <c r="V151" s="35"/>
      <c r="W151" s="35"/>
      <c r="X151" s="31"/>
      <c r="Y151" s="32"/>
      <c r="Z151" s="32"/>
      <c r="AA151" s="22"/>
      <c r="AB151" s="22"/>
      <c r="AC151" s="22"/>
    </row>
    <row r="152" spans="1:29">
      <c r="A152" s="21"/>
      <c r="B152" s="21"/>
      <c r="C152" s="46"/>
      <c r="E152" s="95"/>
      <c r="F152" s="86"/>
      <c r="G152" s="49"/>
      <c r="H152" s="132"/>
      <c r="M152" s="121"/>
      <c r="N152" s="121"/>
      <c r="O152" s="121"/>
      <c r="P152" s="121"/>
      <c r="Q152" s="30"/>
      <c r="R152" s="30"/>
      <c r="S152" s="22"/>
      <c r="T152" s="35"/>
      <c r="U152" s="35"/>
      <c r="V152" s="35"/>
      <c r="W152" s="35"/>
      <c r="X152" s="31"/>
      <c r="Y152" s="32"/>
      <c r="Z152" s="32"/>
      <c r="AA152" s="22"/>
      <c r="AB152" s="22"/>
      <c r="AC152" s="22"/>
    </row>
    <row r="153" spans="1:29">
      <c r="A153" s="21"/>
      <c r="B153" s="21"/>
      <c r="C153" s="46"/>
      <c r="E153" s="49"/>
      <c r="F153" s="86"/>
      <c r="G153" s="49"/>
      <c r="H153" s="132"/>
      <c r="M153" s="121"/>
      <c r="N153" s="121"/>
      <c r="O153" s="121"/>
      <c r="P153" s="121"/>
      <c r="Q153" s="30"/>
      <c r="R153" s="30"/>
      <c r="S153" s="22"/>
      <c r="T153" s="35"/>
      <c r="U153" s="35"/>
      <c r="V153" s="35"/>
      <c r="W153" s="35"/>
      <c r="X153" s="31"/>
      <c r="Y153" s="32"/>
      <c r="Z153" s="32"/>
      <c r="AA153" s="22"/>
      <c r="AB153" s="22"/>
      <c r="AC153" s="22"/>
    </row>
    <row r="154" spans="1:29">
      <c r="A154" s="21"/>
      <c r="B154" s="21"/>
      <c r="C154" s="46"/>
      <c r="E154" s="49"/>
      <c r="F154" s="86"/>
      <c r="G154" s="49"/>
      <c r="H154" s="132"/>
      <c r="M154" s="121"/>
      <c r="N154" s="121"/>
      <c r="O154" s="121"/>
      <c r="P154" s="121"/>
      <c r="Q154" s="30"/>
      <c r="R154" s="30"/>
      <c r="S154" s="22"/>
      <c r="T154" s="35"/>
      <c r="U154" s="35"/>
      <c r="V154" s="35"/>
      <c r="W154" s="35"/>
      <c r="X154" s="31"/>
      <c r="Y154" s="32"/>
      <c r="Z154" s="32"/>
      <c r="AA154" s="22"/>
      <c r="AB154" s="22"/>
      <c r="AC154" s="22"/>
    </row>
    <row r="155" spans="1:29">
      <c r="A155" s="21"/>
      <c r="B155" s="21"/>
      <c r="C155" s="46"/>
      <c r="E155" s="49"/>
      <c r="F155" s="86"/>
      <c r="G155" s="49"/>
      <c r="H155" s="132"/>
      <c r="M155" s="121"/>
      <c r="N155" s="121"/>
      <c r="O155" s="121"/>
      <c r="P155" s="121"/>
      <c r="Q155" s="30"/>
      <c r="R155" s="30"/>
      <c r="S155" s="22"/>
      <c r="T155" s="35"/>
      <c r="U155" s="35"/>
      <c r="V155" s="35"/>
      <c r="W155" s="35"/>
      <c r="X155" s="31"/>
      <c r="Y155" s="32"/>
      <c r="Z155" s="32"/>
      <c r="AA155" s="22"/>
      <c r="AB155" s="22"/>
      <c r="AC155" s="22"/>
    </row>
    <row r="156" spans="1:29">
      <c r="A156" s="21"/>
      <c r="B156" s="21"/>
      <c r="C156" s="46"/>
      <c r="E156" s="49"/>
      <c r="F156" s="86"/>
      <c r="G156" s="49"/>
      <c r="H156" s="132"/>
      <c r="M156" s="121"/>
      <c r="N156" s="121"/>
      <c r="O156" s="121"/>
      <c r="P156" s="121"/>
      <c r="Q156" s="30"/>
      <c r="R156" s="30"/>
      <c r="S156" s="22"/>
      <c r="T156" s="35"/>
      <c r="U156" s="35"/>
      <c r="V156" s="35"/>
      <c r="W156" s="35"/>
      <c r="X156" s="31"/>
      <c r="Y156" s="32"/>
      <c r="Z156" s="32"/>
      <c r="AA156" s="22"/>
      <c r="AB156" s="22"/>
      <c r="AC156" s="22"/>
    </row>
    <row r="157" spans="1:29">
      <c r="A157" s="21"/>
      <c r="B157" s="21"/>
      <c r="C157" s="46"/>
      <c r="E157" s="49"/>
      <c r="F157" s="86"/>
      <c r="G157" s="49"/>
      <c r="H157" s="132"/>
      <c r="M157" s="121"/>
      <c r="N157" s="121"/>
      <c r="O157" s="121"/>
      <c r="P157" s="121"/>
      <c r="Q157" s="30"/>
      <c r="R157" s="30"/>
      <c r="S157" s="22"/>
      <c r="T157" s="35"/>
      <c r="U157" s="35"/>
      <c r="V157" s="35"/>
      <c r="W157" s="35"/>
      <c r="X157" s="31"/>
      <c r="Y157" s="32"/>
      <c r="Z157" s="32"/>
      <c r="AA157" s="22"/>
      <c r="AB157" s="22"/>
      <c r="AC157" s="22"/>
    </row>
    <row r="158" spans="1:29">
      <c r="A158" s="21"/>
      <c r="B158" s="21"/>
      <c r="C158" s="46"/>
      <c r="E158" s="49"/>
      <c r="F158" s="86"/>
      <c r="G158" s="49"/>
      <c r="H158" s="132"/>
      <c r="M158" s="121"/>
      <c r="N158" s="121"/>
      <c r="O158" s="121"/>
      <c r="P158" s="121"/>
      <c r="Q158" s="30"/>
      <c r="R158" s="30"/>
      <c r="S158" s="22"/>
      <c r="T158" s="35"/>
      <c r="U158" s="35"/>
      <c r="V158" s="35"/>
      <c r="W158" s="35"/>
      <c r="X158" s="31"/>
      <c r="Y158" s="32"/>
      <c r="Z158" s="32"/>
      <c r="AA158" s="22"/>
      <c r="AB158" s="22"/>
      <c r="AC158" s="22"/>
    </row>
    <row r="159" spans="1:29">
      <c r="A159" s="21"/>
      <c r="B159" s="21"/>
      <c r="C159" s="46"/>
      <c r="E159" s="49"/>
      <c r="F159" s="86"/>
      <c r="G159" s="49"/>
      <c r="H159" s="132"/>
      <c r="M159" s="121"/>
      <c r="N159" s="121"/>
      <c r="O159" s="121"/>
      <c r="P159" s="121"/>
      <c r="Q159" s="30"/>
      <c r="R159" s="30"/>
      <c r="S159" s="22"/>
      <c r="T159" s="35"/>
      <c r="U159" s="35"/>
      <c r="V159" s="35"/>
      <c r="W159" s="35"/>
      <c r="X159" s="31"/>
      <c r="Y159" s="32"/>
      <c r="Z159" s="32"/>
      <c r="AA159" s="22"/>
      <c r="AB159" s="22"/>
      <c r="AC159" s="22"/>
    </row>
    <row r="160" spans="1:29">
      <c r="A160" s="21"/>
      <c r="B160" s="21"/>
      <c r="C160" s="46"/>
      <c r="E160" s="49"/>
      <c r="F160" s="86"/>
      <c r="G160" s="49"/>
      <c r="H160" s="132"/>
      <c r="M160" s="121"/>
      <c r="N160" s="121"/>
      <c r="O160" s="121"/>
      <c r="P160" s="121"/>
      <c r="Q160" s="30"/>
      <c r="R160" s="30"/>
      <c r="S160" s="22"/>
      <c r="T160" s="35"/>
      <c r="U160" s="35"/>
      <c r="V160" s="35"/>
      <c r="W160" s="35"/>
      <c r="X160" s="31"/>
      <c r="Y160" s="32"/>
      <c r="Z160" s="32"/>
      <c r="AA160" s="22"/>
      <c r="AB160" s="22"/>
      <c r="AC160" s="22"/>
    </row>
    <row r="161" spans="1:29">
      <c r="A161" s="21"/>
      <c r="B161" s="21"/>
      <c r="C161" s="46"/>
      <c r="E161" s="49"/>
      <c r="F161" s="86"/>
      <c r="G161" s="49"/>
      <c r="H161" s="132"/>
      <c r="M161" s="121"/>
      <c r="N161" s="121"/>
      <c r="O161" s="121"/>
      <c r="P161" s="121"/>
      <c r="Q161" s="30"/>
      <c r="R161" s="30"/>
      <c r="S161" s="22"/>
      <c r="T161" s="35"/>
      <c r="U161" s="35"/>
      <c r="V161" s="35"/>
      <c r="W161" s="35"/>
      <c r="X161" s="31"/>
      <c r="Y161" s="32"/>
      <c r="Z161" s="32"/>
      <c r="AA161" s="22"/>
      <c r="AB161" s="22"/>
      <c r="AC161" s="22"/>
    </row>
    <row r="162" spans="1:29">
      <c r="A162" s="21"/>
      <c r="B162" s="21"/>
      <c r="C162" s="46"/>
      <c r="E162" s="49"/>
      <c r="F162" s="86"/>
      <c r="G162" s="49"/>
      <c r="H162" s="132"/>
      <c r="M162" s="121"/>
      <c r="N162" s="121"/>
      <c r="O162" s="121"/>
      <c r="P162" s="121"/>
      <c r="Q162" s="30"/>
      <c r="R162" s="30"/>
      <c r="S162" s="22"/>
      <c r="T162" s="35"/>
      <c r="U162" s="35"/>
      <c r="V162" s="35"/>
      <c r="W162" s="35"/>
      <c r="X162" s="31"/>
      <c r="Y162" s="32"/>
      <c r="Z162" s="32"/>
      <c r="AA162" s="22"/>
      <c r="AB162" s="22"/>
      <c r="AC162" s="22"/>
    </row>
    <row r="163" spans="1:29">
      <c r="A163" s="21"/>
      <c r="B163" s="21"/>
      <c r="C163" s="46"/>
      <c r="E163" s="49"/>
      <c r="F163" s="86"/>
      <c r="G163" s="49"/>
      <c r="H163" s="132"/>
      <c r="M163" s="121"/>
      <c r="N163" s="121"/>
      <c r="O163" s="121"/>
      <c r="P163" s="121"/>
      <c r="Q163" s="30"/>
      <c r="R163" s="30"/>
      <c r="S163" s="22"/>
      <c r="T163" s="35"/>
      <c r="U163" s="35"/>
      <c r="V163" s="35"/>
      <c r="W163" s="35"/>
      <c r="X163" s="31"/>
      <c r="Y163" s="32"/>
      <c r="Z163" s="32"/>
      <c r="AA163" s="22"/>
      <c r="AB163" s="22"/>
      <c r="AC163" s="22"/>
    </row>
    <row r="164" spans="1:29">
      <c r="A164" s="21"/>
      <c r="B164" s="21"/>
      <c r="C164" s="46"/>
      <c r="E164" s="49"/>
      <c r="F164" s="86"/>
      <c r="G164" s="49"/>
      <c r="H164" s="132"/>
      <c r="M164" s="121"/>
      <c r="N164" s="121"/>
      <c r="O164" s="121"/>
      <c r="P164" s="121"/>
      <c r="Q164" s="30"/>
      <c r="R164" s="30"/>
      <c r="S164" s="22"/>
      <c r="T164" s="35"/>
      <c r="U164" s="35"/>
      <c r="V164" s="35"/>
      <c r="W164" s="35"/>
      <c r="X164" s="31"/>
      <c r="Y164" s="32"/>
      <c r="Z164" s="32"/>
      <c r="AA164" s="22"/>
      <c r="AB164" s="22"/>
      <c r="AC164" s="22"/>
    </row>
    <row r="165" spans="1:29">
      <c r="A165" s="21"/>
      <c r="B165" s="21"/>
      <c r="C165" s="46"/>
      <c r="E165" s="49"/>
      <c r="F165" s="86"/>
      <c r="G165" s="49"/>
      <c r="H165" s="132"/>
      <c r="M165" s="121"/>
      <c r="N165" s="121"/>
      <c r="O165" s="121"/>
      <c r="P165" s="121"/>
      <c r="Q165" s="30"/>
      <c r="R165" s="30"/>
      <c r="S165" s="22"/>
      <c r="T165" s="35"/>
      <c r="U165" s="35"/>
      <c r="V165" s="35"/>
      <c r="W165" s="35"/>
      <c r="X165" s="31"/>
      <c r="Y165" s="32"/>
      <c r="Z165" s="32"/>
      <c r="AA165" s="22"/>
      <c r="AB165" s="22"/>
      <c r="AC165" s="22"/>
    </row>
    <row r="166" spans="1:29">
      <c r="A166" s="21"/>
      <c r="B166" s="21"/>
      <c r="C166" s="46"/>
      <c r="E166" s="49"/>
      <c r="F166" s="86"/>
      <c r="G166" s="49"/>
      <c r="H166" s="132"/>
      <c r="M166" s="121"/>
      <c r="N166" s="121"/>
      <c r="O166" s="121"/>
      <c r="P166" s="121"/>
      <c r="Q166" s="30"/>
      <c r="R166" s="30"/>
      <c r="S166" s="22"/>
      <c r="T166" s="35"/>
      <c r="U166" s="35"/>
      <c r="V166" s="35"/>
      <c r="W166" s="35"/>
      <c r="X166" s="31"/>
      <c r="Y166" s="32"/>
      <c r="Z166" s="32"/>
      <c r="AA166" s="22"/>
      <c r="AB166" s="22"/>
      <c r="AC166" s="22"/>
    </row>
    <row r="167" spans="1:29">
      <c r="A167" s="21"/>
      <c r="B167" s="21"/>
      <c r="C167" s="46"/>
      <c r="E167" s="49"/>
      <c r="F167" s="86"/>
      <c r="G167" s="49"/>
      <c r="H167" s="132"/>
      <c r="M167" s="121"/>
      <c r="N167" s="121"/>
      <c r="O167" s="121"/>
      <c r="P167" s="121"/>
      <c r="Q167" s="30"/>
      <c r="R167" s="30"/>
      <c r="S167" s="22"/>
      <c r="T167" s="35"/>
      <c r="U167" s="35"/>
      <c r="V167" s="35"/>
      <c r="W167" s="35"/>
      <c r="X167" s="31"/>
      <c r="Y167" s="32"/>
      <c r="Z167" s="32"/>
      <c r="AA167" s="22"/>
      <c r="AB167" s="22"/>
      <c r="AC167" s="22"/>
    </row>
    <row r="168" spans="1:29">
      <c r="A168" s="21"/>
      <c r="B168" s="21"/>
      <c r="C168" s="46"/>
      <c r="E168" s="49"/>
      <c r="F168" s="50"/>
      <c r="G168" s="49"/>
      <c r="H168" s="49"/>
      <c r="M168" s="121"/>
      <c r="N168" s="121"/>
      <c r="O168" s="121"/>
      <c r="P168" s="121"/>
      <c r="Q168" s="30"/>
      <c r="R168" s="30"/>
      <c r="S168" s="22"/>
      <c r="T168" s="35"/>
      <c r="U168" s="35"/>
      <c r="V168" s="35"/>
      <c r="W168" s="35"/>
      <c r="X168" s="31"/>
      <c r="Y168" s="32"/>
      <c r="Z168" s="32"/>
      <c r="AA168" s="22"/>
      <c r="AB168" s="22"/>
      <c r="AC168" s="22"/>
    </row>
    <row r="169" spans="1:29">
      <c r="A169" s="21"/>
      <c r="B169" s="21"/>
      <c r="C169" s="46"/>
      <c r="E169" s="49"/>
      <c r="F169" s="50"/>
      <c r="G169" s="49"/>
      <c r="H169" s="49"/>
      <c r="M169" s="121"/>
      <c r="N169" s="121"/>
      <c r="O169" s="121"/>
      <c r="P169" s="121"/>
      <c r="Q169" s="30"/>
      <c r="R169" s="30"/>
      <c r="S169" s="22"/>
      <c r="T169" s="35"/>
      <c r="U169" s="35"/>
      <c r="V169" s="35"/>
      <c r="W169" s="35"/>
      <c r="X169" s="31"/>
      <c r="Y169" s="32"/>
      <c r="Z169" s="32"/>
      <c r="AA169" s="22"/>
      <c r="AB169" s="22"/>
      <c r="AC169" s="22"/>
    </row>
    <row r="170" spans="1:29">
      <c r="A170" s="21"/>
      <c r="B170" s="21"/>
      <c r="C170" s="46"/>
      <c r="E170" s="49"/>
      <c r="F170" s="50"/>
      <c r="G170" s="49"/>
      <c r="H170" s="49"/>
      <c r="M170" s="121"/>
      <c r="N170" s="121"/>
      <c r="O170" s="121"/>
      <c r="P170" s="121"/>
      <c r="Q170" s="30"/>
      <c r="R170" s="30"/>
      <c r="S170" s="22"/>
      <c r="T170" s="35"/>
      <c r="U170" s="35"/>
      <c r="V170" s="35"/>
      <c r="W170" s="35"/>
      <c r="X170" s="31"/>
      <c r="Y170" s="32"/>
      <c r="Z170" s="32"/>
      <c r="AA170" s="22"/>
      <c r="AB170" s="22"/>
      <c r="AC170" s="22"/>
    </row>
    <row r="171" spans="1:29">
      <c r="A171" s="21"/>
      <c r="B171" s="21"/>
      <c r="C171" s="46"/>
      <c r="E171" s="49"/>
      <c r="F171" s="50"/>
      <c r="G171" s="49"/>
      <c r="H171" s="49"/>
      <c r="M171" s="121"/>
      <c r="N171" s="121"/>
      <c r="O171" s="121"/>
      <c r="P171" s="121"/>
      <c r="Q171" s="30"/>
      <c r="R171" s="30"/>
      <c r="S171" s="22"/>
      <c r="T171" s="35"/>
      <c r="U171" s="35"/>
      <c r="V171" s="35"/>
      <c r="W171" s="35"/>
      <c r="X171" s="31"/>
      <c r="Y171" s="32"/>
      <c r="Z171" s="32"/>
      <c r="AA171" s="22"/>
      <c r="AB171" s="22"/>
      <c r="AC171" s="22"/>
    </row>
    <row r="172" spans="1:29">
      <c r="A172" s="21"/>
      <c r="B172" s="21"/>
      <c r="C172" s="46"/>
      <c r="E172" s="49"/>
      <c r="F172" s="50"/>
      <c r="G172" s="49"/>
      <c r="H172" s="49"/>
      <c r="M172" s="121"/>
      <c r="N172" s="121"/>
      <c r="O172" s="121"/>
      <c r="P172" s="121"/>
      <c r="Q172" s="30"/>
      <c r="R172" s="30"/>
      <c r="S172" s="22"/>
      <c r="T172" s="35"/>
      <c r="U172" s="35"/>
      <c r="V172" s="35"/>
      <c r="W172" s="35"/>
      <c r="X172" s="31"/>
      <c r="Y172" s="32"/>
      <c r="Z172" s="32"/>
      <c r="AA172" s="22"/>
      <c r="AB172" s="22"/>
      <c r="AC172" s="22"/>
    </row>
    <row r="173" spans="1:29">
      <c r="A173" s="21"/>
      <c r="B173" s="21"/>
      <c r="C173" s="46"/>
      <c r="E173" s="49"/>
      <c r="F173" s="50"/>
      <c r="G173" s="49"/>
      <c r="H173" s="49"/>
      <c r="M173" s="121"/>
      <c r="N173" s="121"/>
      <c r="O173" s="121"/>
      <c r="P173" s="121"/>
      <c r="Q173" s="30"/>
      <c r="R173" s="30"/>
      <c r="S173" s="22"/>
      <c r="T173" s="35"/>
      <c r="U173" s="35"/>
      <c r="V173" s="35"/>
      <c r="W173" s="35"/>
      <c r="X173" s="31"/>
      <c r="Y173" s="32"/>
      <c r="Z173" s="32"/>
      <c r="AA173" s="22"/>
      <c r="AB173" s="22"/>
      <c r="AC173" s="22"/>
    </row>
    <row r="174" spans="1:29">
      <c r="A174" s="21"/>
      <c r="B174" s="21"/>
      <c r="C174" s="46"/>
      <c r="E174" s="49"/>
      <c r="F174" s="50"/>
      <c r="G174" s="49"/>
      <c r="H174" s="49"/>
      <c r="M174" s="121"/>
      <c r="N174" s="121"/>
      <c r="O174" s="121"/>
      <c r="P174" s="121"/>
      <c r="Q174" s="30"/>
      <c r="R174" s="30"/>
      <c r="S174" s="22"/>
      <c r="T174" s="35"/>
      <c r="U174" s="35"/>
      <c r="V174" s="35"/>
      <c r="W174" s="35"/>
      <c r="X174" s="31"/>
      <c r="Y174" s="32"/>
      <c r="Z174" s="32"/>
      <c r="AA174" s="22"/>
      <c r="AB174" s="22"/>
      <c r="AC174" s="22"/>
    </row>
    <row r="175" spans="1:29">
      <c r="A175" s="21"/>
      <c r="B175" s="21"/>
      <c r="C175" s="46"/>
      <c r="E175" s="49"/>
      <c r="F175" s="50"/>
      <c r="G175" s="49"/>
      <c r="H175" s="49"/>
      <c r="M175" s="121"/>
      <c r="N175" s="121"/>
      <c r="O175" s="121"/>
      <c r="P175" s="121"/>
      <c r="Q175" s="30"/>
      <c r="R175" s="30"/>
      <c r="S175" s="22"/>
      <c r="T175" s="35"/>
      <c r="U175" s="35"/>
      <c r="V175" s="35"/>
      <c r="W175" s="35"/>
      <c r="X175" s="31"/>
      <c r="Y175" s="32"/>
      <c r="Z175" s="32"/>
      <c r="AA175" s="22"/>
      <c r="AB175" s="22"/>
      <c r="AC175" s="22"/>
    </row>
    <row r="176" spans="1:29">
      <c r="A176" s="21"/>
      <c r="B176" s="21"/>
      <c r="C176" s="46"/>
      <c r="E176" s="49"/>
      <c r="F176" s="50"/>
      <c r="G176" s="49"/>
      <c r="H176" s="49"/>
      <c r="M176" s="121"/>
      <c r="N176" s="121"/>
      <c r="O176" s="121"/>
      <c r="P176" s="121"/>
      <c r="Q176" s="30"/>
      <c r="R176" s="30"/>
      <c r="S176" s="22"/>
      <c r="T176" s="35"/>
      <c r="U176" s="35"/>
      <c r="V176" s="35"/>
      <c r="W176" s="35"/>
      <c r="X176" s="31"/>
      <c r="Y176" s="32"/>
      <c r="Z176" s="32"/>
      <c r="AA176" s="22"/>
      <c r="AB176" s="22"/>
      <c r="AC176" s="22"/>
    </row>
    <row r="177" spans="1:29">
      <c r="A177" s="21"/>
      <c r="B177" s="21"/>
      <c r="C177" s="46"/>
      <c r="E177" s="49"/>
      <c r="F177" s="50"/>
      <c r="G177" s="49"/>
      <c r="H177" s="49"/>
      <c r="M177" s="121"/>
      <c r="N177" s="121"/>
      <c r="O177" s="121"/>
      <c r="P177" s="121"/>
      <c r="Q177" s="30"/>
      <c r="R177" s="30"/>
      <c r="S177" s="22"/>
      <c r="T177" s="35"/>
      <c r="U177" s="35"/>
      <c r="V177" s="35"/>
      <c r="W177" s="35"/>
      <c r="X177" s="31"/>
      <c r="Y177" s="32"/>
      <c r="Z177" s="32"/>
      <c r="AA177" s="22"/>
      <c r="AB177" s="22"/>
      <c r="AC177" s="22"/>
    </row>
    <row r="178" spans="1:29">
      <c r="A178" s="21"/>
      <c r="B178" s="21"/>
      <c r="C178" s="46"/>
      <c r="E178" s="49"/>
      <c r="F178" s="50"/>
      <c r="G178" s="49"/>
      <c r="H178" s="49"/>
      <c r="M178" s="121"/>
      <c r="N178" s="121"/>
      <c r="O178" s="121"/>
      <c r="P178" s="121"/>
      <c r="Q178" s="30"/>
      <c r="R178" s="133"/>
      <c r="S178" s="22"/>
      <c r="T178" s="35"/>
      <c r="U178" s="35"/>
      <c r="V178" s="35"/>
      <c r="W178" s="35"/>
      <c r="X178" s="31"/>
      <c r="Y178" s="32"/>
      <c r="Z178" s="32"/>
      <c r="AA178" s="22"/>
      <c r="AB178" s="22"/>
      <c r="AC178" s="22"/>
    </row>
    <row r="179" spans="1:29">
      <c r="A179" s="21"/>
      <c r="B179" s="21"/>
      <c r="C179" s="46"/>
      <c r="E179" s="49"/>
      <c r="F179" s="50"/>
      <c r="G179" s="49"/>
      <c r="H179" s="49"/>
      <c r="M179" s="121"/>
      <c r="N179" s="121"/>
      <c r="O179" s="121"/>
      <c r="P179" s="121"/>
      <c r="Q179" s="30"/>
      <c r="R179" s="133"/>
      <c r="S179" s="22"/>
      <c r="T179" s="35"/>
      <c r="U179" s="35"/>
      <c r="V179" s="35"/>
      <c r="W179" s="35"/>
      <c r="X179" s="31"/>
      <c r="Y179" s="32"/>
      <c r="Z179" s="32"/>
      <c r="AA179" s="22"/>
      <c r="AB179" s="22"/>
      <c r="AC179" s="22"/>
    </row>
    <row r="180" spans="1:29">
      <c r="A180" s="21"/>
      <c r="B180" s="21"/>
      <c r="C180" s="46"/>
      <c r="E180" s="49"/>
      <c r="F180" s="50"/>
      <c r="G180" s="49"/>
      <c r="H180" s="49"/>
      <c r="M180" s="121"/>
      <c r="N180" s="121"/>
      <c r="O180" s="121"/>
      <c r="P180" s="121"/>
      <c r="Q180" s="30"/>
      <c r="R180" s="30"/>
      <c r="S180" s="22"/>
      <c r="T180" s="35"/>
      <c r="U180" s="35"/>
      <c r="V180" s="35"/>
      <c r="W180" s="35"/>
      <c r="X180" s="31"/>
      <c r="Y180" s="32"/>
      <c r="Z180" s="32"/>
      <c r="AA180" s="22"/>
      <c r="AB180" s="22"/>
      <c r="AC180" s="22"/>
    </row>
    <row r="181" spans="1:29">
      <c r="A181" s="21"/>
      <c r="B181" s="21"/>
      <c r="C181" s="46"/>
      <c r="E181" s="49"/>
      <c r="F181" s="50"/>
      <c r="G181" s="49"/>
      <c r="H181" s="49"/>
      <c r="M181" s="121"/>
      <c r="N181" s="121"/>
      <c r="O181" s="121"/>
      <c r="P181" s="121"/>
      <c r="Q181" s="30"/>
      <c r="R181" s="30"/>
      <c r="S181" s="22"/>
      <c r="T181" s="35"/>
      <c r="U181" s="35"/>
      <c r="V181" s="35"/>
      <c r="W181" s="148"/>
      <c r="X181" s="31"/>
      <c r="Y181" s="32"/>
      <c r="Z181" s="32"/>
      <c r="AA181" s="22"/>
      <c r="AB181" s="22"/>
      <c r="AC181" s="22"/>
    </row>
    <row r="182" spans="1:29">
      <c r="A182" s="21"/>
      <c r="B182" s="21"/>
      <c r="C182" s="46"/>
      <c r="E182" s="49"/>
      <c r="F182" s="50"/>
      <c r="G182" s="49"/>
      <c r="H182" s="49"/>
      <c r="M182" s="121"/>
      <c r="N182" s="121"/>
      <c r="O182" s="121"/>
      <c r="P182" s="121"/>
      <c r="Q182" s="30"/>
      <c r="R182" s="30"/>
      <c r="S182" s="22"/>
      <c r="T182" s="35"/>
      <c r="U182" s="35"/>
      <c r="V182" s="35"/>
      <c r="W182" s="35"/>
      <c r="X182" s="31"/>
      <c r="Y182" s="32"/>
      <c r="Z182" s="32"/>
      <c r="AA182" s="22"/>
      <c r="AB182" s="22"/>
      <c r="AC182" s="22"/>
    </row>
    <row r="183" spans="1:29">
      <c r="A183" s="21"/>
      <c r="B183" s="21"/>
      <c r="C183" s="46"/>
      <c r="E183" s="49"/>
      <c r="F183" s="50"/>
      <c r="G183" s="49"/>
      <c r="H183" s="49"/>
      <c r="M183" s="121"/>
      <c r="N183" s="121"/>
      <c r="O183" s="121"/>
      <c r="P183" s="121"/>
      <c r="Q183" s="30"/>
      <c r="R183" s="30"/>
      <c r="S183" s="22"/>
      <c r="T183" s="35"/>
      <c r="U183" s="35"/>
      <c r="V183" s="35"/>
      <c r="W183" s="35"/>
      <c r="X183" s="31"/>
      <c r="Y183" s="32"/>
      <c r="Z183" s="32"/>
      <c r="AA183" s="22"/>
      <c r="AB183" s="22"/>
      <c r="AC183" s="22"/>
    </row>
    <row r="184" spans="1:29">
      <c r="A184" s="21"/>
      <c r="B184" s="21"/>
      <c r="C184" s="46"/>
      <c r="E184" s="49"/>
      <c r="F184" s="50"/>
      <c r="G184" s="49"/>
      <c r="H184" s="49"/>
      <c r="M184" s="121"/>
      <c r="N184" s="121"/>
      <c r="O184" s="121"/>
      <c r="P184" s="121"/>
      <c r="Q184" s="30"/>
      <c r="R184" s="30"/>
      <c r="S184" s="22"/>
      <c r="T184" s="35"/>
      <c r="U184" s="35"/>
      <c r="V184" s="35"/>
      <c r="W184" s="35"/>
      <c r="X184" s="31"/>
      <c r="Y184" s="32"/>
      <c r="Z184" s="32"/>
      <c r="AA184" s="22"/>
      <c r="AB184" s="22"/>
      <c r="AC184" s="22"/>
    </row>
    <row r="185" spans="1:29">
      <c r="A185" s="21"/>
      <c r="B185" s="21"/>
      <c r="C185" s="46"/>
      <c r="E185" s="49"/>
      <c r="F185" s="50"/>
      <c r="G185" s="49"/>
      <c r="H185" s="49"/>
      <c r="M185" s="121"/>
      <c r="N185" s="121"/>
      <c r="O185" s="121"/>
      <c r="P185" s="121"/>
      <c r="Q185" s="30"/>
      <c r="R185" s="30"/>
      <c r="S185" s="22"/>
      <c r="T185" s="35"/>
      <c r="U185" s="35"/>
      <c r="V185" s="35"/>
      <c r="W185" s="35"/>
      <c r="X185" s="31"/>
      <c r="Y185" s="32"/>
      <c r="Z185" s="32"/>
      <c r="AA185" s="22"/>
      <c r="AB185" s="22"/>
      <c r="AC185" s="22"/>
    </row>
    <row r="186" spans="1:29">
      <c r="A186" s="21"/>
      <c r="B186" s="21"/>
      <c r="C186" s="46"/>
      <c r="E186" s="49"/>
      <c r="F186" s="50"/>
      <c r="G186" s="49"/>
      <c r="H186" s="49"/>
      <c r="M186" s="121"/>
      <c r="N186" s="121"/>
      <c r="O186" s="121"/>
      <c r="P186" s="121"/>
      <c r="Q186" s="30"/>
      <c r="R186" s="30"/>
      <c r="S186" s="22"/>
      <c r="T186" s="35"/>
      <c r="U186" s="35"/>
      <c r="V186" s="35"/>
      <c r="W186" s="35"/>
      <c r="X186" s="31"/>
      <c r="Y186" s="32"/>
      <c r="Z186" s="32"/>
      <c r="AA186" s="22"/>
      <c r="AB186" s="22"/>
      <c r="AC186" s="22"/>
    </row>
    <row r="187" spans="1:29">
      <c r="A187" s="21"/>
      <c r="B187" s="21"/>
      <c r="C187" s="46"/>
      <c r="E187" s="49"/>
      <c r="F187" s="50"/>
      <c r="G187" s="49"/>
      <c r="H187" s="49"/>
      <c r="M187" s="121"/>
      <c r="N187" s="121"/>
      <c r="O187" s="121"/>
      <c r="P187" s="121"/>
      <c r="Q187" s="30"/>
      <c r="R187" s="30"/>
      <c r="S187" s="22"/>
      <c r="T187" s="35"/>
      <c r="U187" s="35"/>
      <c r="V187" s="35"/>
      <c r="W187" s="35"/>
      <c r="X187" s="31"/>
      <c r="Y187" s="32"/>
      <c r="Z187" s="32"/>
      <c r="AA187" s="22"/>
      <c r="AB187" s="22"/>
      <c r="AC187" s="22"/>
    </row>
    <row r="188" spans="1:29">
      <c r="A188" s="21"/>
      <c r="B188" s="21"/>
      <c r="C188" s="46"/>
      <c r="E188" s="49"/>
      <c r="F188" s="50"/>
      <c r="G188" s="49"/>
      <c r="H188" s="49"/>
      <c r="M188" s="121"/>
      <c r="N188" s="121"/>
      <c r="O188" s="121"/>
      <c r="P188" s="121"/>
      <c r="Q188" s="30"/>
      <c r="R188" s="30"/>
      <c r="S188" s="22"/>
      <c r="T188" s="35"/>
      <c r="U188" s="35"/>
      <c r="V188" s="35"/>
      <c r="W188" s="35"/>
      <c r="X188" s="31"/>
      <c r="Y188" s="32"/>
      <c r="Z188" s="32"/>
      <c r="AA188" s="22"/>
      <c r="AB188" s="22"/>
      <c r="AC188" s="22"/>
    </row>
    <row r="189" spans="1:29">
      <c r="A189" s="21"/>
      <c r="B189" s="21"/>
      <c r="C189" s="46"/>
      <c r="E189" s="49"/>
      <c r="F189" s="50"/>
      <c r="G189" s="49"/>
      <c r="H189" s="49"/>
      <c r="M189" s="121"/>
      <c r="N189" s="121"/>
      <c r="O189" s="121"/>
      <c r="P189" s="121"/>
      <c r="Q189" s="30"/>
      <c r="R189" s="30"/>
      <c r="S189" s="22"/>
      <c r="T189" s="35"/>
      <c r="U189" s="35"/>
      <c r="V189" s="35"/>
      <c r="W189" s="35"/>
      <c r="X189" s="31"/>
      <c r="Y189" s="32"/>
      <c r="Z189" s="32"/>
      <c r="AA189" s="22"/>
      <c r="AB189" s="22"/>
      <c r="AC189" s="22"/>
    </row>
    <row r="190" spans="1:29">
      <c r="A190" s="21"/>
      <c r="B190" s="21"/>
      <c r="C190" s="46"/>
      <c r="E190" s="49"/>
      <c r="F190" s="50"/>
      <c r="G190" s="49"/>
      <c r="H190" s="49"/>
      <c r="M190" s="121"/>
      <c r="N190" s="121"/>
      <c r="O190" s="121"/>
      <c r="P190" s="121"/>
      <c r="Q190" s="30"/>
      <c r="R190" s="30"/>
      <c r="S190" s="22"/>
      <c r="T190" s="35"/>
      <c r="U190" s="35"/>
      <c r="V190" s="35"/>
      <c r="W190" s="35"/>
      <c r="X190" s="31"/>
      <c r="Y190" s="32"/>
      <c r="Z190" s="32"/>
      <c r="AA190" s="22"/>
      <c r="AB190" s="22"/>
      <c r="AC190" s="22"/>
    </row>
    <row r="191" spans="1:29">
      <c r="A191" s="21"/>
      <c r="B191" s="21"/>
      <c r="C191" s="46"/>
      <c r="E191" s="49"/>
      <c r="F191" s="50"/>
      <c r="G191" s="49"/>
      <c r="H191" s="49"/>
      <c r="M191" s="121"/>
      <c r="N191" s="121"/>
      <c r="O191" s="121"/>
      <c r="P191" s="121"/>
      <c r="Q191" s="30"/>
      <c r="R191" s="30"/>
      <c r="S191" s="22"/>
      <c r="T191" s="35"/>
      <c r="U191" s="35"/>
      <c r="V191" s="35"/>
      <c r="W191" s="35"/>
      <c r="X191" s="31"/>
      <c r="Y191" s="32"/>
      <c r="Z191" s="32"/>
      <c r="AA191" s="22"/>
      <c r="AB191" s="22"/>
      <c r="AC191" s="22"/>
    </row>
    <row r="192" spans="1:29">
      <c r="A192" s="21"/>
      <c r="B192" s="21"/>
      <c r="C192" s="46"/>
      <c r="E192" s="49"/>
      <c r="F192" s="50"/>
      <c r="G192" s="49"/>
      <c r="H192" s="49"/>
      <c r="M192" s="121"/>
      <c r="N192" s="121"/>
      <c r="O192" s="121"/>
      <c r="P192" s="121"/>
      <c r="Q192" s="30"/>
      <c r="R192" s="30"/>
      <c r="S192" s="22"/>
      <c r="T192" s="35"/>
      <c r="U192" s="35"/>
      <c r="V192" s="35"/>
      <c r="W192" s="35"/>
      <c r="X192" s="31"/>
      <c r="Y192" s="32"/>
      <c r="Z192" s="32"/>
      <c r="AA192" s="22"/>
      <c r="AB192" s="22"/>
      <c r="AC192" s="22"/>
    </row>
    <row r="193" spans="1:29">
      <c r="A193" s="21"/>
      <c r="B193" s="21"/>
      <c r="C193" s="46"/>
      <c r="E193" s="49"/>
      <c r="F193" s="50"/>
      <c r="G193" s="49"/>
      <c r="H193" s="49"/>
      <c r="M193" s="121"/>
      <c r="N193" s="121"/>
      <c r="O193" s="121"/>
      <c r="P193" s="121"/>
      <c r="Q193" s="30"/>
      <c r="R193" s="30"/>
      <c r="S193" s="22"/>
      <c r="T193" s="35"/>
      <c r="U193" s="35"/>
      <c r="V193" s="35"/>
      <c r="W193" s="35"/>
      <c r="X193" s="31"/>
      <c r="Y193" s="32"/>
      <c r="Z193" s="32"/>
      <c r="AA193" s="22"/>
      <c r="AB193" s="22"/>
      <c r="AC193" s="22"/>
    </row>
    <row r="194" spans="1:29">
      <c r="A194" s="21"/>
      <c r="B194" s="21"/>
      <c r="C194" s="46"/>
      <c r="E194" s="49"/>
      <c r="F194" s="50"/>
      <c r="G194" s="49"/>
      <c r="H194" s="49"/>
      <c r="M194" s="121"/>
      <c r="N194" s="121"/>
      <c r="O194" s="121"/>
      <c r="P194" s="121"/>
      <c r="Q194" s="30"/>
      <c r="R194" s="30"/>
      <c r="S194" s="22"/>
      <c r="T194" s="35"/>
      <c r="U194" s="35"/>
      <c r="V194" s="35"/>
      <c r="W194" s="35"/>
      <c r="X194" s="31"/>
      <c r="Y194" s="32"/>
      <c r="Z194" s="32"/>
      <c r="AA194" s="22"/>
      <c r="AB194" s="22"/>
      <c r="AC194" s="22"/>
    </row>
    <row r="195" spans="1:29">
      <c r="A195" s="21"/>
      <c r="B195" s="21"/>
      <c r="C195" s="46"/>
      <c r="E195" s="49"/>
      <c r="F195" s="50"/>
      <c r="G195" s="49"/>
      <c r="H195" s="49"/>
      <c r="M195" s="121"/>
      <c r="N195" s="121"/>
      <c r="O195" s="121"/>
      <c r="P195" s="121"/>
      <c r="Q195" s="30"/>
      <c r="R195" s="30"/>
      <c r="S195" s="22"/>
      <c r="T195" s="35"/>
      <c r="U195" s="35"/>
      <c r="V195" s="35"/>
      <c r="W195" s="35"/>
      <c r="X195" s="31"/>
      <c r="Y195" s="32"/>
      <c r="Z195" s="32"/>
      <c r="AA195" s="22"/>
      <c r="AB195" s="22"/>
      <c r="AC195" s="22"/>
    </row>
    <row r="196" spans="1:29">
      <c r="A196" s="21"/>
      <c r="B196" s="21"/>
      <c r="C196" s="46"/>
      <c r="E196" s="49"/>
      <c r="F196" s="50"/>
      <c r="G196" s="49"/>
      <c r="H196" s="49"/>
      <c r="M196" s="121"/>
      <c r="N196" s="121"/>
      <c r="O196" s="121"/>
      <c r="P196" s="121"/>
      <c r="Q196" s="30"/>
      <c r="R196" s="30"/>
      <c r="S196" s="22"/>
      <c r="T196" s="35"/>
      <c r="U196" s="35"/>
      <c r="V196" s="35"/>
      <c r="W196" s="35"/>
      <c r="X196" s="31"/>
      <c r="Y196" s="32"/>
      <c r="Z196" s="32"/>
      <c r="AA196" s="22"/>
      <c r="AB196" s="22"/>
      <c r="AC196" s="22"/>
    </row>
    <row r="197" spans="1:29">
      <c r="A197" s="21"/>
      <c r="B197" s="21"/>
      <c r="C197" s="46"/>
      <c r="E197" s="49"/>
      <c r="F197" s="50"/>
      <c r="G197" s="49"/>
      <c r="H197" s="49"/>
      <c r="M197" s="121"/>
      <c r="N197" s="121"/>
      <c r="O197" s="121"/>
      <c r="P197" s="121"/>
      <c r="Q197" s="30"/>
      <c r="R197" s="30"/>
      <c r="S197" s="22"/>
      <c r="T197" s="35"/>
      <c r="U197" s="35"/>
      <c r="V197" s="35"/>
      <c r="W197" s="35"/>
      <c r="X197" s="31"/>
      <c r="Y197" s="32"/>
      <c r="Z197" s="32"/>
      <c r="AA197" s="22"/>
      <c r="AB197" s="22"/>
      <c r="AC197" s="22"/>
    </row>
    <row r="198" spans="1:29">
      <c r="A198" s="21"/>
      <c r="B198" s="21"/>
      <c r="C198" s="46"/>
      <c r="E198" s="49"/>
      <c r="F198" s="50"/>
      <c r="G198" s="49"/>
      <c r="H198" s="49"/>
      <c r="M198" s="121"/>
      <c r="N198" s="121"/>
      <c r="O198" s="121"/>
      <c r="P198" s="121"/>
      <c r="Q198" s="30"/>
      <c r="R198" s="30"/>
      <c r="S198" s="22"/>
      <c r="T198" s="35"/>
      <c r="U198" s="35"/>
      <c r="V198" s="35"/>
      <c r="W198" s="35"/>
      <c r="X198" s="31"/>
      <c r="Y198" s="32"/>
      <c r="Z198" s="32"/>
      <c r="AA198" s="22"/>
      <c r="AB198" s="22"/>
      <c r="AC198" s="22"/>
    </row>
    <row r="199" spans="1:29">
      <c r="A199" s="21"/>
      <c r="B199" s="21"/>
      <c r="C199" s="46"/>
      <c r="E199" s="49"/>
      <c r="F199" s="50"/>
      <c r="G199" s="49"/>
      <c r="H199" s="49"/>
      <c r="M199" s="121"/>
      <c r="N199" s="121"/>
      <c r="O199" s="121"/>
      <c r="P199" s="121"/>
      <c r="Q199" s="30"/>
      <c r="R199" s="30"/>
      <c r="S199" s="22"/>
      <c r="T199" s="35"/>
      <c r="U199" s="35"/>
      <c r="V199" s="35"/>
      <c r="W199" s="35"/>
      <c r="X199" s="31"/>
      <c r="Y199" s="32"/>
      <c r="Z199" s="32"/>
      <c r="AA199" s="22"/>
      <c r="AB199" s="22"/>
      <c r="AC199" s="22"/>
    </row>
    <row r="200" spans="1:29">
      <c r="A200" s="21"/>
      <c r="B200" s="21"/>
      <c r="C200" s="46"/>
      <c r="E200" s="49"/>
      <c r="F200" s="50"/>
      <c r="G200" s="49"/>
      <c r="H200" s="49"/>
      <c r="M200" s="121"/>
      <c r="N200" s="121"/>
      <c r="O200" s="121"/>
      <c r="P200" s="121"/>
      <c r="Q200" s="30"/>
      <c r="R200" s="30"/>
      <c r="S200" s="22"/>
      <c r="T200" s="35"/>
      <c r="U200" s="35"/>
      <c r="V200" s="35"/>
      <c r="W200" s="35"/>
      <c r="X200" s="31"/>
      <c r="Y200" s="32"/>
      <c r="Z200" s="32"/>
      <c r="AA200" s="22"/>
      <c r="AB200" s="22"/>
      <c r="AC200" s="22"/>
    </row>
    <row r="201" spans="1:29">
      <c r="A201" s="21"/>
      <c r="B201" s="21"/>
      <c r="C201" s="46"/>
      <c r="E201" s="49"/>
      <c r="F201" s="50"/>
      <c r="G201" s="49"/>
      <c r="H201" s="49"/>
      <c r="M201" s="121"/>
      <c r="N201" s="121"/>
      <c r="O201" s="121"/>
      <c r="P201" s="121"/>
      <c r="Q201" s="30"/>
      <c r="R201" s="30"/>
      <c r="S201" s="22"/>
      <c r="T201" s="35"/>
      <c r="U201" s="35"/>
      <c r="V201" s="35"/>
      <c r="W201" s="35"/>
      <c r="X201" s="31"/>
      <c r="Y201" s="32"/>
      <c r="Z201" s="32"/>
      <c r="AA201" s="22"/>
      <c r="AB201" s="22"/>
      <c r="AC201" s="22"/>
    </row>
    <row r="202" spans="1:29">
      <c r="A202" s="21"/>
      <c r="B202" s="21"/>
      <c r="C202" s="46"/>
      <c r="E202" s="49"/>
      <c r="F202" s="50"/>
      <c r="G202" s="49"/>
      <c r="H202" s="49"/>
      <c r="M202" s="121"/>
      <c r="N202" s="121"/>
      <c r="O202" s="121"/>
      <c r="P202" s="121"/>
      <c r="Q202" s="30"/>
      <c r="R202" s="30"/>
      <c r="S202" s="22"/>
      <c r="T202" s="35"/>
      <c r="U202" s="35"/>
      <c r="V202" s="35"/>
      <c r="W202" s="35"/>
      <c r="X202" s="31"/>
      <c r="Y202" s="32"/>
      <c r="Z202" s="32"/>
      <c r="AA202" s="22"/>
      <c r="AB202" s="22"/>
      <c r="AC202" s="22"/>
    </row>
    <row r="203" spans="1:29">
      <c r="A203" s="21"/>
      <c r="B203" s="21"/>
      <c r="C203" s="46"/>
      <c r="E203" s="49"/>
      <c r="F203" s="50"/>
      <c r="G203" s="49"/>
      <c r="H203" s="49"/>
      <c r="M203" s="121"/>
      <c r="N203" s="121"/>
      <c r="O203" s="121"/>
      <c r="P203" s="121"/>
      <c r="Q203" s="30"/>
      <c r="R203" s="30"/>
      <c r="S203" s="22"/>
      <c r="T203" s="35"/>
      <c r="U203" s="35"/>
      <c r="V203" s="35"/>
      <c r="W203" s="35"/>
      <c r="X203" s="31"/>
      <c r="Y203" s="32"/>
      <c r="Z203" s="32"/>
      <c r="AA203" s="22"/>
      <c r="AB203" s="22"/>
      <c r="AC203" s="22"/>
    </row>
    <row r="204" spans="1:29">
      <c r="A204" s="21"/>
      <c r="B204" s="21"/>
      <c r="C204" s="46"/>
      <c r="E204" s="49"/>
      <c r="F204" s="50"/>
      <c r="G204" s="49"/>
      <c r="H204" s="49"/>
      <c r="M204" s="121"/>
      <c r="N204" s="121"/>
      <c r="O204" s="121"/>
      <c r="P204" s="121"/>
      <c r="Q204" s="30"/>
      <c r="R204" s="30"/>
      <c r="S204" s="22"/>
      <c r="T204" s="35"/>
      <c r="U204" s="35"/>
      <c r="V204" s="35"/>
      <c r="W204" s="35"/>
      <c r="X204" s="31"/>
      <c r="Y204" s="32"/>
      <c r="Z204" s="32"/>
      <c r="AA204" s="22"/>
      <c r="AB204" s="22"/>
      <c r="AC204" s="22"/>
    </row>
    <row r="205" spans="1:29">
      <c r="A205" s="21"/>
      <c r="B205" s="21"/>
      <c r="C205" s="46"/>
      <c r="E205" s="49"/>
      <c r="F205" s="50"/>
      <c r="G205" s="49"/>
      <c r="H205" s="49"/>
      <c r="M205" s="121"/>
      <c r="N205" s="121"/>
      <c r="O205" s="121"/>
      <c r="P205" s="121"/>
      <c r="Q205" s="30"/>
      <c r="R205" s="30"/>
      <c r="S205" s="22"/>
      <c r="T205" s="35"/>
      <c r="U205" s="35"/>
      <c r="V205" s="35"/>
      <c r="W205" s="35"/>
      <c r="X205" s="31"/>
      <c r="Y205" s="32"/>
      <c r="Z205" s="32"/>
      <c r="AA205" s="22"/>
      <c r="AB205" s="22"/>
      <c r="AC205" s="22"/>
    </row>
    <row r="206" spans="1:29">
      <c r="A206" s="21"/>
      <c r="B206" s="21"/>
      <c r="C206" s="46"/>
      <c r="E206" s="49"/>
      <c r="F206" s="50"/>
      <c r="G206" s="49"/>
      <c r="H206" s="49"/>
      <c r="M206" s="121"/>
      <c r="N206" s="121"/>
      <c r="O206" s="121"/>
      <c r="P206" s="121"/>
      <c r="Q206" s="30"/>
      <c r="R206" s="30"/>
      <c r="S206" s="22"/>
      <c r="T206" s="35"/>
      <c r="U206" s="35"/>
      <c r="V206" s="35"/>
      <c r="W206" s="35"/>
      <c r="X206" s="31"/>
      <c r="Y206" s="32"/>
      <c r="Z206" s="32"/>
      <c r="AA206" s="22"/>
      <c r="AB206" s="22"/>
      <c r="AC206" s="22"/>
    </row>
    <row r="207" spans="1:29">
      <c r="A207" s="21"/>
      <c r="B207" s="21"/>
      <c r="C207" s="46"/>
      <c r="E207" s="49"/>
      <c r="F207" s="50"/>
      <c r="G207" s="49"/>
      <c r="H207" s="49"/>
      <c r="M207" s="121"/>
      <c r="N207" s="121"/>
      <c r="O207" s="121"/>
      <c r="P207" s="121"/>
      <c r="Q207" s="30"/>
      <c r="R207" s="30"/>
      <c r="S207" s="22"/>
      <c r="T207" s="35"/>
      <c r="U207" s="35"/>
      <c r="V207" s="35"/>
      <c r="W207" s="35"/>
      <c r="X207" s="31"/>
      <c r="Y207" s="32"/>
      <c r="Z207" s="32"/>
      <c r="AA207" s="22"/>
      <c r="AB207" s="22"/>
      <c r="AC207" s="22"/>
    </row>
    <row r="208" spans="1:29">
      <c r="A208" s="21"/>
      <c r="B208" s="21"/>
      <c r="C208" s="46"/>
      <c r="E208" s="49"/>
      <c r="F208" s="50"/>
      <c r="G208" s="49"/>
      <c r="H208" s="49"/>
      <c r="M208" s="121"/>
      <c r="N208" s="121"/>
      <c r="O208" s="121"/>
      <c r="P208" s="121"/>
      <c r="Q208" s="30"/>
      <c r="R208" s="30"/>
      <c r="S208" s="22"/>
      <c r="T208" s="35"/>
      <c r="U208" s="35"/>
      <c r="V208" s="35"/>
      <c r="W208" s="35"/>
      <c r="X208" s="31"/>
      <c r="Y208" s="32"/>
      <c r="Z208" s="32"/>
      <c r="AA208" s="22"/>
      <c r="AB208" s="22"/>
      <c r="AC208" s="22"/>
    </row>
    <row r="209" spans="1:29">
      <c r="A209" s="21"/>
      <c r="B209" s="21"/>
      <c r="C209" s="46"/>
      <c r="E209" s="49"/>
      <c r="F209" s="50"/>
      <c r="G209" s="49"/>
      <c r="H209" s="49"/>
      <c r="M209" s="121"/>
      <c r="N209" s="121"/>
      <c r="O209" s="121"/>
      <c r="P209" s="121"/>
      <c r="Q209" s="30"/>
      <c r="R209" s="30"/>
      <c r="S209" s="22"/>
      <c r="T209" s="35"/>
      <c r="U209" s="35"/>
      <c r="V209" s="35"/>
      <c r="W209" s="35"/>
      <c r="X209" s="31"/>
      <c r="Y209" s="32"/>
      <c r="Z209" s="32"/>
      <c r="AA209" s="22"/>
      <c r="AB209" s="22"/>
      <c r="AC209" s="22"/>
    </row>
    <row r="210" spans="1:29">
      <c r="A210" s="21"/>
      <c r="B210" s="21"/>
      <c r="C210" s="46"/>
      <c r="E210" s="49"/>
      <c r="F210" s="50"/>
      <c r="G210" s="49"/>
      <c r="H210" s="49"/>
      <c r="M210" s="121"/>
      <c r="N210" s="121"/>
      <c r="O210" s="121"/>
      <c r="P210" s="121"/>
      <c r="Q210" s="30"/>
      <c r="R210" s="30"/>
      <c r="S210" s="22"/>
      <c r="T210" s="35"/>
      <c r="U210" s="35"/>
      <c r="V210" s="35"/>
      <c r="W210" s="35"/>
      <c r="X210" s="31"/>
      <c r="Y210" s="32"/>
      <c r="Z210" s="32"/>
      <c r="AA210" s="22"/>
      <c r="AB210" s="22"/>
      <c r="AC210" s="22"/>
    </row>
    <row r="211" spans="1:29">
      <c r="A211" s="21"/>
      <c r="B211" s="21"/>
      <c r="C211" s="46"/>
      <c r="E211" s="49"/>
      <c r="F211" s="50"/>
      <c r="G211" s="49"/>
      <c r="H211" s="49"/>
      <c r="M211" s="121"/>
      <c r="N211" s="121"/>
      <c r="O211" s="121"/>
      <c r="P211" s="121"/>
      <c r="Q211" s="30"/>
      <c r="R211" s="30"/>
      <c r="S211" s="22"/>
      <c r="T211" s="35"/>
      <c r="U211" s="35"/>
      <c r="V211" s="35"/>
      <c r="W211" s="35"/>
      <c r="X211" s="31"/>
      <c r="Y211" s="32"/>
      <c r="Z211" s="32"/>
      <c r="AA211" s="22"/>
      <c r="AB211" s="22"/>
      <c r="AC211" s="22"/>
    </row>
    <row r="212" spans="1:29">
      <c r="A212" s="21"/>
      <c r="B212" s="21"/>
      <c r="C212" s="46"/>
      <c r="E212" s="49"/>
      <c r="F212" s="50"/>
      <c r="G212" s="49"/>
      <c r="H212" s="49"/>
      <c r="M212" s="121"/>
      <c r="N212" s="121"/>
      <c r="O212" s="121"/>
      <c r="P212" s="121"/>
      <c r="Q212" s="30"/>
      <c r="R212" s="30"/>
      <c r="S212" s="22"/>
      <c r="T212" s="35"/>
      <c r="U212" s="35"/>
      <c r="V212" s="35"/>
      <c r="W212" s="35"/>
      <c r="X212" s="31"/>
      <c r="Y212" s="32"/>
      <c r="Z212" s="32"/>
      <c r="AA212" s="22"/>
      <c r="AB212" s="22"/>
      <c r="AC212" s="22"/>
    </row>
    <row r="213" spans="1:29">
      <c r="A213" s="21"/>
      <c r="B213" s="21"/>
      <c r="C213" s="46"/>
      <c r="E213" s="49"/>
      <c r="F213" s="50"/>
      <c r="G213" s="49"/>
      <c r="H213" s="49"/>
      <c r="M213" s="121"/>
      <c r="N213" s="121"/>
      <c r="O213" s="121"/>
      <c r="P213" s="121"/>
      <c r="Q213" s="30"/>
      <c r="R213" s="30"/>
      <c r="S213" s="22"/>
      <c r="T213" s="35"/>
      <c r="U213" s="35"/>
      <c r="V213" s="35"/>
      <c r="W213" s="35"/>
      <c r="X213" s="31"/>
      <c r="Y213" s="32"/>
      <c r="Z213" s="32"/>
      <c r="AA213" s="22"/>
      <c r="AB213" s="22"/>
      <c r="AC213" s="22"/>
    </row>
    <row r="214" spans="1:29">
      <c r="A214" s="21"/>
      <c r="B214" s="21"/>
      <c r="C214" s="46"/>
      <c r="E214" s="49"/>
      <c r="F214" s="50"/>
      <c r="G214" s="49"/>
      <c r="H214" s="49"/>
      <c r="M214" s="121"/>
      <c r="N214" s="121"/>
      <c r="O214" s="121"/>
      <c r="P214" s="121"/>
      <c r="Q214" s="30"/>
      <c r="R214" s="30"/>
      <c r="S214" s="22"/>
      <c r="T214" s="35"/>
      <c r="U214" s="35"/>
      <c r="V214" s="35"/>
      <c r="W214" s="35"/>
      <c r="X214" s="31"/>
      <c r="Y214" s="32"/>
      <c r="Z214" s="32"/>
      <c r="AA214" s="22"/>
      <c r="AB214" s="22"/>
      <c r="AC214" s="22"/>
    </row>
    <row r="215" spans="1:29">
      <c r="A215" s="21"/>
      <c r="B215" s="21"/>
      <c r="C215" s="46"/>
      <c r="E215" s="49"/>
      <c r="F215" s="50"/>
      <c r="G215" s="49"/>
      <c r="H215" s="49"/>
      <c r="M215" s="121"/>
      <c r="N215" s="121"/>
      <c r="O215" s="121"/>
      <c r="P215" s="121"/>
      <c r="Q215" s="30"/>
      <c r="R215" s="30"/>
      <c r="S215" s="22"/>
      <c r="T215" s="35"/>
      <c r="U215" s="35"/>
      <c r="V215" s="35"/>
      <c r="W215" s="35"/>
      <c r="X215" s="31"/>
      <c r="Y215" s="32"/>
      <c r="Z215" s="32"/>
      <c r="AA215" s="22"/>
      <c r="AB215" s="22"/>
      <c r="AC215" s="22"/>
    </row>
    <row r="216" spans="1:29" ht="14.45">
      <c r="A216" s="21"/>
      <c r="B216" s="21"/>
      <c r="C216" s="46"/>
      <c r="E216" s="49"/>
      <c r="F216" s="50"/>
      <c r="G216" s="49"/>
      <c r="H216" s="49"/>
      <c r="M216" s="121"/>
      <c r="N216" s="121"/>
      <c r="O216" s="121"/>
      <c r="P216" s="121"/>
      <c r="Q216" s="30"/>
      <c r="R216" s="30"/>
      <c r="S216" s="22"/>
      <c r="T216" s="35"/>
      <c r="U216" s="35"/>
      <c r="V216" s="35"/>
      <c r="W216" s="35"/>
      <c r="X216" s="31"/>
      <c r="Y216" s="32"/>
      <c r="Z216" s="32"/>
      <c r="AA216" s="140"/>
      <c r="AB216" s="22"/>
      <c r="AC216" s="22"/>
    </row>
    <row r="217" spans="1:29">
      <c r="A217" s="21"/>
      <c r="B217" s="21"/>
      <c r="C217" s="46"/>
      <c r="E217" s="49"/>
      <c r="F217" s="50"/>
      <c r="G217" s="49"/>
      <c r="H217" s="49"/>
      <c r="M217" s="121"/>
      <c r="N217" s="121"/>
      <c r="O217" s="121"/>
      <c r="P217" s="121"/>
      <c r="Q217" s="30"/>
      <c r="R217" s="30"/>
      <c r="S217" s="22"/>
      <c r="T217" s="35"/>
      <c r="U217" s="35"/>
      <c r="V217" s="35"/>
      <c r="W217" s="35"/>
      <c r="X217" s="31"/>
      <c r="Y217" s="32"/>
      <c r="Z217" s="32"/>
      <c r="AA217" s="22"/>
      <c r="AB217" s="22"/>
      <c r="AC217" s="22"/>
    </row>
    <row r="218" spans="1:29">
      <c r="A218" s="21"/>
      <c r="B218" s="21"/>
      <c r="C218" s="46"/>
      <c r="E218" s="49"/>
      <c r="F218" s="50"/>
      <c r="G218" s="49"/>
      <c r="H218" s="49"/>
      <c r="M218" s="121"/>
      <c r="N218" s="121"/>
      <c r="O218" s="121"/>
      <c r="P218" s="121"/>
      <c r="Q218" s="30"/>
      <c r="R218" s="30"/>
      <c r="S218" s="22"/>
      <c r="T218" s="35"/>
      <c r="U218" s="35"/>
      <c r="V218" s="35"/>
      <c r="W218" s="35"/>
      <c r="X218" s="31"/>
      <c r="Y218" s="32"/>
      <c r="Z218" s="32"/>
      <c r="AA218" s="22"/>
      <c r="AB218" s="22"/>
      <c r="AC218" s="22"/>
    </row>
    <row r="219" spans="1:29">
      <c r="A219" s="21"/>
      <c r="B219" s="21"/>
      <c r="C219" s="46"/>
      <c r="E219" s="49"/>
      <c r="F219" s="50"/>
      <c r="G219" s="49"/>
      <c r="H219" s="49"/>
      <c r="M219" s="121"/>
      <c r="N219" s="121"/>
      <c r="O219" s="121"/>
      <c r="P219" s="121"/>
      <c r="Q219" s="30"/>
      <c r="R219" s="30"/>
      <c r="S219" s="22"/>
      <c r="T219" s="35"/>
      <c r="U219" s="35"/>
      <c r="V219" s="35"/>
      <c r="W219" s="35"/>
      <c r="X219" s="31"/>
      <c r="Y219" s="32"/>
      <c r="Z219" s="32"/>
      <c r="AA219" s="22"/>
      <c r="AB219" s="22"/>
      <c r="AC219" s="22"/>
    </row>
    <row r="220" spans="1:29">
      <c r="A220" s="21"/>
      <c r="B220" s="21"/>
      <c r="C220" s="46"/>
      <c r="E220" s="49"/>
      <c r="F220" s="50"/>
      <c r="G220" s="49"/>
      <c r="H220" s="49"/>
      <c r="M220" s="121"/>
      <c r="N220" s="121"/>
      <c r="O220" s="121"/>
      <c r="P220" s="121"/>
      <c r="Q220" s="30"/>
      <c r="R220" s="30"/>
      <c r="S220" s="22"/>
      <c r="T220" s="35"/>
      <c r="U220" s="35"/>
      <c r="V220" s="35"/>
      <c r="W220" s="35"/>
      <c r="X220" s="31"/>
      <c r="Y220" s="32"/>
      <c r="Z220" s="32"/>
      <c r="AA220" s="22"/>
      <c r="AB220" s="22"/>
      <c r="AC220" s="22"/>
    </row>
    <row r="221" spans="1:29">
      <c r="A221" s="21"/>
      <c r="B221" s="21"/>
      <c r="C221" s="46"/>
      <c r="E221" s="49"/>
      <c r="F221" s="50"/>
      <c r="G221" s="49"/>
      <c r="H221" s="49"/>
      <c r="M221" s="121"/>
      <c r="N221" s="121"/>
      <c r="O221" s="121"/>
      <c r="P221" s="121"/>
      <c r="Q221" s="30"/>
      <c r="R221" s="30"/>
      <c r="S221" s="22"/>
      <c r="T221" s="35"/>
      <c r="U221" s="35"/>
      <c r="V221" s="35"/>
      <c r="W221" s="35"/>
      <c r="X221" s="31"/>
      <c r="Y221" s="32"/>
      <c r="Z221" s="32"/>
      <c r="AA221" s="22"/>
      <c r="AB221" s="22"/>
      <c r="AC221" s="22"/>
    </row>
    <row r="222" spans="1:29">
      <c r="A222" s="21"/>
      <c r="B222" s="21"/>
      <c r="C222" s="46"/>
      <c r="E222" s="49"/>
      <c r="F222" s="50"/>
      <c r="G222" s="49"/>
      <c r="H222" s="49"/>
      <c r="M222" s="121"/>
      <c r="N222" s="121"/>
      <c r="O222" s="121"/>
      <c r="P222" s="121"/>
      <c r="Q222" s="30"/>
      <c r="R222" s="30"/>
      <c r="S222" s="22"/>
      <c r="T222" s="35"/>
      <c r="U222" s="35"/>
      <c r="V222" s="35"/>
      <c r="W222" s="35"/>
      <c r="X222" s="31"/>
      <c r="Y222" s="32"/>
      <c r="Z222" s="32"/>
      <c r="AA222" s="22"/>
      <c r="AB222" s="22"/>
      <c r="AC222" s="22"/>
    </row>
    <row r="223" spans="1:29">
      <c r="A223" s="21"/>
      <c r="B223" s="21"/>
      <c r="C223" s="46"/>
      <c r="E223" s="49"/>
      <c r="F223" s="50"/>
      <c r="G223" s="49"/>
      <c r="H223" s="49"/>
      <c r="M223" s="121"/>
      <c r="N223" s="121"/>
      <c r="O223" s="121"/>
      <c r="P223" s="121"/>
      <c r="Q223" s="30"/>
      <c r="R223" s="30"/>
      <c r="S223" s="22"/>
      <c r="T223" s="35"/>
      <c r="U223" s="35"/>
      <c r="V223" s="35"/>
      <c r="W223" s="35"/>
      <c r="X223" s="31"/>
      <c r="Y223" s="32"/>
      <c r="Z223" s="32"/>
      <c r="AA223" s="22"/>
      <c r="AB223" s="22"/>
      <c r="AC223" s="22"/>
    </row>
    <row r="224" spans="1:29">
      <c r="A224" s="21"/>
      <c r="B224" s="21"/>
      <c r="C224" s="46"/>
      <c r="E224" s="49"/>
      <c r="F224" s="50"/>
      <c r="G224" s="49"/>
      <c r="H224" s="49"/>
      <c r="M224" s="121"/>
      <c r="N224" s="121"/>
      <c r="O224" s="121"/>
      <c r="P224" s="121"/>
      <c r="Q224" s="30"/>
      <c r="R224" s="30"/>
      <c r="S224" s="22"/>
      <c r="T224" s="35"/>
      <c r="U224" s="35"/>
      <c r="V224" s="35"/>
      <c r="W224" s="35"/>
      <c r="X224" s="31"/>
      <c r="Y224" s="32"/>
      <c r="Z224" s="32"/>
      <c r="AA224" s="22"/>
      <c r="AB224" s="22"/>
      <c r="AC224" s="22"/>
    </row>
    <row r="225" spans="1:29">
      <c r="A225" s="21"/>
      <c r="B225" s="21"/>
      <c r="C225" s="46"/>
      <c r="E225" s="49"/>
      <c r="F225" s="50"/>
      <c r="G225" s="49"/>
      <c r="H225" s="49"/>
      <c r="M225" s="121"/>
      <c r="N225" s="121"/>
      <c r="O225" s="121"/>
      <c r="P225" s="121"/>
      <c r="Q225" s="30"/>
      <c r="R225" s="30"/>
      <c r="S225" s="22"/>
      <c r="T225" s="35"/>
      <c r="U225" s="35"/>
      <c r="V225" s="35"/>
      <c r="W225" s="35"/>
      <c r="X225" s="31"/>
      <c r="Y225" s="32"/>
      <c r="Z225" s="32"/>
      <c r="AA225" s="22"/>
      <c r="AB225" s="22"/>
      <c r="AC225" s="22"/>
    </row>
    <row r="226" spans="1:29">
      <c r="A226" s="21"/>
      <c r="B226" s="21"/>
      <c r="C226" s="46"/>
      <c r="E226" s="49"/>
      <c r="F226" s="50"/>
      <c r="G226" s="49"/>
      <c r="H226" s="49"/>
      <c r="M226" s="121"/>
      <c r="N226" s="121"/>
      <c r="O226" s="121"/>
      <c r="P226" s="121"/>
      <c r="Q226" s="30"/>
      <c r="R226" s="30"/>
      <c r="S226" s="22"/>
      <c r="T226" s="35"/>
      <c r="U226" s="35"/>
      <c r="V226" s="35"/>
      <c r="W226" s="35"/>
      <c r="X226" s="31"/>
      <c r="Y226" s="32"/>
      <c r="Z226" s="32"/>
      <c r="AA226" s="22"/>
      <c r="AB226" s="22"/>
      <c r="AC226" s="22"/>
    </row>
    <row r="227" spans="1:29">
      <c r="A227" s="21"/>
      <c r="B227" s="21"/>
      <c r="C227" s="46"/>
      <c r="E227" s="49"/>
      <c r="F227" s="50"/>
      <c r="G227" s="49"/>
      <c r="H227" s="49"/>
      <c r="M227" s="121"/>
      <c r="N227" s="121"/>
      <c r="O227" s="121"/>
      <c r="P227" s="121"/>
      <c r="Q227" s="30"/>
      <c r="R227" s="30"/>
      <c r="S227" s="22"/>
      <c r="T227" s="35"/>
      <c r="U227" s="35"/>
      <c r="V227" s="35"/>
      <c r="W227" s="35"/>
      <c r="X227" s="31"/>
      <c r="Y227" s="32"/>
      <c r="Z227" s="32"/>
      <c r="AA227" s="22"/>
      <c r="AB227" s="22"/>
      <c r="AC227" s="22"/>
    </row>
    <row r="228" spans="1:29">
      <c r="A228" s="21"/>
      <c r="B228" s="21"/>
      <c r="C228" s="46"/>
      <c r="E228" s="49"/>
      <c r="F228" s="50"/>
      <c r="G228" s="49"/>
      <c r="H228" s="49"/>
      <c r="M228" s="121"/>
      <c r="N228" s="121"/>
      <c r="O228" s="121"/>
      <c r="P228" s="121"/>
      <c r="Q228" s="30"/>
      <c r="R228" s="30"/>
      <c r="S228" s="22"/>
      <c r="T228" s="35"/>
      <c r="U228" s="35"/>
      <c r="V228" s="35"/>
      <c r="W228" s="35"/>
      <c r="X228" s="31"/>
      <c r="Y228" s="32"/>
      <c r="Z228" s="32"/>
      <c r="AA228" s="89"/>
      <c r="AB228" s="22"/>
      <c r="AC228" s="22"/>
    </row>
    <row r="229" spans="1:29">
      <c r="A229" s="21"/>
      <c r="B229" s="21"/>
      <c r="C229" s="46"/>
      <c r="E229" s="49"/>
      <c r="F229" s="50"/>
      <c r="G229" s="49"/>
      <c r="H229" s="49"/>
      <c r="M229" s="121"/>
      <c r="N229" s="121"/>
      <c r="O229" s="121"/>
      <c r="P229" s="121"/>
      <c r="Q229" s="30"/>
      <c r="R229" s="30"/>
      <c r="S229" s="22"/>
      <c r="T229" s="35"/>
      <c r="U229" s="35"/>
      <c r="V229" s="35"/>
      <c r="W229" s="35"/>
      <c r="X229" s="31"/>
      <c r="Y229" s="32"/>
      <c r="Z229" s="32"/>
      <c r="AA229" s="89"/>
      <c r="AB229" s="22"/>
      <c r="AC229" s="22"/>
    </row>
    <row r="230" spans="1:29">
      <c r="A230" s="21"/>
      <c r="B230" s="21"/>
      <c r="C230" s="46"/>
      <c r="E230" s="49"/>
      <c r="F230" s="50"/>
      <c r="G230" s="49"/>
      <c r="H230" s="49"/>
      <c r="M230" s="121"/>
      <c r="N230" s="121"/>
      <c r="O230" s="121"/>
      <c r="P230" s="121"/>
      <c r="Q230" s="30"/>
      <c r="R230" s="30"/>
      <c r="S230" s="22"/>
      <c r="T230" s="35"/>
      <c r="U230" s="35"/>
      <c r="V230" s="35"/>
      <c r="W230" s="35"/>
      <c r="X230" s="31"/>
      <c r="Y230" s="32"/>
      <c r="Z230" s="32"/>
      <c r="AA230" s="22"/>
      <c r="AB230" s="22"/>
      <c r="AC230" s="22"/>
    </row>
    <row r="231" spans="1:29">
      <c r="A231" s="21"/>
      <c r="B231" s="21"/>
      <c r="C231" s="46"/>
      <c r="E231" s="49"/>
      <c r="F231" s="50"/>
      <c r="G231" s="49"/>
      <c r="H231" s="49"/>
      <c r="M231" s="121"/>
      <c r="N231" s="121"/>
      <c r="O231" s="121"/>
      <c r="P231" s="121"/>
      <c r="Q231" s="30"/>
      <c r="R231" s="30"/>
      <c r="S231" s="22"/>
      <c r="T231" s="35"/>
      <c r="U231" s="35"/>
      <c r="V231" s="35"/>
      <c r="W231" s="35"/>
      <c r="X231" s="31"/>
      <c r="Y231" s="32"/>
      <c r="Z231" s="32"/>
      <c r="AA231" s="22"/>
      <c r="AB231" s="22"/>
      <c r="AC231" s="22"/>
    </row>
    <row r="232" spans="1:29">
      <c r="A232" s="21"/>
      <c r="B232" s="21"/>
      <c r="C232" s="46"/>
      <c r="E232" s="49"/>
      <c r="F232" s="50"/>
      <c r="G232" s="49"/>
      <c r="H232" s="49"/>
      <c r="M232" s="121"/>
      <c r="N232" s="121"/>
      <c r="O232" s="121"/>
      <c r="P232" s="121"/>
      <c r="Q232" s="30"/>
      <c r="R232" s="30"/>
      <c r="S232" s="22"/>
      <c r="T232" s="35"/>
      <c r="U232" s="35"/>
      <c r="V232" s="35"/>
      <c r="W232" s="35"/>
      <c r="X232" s="31"/>
      <c r="Y232" s="32"/>
      <c r="Z232" s="32"/>
      <c r="AA232" s="89"/>
      <c r="AB232" s="22"/>
      <c r="AC232" s="22"/>
    </row>
    <row r="233" spans="1:29">
      <c r="A233" s="21"/>
      <c r="B233" s="21"/>
      <c r="C233" s="46"/>
      <c r="E233" s="49"/>
      <c r="F233" s="50"/>
      <c r="G233" s="49"/>
      <c r="H233" s="49"/>
      <c r="M233" s="121"/>
      <c r="N233" s="121"/>
      <c r="O233" s="121"/>
      <c r="P233" s="121"/>
      <c r="Q233" s="30"/>
      <c r="R233" s="30"/>
      <c r="S233" s="22"/>
      <c r="T233" s="35"/>
      <c r="U233" s="35"/>
      <c r="V233" s="35"/>
      <c r="W233" s="35"/>
      <c r="X233" s="31"/>
      <c r="Y233" s="32"/>
      <c r="Z233" s="32"/>
      <c r="AA233" s="22"/>
      <c r="AB233" s="22"/>
      <c r="AC233" s="22"/>
    </row>
    <row r="234" spans="1:29">
      <c r="A234" s="21"/>
      <c r="B234" s="21"/>
      <c r="C234" s="46"/>
      <c r="E234" s="49"/>
      <c r="F234" s="50"/>
      <c r="G234" s="49"/>
      <c r="H234" s="49"/>
      <c r="M234" s="121"/>
      <c r="N234" s="121"/>
      <c r="O234" s="121"/>
      <c r="P234" s="121"/>
      <c r="Q234" s="30"/>
      <c r="R234" s="30"/>
      <c r="S234" s="22"/>
      <c r="T234" s="35"/>
      <c r="U234" s="35"/>
      <c r="V234" s="35"/>
      <c r="W234" s="35"/>
      <c r="X234" s="31"/>
      <c r="Y234" s="32"/>
      <c r="Z234" s="32"/>
      <c r="AA234" s="22"/>
      <c r="AB234" s="22"/>
      <c r="AC234" s="22"/>
    </row>
    <row r="235" spans="1:29">
      <c r="A235" s="21"/>
      <c r="B235" s="21"/>
      <c r="C235" s="46"/>
      <c r="E235" s="49"/>
      <c r="F235" s="50"/>
      <c r="G235" s="49"/>
      <c r="H235" s="49"/>
      <c r="M235" s="121"/>
      <c r="N235" s="121"/>
      <c r="O235" s="121"/>
      <c r="P235" s="121"/>
      <c r="Q235" s="30"/>
      <c r="R235" s="30"/>
      <c r="S235" s="22"/>
      <c r="T235" s="35"/>
      <c r="U235" s="35"/>
      <c r="V235" s="35"/>
      <c r="W235" s="35"/>
      <c r="X235" s="31"/>
      <c r="Y235" s="32"/>
      <c r="Z235" s="32"/>
      <c r="AA235" s="22"/>
      <c r="AB235" s="22"/>
      <c r="AC235" s="22"/>
    </row>
    <row r="236" spans="1:29">
      <c r="A236" s="21"/>
      <c r="B236" s="21"/>
      <c r="C236" s="46"/>
      <c r="E236" s="49"/>
      <c r="F236" s="50"/>
      <c r="G236" s="49"/>
      <c r="H236" s="49"/>
      <c r="M236" s="121"/>
      <c r="N236" s="121"/>
      <c r="O236" s="121"/>
      <c r="P236" s="121"/>
      <c r="Q236" s="30"/>
      <c r="R236" s="30"/>
      <c r="S236" s="22"/>
      <c r="T236" s="35"/>
      <c r="U236" s="35"/>
      <c r="V236" s="35"/>
      <c r="W236" s="35"/>
      <c r="X236" s="31"/>
      <c r="Y236" s="32"/>
      <c r="Z236" s="32"/>
      <c r="AA236" s="22"/>
      <c r="AB236" s="22"/>
      <c r="AC236" s="22"/>
    </row>
    <row r="237" spans="1:29">
      <c r="A237" s="21"/>
      <c r="B237" s="21"/>
      <c r="C237" s="46"/>
      <c r="E237" s="94"/>
      <c r="F237" s="50"/>
      <c r="G237" s="49"/>
      <c r="H237" s="49"/>
      <c r="M237" s="121"/>
      <c r="N237" s="121"/>
      <c r="O237" s="121"/>
      <c r="P237" s="121"/>
      <c r="Q237" s="30"/>
      <c r="R237" s="30"/>
      <c r="S237" s="22"/>
      <c r="T237" s="35"/>
      <c r="U237" s="35"/>
      <c r="V237" s="35"/>
      <c r="W237" s="35"/>
      <c r="X237" s="31"/>
      <c r="Y237" s="32"/>
      <c r="Z237" s="32"/>
      <c r="AA237" s="103"/>
      <c r="AB237" s="22"/>
      <c r="AC237" s="22"/>
    </row>
    <row r="238" spans="1:29">
      <c r="A238" s="21"/>
      <c r="B238" s="21"/>
      <c r="C238" s="46"/>
      <c r="E238" s="94"/>
      <c r="F238" s="50"/>
      <c r="G238" s="49"/>
      <c r="H238" s="49"/>
      <c r="M238" s="121"/>
      <c r="N238" s="121"/>
      <c r="O238" s="121"/>
      <c r="P238" s="121"/>
      <c r="Q238" s="30"/>
      <c r="R238" s="30"/>
      <c r="S238" s="22"/>
      <c r="T238" s="35"/>
      <c r="U238" s="35"/>
      <c r="V238" s="35"/>
      <c r="W238" s="35"/>
      <c r="X238" s="31"/>
      <c r="Y238" s="32"/>
      <c r="Z238" s="32"/>
      <c r="AA238" s="22"/>
      <c r="AB238" s="22"/>
      <c r="AC238" s="22"/>
    </row>
    <row r="239" spans="1:29">
      <c r="A239" s="21"/>
      <c r="B239" s="21"/>
      <c r="C239" s="46"/>
      <c r="E239" s="94"/>
      <c r="F239" s="50"/>
      <c r="G239" s="49"/>
      <c r="H239" s="49"/>
      <c r="M239" s="121"/>
      <c r="N239" s="121"/>
      <c r="O239" s="121"/>
      <c r="P239" s="121"/>
      <c r="Q239" s="30"/>
      <c r="R239" s="30"/>
      <c r="S239" s="22"/>
      <c r="T239" s="35"/>
      <c r="U239" s="35"/>
      <c r="V239" s="35"/>
      <c r="W239" s="35"/>
      <c r="X239" s="31"/>
      <c r="Y239" s="32"/>
      <c r="Z239" s="32"/>
      <c r="AA239" s="103"/>
      <c r="AB239" s="22"/>
      <c r="AC239" s="22"/>
    </row>
    <row r="240" spans="1:29">
      <c r="A240" s="21"/>
      <c r="B240" s="21"/>
      <c r="C240" s="46"/>
      <c r="E240" s="94"/>
      <c r="F240" s="50"/>
      <c r="G240" s="49"/>
      <c r="H240" s="49"/>
      <c r="M240" s="121"/>
      <c r="N240" s="121"/>
      <c r="O240" s="121"/>
      <c r="P240" s="121"/>
      <c r="Q240" s="30"/>
      <c r="R240" s="30"/>
      <c r="S240" s="22"/>
      <c r="T240" s="35"/>
      <c r="U240" s="35"/>
      <c r="V240" s="35"/>
      <c r="W240" s="35"/>
      <c r="X240" s="31"/>
      <c r="Y240" s="32"/>
      <c r="Z240" s="32"/>
      <c r="AA240" s="103"/>
      <c r="AB240" s="22"/>
      <c r="AC240" s="22"/>
    </row>
    <row r="241" spans="1:29">
      <c r="A241" s="21"/>
      <c r="B241" s="21"/>
      <c r="C241" s="46"/>
      <c r="E241" s="94"/>
      <c r="F241" s="50"/>
      <c r="G241" s="49"/>
      <c r="H241" s="49"/>
      <c r="M241" s="121"/>
      <c r="N241" s="121"/>
      <c r="O241" s="121"/>
      <c r="P241" s="121"/>
      <c r="Q241" s="30"/>
      <c r="R241" s="30"/>
      <c r="S241" s="22"/>
      <c r="T241" s="35"/>
      <c r="U241" s="35"/>
      <c r="V241" s="35"/>
      <c r="W241" s="35"/>
      <c r="X241" s="31"/>
      <c r="Y241" s="32"/>
      <c r="Z241" s="32"/>
      <c r="AA241" s="22"/>
      <c r="AB241" s="22"/>
      <c r="AC241" s="22"/>
    </row>
    <row r="242" spans="1:29">
      <c r="A242" s="21"/>
      <c r="B242" s="21"/>
      <c r="C242" s="46"/>
      <c r="E242" s="94"/>
      <c r="F242" s="50"/>
      <c r="G242" s="49"/>
      <c r="H242" s="49"/>
      <c r="M242" s="121"/>
      <c r="N242" s="121"/>
      <c r="O242" s="121"/>
      <c r="P242" s="121"/>
      <c r="Q242" s="30"/>
      <c r="R242" s="30"/>
      <c r="S242" s="22"/>
      <c r="T242" s="35"/>
      <c r="U242" s="35"/>
      <c r="V242" s="35"/>
      <c r="W242" s="35"/>
      <c r="X242" s="31"/>
      <c r="Y242" s="32"/>
      <c r="Z242" s="32"/>
      <c r="AA242" s="22"/>
      <c r="AB242" s="22"/>
      <c r="AC242" s="22"/>
    </row>
    <row r="243" spans="1:29" ht="14.45">
      <c r="A243" s="21"/>
      <c r="B243" s="21"/>
      <c r="C243" s="46"/>
      <c r="E243" s="49"/>
      <c r="F243" s="50"/>
      <c r="G243" s="49"/>
      <c r="H243" s="49"/>
      <c r="M243" s="121"/>
      <c r="N243" s="121"/>
      <c r="O243" s="121"/>
      <c r="P243" s="121"/>
      <c r="Q243" s="30"/>
      <c r="R243" s="133"/>
      <c r="S243" s="22"/>
      <c r="T243" s="35"/>
      <c r="U243" s="35"/>
      <c r="V243" s="35"/>
      <c r="W243" s="35"/>
      <c r="X243" s="31"/>
      <c r="Y243" s="32"/>
      <c r="Z243" s="32"/>
      <c r="AA243" s="126"/>
      <c r="AB243" s="22"/>
      <c r="AC243" s="22"/>
    </row>
    <row r="244" spans="1:29">
      <c r="A244" s="21"/>
      <c r="B244" s="21"/>
      <c r="C244" s="46"/>
      <c r="E244" s="49"/>
      <c r="F244" s="50"/>
      <c r="G244" s="49"/>
      <c r="H244" s="49"/>
      <c r="M244" s="121"/>
      <c r="N244" s="121"/>
      <c r="O244" s="121"/>
      <c r="P244" s="121"/>
      <c r="Q244" s="30"/>
      <c r="R244" s="30"/>
      <c r="S244" s="22"/>
      <c r="T244" s="35"/>
      <c r="U244" s="35"/>
      <c r="V244" s="35"/>
      <c r="W244" s="35"/>
      <c r="X244" s="31"/>
      <c r="Y244" s="32"/>
      <c r="Z244" s="32"/>
      <c r="AA244" s="22"/>
      <c r="AB244" s="22"/>
      <c r="AC244" s="22"/>
    </row>
    <row r="245" spans="1:29">
      <c r="A245" s="21"/>
      <c r="B245" s="21"/>
      <c r="C245" s="46"/>
      <c r="E245" s="49"/>
      <c r="F245" s="50"/>
      <c r="G245" s="49"/>
      <c r="H245" s="49"/>
      <c r="M245" s="121"/>
      <c r="N245" s="121"/>
      <c r="O245" s="121"/>
      <c r="P245" s="121"/>
      <c r="Q245" s="30"/>
      <c r="R245" s="30"/>
      <c r="S245" s="22"/>
      <c r="T245" s="35"/>
      <c r="U245" s="35"/>
      <c r="V245" s="35"/>
      <c r="W245" s="35"/>
      <c r="X245" s="31"/>
      <c r="Y245" s="32"/>
      <c r="Z245" s="32"/>
      <c r="AB245" s="22"/>
      <c r="AC245" s="22"/>
    </row>
    <row r="246" spans="1:29">
      <c r="A246" s="21"/>
      <c r="B246" s="21"/>
      <c r="C246" s="46"/>
      <c r="E246" s="49"/>
      <c r="F246" s="50"/>
      <c r="G246" s="49"/>
      <c r="H246" s="49"/>
      <c r="M246" s="121"/>
      <c r="N246" s="121"/>
      <c r="O246" s="121"/>
      <c r="P246" s="121"/>
      <c r="Q246" s="30"/>
      <c r="R246" s="30"/>
      <c r="S246" s="22"/>
      <c r="T246" s="35"/>
      <c r="U246" s="35"/>
      <c r="V246" s="35"/>
      <c r="W246" s="35"/>
      <c r="X246" s="31"/>
      <c r="Y246" s="32"/>
      <c r="Z246" s="32"/>
      <c r="AA246" s="22"/>
      <c r="AB246" s="22"/>
      <c r="AC246" s="22"/>
    </row>
    <row r="247" spans="1:29">
      <c r="A247" s="21"/>
      <c r="B247" s="21"/>
      <c r="C247" s="46"/>
      <c r="E247" s="49"/>
      <c r="F247" s="50"/>
      <c r="G247" s="49"/>
      <c r="H247" s="49"/>
      <c r="M247" s="121"/>
      <c r="N247" s="121"/>
      <c r="O247" s="121"/>
      <c r="P247" s="121"/>
      <c r="Q247" s="30"/>
      <c r="R247" s="30"/>
      <c r="S247" s="22"/>
      <c r="T247" s="35"/>
      <c r="U247" s="35"/>
      <c r="V247" s="35"/>
      <c r="W247" s="35"/>
      <c r="X247" s="31"/>
      <c r="Y247" s="32"/>
      <c r="Z247" s="32"/>
      <c r="AA247" s="22"/>
      <c r="AB247" s="22"/>
      <c r="AC247" s="22"/>
    </row>
    <row r="248" spans="1:29">
      <c r="A248" s="21"/>
      <c r="B248" s="21"/>
      <c r="C248" s="46"/>
      <c r="E248" s="49"/>
      <c r="F248" s="50"/>
      <c r="G248" s="49"/>
      <c r="H248" s="49"/>
      <c r="M248" s="121"/>
      <c r="N248" s="121"/>
      <c r="O248" s="121"/>
      <c r="P248" s="121"/>
      <c r="Q248" s="30"/>
      <c r="R248" s="30"/>
      <c r="S248" s="22"/>
      <c r="T248" s="35"/>
      <c r="U248" s="35"/>
      <c r="V248" s="35"/>
      <c r="W248" s="35"/>
      <c r="X248" s="31"/>
      <c r="Y248" s="32"/>
      <c r="Z248" s="32"/>
      <c r="AA248" s="22"/>
      <c r="AB248" s="22"/>
      <c r="AC248" s="22"/>
    </row>
    <row r="249" spans="1:29">
      <c r="A249" s="21"/>
      <c r="B249" s="21"/>
      <c r="C249" s="46"/>
      <c r="E249" s="49"/>
      <c r="F249" s="50"/>
      <c r="G249" s="49"/>
      <c r="H249" s="49"/>
      <c r="M249" s="121"/>
      <c r="N249" s="121"/>
      <c r="O249" s="121"/>
      <c r="P249" s="121"/>
      <c r="Q249" s="30"/>
      <c r="R249" s="30"/>
      <c r="S249" s="22"/>
      <c r="T249" s="35"/>
      <c r="U249" s="35"/>
      <c r="V249" s="35"/>
      <c r="W249" s="35"/>
      <c r="X249" s="31"/>
      <c r="Y249" s="32"/>
      <c r="Z249" s="32"/>
      <c r="AA249" s="22"/>
      <c r="AB249" s="22"/>
      <c r="AC249" s="22"/>
    </row>
    <row r="250" spans="1:29">
      <c r="A250" s="21"/>
      <c r="B250" s="21"/>
      <c r="C250" s="46"/>
      <c r="E250" s="49"/>
      <c r="F250" s="50"/>
      <c r="G250" s="49"/>
      <c r="H250" s="49"/>
      <c r="M250" s="121"/>
      <c r="N250" s="121"/>
      <c r="O250" s="121"/>
      <c r="P250" s="121"/>
      <c r="Q250" s="30"/>
      <c r="R250" s="30"/>
      <c r="S250" s="22"/>
      <c r="T250" s="35"/>
      <c r="U250" s="35"/>
      <c r="V250" s="35"/>
      <c r="W250" s="35"/>
      <c r="X250" s="31"/>
      <c r="Y250" s="32"/>
      <c r="Z250" s="32"/>
      <c r="AA250" s="22"/>
      <c r="AB250" s="22"/>
      <c r="AC250" s="22"/>
    </row>
    <row r="251" spans="1:29">
      <c r="A251" s="21"/>
      <c r="B251" s="21"/>
      <c r="C251" s="46"/>
      <c r="E251" s="49"/>
      <c r="F251" s="50"/>
      <c r="G251" s="49"/>
      <c r="H251" s="49"/>
      <c r="M251" s="121"/>
      <c r="N251" s="121"/>
      <c r="O251" s="121"/>
      <c r="P251" s="121"/>
      <c r="Q251" s="30"/>
      <c r="R251" s="30"/>
      <c r="S251" s="22"/>
      <c r="T251" s="35"/>
      <c r="U251" s="35"/>
      <c r="V251" s="35"/>
      <c r="W251" s="35"/>
      <c r="X251" s="31"/>
      <c r="Y251" s="32"/>
      <c r="Z251" s="32"/>
      <c r="AA251" s="103"/>
      <c r="AB251" s="22"/>
      <c r="AC251" s="22"/>
    </row>
    <row r="252" spans="1:29">
      <c r="A252" s="21"/>
      <c r="B252" s="21"/>
      <c r="C252" s="46"/>
      <c r="E252" s="49"/>
      <c r="F252" s="50"/>
      <c r="G252" s="49"/>
      <c r="H252" s="49"/>
      <c r="M252" s="121"/>
      <c r="N252" s="121"/>
      <c r="O252" s="121"/>
      <c r="P252" s="121"/>
      <c r="Q252" s="30"/>
      <c r="R252" s="30"/>
      <c r="S252" s="22"/>
      <c r="T252" s="35"/>
      <c r="U252" s="35"/>
      <c r="V252" s="35"/>
      <c r="W252" s="35"/>
      <c r="X252" s="31"/>
      <c r="Y252" s="32"/>
      <c r="Z252" s="32"/>
      <c r="AA252" s="103"/>
      <c r="AB252" s="22"/>
      <c r="AC252" s="22"/>
    </row>
    <row r="253" spans="1:29">
      <c r="A253" s="21"/>
      <c r="B253" s="21"/>
      <c r="C253" s="46"/>
      <c r="E253" s="49"/>
      <c r="F253" s="50"/>
      <c r="G253" s="49"/>
      <c r="H253" s="49"/>
      <c r="M253" s="121"/>
      <c r="N253" s="121"/>
      <c r="O253" s="121"/>
      <c r="P253" s="121"/>
      <c r="Q253" s="30"/>
      <c r="R253" s="30"/>
      <c r="S253" s="22"/>
      <c r="T253" s="35"/>
      <c r="U253" s="35"/>
      <c r="V253" s="35"/>
      <c r="W253" s="35"/>
      <c r="X253" s="31"/>
      <c r="Y253" s="32"/>
      <c r="Z253" s="32"/>
      <c r="AA253" s="22"/>
      <c r="AB253" s="22"/>
      <c r="AC253" s="22"/>
    </row>
    <row r="254" spans="1:29">
      <c r="A254" s="21"/>
      <c r="B254" s="21"/>
      <c r="C254" s="46"/>
      <c r="E254" s="49"/>
      <c r="F254" s="50"/>
      <c r="G254" s="49"/>
      <c r="H254" s="49"/>
      <c r="M254" s="121"/>
      <c r="N254" s="121"/>
      <c r="O254" s="121"/>
      <c r="P254" s="121"/>
      <c r="Q254" s="30"/>
      <c r="R254" s="30"/>
      <c r="S254" s="22"/>
      <c r="T254" s="35"/>
      <c r="U254" s="35"/>
      <c r="V254" s="35"/>
      <c r="W254" s="35"/>
      <c r="X254" s="31"/>
      <c r="Y254" s="32"/>
      <c r="Z254" s="32"/>
      <c r="AA254" s="22"/>
      <c r="AB254" s="22"/>
      <c r="AC254" s="22"/>
    </row>
    <row r="255" spans="1:29">
      <c r="A255" s="21"/>
      <c r="B255" s="21"/>
      <c r="C255" s="46"/>
      <c r="E255" s="49"/>
      <c r="F255" s="50"/>
      <c r="G255" s="49"/>
      <c r="H255" s="49"/>
      <c r="M255" s="121"/>
      <c r="N255" s="121"/>
      <c r="O255" s="121"/>
      <c r="P255" s="121"/>
      <c r="Q255" s="30"/>
      <c r="R255" s="30"/>
      <c r="S255" s="22"/>
      <c r="T255" s="35"/>
      <c r="U255" s="35"/>
      <c r="V255" s="35"/>
      <c r="W255" s="35"/>
      <c r="X255" s="31"/>
      <c r="Y255" s="32"/>
      <c r="Z255" s="32"/>
      <c r="AA255" s="22"/>
      <c r="AB255" s="22"/>
      <c r="AC255" s="22"/>
    </row>
    <row r="256" spans="1:29">
      <c r="A256" s="21"/>
      <c r="B256" s="21"/>
      <c r="C256" s="46"/>
      <c r="E256" s="49"/>
      <c r="F256" s="50"/>
      <c r="G256" s="49"/>
      <c r="H256" s="49"/>
      <c r="M256" s="121"/>
      <c r="N256" s="121"/>
      <c r="O256" s="121"/>
      <c r="P256" s="121"/>
      <c r="Q256" s="30"/>
      <c r="R256" s="30"/>
      <c r="S256" s="22"/>
      <c r="T256" s="35"/>
      <c r="U256" s="35"/>
      <c r="V256" s="35"/>
      <c r="W256" s="35"/>
      <c r="X256" s="31"/>
      <c r="Y256" s="32"/>
      <c r="Z256" s="32"/>
      <c r="AA256" s="22"/>
      <c r="AB256" s="22"/>
      <c r="AC256" s="22"/>
    </row>
    <row r="257" spans="1:29">
      <c r="A257" s="21"/>
      <c r="B257" s="21"/>
      <c r="C257" s="46"/>
      <c r="E257" s="49"/>
      <c r="F257" s="50"/>
      <c r="G257" s="49"/>
      <c r="H257" s="49"/>
      <c r="M257" s="121"/>
      <c r="N257" s="121"/>
      <c r="O257" s="121"/>
      <c r="P257" s="121"/>
      <c r="Q257" s="30"/>
      <c r="R257" s="30"/>
      <c r="S257" s="22"/>
      <c r="T257" s="35"/>
      <c r="U257" s="35"/>
      <c r="V257" s="35"/>
      <c r="W257" s="35"/>
      <c r="X257" s="31"/>
      <c r="Y257" s="32"/>
      <c r="Z257" s="32"/>
      <c r="AA257" s="22"/>
      <c r="AB257" s="22"/>
      <c r="AC257" s="22"/>
    </row>
    <row r="258" spans="1:29">
      <c r="A258" s="21"/>
      <c r="B258" s="21"/>
      <c r="C258" s="46"/>
      <c r="E258" s="49"/>
      <c r="F258" s="50"/>
      <c r="G258" s="49"/>
      <c r="H258" s="49"/>
      <c r="M258" s="121"/>
      <c r="N258" s="121"/>
      <c r="O258" s="121"/>
      <c r="P258" s="121"/>
      <c r="Q258" s="30"/>
      <c r="R258" s="30"/>
      <c r="S258" s="22"/>
      <c r="T258" s="35"/>
      <c r="U258" s="35"/>
      <c r="V258" s="35"/>
      <c r="W258" s="35"/>
      <c r="X258" s="31"/>
      <c r="Y258" s="32"/>
      <c r="Z258" s="32"/>
      <c r="AA258" s="22"/>
      <c r="AB258" s="22"/>
      <c r="AC258" s="22"/>
    </row>
    <row r="259" spans="1:29">
      <c r="A259" s="21"/>
      <c r="B259" s="21"/>
      <c r="C259" s="46"/>
      <c r="E259" s="49"/>
      <c r="F259" s="50"/>
      <c r="G259" s="49"/>
      <c r="H259" s="49"/>
      <c r="M259" s="121"/>
      <c r="N259" s="121"/>
      <c r="O259" s="121"/>
      <c r="P259" s="121"/>
      <c r="Q259" s="30"/>
      <c r="R259" s="30"/>
      <c r="S259" s="22"/>
      <c r="T259" s="35"/>
      <c r="U259" s="35"/>
      <c r="V259" s="35"/>
      <c r="W259" s="35"/>
      <c r="X259" s="31"/>
      <c r="Y259" s="32"/>
      <c r="Z259" s="32"/>
      <c r="AA259" s="22"/>
      <c r="AB259" s="22"/>
      <c r="AC259" s="22"/>
    </row>
    <row r="260" spans="1:29">
      <c r="A260" s="21"/>
      <c r="B260" s="21"/>
      <c r="C260" s="46"/>
      <c r="E260" s="49"/>
      <c r="F260" s="50"/>
      <c r="G260" s="49"/>
      <c r="H260" s="49"/>
      <c r="M260" s="121"/>
      <c r="N260" s="121"/>
      <c r="O260" s="121"/>
      <c r="P260" s="121"/>
      <c r="Q260" s="30"/>
      <c r="R260" s="30"/>
      <c r="S260" s="22"/>
      <c r="T260" s="35"/>
      <c r="U260" s="35"/>
      <c r="V260" s="35"/>
      <c r="W260" s="35"/>
      <c r="X260" s="31"/>
      <c r="Y260" s="32"/>
      <c r="Z260" s="32"/>
      <c r="AA260" s="22"/>
      <c r="AB260" s="22"/>
      <c r="AC260" s="22"/>
    </row>
    <row r="261" spans="1:29">
      <c r="A261" s="21"/>
      <c r="B261" s="21"/>
      <c r="C261" s="46"/>
      <c r="E261" s="49"/>
      <c r="F261" s="50"/>
      <c r="G261" s="49"/>
      <c r="H261" s="49"/>
      <c r="M261" s="121"/>
      <c r="N261" s="121"/>
      <c r="O261" s="121"/>
      <c r="P261" s="121"/>
      <c r="Q261" s="30"/>
      <c r="R261" s="30"/>
      <c r="S261" s="22"/>
      <c r="T261" s="35"/>
      <c r="U261" s="35"/>
      <c r="V261" s="35"/>
      <c r="W261" s="35"/>
      <c r="X261" s="31"/>
      <c r="Y261" s="32"/>
      <c r="Z261" s="32"/>
      <c r="AA261" s="22"/>
      <c r="AB261" s="22"/>
      <c r="AC261" s="22"/>
    </row>
    <row r="262" spans="1:29">
      <c r="A262" s="21"/>
      <c r="B262" s="21"/>
      <c r="C262" s="46"/>
      <c r="E262" s="49"/>
      <c r="F262" s="50"/>
      <c r="G262" s="49"/>
      <c r="H262" s="49"/>
      <c r="M262" s="121"/>
      <c r="N262" s="121"/>
      <c r="O262" s="121"/>
      <c r="P262" s="121"/>
      <c r="Q262" s="30"/>
      <c r="R262" s="30"/>
      <c r="S262" s="22"/>
      <c r="T262" s="35"/>
      <c r="U262" s="35"/>
      <c r="V262" s="35"/>
      <c r="W262" s="35"/>
      <c r="X262" s="31"/>
      <c r="Y262" s="32"/>
      <c r="Z262" s="32"/>
      <c r="AA262" s="22"/>
      <c r="AB262" s="22"/>
      <c r="AC262" s="22"/>
    </row>
    <row r="263" spans="1:29">
      <c r="A263" s="21"/>
      <c r="B263" s="21"/>
      <c r="C263" s="46"/>
      <c r="E263" s="49"/>
      <c r="F263" s="50"/>
      <c r="G263" s="49"/>
      <c r="H263" s="49"/>
      <c r="M263" s="121"/>
      <c r="N263" s="121"/>
      <c r="O263" s="121"/>
      <c r="P263" s="121"/>
      <c r="Q263" s="133"/>
      <c r="R263" s="133"/>
      <c r="S263" s="22"/>
      <c r="T263" s="35"/>
      <c r="U263" s="35"/>
      <c r="V263" s="35"/>
      <c r="W263" s="35"/>
      <c r="X263" s="31"/>
      <c r="Y263" s="32"/>
      <c r="Z263" s="32"/>
      <c r="AA263" s="22"/>
      <c r="AB263" s="22"/>
      <c r="AC263" s="22"/>
    </row>
    <row r="264" spans="1:29">
      <c r="A264" s="21"/>
      <c r="B264" s="21"/>
      <c r="C264" s="46"/>
      <c r="E264" s="49"/>
      <c r="F264" s="50"/>
      <c r="G264" s="49"/>
      <c r="H264" s="49"/>
      <c r="M264" s="121"/>
      <c r="N264" s="121"/>
      <c r="O264" s="121"/>
      <c r="P264" s="121"/>
      <c r="Q264" s="133"/>
      <c r="R264" s="133"/>
      <c r="S264" s="22"/>
      <c r="T264" s="35"/>
      <c r="U264" s="35"/>
      <c r="V264" s="35"/>
      <c r="W264" s="35"/>
      <c r="X264" s="31"/>
      <c r="Y264" s="32"/>
      <c r="Z264" s="32"/>
      <c r="AA264" s="22"/>
      <c r="AB264" s="22"/>
      <c r="AC264" s="22"/>
    </row>
    <row r="265" spans="1:29">
      <c r="A265" s="21"/>
      <c r="B265" s="21"/>
      <c r="C265" s="46"/>
      <c r="E265" s="49"/>
      <c r="F265" s="50"/>
      <c r="G265" s="49"/>
      <c r="H265" s="49"/>
      <c r="M265" s="121"/>
      <c r="N265" s="121"/>
      <c r="O265" s="121"/>
      <c r="P265" s="121"/>
      <c r="Q265" s="133"/>
      <c r="R265" s="133"/>
      <c r="S265" s="22"/>
      <c r="T265" s="35"/>
      <c r="U265" s="35"/>
      <c r="V265" s="35"/>
      <c r="W265" s="35"/>
      <c r="X265" s="31"/>
      <c r="Y265" s="32"/>
      <c r="Z265" s="32"/>
      <c r="AA265" s="22"/>
      <c r="AB265" s="22"/>
      <c r="AC265" s="22"/>
    </row>
    <row r="266" spans="1:29">
      <c r="A266" s="21"/>
      <c r="B266" s="21"/>
      <c r="C266" s="46"/>
      <c r="E266" s="49"/>
      <c r="F266" s="50"/>
      <c r="G266" s="49"/>
      <c r="H266" s="49"/>
      <c r="M266" s="121"/>
      <c r="N266" s="121"/>
      <c r="O266" s="121"/>
      <c r="P266" s="121"/>
      <c r="Q266" s="30"/>
      <c r="R266" s="30"/>
      <c r="S266" s="22"/>
      <c r="T266" s="35"/>
      <c r="U266" s="35"/>
      <c r="V266" s="35"/>
      <c r="W266" s="35"/>
      <c r="X266" s="31"/>
      <c r="Y266" s="32"/>
      <c r="Z266" s="32"/>
      <c r="AA266" s="22"/>
      <c r="AB266" s="22"/>
      <c r="AC266" s="22"/>
    </row>
    <row r="267" spans="1:29">
      <c r="A267" s="21"/>
      <c r="B267" s="21"/>
      <c r="C267" s="46"/>
      <c r="E267" s="49"/>
      <c r="F267" s="50"/>
      <c r="G267" s="49"/>
      <c r="H267" s="49"/>
      <c r="M267" s="121"/>
      <c r="N267" s="121"/>
      <c r="O267" s="121"/>
      <c r="P267" s="121"/>
      <c r="Q267" s="30"/>
      <c r="R267" s="30"/>
      <c r="S267" s="22"/>
      <c r="T267" s="35"/>
      <c r="U267" s="35"/>
      <c r="V267" s="35"/>
      <c r="W267" s="35"/>
      <c r="X267" s="31"/>
      <c r="Y267" s="32"/>
      <c r="Z267" s="32"/>
      <c r="AA267" s="22"/>
      <c r="AB267" s="22"/>
      <c r="AC267" s="22"/>
    </row>
    <row r="268" spans="1:29">
      <c r="A268" s="21"/>
      <c r="B268" s="21"/>
      <c r="C268" s="46"/>
      <c r="E268" s="49"/>
      <c r="F268" s="50"/>
      <c r="G268" s="49"/>
      <c r="H268" s="49"/>
      <c r="M268" s="121"/>
      <c r="N268" s="121"/>
      <c r="O268" s="121"/>
      <c r="P268" s="121"/>
      <c r="Q268" s="30"/>
      <c r="R268" s="30"/>
      <c r="S268" s="22"/>
      <c r="T268" s="35"/>
      <c r="U268" s="35"/>
      <c r="V268" s="35"/>
      <c r="W268" s="35"/>
      <c r="X268" s="31"/>
      <c r="Y268" s="32"/>
      <c r="Z268" s="32"/>
      <c r="AA268" s="22"/>
      <c r="AB268" s="22"/>
      <c r="AC268" s="22"/>
    </row>
    <row r="269" spans="1:29">
      <c r="A269" s="21"/>
      <c r="B269" s="21"/>
      <c r="C269" s="46"/>
      <c r="E269" s="49"/>
      <c r="F269" s="50"/>
      <c r="G269" s="49"/>
      <c r="H269" s="49"/>
      <c r="M269" s="121"/>
      <c r="N269" s="121"/>
      <c r="O269" s="121"/>
      <c r="P269" s="121"/>
      <c r="Q269" s="30"/>
      <c r="R269" s="30"/>
      <c r="S269" s="22"/>
      <c r="T269" s="35"/>
      <c r="U269" s="35"/>
      <c r="V269" s="35"/>
      <c r="W269" s="35"/>
      <c r="X269" s="31"/>
      <c r="Y269" s="32"/>
      <c r="Z269" s="32"/>
      <c r="AA269" s="22"/>
      <c r="AB269" s="22"/>
      <c r="AC269" s="22"/>
    </row>
    <row r="270" spans="1:29">
      <c r="A270" s="21"/>
      <c r="B270" s="21"/>
      <c r="C270" s="46"/>
      <c r="E270" s="49"/>
      <c r="F270" s="50"/>
      <c r="G270" s="49"/>
      <c r="H270" s="49"/>
      <c r="M270" s="121"/>
      <c r="N270" s="121"/>
      <c r="O270" s="121"/>
      <c r="P270" s="121"/>
      <c r="Q270" s="30"/>
      <c r="R270" s="30"/>
      <c r="S270" s="22"/>
      <c r="T270" s="35"/>
      <c r="U270" s="35"/>
      <c r="V270" s="35"/>
      <c r="W270" s="35"/>
      <c r="X270" s="31"/>
      <c r="Y270" s="32"/>
      <c r="Z270" s="32"/>
      <c r="AA270" s="137"/>
      <c r="AB270" s="22"/>
      <c r="AC270" s="22"/>
    </row>
    <row r="271" spans="1:29">
      <c r="A271" s="21"/>
      <c r="B271" s="21"/>
      <c r="C271" s="46"/>
      <c r="E271" s="49"/>
      <c r="F271" s="50"/>
      <c r="G271" s="49"/>
      <c r="H271" s="49"/>
      <c r="M271" s="121"/>
      <c r="N271" s="121"/>
      <c r="O271" s="121"/>
      <c r="P271" s="121"/>
      <c r="Q271" s="30"/>
      <c r="R271" s="30"/>
      <c r="S271" s="22"/>
      <c r="T271" s="35"/>
      <c r="U271" s="35"/>
      <c r="V271" s="35"/>
      <c r="W271" s="35"/>
      <c r="X271" s="31"/>
      <c r="Y271" s="32"/>
      <c r="Z271" s="32"/>
      <c r="AA271" s="22"/>
      <c r="AB271" s="22"/>
      <c r="AC271" s="22"/>
    </row>
    <row r="272" spans="1:29">
      <c r="A272" s="21"/>
      <c r="B272" s="21"/>
      <c r="C272" s="46"/>
      <c r="E272" s="49"/>
      <c r="F272" s="50"/>
      <c r="G272" s="49"/>
      <c r="H272" s="49"/>
      <c r="M272" s="121"/>
      <c r="N272" s="121"/>
      <c r="O272" s="121"/>
      <c r="P272" s="121"/>
      <c r="Q272" s="30"/>
      <c r="R272" s="30"/>
      <c r="S272" s="22"/>
      <c r="T272" s="35"/>
      <c r="U272" s="35"/>
      <c r="V272" s="35"/>
      <c r="W272" s="35"/>
      <c r="X272" s="31"/>
      <c r="Y272" s="32"/>
      <c r="Z272" s="32"/>
      <c r="AA272" s="22"/>
      <c r="AB272" s="22"/>
      <c r="AC272" s="22"/>
    </row>
    <row r="273" spans="1:29">
      <c r="A273" s="21"/>
      <c r="B273" s="21"/>
      <c r="C273" s="46"/>
      <c r="E273" s="49"/>
      <c r="F273" s="50"/>
      <c r="G273" s="49"/>
      <c r="H273" s="49"/>
      <c r="M273" s="121"/>
      <c r="N273" s="121"/>
      <c r="O273" s="121"/>
      <c r="P273" s="121"/>
      <c r="Q273" s="30"/>
      <c r="R273" s="30"/>
      <c r="S273" s="22"/>
      <c r="T273" s="35"/>
      <c r="U273" s="35"/>
      <c r="V273" s="35"/>
      <c r="W273" s="35"/>
      <c r="X273" s="31"/>
      <c r="Y273" s="32"/>
      <c r="Z273" s="32"/>
      <c r="AA273" s="22"/>
      <c r="AB273" s="22"/>
      <c r="AC273" s="22"/>
    </row>
    <row r="274" spans="1:29">
      <c r="A274" s="21"/>
      <c r="B274" s="21"/>
      <c r="C274" s="46"/>
      <c r="E274" s="49"/>
      <c r="F274" s="50"/>
      <c r="G274" s="49"/>
      <c r="H274" s="49"/>
      <c r="M274" s="121"/>
      <c r="N274" s="121"/>
      <c r="O274" s="121"/>
      <c r="P274" s="121"/>
      <c r="Q274" s="30"/>
      <c r="R274" s="30"/>
      <c r="S274" s="22"/>
      <c r="T274" s="35"/>
      <c r="U274" s="35"/>
      <c r="V274" s="35"/>
      <c r="W274" s="35"/>
      <c r="X274" s="31"/>
      <c r="Y274" s="32"/>
      <c r="Z274" s="32"/>
      <c r="AA274" s="22"/>
      <c r="AB274" s="22"/>
      <c r="AC274" s="22"/>
    </row>
    <row r="275" spans="1:29">
      <c r="A275" s="21"/>
      <c r="B275" s="21"/>
      <c r="C275" s="46"/>
      <c r="E275" s="49"/>
      <c r="F275" s="50"/>
      <c r="G275" s="49"/>
      <c r="H275" s="49"/>
      <c r="M275" s="121"/>
      <c r="N275" s="121"/>
      <c r="O275" s="121"/>
      <c r="P275" s="121"/>
      <c r="Q275" s="30"/>
      <c r="R275" s="30"/>
      <c r="S275" s="22"/>
      <c r="T275" s="35"/>
      <c r="U275" s="35"/>
      <c r="V275" s="35"/>
      <c r="W275" s="35"/>
      <c r="X275" s="31"/>
      <c r="Y275" s="32"/>
      <c r="Z275" s="32"/>
      <c r="AA275" s="137"/>
      <c r="AB275" s="22"/>
      <c r="AC275" s="22"/>
    </row>
    <row r="276" spans="1:29">
      <c r="A276" s="21"/>
      <c r="B276" s="21"/>
      <c r="C276" s="46"/>
      <c r="E276" s="49"/>
      <c r="F276" s="50"/>
      <c r="G276" s="49"/>
      <c r="H276" s="49"/>
      <c r="M276" s="121"/>
      <c r="N276" s="121"/>
      <c r="O276" s="121"/>
      <c r="P276" s="121"/>
      <c r="Q276" s="30"/>
      <c r="R276" s="30"/>
      <c r="S276" s="22"/>
      <c r="T276" s="35"/>
      <c r="U276" s="35"/>
      <c r="V276" s="35"/>
      <c r="W276" s="35"/>
      <c r="X276" s="31"/>
      <c r="Y276" s="32"/>
      <c r="Z276" s="32"/>
      <c r="AA276" s="137"/>
      <c r="AB276" s="22"/>
      <c r="AC276" s="22"/>
    </row>
    <row r="277" spans="1:29">
      <c r="A277" s="21"/>
      <c r="B277" s="21"/>
      <c r="C277" s="46"/>
      <c r="E277" s="49"/>
      <c r="F277" s="50"/>
      <c r="G277" s="49"/>
      <c r="H277" s="49"/>
      <c r="M277" s="121"/>
      <c r="N277" s="121"/>
      <c r="O277" s="121"/>
      <c r="P277" s="121"/>
      <c r="Q277" s="30"/>
      <c r="R277" s="30"/>
      <c r="S277" s="22"/>
      <c r="T277" s="35"/>
      <c r="U277" s="35"/>
      <c r="V277" s="35"/>
      <c r="W277" s="35"/>
      <c r="X277" s="31"/>
      <c r="Y277" s="32"/>
      <c r="Z277" s="32"/>
      <c r="AA277" s="22"/>
      <c r="AB277" s="22"/>
      <c r="AC277" s="22"/>
    </row>
    <row r="278" spans="1:29">
      <c r="A278" s="21"/>
      <c r="B278" s="21"/>
      <c r="C278" s="46"/>
      <c r="E278" s="49"/>
      <c r="F278" s="50"/>
      <c r="G278" s="49"/>
      <c r="H278" s="49"/>
      <c r="M278" s="121"/>
      <c r="N278" s="121"/>
      <c r="O278" s="121"/>
      <c r="P278" s="121"/>
      <c r="Q278" s="30"/>
      <c r="R278" s="30"/>
      <c r="S278" s="22"/>
      <c r="T278" s="35"/>
      <c r="U278" s="35"/>
      <c r="V278" s="35"/>
      <c r="W278" s="35"/>
      <c r="X278" s="31"/>
      <c r="Y278" s="32"/>
      <c r="Z278" s="32"/>
      <c r="AA278" s="137"/>
      <c r="AB278" s="22"/>
      <c r="AC278" s="22"/>
    </row>
    <row r="279" spans="1:29">
      <c r="A279" s="21"/>
      <c r="B279" s="21"/>
      <c r="C279" s="46"/>
      <c r="E279" s="49"/>
      <c r="F279" s="50"/>
      <c r="G279" s="49"/>
      <c r="H279" s="49"/>
      <c r="M279" s="121"/>
      <c r="N279" s="121"/>
      <c r="O279" s="121"/>
      <c r="P279" s="121"/>
      <c r="Q279" s="30"/>
      <c r="R279" s="30"/>
      <c r="S279" s="22"/>
      <c r="T279" s="35"/>
      <c r="U279" s="35"/>
      <c r="V279" s="35"/>
      <c r="W279" s="35"/>
      <c r="X279" s="31"/>
      <c r="Y279" s="32"/>
      <c r="Z279" s="32"/>
      <c r="AA279" s="22"/>
      <c r="AB279" s="22"/>
      <c r="AC279" s="22"/>
    </row>
    <row r="280" spans="1:29">
      <c r="A280" s="21"/>
      <c r="B280" s="21"/>
      <c r="C280" s="46"/>
      <c r="E280" s="49"/>
      <c r="F280" s="50"/>
      <c r="G280" s="49"/>
      <c r="H280" s="49"/>
      <c r="M280" s="121"/>
      <c r="N280" s="121"/>
      <c r="O280" s="121"/>
      <c r="P280" s="121"/>
      <c r="Q280" s="30"/>
      <c r="R280" s="30"/>
      <c r="S280" s="22"/>
      <c r="T280" s="35"/>
      <c r="U280" s="35"/>
      <c r="V280" s="35"/>
      <c r="W280" s="35"/>
      <c r="X280" s="31"/>
      <c r="Y280" s="32"/>
      <c r="Z280" s="32"/>
      <c r="AA280" s="22"/>
      <c r="AB280" s="22"/>
      <c r="AC280" s="22"/>
    </row>
    <row r="281" spans="1:29">
      <c r="A281" s="21"/>
      <c r="B281" s="21"/>
      <c r="C281" s="46"/>
      <c r="E281" s="49"/>
      <c r="F281" s="50"/>
      <c r="G281" s="49"/>
      <c r="H281" s="49"/>
      <c r="M281" s="121"/>
      <c r="N281" s="121"/>
      <c r="O281" s="121"/>
      <c r="P281" s="121"/>
      <c r="Q281" s="30"/>
      <c r="R281" s="30"/>
      <c r="S281" s="22"/>
      <c r="T281" s="35"/>
      <c r="U281" s="35"/>
      <c r="V281" s="35"/>
      <c r="W281" s="35"/>
      <c r="X281" s="31"/>
      <c r="Y281" s="32"/>
      <c r="Z281" s="32"/>
      <c r="AA281" s="22"/>
      <c r="AB281" s="22"/>
      <c r="AC281" s="22"/>
    </row>
    <row r="282" spans="1:29">
      <c r="A282" s="21"/>
      <c r="B282" s="21"/>
      <c r="C282" s="46"/>
      <c r="E282" s="49"/>
      <c r="F282" s="50"/>
      <c r="G282" s="49"/>
      <c r="H282" s="49"/>
      <c r="M282" s="121"/>
      <c r="N282" s="121"/>
      <c r="O282" s="121"/>
      <c r="P282" s="121"/>
      <c r="Q282" s="30"/>
      <c r="R282" s="30"/>
      <c r="S282" s="22"/>
      <c r="T282" s="35"/>
      <c r="U282" s="35"/>
      <c r="V282" s="35"/>
      <c r="W282" s="35"/>
      <c r="X282" s="31"/>
      <c r="Y282" s="32"/>
      <c r="Z282" s="32"/>
      <c r="AA282" s="22"/>
      <c r="AB282" s="22"/>
      <c r="AC282" s="22"/>
    </row>
    <row r="283" spans="1:29">
      <c r="A283" s="21"/>
      <c r="B283" s="21"/>
      <c r="C283" s="46"/>
      <c r="E283" s="49"/>
      <c r="F283" s="50"/>
      <c r="G283" s="49"/>
      <c r="H283" s="49"/>
      <c r="M283" s="121"/>
      <c r="N283" s="121"/>
      <c r="O283" s="121"/>
      <c r="P283" s="121"/>
      <c r="Q283" s="30"/>
      <c r="R283" s="30"/>
      <c r="S283" s="22"/>
      <c r="T283" s="35"/>
      <c r="U283" s="35"/>
      <c r="V283" s="35"/>
      <c r="W283" s="35"/>
      <c r="X283" s="31"/>
      <c r="Y283" s="32"/>
      <c r="Z283" s="32"/>
      <c r="AA283" s="22"/>
      <c r="AB283" s="22"/>
      <c r="AC283" s="22"/>
    </row>
    <row r="284" spans="1:29">
      <c r="A284" s="21"/>
      <c r="B284" s="21"/>
      <c r="C284" s="46"/>
      <c r="E284" s="49"/>
      <c r="F284" s="50"/>
      <c r="G284" s="49"/>
      <c r="H284" s="49"/>
      <c r="M284" s="121"/>
      <c r="N284" s="121"/>
      <c r="O284" s="121"/>
      <c r="P284" s="121"/>
      <c r="Q284" s="30"/>
      <c r="R284" s="30"/>
      <c r="S284" s="22"/>
      <c r="T284" s="35"/>
      <c r="U284" s="35"/>
      <c r="V284" s="35"/>
      <c r="W284" s="35"/>
      <c r="X284" s="31"/>
      <c r="Y284" s="32"/>
      <c r="Z284" s="32"/>
      <c r="AA284" s="22"/>
      <c r="AB284" s="22"/>
      <c r="AC284" s="22"/>
    </row>
    <row r="285" spans="1:29">
      <c r="A285" s="21"/>
      <c r="B285" s="21"/>
      <c r="C285" s="46"/>
      <c r="E285" s="49"/>
      <c r="F285" s="50"/>
      <c r="G285" s="49"/>
      <c r="H285" s="49"/>
      <c r="M285" s="121"/>
      <c r="N285" s="121"/>
      <c r="O285" s="121"/>
      <c r="P285" s="121"/>
      <c r="Q285" s="30"/>
      <c r="R285" s="30"/>
      <c r="S285" s="22"/>
      <c r="T285" s="35"/>
      <c r="U285" s="35"/>
      <c r="V285" s="35"/>
      <c r="W285" s="35"/>
      <c r="X285" s="31"/>
      <c r="Y285" s="32"/>
      <c r="Z285" s="32"/>
      <c r="AA285" s="22"/>
      <c r="AB285" s="22"/>
      <c r="AC285" s="22"/>
    </row>
    <row r="286" spans="1:29">
      <c r="A286" s="21"/>
      <c r="B286" s="21"/>
      <c r="C286" s="46"/>
      <c r="E286" s="49"/>
      <c r="F286" s="50"/>
      <c r="G286" s="49"/>
      <c r="H286" s="49"/>
      <c r="M286" s="121"/>
      <c r="N286" s="121"/>
      <c r="O286" s="121"/>
      <c r="P286" s="121"/>
      <c r="Q286" s="30"/>
      <c r="R286" s="30"/>
      <c r="S286" s="22"/>
      <c r="T286" s="35"/>
      <c r="U286" s="35"/>
      <c r="V286" s="35"/>
      <c r="W286" s="35"/>
      <c r="X286" s="31"/>
      <c r="Y286" s="32"/>
      <c r="Z286" s="32"/>
      <c r="AA286" s="22"/>
      <c r="AB286" s="22"/>
      <c r="AC286" s="22"/>
    </row>
    <row r="287" spans="1:29">
      <c r="A287" s="21"/>
      <c r="B287" s="21"/>
      <c r="C287" s="46"/>
      <c r="E287" s="49"/>
      <c r="F287" s="50"/>
      <c r="G287" s="49"/>
      <c r="H287" s="49"/>
      <c r="M287" s="121"/>
      <c r="N287" s="121"/>
      <c r="O287" s="121"/>
      <c r="P287" s="121"/>
      <c r="Q287" s="30"/>
      <c r="R287" s="30"/>
      <c r="S287" s="22"/>
      <c r="T287" s="35"/>
      <c r="U287" s="35"/>
      <c r="V287" s="35"/>
      <c r="W287" s="35"/>
      <c r="X287" s="31"/>
      <c r="Y287" s="32"/>
      <c r="Z287" s="32"/>
      <c r="AA287" s="22"/>
      <c r="AB287" s="22"/>
      <c r="AC287" s="22"/>
    </row>
    <row r="288" spans="1:29">
      <c r="A288" s="21"/>
      <c r="B288" s="21"/>
      <c r="C288" s="46"/>
      <c r="E288" s="49"/>
      <c r="F288" s="50"/>
      <c r="G288" s="49"/>
      <c r="H288" s="49"/>
      <c r="M288" s="121"/>
      <c r="N288" s="121"/>
      <c r="O288" s="121"/>
      <c r="P288" s="121"/>
      <c r="Q288" s="30"/>
      <c r="R288" s="30"/>
      <c r="S288" s="22"/>
      <c r="T288" s="35"/>
      <c r="U288" s="35"/>
      <c r="V288" s="35"/>
      <c r="W288" s="35"/>
      <c r="X288" s="31"/>
      <c r="Y288" s="32"/>
      <c r="Z288" s="32"/>
      <c r="AA288" s="22"/>
      <c r="AB288" s="22"/>
      <c r="AC288" s="22"/>
    </row>
    <row r="289" spans="1:29">
      <c r="A289" s="21"/>
      <c r="B289" s="21"/>
      <c r="C289" s="46"/>
      <c r="E289" s="49"/>
      <c r="F289" s="50"/>
      <c r="G289" s="49"/>
      <c r="H289" s="49"/>
      <c r="M289" s="121"/>
      <c r="N289" s="121"/>
      <c r="O289" s="121"/>
      <c r="P289" s="121"/>
      <c r="Q289" s="30"/>
      <c r="R289" s="30"/>
      <c r="S289" s="22"/>
      <c r="T289" s="35"/>
      <c r="U289" s="35"/>
      <c r="V289" s="35"/>
      <c r="W289" s="35"/>
      <c r="X289" s="31"/>
      <c r="Y289" s="32"/>
      <c r="Z289" s="32"/>
      <c r="AA289" s="22"/>
      <c r="AB289" s="22"/>
      <c r="AC289" s="22"/>
    </row>
    <row r="290" spans="1:29">
      <c r="A290" s="21"/>
      <c r="B290" s="21"/>
      <c r="C290" s="46"/>
      <c r="E290" s="49"/>
      <c r="F290" s="50"/>
      <c r="G290" s="49"/>
      <c r="H290" s="49"/>
      <c r="M290" s="121"/>
      <c r="N290" s="121"/>
      <c r="O290" s="121"/>
      <c r="P290" s="121"/>
      <c r="Q290" s="30"/>
      <c r="R290" s="30"/>
      <c r="S290" s="22"/>
      <c r="T290" s="35"/>
      <c r="U290" s="35"/>
      <c r="V290" s="35"/>
      <c r="W290" s="35"/>
      <c r="X290" s="31"/>
      <c r="Y290" s="32"/>
      <c r="Z290" s="32"/>
      <c r="AA290" s="22"/>
      <c r="AB290" s="22"/>
      <c r="AC290" s="22"/>
    </row>
    <row r="291" spans="1:29">
      <c r="A291" s="21"/>
      <c r="B291" s="21"/>
      <c r="C291" s="46"/>
      <c r="E291" s="49"/>
      <c r="F291" s="50"/>
      <c r="G291" s="49"/>
      <c r="H291" s="49"/>
      <c r="M291" s="121"/>
      <c r="N291" s="121"/>
      <c r="O291" s="121"/>
      <c r="P291" s="121"/>
      <c r="Q291" s="30"/>
      <c r="R291" s="30"/>
      <c r="S291" s="22"/>
      <c r="T291" s="35"/>
      <c r="U291" s="35"/>
      <c r="V291" s="35"/>
      <c r="W291" s="35"/>
      <c r="X291" s="31"/>
      <c r="Y291" s="32"/>
      <c r="Z291" s="32"/>
      <c r="AA291" s="22"/>
      <c r="AB291" s="22"/>
      <c r="AC291" s="22"/>
    </row>
    <row r="292" spans="1:29">
      <c r="A292" s="21"/>
      <c r="B292" s="21"/>
      <c r="C292" s="46"/>
      <c r="E292" s="49"/>
      <c r="F292" s="50"/>
      <c r="G292" s="49"/>
      <c r="H292" s="49"/>
      <c r="M292" s="121"/>
      <c r="N292" s="121"/>
      <c r="O292" s="121"/>
      <c r="P292" s="121"/>
      <c r="Q292" s="30"/>
      <c r="R292" s="30"/>
      <c r="S292" s="22"/>
      <c r="T292" s="35"/>
      <c r="U292" s="35"/>
      <c r="V292" s="35"/>
      <c r="W292" s="35"/>
      <c r="X292" s="31"/>
      <c r="Y292" s="32"/>
      <c r="Z292" s="32"/>
      <c r="AA292" s="22"/>
      <c r="AB292" s="22"/>
      <c r="AC292" s="22"/>
    </row>
    <row r="293" spans="1:29">
      <c r="A293" s="21"/>
      <c r="B293" s="21"/>
      <c r="C293" s="46"/>
      <c r="E293" s="49"/>
      <c r="F293" s="50"/>
      <c r="G293" s="49"/>
      <c r="H293" s="49"/>
      <c r="M293" s="121"/>
      <c r="N293" s="121"/>
      <c r="O293" s="121"/>
      <c r="P293" s="121"/>
      <c r="Q293" s="30"/>
      <c r="R293" s="30"/>
      <c r="S293" s="22"/>
      <c r="T293" s="35"/>
      <c r="U293" s="35"/>
      <c r="V293" s="35"/>
      <c r="W293" s="35"/>
      <c r="X293" s="31"/>
      <c r="Y293" s="32"/>
      <c r="Z293" s="32"/>
      <c r="AA293" s="89"/>
      <c r="AB293" s="22"/>
      <c r="AC293" s="22"/>
    </row>
    <row r="294" spans="1:29">
      <c r="A294" s="21"/>
      <c r="B294" s="21"/>
      <c r="C294" s="46"/>
      <c r="E294" s="49"/>
      <c r="F294" s="50"/>
      <c r="G294" s="49"/>
      <c r="H294" s="49"/>
      <c r="M294" s="121"/>
      <c r="N294" s="121"/>
      <c r="O294" s="121"/>
      <c r="P294" s="121"/>
      <c r="Q294" s="30"/>
      <c r="R294" s="30"/>
      <c r="S294" s="22"/>
      <c r="T294" s="35"/>
      <c r="U294" s="35"/>
      <c r="V294" s="35"/>
      <c r="W294" s="35"/>
      <c r="X294" s="31"/>
      <c r="Y294" s="32"/>
      <c r="Z294" s="32"/>
      <c r="AA294" s="22"/>
      <c r="AB294" s="22"/>
      <c r="AC294" s="22"/>
    </row>
    <row r="295" spans="1:29">
      <c r="A295" s="21"/>
      <c r="B295" s="21"/>
      <c r="C295" s="46"/>
      <c r="E295" s="49"/>
      <c r="F295" s="50"/>
      <c r="G295" s="49"/>
      <c r="H295" s="49"/>
      <c r="M295" s="121"/>
      <c r="N295" s="121"/>
      <c r="O295" s="121"/>
      <c r="P295" s="121"/>
      <c r="Q295" s="30"/>
      <c r="R295" s="30"/>
      <c r="S295" s="22"/>
      <c r="T295" s="35"/>
      <c r="U295" s="35"/>
      <c r="V295" s="35"/>
      <c r="W295" s="35"/>
      <c r="X295" s="31"/>
      <c r="Y295" s="32"/>
      <c r="Z295" s="32"/>
      <c r="AA295" s="22"/>
      <c r="AB295" s="22"/>
      <c r="AC295" s="22"/>
    </row>
    <row r="296" spans="1:29">
      <c r="A296" s="21"/>
      <c r="B296" s="21"/>
      <c r="C296" s="46"/>
      <c r="E296" s="49"/>
      <c r="F296" s="50"/>
      <c r="G296" s="49"/>
      <c r="H296" s="49"/>
      <c r="M296" s="121"/>
      <c r="N296" s="121"/>
      <c r="O296" s="121"/>
      <c r="P296" s="121"/>
      <c r="Q296" s="30"/>
      <c r="R296" s="30"/>
      <c r="S296" s="22"/>
      <c r="T296" s="35"/>
      <c r="U296" s="35"/>
      <c r="V296" s="35"/>
      <c r="W296" s="35"/>
      <c r="X296" s="31"/>
      <c r="Y296" s="32"/>
      <c r="Z296" s="32"/>
      <c r="AA296" s="22"/>
      <c r="AB296" s="22"/>
      <c r="AC296" s="22"/>
    </row>
    <row r="297" spans="1:29">
      <c r="A297" s="21"/>
      <c r="B297" s="21"/>
      <c r="C297" s="46"/>
      <c r="E297" s="49"/>
      <c r="F297" s="50"/>
      <c r="G297" s="49"/>
      <c r="H297" s="49"/>
      <c r="M297" s="121"/>
      <c r="N297" s="121"/>
      <c r="O297" s="121"/>
      <c r="P297" s="121"/>
      <c r="Q297" s="30"/>
      <c r="R297" s="30"/>
      <c r="S297" s="22"/>
      <c r="T297" s="35"/>
      <c r="U297" s="35"/>
      <c r="V297" s="35"/>
      <c r="W297" s="35"/>
      <c r="X297" s="31"/>
      <c r="Y297" s="32"/>
      <c r="Z297" s="32"/>
      <c r="AA297" s="22"/>
      <c r="AB297" s="22"/>
      <c r="AC297" s="22"/>
    </row>
    <row r="298" spans="1:29">
      <c r="A298" s="21"/>
      <c r="B298" s="21"/>
      <c r="C298" s="46"/>
      <c r="E298" s="49"/>
      <c r="F298" s="50"/>
      <c r="G298" s="49"/>
      <c r="H298" s="49"/>
      <c r="M298" s="121"/>
      <c r="N298" s="121"/>
      <c r="O298" s="121"/>
      <c r="P298" s="121"/>
      <c r="Q298" s="30"/>
      <c r="R298" s="30"/>
      <c r="S298" s="22"/>
      <c r="T298" s="35"/>
      <c r="U298" s="35"/>
      <c r="V298" s="35"/>
      <c r="W298" s="35"/>
      <c r="X298" s="31"/>
      <c r="Y298" s="32"/>
      <c r="Z298" s="32"/>
      <c r="AA298" s="22"/>
      <c r="AB298" s="22"/>
      <c r="AC298" s="22"/>
    </row>
    <row r="299" spans="1:29">
      <c r="A299" s="21"/>
      <c r="B299" s="21"/>
      <c r="C299" s="46"/>
      <c r="E299" s="49"/>
      <c r="F299" s="50"/>
      <c r="G299" s="49"/>
      <c r="H299" s="49"/>
      <c r="M299" s="121"/>
      <c r="N299" s="121"/>
      <c r="O299" s="121"/>
      <c r="P299" s="121"/>
      <c r="Q299" s="30"/>
      <c r="R299" s="30"/>
      <c r="S299" s="22"/>
      <c r="T299" s="35"/>
      <c r="U299" s="35"/>
      <c r="V299" s="35"/>
      <c r="W299" s="35"/>
      <c r="X299" s="31"/>
      <c r="Y299" s="32"/>
      <c r="Z299" s="32"/>
      <c r="AA299" s="22"/>
      <c r="AB299" s="22"/>
      <c r="AC299" s="22"/>
    </row>
    <row r="300" spans="1:29">
      <c r="A300" s="21"/>
      <c r="B300" s="21"/>
      <c r="C300" s="46"/>
      <c r="E300" s="49"/>
      <c r="F300" s="50"/>
      <c r="G300" s="49"/>
      <c r="H300" s="49"/>
      <c r="M300" s="121"/>
      <c r="N300" s="121"/>
      <c r="O300" s="121"/>
      <c r="P300" s="121"/>
      <c r="Q300" s="30"/>
      <c r="R300" s="30"/>
      <c r="S300" s="22"/>
      <c r="T300" s="35"/>
      <c r="U300" s="35"/>
      <c r="V300" s="35"/>
      <c r="W300" s="35"/>
      <c r="X300" s="31"/>
      <c r="Y300" s="32"/>
      <c r="Z300" s="32"/>
      <c r="AA300" s="22"/>
      <c r="AB300" s="22"/>
      <c r="AC300" s="22"/>
    </row>
    <row r="301" spans="1:29">
      <c r="A301" s="21"/>
      <c r="B301" s="21"/>
      <c r="C301" s="46"/>
      <c r="E301" s="49"/>
      <c r="F301" s="50"/>
      <c r="G301" s="49"/>
      <c r="H301" s="49"/>
      <c r="M301" s="121"/>
      <c r="N301" s="121"/>
      <c r="O301" s="121"/>
      <c r="P301" s="121"/>
      <c r="Q301" s="30"/>
      <c r="R301" s="30"/>
      <c r="S301" s="22"/>
      <c r="T301" s="35"/>
      <c r="U301" s="35"/>
      <c r="V301" s="35"/>
      <c r="W301" s="35"/>
      <c r="X301" s="31"/>
      <c r="Y301" s="32"/>
      <c r="Z301" s="32"/>
      <c r="AA301" s="22"/>
      <c r="AB301" s="22"/>
      <c r="AC301" s="22"/>
    </row>
    <row r="302" spans="1:29">
      <c r="A302" s="21"/>
      <c r="B302" s="21"/>
      <c r="C302" s="46"/>
      <c r="E302" s="49"/>
      <c r="F302" s="50"/>
      <c r="G302" s="49"/>
      <c r="H302" s="49"/>
      <c r="M302" s="121"/>
      <c r="N302" s="121"/>
      <c r="O302" s="121"/>
      <c r="P302" s="121"/>
      <c r="Q302" s="30"/>
      <c r="R302" s="30"/>
      <c r="S302" s="22"/>
      <c r="T302" s="35"/>
      <c r="U302" s="35"/>
      <c r="V302" s="35"/>
      <c r="W302" s="35"/>
      <c r="X302" s="31"/>
      <c r="Y302" s="32"/>
      <c r="Z302" s="32"/>
      <c r="AA302" s="22"/>
      <c r="AB302" s="22"/>
      <c r="AC302" s="22"/>
    </row>
    <row r="303" spans="1:29">
      <c r="A303" s="21"/>
      <c r="B303" s="21"/>
      <c r="C303" s="46"/>
      <c r="E303" s="49"/>
      <c r="F303" s="50"/>
      <c r="G303" s="49"/>
      <c r="H303" s="49"/>
      <c r="M303" s="121"/>
      <c r="N303" s="121"/>
      <c r="O303" s="121"/>
      <c r="P303" s="121"/>
      <c r="Q303" s="30"/>
      <c r="R303" s="30"/>
      <c r="S303" s="22"/>
      <c r="T303" s="35"/>
      <c r="U303" s="35"/>
      <c r="V303" s="35"/>
      <c r="W303" s="35"/>
      <c r="X303" s="31"/>
      <c r="Y303" s="32"/>
      <c r="Z303" s="32"/>
      <c r="AA303" s="89"/>
      <c r="AB303" s="22"/>
      <c r="AC303" s="22"/>
    </row>
    <row r="304" spans="1:29">
      <c r="A304" s="21"/>
      <c r="B304" s="21"/>
      <c r="C304" s="46"/>
      <c r="E304" s="49"/>
      <c r="F304" s="50"/>
      <c r="G304" s="49"/>
      <c r="H304" s="49"/>
      <c r="M304" s="121"/>
      <c r="N304" s="121"/>
      <c r="O304" s="121"/>
      <c r="P304" s="121"/>
      <c r="Q304" s="30"/>
      <c r="R304" s="30"/>
      <c r="S304" s="22"/>
      <c r="T304" s="35"/>
      <c r="U304" s="35"/>
      <c r="V304" s="35"/>
      <c r="W304" s="35"/>
      <c r="X304" s="31"/>
      <c r="Y304" s="32"/>
      <c r="Z304" s="32"/>
      <c r="AA304" s="22"/>
      <c r="AB304" s="22"/>
      <c r="AC304" s="22"/>
    </row>
    <row r="305" spans="1:29">
      <c r="A305" s="21"/>
      <c r="B305" s="21"/>
      <c r="C305" s="46"/>
      <c r="E305" s="49"/>
      <c r="F305" s="50"/>
      <c r="G305" s="49"/>
      <c r="H305" s="49"/>
      <c r="M305" s="121"/>
      <c r="N305" s="121"/>
      <c r="O305" s="121"/>
      <c r="P305" s="121"/>
      <c r="Q305" s="30"/>
      <c r="R305" s="30"/>
      <c r="S305" s="22"/>
      <c r="T305" s="35"/>
      <c r="U305" s="35"/>
      <c r="V305" s="35"/>
      <c r="W305" s="35"/>
      <c r="X305" s="31"/>
      <c r="Y305" s="32"/>
      <c r="Z305" s="32"/>
      <c r="AA305" s="22"/>
      <c r="AB305" s="22"/>
      <c r="AC305" s="22"/>
    </row>
    <row r="306" spans="1:29">
      <c r="A306" s="21"/>
      <c r="B306" s="21"/>
      <c r="C306" s="46"/>
      <c r="E306" s="49"/>
      <c r="F306" s="50"/>
      <c r="G306" s="49"/>
      <c r="H306" s="49"/>
      <c r="M306" s="121"/>
      <c r="N306" s="121"/>
      <c r="O306" s="121"/>
      <c r="P306" s="121"/>
      <c r="Q306" s="30"/>
      <c r="R306" s="30"/>
      <c r="S306" s="22"/>
      <c r="T306" s="35"/>
      <c r="U306" s="35"/>
      <c r="V306" s="35"/>
      <c r="W306" s="35"/>
      <c r="X306" s="31"/>
      <c r="Y306" s="32"/>
      <c r="Z306" s="32"/>
      <c r="AA306" s="22"/>
      <c r="AB306" s="22"/>
      <c r="AC306" s="22"/>
    </row>
    <row r="307" spans="1:29">
      <c r="A307" s="21"/>
      <c r="B307" s="21"/>
      <c r="C307" s="46"/>
      <c r="E307" s="49"/>
      <c r="F307" s="50"/>
      <c r="G307" s="49"/>
      <c r="H307" s="49"/>
      <c r="M307" s="121"/>
      <c r="N307" s="121"/>
      <c r="O307" s="121"/>
      <c r="P307" s="121"/>
      <c r="Q307" s="30"/>
      <c r="R307" s="30"/>
      <c r="S307" s="22"/>
      <c r="T307" s="35"/>
      <c r="U307" s="35"/>
      <c r="V307" s="35"/>
      <c r="W307" s="35"/>
      <c r="X307" s="31"/>
      <c r="Y307" s="32"/>
      <c r="Z307" s="32"/>
      <c r="AA307" s="22"/>
      <c r="AB307" s="22"/>
      <c r="AC307" s="22"/>
    </row>
    <row r="308" spans="1:29">
      <c r="A308" s="21"/>
      <c r="B308" s="21"/>
      <c r="C308" s="46"/>
      <c r="E308" s="49"/>
      <c r="F308" s="50"/>
      <c r="G308" s="49"/>
      <c r="H308" s="49"/>
      <c r="M308" s="121"/>
      <c r="N308" s="121"/>
      <c r="O308" s="121"/>
      <c r="P308" s="121"/>
      <c r="Q308" s="30"/>
      <c r="R308" s="30"/>
      <c r="S308" s="22"/>
      <c r="T308" s="35"/>
      <c r="U308" s="35"/>
      <c r="V308" s="35"/>
      <c r="W308" s="35"/>
      <c r="X308" s="31"/>
      <c r="Y308" s="32"/>
      <c r="Z308" s="32"/>
      <c r="AA308" s="22"/>
      <c r="AB308" s="22"/>
      <c r="AC308" s="22"/>
    </row>
    <row r="309" spans="1:29">
      <c r="A309" s="21"/>
      <c r="B309" s="21"/>
      <c r="C309" s="46"/>
      <c r="E309" s="49"/>
      <c r="F309" s="50"/>
      <c r="G309" s="49"/>
      <c r="H309" s="49"/>
      <c r="M309" s="121"/>
      <c r="N309" s="121"/>
      <c r="O309" s="121"/>
      <c r="P309" s="121"/>
      <c r="Q309" s="30"/>
      <c r="R309" s="30"/>
      <c r="S309" s="22"/>
      <c r="T309" s="35"/>
      <c r="U309" s="35"/>
      <c r="V309" s="35"/>
      <c r="W309" s="35"/>
      <c r="X309" s="31"/>
      <c r="Y309" s="32"/>
      <c r="Z309" s="32"/>
      <c r="AA309" s="22"/>
      <c r="AB309" s="22"/>
      <c r="AC309" s="22"/>
    </row>
    <row r="310" spans="1:29">
      <c r="A310" s="21"/>
      <c r="B310" s="21"/>
      <c r="C310" s="46"/>
      <c r="E310" s="49"/>
      <c r="F310" s="50"/>
      <c r="G310" s="49"/>
      <c r="H310" s="49"/>
      <c r="M310" s="121"/>
      <c r="N310" s="121"/>
      <c r="O310" s="121"/>
      <c r="P310" s="121"/>
      <c r="Q310" s="30"/>
      <c r="R310" s="30"/>
      <c r="S310" s="22"/>
      <c r="T310" s="35"/>
      <c r="U310" s="35"/>
      <c r="V310" s="35"/>
      <c r="W310" s="35"/>
      <c r="X310" s="31"/>
      <c r="Y310" s="32"/>
      <c r="Z310" s="32"/>
      <c r="AA310" s="22"/>
      <c r="AB310" s="22"/>
      <c r="AC310" s="22"/>
    </row>
    <row r="311" spans="1:29">
      <c r="A311" s="21"/>
      <c r="B311" s="21"/>
      <c r="C311" s="46"/>
      <c r="E311" s="49"/>
      <c r="F311" s="50"/>
      <c r="G311" s="49"/>
      <c r="H311" s="49"/>
      <c r="M311" s="121"/>
      <c r="N311" s="121"/>
      <c r="O311" s="121"/>
      <c r="P311" s="121"/>
      <c r="Q311" s="30"/>
      <c r="R311" s="30"/>
      <c r="S311" s="22"/>
      <c r="T311" s="35"/>
      <c r="U311" s="35"/>
      <c r="V311" s="35"/>
      <c r="W311" s="35"/>
      <c r="X311" s="31"/>
      <c r="Y311" s="32"/>
      <c r="Z311" s="32"/>
      <c r="AA311" s="22"/>
      <c r="AB311" s="22"/>
      <c r="AC311" s="22"/>
    </row>
    <row r="312" spans="1:29">
      <c r="A312" s="21"/>
      <c r="B312" s="21"/>
      <c r="C312" s="46"/>
      <c r="E312" s="49"/>
      <c r="F312" s="50"/>
      <c r="G312" s="49"/>
      <c r="H312" s="49"/>
      <c r="M312" s="121"/>
      <c r="N312" s="121"/>
      <c r="O312" s="121"/>
      <c r="P312" s="121"/>
      <c r="Q312" s="30"/>
      <c r="R312" s="30"/>
      <c r="S312" s="22"/>
      <c r="T312" s="35"/>
      <c r="U312" s="35"/>
      <c r="V312" s="35"/>
      <c r="W312" s="35"/>
      <c r="X312" s="31"/>
      <c r="Y312" s="32"/>
      <c r="Z312" s="32"/>
      <c r="AA312" s="22"/>
      <c r="AB312" s="22"/>
      <c r="AC312" s="22"/>
    </row>
    <row r="313" spans="1:29">
      <c r="A313" s="21"/>
      <c r="B313" s="21"/>
      <c r="C313" s="46"/>
      <c r="E313" s="49"/>
      <c r="F313" s="50"/>
      <c r="G313" s="49"/>
      <c r="H313" s="49"/>
      <c r="M313" s="121"/>
      <c r="N313" s="121"/>
      <c r="O313" s="121"/>
      <c r="P313" s="121"/>
      <c r="Q313" s="30"/>
      <c r="R313" s="30"/>
      <c r="S313" s="22"/>
      <c r="T313" s="35"/>
      <c r="U313" s="35"/>
      <c r="V313" s="35"/>
      <c r="W313" s="35"/>
      <c r="X313" s="31"/>
      <c r="Y313" s="32"/>
      <c r="Z313" s="32"/>
      <c r="AA313" s="22"/>
      <c r="AB313" s="22"/>
      <c r="AC313" s="22"/>
    </row>
    <row r="314" spans="1:29">
      <c r="A314" s="21"/>
      <c r="B314" s="21"/>
      <c r="C314" s="46"/>
      <c r="E314" s="49"/>
      <c r="F314" s="50"/>
      <c r="G314" s="49"/>
      <c r="H314" s="49"/>
      <c r="M314" s="121"/>
      <c r="N314" s="121"/>
      <c r="O314" s="121"/>
      <c r="P314" s="121"/>
      <c r="Q314" s="30"/>
      <c r="R314" s="30"/>
      <c r="S314" s="22"/>
      <c r="T314" s="35"/>
      <c r="U314" s="35"/>
      <c r="V314" s="35"/>
      <c r="W314" s="35"/>
      <c r="X314" s="31"/>
      <c r="Y314" s="32"/>
      <c r="Z314" s="32"/>
      <c r="AA314" s="22"/>
      <c r="AB314" s="22"/>
      <c r="AC314" s="22"/>
    </row>
    <row r="315" spans="1:29">
      <c r="A315" s="21"/>
      <c r="B315" s="21"/>
      <c r="C315" s="46"/>
      <c r="E315" s="49"/>
      <c r="F315" s="50"/>
      <c r="G315" s="49"/>
      <c r="H315" s="49"/>
      <c r="M315" s="121"/>
      <c r="N315" s="121"/>
      <c r="O315" s="121"/>
      <c r="P315" s="121"/>
      <c r="Q315" s="30"/>
      <c r="R315" s="30"/>
      <c r="S315" s="22"/>
      <c r="T315" s="35"/>
      <c r="U315" s="35"/>
      <c r="V315" s="35"/>
      <c r="W315" s="35"/>
      <c r="X315" s="31"/>
      <c r="Y315" s="32"/>
      <c r="Z315" s="32"/>
      <c r="AA315" s="22"/>
      <c r="AB315" s="22"/>
      <c r="AC315" s="22"/>
    </row>
    <row r="316" spans="1:29">
      <c r="A316" s="21"/>
      <c r="B316" s="21"/>
      <c r="C316" s="46"/>
      <c r="E316" s="49"/>
      <c r="F316" s="50"/>
      <c r="G316" s="49"/>
      <c r="H316" s="49"/>
      <c r="M316" s="121"/>
      <c r="N316" s="121"/>
      <c r="O316" s="121"/>
      <c r="P316" s="121"/>
      <c r="Q316" s="30"/>
      <c r="R316" s="30"/>
      <c r="S316" s="22"/>
      <c r="T316" s="35"/>
      <c r="U316" s="35"/>
      <c r="V316" s="35"/>
      <c r="W316" s="35"/>
      <c r="X316" s="31"/>
      <c r="Y316" s="32"/>
      <c r="Z316" s="32"/>
      <c r="AA316" s="22"/>
      <c r="AB316" s="22"/>
      <c r="AC316" s="22"/>
    </row>
    <row r="317" spans="1:29">
      <c r="A317" s="21"/>
      <c r="B317" s="21"/>
      <c r="C317" s="46"/>
      <c r="E317" s="49"/>
      <c r="F317" s="50"/>
      <c r="G317" s="49"/>
      <c r="H317" s="49"/>
      <c r="M317" s="121"/>
      <c r="N317" s="121"/>
      <c r="O317" s="121"/>
      <c r="P317" s="121"/>
      <c r="Q317" s="30"/>
      <c r="R317" s="30"/>
      <c r="S317" s="22"/>
      <c r="T317" s="35"/>
      <c r="U317" s="35"/>
      <c r="V317" s="35"/>
      <c r="W317" s="35"/>
      <c r="X317" s="31"/>
      <c r="Y317" s="32"/>
      <c r="Z317" s="32"/>
      <c r="AA317" s="22"/>
      <c r="AB317" s="22"/>
      <c r="AC317" s="22"/>
    </row>
    <row r="318" spans="1:29">
      <c r="A318" s="21"/>
      <c r="B318" s="21"/>
      <c r="C318" s="46"/>
      <c r="E318" s="49"/>
      <c r="F318" s="50"/>
      <c r="G318" s="49"/>
      <c r="H318" s="49"/>
      <c r="M318" s="121"/>
      <c r="N318" s="121"/>
      <c r="O318" s="121"/>
      <c r="P318" s="121"/>
      <c r="Q318" s="30"/>
      <c r="R318" s="30"/>
      <c r="S318" s="22"/>
      <c r="T318" s="35"/>
      <c r="U318" s="35"/>
      <c r="V318" s="35"/>
      <c r="W318" s="35"/>
      <c r="X318" s="31"/>
      <c r="Y318" s="32"/>
      <c r="Z318" s="32"/>
      <c r="AA318" s="22"/>
      <c r="AB318" s="22"/>
      <c r="AC318" s="22"/>
    </row>
    <row r="319" spans="1:29">
      <c r="A319" s="21"/>
      <c r="B319" s="21"/>
      <c r="C319" s="46"/>
      <c r="E319" s="49"/>
      <c r="F319" s="50"/>
      <c r="G319" s="49"/>
      <c r="H319" s="49"/>
      <c r="M319" s="121"/>
      <c r="N319" s="121"/>
      <c r="O319" s="121"/>
      <c r="P319" s="121"/>
      <c r="Q319" s="30"/>
      <c r="R319" s="30"/>
      <c r="S319" s="22"/>
      <c r="T319" s="35"/>
      <c r="U319" s="35"/>
      <c r="V319" s="35"/>
      <c r="W319" s="35"/>
      <c r="X319" s="31"/>
      <c r="Y319" s="32"/>
      <c r="Z319" s="32"/>
      <c r="AA319" s="22"/>
      <c r="AB319" s="22"/>
      <c r="AC319" s="22"/>
    </row>
    <row r="320" spans="1:29">
      <c r="A320" s="21"/>
      <c r="B320" s="21"/>
      <c r="C320" s="46"/>
      <c r="E320" s="49"/>
      <c r="F320" s="50"/>
      <c r="G320" s="49"/>
      <c r="H320" s="49"/>
      <c r="M320" s="121"/>
      <c r="N320" s="121"/>
      <c r="O320" s="121"/>
      <c r="P320" s="121"/>
      <c r="Q320" s="30"/>
      <c r="R320" s="30"/>
      <c r="S320" s="22"/>
      <c r="T320" s="35"/>
      <c r="U320" s="35"/>
      <c r="V320" s="35"/>
      <c r="W320" s="35"/>
      <c r="X320" s="31"/>
      <c r="Y320" s="32"/>
      <c r="Z320" s="32"/>
      <c r="AA320" s="22"/>
      <c r="AB320" s="22"/>
      <c r="AC320" s="22"/>
    </row>
    <row r="321" spans="1:29">
      <c r="A321" s="21"/>
      <c r="B321" s="21"/>
      <c r="C321" s="46"/>
      <c r="E321" s="49"/>
      <c r="F321" s="50"/>
      <c r="G321" s="49"/>
      <c r="H321" s="49"/>
      <c r="M321" s="121"/>
      <c r="N321" s="121"/>
      <c r="O321" s="121"/>
      <c r="P321" s="121"/>
      <c r="Q321" s="30"/>
      <c r="R321" s="30"/>
      <c r="S321" s="22"/>
      <c r="T321" s="35"/>
      <c r="U321" s="35"/>
      <c r="V321" s="35"/>
      <c r="W321" s="121"/>
      <c r="X321" s="31"/>
      <c r="Y321" s="32"/>
      <c r="Z321" s="32"/>
      <c r="AA321" s="22"/>
      <c r="AB321" s="22"/>
      <c r="AC321" s="22"/>
    </row>
    <row r="322" spans="1:29">
      <c r="A322" s="21"/>
      <c r="B322" s="21"/>
      <c r="C322" s="46"/>
      <c r="E322" s="49"/>
      <c r="F322" s="50"/>
      <c r="G322" s="49"/>
      <c r="H322" s="49"/>
      <c r="M322" s="121"/>
      <c r="N322" s="121"/>
      <c r="O322" s="121"/>
      <c r="P322" s="121"/>
      <c r="Q322" s="30"/>
      <c r="R322" s="30"/>
      <c r="S322" s="22"/>
      <c r="T322" s="35"/>
      <c r="U322" s="35"/>
      <c r="V322" s="35"/>
      <c r="W322" s="35"/>
      <c r="X322" s="31"/>
      <c r="Y322" s="32"/>
      <c r="Z322" s="32"/>
      <c r="AA322" s="22"/>
      <c r="AB322" s="22"/>
      <c r="AC322" s="22"/>
    </row>
    <row r="323" spans="1:29">
      <c r="A323" s="21"/>
      <c r="B323" s="21"/>
      <c r="C323" s="46"/>
      <c r="E323" s="49"/>
      <c r="F323" s="50"/>
      <c r="G323" s="136"/>
      <c r="H323" s="49"/>
      <c r="M323" s="121"/>
      <c r="N323" s="121"/>
      <c r="O323" s="121"/>
      <c r="P323" s="121"/>
      <c r="Q323" s="30"/>
      <c r="R323" s="30"/>
      <c r="S323" s="22"/>
      <c r="T323" s="35"/>
      <c r="U323" s="35"/>
      <c r="V323" s="35"/>
      <c r="W323" s="35"/>
      <c r="X323" s="31"/>
      <c r="Y323" s="32"/>
      <c r="Z323" s="32"/>
      <c r="AA323" s="22"/>
      <c r="AB323" s="22"/>
      <c r="AC323" s="22"/>
    </row>
    <row r="324" spans="1:29">
      <c r="A324" s="21"/>
      <c r="B324" s="21"/>
      <c r="C324" s="46"/>
      <c r="E324" s="49"/>
      <c r="F324" s="91"/>
      <c r="G324" s="124"/>
      <c r="H324" s="132"/>
      <c r="M324" s="121"/>
      <c r="N324" s="121"/>
      <c r="O324" s="121"/>
      <c r="P324" s="121"/>
      <c r="Q324" s="30"/>
      <c r="R324" s="30"/>
      <c r="S324" s="22"/>
      <c r="T324" s="35"/>
      <c r="U324" s="35"/>
      <c r="V324" s="35"/>
      <c r="W324" s="35"/>
      <c r="X324" s="31"/>
      <c r="Y324" s="32"/>
      <c r="Z324" s="32"/>
      <c r="AA324" s="22"/>
      <c r="AB324" s="22"/>
      <c r="AC324" s="22"/>
    </row>
    <row r="325" spans="1:29">
      <c r="A325" s="21"/>
      <c r="B325" s="21"/>
      <c r="C325" s="46"/>
      <c r="E325" s="49"/>
      <c r="F325" s="91"/>
      <c r="G325" s="124"/>
      <c r="H325" s="132"/>
      <c r="M325" s="121"/>
      <c r="N325" s="121"/>
      <c r="O325" s="121"/>
      <c r="P325" s="121"/>
      <c r="Q325" s="30"/>
      <c r="R325" s="30"/>
      <c r="S325" s="22"/>
      <c r="T325" s="35"/>
      <c r="U325" s="35"/>
      <c r="V325" s="35"/>
      <c r="W325" s="35"/>
      <c r="X325" s="31"/>
      <c r="Y325" s="32"/>
      <c r="Z325" s="32"/>
      <c r="AA325" s="22"/>
      <c r="AB325" s="22"/>
      <c r="AC325" s="22"/>
    </row>
    <row r="326" spans="1:29">
      <c r="A326" s="21"/>
      <c r="B326" s="21"/>
      <c r="C326" s="46"/>
      <c r="E326" s="49"/>
      <c r="F326" s="91"/>
      <c r="G326" s="76"/>
      <c r="H326" s="132"/>
      <c r="M326" s="121"/>
      <c r="N326" s="121"/>
      <c r="O326" s="121"/>
      <c r="P326" s="121"/>
      <c r="Q326" s="30"/>
      <c r="R326" s="30"/>
      <c r="S326" s="22"/>
      <c r="T326" s="35"/>
      <c r="U326" s="35"/>
      <c r="V326" s="35"/>
      <c r="W326" s="35"/>
      <c r="X326" s="31"/>
      <c r="Y326" s="32"/>
      <c r="Z326" s="32"/>
      <c r="AA326" s="22"/>
      <c r="AB326" s="22"/>
      <c r="AC326" s="22"/>
    </row>
    <row r="327" spans="1:29">
      <c r="A327" s="21"/>
      <c r="B327" s="21"/>
      <c r="C327" s="46"/>
      <c r="E327" s="49"/>
      <c r="F327" s="91"/>
      <c r="G327" s="76"/>
      <c r="H327" s="49"/>
      <c r="M327" s="121"/>
      <c r="N327" s="121"/>
      <c r="O327" s="121"/>
      <c r="P327" s="121"/>
      <c r="Q327" s="30"/>
      <c r="R327" s="30"/>
      <c r="S327" s="22"/>
      <c r="T327" s="35"/>
      <c r="U327" s="35"/>
      <c r="V327" s="35"/>
      <c r="W327" s="35"/>
      <c r="X327" s="31"/>
      <c r="Y327" s="32"/>
      <c r="Z327" s="32"/>
      <c r="AA327" s="22"/>
      <c r="AB327" s="22"/>
      <c r="AC327" s="22"/>
    </row>
    <row r="328" spans="1:29">
      <c r="A328" s="21"/>
      <c r="B328" s="21"/>
      <c r="C328" s="46"/>
      <c r="E328" s="49"/>
      <c r="F328" s="91"/>
      <c r="G328" s="76"/>
      <c r="H328" s="49"/>
      <c r="M328" s="121"/>
      <c r="N328" s="121"/>
      <c r="O328" s="121"/>
      <c r="P328" s="121"/>
      <c r="Q328" s="30"/>
      <c r="R328" s="30"/>
      <c r="S328" s="22"/>
      <c r="T328" s="35"/>
      <c r="U328" s="35"/>
      <c r="V328" s="35"/>
      <c r="W328" s="35"/>
      <c r="X328" s="31"/>
      <c r="Y328" s="32"/>
      <c r="Z328" s="32"/>
      <c r="AA328" s="22"/>
      <c r="AB328" s="22"/>
      <c r="AC328" s="22"/>
    </row>
    <row r="329" spans="1:29">
      <c r="A329" s="21"/>
      <c r="B329" s="21"/>
      <c r="C329" s="46"/>
      <c r="E329" s="49"/>
      <c r="F329" s="91"/>
      <c r="G329" s="76"/>
      <c r="H329" s="49"/>
      <c r="M329" s="121"/>
      <c r="N329" s="121"/>
      <c r="O329" s="121"/>
      <c r="P329" s="121"/>
      <c r="Q329" s="30"/>
      <c r="R329" s="30"/>
      <c r="S329" s="22"/>
      <c r="T329" s="35"/>
      <c r="U329" s="35"/>
      <c r="V329" s="35"/>
      <c r="W329" s="35"/>
      <c r="X329" s="31"/>
      <c r="Y329" s="32"/>
      <c r="Z329" s="32"/>
      <c r="AA329" s="22"/>
      <c r="AB329" s="22"/>
      <c r="AC329" s="22"/>
    </row>
    <row r="330" spans="1:29">
      <c r="A330" s="21"/>
      <c r="B330" s="21"/>
      <c r="C330" s="46"/>
      <c r="E330" s="137"/>
      <c r="F330" s="91"/>
      <c r="G330" s="48"/>
      <c r="H330" s="49"/>
      <c r="M330" s="121"/>
      <c r="N330" s="121"/>
      <c r="O330" s="121"/>
      <c r="P330" s="121"/>
      <c r="Q330" s="30"/>
      <c r="R330" s="30"/>
      <c r="S330" s="22"/>
      <c r="T330" s="35"/>
      <c r="U330" s="35"/>
      <c r="V330" s="35"/>
      <c r="W330" s="35"/>
      <c r="X330" s="31"/>
      <c r="Y330" s="32"/>
      <c r="Z330" s="32"/>
      <c r="AA330" s="22"/>
      <c r="AB330" s="22"/>
      <c r="AC330" s="22"/>
    </row>
    <row r="331" spans="1:29">
      <c r="A331" s="21"/>
      <c r="B331" s="21"/>
      <c r="C331" s="46"/>
      <c r="E331" s="49"/>
      <c r="F331" s="91"/>
      <c r="G331" s="16"/>
      <c r="H331" s="49"/>
      <c r="M331" s="121"/>
      <c r="N331" s="121"/>
      <c r="O331" s="121"/>
      <c r="P331" s="121"/>
      <c r="Q331" s="30"/>
      <c r="R331" s="30"/>
      <c r="S331" s="22"/>
      <c r="T331" s="35"/>
      <c r="U331" s="35"/>
      <c r="V331" s="35"/>
      <c r="W331" s="35"/>
      <c r="X331" s="31"/>
      <c r="Y331" s="32"/>
      <c r="Z331" s="32"/>
      <c r="AA331" s="22"/>
      <c r="AB331" s="22"/>
      <c r="AC331" s="22"/>
    </row>
    <row r="332" spans="1:29">
      <c r="A332" s="21"/>
      <c r="B332" s="21"/>
      <c r="C332" s="46"/>
      <c r="E332" s="49"/>
      <c r="F332" s="91"/>
      <c r="G332" s="16"/>
      <c r="H332" s="49"/>
      <c r="M332" s="121"/>
      <c r="N332" s="121"/>
      <c r="O332" s="121"/>
      <c r="P332" s="121"/>
      <c r="Q332" s="30"/>
      <c r="R332" s="30"/>
      <c r="S332" s="22"/>
      <c r="T332" s="35"/>
      <c r="U332" s="35"/>
      <c r="V332" s="35"/>
      <c r="W332" s="35"/>
      <c r="X332" s="31"/>
      <c r="Y332" s="32"/>
      <c r="Z332" s="32"/>
      <c r="AA332" s="89"/>
      <c r="AB332" s="22"/>
      <c r="AC332" s="22"/>
    </row>
    <row r="333" spans="1:29">
      <c r="A333" s="21"/>
      <c r="B333" s="21"/>
      <c r="C333" s="46"/>
      <c r="E333" s="49"/>
      <c r="F333" s="91"/>
      <c r="G333" s="16"/>
      <c r="H333" s="49"/>
      <c r="M333" s="121"/>
      <c r="N333" s="121"/>
      <c r="O333" s="121"/>
      <c r="P333" s="121"/>
      <c r="Q333" s="30"/>
      <c r="R333" s="30"/>
      <c r="S333" s="22"/>
      <c r="T333" s="35"/>
      <c r="U333" s="35"/>
      <c r="V333" s="35"/>
      <c r="W333" s="35"/>
      <c r="X333" s="31"/>
      <c r="Y333" s="32"/>
      <c r="Z333" s="32"/>
      <c r="AA333" s="22"/>
      <c r="AB333" s="22"/>
      <c r="AC333" s="22"/>
    </row>
    <row r="334" spans="1:29">
      <c r="A334" s="21"/>
      <c r="B334" s="21"/>
      <c r="C334" s="46"/>
      <c r="E334" s="49"/>
      <c r="F334" s="91"/>
      <c r="G334" s="16"/>
      <c r="H334" s="49"/>
      <c r="M334" s="121"/>
      <c r="N334" s="121"/>
      <c r="O334" s="121"/>
      <c r="P334" s="121"/>
      <c r="Q334" s="30"/>
      <c r="R334" s="30"/>
      <c r="S334" s="22"/>
      <c r="T334" s="35"/>
      <c r="U334" s="35"/>
      <c r="V334" s="35"/>
      <c r="W334" s="35"/>
      <c r="X334" s="31"/>
      <c r="Y334" s="32"/>
      <c r="Z334" s="32"/>
      <c r="AA334" s="22"/>
      <c r="AB334" s="22"/>
      <c r="AC334" s="22"/>
    </row>
    <row r="335" spans="1:29">
      <c r="A335" s="21"/>
      <c r="B335" s="21"/>
      <c r="C335" s="46"/>
      <c r="E335" s="49"/>
      <c r="F335" s="91"/>
      <c r="G335" s="16"/>
      <c r="H335" s="49"/>
      <c r="M335" s="121"/>
      <c r="N335" s="121"/>
      <c r="O335" s="121"/>
      <c r="P335" s="121"/>
      <c r="Q335" s="30"/>
      <c r="R335" s="30"/>
      <c r="S335" s="22"/>
      <c r="T335" s="35"/>
      <c r="U335" s="35"/>
      <c r="V335" s="35"/>
      <c r="W335" s="35"/>
      <c r="X335" s="31"/>
      <c r="Y335" s="32"/>
      <c r="Z335" s="32"/>
      <c r="AA335" s="22"/>
      <c r="AB335" s="22"/>
      <c r="AC335" s="22"/>
    </row>
    <row r="336" spans="1:29">
      <c r="A336" s="21"/>
      <c r="B336" s="21"/>
      <c r="C336" s="46"/>
      <c r="E336" s="49"/>
      <c r="F336" s="91"/>
      <c r="G336" s="16"/>
      <c r="M336" s="121"/>
      <c r="N336" s="121"/>
      <c r="O336" s="121"/>
      <c r="P336" s="121"/>
      <c r="Q336" s="30"/>
      <c r="R336" s="30"/>
      <c r="S336" s="22"/>
      <c r="T336" s="35"/>
      <c r="U336" s="35"/>
      <c r="V336" s="35"/>
      <c r="W336" s="35"/>
      <c r="X336" s="31"/>
      <c r="Y336" s="32"/>
      <c r="Z336" s="32"/>
      <c r="AA336" s="22"/>
      <c r="AB336" s="22"/>
      <c r="AC336" s="22"/>
    </row>
    <row r="337" spans="1:29">
      <c r="A337" s="21"/>
      <c r="B337" s="21"/>
      <c r="C337" s="46"/>
      <c r="E337" s="49"/>
      <c r="F337" s="91"/>
      <c r="G337" s="16"/>
      <c r="M337" s="121"/>
      <c r="N337" s="121"/>
      <c r="O337" s="121"/>
      <c r="P337" s="121"/>
      <c r="Q337" s="30"/>
      <c r="R337" s="30"/>
      <c r="S337" s="22"/>
      <c r="T337" s="35"/>
      <c r="U337" s="35"/>
      <c r="V337" s="35"/>
      <c r="W337" s="35"/>
      <c r="X337" s="31"/>
      <c r="Y337" s="32"/>
      <c r="Z337" s="32"/>
      <c r="AA337" s="22"/>
      <c r="AB337" s="22"/>
      <c r="AC337" s="22"/>
    </row>
    <row r="338" spans="1:29">
      <c r="A338" s="21"/>
      <c r="B338" s="21"/>
      <c r="C338" s="46"/>
      <c r="E338" s="49"/>
      <c r="F338" s="91"/>
      <c r="G338" s="16"/>
      <c r="H338" s="49"/>
      <c r="M338" s="121"/>
      <c r="N338" s="121"/>
      <c r="O338" s="121"/>
      <c r="P338" s="121"/>
      <c r="Q338" s="30"/>
      <c r="R338" s="30"/>
      <c r="S338" s="22"/>
      <c r="T338" s="35"/>
      <c r="U338" s="35"/>
      <c r="V338" s="35"/>
      <c r="W338" s="35"/>
      <c r="X338" s="31"/>
      <c r="Y338" s="32"/>
      <c r="Z338" s="32"/>
      <c r="AA338" s="22"/>
      <c r="AB338" s="22"/>
      <c r="AC338" s="22"/>
    </row>
    <row r="339" spans="1:29">
      <c r="A339" s="21"/>
      <c r="B339" s="21"/>
      <c r="C339" s="46"/>
      <c r="E339" s="49"/>
      <c r="F339" s="91"/>
      <c r="G339" s="49"/>
      <c r="H339" s="137"/>
      <c r="M339" s="121"/>
      <c r="N339" s="121"/>
      <c r="O339" s="121"/>
      <c r="P339" s="121"/>
      <c r="Q339" s="30"/>
      <c r="R339" s="30"/>
      <c r="S339" s="22"/>
      <c r="T339" s="35"/>
      <c r="U339" s="35"/>
      <c r="V339" s="35"/>
      <c r="W339" s="35"/>
      <c r="X339" s="31"/>
      <c r="Y339" s="32"/>
      <c r="Z339" s="32"/>
      <c r="AA339" s="22"/>
      <c r="AB339" s="22"/>
      <c r="AC339" s="22"/>
    </row>
    <row r="340" spans="1:29">
      <c r="A340" s="21"/>
      <c r="B340" s="21"/>
      <c r="C340" s="46"/>
      <c r="E340" s="49"/>
      <c r="F340" s="80"/>
      <c r="G340" s="16"/>
      <c r="H340" s="49"/>
      <c r="M340" s="121"/>
      <c r="N340" s="121"/>
      <c r="O340" s="121"/>
      <c r="P340" s="121"/>
      <c r="Q340" s="30"/>
      <c r="R340" s="30"/>
      <c r="S340" s="22"/>
      <c r="T340" s="35"/>
      <c r="U340" s="35"/>
      <c r="V340" s="35"/>
      <c r="W340" s="35"/>
      <c r="X340" s="31"/>
      <c r="Y340" s="32"/>
      <c r="Z340" s="32"/>
      <c r="AA340" s="22"/>
      <c r="AB340" s="22"/>
      <c r="AC340" s="22"/>
    </row>
    <row r="341" spans="1:29">
      <c r="A341" s="21"/>
      <c r="B341" s="21"/>
      <c r="C341" s="46"/>
      <c r="E341" s="49"/>
      <c r="F341" s="80"/>
      <c r="G341" s="16"/>
      <c r="H341" s="49"/>
      <c r="M341" s="121"/>
      <c r="N341" s="121"/>
      <c r="O341" s="121"/>
      <c r="P341" s="121"/>
      <c r="Q341" s="30"/>
      <c r="R341" s="30"/>
      <c r="S341" s="22"/>
      <c r="T341" s="35"/>
      <c r="U341" s="35"/>
      <c r="V341" s="35"/>
      <c r="W341" s="35"/>
      <c r="X341" s="31"/>
      <c r="Y341" s="32"/>
      <c r="Z341" s="32"/>
      <c r="AA341" s="22"/>
      <c r="AB341" s="22"/>
      <c r="AC341" s="22"/>
    </row>
    <row r="342" spans="1:29">
      <c r="A342" s="21"/>
      <c r="B342" s="21"/>
      <c r="C342" s="46"/>
      <c r="E342" s="49"/>
      <c r="F342" s="80"/>
      <c r="M342" s="121"/>
      <c r="N342" s="121"/>
      <c r="O342" s="121"/>
      <c r="P342" s="121"/>
      <c r="Q342" s="30"/>
      <c r="R342" s="30"/>
      <c r="S342" s="22"/>
      <c r="T342" s="35"/>
      <c r="U342" s="35"/>
      <c r="V342" s="35"/>
      <c r="W342" s="35"/>
      <c r="X342" s="31"/>
      <c r="Y342" s="32"/>
      <c r="Z342" s="32"/>
      <c r="AA342" s="22"/>
      <c r="AB342" s="22"/>
      <c r="AC342" s="22"/>
    </row>
    <row r="343" spans="1:29">
      <c r="A343" s="21"/>
      <c r="B343" s="21"/>
      <c r="C343" s="46"/>
      <c r="E343" s="49"/>
      <c r="F343" s="80"/>
      <c r="G343" s="16"/>
      <c r="H343" s="49"/>
      <c r="M343" s="121"/>
      <c r="N343" s="121"/>
      <c r="O343" s="121"/>
      <c r="P343" s="121"/>
      <c r="Q343" s="30"/>
      <c r="R343" s="30"/>
      <c r="S343" s="22"/>
      <c r="T343" s="35"/>
      <c r="U343" s="35"/>
      <c r="V343" s="35"/>
      <c r="W343" s="35"/>
      <c r="X343" s="31"/>
      <c r="Y343" s="32"/>
      <c r="Z343" s="32"/>
      <c r="AA343" s="22"/>
      <c r="AB343" s="22"/>
      <c r="AC343" s="22"/>
    </row>
    <row r="344" spans="1:29">
      <c r="A344" s="21"/>
      <c r="B344" s="21"/>
      <c r="C344" s="46"/>
      <c r="E344" s="49"/>
      <c r="F344" s="80"/>
      <c r="G344" s="49"/>
      <c r="H344" s="137"/>
      <c r="M344" s="121"/>
      <c r="N344" s="121"/>
      <c r="O344" s="121"/>
      <c r="P344" s="121"/>
      <c r="Q344" s="30"/>
      <c r="R344" s="30"/>
      <c r="S344" s="22"/>
      <c r="T344" s="35"/>
      <c r="U344" s="35"/>
      <c r="V344" s="35"/>
      <c r="W344" s="35"/>
      <c r="X344" s="31"/>
      <c r="Y344" s="32"/>
      <c r="Z344" s="32"/>
      <c r="AA344" s="22"/>
      <c r="AB344" s="22"/>
      <c r="AC344" s="22"/>
    </row>
    <row r="345" spans="1:29">
      <c r="A345" s="21"/>
      <c r="B345" s="21"/>
      <c r="C345" s="46"/>
      <c r="E345" s="49"/>
      <c r="F345" s="80"/>
      <c r="G345" s="16"/>
      <c r="H345" s="49"/>
      <c r="M345" s="121"/>
      <c r="N345" s="121"/>
      <c r="O345" s="121"/>
      <c r="P345" s="121"/>
      <c r="Q345" s="30"/>
      <c r="R345" s="30"/>
      <c r="S345" s="22"/>
      <c r="T345" s="35"/>
      <c r="U345" s="35"/>
      <c r="V345" s="35"/>
      <c r="W345" s="35"/>
      <c r="X345" s="31"/>
      <c r="Y345" s="32"/>
      <c r="Z345" s="32"/>
      <c r="AA345" s="22"/>
      <c r="AB345" s="22"/>
      <c r="AC345" s="22"/>
    </row>
    <row r="346" spans="1:29">
      <c r="A346" s="21"/>
      <c r="B346" s="21"/>
      <c r="C346" s="46"/>
      <c r="E346" s="49"/>
      <c r="F346" s="80"/>
      <c r="G346" s="49"/>
      <c r="H346" s="49"/>
      <c r="M346" s="121"/>
      <c r="N346" s="121"/>
      <c r="O346" s="121"/>
      <c r="P346" s="121"/>
      <c r="Q346" s="30"/>
      <c r="R346" s="30"/>
      <c r="S346" s="22"/>
      <c r="T346" s="35"/>
      <c r="U346" s="35"/>
      <c r="V346" s="35"/>
      <c r="W346" s="35"/>
      <c r="X346" s="31"/>
      <c r="Y346" s="32"/>
      <c r="Z346" s="32"/>
      <c r="AA346" s="22"/>
      <c r="AB346" s="22"/>
      <c r="AC346" s="22"/>
    </row>
    <row r="347" spans="1:29">
      <c r="A347" s="21"/>
      <c r="B347" s="21"/>
      <c r="C347" s="46"/>
      <c r="E347" s="49"/>
      <c r="F347" s="80"/>
      <c r="G347" s="16"/>
      <c r="H347" s="49"/>
      <c r="M347" s="121"/>
      <c r="N347" s="121"/>
      <c r="O347" s="121"/>
      <c r="P347" s="121"/>
      <c r="Q347" s="30"/>
      <c r="R347" s="30"/>
      <c r="S347" s="22"/>
      <c r="T347" s="35"/>
      <c r="U347" s="35"/>
      <c r="V347" s="35"/>
      <c r="W347" s="35"/>
      <c r="X347" s="31"/>
      <c r="Y347" s="32"/>
      <c r="Z347" s="32"/>
      <c r="AA347" s="22"/>
      <c r="AB347" s="22"/>
      <c r="AC347" s="22"/>
    </row>
    <row r="348" spans="1:29">
      <c r="A348" s="21"/>
      <c r="B348" s="21"/>
      <c r="C348" s="46"/>
      <c r="E348" s="49"/>
      <c r="F348" s="80"/>
      <c r="G348" s="16"/>
      <c r="H348" s="49"/>
      <c r="M348" s="121"/>
      <c r="N348" s="121"/>
      <c r="O348" s="121"/>
      <c r="P348" s="121"/>
      <c r="Q348" s="30"/>
      <c r="R348" s="30"/>
      <c r="S348" s="22"/>
      <c r="T348" s="35"/>
      <c r="U348" s="35"/>
      <c r="V348" s="35"/>
      <c r="W348" s="35"/>
      <c r="X348" s="31"/>
      <c r="Y348" s="32"/>
      <c r="Z348" s="32"/>
      <c r="AA348" s="22"/>
      <c r="AB348" s="22"/>
      <c r="AC348" s="22"/>
    </row>
    <row r="349" spans="1:29">
      <c r="A349" s="21"/>
      <c r="B349" s="21"/>
      <c r="C349" s="46"/>
      <c r="E349" s="49"/>
      <c r="F349" s="80"/>
      <c r="G349" s="16"/>
      <c r="M349" s="121"/>
      <c r="N349" s="121"/>
      <c r="O349" s="121"/>
      <c r="P349" s="121"/>
      <c r="Q349" s="30"/>
      <c r="R349" s="30"/>
      <c r="S349" s="22"/>
      <c r="T349" s="35"/>
      <c r="U349" s="35"/>
      <c r="V349" s="35"/>
      <c r="W349" s="35"/>
      <c r="X349" s="31"/>
      <c r="Y349" s="32"/>
      <c r="Z349" s="32"/>
      <c r="AA349" s="22"/>
      <c r="AB349" s="22"/>
      <c r="AC349" s="22"/>
    </row>
    <row r="350" spans="1:29" s="47" customFormat="1">
      <c r="A350" s="21"/>
      <c r="B350" s="21"/>
      <c r="C350" s="46"/>
      <c r="E350" s="136"/>
      <c r="F350" s="80"/>
      <c r="G350" s="136"/>
      <c r="M350" s="123"/>
      <c r="N350" s="123"/>
      <c r="O350" s="123"/>
      <c r="P350" s="123"/>
      <c r="Q350" s="104"/>
      <c r="R350" s="104"/>
      <c r="S350" s="22"/>
      <c r="T350" s="67"/>
      <c r="U350" s="67"/>
      <c r="V350" s="67"/>
      <c r="W350" s="67"/>
      <c r="X350" s="106"/>
      <c r="Y350" s="107"/>
      <c r="Z350" s="107"/>
      <c r="AA350" s="105"/>
      <c r="AB350" s="105"/>
      <c r="AC350" s="105"/>
    </row>
    <row r="351" spans="1:29">
      <c r="A351" s="21"/>
      <c r="B351" s="21"/>
      <c r="C351" s="46"/>
      <c r="E351" s="124"/>
      <c r="F351" s="80"/>
      <c r="G351" s="124"/>
      <c r="M351" s="88"/>
      <c r="N351" s="88"/>
      <c r="O351" s="88"/>
      <c r="P351" s="88"/>
      <c r="Q351" s="30"/>
      <c r="R351" s="30"/>
      <c r="S351" s="22"/>
      <c r="T351" s="35"/>
      <c r="U351" s="35"/>
      <c r="V351" s="35"/>
      <c r="W351" s="68"/>
      <c r="X351" s="31"/>
      <c r="Y351" s="32"/>
      <c r="Z351" s="32"/>
    </row>
    <row r="352" spans="1:29">
      <c r="A352" s="21"/>
      <c r="B352" s="21"/>
      <c r="C352" s="46"/>
      <c r="E352" s="124"/>
      <c r="F352" s="80"/>
      <c r="G352" s="124"/>
      <c r="M352" s="88"/>
      <c r="N352" s="88"/>
      <c r="O352" s="88"/>
      <c r="P352" s="88"/>
      <c r="Q352" s="30"/>
      <c r="R352" s="30"/>
      <c r="S352" s="22"/>
      <c r="T352" s="35"/>
      <c r="U352" s="35"/>
      <c r="V352" s="35"/>
      <c r="W352" s="68"/>
      <c r="X352" s="31"/>
      <c r="Y352" s="32"/>
      <c r="Z352" s="32"/>
    </row>
    <row r="353" spans="1:29" s="48" customFormat="1">
      <c r="A353" s="21"/>
      <c r="B353" s="21"/>
      <c r="C353" s="46"/>
      <c r="D353" s="57"/>
      <c r="E353" s="76"/>
      <c r="F353" s="80"/>
      <c r="H353" s="49"/>
      <c r="M353" s="121"/>
      <c r="N353" s="121"/>
      <c r="O353" s="121"/>
      <c r="P353" s="121"/>
      <c r="Q353" s="63"/>
      <c r="R353" s="63"/>
      <c r="S353" s="22"/>
      <c r="T353" s="69"/>
      <c r="U353" s="69"/>
      <c r="V353" s="69"/>
      <c r="W353" s="69"/>
      <c r="X353" s="109"/>
      <c r="Y353" s="110"/>
      <c r="Z353" s="110"/>
      <c r="AA353" s="108"/>
      <c r="AB353" s="108"/>
      <c r="AC353" s="108"/>
    </row>
    <row r="354" spans="1:29">
      <c r="A354" s="21"/>
      <c r="B354" s="21"/>
      <c r="C354" s="46"/>
      <c r="E354" s="98"/>
      <c r="F354" s="64"/>
      <c r="G354" s="134"/>
      <c r="H354" s="134"/>
      <c r="M354" s="121"/>
      <c r="N354" s="121"/>
      <c r="O354" s="121"/>
      <c r="P354" s="121"/>
      <c r="Q354" s="30"/>
      <c r="R354" s="30"/>
      <c r="S354" s="22"/>
      <c r="T354" s="35"/>
      <c r="U354" s="35"/>
      <c r="V354" s="35"/>
      <c r="W354" s="35"/>
      <c r="X354" s="31"/>
      <c r="Y354" s="32"/>
      <c r="Z354" s="32"/>
      <c r="AA354" s="22"/>
      <c r="AB354" s="22"/>
      <c r="AC354" s="22"/>
    </row>
    <row r="355" spans="1:29">
      <c r="A355" s="21"/>
      <c r="B355" s="21"/>
      <c r="C355" s="46"/>
      <c r="E355" s="14"/>
      <c r="F355" s="64"/>
      <c r="G355" s="134"/>
      <c r="H355" s="134"/>
      <c r="M355" s="121"/>
      <c r="N355" s="121"/>
      <c r="O355" s="121"/>
      <c r="P355" s="121"/>
      <c r="Q355" s="30"/>
      <c r="R355" s="30"/>
      <c r="S355" s="22"/>
      <c r="T355" s="35"/>
      <c r="U355" s="35"/>
      <c r="V355" s="35"/>
      <c r="W355" s="35"/>
      <c r="X355" s="31"/>
      <c r="Y355" s="32"/>
      <c r="Z355" s="32"/>
      <c r="AA355" s="22"/>
      <c r="AB355" s="22"/>
      <c r="AC355" s="22"/>
    </row>
    <row r="356" spans="1:29">
      <c r="A356" s="21"/>
      <c r="B356" s="21"/>
      <c r="C356" s="46"/>
      <c r="E356" s="14"/>
      <c r="F356" s="64"/>
      <c r="G356" s="134"/>
      <c r="H356" s="134"/>
      <c r="M356" s="121"/>
      <c r="N356" s="121"/>
      <c r="O356" s="121"/>
      <c r="P356" s="121"/>
      <c r="Q356" s="30"/>
      <c r="R356" s="30"/>
      <c r="S356" s="22"/>
      <c r="T356" s="35"/>
      <c r="U356" s="35"/>
      <c r="V356" s="35"/>
      <c r="W356" s="35"/>
      <c r="X356" s="31"/>
      <c r="Y356" s="32"/>
      <c r="Z356" s="32"/>
      <c r="AA356" s="22"/>
      <c r="AB356" s="22"/>
      <c r="AC356" s="22"/>
    </row>
    <row r="357" spans="1:29">
      <c r="A357" s="21"/>
      <c r="B357" s="21"/>
      <c r="C357" s="46"/>
      <c r="E357" s="14"/>
      <c r="F357" s="64"/>
      <c r="G357" s="134"/>
      <c r="H357" s="134"/>
      <c r="M357" s="121"/>
      <c r="N357" s="121"/>
      <c r="O357" s="121"/>
      <c r="P357" s="121"/>
      <c r="Q357" s="30"/>
      <c r="R357" s="30"/>
      <c r="S357" s="22"/>
      <c r="T357" s="35"/>
      <c r="U357" s="35"/>
      <c r="V357" s="35"/>
      <c r="W357" s="35"/>
      <c r="X357" s="31"/>
      <c r="Y357" s="32"/>
      <c r="Z357" s="32"/>
      <c r="AA357" s="22"/>
      <c r="AB357" s="22"/>
      <c r="AC357" s="22"/>
    </row>
    <row r="358" spans="1:29">
      <c r="A358" s="21"/>
      <c r="B358" s="21"/>
      <c r="C358" s="46"/>
      <c r="E358" s="14"/>
      <c r="F358" s="64"/>
      <c r="G358" s="134"/>
      <c r="H358" s="134"/>
      <c r="M358" s="121"/>
      <c r="N358" s="121"/>
      <c r="O358" s="121"/>
      <c r="P358" s="121"/>
      <c r="Q358" s="30"/>
      <c r="R358" s="30"/>
      <c r="S358" s="22"/>
      <c r="T358" s="35"/>
      <c r="U358" s="35"/>
      <c r="V358" s="35"/>
      <c r="W358" s="35"/>
      <c r="X358" s="31"/>
      <c r="Y358" s="32"/>
      <c r="Z358" s="32"/>
      <c r="AA358" s="22"/>
      <c r="AB358" s="22"/>
      <c r="AC358" s="22"/>
    </row>
    <row r="359" spans="1:29">
      <c r="A359" s="21"/>
      <c r="B359" s="21"/>
      <c r="C359" s="46"/>
      <c r="E359" s="14"/>
      <c r="F359" s="64"/>
      <c r="G359" s="134"/>
      <c r="H359" s="134"/>
      <c r="M359" s="121"/>
      <c r="N359" s="121"/>
      <c r="O359" s="121"/>
      <c r="P359" s="121"/>
      <c r="Q359" s="30"/>
      <c r="R359" s="30"/>
      <c r="S359" s="22"/>
      <c r="T359" s="35"/>
      <c r="U359" s="35"/>
      <c r="V359" s="35"/>
      <c r="W359" s="35"/>
      <c r="X359" s="31"/>
      <c r="Y359" s="32"/>
      <c r="Z359" s="32"/>
      <c r="AA359" s="22"/>
      <c r="AB359" s="22"/>
      <c r="AC359" s="22"/>
    </row>
    <row r="360" spans="1:29">
      <c r="A360" s="21"/>
      <c r="B360" s="21"/>
      <c r="C360" s="46"/>
      <c r="E360" s="14"/>
      <c r="F360" s="64"/>
      <c r="G360" s="134"/>
      <c r="H360" s="134"/>
      <c r="M360" s="121"/>
      <c r="N360" s="121"/>
      <c r="O360" s="121"/>
      <c r="P360" s="121"/>
      <c r="Q360" s="30"/>
      <c r="R360" s="30"/>
      <c r="S360" s="22"/>
      <c r="T360" s="35"/>
      <c r="U360" s="35"/>
      <c r="V360" s="35"/>
      <c r="W360" s="35"/>
      <c r="X360" s="31"/>
      <c r="Y360" s="32"/>
      <c r="Z360" s="32"/>
      <c r="AA360" s="22"/>
      <c r="AB360" s="22"/>
      <c r="AC360" s="22"/>
    </row>
    <row r="361" spans="1:29">
      <c r="A361" s="21"/>
      <c r="B361" s="21"/>
      <c r="C361" s="46"/>
      <c r="E361" s="14"/>
      <c r="F361" s="64"/>
      <c r="G361" s="134"/>
      <c r="H361" s="134"/>
      <c r="M361" s="121"/>
      <c r="N361" s="121"/>
      <c r="O361" s="121"/>
      <c r="P361" s="121"/>
      <c r="Q361" s="30"/>
      <c r="R361" s="30"/>
      <c r="S361" s="22"/>
      <c r="T361" s="35"/>
      <c r="U361" s="35"/>
      <c r="V361" s="35"/>
      <c r="W361" s="35"/>
      <c r="X361" s="31"/>
      <c r="Y361" s="32"/>
      <c r="Z361" s="32"/>
      <c r="AA361" s="135"/>
      <c r="AB361" s="22"/>
      <c r="AC361" s="22"/>
    </row>
    <row r="362" spans="1:29">
      <c r="A362" s="21"/>
      <c r="B362" s="21"/>
      <c r="C362" s="46"/>
      <c r="E362" s="14"/>
      <c r="F362" s="64"/>
      <c r="G362" s="134"/>
      <c r="H362" s="134"/>
      <c r="M362" s="121"/>
      <c r="N362" s="121"/>
      <c r="O362" s="121"/>
      <c r="P362" s="121"/>
      <c r="Q362" s="30"/>
      <c r="R362" s="30"/>
      <c r="S362" s="22"/>
      <c r="T362" s="35"/>
      <c r="U362" s="35"/>
      <c r="V362" s="35"/>
      <c r="W362" s="35"/>
      <c r="X362" s="31"/>
      <c r="Y362" s="32"/>
      <c r="Z362" s="32"/>
      <c r="AA362" s="22"/>
      <c r="AB362" s="22"/>
      <c r="AC362" s="22"/>
    </row>
    <row r="363" spans="1:29">
      <c r="A363" s="21"/>
      <c r="B363" s="21"/>
      <c r="C363" s="46"/>
      <c r="E363" s="14"/>
      <c r="F363" s="64"/>
      <c r="G363" s="134"/>
      <c r="H363" s="134"/>
      <c r="M363" s="121"/>
      <c r="N363" s="121"/>
      <c r="O363" s="121"/>
      <c r="P363" s="121"/>
      <c r="Q363" s="30"/>
      <c r="R363" s="30"/>
      <c r="S363" s="22"/>
      <c r="T363" s="35"/>
      <c r="U363" s="35"/>
      <c r="V363" s="35"/>
      <c r="W363" s="35"/>
      <c r="X363" s="31"/>
      <c r="Y363" s="32"/>
      <c r="Z363" s="32"/>
      <c r="AA363" s="22"/>
      <c r="AB363" s="22"/>
      <c r="AC363" s="22"/>
    </row>
    <row r="364" spans="1:29">
      <c r="A364" s="21"/>
      <c r="B364" s="21"/>
      <c r="C364" s="46"/>
      <c r="E364" s="14"/>
      <c r="F364" s="64"/>
      <c r="G364" s="134"/>
      <c r="H364" s="134"/>
      <c r="M364" s="121"/>
      <c r="N364" s="121"/>
      <c r="O364" s="121"/>
      <c r="P364" s="121"/>
      <c r="Q364" s="30"/>
      <c r="R364" s="30"/>
      <c r="S364" s="22"/>
      <c r="T364" s="35"/>
      <c r="U364" s="35"/>
      <c r="V364" s="35"/>
      <c r="W364" s="35"/>
      <c r="X364" s="31"/>
      <c r="Y364" s="32"/>
      <c r="Z364" s="32"/>
      <c r="AA364" s="22"/>
      <c r="AB364" s="22"/>
      <c r="AC364" s="22"/>
    </row>
    <row r="365" spans="1:29">
      <c r="A365" s="21"/>
      <c r="B365" s="21"/>
      <c r="C365" s="46"/>
      <c r="E365" s="14"/>
      <c r="F365" s="64"/>
      <c r="G365" s="134"/>
      <c r="H365" s="134"/>
      <c r="M365" s="121"/>
      <c r="N365" s="121"/>
      <c r="O365" s="121"/>
      <c r="P365" s="121"/>
      <c r="Q365" s="30"/>
      <c r="R365" s="30"/>
      <c r="S365" s="22"/>
      <c r="T365" s="35"/>
      <c r="U365" s="35"/>
      <c r="V365" s="35"/>
      <c r="W365" s="35"/>
      <c r="X365" s="31"/>
      <c r="Y365" s="32"/>
      <c r="Z365" s="32"/>
      <c r="AA365" s="22"/>
      <c r="AB365" s="22"/>
      <c r="AC365" s="22"/>
    </row>
    <row r="366" spans="1:29">
      <c r="A366" s="21"/>
      <c r="B366" s="21"/>
      <c r="C366" s="46"/>
      <c r="E366" s="14"/>
      <c r="F366" s="64"/>
      <c r="G366" s="134"/>
      <c r="H366" s="134"/>
      <c r="M366" s="121"/>
      <c r="N366" s="121"/>
      <c r="O366" s="121"/>
      <c r="P366" s="121"/>
      <c r="Q366" s="30"/>
      <c r="R366" s="30"/>
      <c r="S366" s="22"/>
      <c r="T366" s="35"/>
      <c r="U366" s="35"/>
      <c r="V366" s="35"/>
      <c r="W366" s="35"/>
      <c r="X366" s="31"/>
      <c r="Y366" s="32"/>
      <c r="Z366" s="32"/>
      <c r="AA366" s="22"/>
      <c r="AB366" s="22"/>
      <c r="AC366" s="22"/>
    </row>
    <row r="367" spans="1:29">
      <c r="A367" s="21"/>
      <c r="B367" s="21"/>
      <c r="C367" s="46"/>
      <c r="E367" s="14"/>
      <c r="F367" s="64"/>
      <c r="G367" s="134"/>
      <c r="H367" s="134"/>
      <c r="M367" s="121"/>
      <c r="N367" s="121"/>
      <c r="O367" s="121"/>
      <c r="P367" s="121"/>
      <c r="Q367" s="30"/>
      <c r="R367" s="30"/>
      <c r="S367" s="22"/>
      <c r="T367" s="35"/>
      <c r="U367" s="35"/>
      <c r="V367" s="35"/>
      <c r="W367" s="35"/>
      <c r="X367" s="31"/>
      <c r="Y367" s="32"/>
      <c r="Z367" s="32"/>
      <c r="AA367" s="22"/>
      <c r="AB367" s="22"/>
      <c r="AC367" s="22"/>
    </row>
    <row r="368" spans="1:29">
      <c r="A368" s="21"/>
      <c r="B368" s="21"/>
      <c r="C368" s="46"/>
      <c r="E368" s="14"/>
      <c r="F368" s="64"/>
      <c r="G368" s="134"/>
      <c r="H368" s="134"/>
      <c r="M368" s="121"/>
      <c r="N368" s="121"/>
      <c r="O368" s="121"/>
      <c r="P368" s="121"/>
      <c r="Q368" s="30"/>
      <c r="R368" s="30"/>
      <c r="S368" s="22"/>
      <c r="T368" s="35"/>
      <c r="U368" s="35"/>
      <c r="V368" s="35"/>
      <c r="W368" s="35"/>
      <c r="X368" s="31"/>
      <c r="Y368" s="32"/>
      <c r="Z368" s="32"/>
      <c r="AA368" s="142"/>
      <c r="AB368" s="22"/>
      <c r="AC368" s="22"/>
    </row>
    <row r="369" spans="1:29">
      <c r="A369" s="21"/>
      <c r="B369" s="21"/>
      <c r="C369" s="46"/>
      <c r="E369" s="14"/>
      <c r="F369" s="64"/>
      <c r="G369" s="134"/>
      <c r="H369" s="134"/>
      <c r="M369" s="121"/>
      <c r="N369" s="121"/>
      <c r="O369" s="121"/>
      <c r="P369" s="121"/>
      <c r="Q369" s="30"/>
      <c r="R369" s="30"/>
      <c r="S369" s="22"/>
      <c r="T369" s="35"/>
      <c r="U369" s="35"/>
      <c r="V369" s="35"/>
      <c r="W369" s="35"/>
      <c r="X369" s="31"/>
      <c r="Y369" s="32"/>
      <c r="Z369" s="32"/>
      <c r="AA369" s="89"/>
      <c r="AB369" s="22"/>
      <c r="AC369" s="22"/>
    </row>
    <row r="370" spans="1:29">
      <c r="A370" s="21"/>
      <c r="B370" s="21"/>
      <c r="C370" s="46"/>
      <c r="E370" s="14"/>
      <c r="F370" s="64"/>
      <c r="G370" s="134"/>
      <c r="H370" s="134"/>
      <c r="M370" s="121"/>
      <c r="N370" s="121"/>
      <c r="O370" s="121"/>
      <c r="P370" s="121"/>
      <c r="Q370" s="30"/>
      <c r="R370" s="30"/>
      <c r="S370" s="22"/>
      <c r="T370" s="35"/>
      <c r="U370" s="35"/>
      <c r="V370" s="35"/>
      <c r="W370" s="35"/>
      <c r="X370" s="31"/>
      <c r="Y370" s="32"/>
      <c r="Z370" s="32"/>
      <c r="AA370" s="89"/>
      <c r="AB370" s="22"/>
      <c r="AC370" s="22"/>
    </row>
    <row r="371" spans="1:29">
      <c r="A371" s="21"/>
      <c r="B371" s="21"/>
      <c r="C371" s="46"/>
      <c r="E371" s="14"/>
      <c r="F371" s="64"/>
      <c r="G371" s="134"/>
      <c r="H371" s="134"/>
      <c r="M371" s="121"/>
      <c r="N371" s="121"/>
      <c r="O371" s="121"/>
      <c r="P371" s="121"/>
      <c r="Q371" s="30"/>
      <c r="R371" s="30"/>
      <c r="S371" s="22"/>
      <c r="T371" s="35"/>
      <c r="U371" s="35"/>
      <c r="V371" s="35"/>
      <c r="W371" s="35"/>
      <c r="X371" s="31"/>
      <c r="Y371" s="32"/>
      <c r="Z371" s="32"/>
      <c r="AA371" s="89"/>
      <c r="AB371" s="22"/>
      <c r="AC371" s="22"/>
    </row>
    <row r="372" spans="1:29">
      <c r="A372" s="21"/>
      <c r="B372" s="21"/>
      <c r="C372" s="46"/>
      <c r="E372" s="14"/>
      <c r="F372" s="64"/>
      <c r="G372" s="134"/>
      <c r="H372" s="134"/>
      <c r="M372" s="121"/>
      <c r="N372" s="121"/>
      <c r="O372" s="121"/>
      <c r="P372" s="121"/>
      <c r="Q372" s="30"/>
      <c r="R372" s="30"/>
      <c r="S372" s="22"/>
      <c r="T372" s="35"/>
      <c r="U372" s="35"/>
      <c r="V372" s="35"/>
      <c r="W372" s="35"/>
      <c r="X372" s="31"/>
      <c r="Y372" s="32"/>
      <c r="Z372" s="32"/>
      <c r="AA372" s="89"/>
      <c r="AB372" s="22"/>
      <c r="AC372" s="22"/>
    </row>
    <row r="373" spans="1:29">
      <c r="A373" s="21"/>
      <c r="B373" s="21"/>
      <c r="C373" s="46"/>
      <c r="E373" s="14"/>
      <c r="F373" s="64"/>
      <c r="G373" s="134"/>
      <c r="H373" s="134"/>
      <c r="M373" s="121"/>
      <c r="N373" s="121"/>
      <c r="O373" s="121"/>
      <c r="P373" s="121"/>
      <c r="Q373" s="30"/>
      <c r="R373" s="30"/>
      <c r="S373" s="22"/>
      <c r="T373" s="35"/>
      <c r="U373" s="35"/>
      <c r="V373" s="35"/>
      <c r="W373" s="35"/>
      <c r="X373" s="31"/>
      <c r="Y373" s="32"/>
      <c r="Z373" s="32"/>
      <c r="AA373" s="22"/>
      <c r="AB373" s="22"/>
      <c r="AC373" s="22"/>
    </row>
    <row r="374" spans="1:29">
      <c r="A374" s="21"/>
      <c r="B374" s="21"/>
      <c r="C374" s="46"/>
      <c r="E374" s="14"/>
      <c r="F374" s="64"/>
      <c r="G374" s="134"/>
      <c r="H374" s="134"/>
      <c r="M374" s="121"/>
      <c r="N374" s="121"/>
      <c r="O374" s="121"/>
      <c r="P374" s="121"/>
      <c r="Q374" s="30"/>
      <c r="R374" s="30"/>
      <c r="S374" s="22"/>
      <c r="T374" s="35"/>
      <c r="U374" s="35"/>
      <c r="V374" s="35"/>
      <c r="W374" s="35"/>
      <c r="X374" s="31"/>
      <c r="Y374" s="32"/>
      <c r="Z374" s="32"/>
      <c r="AA374" s="22"/>
      <c r="AB374" s="22"/>
      <c r="AC374" s="22"/>
    </row>
    <row r="375" spans="1:29">
      <c r="A375" s="21"/>
      <c r="B375" s="21"/>
      <c r="C375" s="46"/>
      <c r="E375" s="14"/>
      <c r="F375" s="64"/>
      <c r="G375" s="134"/>
      <c r="H375" s="134"/>
      <c r="M375" s="121"/>
      <c r="N375" s="121"/>
      <c r="O375" s="121"/>
      <c r="P375" s="121"/>
      <c r="Q375" s="30"/>
      <c r="R375" s="30"/>
      <c r="S375" s="22"/>
      <c r="T375" s="35"/>
      <c r="U375" s="35"/>
      <c r="V375" s="35"/>
      <c r="W375" s="35"/>
      <c r="X375" s="31"/>
      <c r="Y375" s="32"/>
      <c r="Z375" s="32"/>
      <c r="AA375" s="89"/>
      <c r="AB375" s="22"/>
      <c r="AC375" s="22"/>
    </row>
    <row r="376" spans="1:29">
      <c r="A376" s="21"/>
      <c r="B376" s="21"/>
      <c r="C376" s="46"/>
      <c r="E376" s="14"/>
      <c r="F376" s="64"/>
      <c r="G376" s="134"/>
      <c r="H376" s="134"/>
      <c r="M376" s="121"/>
      <c r="N376" s="121"/>
      <c r="O376" s="121"/>
      <c r="P376" s="121"/>
      <c r="Q376" s="30"/>
      <c r="R376" s="30"/>
      <c r="S376" s="22"/>
      <c r="T376" s="35"/>
      <c r="U376" s="35"/>
      <c r="V376" s="35"/>
      <c r="W376" s="35"/>
      <c r="X376" s="31"/>
      <c r="Y376" s="32"/>
      <c r="Z376" s="32"/>
      <c r="AA376" s="142"/>
      <c r="AB376" s="22"/>
      <c r="AC376" s="22"/>
    </row>
    <row r="377" spans="1:29">
      <c r="A377" s="21"/>
      <c r="B377" s="21"/>
      <c r="C377" s="46"/>
      <c r="E377" s="14"/>
      <c r="F377" s="64"/>
      <c r="G377" s="134"/>
      <c r="H377" s="134"/>
      <c r="M377" s="121"/>
      <c r="N377" s="121"/>
      <c r="O377" s="121"/>
      <c r="P377" s="121"/>
      <c r="Q377" s="30"/>
      <c r="R377" s="30"/>
      <c r="S377" s="22"/>
      <c r="T377" s="35"/>
      <c r="U377" s="35"/>
      <c r="V377" s="35"/>
      <c r="W377" s="35"/>
      <c r="X377" s="31"/>
      <c r="Y377" s="32"/>
      <c r="Z377" s="32"/>
      <c r="AA377" s="22"/>
      <c r="AB377" s="22"/>
      <c r="AC377" s="22"/>
    </row>
    <row r="378" spans="1:29">
      <c r="A378" s="21"/>
      <c r="B378" s="21"/>
      <c r="C378" s="46"/>
      <c r="E378" s="14"/>
      <c r="F378" s="64"/>
      <c r="G378" s="134"/>
      <c r="H378" s="134"/>
      <c r="M378" s="121"/>
      <c r="N378" s="121"/>
      <c r="O378" s="121"/>
      <c r="P378" s="121"/>
      <c r="Q378" s="30"/>
      <c r="R378" s="30"/>
      <c r="S378" s="22"/>
      <c r="T378" s="35"/>
      <c r="U378" s="35"/>
      <c r="V378" s="35"/>
      <c r="W378" s="35"/>
      <c r="X378" s="31"/>
      <c r="Y378" s="32"/>
      <c r="Z378" s="32"/>
      <c r="AA378" s="22"/>
      <c r="AB378" s="22"/>
      <c r="AC378" s="22"/>
    </row>
    <row r="379" spans="1:29">
      <c r="A379" s="21"/>
      <c r="B379" s="21"/>
      <c r="C379" s="46"/>
      <c r="E379" s="14"/>
      <c r="F379" s="64"/>
      <c r="G379" s="134"/>
      <c r="H379" s="134"/>
      <c r="M379" s="121"/>
      <c r="N379" s="121"/>
      <c r="O379" s="121"/>
      <c r="P379" s="121"/>
      <c r="Q379" s="30"/>
      <c r="R379" s="30"/>
      <c r="S379" s="22"/>
      <c r="T379" s="35"/>
      <c r="U379" s="35"/>
      <c r="V379" s="35"/>
      <c r="W379" s="35"/>
      <c r="X379" s="31"/>
      <c r="Y379" s="32"/>
      <c r="Z379" s="32"/>
      <c r="AA379" s="89"/>
      <c r="AB379" s="22"/>
      <c r="AC379" s="22"/>
    </row>
    <row r="380" spans="1:29">
      <c r="A380" s="21"/>
      <c r="B380" s="21"/>
      <c r="C380" s="46"/>
      <c r="E380" s="113"/>
      <c r="F380" s="114"/>
      <c r="G380" s="113"/>
      <c r="H380" s="134"/>
      <c r="M380" s="121"/>
      <c r="N380" s="121"/>
      <c r="O380" s="121"/>
      <c r="P380" s="121"/>
      <c r="Q380" s="30"/>
      <c r="R380" s="30"/>
      <c r="S380" s="22"/>
      <c r="T380" s="35"/>
      <c r="U380" s="35"/>
      <c r="V380" s="35"/>
      <c r="W380" s="35"/>
      <c r="X380" s="31"/>
      <c r="Y380" s="32"/>
      <c r="Z380" s="32"/>
      <c r="AA380" s="22"/>
      <c r="AB380" s="22"/>
      <c r="AC380" s="22"/>
    </row>
    <row r="381" spans="1:29">
      <c r="A381" s="21"/>
      <c r="B381" s="21"/>
      <c r="C381" s="46"/>
      <c r="E381" s="138"/>
      <c r="F381" s="115"/>
      <c r="G381" s="134"/>
      <c r="H381" s="134"/>
      <c r="M381" s="121"/>
      <c r="N381" s="121"/>
      <c r="O381" s="121"/>
      <c r="P381" s="121"/>
      <c r="Q381" s="30"/>
      <c r="R381" s="30"/>
      <c r="S381" s="22"/>
      <c r="T381" s="35"/>
      <c r="U381" s="35"/>
      <c r="V381" s="35"/>
      <c r="W381" s="35"/>
      <c r="X381" s="31"/>
      <c r="Y381" s="32"/>
      <c r="Z381" s="32"/>
      <c r="AA381" s="22"/>
      <c r="AB381" s="22"/>
      <c r="AC381" s="22"/>
    </row>
    <row r="382" spans="1:29">
      <c r="A382" s="21"/>
      <c r="B382" s="21"/>
      <c r="C382" s="46"/>
      <c r="D382" s="18"/>
      <c r="E382" s="56"/>
      <c r="F382" s="55"/>
      <c r="M382" s="121"/>
      <c r="N382" s="121"/>
      <c r="O382" s="121"/>
      <c r="P382" s="121"/>
      <c r="Q382" s="30"/>
      <c r="R382" s="30"/>
      <c r="S382" s="22"/>
      <c r="T382" s="35"/>
      <c r="U382" s="35"/>
      <c r="V382" s="35"/>
      <c r="W382" s="35"/>
      <c r="X382" s="31"/>
      <c r="Y382" s="32"/>
      <c r="Z382" s="32"/>
      <c r="AA382" s="22"/>
      <c r="AB382" s="22"/>
      <c r="AC382" s="22"/>
    </row>
    <row r="383" spans="1:29">
      <c r="A383" s="21"/>
      <c r="B383" s="21"/>
      <c r="C383" s="46"/>
      <c r="D383" s="18"/>
      <c r="E383" s="56"/>
      <c r="F383" s="55"/>
      <c r="M383" s="121"/>
      <c r="N383" s="121"/>
      <c r="O383" s="121"/>
      <c r="P383" s="121"/>
      <c r="Q383" s="30"/>
      <c r="R383" s="30"/>
      <c r="S383" s="22"/>
      <c r="T383" s="35"/>
      <c r="U383" s="35"/>
      <c r="V383" s="35"/>
      <c r="W383" s="35"/>
      <c r="X383" s="31"/>
      <c r="Y383" s="32"/>
      <c r="Z383" s="32"/>
      <c r="AA383" s="22"/>
      <c r="AB383" s="22"/>
      <c r="AC383" s="22"/>
    </row>
    <row r="384" spans="1:29">
      <c r="A384" s="21"/>
      <c r="B384" s="21"/>
      <c r="C384" s="46"/>
      <c r="D384" s="18"/>
      <c r="E384" s="56"/>
      <c r="F384" s="55"/>
      <c r="M384" s="121"/>
      <c r="N384" s="121"/>
      <c r="O384" s="121"/>
      <c r="P384" s="121"/>
      <c r="Q384" s="30"/>
      <c r="R384" s="30"/>
      <c r="S384" s="22"/>
      <c r="T384" s="35"/>
      <c r="U384" s="35"/>
      <c r="V384" s="35"/>
      <c r="W384" s="35"/>
      <c r="X384" s="31"/>
      <c r="Y384" s="32"/>
      <c r="Z384" s="32"/>
      <c r="AA384" s="22"/>
      <c r="AB384" s="22"/>
      <c r="AC384" s="22"/>
    </row>
    <row r="385" spans="1:29">
      <c r="A385" s="21"/>
      <c r="B385" s="21"/>
      <c r="C385" s="46"/>
      <c r="D385" s="18"/>
      <c r="E385" s="62"/>
      <c r="F385" s="55"/>
      <c r="M385" s="121"/>
      <c r="N385" s="121"/>
      <c r="O385" s="121"/>
      <c r="P385" s="121"/>
      <c r="Q385" s="30"/>
      <c r="R385" s="30"/>
      <c r="S385" s="22"/>
      <c r="T385" s="35"/>
      <c r="U385" s="35"/>
      <c r="V385" s="35"/>
      <c r="W385" s="35"/>
      <c r="X385" s="31"/>
      <c r="Y385" s="32"/>
      <c r="Z385" s="32"/>
      <c r="AA385" s="22"/>
      <c r="AB385" s="22"/>
      <c r="AC385" s="22"/>
    </row>
    <row r="386" spans="1:29">
      <c r="A386" s="21"/>
      <c r="B386" s="21"/>
      <c r="C386" s="46"/>
      <c r="D386" s="18"/>
      <c r="E386" s="56"/>
      <c r="F386" s="55"/>
      <c r="M386" s="121"/>
      <c r="N386" s="121"/>
      <c r="O386" s="121"/>
      <c r="P386" s="121"/>
      <c r="Q386" s="30"/>
      <c r="R386" s="30"/>
      <c r="S386" s="22"/>
      <c r="T386" s="35"/>
      <c r="U386" s="35"/>
      <c r="V386" s="35"/>
      <c r="W386" s="35"/>
      <c r="X386" s="31"/>
      <c r="Y386" s="32"/>
      <c r="Z386" s="32"/>
      <c r="AA386" s="22"/>
      <c r="AB386" s="22"/>
      <c r="AC386" s="22"/>
    </row>
    <row r="387" spans="1:29">
      <c r="A387" s="21"/>
      <c r="B387" s="21"/>
      <c r="C387" s="46"/>
      <c r="D387" s="18"/>
      <c r="E387" s="56"/>
      <c r="F387" s="55"/>
      <c r="M387" s="121"/>
      <c r="N387" s="121"/>
      <c r="O387" s="121"/>
      <c r="P387" s="121"/>
      <c r="Q387" s="30"/>
      <c r="R387" s="30"/>
      <c r="S387" s="22"/>
      <c r="T387" s="35"/>
      <c r="U387" s="35"/>
      <c r="V387" s="35"/>
      <c r="W387" s="35"/>
      <c r="X387" s="31"/>
      <c r="Y387" s="32"/>
      <c r="Z387" s="32"/>
      <c r="AA387" s="22"/>
      <c r="AB387" s="22"/>
      <c r="AC387" s="22"/>
    </row>
    <row r="388" spans="1:29">
      <c r="A388" s="21"/>
      <c r="B388" s="21"/>
      <c r="C388" s="46"/>
      <c r="D388" s="18"/>
      <c r="E388" s="62"/>
      <c r="F388" s="55"/>
      <c r="M388" s="121"/>
      <c r="N388" s="121"/>
      <c r="O388" s="121"/>
      <c r="P388" s="121"/>
      <c r="Q388" s="30"/>
      <c r="R388" s="30"/>
      <c r="S388" s="22"/>
      <c r="T388" s="35"/>
      <c r="U388" s="35"/>
      <c r="V388" s="35"/>
      <c r="W388" s="35"/>
      <c r="X388" s="31"/>
      <c r="Y388" s="32"/>
      <c r="Z388" s="32"/>
      <c r="AA388" s="22"/>
      <c r="AB388" s="22"/>
      <c r="AC388" s="22"/>
    </row>
    <row r="389" spans="1:29">
      <c r="A389" s="21"/>
      <c r="B389" s="21"/>
      <c r="C389" s="46"/>
      <c r="D389" s="18"/>
      <c r="E389" s="56"/>
      <c r="F389" s="55"/>
      <c r="M389" s="121"/>
      <c r="N389" s="121"/>
      <c r="O389" s="121"/>
      <c r="P389" s="121"/>
      <c r="Q389" s="30"/>
      <c r="R389" s="30"/>
      <c r="S389" s="22"/>
      <c r="T389" s="35"/>
      <c r="U389" s="35"/>
      <c r="V389" s="35"/>
      <c r="W389" s="35"/>
      <c r="X389" s="31"/>
      <c r="Y389" s="32"/>
      <c r="Z389" s="32"/>
      <c r="AA389" s="22"/>
      <c r="AB389" s="22"/>
      <c r="AC389" s="22"/>
    </row>
    <row r="390" spans="1:29">
      <c r="A390" s="21"/>
      <c r="B390" s="21"/>
      <c r="C390" s="46"/>
      <c r="D390" s="18"/>
      <c r="E390" s="56"/>
      <c r="F390" s="55"/>
      <c r="M390" s="121"/>
      <c r="N390" s="121"/>
      <c r="O390" s="121"/>
      <c r="P390" s="121"/>
      <c r="Q390" s="30"/>
      <c r="R390" s="30"/>
      <c r="S390" s="22"/>
      <c r="T390" s="35"/>
      <c r="U390" s="35"/>
      <c r="V390" s="35"/>
      <c r="W390" s="35"/>
      <c r="X390" s="31"/>
      <c r="Y390" s="32"/>
      <c r="Z390" s="32"/>
      <c r="AA390" s="22"/>
      <c r="AB390" s="22"/>
      <c r="AC390" s="22"/>
    </row>
    <row r="391" spans="1:29">
      <c r="A391" s="21"/>
      <c r="B391" s="21"/>
      <c r="C391" s="46"/>
      <c r="E391" s="96"/>
      <c r="F391" s="82"/>
      <c r="G391" s="16"/>
      <c r="M391" s="121"/>
      <c r="N391" s="121"/>
      <c r="O391" s="121"/>
      <c r="P391" s="121"/>
      <c r="Q391" s="30"/>
      <c r="R391" s="30"/>
      <c r="S391" s="22"/>
      <c r="T391" s="117"/>
      <c r="U391" s="117"/>
      <c r="V391" s="117"/>
      <c r="W391" s="117"/>
      <c r="X391" s="31"/>
      <c r="Y391" s="32"/>
      <c r="Z391" s="32"/>
      <c r="AA391" s="89"/>
      <c r="AB391" s="22"/>
      <c r="AC391" s="22"/>
    </row>
    <row r="392" spans="1:29">
      <c r="A392" s="21"/>
      <c r="B392" s="21"/>
      <c r="C392" s="46"/>
      <c r="E392" s="94"/>
      <c r="F392" s="97"/>
      <c r="G392" s="16"/>
      <c r="M392" s="121"/>
      <c r="N392" s="121"/>
      <c r="O392" s="121"/>
      <c r="P392" s="121"/>
      <c r="Q392" s="30"/>
      <c r="R392" s="30"/>
      <c r="S392" s="22"/>
      <c r="T392" s="117"/>
      <c r="U392" s="117"/>
      <c r="V392" s="117"/>
      <c r="W392" s="117"/>
      <c r="X392" s="31"/>
      <c r="Y392" s="32"/>
      <c r="Z392" s="32"/>
      <c r="AA392" s="22"/>
      <c r="AB392" s="22"/>
      <c r="AC392" s="22"/>
    </row>
    <row r="393" spans="1:29">
      <c r="A393" s="21"/>
      <c r="B393" s="21"/>
      <c r="C393" s="46"/>
      <c r="E393" s="94"/>
      <c r="F393" s="97"/>
      <c r="G393" s="16"/>
      <c r="M393" s="121"/>
      <c r="N393" s="121"/>
      <c r="O393" s="121"/>
      <c r="P393" s="121"/>
      <c r="Q393" s="30"/>
      <c r="R393" s="30"/>
      <c r="S393" s="22"/>
      <c r="T393" s="117"/>
      <c r="U393" s="117"/>
      <c r="V393" s="117"/>
      <c r="W393" s="117"/>
      <c r="X393" s="31"/>
      <c r="Y393" s="32"/>
      <c r="Z393" s="32"/>
      <c r="AA393" s="22"/>
      <c r="AB393" s="22"/>
      <c r="AC393" s="22"/>
    </row>
    <row r="394" spans="1:29">
      <c r="A394" s="21"/>
      <c r="B394" s="21"/>
      <c r="C394" s="46"/>
      <c r="E394" s="94"/>
      <c r="F394" s="97"/>
      <c r="G394" s="16"/>
      <c r="M394" s="121"/>
      <c r="N394" s="121"/>
      <c r="O394" s="121"/>
      <c r="P394" s="121"/>
      <c r="Q394" s="30"/>
      <c r="R394" s="30"/>
      <c r="S394" s="22"/>
      <c r="T394" s="117"/>
      <c r="U394" s="117"/>
      <c r="V394" s="117"/>
      <c r="W394" s="117"/>
      <c r="X394" s="31"/>
      <c r="Y394" s="32"/>
      <c r="Z394" s="32"/>
      <c r="AA394" s="22"/>
      <c r="AB394" s="22"/>
      <c r="AC394" s="22"/>
    </row>
    <row r="395" spans="1:29">
      <c r="A395" s="21"/>
      <c r="B395" s="21"/>
      <c r="C395" s="46"/>
      <c r="E395" s="94"/>
      <c r="F395" s="97"/>
      <c r="G395" s="16"/>
      <c r="M395" s="121"/>
      <c r="N395" s="121"/>
      <c r="O395" s="121"/>
      <c r="P395" s="121"/>
      <c r="Q395" s="30"/>
      <c r="R395" s="30"/>
      <c r="S395" s="22"/>
      <c r="T395" s="117"/>
      <c r="U395" s="117"/>
      <c r="V395" s="117"/>
      <c r="W395" s="90"/>
      <c r="X395" s="31"/>
      <c r="Y395" s="32"/>
      <c r="Z395" s="32"/>
      <c r="AA395" s="22"/>
      <c r="AB395" s="22"/>
      <c r="AC395" s="22"/>
    </row>
    <row r="396" spans="1:29">
      <c r="A396" s="21"/>
      <c r="B396" s="21"/>
      <c r="C396" s="46"/>
      <c r="E396" s="94"/>
      <c r="F396" s="97"/>
      <c r="G396" s="16"/>
      <c r="M396" s="121"/>
      <c r="N396" s="121"/>
      <c r="O396" s="121"/>
      <c r="P396" s="121"/>
      <c r="Q396" s="30"/>
      <c r="R396" s="30"/>
      <c r="S396" s="22"/>
      <c r="T396" s="117"/>
      <c r="U396" s="117"/>
      <c r="V396" s="117"/>
      <c r="W396" s="117"/>
      <c r="X396" s="31"/>
      <c r="Y396" s="32"/>
      <c r="Z396" s="32"/>
      <c r="AA396" s="22"/>
      <c r="AB396" s="22"/>
      <c r="AC396" s="22"/>
    </row>
    <row r="397" spans="1:29">
      <c r="A397" s="21"/>
      <c r="B397" s="21"/>
      <c r="C397" s="46"/>
      <c r="E397" s="94"/>
      <c r="F397" s="97"/>
      <c r="G397" s="16"/>
      <c r="M397" s="121"/>
      <c r="N397" s="121"/>
      <c r="O397" s="121"/>
      <c r="P397" s="121"/>
      <c r="Q397" s="30"/>
      <c r="R397" s="30"/>
      <c r="S397" s="22"/>
      <c r="T397" s="117"/>
      <c r="U397" s="117"/>
      <c r="V397" s="117"/>
      <c r="W397" s="90"/>
      <c r="X397" s="31"/>
      <c r="Y397" s="32"/>
      <c r="Z397" s="32"/>
      <c r="AA397" s="22"/>
      <c r="AB397" s="22"/>
      <c r="AC397" s="22"/>
    </row>
    <row r="398" spans="1:29">
      <c r="A398" s="21"/>
      <c r="B398" s="21"/>
      <c r="C398" s="46"/>
      <c r="E398" s="94"/>
      <c r="F398" s="97"/>
      <c r="G398" s="16"/>
      <c r="M398" s="121"/>
      <c r="N398" s="121"/>
      <c r="O398" s="121"/>
      <c r="P398" s="121"/>
      <c r="Q398" s="30"/>
      <c r="R398" s="30"/>
      <c r="S398" s="22"/>
      <c r="T398" s="117"/>
      <c r="U398" s="117"/>
      <c r="V398" s="117"/>
      <c r="W398" s="117"/>
      <c r="X398" s="31"/>
      <c r="Y398" s="32"/>
      <c r="Z398" s="32"/>
      <c r="AA398" s="22"/>
      <c r="AB398" s="22"/>
      <c r="AC398" s="22"/>
    </row>
    <row r="399" spans="1:29">
      <c r="A399" s="21"/>
      <c r="B399" s="21"/>
      <c r="C399" s="46"/>
      <c r="E399" s="94"/>
      <c r="F399" s="97"/>
      <c r="G399" s="16"/>
      <c r="M399" s="121"/>
      <c r="N399" s="121"/>
      <c r="O399" s="121"/>
      <c r="P399" s="121"/>
      <c r="Q399" s="30"/>
      <c r="R399" s="30"/>
      <c r="S399" s="22"/>
      <c r="T399" s="117"/>
      <c r="U399" s="117"/>
      <c r="V399" s="117"/>
      <c r="W399" s="117"/>
      <c r="X399" s="31"/>
      <c r="Y399" s="32"/>
      <c r="Z399" s="32"/>
      <c r="AA399" s="22"/>
      <c r="AB399" s="22"/>
      <c r="AC399" s="22"/>
    </row>
    <row r="400" spans="1:29">
      <c r="A400" s="21"/>
      <c r="B400" s="21"/>
      <c r="C400" s="46"/>
      <c r="E400" s="137"/>
      <c r="F400" s="80"/>
      <c r="G400" s="16"/>
      <c r="M400" s="121"/>
      <c r="N400" s="121"/>
      <c r="O400" s="121"/>
      <c r="P400" s="121"/>
      <c r="Q400" s="30"/>
      <c r="R400" s="30"/>
      <c r="S400" s="22"/>
      <c r="T400" s="117"/>
      <c r="U400" s="117"/>
      <c r="V400" s="117"/>
      <c r="W400" s="90"/>
      <c r="X400" s="31"/>
      <c r="Y400" s="32"/>
      <c r="Z400" s="32"/>
      <c r="AA400" s="22"/>
      <c r="AB400" s="22"/>
      <c r="AC400" s="22"/>
    </row>
    <row r="401" spans="1:29">
      <c r="A401" s="21"/>
      <c r="B401" s="21"/>
      <c r="C401" s="46"/>
      <c r="E401" s="49"/>
      <c r="F401" s="80"/>
      <c r="G401" s="16"/>
      <c r="M401" s="121"/>
      <c r="N401" s="121"/>
      <c r="O401" s="121"/>
      <c r="P401" s="121"/>
      <c r="Q401" s="30"/>
      <c r="R401" s="30"/>
      <c r="S401" s="22"/>
      <c r="T401" s="117"/>
      <c r="U401" s="117"/>
      <c r="V401" s="117"/>
      <c r="W401" s="117"/>
      <c r="X401" s="31"/>
      <c r="Y401" s="32"/>
      <c r="Z401" s="32"/>
      <c r="AA401" s="89"/>
      <c r="AB401" s="22"/>
      <c r="AC401" s="22"/>
    </row>
    <row r="402" spans="1:29">
      <c r="A402" s="21"/>
      <c r="B402" s="21"/>
      <c r="C402" s="46"/>
      <c r="E402" s="49"/>
      <c r="F402" s="80"/>
      <c r="G402" s="16"/>
      <c r="M402" s="121"/>
      <c r="N402" s="121"/>
      <c r="O402" s="121"/>
      <c r="P402" s="121"/>
      <c r="Q402" s="30"/>
      <c r="R402" s="30"/>
      <c r="S402" s="22"/>
      <c r="T402" s="117"/>
      <c r="U402" s="117"/>
      <c r="V402" s="117"/>
      <c r="W402" s="117"/>
      <c r="X402" s="31"/>
      <c r="Y402" s="32"/>
      <c r="Z402" s="32"/>
      <c r="AA402" s="89"/>
      <c r="AB402" s="22"/>
      <c r="AC402" s="22"/>
    </row>
    <row r="403" spans="1:29">
      <c r="A403" s="21"/>
      <c r="B403" s="21"/>
      <c r="C403" s="46"/>
      <c r="E403" s="49"/>
      <c r="F403" s="80"/>
      <c r="G403" s="16"/>
      <c r="M403" s="121"/>
      <c r="N403" s="121"/>
      <c r="O403" s="121"/>
      <c r="P403" s="121"/>
      <c r="Q403" s="30"/>
      <c r="R403" s="30"/>
      <c r="S403" s="22"/>
      <c r="T403" s="117"/>
      <c r="U403" s="117"/>
      <c r="V403" s="117"/>
      <c r="W403" s="117"/>
      <c r="X403" s="31"/>
      <c r="Y403" s="32"/>
      <c r="Z403" s="32"/>
      <c r="AA403" s="22"/>
      <c r="AB403" s="22"/>
      <c r="AC403" s="22"/>
    </row>
    <row r="404" spans="1:29">
      <c r="A404" s="21"/>
      <c r="B404" s="21"/>
      <c r="C404" s="46"/>
      <c r="E404" s="49"/>
      <c r="F404" s="80"/>
      <c r="G404" s="16"/>
      <c r="M404" s="121"/>
      <c r="N404" s="121"/>
      <c r="O404" s="121"/>
      <c r="P404" s="121"/>
      <c r="Q404" s="30"/>
      <c r="R404" s="30"/>
      <c r="S404" s="22"/>
      <c r="T404" s="117"/>
      <c r="U404" s="117"/>
      <c r="V404" s="117"/>
      <c r="W404" s="117"/>
      <c r="X404" s="31"/>
      <c r="Y404" s="32"/>
      <c r="Z404" s="32"/>
      <c r="AA404" s="22"/>
      <c r="AB404" s="22"/>
      <c r="AC404" s="22"/>
    </row>
    <row r="405" spans="1:29">
      <c r="A405" s="21"/>
      <c r="B405" s="21"/>
      <c r="C405" s="46"/>
      <c r="E405" s="49"/>
      <c r="F405" s="80"/>
      <c r="G405" s="16"/>
      <c r="M405" s="121"/>
      <c r="N405" s="121"/>
      <c r="O405" s="121"/>
      <c r="P405" s="121"/>
      <c r="Q405" s="30"/>
      <c r="R405" s="30"/>
      <c r="S405" s="22"/>
      <c r="T405" s="117"/>
      <c r="U405" s="117"/>
      <c r="V405" s="117"/>
      <c r="W405" s="117"/>
      <c r="X405" s="31"/>
      <c r="Y405" s="32"/>
      <c r="Z405" s="32"/>
      <c r="AA405" s="22"/>
      <c r="AB405" s="22"/>
      <c r="AC405" s="22"/>
    </row>
    <row r="406" spans="1:29">
      <c r="A406" s="21"/>
      <c r="B406" s="21"/>
      <c r="C406" s="46"/>
      <c r="E406" s="137"/>
      <c r="F406" s="80"/>
      <c r="G406" s="16"/>
      <c r="M406" s="121"/>
      <c r="N406" s="121"/>
      <c r="O406" s="121"/>
      <c r="P406" s="121"/>
      <c r="Q406" s="30"/>
      <c r="R406" s="30"/>
      <c r="S406" s="22"/>
      <c r="T406" s="117"/>
      <c r="U406" s="117"/>
      <c r="V406" s="117"/>
      <c r="W406" s="117"/>
      <c r="X406" s="31"/>
      <c r="Y406" s="32"/>
      <c r="Z406" s="32"/>
      <c r="AA406" s="22"/>
      <c r="AB406" s="22"/>
      <c r="AC406" s="22"/>
    </row>
    <row r="407" spans="1:29" ht="14.45">
      <c r="A407" s="21"/>
      <c r="B407" s="21"/>
      <c r="C407" s="46"/>
      <c r="E407" s="49"/>
      <c r="F407" s="164"/>
      <c r="G407" s="16"/>
      <c r="M407" s="121"/>
      <c r="N407" s="121"/>
      <c r="O407" s="121"/>
      <c r="P407" s="121"/>
      <c r="Q407" s="30"/>
      <c r="R407" s="30"/>
      <c r="S407" s="22"/>
      <c r="T407" s="117"/>
      <c r="U407" s="117"/>
      <c r="V407" s="117"/>
      <c r="W407" s="118"/>
      <c r="X407" s="31"/>
      <c r="Y407" s="32"/>
      <c r="Z407" s="32"/>
      <c r="AA407" s="22"/>
      <c r="AB407" s="22"/>
      <c r="AC407" s="22"/>
    </row>
    <row r="408" spans="1:29">
      <c r="A408" s="21"/>
      <c r="B408" s="21"/>
      <c r="C408" s="46"/>
      <c r="E408" s="49"/>
      <c r="F408" s="80"/>
      <c r="G408" s="16"/>
      <c r="M408" s="125"/>
      <c r="N408" s="125"/>
      <c r="O408" s="125"/>
      <c r="P408" s="125"/>
      <c r="Q408" s="30"/>
      <c r="R408" s="30"/>
      <c r="S408" s="22"/>
      <c r="T408" s="117"/>
      <c r="U408" s="117"/>
      <c r="V408" s="117"/>
      <c r="W408" s="90"/>
      <c r="X408" s="31"/>
      <c r="Y408" s="32"/>
      <c r="Z408" s="32"/>
      <c r="AA408" s="22"/>
      <c r="AB408" s="22"/>
      <c r="AC408" s="22"/>
    </row>
    <row r="409" spans="1:29">
      <c r="A409" s="21"/>
      <c r="B409" s="21"/>
      <c r="C409" s="46"/>
      <c r="F409" s="111"/>
      <c r="G409" s="49"/>
      <c r="M409" s="121"/>
      <c r="N409" s="121"/>
      <c r="O409" s="121"/>
      <c r="P409" s="121"/>
      <c r="Q409" s="30"/>
      <c r="R409" s="30"/>
      <c r="S409" s="22"/>
      <c r="T409" s="35"/>
      <c r="U409" s="35"/>
      <c r="V409" s="35"/>
      <c r="W409" s="35"/>
      <c r="X409" s="31"/>
      <c r="Y409" s="32"/>
      <c r="Z409" s="32"/>
      <c r="AA409" s="22"/>
      <c r="AB409" s="22"/>
      <c r="AC409" s="22"/>
    </row>
    <row r="410" spans="1:29">
      <c r="A410" s="21"/>
      <c r="B410" s="21"/>
      <c r="C410" s="46"/>
      <c r="F410" s="111"/>
      <c r="H410" s="49"/>
      <c r="M410" s="121"/>
      <c r="N410" s="121"/>
      <c r="O410" s="121"/>
      <c r="P410" s="121"/>
      <c r="Q410" s="30"/>
      <c r="R410" s="30"/>
      <c r="S410" s="22"/>
      <c r="T410" s="35"/>
      <c r="U410" s="35"/>
      <c r="V410" s="35"/>
      <c r="W410" s="35"/>
      <c r="X410" s="31"/>
      <c r="Y410" s="32"/>
      <c r="Z410" s="32"/>
      <c r="AA410" s="22"/>
      <c r="AB410" s="22"/>
      <c r="AC410" s="22"/>
    </row>
    <row r="411" spans="1:29">
      <c r="A411" s="21"/>
      <c r="B411" s="21"/>
      <c r="C411" s="46"/>
      <c r="F411" s="80"/>
      <c r="M411" s="121"/>
      <c r="N411" s="121"/>
      <c r="O411" s="121"/>
      <c r="P411" s="121"/>
      <c r="Q411" s="30"/>
      <c r="R411" s="30"/>
      <c r="S411" s="22"/>
      <c r="T411" s="35"/>
      <c r="U411" s="35"/>
      <c r="V411" s="35"/>
      <c r="W411" s="35"/>
      <c r="X411" s="31"/>
      <c r="Y411" s="32"/>
      <c r="Z411" s="32"/>
      <c r="AA411" s="89"/>
      <c r="AB411" s="22"/>
      <c r="AC411" s="22"/>
    </row>
    <row r="412" spans="1:29">
      <c r="A412" s="21"/>
      <c r="B412" s="21"/>
      <c r="C412" s="46"/>
      <c r="F412" s="80"/>
      <c r="M412" s="121"/>
      <c r="N412" s="121"/>
      <c r="O412" s="121"/>
      <c r="P412" s="121"/>
      <c r="Q412" s="30"/>
      <c r="R412" s="30"/>
      <c r="S412" s="22"/>
      <c r="T412" s="35"/>
      <c r="U412" s="35"/>
      <c r="V412" s="35"/>
      <c r="W412" s="35"/>
      <c r="X412" s="31"/>
      <c r="Y412" s="32"/>
      <c r="Z412" s="32"/>
      <c r="AA412" s="89"/>
      <c r="AB412" s="22"/>
      <c r="AC412" s="22"/>
    </row>
    <row r="413" spans="1:29">
      <c r="A413" s="21"/>
      <c r="B413" s="21"/>
      <c r="C413" s="46"/>
      <c r="F413" s="80"/>
      <c r="M413" s="121"/>
      <c r="N413" s="121"/>
      <c r="O413" s="121"/>
      <c r="P413" s="121"/>
      <c r="Q413" s="30"/>
      <c r="R413" s="30"/>
      <c r="S413" s="22"/>
      <c r="X413" s="31"/>
      <c r="Y413" s="32"/>
      <c r="Z413" s="32"/>
      <c r="AA413" s="22"/>
      <c r="AB413" s="22"/>
      <c r="AC413" s="22"/>
    </row>
    <row r="414" spans="1:29">
      <c r="A414" s="21"/>
      <c r="B414" s="21"/>
      <c r="C414" s="46"/>
      <c r="F414" s="111"/>
      <c r="M414" s="121"/>
      <c r="N414" s="121"/>
      <c r="O414" s="121"/>
      <c r="P414" s="121"/>
      <c r="Q414" s="30"/>
      <c r="R414" s="30"/>
      <c r="S414" s="22"/>
      <c r="T414" s="35"/>
      <c r="U414" s="35"/>
      <c r="V414" s="35"/>
      <c r="W414" s="35"/>
      <c r="X414" s="31"/>
      <c r="Y414" s="32"/>
      <c r="Z414" s="32"/>
      <c r="AA414" s="22"/>
      <c r="AB414" s="22"/>
      <c r="AC414" s="22"/>
    </row>
    <row r="415" spans="1:29">
      <c r="A415" s="21"/>
      <c r="B415" s="21"/>
      <c r="C415" s="46"/>
      <c r="F415" s="111"/>
      <c r="M415" s="121"/>
      <c r="N415" s="121"/>
      <c r="O415" s="121"/>
      <c r="P415" s="121"/>
      <c r="Q415" s="30"/>
      <c r="R415" s="30"/>
      <c r="S415" s="22"/>
      <c r="T415" s="35"/>
      <c r="U415" s="35"/>
      <c r="V415" s="35"/>
      <c r="W415" s="35"/>
      <c r="X415" s="31"/>
      <c r="Y415" s="32"/>
      <c r="Z415" s="32"/>
      <c r="AA415" s="22"/>
      <c r="AB415" s="22"/>
      <c r="AC415" s="22"/>
    </row>
    <row r="416" spans="1:29">
      <c r="A416" s="21"/>
      <c r="B416" s="21"/>
      <c r="C416" s="46"/>
      <c r="F416" s="80"/>
      <c r="M416" s="121"/>
      <c r="N416" s="121"/>
      <c r="O416" s="121"/>
      <c r="P416" s="121"/>
      <c r="Q416" s="30"/>
      <c r="R416" s="30"/>
      <c r="S416" s="22"/>
      <c r="T416" s="35"/>
      <c r="U416" s="35"/>
      <c r="V416" s="35"/>
      <c r="W416" s="35"/>
      <c r="X416" s="31"/>
      <c r="Y416" s="32"/>
      <c r="Z416" s="32"/>
      <c r="AA416" s="22"/>
      <c r="AB416" s="22"/>
      <c r="AC416" s="22"/>
    </row>
    <row r="417" spans="1:29">
      <c r="A417" s="21"/>
      <c r="B417" s="21"/>
      <c r="C417" s="46"/>
      <c r="F417" s="85"/>
      <c r="M417" s="121"/>
      <c r="N417" s="121"/>
      <c r="O417" s="121"/>
      <c r="P417" s="121"/>
      <c r="Q417" s="30"/>
      <c r="R417" s="30"/>
      <c r="S417" s="22"/>
      <c r="T417" s="35"/>
      <c r="U417" s="35"/>
      <c r="V417" s="35"/>
      <c r="W417" s="35"/>
      <c r="X417" s="31"/>
      <c r="Y417" s="32"/>
      <c r="Z417" s="32"/>
      <c r="AA417" s="22"/>
      <c r="AB417" s="22"/>
      <c r="AC417" s="22"/>
    </row>
    <row r="418" spans="1:29">
      <c r="A418" s="21"/>
      <c r="B418" s="21"/>
      <c r="C418" s="46"/>
      <c r="F418" s="86"/>
      <c r="M418" s="121"/>
      <c r="N418" s="121"/>
      <c r="O418" s="121"/>
      <c r="P418" s="121"/>
      <c r="Q418" s="30"/>
      <c r="R418" s="30"/>
      <c r="S418" s="22"/>
      <c r="T418" s="35"/>
      <c r="U418" s="35"/>
      <c r="V418" s="35"/>
      <c r="W418" s="35"/>
      <c r="X418" s="31"/>
      <c r="Y418" s="32"/>
      <c r="Z418" s="32"/>
      <c r="AA418" s="22"/>
      <c r="AB418" s="22"/>
      <c r="AC418" s="22"/>
    </row>
    <row r="419" spans="1:29">
      <c r="A419" s="21"/>
      <c r="B419" s="21"/>
      <c r="C419" s="46"/>
      <c r="F419" s="86"/>
      <c r="M419" s="121"/>
      <c r="N419" s="121"/>
      <c r="O419" s="121"/>
      <c r="P419" s="121"/>
      <c r="Q419" s="30"/>
      <c r="R419" s="30"/>
      <c r="S419" s="22"/>
      <c r="T419" s="35"/>
      <c r="U419" s="35"/>
      <c r="V419" s="35"/>
      <c r="W419" s="35"/>
      <c r="X419" s="31"/>
      <c r="Y419" s="32"/>
      <c r="Z419" s="32"/>
      <c r="AA419" s="22"/>
      <c r="AB419" s="22"/>
      <c r="AC419" s="22"/>
    </row>
    <row r="420" spans="1:29">
      <c r="A420" s="21"/>
      <c r="B420" s="21"/>
      <c r="C420" s="46"/>
      <c r="F420" s="86"/>
      <c r="M420" s="121"/>
      <c r="N420" s="121"/>
      <c r="O420" s="121"/>
      <c r="P420" s="121"/>
      <c r="Q420" s="30"/>
      <c r="R420" s="30"/>
      <c r="S420" s="22"/>
      <c r="T420" s="35"/>
      <c r="U420" s="35"/>
      <c r="V420" s="35"/>
      <c r="W420" s="35"/>
      <c r="X420" s="31"/>
      <c r="Y420" s="32"/>
      <c r="Z420" s="32"/>
      <c r="AA420" s="22"/>
      <c r="AB420" s="22"/>
      <c r="AC420" s="22"/>
    </row>
    <row r="421" spans="1:29">
      <c r="A421" s="21"/>
      <c r="B421" s="21"/>
      <c r="C421" s="46"/>
      <c r="F421" s="86"/>
      <c r="M421" s="121"/>
      <c r="N421" s="121"/>
      <c r="O421" s="121"/>
      <c r="P421" s="121"/>
      <c r="Q421" s="30"/>
      <c r="R421" s="30"/>
      <c r="S421" s="22"/>
      <c r="T421" s="35"/>
      <c r="U421" s="35"/>
      <c r="V421" s="35"/>
      <c r="W421" s="35"/>
      <c r="X421" s="31"/>
      <c r="Y421" s="32"/>
      <c r="Z421" s="32"/>
      <c r="AA421" s="22"/>
      <c r="AB421" s="22"/>
      <c r="AC421" s="22"/>
    </row>
    <row r="422" spans="1:29">
      <c r="A422" s="21"/>
      <c r="B422" s="21"/>
      <c r="C422" s="46"/>
      <c r="F422" s="86"/>
      <c r="M422" s="121"/>
      <c r="N422" s="121"/>
      <c r="O422" s="121"/>
      <c r="P422" s="121"/>
      <c r="Q422" s="30"/>
      <c r="R422" s="30"/>
      <c r="S422" s="22"/>
      <c r="T422" s="90"/>
      <c r="U422" s="90"/>
      <c r="V422" s="90"/>
      <c r="W422" s="90"/>
      <c r="X422" s="31"/>
      <c r="Y422" s="32"/>
      <c r="Z422" s="32"/>
      <c r="AA422" s="22"/>
      <c r="AB422" s="22"/>
      <c r="AC422" s="22"/>
    </row>
    <row r="423" spans="1:29">
      <c r="A423" s="21"/>
      <c r="B423" s="21"/>
      <c r="C423" s="46"/>
      <c r="F423" s="86"/>
      <c r="M423" s="121"/>
      <c r="N423" s="121"/>
      <c r="O423" s="121"/>
      <c r="P423" s="121"/>
      <c r="Q423" s="30"/>
      <c r="R423" s="30"/>
      <c r="S423" s="22"/>
      <c r="T423" s="35"/>
      <c r="U423" s="35"/>
      <c r="V423" s="35"/>
      <c r="W423" s="35"/>
      <c r="X423" s="31"/>
      <c r="Y423" s="32"/>
      <c r="Z423" s="32"/>
      <c r="AA423" s="22"/>
      <c r="AB423" s="22"/>
      <c r="AC423" s="22"/>
    </row>
    <row r="424" spans="1:29">
      <c r="A424" s="21"/>
      <c r="B424" s="21"/>
      <c r="C424" s="46"/>
      <c r="F424" s="86"/>
      <c r="M424" s="121"/>
      <c r="N424" s="121"/>
      <c r="O424" s="121"/>
      <c r="P424" s="121"/>
      <c r="Q424" s="30"/>
      <c r="R424" s="30"/>
      <c r="S424" s="22"/>
      <c r="T424" s="35"/>
      <c r="U424" s="35"/>
      <c r="V424" s="35"/>
      <c r="W424" s="35"/>
      <c r="X424" s="31"/>
      <c r="Y424" s="32"/>
      <c r="Z424" s="32"/>
      <c r="AA424" s="22"/>
      <c r="AB424" s="22"/>
      <c r="AC424" s="22"/>
    </row>
    <row r="425" spans="1:29">
      <c r="A425" s="21"/>
      <c r="B425" s="21"/>
      <c r="C425" s="46"/>
      <c r="F425" s="86"/>
      <c r="M425" s="121"/>
      <c r="N425" s="121"/>
      <c r="O425" s="121"/>
      <c r="P425" s="121"/>
      <c r="Q425" s="30"/>
      <c r="R425" s="30"/>
      <c r="S425" s="22"/>
      <c r="T425" s="35"/>
      <c r="U425" s="35"/>
      <c r="V425" s="35"/>
      <c r="W425" s="35"/>
      <c r="X425" s="31"/>
      <c r="Y425" s="32"/>
      <c r="Z425" s="32"/>
      <c r="AA425" s="22"/>
      <c r="AB425" s="22"/>
      <c r="AC425" s="22"/>
    </row>
    <row r="426" spans="1:29">
      <c r="A426" s="21"/>
      <c r="B426" s="21"/>
      <c r="C426" s="46"/>
      <c r="F426" s="86"/>
      <c r="M426" s="121"/>
      <c r="N426" s="121"/>
      <c r="O426" s="121"/>
      <c r="P426" s="121"/>
      <c r="Q426" s="30"/>
      <c r="R426" s="30"/>
      <c r="S426" s="22"/>
      <c r="T426" s="35"/>
      <c r="U426" s="35"/>
      <c r="V426" s="35"/>
      <c r="W426" s="35"/>
      <c r="X426" s="31"/>
      <c r="Y426" s="32"/>
      <c r="Z426" s="32"/>
      <c r="AA426" s="89"/>
      <c r="AB426" s="22"/>
      <c r="AC426" s="22"/>
    </row>
    <row r="427" spans="1:29">
      <c r="A427" s="21"/>
      <c r="B427" s="21"/>
      <c r="C427" s="46"/>
      <c r="F427" s="86"/>
      <c r="M427" s="121"/>
      <c r="N427" s="121"/>
      <c r="O427" s="121"/>
      <c r="P427" s="121"/>
      <c r="Q427" s="30"/>
      <c r="R427" s="30"/>
      <c r="S427" s="22"/>
      <c r="T427" s="35"/>
      <c r="U427" s="35"/>
      <c r="V427" s="35"/>
      <c r="W427" s="35"/>
      <c r="X427" s="31"/>
      <c r="Y427" s="32"/>
      <c r="Z427" s="32"/>
      <c r="AA427" s="22"/>
      <c r="AB427" s="22"/>
      <c r="AC427" s="22"/>
    </row>
    <row r="428" spans="1:29">
      <c r="A428" s="21"/>
      <c r="B428" s="21"/>
      <c r="C428" s="46"/>
      <c r="F428" s="86"/>
      <c r="M428" s="121"/>
      <c r="N428" s="121"/>
      <c r="O428" s="121"/>
      <c r="P428" s="121"/>
      <c r="Q428" s="30"/>
      <c r="R428" s="30"/>
      <c r="S428" s="22"/>
      <c r="T428" s="35"/>
      <c r="U428" s="35"/>
      <c r="V428" s="35"/>
      <c r="W428" s="35"/>
      <c r="X428" s="31"/>
      <c r="Y428" s="32"/>
      <c r="Z428" s="32"/>
      <c r="AA428" s="22"/>
      <c r="AB428" s="22"/>
      <c r="AC428" s="22"/>
    </row>
    <row r="429" spans="1:29">
      <c r="A429" s="21"/>
      <c r="B429" s="21"/>
      <c r="C429" s="46"/>
      <c r="F429" s="77"/>
      <c r="M429" s="121"/>
      <c r="N429" s="121"/>
      <c r="O429" s="121"/>
      <c r="P429" s="121"/>
      <c r="Q429" s="30"/>
      <c r="R429" s="30"/>
      <c r="S429" s="22"/>
      <c r="T429" s="35"/>
      <c r="U429" s="35"/>
      <c r="V429" s="35"/>
      <c r="W429" s="35"/>
      <c r="X429" s="31"/>
      <c r="Y429" s="32"/>
      <c r="Z429" s="32"/>
      <c r="AA429" s="22"/>
      <c r="AB429" s="22"/>
      <c r="AC429" s="22"/>
    </row>
    <row r="430" spans="1:29">
      <c r="A430" s="21"/>
      <c r="B430" s="21"/>
      <c r="C430" s="46"/>
      <c r="M430" s="121"/>
      <c r="N430" s="121"/>
      <c r="O430" s="121"/>
      <c r="P430" s="121"/>
      <c r="Q430" s="30"/>
      <c r="R430" s="30"/>
      <c r="S430" s="22"/>
      <c r="U430" s="35"/>
      <c r="V430" s="35"/>
      <c r="X430" s="31"/>
      <c r="Y430" s="32"/>
      <c r="Z430" s="32"/>
      <c r="AA430" s="22"/>
      <c r="AB430" s="22"/>
      <c r="AC430" s="22"/>
    </row>
    <row r="431" spans="1:29">
      <c r="A431" s="21"/>
      <c r="B431" s="21"/>
      <c r="C431" s="46"/>
      <c r="M431" s="121"/>
      <c r="N431" s="121"/>
      <c r="O431" s="121"/>
      <c r="P431" s="121"/>
      <c r="Q431" s="30"/>
      <c r="R431" s="30"/>
      <c r="S431" s="22"/>
      <c r="T431" s="35"/>
      <c r="U431" s="35"/>
      <c r="V431" s="35"/>
      <c r="W431" s="35"/>
      <c r="X431" s="31"/>
      <c r="Y431" s="32"/>
      <c r="Z431" s="32"/>
      <c r="AA431" s="22"/>
      <c r="AB431" s="22"/>
      <c r="AC431" s="22"/>
    </row>
    <row r="432" spans="1:29">
      <c r="A432" s="21"/>
      <c r="B432" s="21"/>
      <c r="C432" s="46"/>
      <c r="M432" s="121"/>
      <c r="N432" s="121"/>
      <c r="O432" s="121"/>
      <c r="P432" s="121"/>
      <c r="Q432" s="30"/>
      <c r="R432" s="30"/>
      <c r="S432" s="22"/>
      <c r="T432" s="35"/>
      <c r="U432" s="35"/>
      <c r="V432" s="35"/>
      <c r="W432" s="35"/>
      <c r="X432" s="31"/>
      <c r="Y432" s="32"/>
      <c r="Z432" s="32"/>
      <c r="AA432" s="22"/>
      <c r="AB432" s="22"/>
      <c r="AC432" s="22"/>
    </row>
    <row r="433" spans="1:29">
      <c r="A433" s="21"/>
      <c r="B433" s="21"/>
      <c r="C433" s="46"/>
      <c r="M433" s="121"/>
      <c r="N433" s="121"/>
      <c r="O433" s="121"/>
      <c r="P433" s="121"/>
      <c r="Q433" s="30"/>
      <c r="R433" s="30"/>
      <c r="S433" s="22"/>
      <c r="T433" s="35"/>
      <c r="U433" s="35"/>
      <c r="V433" s="35"/>
      <c r="W433" s="35"/>
      <c r="X433" s="31"/>
      <c r="Y433" s="32"/>
      <c r="Z433" s="32"/>
      <c r="AA433" s="22"/>
      <c r="AB433" s="22"/>
      <c r="AC433" s="22"/>
    </row>
    <row r="434" spans="1:29">
      <c r="A434" s="21"/>
      <c r="B434" s="21"/>
      <c r="C434" s="46"/>
      <c r="M434" s="121"/>
      <c r="N434" s="121"/>
      <c r="O434" s="121"/>
      <c r="P434" s="121"/>
      <c r="Q434" s="30"/>
      <c r="R434" s="30"/>
      <c r="S434" s="22"/>
      <c r="T434" s="35"/>
      <c r="U434" s="35"/>
      <c r="V434" s="35"/>
      <c r="W434" s="35"/>
      <c r="X434" s="31"/>
      <c r="Y434" s="32"/>
      <c r="Z434" s="32"/>
      <c r="AA434" s="22"/>
      <c r="AB434" s="22"/>
      <c r="AC434" s="22"/>
    </row>
    <row r="435" spans="1:29">
      <c r="A435" s="21"/>
      <c r="B435" s="21"/>
      <c r="C435" s="46"/>
      <c r="M435" s="121"/>
      <c r="N435" s="121"/>
      <c r="O435" s="121"/>
      <c r="P435" s="121"/>
      <c r="Q435" s="30"/>
      <c r="R435" s="30"/>
      <c r="S435" s="22"/>
      <c r="T435" s="35"/>
      <c r="U435" s="35"/>
      <c r="V435" s="35"/>
      <c r="W435" s="35"/>
      <c r="X435" s="31"/>
      <c r="Y435" s="32"/>
      <c r="Z435" s="32"/>
      <c r="AA435" s="22"/>
      <c r="AB435" s="22"/>
      <c r="AC435" s="22"/>
    </row>
    <row r="436" spans="1:29">
      <c r="A436" s="21"/>
      <c r="B436" s="21"/>
      <c r="C436" s="46"/>
      <c r="M436" s="121"/>
      <c r="N436" s="121"/>
      <c r="O436" s="121"/>
      <c r="P436" s="121"/>
      <c r="Q436" s="30"/>
      <c r="R436" s="30"/>
      <c r="S436" s="22"/>
      <c r="T436" s="35"/>
      <c r="U436" s="35"/>
      <c r="V436" s="35"/>
      <c r="W436" s="35"/>
      <c r="X436" s="31"/>
      <c r="Y436" s="32"/>
      <c r="Z436" s="32"/>
      <c r="AA436" s="22"/>
      <c r="AB436" s="22"/>
      <c r="AC436" s="22"/>
    </row>
    <row r="437" spans="1:29">
      <c r="A437" s="21"/>
      <c r="B437" s="21"/>
      <c r="C437" s="46"/>
      <c r="M437" s="121"/>
      <c r="N437" s="121"/>
      <c r="O437" s="121"/>
      <c r="P437" s="121"/>
      <c r="Q437" s="30"/>
      <c r="R437" s="30"/>
      <c r="S437" s="22"/>
      <c r="T437" s="35"/>
      <c r="U437" s="35"/>
      <c r="V437" s="35"/>
      <c r="W437" s="35"/>
      <c r="X437" s="31"/>
      <c r="Y437" s="32"/>
      <c r="Z437" s="32"/>
      <c r="AA437" s="22"/>
      <c r="AB437" s="22"/>
      <c r="AC437" s="22"/>
    </row>
    <row r="438" spans="1:29">
      <c r="A438" s="21"/>
      <c r="B438" s="21"/>
      <c r="C438" s="46"/>
      <c r="G438" s="18"/>
      <c r="M438" s="121"/>
      <c r="N438" s="121"/>
      <c r="O438" s="121"/>
      <c r="P438" s="121"/>
      <c r="Q438" s="30"/>
      <c r="R438" s="30"/>
      <c r="S438" s="22"/>
      <c r="T438" s="35"/>
      <c r="U438" s="35"/>
      <c r="V438" s="35"/>
      <c r="W438" s="35"/>
      <c r="X438" s="31"/>
      <c r="Y438" s="32"/>
      <c r="Z438" s="32"/>
      <c r="AA438" s="22"/>
      <c r="AB438" s="22"/>
      <c r="AC438" s="22"/>
    </row>
    <row r="439" spans="1:29">
      <c r="A439" s="21"/>
      <c r="B439" s="21"/>
      <c r="C439" s="46"/>
      <c r="M439" s="121"/>
      <c r="N439" s="121"/>
      <c r="O439" s="121"/>
      <c r="P439" s="121"/>
      <c r="Q439" s="30"/>
      <c r="R439" s="30"/>
      <c r="S439" s="22"/>
      <c r="T439" s="35"/>
      <c r="U439" s="35"/>
      <c r="V439" s="35"/>
      <c r="W439" s="35"/>
      <c r="X439" s="31"/>
      <c r="Y439" s="32"/>
      <c r="Z439" s="32"/>
      <c r="AA439" s="22"/>
      <c r="AB439" s="22"/>
      <c r="AC439" s="22"/>
    </row>
    <row r="440" spans="1:29">
      <c r="A440" s="21"/>
      <c r="B440" s="21"/>
      <c r="C440" s="46"/>
      <c r="M440" s="121"/>
      <c r="N440" s="121"/>
      <c r="O440" s="121"/>
      <c r="P440" s="121"/>
      <c r="Q440" s="30"/>
      <c r="R440" s="30"/>
      <c r="S440" s="22"/>
      <c r="T440" s="35"/>
      <c r="U440" s="35"/>
      <c r="V440" s="35"/>
      <c r="W440" s="35"/>
      <c r="X440" s="31"/>
      <c r="Y440" s="32"/>
      <c r="Z440" s="32"/>
      <c r="AA440" s="22"/>
      <c r="AB440" s="22"/>
      <c r="AC440" s="22"/>
    </row>
    <row r="441" spans="1:29">
      <c r="A441" s="21"/>
      <c r="B441" s="21"/>
      <c r="C441" s="46"/>
      <c r="M441" s="121"/>
      <c r="N441" s="121"/>
      <c r="O441" s="121"/>
      <c r="P441" s="121"/>
      <c r="Q441" s="30"/>
      <c r="R441" s="30"/>
      <c r="S441" s="22"/>
      <c r="T441" s="35"/>
      <c r="U441" s="35"/>
      <c r="V441" s="35"/>
      <c r="W441" s="35"/>
      <c r="X441" s="31"/>
      <c r="Y441" s="32"/>
      <c r="Z441" s="32"/>
      <c r="AA441" s="22"/>
      <c r="AB441" s="22"/>
      <c r="AC441" s="22"/>
    </row>
    <row r="442" spans="1:29">
      <c r="A442" s="21"/>
      <c r="B442" s="21"/>
      <c r="C442" s="46"/>
      <c r="M442" s="121"/>
      <c r="N442" s="121"/>
      <c r="O442" s="121"/>
      <c r="P442" s="121"/>
      <c r="Q442" s="30"/>
      <c r="R442" s="30"/>
      <c r="S442" s="22"/>
      <c r="T442" s="35"/>
      <c r="U442" s="35"/>
      <c r="V442" s="35"/>
      <c r="W442" s="35"/>
      <c r="X442" s="31"/>
      <c r="Y442" s="32"/>
      <c r="Z442" s="32"/>
      <c r="AA442" s="22"/>
      <c r="AB442" s="22"/>
      <c r="AC442" s="22"/>
    </row>
    <row r="443" spans="1:29">
      <c r="A443" s="21"/>
      <c r="B443" s="21"/>
      <c r="C443" s="46"/>
      <c r="M443" s="121"/>
      <c r="N443" s="121"/>
      <c r="O443" s="121"/>
      <c r="P443" s="121"/>
      <c r="Q443" s="30"/>
      <c r="R443" s="30"/>
      <c r="S443" s="22"/>
      <c r="T443" s="35"/>
      <c r="U443" s="35"/>
      <c r="V443" s="35"/>
      <c r="W443" s="35"/>
      <c r="X443" s="31"/>
      <c r="Y443" s="32"/>
      <c r="Z443" s="32"/>
      <c r="AA443" s="22"/>
      <c r="AB443" s="22"/>
      <c r="AC443" s="22"/>
    </row>
    <row r="444" spans="1:29">
      <c r="A444" s="21"/>
      <c r="B444" s="21"/>
      <c r="C444" s="46"/>
      <c r="M444" s="121"/>
      <c r="N444" s="121"/>
      <c r="O444" s="121"/>
      <c r="P444" s="121"/>
      <c r="Q444" s="30"/>
      <c r="R444" s="30"/>
      <c r="S444" s="22"/>
      <c r="T444" s="35"/>
      <c r="U444" s="35"/>
      <c r="V444" s="35"/>
      <c r="W444" s="35"/>
      <c r="X444" s="31"/>
      <c r="Y444" s="32"/>
      <c r="Z444" s="32"/>
      <c r="AA444" s="22"/>
      <c r="AB444" s="22"/>
      <c r="AC444" s="22"/>
    </row>
    <row r="445" spans="1:29">
      <c r="A445" s="21"/>
      <c r="B445" s="21"/>
      <c r="C445" s="46"/>
      <c r="M445" s="121"/>
      <c r="N445" s="121"/>
      <c r="O445" s="121"/>
      <c r="P445" s="121"/>
      <c r="Q445" s="30"/>
      <c r="R445" s="30"/>
      <c r="S445" s="22"/>
      <c r="T445" s="35"/>
      <c r="U445" s="35"/>
      <c r="V445" s="35"/>
      <c r="W445" s="35"/>
      <c r="X445" s="31"/>
      <c r="Y445" s="32"/>
      <c r="Z445" s="32"/>
      <c r="AA445" s="22"/>
      <c r="AB445" s="22"/>
      <c r="AC445" s="22"/>
    </row>
    <row r="446" spans="1:29">
      <c r="A446" s="21"/>
      <c r="B446" s="21"/>
      <c r="C446" s="46"/>
      <c r="M446" s="121"/>
      <c r="N446" s="121"/>
      <c r="O446" s="121"/>
      <c r="P446" s="121"/>
      <c r="Q446" s="30"/>
      <c r="R446" s="30"/>
      <c r="S446" s="22"/>
      <c r="T446" s="35"/>
      <c r="U446" s="35"/>
      <c r="V446" s="35"/>
      <c r="W446" s="35"/>
      <c r="X446" s="31"/>
      <c r="Y446" s="32"/>
      <c r="Z446" s="32"/>
      <c r="AA446" s="22"/>
      <c r="AB446" s="22"/>
      <c r="AC446" s="22"/>
    </row>
    <row r="447" spans="1:29">
      <c r="A447" s="21"/>
      <c r="B447" s="21"/>
      <c r="C447" s="46"/>
      <c r="M447" s="121"/>
      <c r="N447" s="121"/>
      <c r="O447" s="121"/>
      <c r="P447" s="121"/>
      <c r="Q447" s="30"/>
      <c r="R447" s="30"/>
      <c r="S447" s="22"/>
      <c r="T447" s="35"/>
      <c r="U447" s="35"/>
      <c r="V447" s="35"/>
      <c r="W447" s="35"/>
      <c r="X447" s="31"/>
      <c r="Y447" s="32"/>
      <c r="Z447" s="32"/>
      <c r="AA447" s="22"/>
      <c r="AB447" s="22"/>
      <c r="AC447" s="22"/>
    </row>
    <row r="448" spans="1:29">
      <c r="A448" s="21"/>
      <c r="B448" s="21"/>
      <c r="C448" s="46"/>
      <c r="M448" s="121"/>
      <c r="N448" s="121"/>
      <c r="O448" s="121"/>
      <c r="P448" s="121"/>
      <c r="Q448" s="30"/>
      <c r="R448" s="30"/>
      <c r="S448" s="22"/>
      <c r="T448" s="35"/>
      <c r="U448" s="35"/>
      <c r="V448" s="35"/>
      <c r="W448" s="35"/>
      <c r="X448" s="31"/>
      <c r="Y448" s="32"/>
      <c r="Z448" s="32"/>
      <c r="AA448" s="22"/>
      <c r="AB448" s="22"/>
      <c r="AC448" s="22"/>
    </row>
    <row r="449" spans="1:29">
      <c r="A449" s="21"/>
      <c r="B449" s="21"/>
      <c r="C449" s="46"/>
      <c r="M449" s="121"/>
      <c r="N449" s="121"/>
      <c r="O449" s="121"/>
      <c r="P449" s="121"/>
      <c r="Q449" s="30"/>
      <c r="R449" s="30"/>
      <c r="S449" s="22"/>
      <c r="T449" s="35"/>
      <c r="U449" s="35"/>
      <c r="V449" s="35"/>
      <c r="W449" s="35"/>
      <c r="X449" s="31"/>
      <c r="Y449" s="32"/>
      <c r="Z449" s="32"/>
      <c r="AA449" s="22"/>
      <c r="AB449" s="22"/>
      <c r="AC449" s="22"/>
    </row>
    <row r="450" spans="1:29">
      <c r="A450" s="21"/>
      <c r="B450" s="21"/>
      <c r="C450" s="46"/>
      <c r="M450" s="121"/>
      <c r="N450" s="121"/>
      <c r="O450" s="121"/>
      <c r="P450" s="121"/>
      <c r="Q450" s="30"/>
      <c r="R450" s="30"/>
      <c r="S450" s="22"/>
      <c r="T450" s="35"/>
      <c r="U450" s="35"/>
      <c r="V450" s="35"/>
      <c r="W450" s="35"/>
      <c r="X450" s="31"/>
      <c r="Y450" s="32"/>
      <c r="Z450" s="32"/>
      <c r="AA450" s="22"/>
      <c r="AB450" s="22"/>
      <c r="AC450" s="22"/>
    </row>
    <row r="451" spans="1:29">
      <c r="A451" s="21"/>
      <c r="B451" s="21"/>
      <c r="C451" s="46"/>
      <c r="M451" s="121"/>
      <c r="N451" s="121"/>
      <c r="O451" s="121"/>
      <c r="P451" s="121"/>
      <c r="Q451" s="30"/>
      <c r="R451" s="30"/>
      <c r="S451" s="22"/>
      <c r="T451" s="35"/>
      <c r="U451" s="35"/>
      <c r="V451" s="35"/>
      <c r="W451" s="35"/>
      <c r="X451" s="31"/>
      <c r="Y451" s="32"/>
      <c r="Z451" s="32"/>
      <c r="AA451" s="22"/>
      <c r="AB451" s="22"/>
      <c r="AC451" s="22"/>
    </row>
    <row r="452" spans="1:29">
      <c r="A452" s="21"/>
      <c r="B452" s="21"/>
      <c r="C452" s="46"/>
      <c r="M452" s="121"/>
      <c r="N452" s="121"/>
      <c r="O452" s="121"/>
      <c r="P452" s="121"/>
      <c r="Q452" s="30"/>
      <c r="R452" s="30"/>
      <c r="S452" s="22"/>
      <c r="T452" s="35"/>
      <c r="U452" s="35"/>
      <c r="V452" s="35"/>
      <c r="W452" s="35"/>
      <c r="X452" s="31"/>
      <c r="Y452" s="32"/>
      <c r="Z452" s="32"/>
      <c r="AA452" s="22"/>
      <c r="AB452" s="22"/>
      <c r="AC452" s="22"/>
    </row>
    <row r="453" spans="1:29">
      <c r="A453" s="21"/>
      <c r="B453" s="21"/>
      <c r="C453" s="46"/>
      <c r="M453" s="121"/>
      <c r="N453" s="121"/>
      <c r="O453" s="121"/>
      <c r="P453" s="121"/>
      <c r="Q453" s="30"/>
      <c r="R453" s="30"/>
      <c r="S453" s="22"/>
      <c r="T453" s="35"/>
      <c r="U453" s="35"/>
      <c r="V453" s="35"/>
      <c r="W453" s="35"/>
      <c r="X453" s="31"/>
      <c r="Y453" s="32"/>
      <c r="Z453" s="32"/>
      <c r="AA453" s="22"/>
      <c r="AB453" s="22"/>
      <c r="AC453" s="22"/>
    </row>
    <row r="454" spans="1:29">
      <c r="A454" s="21"/>
      <c r="B454" s="21"/>
      <c r="C454" s="46"/>
      <c r="M454" s="121"/>
      <c r="N454" s="121"/>
      <c r="O454" s="121"/>
      <c r="P454" s="121"/>
      <c r="Q454" s="30"/>
      <c r="R454" s="30"/>
      <c r="S454" s="22"/>
      <c r="T454" s="35"/>
      <c r="U454" s="35"/>
      <c r="V454" s="35"/>
      <c r="W454" s="35"/>
      <c r="X454" s="31"/>
      <c r="Y454" s="32"/>
      <c r="Z454" s="32"/>
      <c r="AA454" s="22"/>
      <c r="AB454" s="22"/>
      <c r="AC454" s="22"/>
    </row>
    <row r="455" spans="1:29">
      <c r="A455" s="21"/>
      <c r="B455" s="21"/>
      <c r="C455" s="46"/>
      <c r="M455" s="121"/>
      <c r="N455" s="121"/>
      <c r="O455" s="121"/>
      <c r="P455" s="121"/>
      <c r="Q455" s="30"/>
      <c r="R455" s="30"/>
      <c r="S455" s="22"/>
      <c r="T455" s="35"/>
      <c r="U455" s="35"/>
      <c r="V455" s="35"/>
      <c r="W455" s="35"/>
      <c r="X455" s="31"/>
      <c r="Y455" s="32"/>
      <c r="Z455" s="32"/>
      <c r="AA455" s="22"/>
      <c r="AB455" s="22"/>
      <c r="AC455" s="22"/>
    </row>
    <row r="456" spans="1:29">
      <c r="A456" s="21"/>
      <c r="B456" s="21"/>
      <c r="C456" s="46"/>
      <c r="M456" s="121"/>
      <c r="N456" s="121"/>
      <c r="O456" s="121"/>
      <c r="P456" s="121"/>
      <c r="Q456" s="30"/>
      <c r="R456" s="30"/>
      <c r="S456" s="22"/>
      <c r="T456" s="35"/>
      <c r="U456" s="35"/>
      <c r="V456" s="35"/>
      <c r="W456" s="35"/>
      <c r="X456" s="31"/>
      <c r="Y456" s="32"/>
      <c r="Z456" s="32"/>
      <c r="AA456" s="22"/>
      <c r="AB456" s="22"/>
      <c r="AC456" s="22"/>
    </row>
    <row r="457" spans="1:29">
      <c r="A457" s="21"/>
      <c r="B457" s="21"/>
      <c r="C457" s="46"/>
      <c r="M457" s="121"/>
      <c r="N457" s="121"/>
      <c r="O457" s="121"/>
      <c r="P457" s="121"/>
      <c r="Q457" s="30"/>
      <c r="R457" s="30"/>
      <c r="S457" s="22"/>
      <c r="T457" s="35"/>
      <c r="U457" s="35"/>
      <c r="V457" s="35"/>
      <c r="W457" s="35"/>
      <c r="X457" s="31"/>
      <c r="Y457" s="32"/>
      <c r="Z457" s="32"/>
      <c r="AA457" s="22"/>
      <c r="AB457" s="22"/>
      <c r="AC457" s="22"/>
    </row>
    <row r="458" spans="1:29">
      <c r="A458" s="21"/>
      <c r="B458" s="21"/>
      <c r="C458" s="46"/>
      <c r="M458" s="121"/>
      <c r="N458" s="121"/>
      <c r="O458" s="121"/>
      <c r="P458" s="121"/>
      <c r="Q458" s="30"/>
      <c r="R458" s="30"/>
      <c r="S458" s="22"/>
      <c r="T458" s="35"/>
      <c r="U458" s="35"/>
      <c r="V458" s="35"/>
      <c r="W458" s="35"/>
      <c r="X458" s="31"/>
      <c r="Y458" s="32"/>
      <c r="Z458" s="32"/>
      <c r="AA458" s="22"/>
      <c r="AB458" s="22"/>
      <c r="AC458" s="22"/>
    </row>
    <row r="459" spans="1:29">
      <c r="A459" s="21"/>
      <c r="B459" s="21"/>
      <c r="C459" s="46"/>
      <c r="M459" s="121"/>
      <c r="N459" s="121"/>
      <c r="O459" s="121"/>
      <c r="P459" s="121"/>
      <c r="Q459" s="30"/>
      <c r="R459" s="30"/>
      <c r="S459" s="22"/>
      <c r="T459" s="35"/>
      <c r="U459" s="35"/>
      <c r="V459" s="35"/>
      <c r="W459" s="35"/>
      <c r="X459" s="31"/>
      <c r="Y459" s="32"/>
      <c r="Z459" s="32"/>
      <c r="AA459" s="22"/>
      <c r="AB459" s="22"/>
      <c r="AC459" s="22"/>
    </row>
    <row r="460" spans="1:29">
      <c r="A460" s="21"/>
      <c r="B460" s="21"/>
      <c r="C460" s="46"/>
      <c r="M460" s="121"/>
      <c r="N460" s="121"/>
      <c r="O460" s="121"/>
      <c r="P460" s="121"/>
      <c r="Q460" s="30"/>
      <c r="R460" s="30"/>
      <c r="S460" s="22"/>
      <c r="T460" s="35"/>
      <c r="U460" s="35"/>
      <c r="V460" s="35"/>
      <c r="W460" s="35"/>
      <c r="X460" s="31"/>
      <c r="Y460" s="32"/>
      <c r="Z460" s="32"/>
      <c r="AA460" s="22"/>
      <c r="AB460" s="22"/>
      <c r="AC460" s="22"/>
    </row>
    <row r="461" spans="1:29">
      <c r="A461" s="21"/>
      <c r="B461" s="21"/>
      <c r="C461" s="46"/>
      <c r="M461" s="121"/>
      <c r="N461" s="121"/>
      <c r="O461" s="121"/>
      <c r="P461" s="121"/>
      <c r="Q461" s="30"/>
      <c r="R461" s="30"/>
      <c r="S461" s="22"/>
      <c r="T461" s="35"/>
      <c r="U461" s="35"/>
      <c r="V461" s="35"/>
      <c r="W461" s="35"/>
      <c r="X461" s="31"/>
      <c r="Y461" s="32"/>
      <c r="Z461" s="32"/>
      <c r="AA461" s="22"/>
      <c r="AB461" s="22"/>
      <c r="AC461" s="22"/>
    </row>
    <row r="462" spans="1:29">
      <c r="A462" s="21"/>
      <c r="B462" s="21"/>
      <c r="C462" s="46"/>
      <c r="M462" s="121"/>
      <c r="N462" s="121"/>
      <c r="O462" s="121"/>
      <c r="P462" s="121"/>
      <c r="Q462" s="30"/>
      <c r="R462" s="30"/>
      <c r="S462" s="22"/>
      <c r="T462" s="35"/>
      <c r="U462" s="35"/>
      <c r="V462" s="35"/>
      <c r="W462" s="35"/>
      <c r="X462" s="31"/>
      <c r="Y462" s="32"/>
      <c r="Z462" s="32"/>
      <c r="AA462" s="22"/>
      <c r="AB462" s="22"/>
      <c r="AC462" s="22"/>
    </row>
    <row r="463" spans="1:29">
      <c r="A463" s="21"/>
      <c r="B463" s="21"/>
      <c r="C463" s="46"/>
      <c r="M463" s="121"/>
      <c r="N463" s="121"/>
      <c r="O463" s="121"/>
      <c r="P463" s="121"/>
      <c r="Q463" s="30"/>
      <c r="R463" s="30"/>
      <c r="S463" s="22"/>
      <c r="T463" s="35"/>
      <c r="U463" s="35"/>
      <c r="V463" s="35"/>
      <c r="W463" s="35"/>
      <c r="X463" s="31"/>
      <c r="Y463" s="32"/>
      <c r="Z463" s="32"/>
      <c r="AA463" s="22"/>
      <c r="AB463" s="22"/>
      <c r="AC463" s="22"/>
    </row>
    <row r="464" spans="1:29">
      <c r="A464" s="21"/>
      <c r="B464" s="21"/>
      <c r="C464" s="46"/>
      <c r="M464" s="121"/>
      <c r="N464" s="121"/>
      <c r="O464" s="121"/>
      <c r="P464" s="121"/>
      <c r="Q464" s="30"/>
      <c r="R464" s="30"/>
      <c r="S464" s="22"/>
      <c r="T464" s="35"/>
      <c r="U464" s="35"/>
      <c r="V464" s="35"/>
      <c r="W464" s="35"/>
      <c r="X464" s="31"/>
      <c r="Y464" s="32"/>
      <c r="Z464" s="32"/>
      <c r="AA464" s="22"/>
      <c r="AB464" s="22"/>
      <c r="AC464" s="22"/>
    </row>
    <row r="465" spans="1:29">
      <c r="A465" s="21"/>
      <c r="B465" s="21"/>
      <c r="C465" s="46"/>
      <c r="M465" s="121"/>
      <c r="N465" s="121"/>
      <c r="O465" s="121"/>
      <c r="P465" s="121"/>
      <c r="Q465" s="30"/>
      <c r="R465" s="30"/>
      <c r="S465" s="22"/>
      <c r="T465" s="35"/>
      <c r="U465" s="35"/>
      <c r="V465" s="35"/>
      <c r="W465" s="35"/>
      <c r="X465" s="31"/>
      <c r="Y465" s="32"/>
      <c r="Z465" s="32"/>
      <c r="AA465" s="22"/>
      <c r="AB465" s="22"/>
      <c r="AC465" s="22"/>
    </row>
    <row r="466" spans="1:29">
      <c r="A466" s="21"/>
      <c r="B466" s="21"/>
      <c r="C466" s="46"/>
      <c r="E466" s="16"/>
      <c r="F466" s="77"/>
      <c r="M466" s="121"/>
      <c r="N466" s="121"/>
      <c r="O466" s="121"/>
      <c r="P466" s="121"/>
      <c r="Q466" s="30"/>
      <c r="R466" s="30"/>
      <c r="S466" s="22"/>
      <c r="T466" s="35"/>
      <c r="U466" s="35"/>
      <c r="V466" s="35"/>
      <c r="W466" s="35"/>
      <c r="X466" s="31"/>
      <c r="Y466" s="32"/>
      <c r="Z466" s="32"/>
      <c r="AA466" s="22"/>
      <c r="AB466" s="22"/>
      <c r="AC466" s="22"/>
    </row>
    <row r="467" spans="1:29">
      <c r="A467" s="21"/>
      <c r="B467" s="21"/>
      <c r="C467" s="46"/>
      <c r="E467" s="16"/>
      <c r="F467" s="77"/>
      <c r="M467" s="121"/>
      <c r="N467" s="121"/>
      <c r="O467" s="121"/>
      <c r="P467" s="121"/>
      <c r="Q467" s="30"/>
      <c r="R467" s="30"/>
      <c r="S467" s="22"/>
      <c r="T467" s="35"/>
      <c r="U467" s="35"/>
      <c r="V467" s="35"/>
      <c r="W467" s="35"/>
      <c r="X467" s="31"/>
      <c r="Y467" s="32"/>
      <c r="Z467" s="32"/>
      <c r="AA467" s="22"/>
      <c r="AB467" s="22"/>
      <c r="AC467" s="22"/>
    </row>
    <row r="468" spans="1:29">
      <c r="A468" s="21"/>
      <c r="B468" s="21"/>
      <c r="C468" s="46"/>
      <c r="F468" s="77"/>
      <c r="M468" s="121"/>
      <c r="N468" s="121"/>
      <c r="O468" s="121"/>
      <c r="P468" s="121"/>
      <c r="Q468" s="30"/>
      <c r="R468" s="30"/>
      <c r="S468" s="22"/>
      <c r="T468" s="35"/>
      <c r="U468" s="35"/>
      <c r="V468" s="35"/>
      <c r="W468" s="35"/>
      <c r="X468" s="31"/>
      <c r="Y468" s="32"/>
      <c r="Z468" s="32"/>
      <c r="AA468" s="22"/>
      <c r="AB468" s="22"/>
      <c r="AC468" s="22"/>
    </row>
    <row r="469" spans="1:29">
      <c r="A469" s="21"/>
      <c r="B469" s="21"/>
      <c r="C469" s="46"/>
      <c r="E469" s="135"/>
      <c r="F469" s="87"/>
      <c r="M469" s="121"/>
      <c r="N469" s="121"/>
      <c r="O469" s="121"/>
      <c r="P469" s="121"/>
      <c r="Q469" s="30"/>
      <c r="R469" s="30"/>
      <c r="S469" s="22"/>
      <c r="T469" s="35"/>
      <c r="U469" s="35"/>
      <c r="V469" s="35"/>
      <c r="W469" s="35"/>
      <c r="X469" s="31"/>
      <c r="Y469" s="32"/>
      <c r="Z469" s="32"/>
      <c r="AA469" s="22"/>
      <c r="AB469" s="22"/>
      <c r="AC469" s="22"/>
    </row>
    <row r="470" spans="1:29">
      <c r="A470" s="21"/>
      <c r="B470" s="21"/>
      <c r="C470" s="46"/>
      <c r="E470" s="135"/>
      <c r="F470" s="87"/>
      <c r="M470" s="121"/>
      <c r="N470" s="121"/>
      <c r="O470" s="121"/>
      <c r="P470" s="121"/>
      <c r="Q470" s="30"/>
      <c r="R470" s="30"/>
      <c r="S470" s="22"/>
      <c r="T470" s="35"/>
      <c r="U470" s="35"/>
      <c r="V470" s="35"/>
      <c r="W470" s="35"/>
      <c r="X470" s="31"/>
      <c r="Y470" s="32"/>
      <c r="Z470" s="32"/>
      <c r="AA470" s="22"/>
      <c r="AB470" s="22"/>
      <c r="AC470" s="22"/>
    </row>
    <row r="471" spans="1:29">
      <c r="A471" s="21"/>
      <c r="B471" s="21"/>
      <c r="C471" s="46"/>
      <c r="E471" s="116"/>
      <c r="M471" s="121"/>
      <c r="N471" s="121"/>
      <c r="O471" s="121"/>
      <c r="P471" s="121"/>
      <c r="Q471" s="30"/>
      <c r="R471" s="30"/>
      <c r="S471" s="22"/>
      <c r="T471" s="35"/>
      <c r="U471" s="35"/>
      <c r="V471" s="35"/>
      <c r="W471" s="35"/>
      <c r="X471" s="31"/>
      <c r="Y471" s="32"/>
      <c r="Z471" s="32"/>
      <c r="AA471" s="22"/>
      <c r="AB471" s="22"/>
      <c r="AC471" s="22"/>
    </row>
    <row r="472" spans="1:29" ht="14.45">
      <c r="A472" s="21"/>
      <c r="B472" s="21"/>
      <c r="C472" s="46"/>
      <c r="F472" s="72"/>
      <c r="M472" s="121"/>
      <c r="N472" s="121"/>
      <c r="O472" s="121"/>
      <c r="P472" s="121"/>
      <c r="Q472" s="30"/>
      <c r="R472" s="30"/>
      <c r="S472" s="22"/>
      <c r="T472" s="117"/>
      <c r="U472" s="117"/>
      <c r="V472" s="117"/>
      <c r="W472" s="117"/>
      <c r="X472" s="31"/>
      <c r="Y472" s="32"/>
      <c r="Z472" s="32"/>
      <c r="AA472" s="22"/>
      <c r="AB472" s="22"/>
      <c r="AC472" s="22"/>
    </row>
    <row r="473" spans="1:29">
      <c r="A473" s="21"/>
      <c r="B473" s="21"/>
      <c r="C473" s="46"/>
      <c r="M473" s="121"/>
      <c r="N473" s="121"/>
      <c r="O473" s="121"/>
      <c r="P473" s="121"/>
      <c r="Q473" s="30"/>
      <c r="R473" s="30"/>
      <c r="S473" s="22"/>
      <c r="T473" s="35"/>
      <c r="U473" s="35"/>
      <c r="V473" s="35"/>
      <c r="W473" s="35"/>
      <c r="X473" s="31"/>
      <c r="Y473" s="32"/>
      <c r="Z473" s="32"/>
      <c r="AB473" s="22"/>
      <c r="AC473" s="22"/>
    </row>
    <row r="474" spans="1:29" ht="14.45">
      <c r="A474" s="21"/>
      <c r="B474" s="21"/>
      <c r="C474" s="46"/>
      <c r="F474" s="165"/>
      <c r="M474" s="121"/>
      <c r="N474" s="121"/>
      <c r="O474" s="121"/>
      <c r="P474" s="121"/>
      <c r="Q474" s="30"/>
      <c r="R474" s="30"/>
      <c r="S474" s="22"/>
      <c r="T474" s="35"/>
      <c r="U474" s="35"/>
      <c r="V474" s="35"/>
      <c r="W474" s="35"/>
      <c r="X474" s="31"/>
      <c r="Y474" s="32"/>
      <c r="Z474" s="32"/>
      <c r="AB474" s="22"/>
      <c r="AC474" s="22"/>
    </row>
    <row r="475" spans="1:29">
      <c r="A475" s="21"/>
      <c r="B475" s="21"/>
      <c r="C475" s="46"/>
      <c r="M475" s="121"/>
      <c r="N475" s="121"/>
      <c r="O475" s="121"/>
      <c r="P475" s="121"/>
      <c r="Q475" s="30"/>
      <c r="R475" s="30"/>
      <c r="S475" s="22"/>
      <c r="T475" s="35"/>
      <c r="U475" s="35"/>
      <c r="V475" s="35"/>
      <c r="W475" s="35"/>
      <c r="X475" s="31"/>
      <c r="Y475" s="32"/>
      <c r="Z475" s="32"/>
      <c r="AB475" s="22"/>
      <c r="AC475" s="22"/>
    </row>
    <row r="476" spans="1:29">
      <c r="A476" s="21"/>
      <c r="B476" s="21"/>
      <c r="C476" s="46"/>
      <c r="M476" s="125"/>
      <c r="N476" s="125"/>
      <c r="O476" s="125"/>
      <c r="P476" s="125"/>
      <c r="Q476" s="30"/>
      <c r="R476" s="30"/>
      <c r="S476" s="22"/>
      <c r="T476" s="35"/>
      <c r="U476" s="35"/>
      <c r="V476" s="35"/>
      <c r="W476" s="35"/>
      <c r="X476" s="31"/>
      <c r="Y476" s="32"/>
      <c r="Z476" s="32"/>
    </row>
    <row r="483" spans="8:24">
      <c r="H483" s="16" t="s">
        <v>132</v>
      </c>
    </row>
    <row r="495" spans="8:24">
      <c r="X495" s="141"/>
    </row>
  </sheetData>
  <sheetProtection autoFilter="0"/>
  <autoFilter ref="A1:AD46" xr:uid="{35050070-D89D-45C4-9B95-2EC2400183B0}">
    <filterColumn colId="3">
      <filters>
        <filter val="Anand"/>
      </filters>
    </filterColumn>
  </autoFilter>
  <conditionalFormatting sqref="F1">
    <cfRule type="duplicateValues" dxfId="17" priority="1416"/>
    <cfRule type="duplicateValues" dxfId="16" priority="1417"/>
    <cfRule type="duplicateValues" dxfId="15" priority="1418"/>
  </conditionalFormatting>
  <conditionalFormatting sqref="I1:K1">
    <cfRule type="cellIs" dxfId="14" priority="57" operator="equal">
      <formula>"In progress"</formula>
    </cfRule>
    <cfRule type="expression" dxfId="13" priority="58">
      <formula>$C1="Notstarted"</formula>
    </cfRule>
    <cfRule type="containsText" dxfId="12" priority="59" operator="containsText" text="In Progress">
      <formula>NOT(ISERROR(SEARCH("In Progress",I1)))</formula>
    </cfRule>
    <cfRule type="containsText" dxfId="11" priority="60" operator="containsText" text="Completed">
      <formula>NOT(ISERROR(SEARCH("Completed",I1)))</formula>
    </cfRule>
  </conditionalFormatting>
  <conditionalFormatting sqref="I1:L1048576">
    <cfRule type="cellIs" dxfId="10" priority="141" operator="equal">
      <formula>"Blocked"</formula>
    </cfRule>
    <cfRule type="cellIs" dxfId="9" priority="142" operator="equal">
      <formula>"On Hold"</formula>
    </cfRule>
    <cfRule type="cellIs" dxfId="8" priority="143" operator="equal">
      <formula>"Completed"</formula>
    </cfRule>
    <cfRule type="cellIs" dxfId="7" priority="144" operator="equal">
      <formula>"Not Started"</formula>
    </cfRule>
  </conditionalFormatting>
  <conditionalFormatting sqref="I472:K1048576 I475:L476 I2:L473">
    <cfRule type="cellIs" dxfId="6" priority="18" operator="equal">
      <formula>"In progress"</formula>
    </cfRule>
  </conditionalFormatting>
  <conditionalFormatting sqref="I326:L329 L1:L1048576">
    <cfRule type="cellIs" dxfId="5" priority="66" operator="equal">
      <formula>"In Progress"</formula>
    </cfRule>
  </conditionalFormatting>
  <conditionalFormatting sqref="J219">
    <cfRule type="cellIs" dxfId="4" priority="8" operator="equal">
      <formula>"In Progress"</formula>
    </cfRule>
  </conditionalFormatting>
  <conditionalFormatting sqref="J117:L134">
    <cfRule type="cellIs" dxfId="3" priority="21" operator="equal">
      <formula>"In progress"</formula>
    </cfRule>
  </conditionalFormatting>
  <conditionalFormatting sqref="K186">
    <cfRule type="cellIs" dxfId="2" priority="7" operator="equal">
      <formula>"In Progress"</formula>
    </cfRule>
  </conditionalFormatting>
  <conditionalFormatting sqref="K191:K192">
    <cfRule type="cellIs" dxfId="1" priority="5" operator="equal">
      <formula>"In Progress"</formula>
    </cfRule>
  </conditionalFormatting>
  <conditionalFormatting sqref="K209:K211">
    <cfRule type="cellIs" dxfId="0" priority="2" operator="equal">
      <formula>"In Progress"</formula>
    </cfRule>
  </conditionalFormatting>
  <conditionalFormatting sqref="Y2:Z476">
    <cfRule type="colorScale" priority="2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I1:L1048576" xr:uid="{FB0E84E4-4097-4C0D-9271-13AFA609EF97}">
      <formula1>"Not Started, In Progress,Blocked,Completed"</formula1>
    </dataValidation>
  </dataValidations>
  <hyperlinks>
    <hyperlink ref="F36" r:id="rId1" display="4459023" xr:uid="{987EB1D3-DC9D-43FE-94CA-F10E72DEEB51}"/>
    <hyperlink ref="F35" r:id="rId2" display="4446747" xr:uid="{FA220296-A078-4512-BA26-9B285777754A}"/>
    <hyperlink ref="F34" r:id="rId3" display="4359294" xr:uid="{070AA038-AD9E-4E6A-BA18-CCFFC5F83AA5}"/>
    <hyperlink ref="F33" r:id="rId4" display="https://dev.azure.com/accenturecio08/AutomationProcess_29697/_workitems/edit/4386945/?view=edit" xr:uid="{4FC7AED0-694D-4999-AB29-F3B6E26A7692}"/>
    <hyperlink ref="F32" r:id="rId5" display="https://dev.azure.com/accenturecio08/AutomationProcess_29697/_workitems/edit/4386944/?view=edit" xr:uid="{BAFFDC83-65F5-4D25-80FE-6658A06F14F8}"/>
    <hyperlink ref="F31" r:id="rId6" display="https://dev.azure.com/accenturecio08/AutomationProcess_29697/_workitems/edit/4386942/?view=edit" xr:uid="{B73AC59F-FD3D-4236-B7D0-7D47B33D1742}"/>
    <hyperlink ref="F30" r:id="rId7" display="https://dev.azure.com/accenturecio08/AutomationProcess_29697/_workitems/edit/4386373/?view=edit" xr:uid="{24B80C19-6CF4-48B9-A947-43242AF6C4EF}"/>
    <hyperlink ref="F29" r:id="rId8" display="https://dev.azure.com/accenturecio08/AutomationProcess_29697/_workitems/edit/4386372/?view=edit" xr:uid="{1FB4EE95-9944-499D-A094-FA26C7F4425C}"/>
    <hyperlink ref="F28" r:id="rId9" display="https://dev.azure.com/accenturecio08/AutomationProcess_29697/_workitems/edit/4386371/?view=edit" xr:uid="{ECA2D11C-8A70-435D-AFD3-AF4143908D4B}"/>
    <hyperlink ref="F27" r:id="rId10" display="https://dev.azure.com/accenturecio08/AutomationProcess_29697/_workitems/edit/4381707/?view=edit" xr:uid="{687C5107-BA62-4FBB-80B0-2D900F3A037F}"/>
    <hyperlink ref="F26" r:id="rId11" display="https://dev.azure.com/accenturecio08/AutomationProcess_29697/_workitems/edit/4411451/?view=edit" xr:uid="{F6917324-4219-4450-87C0-66ABA542C01E}"/>
    <hyperlink ref="F25" r:id="rId12" display="https://dev.azure.com/accenturecio08/AutomationProcess_29697/_workitems/edit/4395067/?view=edit" xr:uid="{CF3EF3B6-94B7-4DDA-BD5B-0ED19ACE37E9}"/>
    <hyperlink ref="F24" r:id="rId13" display="https://dev.azure.com/accenturecio08/AutomationProcess_29697/_workitems/edit/4372847/?view=edit" xr:uid="{6DEA9CCE-9A85-4509-998F-9292083E55E9}"/>
    <hyperlink ref="F23" r:id="rId14" display="https://dev.azure.com/accenturecio08/AutomationProcess_29697/_workitems/edit/4371046/?view=edit" xr:uid="{9DD3F13E-90F8-4470-A68D-C0D8A01FA7BA}"/>
    <hyperlink ref="F22" r:id="rId15" display="https://dev.azure.com/accenturecio08/AutomationProcess_29697/_workitems/edit/4368862/?view=edit" xr:uid="{A86F30C3-EB06-489A-BC0C-2BB5683107C5}"/>
    <hyperlink ref="F21" r:id="rId16" display="https://dev.azure.com/accenturecio08/AutomationProcess_29697/_workitems/edit/4368812/?view=edit" xr:uid="{32AA8314-A76A-4FDF-80F5-BB117592B00E}"/>
    <hyperlink ref="F20" r:id="rId17" display="https://dev.azure.com/accenturecio08/AutomationProcess_29697/_workitems/edit/4368224/?view=edit" xr:uid="{CD4EEA32-BE20-4DAA-8835-8CC3D0CDF84D}"/>
    <hyperlink ref="F19" r:id="rId18" display="https://dev.azure.com/accenturecio08/AutomationProcess_29697/_workitems/edit/4368135/?view=edit" xr:uid="{ECA2E094-C652-4DBE-AFEC-B6A805B04C37}"/>
    <hyperlink ref="F18" r:id="rId19" display="https://dev.azure.com/accenturecio08/AutomationProcess_29697/_workitems/edit/4359507/?view=edit" xr:uid="{4A6164AE-B332-4A77-9F99-3565991218D1}"/>
    <hyperlink ref="F17" r:id="rId20" display="https://dev.azure.com/accenturecio08/AutomationProcess_29697/_workitems/edit/4359328/?view=edit" xr:uid="{12E91ED8-B05D-474D-83BD-AD4B2A45D6F7}"/>
    <hyperlink ref="F16" r:id="rId21" display="https://dev.azure.com/accenturecio08/AutomationProcess_29697/_workitems/edit/4359188/?view=edit" xr:uid="{C6C18EC3-E80C-47A9-BEB7-3A760455233D}"/>
    <hyperlink ref="F15" r:id="rId22" display="https://dev.azure.com/accenturecio08/AutomationProcess_29697/_workitems/edit/4377948/?view=edit" xr:uid="{E31FB7B4-08CB-428A-ABF4-A60454E9C55B}"/>
    <hyperlink ref="F14" r:id="rId23" display="https://dev.azure.com/accenturecio08/AutomationProcess_29697/_workitems/edit/4393527/?view=edit" xr:uid="{344F593B-E01B-4366-B970-3D199085F5D5}"/>
    <hyperlink ref="F13" r:id="rId24" display="https://dev.azure.com/accenturecio08/AutomationProcess_29697/_workitems/edit/4391224/?view=edit" xr:uid="{BB2FFBB1-FE71-4801-885A-9F7052F1C13A}"/>
    <hyperlink ref="F12" r:id="rId25" display="https://dev.azure.com/accenturecio08/AutomationProcess_29697/_workitems/edit/4362592/?view=edit" xr:uid="{FB437717-B64D-4CCD-9548-1F0372BFB6B3}"/>
    <hyperlink ref="F11" r:id="rId26" display="https://dev.azure.com/accenturecio08/AutomationProcess_29697/_workitems/edit/4362582/?view=edit" xr:uid="{2B369A6F-B871-4370-8071-198BCC557098}"/>
    <hyperlink ref="F5" r:id="rId27" display="https://dev.azure.com/accenturecio08/AutomationProcess_29697/_workitems/edit/4429530/?view=edit" xr:uid="{CC80B303-F42B-4E03-B705-0BDA17BC3E34}"/>
    <hyperlink ref="F4" r:id="rId28" display="https://dev.azure.com/accenturecio08/AutomationProcess_29697/_workitems/edit/4429521/?view=edit" xr:uid="{BD665F7C-A91E-4799-A782-EA82CEA4AE30}"/>
    <hyperlink ref="F3" r:id="rId29" display="https://dev.azure.com/accenturecio08/AutomationProcess_29697/_workitems/edit/4429519/?view=edit" xr:uid="{4E5686E5-4BDF-4C3F-85ED-9145E221DEDF}"/>
    <hyperlink ref="F2" r:id="rId30" display="https://dev.azure.com/accenturecio08/AutomationProcess_29697/_workitems/edit/4429413/?view=edit" xr:uid="{F49A9538-F03B-438E-8BCE-883D8181F9D8}"/>
    <hyperlink ref="F46" r:id="rId31" display="4446804" xr:uid="{BA16E4EA-4238-45EB-B8EB-486E01D558D9}"/>
  </hyperlinks>
  <pageMargins left="0.7" right="0.7" top="0.75" bottom="0.75" header="0.3" footer="0.3"/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C79B-F496-4ECF-AD17-705D3D2757CB}">
  <dimension ref="A1:AE540"/>
  <sheetViews>
    <sheetView topLeftCell="D1" workbookViewId="0">
      <pane ySplit="1" topLeftCell="A10" activePane="bottomLeft" state="frozen"/>
      <selection pane="bottomLeft" activeCell="F22" sqref="F22"/>
    </sheetView>
  </sheetViews>
  <sheetFormatPr defaultColWidth="8.85546875" defaultRowHeight="14.45"/>
  <cols>
    <col min="1" max="1" width="35.140625" customWidth="1"/>
    <col min="2" max="2" width="21.140625" bestFit="1" customWidth="1"/>
    <col min="3" max="3" width="12.42578125" bestFit="1" customWidth="1"/>
    <col min="4" max="4" width="8.5703125" bestFit="1" customWidth="1"/>
    <col min="5" max="5" width="8.7109375" bestFit="1" customWidth="1"/>
    <col min="6" max="6" width="12.140625" customWidth="1"/>
    <col min="7" max="7" width="13.42578125" bestFit="1" customWidth="1"/>
    <col min="8" max="8" width="13.85546875" customWidth="1"/>
    <col min="9" max="9" width="30.42578125" customWidth="1"/>
    <col min="10" max="10" width="51.28515625" customWidth="1"/>
    <col min="11" max="11" width="76" customWidth="1"/>
    <col min="12" max="12" width="21.140625" customWidth="1"/>
    <col min="13" max="13" width="17" bestFit="1" customWidth="1"/>
    <col min="14" max="14" width="16.5703125" bestFit="1" customWidth="1"/>
    <col min="15" max="15" width="14.140625" customWidth="1"/>
    <col min="16" max="16" width="21.5703125" customWidth="1"/>
    <col min="17" max="17" width="16.42578125" bestFit="1" customWidth="1"/>
    <col min="18" max="18" width="7.42578125" bestFit="1" customWidth="1"/>
    <col min="19" max="19" width="14.140625" customWidth="1"/>
    <col min="20" max="20" width="19.140625" bestFit="1" customWidth="1"/>
    <col min="21" max="21" width="23.42578125" bestFit="1" customWidth="1"/>
    <col min="22" max="22" width="70.42578125" bestFit="1" customWidth="1"/>
    <col min="23" max="23" width="16.42578125" bestFit="1" customWidth="1"/>
    <col min="24" max="24" width="66.140625" bestFit="1" customWidth="1"/>
    <col min="25" max="25" width="81.140625" bestFit="1" customWidth="1"/>
    <col min="26" max="26" width="83.140625" bestFit="1" customWidth="1"/>
    <col min="27" max="27" width="10.5703125" customWidth="1"/>
    <col min="28" max="28" width="10.42578125" bestFit="1" customWidth="1"/>
    <col min="29" max="29" width="55.140625" customWidth="1"/>
    <col min="30" max="30" width="13.42578125" customWidth="1"/>
    <col min="31" max="31" width="24.140625" customWidth="1"/>
  </cols>
  <sheetData>
    <row r="1" spans="1:31">
      <c r="A1" s="175" t="s">
        <v>10</v>
      </c>
      <c r="B1" s="175" t="s">
        <v>133</v>
      </c>
      <c r="C1" s="175" t="s">
        <v>134</v>
      </c>
      <c r="D1" s="175" t="s">
        <v>135</v>
      </c>
      <c r="E1" s="175" t="s">
        <v>136</v>
      </c>
      <c r="F1" s="175" t="s">
        <v>14</v>
      </c>
      <c r="G1" s="175" t="s">
        <v>13</v>
      </c>
      <c r="H1" s="175" t="s">
        <v>137</v>
      </c>
      <c r="I1" s="175" t="s">
        <v>36</v>
      </c>
      <c r="J1" s="175" t="s">
        <v>138</v>
      </c>
      <c r="K1" s="175" t="s">
        <v>139</v>
      </c>
      <c r="L1" s="175" t="s">
        <v>140</v>
      </c>
      <c r="M1" s="175" t="s">
        <v>141</v>
      </c>
      <c r="N1" s="175" t="s">
        <v>142</v>
      </c>
      <c r="O1" s="175" t="s">
        <v>143</v>
      </c>
      <c r="P1" s="175" t="s">
        <v>144</v>
      </c>
      <c r="Q1" s="175" t="s">
        <v>145</v>
      </c>
      <c r="R1" s="175" t="s">
        <v>146</v>
      </c>
      <c r="S1" s="175" t="s">
        <v>147</v>
      </c>
      <c r="T1" s="175" t="s">
        <v>148</v>
      </c>
      <c r="U1" s="175" t="s">
        <v>149</v>
      </c>
      <c r="V1" s="175" t="s">
        <v>150</v>
      </c>
      <c r="W1" s="175" t="s">
        <v>151</v>
      </c>
      <c r="X1" s="175" t="s">
        <v>152</v>
      </c>
      <c r="Y1" s="175" t="s">
        <v>153</v>
      </c>
      <c r="Z1" s="175" t="s">
        <v>154</v>
      </c>
      <c r="AA1" s="175" t="s">
        <v>155</v>
      </c>
      <c r="AB1" s="175" t="s">
        <v>156</v>
      </c>
      <c r="AC1" s="175" t="s">
        <v>157</v>
      </c>
      <c r="AD1" s="175" t="s">
        <v>158</v>
      </c>
      <c r="AE1" s="175" t="s">
        <v>159</v>
      </c>
    </row>
    <row r="2" spans="1:31" ht="15">
      <c r="A2" s="70" t="s">
        <v>160</v>
      </c>
      <c r="B2" s="70" t="s">
        <v>161</v>
      </c>
      <c r="C2" s="70" t="s">
        <v>162</v>
      </c>
      <c r="D2" s="70" t="s">
        <v>163</v>
      </c>
      <c r="E2" s="70">
        <v>4373911</v>
      </c>
      <c r="F2" s="70">
        <v>4359294</v>
      </c>
      <c r="G2" s="70" t="s">
        <v>109</v>
      </c>
      <c r="H2" s="70" t="s">
        <v>164</v>
      </c>
      <c r="I2" s="70" t="s">
        <v>165</v>
      </c>
      <c r="J2" s="70" t="s">
        <v>166</v>
      </c>
      <c r="K2" s="71">
        <v>46104.852083333331</v>
      </c>
      <c r="L2" s="71">
        <v>46104.229166666664</v>
      </c>
      <c r="M2" s="71">
        <v>46120.229166666664</v>
      </c>
      <c r="N2" s="70"/>
      <c r="O2" s="70" t="s">
        <v>167</v>
      </c>
      <c r="P2" s="71">
        <v>46130.229166666664</v>
      </c>
      <c r="Q2" s="70"/>
      <c r="R2" s="70"/>
      <c r="S2" s="70">
        <v>2</v>
      </c>
      <c r="T2" s="70"/>
      <c r="U2" s="70" t="s">
        <v>168</v>
      </c>
      <c r="V2" s="70" t="s">
        <v>168</v>
      </c>
      <c r="W2" s="70" t="s">
        <v>169</v>
      </c>
      <c r="X2" s="71">
        <v>46063.499305555553</v>
      </c>
      <c r="Y2" s="70" t="s">
        <v>170</v>
      </c>
      <c r="Z2" s="70" t="s">
        <v>171</v>
      </c>
      <c r="AA2" s="70" t="s">
        <v>172</v>
      </c>
      <c r="AB2" s="70"/>
      <c r="AC2" s="70"/>
      <c r="AD2" s="70" t="s">
        <v>173</v>
      </c>
      <c r="AE2" s="70" t="s">
        <v>174</v>
      </c>
    </row>
    <row r="3" spans="1:31" ht="15">
      <c r="A3" s="70" t="s">
        <v>160</v>
      </c>
      <c r="B3" s="70" t="s">
        <v>161</v>
      </c>
      <c r="C3" s="70" t="s">
        <v>162</v>
      </c>
      <c r="D3" s="70" t="s">
        <v>163</v>
      </c>
      <c r="E3" s="70">
        <v>4373911</v>
      </c>
      <c r="F3" s="70">
        <v>4368862</v>
      </c>
      <c r="G3" s="70" t="s">
        <v>88</v>
      </c>
      <c r="H3" s="70" t="s">
        <v>175</v>
      </c>
      <c r="I3" s="70" t="s">
        <v>165</v>
      </c>
      <c r="J3" s="70" t="s">
        <v>166</v>
      </c>
      <c r="K3" s="71">
        <v>46101.229166666664</v>
      </c>
      <c r="L3" s="71">
        <v>46104.229166666664</v>
      </c>
      <c r="M3" s="71">
        <v>46115.229166666664</v>
      </c>
      <c r="N3" s="70"/>
      <c r="O3" s="70" t="s">
        <v>176</v>
      </c>
      <c r="P3" s="71">
        <v>46130.229166666664</v>
      </c>
      <c r="Q3" s="70">
        <v>13</v>
      </c>
      <c r="R3" s="70"/>
      <c r="S3" s="70">
        <v>2</v>
      </c>
      <c r="T3" s="70"/>
      <c r="U3" s="70" t="s">
        <v>168</v>
      </c>
      <c r="V3" s="70" t="s">
        <v>168</v>
      </c>
      <c r="W3" s="70" t="s">
        <v>169</v>
      </c>
      <c r="X3" s="71">
        <v>46069.46875</v>
      </c>
      <c r="Y3" s="70"/>
      <c r="Z3" s="70" t="s">
        <v>171</v>
      </c>
      <c r="AA3" s="70" t="s">
        <v>172</v>
      </c>
      <c r="AB3" s="70"/>
      <c r="AC3" s="70"/>
      <c r="AD3" s="70" t="s">
        <v>177</v>
      </c>
      <c r="AE3" s="70" t="s">
        <v>174</v>
      </c>
    </row>
    <row r="4" spans="1:31" ht="15">
      <c r="A4" s="70" t="s">
        <v>178</v>
      </c>
      <c r="B4" s="70" t="s">
        <v>161</v>
      </c>
      <c r="C4" s="70" t="s">
        <v>162</v>
      </c>
      <c r="D4" s="70" t="s">
        <v>179</v>
      </c>
      <c r="E4" s="70">
        <v>4277501</v>
      </c>
      <c r="F4" s="70">
        <v>4371046</v>
      </c>
      <c r="G4" s="70" t="s">
        <v>90</v>
      </c>
      <c r="H4" s="70" t="s">
        <v>175</v>
      </c>
      <c r="I4" s="70" t="s">
        <v>180</v>
      </c>
      <c r="J4" s="70" t="s">
        <v>166</v>
      </c>
      <c r="K4" s="71">
        <v>46101.229166666664</v>
      </c>
      <c r="L4" s="71">
        <v>46104.229166666664</v>
      </c>
      <c r="M4" s="71">
        <v>46115.229166666664</v>
      </c>
      <c r="N4" s="70"/>
      <c r="O4" s="70" t="s">
        <v>181</v>
      </c>
      <c r="P4" s="71">
        <v>46130.229166666664</v>
      </c>
      <c r="Q4" s="70">
        <v>1</v>
      </c>
      <c r="R4" s="70"/>
      <c r="S4" s="70">
        <v>2</v>
      </c>
      <c r="T4" s="70"/>
      <c r="U4" s="70" t="s">
        <v>168</v>
      </c>
      <c r="V4" s="70" t="s">
        <v>168</v>
      </c>
      <c r="W4" s="70" t="s">
        <v>169</v>
      </c>
      <c r="X4" s="71">
        <v>46070.445833333331</v>
      </c>
      <c r="Y4" s="70" t="s">
        <v>182</v>
      </c>
      <c r="Z4" s="70" t="s">
        <v>183</v>
      </c>
      <c r="AA4" s="70" t="s">
        <v>184</v>
      </c>
      <c r="AB4" s="70"/>
      <c r="AC4" s="70"/>
      <c r="AD4" s="70" t="s">
        <v>185</v>
      </c>
      <c r="AE4" s="70" t="s">
        <v>174</v>
      </c>
    </row>
    <row r="5" spans="1:31" ht="15">
      <c r="A5" s="70" t="s">
        <v>160</v>
      </c>
      <c r="B5" s="70" t="s">
        <v>161</v>
      </c>
      <c r="C5" s="70" t="s">
        <v>162</v>
      </c>
      <c r="D5" s="70" t="s">
        <v>163</v>
      </c>
      <c r="E5" s="70">
        <v>4373911</v>
      </c>
      <c r="F5" s="70">
        <v>4372847</v>
      </c>
      <c r="G5" s="70" t="s">
        <v>92</v>
      </c>
      <c r="H5" s="70" t="s">
        <v>175</v>
      </c>
      <c r="I5" s="70" t="s">
        <v>165</v>
      </c>
      <c r="J5" s="70" t="s">
        <v>166</v>
      </c>
      <c r="K5" s="71">
        <v>46101.229166666664</v>
      </c>
      <c r="L5" s="71">
        <v>46104.229166666664</v>
      </c>
      <c r="M5" s="71">
        <v>46118.229166666664</v>
      </c>
      <c r="N5" s="70"/>
      <c r="O5" s="70" t="s">
        <v>181</v>
      </c>
      <c r="P5" s="71">
        <v>46130.229166666664</v>
      </c>
      <c r="Q5" s="70">
        <v>5</v>
      </c>
      <c r="R5" s="70"/>
      <c r="S5" s="70">
        <v>2</v>
      </c>
      <c r="T5" s="70"/>
      <c r="U5" s="70" t="s">
        <v>168</v>
      </c>
      <c r="V5" s="70" t="s">
        <v>168</v>
      </c>
      <c r="W5" s="70" t="s">
        <v>169</v>
      </c>
      <c r="X5" s="71">
        <v>46071.572222222225</v>
      </c>
      <c r="Y5" s="70" t="s">
        <v>170</v>
      </c>
      <c r="Z5" s="70" t="s">
        <v>171</v>
      </c>
      <c r="AA5" s="70" t="s">
        <v>186</v>
      </c>
      <c r="AB5" s="70"/>
      <c r="AC5" s="70"/>
      <c r="AD5" s="70" t="s">
        <v>187</v>
      </c>
      <c r="AE5" s="70" t="s">
        <v>174</v>
      </c>
    </row>
    <row r="6" spans="1:31" ht="15">
      <c r="A6" s="70" t="s">
        <v>160</v>
      </c>
      <c r="B6" s="70" t="s">
        <v>188</v>
      </c>
      <c r="C6" s="70" t="s">
        <v>189</v>
      </c>
      <c r="D6" s="70" t="s">
        <v>190</v>
      </c>
      <c r="E6" s="70">
        <v>4373911</v>
      </c>
      <c r="F6" s="70">
        <v>4381707</v>
      </c>
      <c r="G6" s="70" t="s">
        <v>97</v>
      </c>
      <c r="H6" s="70" t="s">
        <v>164</v>
      </c>
      <c r="I6" s="70" t="s">
        <v>191</v>
      </c>
      <c r="J6" s="70" t="s">
        <v>166</v>
      </c>
      <c r="K6" s="71">
        <v>46113.0625</v>
      </c>
      <c r="L6" s="71">
        <v>46101.229166666664</v>
      </c>
      <c r="M6" s="71">
        <v>46115.229166666664</v>
      </c>
      <c r="N6" s="70"/>
      <c r="O6" s="70" t="s">
        <v>167</v>
      </c>
      <c r="P6" s="71">
        <v>46130.229166666664</v>
      </c>
      <c r="Q6" s="70">
        <v>7</v>
      </c>
      <c r="R6" s="70"/>
      <c r="S6" s="70">
        <v>2</v>
      </c>
      <c r="T6" s="70"/>
      <c r="U6" s="70" t="s">
        <v>168</v>
      </c>
      <c r="V6" s="70" t="s">
        <v>168</v>
      </c>
      <c r="W6" s="70" t="s">
        <v>192</v>
      </c>
      <c r="X6" s="71">
        <v>46073.503472222219</v>
      </c>
      <c r="Y6" s="70" t="s">
        <v>193</v>
      </c>
      <c r="Z6" s="70" t="s">
        <v>194</v>
      </c>
      <c r="AA6" s="70" t="s">
        <v>195</v>
      </c>
      <c r="AB6" s="70"/>
      <c r="AC6" s="70"/>
      <c r="AD6" s="70" t="s">
        <v>196</v>
      </c>
      <c r="AE6" s="70" t="s">
        <v>197</v>
      </c>
    </row>
    <row r="7" spans="1:31" ht="15">
      <c r="A7" s="70" t="s">
        <v>160</v>
      </c>
      <c r="B7" s="70" t="s">
        <v>188</v>
      </c>
      <c r="C7" s="70" t="s">
        <v>189</v>
      </c>
      <c r="D7" s="70" t="s">
        <v>190</v>
      </c>
      <c r="E7" s="70">
        <v>4373911</v>
      </c>
      <c r="F7" s="70">
        <v>4386371</v>
      </c>
      <c r="G7" s="70" t="s">
        <v>99</v>
      </c>
      <c r="H7" s="70" t="s">
        <v>164</v>
      </c>
      <c r="I7" s="70" t="s">
        <v>191</v>
      </c>
      <c r="J7" s="70" t="s">
        <v>166</v>
      </c>
      <c r="K7" s="71">
        <v>46113.0625</v>
      </c>
      <c r="L7" s="71">
        <v>46101.229166666664</v>
      </c>
      <c r="M7" s="71">
        <v>46118.229166666664</v>
      </c>
      <c r="N7" s="70"/>
      <c r="O7" s="70" t="s">
        <v>167</v>
      </c>
      <c r="P7" s="71">
        <v>46130.229166666664</v>
      </c>
      <c r="Q7" s="70">
        <v>5</v>
      </c>
      <c r="R7" s="70"/>
      <c r="S7" s="70">
        <v>2</v>
      </c>
      <c r="T7" s="70"/>
      <c r="U7" s="70" t="s">
        <v>168</v>
      </c>
      <c r="V7" s="70" t="s">
        <v>168</v>
      </c>
      <c r="W7" s="70" t="s">
        <v>192</v>
      </c>
      <c r="X7" s="71">
        <v>46074.090277777781</v>
      </c>
      <c r="Y7" s="70" t="s">
        <v>193</v>
      </c>
      <c r="Z7" s="70" t="s">
        <v>194</v>
      </c>
      <c r="AA7" s="70" t="s">
        <v>195</v>
      </c>
      <c r="AB7" s="70"/>
      <c r="AC7" s="70"/>
      <c r="AD7" s="70" t="s">
        <v>196</v>
      </c>
      <c r="AE7" s="70" t="s">
        <v>197</v>
      </c>
    </row>
    <row r="8" spans="1:31" ht="15">
      <c r="A8" s="70" t="s">
        <v>160</v>
      </c>
      <c r="B8" s="70" t="s">
        <v>188</v>
      </c>
      <c r="C8" s="70" t="s">
        <v>189</v>
      </c>
      <c r="D8" s="70" t="s">
        <v>190</v>
      </c>
      <c r="E8" s="70">
        <v>4373911</v>
      </c>
      <c r="F8" s="70">
        <v>4386372</v>
      </c>
      <c r="G8" s="70" t="s">
        <v>100</v>
      </c>
      <c r="H8" s="70" t="s">
        <v>175</v>
      </c>
      <c r="I8" s="70" t="s">
        <v>191</v>
      </c>
      <c r="J8" s="70" t="s">
        <v>166</v>
      </c>
      <c r="K8" s="71">
        <v>46113.0625</v>
      </c>
      <c r="L8" s="71">
        <v>46101.229166666664</v>
      </c>
      <c r="M8" s="71">
        <v>46118.229166666664</v>
      </c>
      <c r="N8" s="70"/>
      <c r="O8" s="70" t="s">
        <v>181</v>
      </c>
      <c r="P8" s="71">
        <v>46130.229166666664</v>
      </c>
      <c r="Q8" s="70">
        <v>3</v>
      </c>
      <c r="R8" s="70"/>
      <c r="S8" s="70">
        <v>2</v>
      </c>
      <c r="T8" s="70"/>
      <c r="U8" s="70" t="s">
        <v>168</v>
      </c>
      <c r="V8" s="70" t="s">
        <v>198</v>
      </c>
      <c r="W8" s="70" t="s">
        <v>192</v>
      </c>
      <c r="X8" s="71">
        <v>46074.106249999997</v>
      </c>
      <c r="Y8" s="70" t="s">
        <v>193</v>
      </c>
      <c r="Z8" s="70" t="s">
        <v>194</v>
      </c>
      <c r="AA8" s="70" t="s">
        <v>195</v>
      </c>
      <c r="AB8" s="70"/>
      <c r="AC8" s="70"/>
      <c r="AD8" s="70" t="s">
        <v>196</v>
      </c>
      <c r="AE8" s="70" t="s">
        <v>197</v>
      </c>
    </row>
    <row r="9" spans="1:31" ht="15">
      <c r="A9" s="70" t="s">
        <v>160</v>
      </c>
      <c r="B9" s="70" t="s">
        <v>188</v>
      </c>
      <c r="C9" s="70" t="s">
        <v>189</v>
      </c>
      <c r="D9" s="70" t="s">
        <v>190</v>
      </c>
      <c r="E9" s="70">
        <v>4373911</v>
      </c>
      <c r="F9" s="70">
        <v>4386373</v>
      </c>
      <c r="G9" s="70" t="s">
        <v>101</v>
      </c>
      <c r="H9" s="70" t="s">
        <v>164</v>
      </c>
      <c r="I9" s="70" t="s">
        <v>191</v>
      </c>
      <c r="J9" s="70" t="s">
        <v>166</v>
      </c>
      <c r="K9" s="71">
        <v>46113.0625</v>
      </c>
      <c r="L9" s="71">
        <v>46101.229166666664</v>
      </c>
      <c r="M9" s="71">
        <v>46115.229166666664</v>
      </c>
      <c r="N9" s="70"/>
      <c r="O9" s="70" t="s">
        <v>167</v>
      </c>
      <c r="P9" s="71">
        <v>46130.229166666664</v>
      </c>
      <c r="Q9" s="70">
        <v>2</v>
      </c>
      <c r="R9" s="70"/>
      <c r="S9" s="70">
        <v>2</v>
      </c>
      <c r="T9" s="70"/>
      <c r="U9" s="70" t="s">
        <v>168</v>
      </c>
      <c r="V9" s="70" t="s">
        <v>198</v>
      </c>
      <c r="W9" s="70" t="s">
        <v>192</v>
      </c>
      <c r="X9" s="71">
        <v>46074.118055555555</v>
      </c>
      <c r="Y9" s="70" t="s">
        <v>193</v>
      </c>
      <c r="Z9" s="70" t="s">
        <v>194</v>
      </c>
      <c r="AA9" s="70" t="s">
        <v>195</v>
      </c>
      <c r="AB9" s="70"/>
      <c r="AC9" s="70"/>
      <c r="AD9" s="70" t="s">
        <v>196</v>
      </c>
      <c r="AE9" s="70" t="s">
        <v>197</v>
      </c>
    </row>
    <row r="10" spans="1:31" ht="15">
      <c r="A10" s="70" t="s">
        <v>160</v>
      </c>
      <c r="B10" s="70" t="s">
        <v>161</v>
      </c>
      <c r="C10" s="70" t="s">
        <v>162</v>
      </c>
      <c r="D10" s="70" t="s">
        <v>163</v>
      </c>
      <c r="E10" s="70">
        <v>4373911</v>
      </c>
      <c r="F10" s="70">
        <v>4386942</v>
      </c>
      <c r="G10" s="70" t="s">
        <v>103</v>
      </c>
      <c r="H10" s="70" t="s">
        <v>175</v>
      </c>
      <c r="I10" s="70" t="s">
        <v>199</v>
      </c>
      <c r="J10" s="70" t="s">
        <v>166</v>
      </c>
      <c r="K10" s="71">
        <v>46101.229166666664</v>
      </c>
      <c r="L10" s="71">
        <v>46104.229166666664</v>
      </c>
      <c r="M10" s="71">
        <v>46115.229166666664</v>
      </c>
      <c r="N10" s="70"/>
      <c r="O10" s="70" t="s">
        <v>176</v>
      </c>
      <c r="P10" s="71">
        <v>46130.229166666664</v>
      </c>
      <c r="Q10" s="70">
        <v>5</v>
      </c>
      <c r="R10" s="70"/>
      <c r="S10" s="70">
        <v>2</v>
      </c>
      <c r="T10" s="70"/>
      <c r="U10" s="70" t="s">
        <v>168</v>
      </c>
      <c r="V10" s="70" t="s">
        <v>168</v>
      </c>
      <c r="W10" s="70" t="s">
        <v>169</v>
      </c>
      <c r="X10" s="71">
        <v>46076.476388888892</v>
      </c>
      <c r="Y10" s="70"/>
      <c r="Z10" s="70" t="s">
        <v>200</v>
      </c>
      <c r="AA10" s="70" t="s">
        <v>184</v>
      </c>
      <c r="AB10" s="70"/>
      <c r="AC10" s="70"/>
      <c r="AD10" s="70" t="s">
        <v>201</v>
      </c>
      <c r="AE10" s="70" t="s">
        <v>174</v>
      </c>
    </row>
    <row r="11" spans="1:31" ht="15">
      <c r="A11" s="70" t="s">
        <v>160</v>
      </c>
      <c r="B11" s="70" t="s">
        <v>161</v>
      </c>
      <c r="C11" s="70" t="s">
        <v>162</v>
      </c>
      <c r="D11" s="70" t="s">
        <v>163</v>
      </c>
      <c r="E11" s="70">
        <v>4373911</v>
      </c>
      <c r="F11" s="70">
        <v>4386944</v>
      </c>
      <c r="G11" s="70" t="s">
        <v>105</v>
      </c>
      <c r="H11" s="70" t="s">
        <v>175</v>
      </c>
      <c r="I11" s="70" t="s">
        <v>199</v>
      </c>
      <c r="J11" s="70" t="s">
        <v>166</v>
      </c>
      <c r="K11" s="71">
        <v>46101.229166666664</v>
      </c>
      <c r="L11" s="71">
        <v>46104.229166666664</v>
      </c>
      <c r="M11" s="71">
        <v>46118.229166666664</v>
      </c>
      <c r="N11" s="70"/>
      <c r="O11" s="70" t="s">
        <v>176</v>
      </c>
      <c r="P11" s="71">
        <v>46130.229166666664</v>
      </c>
      <c r="Q11" s="70">
        <v>3</v>
      </c>
      <c r="R11" s="70"/>
      <c r="S11" s="70">
        <v>2</v>
      </c>
      <c r="T11" s="70"/>
      <c r="U11" s="70" t="s">
        <v>168</v>
      </c>
      <c r="V11" s="70" t="s">
        <v>168</v>
      </c>
      <c r="W11" s="70" t="s">
        <v>169</v>
      </c>
      <c r="X11" s="71">
        <v>46076.476388888892</v>
      </c>
      <c r="Y11" s="70"/>
      <c r="Z11" s="70" t="s">
        <v>200</v>
      </c>
      <c r="AA11" s="70" t="s">
        <v>184</v>
      </c>
      <c r="AB11" s="70"/>
      <c r="AC11" s="70"/>
      <c r="AD11" s="70" t="s">
        <v>201</v>
      </c>
      <c r="AE11" s="70" t="s">
        <v>174</v>
      </c>
    </row>
    <row r="12" spans="1:31" ht="15">
      <c r="A12" s="70" t="s">
        <v>160</v>
      </c>
      <c r="B12" s="70" t="s">
        <v>161</v>
      </c>
      <c r="C12" s="70" t="s">
        <v>162</v>
      </c>
      <c r="D12" s="70" t="s">
        <v>163</v>
      </c>
      <c r="E12" s="70">
        <v>4373911</v>
      </c>
      <c r="F12" s="70">
        <v>4386945</v>
      </c>
      <c r="G12" s="70" t="s">
        <v>107</v>
      </c>
      <c r="H12" s="70" t="s">
        <v>175</v>
      </c>
      <c r="I12" s="70" t="s">
        <v>165</v>
      </c>
      <c r="J12" s="70" t="s">
        <v>166</v>
      </c>
      <c r="K12" s="71">
        <v>46101.229166666664</v>
      </c>
      <c r="L12" s="71">
        <v>46104.229166666664</v>
      </c>
      <c r="M12" s="71">
        <v>46118.229166666664</v>
      </c>
      <c r="N12" s="70"/>
      <c r="O12" s="70" t="s">
        <v>181</v>
      </c>
      <c r="P12" s="71">
        <v>46130.229166666664</v>
      </c>
      <c r="Q12" s="70">
        <v>5</v>
      </c>
      <c r="R12" s="70"/>
      <c r="S12" s="70">
        <v>2</v>
      </c>
      <c r="T12" s="70"/>
      <c r="U12" s="70" t="s">
        <v>168</v>
      </c>
      <c r="V12" s="70" t="s">
        <v>168</v>
      </c>
      <c r="W12" s="70" t="s">
        <v>169</v>
      </c>
      <c r="X12" s="71">
        <v>46076.476388888892</v>
      </c>
      <c r="Y12" s="70"/>
      <c r="Z12" s="70" t="s">
        <v>171</v>
      </c>
      <c r="AA12" s="70" t="s">
        <v>184</v>
      </c>
      <c r="AB12" s="70"/>
      <c r="AC12" s="70"/>
      <c r="AD12" s="70" t="s">
        <v>177</v>
      </c>
      <c r="AE12" s="70" t="s">
        <v>174</v>
      </c>
    </row>
    <row r="13" spans="1:31" ht="15">
      <c r="A13" s="70" t="s">
        <v>202</v>
      </c>
      <c r="B13" s="70" t="s">
        <v>188</v>
      </c>
      <c r="C13" s="70" t="s">
        <v>162</v>
      </c>
      <c r="D13" s="70" t="s">
        <v>193</v>
      </c>
      <c r="E13" s="70">
        <v>4389877</v>
      </c>
      <c r="F13" s="70">
        <v>4368135</v>
      </c>
      <c r="G13" s="70" t="s">
        <v>78</v>
      </c>
      <c r="H13" s="70" t="s">
        <v>203</v>
      </c>
      <c r="I13" s="70" t="s">
        <v>204</v>
      </c>
      <c r="J13" s="70" t="s">
        <v>166</v>
      </c>
      <c r="K13" s="71">
        <v>46114.0625</v>
      </c>
      <c r="L13" s="71">
        <v>46114.755555555559</v>
      </c>
      <c r="M13" s="71">
        <v>46115.229166666664</v>
      </c>
      <c r="N13" s="70"/>
      <c r="O13" s="70" t="s">
        <v>205</v>
      </c>
      <c r="P13" s="71">
        <v>46130.229166666664</v>
      </c>
      <c r="Q13" s="70">
        <v>3</v>
      </c>
      <c r="R13" s="70"/>
      <c r="S13" s="70">
        <v>2</v>
      </c>
      <c r="T13" s="70"/>
      <c r="U13" s="70" t="s">
        <v>168</v>
      </c>
      <c r="V13" s="70" t="s">
        <v>168</v>
      </c>
      <c r="W13" s="70" t="s">
        <v>192</v>
      </c>
      <c r="X13" s="71">
        <v>46066.857638888891</v>
      </c>
      <c r="Y13" s="70" t="s">
        <v>193</v>
      </c>
      <c r="Z13" s="70" t="s">
        <v>206</v>
      </c>
      <c r="AA13" s="70" t="s">
        <v>207</v>
      </c>
      <c r="AB13" s="70"/>
      <c r="AC13" s="70"/>
      <c r="AD13" s="70" t="s">
        <v>208</v>
      </c>
      <c r="AE13" s="70" t="s">
        <v>197</v>
      </c>
    </row>
    <row r="14" spans="1:31" ht="15">
      <c r="A14" s="70" t="s">
        <v>160</v>
      </c>
      <c r="B14" s="70" t="s">
        <v>188</v>
      </c>
      <c r="C14" s="70" t="s">
        <v>189</v>
      </c>
      <c r="D14" s="70" t="s">
        <v>190</v>
      </c>
      <c r="E14" s="70">
        <v>4373911</v>
      </c>
      <c r="F14" s="70">
        <v>4368224</v>
      </c>
      <c r="G14" s="70" t="s">
        <v>82</v>
      </c>
      <c r="H14" s="70" t="s">
        <v>164</v>
      </c>
      <c r="I14" s="70" t="s">
        <v>204</v>
      </c>
      <c r="J14" s="70" t="s">
        <v>166</v>
      </c>
      <c r="K14" s="71">
        <v>46113.0625</v>
      </c>
      <c r="L14" s="71">
        <v>46105.004166666666</v>
      </c>
      <c r="M14" s="71">
        <v>46115.229166666664</v>
      </c>
      <c r="N14" s="70"/>
      <c r="O14" s="70" t="s">
        <v>176</v>
      </c>
      <c r="P14" s="71">
        <v>46130.229166666664</v>
      </c>
      <c r="Q14" s="70">
        <v>5</v>
      </c>
      <c r="R14" s="70"/>
      <c r="S14" s="70">
        <v>2</v>
      </c>
      <c r="T14" s="70"/>
      <c r="U14" s="70" t="s">
        <v>168</v>
      </c>
      <c r="V14" s="70" t="s">
        <v>168</v>
      </c>
      <c r="W14" s="70" t="s">
        <v>192</v>
      </c>
      <c r="X14" s="71">
        <v>46066.922222222223</v>
      </c>
      <c r="Y14" s="70" t="s">
        <v>193</v>
      </c>
      <c r="Z14" s="70" t="s">
        <v>206</v>
      </c>
      <c r="AA14" s="70" t="s">
        <v>195</v>
      </c>
      <c r="AB14" s="70"/>
      <c r="AC14" s="70"/>
      <c r="AD14" s="70" t="s">
        <v>196</v>
      </c>
      <c r="AE14" s="70" t="s">
        <v>197</v>
      </c>
    </row>
    <row r="15" spans="1:31" ht="15">
      <c r="A15" s="70" t="s">
        <v>202</v>
      </c>
      <c r="B15" s="70" t="s">
        <v>188</v>
      </c>
      <c r="C15" s="70" t="s">
        <v>162</v>
      </c>
      <c r="D15" s="70" t="s">
        <v>193</v>
      </c>
      <c r="E15" s="70">
        <v>4389877</v>
      </c>
      <c r="F15" s="70">
        <v>4395067</v>
      </c>
      <c r="G15" s="70" t="s">
        <v>94</v>
      </c>
      <c r="H15" s="70" t="s">
        <v>203</v>
      </c>
      <c r="I15" s="70" t="s">
        <v>191</v>
      </c>
      <c r="J15" s="70" t="s">
        <v>166</v>
      </c>
      <c r="K15" s="71">
        <v>46114.0625</v>
      </c>
      <c r="L15" s="71">
        <v>46114.756249999999</v>
      </c>
      <c r="M15" s="71">
        <v>46115.229166666664</v>
      </c>
      <c r="N15" s="70"/>
      <c r="O15" s="70" t="s">
        <v>205</v>
      </c>
      <c r="P15" s="71">
        <v>46130.229166666664</v>
      </c>
      <c r="Q15" s="70">
        <v>3</v>
      </c>
      <c r="R15" s="70"/>
      <c r="S15" s="70">
        <v>2</v>
      </c>
      <c r="T15" s="70"/>
      <c r="U15" s="70" t="s">
        <v>168</v>
      </c>
      <c r="V15" s="70" t="s">
        <v>168</v>
      </c>
      <c r="W15" s="70" t="s">
        <v>192</v>
      </c>
      <c r="X15" s="71">
        <v>46081.114583333336</v>
      </c>
      <c r="Y15" s="70" t="s">
        <v>193</v>
      </c>
      <c r="Z15" s="70" t="s">
        <v>194</v>
      </c>
      <c r="AA15" s="70" t="s">
        <v>207</v>
      </c>
      <c r="AB15" s="70"/>
      <c r="AC15" s="70"/>
      <c r="AD15" s="70" t="s">
        <v>208</v>
      </c>
      <c r="AE15" s="70" t="s">
        <v>197</v>
      </c>
    </row>
    <row r="16" spans="1:31" ht="15">
      <c r="A16" s="70" t="s">
        <v>160</v>
      </c>
      <c r="B16" s="70" t="s">
        <v>188</v>
      </c>
      <c r="C16" s="70" t="s">
        <v>189</v>
      </c>
      <c r="D16" s="70" t="s">
        <v>201</v>
      </c>
      <c r="E16" s="70">
        <v>4373911</v>
      </c>
      <c r="F16" s="70">
        <v>4411451</v>
      </c>
      <c r="G16" s="70" t="s">
        <v>95</v>
      </c>
      <c r="H16" s="70" t="s">
        <v>203</v>
      </c>
      <c r="I16" s="70" t="s">
        <v>199</v>
      </c>
      <c r="J16" s="70" t="s">
        <v>166</v>
      </c>
      <c r="K16" s="71">
        <v>46101.229166666664</v>
      </c>
      <c r="L16" s="71">
        <v>46104.229166666664</v>
      </c>
      <c r="M16" s="71">
        <v>46115.229166666664</v>
      </c>
      <c r="N16" s="70"/>
      <c r="O16" s="70" t="s">
        <v>205</v>
      </c>
      <c r="P16" s="71">
        <v>46130.229166666664</v>
      </c>
      <c r="Q16" s="70">
        <v>3</v>
      </c>
      <c r="R16" s="70"/>
      <c r="S16" s="70">
        <v>2</v>
      </c>
      <c r="T16" s="70"/>
      <c r="U16" s="70" t="s">
        <v>168</v>
      </c>
      <c r="V16" s="70" t="s">
        <v>168</v>
      </c>
      <c r="W16" s="70" t="s">
        <v>209</v>
      </c>
      <c r="X16" s="71">
        <v>46086.805555555555</v>
      </c>
      <c r="Y16" s="70"/>
      <c r="Z16" s="70" t="s">
        <v>200</v>
      </c>
      <c r="AA16" s="70" t="s">
        <v>195</v>
      </c>
      <c r="AB16" s="70"/>
      <c r="AC16" s="70"/>
      <c r="AD16" s="70" t="s">
        <v>210</v>
      </c>
      <c r="AE16" s="70" t="s">
        <v>174</v>
      </c>
    </row>
    <row r="17" spans="1:31" ht="15">
      <c r="A17" s="70" t="s">
        <v>211</v>
      </c>
      <c r="B17" s="70" t="s">
        <v>161</v>
      </c>
      <c r="C17" s="70" t="s">
        <v>189</v>
      </c>
      <c r="D17" s="70" t="s">
        <v>212</v>
      </c>
      <c r="E17" s="70">
        <v>4429397</v>
      </c>
      <c r="F17" s="70">
        <v>4429530</v>
      </c>
      <c r="G17" s="70" t="s">
        <v>52</v>
      </c>
      <c r="H17" s="70" t="s">
        <v>175</v>
      </c>
      <c r="I17" s="70" t="s">
        <v>213</v>
      </c>
      <c r="J17" s="70" t="s">
        <v>214</v>
      </c>
      <c r="K17" s="71">
        <v>46114.851388888892</v>
      </c>
      <c r="L17" s="71">
        <v>46114.947222222225</v>
      </c>
      <c r="M17" s="71">
        <v>46122.229166666664</v>
      </c>
      <c r="N17" s="70"/>
      <c r="O17" s="70" t="s">
        <v>215</v>
      </c>
      <c r="P17" s="71">
        <v>46130.229166666664</v>
      </c>
      <c r="Q17" s="70">
        <v>3</v>
      </c>
      <c r="R17" s="70"/>
      <c r="S17" s="70">
        <v>2</v>
      </c>
      <c r="T17" s="70"/>
      <c r="U17" s="70" t="s">
        <v>168</v>
      </c>
      <c r="V17" s="70" t="s">
        <v>168</v>
      </c>
      <c r="W17" s="70" t="s">
        <v>216</v>
      </c>
      <c r="X17" s="71">
        <v>46097.802083333336</v>
      </c>
      <c r="Y17" s="70" t="s">
        <v>217</v>
      </c>
      <c r="Z17" s="70" t="s">
        <v>218</v>
      </c>
      <c r="AA17" s="70" t="s">
        <v>195</v>
      </c>
      <c r="AB17" s="70"/>
      <c r="AC17" s="70"/>
      <c r="AD17" s="70" t="s">
        <v>219</v>
      </c>
      <c r="AE17" s="70" t="s">
        <v>220</v>
      </c>
    </row>
    <row r="18" spans="1:31" ht="15">
      <c r="A18" s="70" t="s">
        <v>221</v>
      </c>
      <c r="B18" s="70" t="s">
        <v>161</v>
      </c>
      <c r="C18" s="70" t="s">
        <v>222</v>
      </c>
      <c r="D18" s="70" t="s">
        <v>223</v>
      </c>
      <c r="E18" s="70">
        <v>4439196</v>
      </c>
      <c r="F18" s="70">
        <v>4439199</v>
      </c>
      <c r="G18" s="70" t="s">
        <v>56</v>
      </c>
      <c r="H18" s="70" t="s">
        <v>224</v>
      </c>
      <c r="I18" s="70" t="s">
        <v>225</v>
      </c>
      <c r="J18" s="70" t="s">
        <v>214</v>
      </c>
      <c r="K18" s="71">
        <v>46120.916666666664</v>
      </c>
      <c r="L18" s="70"/>
      <c r="M18" s="71">
        <v>46121.020833333336</v>
      </c>
      <c r="N18" s="70"/>
      <c r="O18" s="70" t="s">
        <v>226</v>
      </c>
      <c r="P18" s="71">
        <v>46130.229166666664</v>
      </c>
      <c r="Q18" s="70">
        <v>3</v>
      </c>
      <c r="R18" s="70"/>
      <c r="S18" s="70">
        <v>2</v>
      </c>
      <c r="T18" s="70"/>
      <c r="U18" s="70"/>
      <c r="V18" s="70"/>
      <c r="W18" s="70" t="s">
        <v>227</v>
      </c>
      <c r="X18" s="71">
        <v>46104.728472222225</v>
      </c>
      <c r="Y18" s="70" t="s">
        <v>228</v>
      </c>
      <c r="Z18" s="70" t="s">
        <v>229</v>
      </c>
      <c r="AA18" s="70" t="s">
        <v>195</v>
      </c>
      <c r="AB18" s="70"/>
      <c r="AC18" s="70"/>
      <c r="AD18" s="70" t="s">
        <v>230</v>
      </c>
      <c r="AE18" s="70" t="s">
        <v>231</v>
      </c>
    </row>
    <row r="19" spans="1:31" ht="15">
      <c r="A19" s="70" t="s">
        <v>221</v>
      </c>
      <c r="B19" s="70" t="s">
        <v>161</v>
      </c>
      <c r="C19" s="70" t="s">
        <v>222</v>
      </c>
      <c r="D19" s="70" t="s">
        <v>223</v>
      </c>
      <c r="E19" s="70">
        <v>4439196</v>
      </c>
      <c r="F19" s="70">
        <v>4439323</v>
      </c>
      <c r="G19" s="70" t="s">
        <v>58</v>
      </c>
      <c r="H19" s="70" t="s">
        <v>224</v>
      </c>
      <c r="I19" s="70" t="s">
        <v>232</v>
      </c>
      <c r="J19" s="70" t="s">
        <v>214</v>
      </c>
      <c r="K19" s="71">
        <v>46120.916666666664</v>
      </c>
      <c r="L19" s="70"/>
      <c r="M19" s="71">
        <v>46121.020833333336</v>
      </c>
      <c r="N19" s="70"/>
      <c r="O19" s="70" t="s">
        <v>233</v>
      </c>
      <c r="P19" s="71">
        <v>46130.229166666664</v>
      </c>
      <c r="Q19" s="70">
        <v>3</v>
      </c>
      <c r="R19" s="70"/>
      <c r="S19" s="70">
        <v>2</v>
      </c>
      <c r="T19" s="70"/>
      <c r="U19" s="70"/>
      <c r="V19" s="70"/>
      <c r="W19" s="70" t="s">
        <v>227</v>
      </c>
      <c r="X19" s="71">
        <v>46104.790972222225</v>
      </c>
      <c r="Y19" s="70" t="s">
        <v>228</v>
      </c>
      <c r="Z19" s="70" t="s">
        <v>234</v>
      </c>
      <c r="AA19" s="70" t="s">
        <v>195</v>
      </c>
      <c r="AB19" s="70"/>
      <c r="AC19" s="70"/>
      <c r="AD19" s="70" t="s">
        <v>230</v>
      </c>
      <c r="AE19" s="70" t="s">
        <v>231</v>
      </c>
    </row>
    <row r="20" spans="1:31" ht="15">
      <c r="A20" s="70" t="s">
        <v>221</v>
      </c>
      <c r="B20" s="70" t="s">
        <v>161</v>
      </c>
      <c r="C20" s="70" t="s">
        <v>222</v>
      </c>
      <c r="D20" s="70" t="s">
        <v>223</v>
      </c>
      <c r="E20" s="70">
        <v>4439196</v>
      </c>
      <c r="F20" s="70">
        <v>4439343</v>
      </c>
      <c r="G20" s="70" t="s">
        <v>59</v>
      </c>
      <c r="H20" s="70" t="s">
        <v>224</v>
      </c>
      <c r="I20" s="70" t="s">
        <v>232</v>
      </c>
      <c r="J20" s="70" t="s">
        <v>214</v>
      </c>
      <c r="K20" s="71">
        <v>46120.916666666664</v>
      </c>
      <c r="L20" s="70"/>
      <c r="M20" s="71">
        <v>46121.020833333336</v>
      </c>
      <c r="N20" s="70"/>
      <c r="O20" s="70" t="s">
        <v>233</v>
      </c>
      <c r="P20" s="71">
        <v>46130.229166666664</v>
      </c>
      <c r="Q20" s="70">
        <v>3</v>
      </c>
      <c r="R20" s="70"/>
      <c r="S20" s="70">
        <v>2</v>
      </c>
      <c r="T20" s="70"/>
      <c r="U20" s="70"/>
      <c r="V20" s="70"/>
      <c r="W20" s="70" t="s">
        <v>227</v>
      </c>
      <c r="X20" s="71">
        <v>46104.815972222219</v>
      </c>
      <c r="Y20" s="70" t="s">
        <v>228</v>
      </c>
      <c r="Z20" s="70" t="s">
        <v>234</v>
      </c>
      <c r="AA20" s="70" t="s">
        <v>195</v>
      </c>
      <c r="AB20" s="70"/>
      <c r="AC20" s="70"/>
      <c r="AD20" s="70" t="s">
        <v>230</v>
      </c>
      <c r="AE20" s="70" t="s">
        <v>231</v>
      </c>
    </row>
    <row r="21" spans="1:31" ht="15">
      <c r="A21" s="70" t="s">
        <v>221</v>
      </c>
      <c r="B21" s="70" t="s">
        <v>161</v>
      </c>
      <c r="C21" s="70" t="s">
        <v>222</v>
      </c>
      <c r="D21" s="70" t="s">
        <v>223</v>
      </c>
      <c r="E21" s="70">
        <v>4439196</v>
      </c>
      <c r="F21" s="70">
        <v>4439357</v>
      </c>
      <c r="G21" s="70" t="s">
        <v>60</v>
      </c>
      <c r="H21" s="70" t="s">
        <v>224</v>
      </c>
      <c r="I21" s="70" t="s">
        <v>225</v>
      </c>
      <c r="J21" s="70" t="s">
        <v>214</v>
      </c>
      <c r="K21" s="71">
        <v>46120.958333333336</v>
      </c>
      <c r="L21" s="70"/>
      <c r="M21" s="71">
        <v>46121.020833333336</v>
      </c>
      <c r="N21" s="70"/>
      <c r="O21" s="70" t="s">
        <v>235</v>
      </c>
      <c r="P21" s="71">
        <v>46130.229166666664</v>
      </c>
      <c r="Q21" s="70">
        <v>3</v>
      </c>
      <c r="R21" s="70"/>
      <c r="S21" s="70">
        <v>2</v>
      </c>
      <c r="T21" s="70"/>
      <c r="U21" s="70"/>
      <c r="V21" s="70"/>
      <c r="W21" s="70" t="s">
        <v>227</v>
      </c>
      <c r="X21" s="71">
        <v>46104.82708333333</v>
      </c>
      <c r="Y21" s="70" t="s">
        <v>228</v>
      </c>
      <c r="Z21" s="70" t="s">
        <v>229</v>
      </c>
      <c r="AA21" s="70" t="s">
        <v>195</v>
      </c>
      <c r="AB21" s="70"/>
      <c r="AC21" s="70"/>
      <c r="AD21" s="70" t="s">
        <v>230</v>
      </c>
      <c r="AE21" s="70" t="s">
        <v>231</v>
      </c>
    </row>
    <row r="22" spans="1:31" ht="15">
      <c r="A22" s="70" t="s">
        <v>221</v>
      </c>
      <c r="B22" s="70" t="s">
        <v>161</v>
      </c>
      <c r="C22" s="70" t="s">
        <v>222</v>
      </c>
      <c r="D22" s="70" t="s">
        <v>223</v>
      </c>
      <c r="E22" s="70">
        <v>4439196</v>
      </c>
      <c r="F22" s="70">
        <v>4439362</v>
      </c>
      <c r="G22" s="70" t="s">
        <v>61</v>
      </c>
      <c r="H22" s="70" t="s">
        <v>224</v>
      </c>
      <c r="I22" s="70" t="s">
        <v>225</v>
      </c>
      <c r="J22" s="70" t="s">
        <v>214</v>
      </c>
      <c r="K22" s="71">
        <v>46120.958333333336</v>
      </c>
      <c r="L22" s="70"/>
      <c r="M22" s="71">
        <v>46121.020833333336</v>
      </c>
      <c r="N22" s="70"/>
      <c r="O22" s="70" t="s">
        <v>235</v>
      </c>
      <c r="P22" s="71">
        <v>46130.229166666664</v>
      </c>
      <c r="Q22" s="70">
        <v>3</v>
      </c>
      <c r="R22" s="70"/>
      <c r="S22" s="70">
        <v>2</v>
      </c>
      <c r="T22" s="70"/>
      <c r="U22" s="70"/>
      <c r="V22" s="70"/>
      <c r="W22" s="70" t="s">
        <v>227</v>
      </c>
      <c r="X22" s="71">
        <v>46104.837500000001</v>
      </c>
      <c r="Y22" s="70" t="s">
        <v>228</v>
      </c>
      <c r="Z22" s="70" t="s">
        <v>229</v>
      </c>
      <c r="AA22" s="70" t="s">
        <v>195</v>
      </c>
      <c r="AB22" s="70"/>
      <c r="AC22" s="70"/>
      <c r="AD22" s="70" t="s">
        <v>230</v>
      </c>
      <c r="AE22" s="70" t="s">
        <v>231</v>
      </c>
    </row>
    <row r="23" spans="1:31" ht="15">
      <c r="A23" s="70" t="s">
        <v>211</v>
      </c>
      <c r="B23" s="70" t="s">
        <v>161</v>
      </c>
      <c r="C23" s="70" t="s">
        <v>189</v>
      </c>
      <c r="D23" s="70" t="s">
        <v>212</v>
      </c>
      <c r="E23" s="70">
        <v>4429397</v>
      </c>
      <c r="F23" s="70">
        <v>4429519</v>
      </c>
      <c r="G23" s="70" t="s">
        <v>43</v>
      </c>
      <c r="H23" s="70" t="s">
        <v>164</v>
      </c>
      <c r="I23" s="70" t="s">
        <v>213</v>
      </c>
      <c r="J23" s="70" t="s">
        <v>236</v>
      </c>
      <c r="K23" s="71">
        <v>46114.85</v>
      </c>
      <c r="L23" s="71">
        <v>46114.229166666664</v>
      </c>
      <c r="M23" s="71">
        <v>46115.786805555559</v>
      </c>
      <c r="N23" s="71">
        <v>46115.786805555559</v>
      </c>
      <c r="O23" s="70" t="s">
        <v>237</v>
      </c>
      <c r="P23" s="71">
        <v>46130.229166666664</v>
      </c>
      <c r="Q23" s="70">
        <v>3</v>
      </c>
      <c r="R23" s="70"/>
      <c r="S23" s="70">
        <v>2</v>
      </c>
      <c r="T23" s="70"/>
      <c r="U23" s="70" t="s">
        <v>168</v>
      </c>
      <c r="V23" s="70" t="s">
        <v>168</v>
      </c>
      <c r="W23" s="70" t="s">
        <v>216</v>
      </c>
      <c r="X23" s="71">
        <v>46097.8</v>
      </c>
      <c r="Y23" s="70" t="s">
        <v>238</v>
      </c>
      <c r="Z23" s="70" t="s">
        <v>218</v>
      </c>
      <c r="AA23" s="70" t="s">
        <v>195</v>
      </c>
      <c r="AB23" s="70"/>
      <c r="AC23" s="70"/>
      <c r="AD23" s="70" t="s">
        <v>239</v>
      </c>
      <c r="AE23" s="70" t="s">
        <v>220</v>
      </c>
    </row>
    <row r="24" spans="1:31" ht="15">
      <c r="A24" s="70" t="s">
        <v>240</v>
      </c>
      <c r="B24" s="70" t="s">
        <v>188</v>
      </c>
      <c r="C24" s="70" t="s">
        <v>241</v>
      </c>
      <c r="D24" s="70" t="s">
        <v>241</v>
      </c>
      <c r="E24" s="70">
        <v>4458972</v>
      </c>
      <c r="F24" s="70">
        <v>4458973</v>
      </c>
      <c r="G24" s="70" t="s">
        <v>242</v>
      </c>
      <c r="H24" s="70" t="s">
        <v>243</v>
      </c>
      <c r="I24" s="70" t="s">
        <v>128</v>
      </c>
      <c r="J24" s="70" t="s">
        <v>244</v>
      </c>
      <c r="K24" s="71">
        <v>46122.979166666664</v>
      </c>
      <c r="L24" s="70"/>
      <c r="M24" s="71">
        <v>46128.229166666664</v>
      </c>
      <c r="N24" s="70"/>
      <c r="O24" s="70" t="s">
        <v>245</v>
      </c>
      <c r="P24" s="71">
        <v>46130.229166666664</v>
      </c>
      <c r="Q24" s="70">
        <v>5</v>
      </c>
      <c r="R24" s="70"/>
      <c r="S24" s="70">
        <v>2</v>
      </c>
      <c r="T24" s="70"/>
      <c r="U24" s="70"/>
      <c r="V24" s="70"/>
      <c r="W24" s="70" t="s">
        <v>227</v>
      </c>
      <c r="X24" s="71">
        <v>46113.806944444441</v>
      </c>
      <c r="Y24" s="70" t="s">
        <v>246</v>
      </c>
      <c r="Z24" s="70" t="s">
        <v>247</v>
      </c>
      <c r="AA24" s="70" t="s">
        <v>195</v>
      </c>
      <c r="AB24" s="70"/>
      <c r="AC24" s="70"/>
      <c r="AD24" s="70" t="s">
        <v>248</v>
      </c>
      <c r="AE24" s="70" t="s">
        <v>249</v>
      </c>
    </row>
    <row r="25" spans="1:31" ht="15">
      <c r="A25" s="70" t="s">
        <v>240</v>
      </c>
      <c r="B25" s="70" t="s">
        <v>188</v>
      </c>
      <c r="C25" s="70" t="s">
        <v>241</v>
      </c>
      <c r="D25" s="70" t="s">
        <v>241</v>
      </c>
      <c r="E25" s="70">
        <v>4458972</v>
      </c>
      <c r="F25" s="70">
        <v>4458985</v>
      </c>
      <c r="G25" s="70" t="s">
        <v>129</v>
      </c>
      <c r="H25" s="70" t="s">
        <v>224</v>
      </c>
      <c r="I25" s="70" t="s">
        <v>128</v>
      </c>
      <c r="J25" s="70" t="s">
        <v>244</v>
      </c>
      <c r="K25" s="71">
        <v>46122.979166666664</v>
      </c>
      <c r="L25" s="70"/>
      <c r="M25" s="71">
        <v>46127.229166666664</v>
      </c>
      <c r="N25" s="70"/>
      <c r="O25" s="70" t="s">
        <v>250</v>
      </c>
      <c r="P25" s="71">
        <v>46130.229166666664</v>
      </c>
      <c r="Q25" s="70">
        <v>3</v>
      </c>
      <c r="R25" s="70"/>
      <c r="S25" s="70">
        <v>2</v>
      </c>
      <c r="T25" s="70"/>
      <c r="U25" s="70"/>
      <c r="V25" s="70"/>
      <c r="W25" s="70" t="s">
        <v>227</v>
      </c>
      <c r="X25" s="71">
        <v>46113.813194444447</v>
      </c>
      <c r="Y25" s="70" t="s">
        <v>246</v>
      </c>
      <c r="Z25" s="70" t="s">
        <v>247</v>
      </c>
      <c r="AA25" s="70" t="s">
        <v>195</v>
      </c>
      <c r="AB25" s="70"/>
      <c r="AC25" s="70"/>
      <c r="AD25" s="70" t="s">
        <v>248</v>
      </c>
      <c r="AE25" s="70" t="s">
        <v>249</v>
      </c>
    </row>
    <row r="26" spans="1:31" ht="15">
      <c r="A26" s="70" t="s">
        <v>240</v>
      </c>
      <c r="B26" s="70" t="s">
        <v>188</v>
      </c>
      <c r="C26" s="70" t="s">
        <v>241</v>
      </c>
      <c r="D26" s="70" t="s">
        <v>241</v>
      </c>
      <c r="E26" s="70">
        <v>4458972</v>
      </c>
      <c r="F26" s="70">
        <v>4458995</v>
      </c>
      <c r="G26" s="70" t="s">
        <v>130</v>
      </c>
      <c r="H26" s="70" t="s">
        <v>224</v>
      </c>
      <c r="I26" s="70" t="s">
        <v>128</v>
      </c>
      <c r="J26" s="70" t="s">
        <v>244</v>
      </c>
      <c r="K26" s="71">
        <v>46122.979166666664</v>
      </c>
      <c r="L26" s="70"/>
      <c r="M26" s="71">
        <v>46127.229166666664</v>
      </c>
      <c r="N26" s="70"/>
      <c r="O26" s="70" t="s">
        <v>251</v>
      </c>
      <c r="P26" s="71">
        <v>46130.229166666664</v>
      </c>
      <c r="Q26" s="70">
        <v>3</v>
      </c>
      <c r="R26" s="70"/>
      <c r="S26" s="70">
        <v>2</v>
      </c>
      <c r="T26" s="70"/>
      <c r="U26" s="70"/>
      <c r="V26" s="70"/>
      <c r="W26" s="70" t="s">
        <v>227</v>
      </c>
      <c r="X26" s="71">
        <v>46113.819444444445</v>
      </c>
      <c r="Y26" s="70" t="s">
        <v>246</v>
      </c>
      <c r="Z26" s="70" t="s">
        <v>247</v>
      </c>
      <c r="AA26" s="70" t="s">
        <v>195</v>
      </c>
      <c r="AB26" s="70"/>
      <c r="AC26" s="70"/>
      <c r="AD26" s="70" t="s">
        <v>248</v>
      </c>
      <c r="AE26" s="70" t="s">
        <v>249</v>
      </c>
    </row>
    <row r="27" spans="1:31" ht="15">
      <c r="A27" s="70" t="s">
        <v>252</v>
      </c>
      <c r="B27" s="70" t="s">
        <v>188</v>
      </c>
      <c r="C27" s="70" t="s">
        <v>253</v>
      </c>
      <c r="D27" s="70" t="s">
        <v>254</v>
      </c>
      <c r="E27" s="70">
        <v>4446745</v>
      </c>
      <c r="F27" s="70">
        <v>4446747</v>
      </c>
      <c r="G27" s="70" t="s">
        <v>111</v>
      </c>
      <c r="H27" s="70" t="s">
        <v>203</v>
      </c>
      <c r="I27" s="70" t="s">
        <v>255</v>
      </c>
      <c r="J27" s="70" t="s">
        <v>256</v>
      </c>
      <c r="K27" s="71">
        <v>46116.104166666664</v>
      </c>
      <c r="L27" s="71">
        <v>46114.716666666667</v>
      </c>
      <c r="M27" s="71">
        <v>46120.979166666664</v>
      </c>
      <c r="N27" s="71">
        <v>46115.944444444445</v>
      </c>
      <c r="O27" s="70" t="s">
        <v>257</v>
      </c>
      <c r="P27" s="71">
        <v>46130.229166666664</v>
      </c>
      <c r="Q27" s="70"/>
      <c r="R27" s="70"/>
      <c r="S27" s="70">
        <v>2</v>
      </c>
      <c r="T27" s="70"/>
      <c r="U27" s="70" t="s">
        <v>168</v>
      </c>
      <c r="V27" s="70" t="s">
        <v>168</v>
      </c>
      <c r="W27" s="70" t="s">
        <v>258</v>
      </c>
      <c r="X27" s="71">
        <v>46108.843055555553</v>
      </c>
      <c r="Y27" s="70" t="s">
        <v>259</v>
      </c>
      <c r="Z27" s="70" t="s">
        <v>260</v>
      </c>
      <c r="AA27" s="70" t="s">
        <v>261</v>
      </c>
      <c r="AB27" s="70"/>
      <c r="AC27" s="70"/>
      <c r="AD27" s="70" t="s">
        <v>262</v>
      </c>
      <c r="AE27" s="70" t="s">
        <v>263</v>
      </c>
    </row>
    <row r="28" spans="1:31" ht="15">
      <c r="A28" s="70" t="s">
        <v>264</v>
      </c>
      <c r="B28" s="70" t="s">
        <v>188</v>
      </c>
      <c r="C28" s="70" t="s">
        <v>253</v>
      </c>
      <c r="D28" s="70" t="s">
        <v>265</v>
      </c>
      <c r="E28" s="70">
        <v>4458987</v>
      </c>
      <c r="F28" s="70">
        <v>4459023</v>
      </c>
      <c r="G28" s="70" t="s">
        <v>114</v>
      </c>
      <c r="H28" s="70" t="s">
        <v>224</v>
      </c>
      <c r="I28" s="70" t="s">
        <v>266</v>
      </c>
      <c r="J28" s="70" t="s">
        <v>256</v>
      </c>
      <c r="K28" s="71">
        <v>46119.229166666664</v>
      </c>
      <c r="L28" s="70"/>
      <c r="M28" s="71">
        <v>46122.229166666664</v>
      </c>
      <c r="N28" s="70"/>
      <c r="O28" s="70" t="s">
        <v>267</v>
      </c>
      <c r="P28" s="71">
        <v>46130.979166666664</v>
      </c>
      <c r="Q28" s="70">
        <v>4</v>
      </c>
      <c r="R28" s="70"/>
      <c r="S28" s="70">
        <v>2</v>
      </c>
      <c r="T28" s="70"/>
      <c r="U28" s="70"/>
      <c r="V28" s="70"/>
      <c r="W28" s="70" t="s">
        <v>258</v>
      </c>
      <c r="X28" s="71">
        <v>46113.823611111111</v>
      </c>
      <c r="Y28" s="70" t="s">
        <v>268</v>
      </c>
      <c r="Z28" s="70" t="s">
        <v>269</v>
      </c>
      <c r="AA28" s="70" t="s">
        <v>261</v>
      </c>
      <c r="AB28" s="70"/>
      <c r="AC28" s="70"/>
      <c r="AD28" s="70" t="s">
        <v>253</v>
      </c>
      <c r="AE28" s="70" t="s">
        <v>270</v>
      </c>
    </row>
    <row r="29" spans="1:31" ht="15">
      <c r="A29" s="70" t="s">
        <v>211</v>
      </c>
      <c r="B29" s="70" t="s">
        <v>161</v>
      </c>
      <c r="C29" s="70" t="s">
        <v>189</v>
      </c>
      <c r="D29" s="70" t="s">
        <v>212</v>
      </c>
      <c r="E29" s="70">
        <v>4429397</v>
      </c>
      <c r="F29" s="70">
        <v>4429521</v>
      </c>
      <c r="G29" s="70" t="s">
        <v>48</v>
      </c>
      <c r="H29" s="70" t="s">
        <v>164</v>
      </c>
      <c r="I29" s="70" t="s">
        <v>213</v>
      </c>
      <c r="J29" s="70" t="s">
        <v>271</v>
      </c>
      <c r="K29" s="71">
        <v>46114.85</v>
      </c>
      <c r="L29" s="71">
        <v>46114.95</v>
      </c>
      <c r="M29" s="70"/>
      <c r="N29" s="70"/>
      <c r="O29" s="70" t="s">
        <v>272</v>
      </c>
      <c r="P29" s="71">
        <v>46130.229166666664</v>
      </c>
      <c r="Q29" s="70">
        <v>3</v>
      </c>
      <c r="R29" s="70"/>
      <c r="S29" s="70">
        <v>2</v>
      </c>
      <c r="T29" s="70"/>
      <c r="U29" s="70" t="s">
        <v>168</v>
      </c>
      <c r="V29" s="70" t="s">
        <v>168</v>
      </c>
      <c r="W29" s="70" t="s">
        <v>216</v>
      </c>
      <c r="X29" s="71">
        <v>46097.800694444442</v>
      </c>
      <c r="Y29" s="70" t="s">
        <v>273</v>
      </c>
      <c r="Z29" s="70" t="s">
        <v>218</v>
      </c>
      <c r="AA29" s="70" t="s">
        <v>195</v>
      </c>
      <c r="AB29" s="70"/>
      <c r="AC29" s="70"/>
      <c r="AD29" s="70" t="s">
        <v>274</v>
      </c>
      <c r="AE29" s="70" t="s">
        <v>220</v>
      </c>
    </row>
    <row r="30" spans="1:31" ht="15">
      <c r="A30" s="70" t="s">
        <v>211</v>
      </c>
      <c r="B30" s="70" t="s">
        <v>161</v>
      </c>
      <c r="C30" s="70" t="s">
        <v>189</v>
      </c>
      <c r="D30" s="70" t="s">
        <v>212</v>
      </c>
      <c r="E30" s="70">
        <v>4429397</v>
      </c>
      <c r="F30" s="70">
        <v>4429413</v>
      </c>
      <c r="G30" s="70" t="s">
        <v>39</v>
      </c>
      <c r="H30" s="70" t="s">
        <v>164</v>
      </c>
      <c r="I30" s="70" t="s">
        <v>213</v>
      </c>
      <c r="J30" s="70" t="s">
        <v>275</v>
      </c>
      <c r="K30" s="71">
        <v>46114.851388888892</v>
      </c>
      <c r="L30" s="71">
        <v>46115.020833333336</v>
      </c>
      <c r="M30" s="70"/>
      <c r="N30" s="70"/>
      <c r="O30" s="70" t="s">
        <v>276</v>
      </c>
      <c r="P30" s="71">
        <v>46130.229166666664</v>
      </c>
      <c r="Q30" s="70">
        <v>3</v>
      </c>
      <c r="R30" s="70"/>
      <c r="S30" s="70">
        <v>2</v>
      </c>
      <c r="T30" s="70"/>
      <c r="U30" s="70" t="s">
        <v>168</v>
      </c>
      <c r="V30" s="70" t="s">
        <v>168</v>
      </c>
      <c r="W30" s="70" t="s">
        <v>216</v>
      </c>
      <c r="X30" s="71">
        <v>46097.770138888889</v>
      </c>
      <c r="Y30" s="70" t="s">
        <v>277</v>
      </c>
      <c r="Z30" s="70" t="s">
        <v>218</v>
      </c>
      <c r="AA30" s="70" t="s">
        <v>195</v>
      </c>
      <c r="AB30" s="70"/>
      <c r="AC30" s="70"/>
      <c r="AD30" s="70" t="s">
        <v>278</v>
      </c>
      <c r="AE30" s="70" t="s">
        <v>220</v>
      </c>
    </row>
    <row r="31" spans="1:31" ht="15">
      <c r="A31" s="70" t="s">
        <v>160</v>
      </c>
      <c r="B31" s="70" t="s">
        <v>161</v>
      </c>
      <c r="C31" s="70" t="s">
        <v>162</v>
      </c>
      <c r="D31" s="70" t="s">
        <v>163</v>
      </c>
      <c r="E31" s="70">
        <v>4373911</v>
      </c>
      <c r="F31" s="70">
        <v>4368812</v>
      </c>
      <c r="G31" s="70" t="s">
        <v>86</v>
      </c>
      <c r="H31" s="70" t="s">
        <v>164</v>
      </c>
      <c r="I31" s="70" t="s">
        <v>165</v>
      </c>
      <c r="J31" s="70" t="s">
        <v>279</v>
      </c>
      <c r="K31" s="71">
        <v>46101.229166666664</v>
      </c>
      <c r="L31" s="71">
        <v>46104.229166666664</v>
      </c>
      <c r="M31" s="71">
        <v>46120.979166666664</v>
      </c>
      <c r="N31" s="70"/>
      <c r="O31" s="70" t="s">
        <v>280</v>
      </c>
      <c r="P31" s="71">
        <v>46130.229166666664</v>
      </c>
      <c r="Q31" s="70">
        <v>13</v>
      </c>
      <c r="R31" s="70"/>
      <c r="S31" s="70">
        <v>2</v>
      </c>
      <c r="T31" s="70"/>
      <c r="U31" s="70" t="s">
        <v>168</v>
      </c>
      <c r="V31" s="70" t="s">
        <v>168</v>
      </c>
      <c r="W31" s="70" t="s">
        <v>169</v>
      </c>
      <c r="X31" s="71">
        <v>46069.455555555556</v>
      </c>
      <c r="Y31" s="70"/>
      <c r="Z31" s="70" t="s">
        <v>171</v>
      </c>
      <c r="AA31" s="70" t="s">
        <v>172</v>
      </c>
      <c r="AB31" s="70"/>
      <c r="AC31" s="70"/>
      <c r="AD31" s="70" t="s">
        <v>281</v>
      </c>
      <c r="AE31" s="70" t="s">
        <v>174</v>
      </c>
    </row>
    <row r="32" spans="1:31" ht="15">
      <c r="A32" s="70" t="s">
        <v>202</v>
      </c>
      <c r="B32" s="70" t="s">
        <v>161</v>
      </c>
      <c r="C32" s="70" t="s">
        <v>162</v>
      </c>
      <c r="D32" s="70" t="s">
        <v>208</v>
      </c>
      <c r="E32" s="70">
        <v>4389877</v>
      </c>
      <c r="F32" s="70">
        <v>4391224</v>
      </c>
      <c r="G32" s="70" t="s">
        <v>67</v>
      </c>
      <c r="H32" s="70" t="s">
        <v>164</v>
      </c>
      <c r="I32" s="70" t="s">
        <v>180</v>
      </c>
      <c r="J32" s="70" t="s">
        <v>279</v>
      </c>
      <c r="K32" s="71">
        <v>46101.229166666664</v>
      </c>
      <c r="L32" s="71">
        <v>46104.229166666664</v>
      </c>
      <c r="M32" s="71">
        <v>46119.979166666664</v>
      </c>
      <c r="N32" s="70"/>
      <c r="O32" s="70" t="s">
        <v>282</v>
      </c>
      <c r="P32" s="71">
        <v>46130.229166666664</v>
      </c>
      <c r="Q32" s="70">
        <v>1</v>
      </c>
      <c r="R32" s="70"/>
      <c r="S32" s="70">
        <v>2</v>
      </c>
      <c r="T32" s="70"/>
      <c r="U32" s="70" t="s">
        <v>168</v>
      </c>
      <c r="V32" s="70" t="s">
        <v>168</v>
      </c>
      <c r="W32" s="70" t="s">
        <v>283</v>
      </c>
      <c r="X32" s="71">
        <v>46078.473611111112</v>
      </c>
      <c r="Y32" s="70"/>
      <c r="Z32" s="70" t="s">
        <v>183</v>
      </c>
      <c r="AA32" s="70" t="s">
        <v>284</v>
      </c>
      <c r="AB32" s="70"/>
      <c r="AC32" s="70"/>
      <c r="AD32" s="70" t="s">
        <v>208</v>
      </c>
      <c r="AE32" s="70" t="s">
        <v>174</v>
      </c>
    </row>
    <row r="33" spans="1:31" ht="15">
      <c r="A33" s="70" t="s">
        <v>160</v>
      </c>
      <c r="B33" s="70" t="s">
        <v>161</v>
      </c>
      <c r="C33" s="70" t="s">
        <v>196</v>
      </c>
      <c r="D33" s="70" t="s">
        <v>285</v>
      </c>
      <c r="E33" s="70">
        <v>4373911</v>
      </c>
      <c r="F33" s="70">
        <v>4393527</v>
      </c>
      <c r="G33" s="70" t="s">
        <v>71</v>
      </c>
      <c r="H33" s="70" t="s">
        <v>164</v>
      </c>
      <c r="I33" s="70" t="s">
        <v>286</v>
      </c>
      <c r="J33" s="70" t="s">
        <v>279</v>
      </c>
      <c r="K33" s="71">
        <v>46101.229166666664</v>
      </c>
      <c r="L33" s="71">
        <v>46104.229166666664</v>
      </c>
      <c r="M33" s="71">
        <v>46121.229166666664</v>
      </c>
      <c r="N33" s="70"/>
      <c r="O33" s="70" t="s">
        <v>282</v>
      </c>
      <c r="P33" s="71">
        <v>46130.229166666664</v>
      </c>
      <c r="Q33" s="70">
        <v>5</v>
      </c>
      <c r="R33" s="70"/>
      <c r="S33" s="70">
        <v>2</v>
      </c>
      <c r="T33" s="70"/>
      <c r="U33" s="70" t="s">
        <v>168</v>
      </c>
      <c r="V33" s="70" t="s">
        <v>168</v>
      </c>
      <c r="W33" s="70" t="s">
        <v>283</v>
      </c>
      <c r="X33" s="71">
        <v>46079.665277777778</v>
      </c>
      <c r="Y33" s="70"/>
      <c r="Z33" s="70" t="s">
        <v>287</v>
      </c>
      <c r="AA33" s="70" t="s">
        <v>288</v>
      </c>
      <c r="AB33" s="70"/>
      <c r="AC33" s="70"/>
      <c r="AD33" s="70" t="s">
        <v>289</v>
      </c>
      <c r="AE33" s="70" t="s">
        <v>174</v>
      </c>
    </row>
    <row r="34" spans="1:31" ht="15">
      <c r="A34" s="70" t="s">
        <v>160</v>
      </c>
      <c r="B34" s="70" t="s">
        <v>161</v>
      </c>
      <c r="C34" s="70" t="s">
        <v>196</v>
      </c>
      <c r="D34" s="70" t="s">
        <v>289</v>
      </c>
      <c r="E34" s="70">
        <v>4373911</v>
      </c>
      <c r="F34" s="70">
        <v>4377948</v>
      </c>
      <c r="G34" s="70" t="s">
        <v>72</v>
      </c>
      <c r="H34" s="70" t="s">
        <v>164</v>
      </c>
      <c r="I34" s="70" t="s">
        <v>286</v>
      </c>
      <c r="J34" s="70" t="s">
        <v>279</v>
      </c>
      <c r="K34" s="71">
        <v>46101.229166666664</v>
      </c>
      <c r="L34" s="71">
        <v>46104.229166666664</v>
      </c>
      <c r="M34" s="71">
        <v>46121.229166666664</v>
      </c>
      <c r="N34" s="70"/>
      <c r="O34" s="70" t="s">
        <v>282</v>
      </c>
      <c r="P34" s="71">
        <v>46130.229166666664</v>
      </c>
      <c r="Q34" s="70">
        <v>5</v>
      </c>
      <c r="R34" s="70"/>
      <c r="S34" s="70">
        <v>2</v>
      </c>
      <c r="T34" s="70"/>
      <c r="U34" s="70" t="s">
        <v>168</v>
      </c>
      <c r="V34" s="70" t="s">
        <v>168</v>
      </c>
      <c r="W34" s="70" t="s">
        <v>283</v>
      </c>
      <c r="X34" s="71">
        <v>46072.667361111111</v>
      </c>
      <c r="Y34" s="70" t="s">
        <v>170</v>
      </c>
      <c r="Z34" s="70" t="s">
        <v>287</v>
      </c>
      <c r="AA34" s="70" t="s">
        <v>288</v>
      </c>
      <c r="AB34" s="70"/>
      <c r="AC34" s="70"/>
      <c r="AD34" s="70" t="s">
        <v>289</v>
      </c>
      <c r="AE34" s="70" t="s">
        <v>174</v>
      </c>
    </row>
    <row r="35" spans="1:31" ht="15">
      <c r="A35" s="70" t="s">
        <v>160</v>
      </c>
      <c r="B35" s="70" t="s">
        <v>161</v>
      </c>
      <c r="C35" s="70" t="s">
        <v>162</v>
      </c>
      <c r="D35" s="70" t="s">
        <v>163</v>
      </c>
      <c r="E35" s="70">
        <v>4373911</v>
      </c>
      <c r="F35" s="70">
        <v>4359328</v>
      </c>
      <c r="G35" s="70" t="s">
        <v>74</v>
      </c>
      <c r="H35" s="70" t="s">
        <v>164</v>
      </c>
      <c r="I35" s="70" t="s">
        <v>165</v>
      </c>
      <c r="J35" s="70" t="s">
        <v>279</v>
      </c>
      <c r="K35" s="71">
        <v>46101.229166666664</v>
      </c>
      <c r="L35" s="71">
        <v>46104.229166666664</v>
      </c>
      <c r="M35" s="71">
        <v>46120.229166666664</v>
      </c>
      <c r="N35" s="70"/>
      <c r="O35" s="70" t="s">
        <v>280</v>
      </c>
      <c r="P35" s="71">
        <v>46130.229166666664</v>
      </c>
      <c r="Q35" s="70">
        <v>5</v>
      </c>
      <c r="R35" s="70"/>
      <c r="S35" s="70">
        <v>2</v>
      </c>
      <c r="T35" s="70"/>
      <c r="U35" s="70" t="s">
        <v>168</v>
      </c>
      <c r="V35" s="70" t="s">
        <v>168</v>
      </c>
      <c r="W35" s="70" t="s">
        <v>169</v>
      </c>
      <c r="X35" s="71">
        <v>46063.509027777778</v>
      </c>
      <c r="Y35" s="70" t="s">
        <v>290</v>
      </c>
      <c r="Z35" s="70" t="s">
        <v>171</v>
      </c>
      <c r="AA35" s="70" t="s">
        <v>291</v>
      </c>
      <c r="AB35" s="70"/>
      <c r="AC35" s="70"/>
      <c r="AD35" s="70" t="s">
        <v>292</v>
      </c>
      <c r="AE35" s="70" t="s">
        <v>174</v>
      </c>
    </row>
    <row r="36" spans="1:31" ht="15">
      <c r="A36" s="70" t="s">
        <v>160</v>
      </c>
      <c r="B36" s="70" t="s">
        <v>161</v>
      </c>
      <c r="C36" s="70" t="s">
        <v>162</v>
      </c>
      <c r="D36" s="70" t="s">
        <v>163</v>
      </c>
      <c r="E36" s="70">
        <v>4373911</v>
      </c>
      <c r="F36" s="70">
        <v>4359507</v>
      </c>
      <c r="G36" s="70" t="s">
        <v>76</v>
      </c>
      <c r="H36" s="70" t="s">
        <v>164</v>
      </c>
      <c r="I36" s="70" t="s">
        <v>165</v>
      </c>
      <c r="J36" s="70" t="s">
        <v>279</v>
      </c>
      <c r="K36" s="71">
        <v>46101.229166666664</v>
      </c>
      <c r="L36" s="71">
        <v>46104.229166666664</v>
      </c>
      <c r="M36" s="71">
        <v>46120.229166666664</v>
      </c>
      <c r="N36" s="70"/>
      <c r="O36" s="70" t="s">
        <v>280</v>
      </c>
      <c r="P36" s="71">
        <v>46130.229166666664</v>
      </c>
      <c r="Q36" s="70">
        <v>7</v>
      </c>
      <c r="R36" s="70"/>
      <c r="S36" s="70">
        <v>2</v>
      </c>
      <c r="T36" s="70"/>
      <c r="U36" s="70" t="s">
        <v>168</v>
      </c>
      <c r="V36" s="70" t="s">
        <v>168</v>
      </c>
      <c r="W36" s="70" t="s">
        <v>169</v>
      </c>
      <c r="X36" s="71">
        <v>46063.538888888892</v>
      </c>
      <c r="Y36" s="70" t="s">
        <v>170</v>
      </c>
      <c r="Z36" s="70" t="s">
        <v>171</v>
      </c>
      <c r="AA36" s="70" t="s">
        <v>291</v>
      </c>
      <c r="AB36" s="70"/>
      <c r="AC36" s="70"/>
      <c r="AD36" s="70" t="s">
        <v>293</v>
      </c>
      <c r="AE36" s="70" t="s">
        <v>174</v>
      </c>
    </row>
    <row r="37" spans="1:31" ht="15">
      <c r="A37" s="70" t="s">
        <v>160</v>
      </c>
      <c r="B37" s="70" t="s">
        <v>161</v>
      </c>
      <c r="C37" s="70" t="s">
        <v>162</v>
      </c>
      <c r="D37" s="70" t="s">
        <v>163</v>
      </c>
      <c r="E37" s="70">
        <v>4373911</v>
      </c>
      <c r="F37" s="70">
        <v>4359188</v>
      </c>
      <c r="G37" s="70" t="s">
        <v>73</v>
      </c>
      <c r="H37" s="70" t="s">
        <v>164</v>
      </c>
      <c r="I37" s="70" t="s">
        <v>165</v>
      </c>
      <c r="J37" s="70" t="s">
        <v>279</v>
      </c>
      <c r="K37" s="71">
        <v>46101.229166666664</v>
      </c>
      <c r="L37" s="71">
        <v>46104.229166666664</v>
      </c>
      <c r="M37" s="71">
        <v>46120.979166666664</v>
      </c>
      <c r="N37" s="70"/>
      <c r="O37" s="70" t="s">
        <v>280</v>
      </c>
      <c r="P37" s="71">
        <v>46130.229166666664</v>
      </c>
      <c r="Q37" s="70">
        <v>3</v>
      </c>
      <c r="R37" s="70"/>
      <c r="S37" s="70">
        <v>2</v>
      </c>
      <c r="T37" s="70"/>
      <c r="U37" s="70" t="s">
        <v>168</v>
      </c>
      <c r="V37" s="70" t="s">
        <v>168</v>
      </c>
      <c r="W37" s="70" t="s">
        <v>169</v>
      </c>
      <c r="X37" s="71">
        <v>46063.46597222222</v>
      </c>
      <c r="Y37" s="70" t="s">
        <v>170</v>
      </c>
      <c r="Z37" s="70" t="s">
        <v>171</v>
      </c>
      <c r="AA37" s="70" t="s">
        <v>291</v>
      </c>
      <c r="AB37" s="70"/>
      <c r="AC37" s="70"/>
      <c r="AD37" s="70" t="s">
        <v>294</v>
      </c>
      <c r="AE37" s="70" t="s">
        <v>295</v>
      </c>
    </row>
    <row r="38" spans="1:31" ht="15">
      <c r="A38" s="70" t="s">
        <v>296</v>
      </c>
      <c r="B38" s="70" t="s">
        <v>188</v>
      </c>
      <c r="C38" s="70" t="s">
        <v>297</v>
      </c>
      <c r="D38" s="70" t="s">
        <v>298</v>
      </c>
      <c r="E38" s="70">
        <v>4386341</v>
      </c>
      <c r="F38" s="70">
        <v>4446804</v>
      </c>
      <c r="G38" s="70" t="s">
        <v>131</v>
      </c>
      <c r="H38" s="70" t="s">
        <v>224</v>
      </c>
      <c r="I38" s="70" t="s">
        <v>299</v>
      </c>
      <c r="J38" s="70" t="s">
        <v>300</v>
      </c>
      <c r="K38" s="71">
        <v>46119.229166666664</v>
      </c>
      <c r="L38" s="70"/>
      <c r="M38" s="71">
        <v>46122.229166666664</v>
      </c>
      <c r="N38" s="70"/>
      <c r="O38" s="70" t="s">
        <v>301</v>
      </c>
      <c r="P38" s="71">
        <v>46130.229166666664</v>
      </c>
      <c r="Q38" s="70">
        <v>2</v>
      </c>
      <c r="R38" s="70"/>
      <c r="S38" s="70">
        <v>2</v>
      </c>
      <c r="T38" s="70"/>
      <c r="U38" s="70" t="s">
        <v>168</v>
      </c>
      <c r="V38" s="70" t="s">
        <v>168</v>
      </c>
      <c r="W38" s="70" t="s">
        <v>300</v>
      </c>
      <c r="X38" s="71">
        <v>46108.904166666667</v>
      </c>
      <c r="Y38" s="70" t="s">
        <v>302</v>
      </c>
      <c r="Z38" s="70" t="s">
        <v>303</v>
      </c>
      <c r="AA38" s="70" t="s">
        <v>304</v>
      </c>
      <c r="AB38" s="70"/>
      <c r="AC38" s="70"/>
      <c r="AD38" s="70" t="s">
        <v>298</v>
      </c>
      <c r="AE38" s="70" t="s">
        <v>305</v>
      </c>
    </row>
    <row r="39" spans="1:31" ht="15">
      <c r="A39" s="70" t="s">
        <v>296</v>
      </c>
      <c r="B39" s="70" t="s">
        <v>188</v>
      </c>
      <c r="C39" s="70" t="s">
        <v>297</v>
      </c>
      <c r="D39" s="70" t="s">
        <v>298</v>
      </c>
      <c r="E39" s="70">
        <v>4386341</v>
      </c>
      <c r="F39" s="70">
        <v>4446805</v>
      </c>
      <c r="G39" s="70" t="s">
        <v>116</v>
      </c>
      <c r="H39" s="70" t="s">
        <v>224</v>
      </c>
      <c r="I39" s="70" t="s">
        <v>299</v>
      </c>
      <c r="J39" s="70" t="s">
        <v>300</v>
      </c>
      <c r="K39" s="71">
        <v>46119.229166666664</v>
      </c>
      <c r="L39" s="70"/>
      <c r="M39" s="71">
        <v>46122.229166666664</v>
      </c>
      <c r="N39" s="70"/>
      <c r="O39" s="70" t="s">
        <v>301</v>
      </c>
      <c r="P39" s="71">
        <v>46130.229166666664</v>
      </c>
      <c r="Q39" s="70">
        <v>2</v>
      </c>
      <c r="R39" s="70"/>
      <c r="S39" s="70">
        <v>2</v>
      </c>
      <c r="T39" s="70"/>
      <c r="U39" s="70" t="s">
        <v>168</v>
      </c>
      <c r="V39" s="70" t="s">
        <v>168</v>
      </c>
      <c r="W39" s="70" t="s">
        <v>300</v>
      </c>
      <c r="X39" s="71">
        <v>46108.904166666667</v>
      </c>
      <c r="Y39" s="70" t="s">
        <v>302</v>
      </c>
      <c r="Z39" s="70" t="s">
        <v>303</v>
      </c>
      <c r="AA39" s="70" t="s">
        <v>304</v>
      </c>
      <c r="AB39" s="70"/>
      <c r="AC39" s="70"/>
      <c r="AD39" s="70" t="s">
        <v>298</v>
      </c>
      <c r="AE39" s="70" t="s">
        <v>305</v>
      </c>
    </row>
    <row r="40" spans="1:31" ht="15">
      <c r="A40" s="70" t="s">
        <v>296</v>
      </c>
      <c r="B40" s="70" t="s">
        <v>188</v>
      </c>
      <c r="C40" s="70" t="s">
        <v>297</v>
      </c>
      <c r="D40" s="70" t="s">
        <v>298</v>
      </c>
      <c r="E40" s="70">
        <v>4386341</v>
      </c>
      <c r="F40" s="70">
        <v>4446806</v>
      </c>
      <c r="G40" s="70" t="s">
        <v>119</v>
      </c>
      <c r="H40" s="70" t="s">
        <v>224</v>
      </c>
      <c r="I40" s="70" t="s">
        <v>299</v>
      </c>
      <c r="J40" s="70" t="s">
        <v>300</v>
      </c>
      <c r="K40" s="71">
        <v>46119.229166666664</v>
      </c>
      <c r="L40" s="70"/>
      <c r="M40" s="71">
        <v>46122.229166666664</v>
      </c>
      <c r="N40" s="70"/>
      <c r="O40" s="70" t="s">
        <v>301</v>
      </c>
      <c r="P40" s="71">
        <v>46130.229166666664</v>
      </c>
      <c r="Q40" s="70">
        <v>1</v>
      </c>
      <c r="R40" s="70"/>
      <c r="S40" s="70">
        <v>2</v>
      </c>
      <c r="T40" s="70"/>
      <c r="U40" s="70" t="s">
        <v>168</v>
      </c>
      <c r="V40" s="70" t="s">
        <v>168</v>
      </c>
      <c r="W40" s="70" t="s">
        <v>300</v>
      </c>
      <c r="X40" s="71">
        <v>46108.904166666667</v>
      </c>
      <c r="Y40" s="70" t="s">
        <v>302</v>
      </c>
      <c r="Z40" s="70" t="s">
        <v>303</v>
      </c>
      <c r="AA40" s="70" t="s">
        <v>304</v>
      </c>
      <c r="AB40" s="70"/>
      <c r="AC40" s="70"/>
      <c r="AD40" s="70" t="s">
        <v>298</v>
      </c>
      <c r="AE40" s="70" t="s">
        <v>305</v>
      </c>
    </row>
    <row r="41" spans="1:31" ht="15">
      <c r="A41" s="70" t="s">
        <v>296</v>
      </c>
      <c r="B41" s="70" t="s">
        <v>188</v>
      </c>
      <c r="C41" s="70" t="s">
        <v>297</v>
      </c>
      <c r="D41" s="70" t="s">
        <v>298</v>
      </c>
      <c r="E41" s="70">
        <v>4386341</v>
      </c>
      <c r="F41" s="70">
        <v>4446807</v>
      </c>
      <c r="G41" s="70" t="s">
        <v>120</v>
      </c>
      <c r="H41" s="70" t="s">
        <v>224</v>
      </c>
      <c r="I41" s="70" t="s">
        <v>299</v>
      </c>
      <c r="J41" s="70" t="s">
        <v>300</v>
      </c>
      <c r="K41" s="71">
        <v>46119.229166666664</v>
      </c>
      <c r="L41" s="70"/>
      <c r="M41" s="71">
        <v>46122.229166666664</v>
      </c>
      <c r="N41" s="70"/>
      <c r="O41" s="70" t="s">
        <v>301</v>
      </c>
      <c r="P41" s="71">
        <v>46130.229166666664</v>
      </c>
      <c r="Q41" s="70">
        <v>2</v>
      </c>
      <c r="R41" s="70"/>
      <c r="S41" s="70">
        <v>2</v>
      </c>
      <c r="T41" s="70"/>
      <c r="U41" s="70" t="s">
        <v>168</v>
      </c>
      <c r="V41" s="70" t="s">
        <v>168</v>
      </c>
      <c r="W41" s="70" t="s">
        <v>300</v>
      </c>
      <c r="X41" s="71">
        <v>46108.904861111114</v>
      </c>
      <c r="Y41" s="70" t="s">
        <v>302</v>
      </c>
      <c r="Z41" s="70" t="s">
        <v>303</v>
      </c>
      <c r="AA41" s="70" t="s">
        <v>304</v>
      </c>
      <c r="AB41" s="70"/>
      <c r="AC41" s="70"/>
      <c r="AD41" s="70" t="s">
        <v>298</v>
      </c>
      <c r="AE41" s="70" t="s">
        <v>305</v>
      </c>
    </row>
    <row r="42" spans="1:31" ht="15">
      <c r="A42" s="70" t="s">
        <v>296</v>
      </c>
      <c r="B42" s="70" t="s">
        <v>188</v>
      </c>
      <c r="C42" s="70" t="s">
        <v>297</v>
      </c>
      <c r="D42" s="70" t="s">
        <v>298</v>
      </c>
      <c r="E42" s="70">
        <v>4386341</v>
      </c>
      <c r="F42" s="70">
        <v>4446808</v>
      </c>
      <c r="G42" s="70" t="s">
        <v>121</v>
      </c>
      <c r="H42" s="70" t="s">
        <v>224</v>
      </c>
      <c r="I42" s="70" t="s">
        <v>299</v>
      </c>
      <c r="J42" s="70" t="s">
        <v>300</v>
      </c>
      <c r="K42" s="71">
        <v>46119.229166666664</v>
      </c>
      <c r="L42" s="70"/>
      <c r="M42" s="71">
        <v>46122.229166666664</v>
      </c>
      <c r="N42" s="70"/>
      <c r="O42" s="70" t="s">
        <v>301</v>
      </c>
      <c r="P42" s="71">
        <v>46130.229166666664</v>
      </c>
      <c r="Q42" s="70">
        <v>2</v>
      </c>
      <c r="R42" s="70"/>
      <c r="S42" s="70">
        <v>2</v>
      </c>
      <c r="T42" s="70"/>
      <c r="U42" s="70" t="s">
        <v>168</v>
      </c>
      <c r="V42" s="70" t="s">
        <v>168</v>
      </c>
      <c r="W42" s="70" t="s">
        <v>300</v>
      </c>
      <c r="X42" s="71">
        <v>46108.904861111114</v>
      </c>
      <c r="Y42" s="70" t="s">
        <v>302</v>
      </c>
      <c r="Z42" s="70" t="s">
        <v>303</v>
      </c>
      <c r="AA42" s="70" t="s">
        <v>304</v>
      </c>
      <c r="AB42" s="70"/>
      <c r="AC42" s="70"/>
      <c r="AD42" s="70" t="s">
        <v>298</v>
      </c>
      <c r="AE42" s="70" t="s">
        <v>305</v>
      </c>
    </row>
    <row r="43" spans="1:31" ht="15">
      <c r="A43" s="70" t="s">
        <v>296</v>
      </c>
      <c r="B43" s="70" t="s">
        <v>188</v>
      </c>
      <c r="C43" s="70" t="s">
        <v>297</v>
      </c>
      <c r="D43" s="70" t="s">
        <v>298</v>
      </c>
      <c r="E43" s="70">
        <v>4386341</v>
      </c>
      <c r="F43" s="70">
        <v>4446809</v>
      </c>
      <c r="G43" s="70" t="s">
        <v>122</v>
      </c>
      <c r="H43" s="70" t="s">
        <v>224</v>
      </c>
      <c r="I43" s="70" t="s">
        <v>299</v>
      </c>
      <c r="J43" s="70" t="s">
        <v>300</v>
      </c>
      <c r="K43" s="71">
        <v>46119.229166666664</v>
      </c>
      <c r="L43" s="70"/>
      <c r="M43" s="71">
        <v>46122.229166666664</v>
      </c>
      <c r="N43" s="70"/>
      <c r="O43" s="70" t="s">
        <v>301</v>
      </c>
      <c r="P43" s="71">
        <v>46130.229166666664</v>
      </c>
      <c r="Q43" s="70">
        <v>2</v>
      </c>
      <c r="R43" s="70"/>
      <c r="S43" s="70">
        <v>2</v>
      </c>
      <c r="T43" s="70"/>
      <c r="U43" s="70" t="s">
        <v>168</v>
      </c>
      <c r="V43" s="70" t="s">
        <v>168</v>
      </c>
      <c r="W43" s="70" t="s">
        <v>300</v>
      </c>
      <c r="X43" s="71">
        <v>46108.904861111114</v>
      </c>
      <c r="Y43" s="70" t="s">
        <v>302</v>
      </c>
      <c r="Z43" s="70" t="s">
        <v>303</v>
      </c>
      <c r="AA43" s="70" t="s">
        <v>304</v>
      </c>
      <c r="AB43" s="70"/>
      <c r="AC43" s="70"/>
      <c r="AD43" s="70" t="s">
        <v>298</v>
      </c>
      <c r="AE43" s="70" t="s">
        <v>305</v>
      </c>
    </row>
    <row r="44" spans="1:31" ht="15">
      <c r="A44" s="70" t="s">
        <v>306</v>
      </c>
      <c r="B44" s="70" t="s">
        <v>188</v>
      </c>
      <c r="C44" s="70" t="s">
        <v>297</v>
      </c>
      <c r="D44" s="70" t="s">
        <v>307</v>
      </c>
      <c r="E44" s="70">
        <v>4386335</v>
      </c>
      <c r="F44" s="70">
        <v>4450477</v>
      </c>
      <c r="G44" s="70" t="s">
        <v>123</v>
      </c>
      <c r="H44" s="70" t="s">
        <v>224</v>
      </c>
      <c r="I44" s="70" t="s">
        <v>299</v>
      </c>
      <c r="J44" s="70" t="s">
        <v>300</v>
      </c>
      <c r="K44" s="71">
        <v>46119.229166666664</v>
      </c>
      <c r="L44" s="70"/>
      <c r="M44" s="70"/>
      <c r="N44" s="70"/>
      <c r="O44" s="70" t="s">
        <v>301</v>
      </c>
      <c r="P44" s="71">
        <v>46130.229166666664</v>
      </c>
      <c r="Q44" s="70">
        <v>1</v>
      </c>
      <c r="R44" s="70"/>
      <c r="S44" s="70">
        <v>2</v>
      </c>
      <c r="T44" s="70"/>
      <c r="U44" s="70" t="s">
        <v>168</v>
      </c>
      <c r="V44" s="70" t="s">
        <v>168</v>
      </c>
      <c r="W44" s="70" t="s">
        <v>300</v>
      </c>
      <c r="X44" s="71">
        <v>46112.432638888888</v>
      </c>
      <c r="Y44" s="70" t="s">
        <v>308</v>
      </c>
      <c r="Z44" s="70" t="s">
        <v>303</v>
      </c>
      <c r="AA44" s="70" t="s">
        <v>304</v>
      </c>
      <c r="AB44" s="70"/>
      <c r="AC44" s="70"/>
      <c r="AD44" s="70" t="s">
        <v>307</v>
      </c>
      <c r="AE44" s="70" t="s">
        <v>305</v>
      </c>
    </row>
    <row r="45" spans="1:31" ht="15">
      <c r="A45" s="70" t="s">
        <v>309</v>
      </c>
      <c r="B45" s="70" t="s">
        <v>161</v>
      </c>
      <c r="C45" s="70" t="s">
        <v>189</v>
      </c>
      <c r="D45" s="70" t="s">
        <v>310</v>
      </c>
      <c r="E45" s="70">
        <v>4278081</v>
      </c>
      <c r="F45" s="70">
        <v>4362582</v>
      </c>
      <c r="G45" s="70" t="s">
        <v>63</v>
      </c>
      <c r="H45" s="70" t="s">
        <v>164</v>
      </c>
      <c r="I45" s="70" t="s">
        <v>311</v>
      </c>
      <c r="J45" s="70" t="s">
        <v>312</v>
      </c>
      <c r="K45" s="71">
        <v>46118.729166666664</v>
      </c>
      <c r="L45" s="71">
        <v>46115.701388888891</v>
      </c>
      <c r="M45" s="71">
        <v>46121.229166666664</v>
      </c>
      <c r="N45" s="70"/>
      <c r="O45" s="70" t="s">
        <v>313</v>
      </c>
      <c r="P45" s="71">
        <v>46130.229166666664</v>
      </c>
      <c r="Q45" s="70">
        <v>2</v>
      </c>
      <c r="R45" s="70"/>
      <c r="S45" s="70">
        <v>2</v>
      </c>
      <c r="T45" s="70"/>
      <c r="U45" s="70" t="s">
        <v>168</v>
      </c>
      <c r="V45" s="70" t="s">
        <v>168</v>
      </c>
      <c r="W45" s="70" t="s">
        <v>314</v>
      </c>
      <c r="X45" s="71">
        <v>46064.526388888888</v>
      </c>
      <c r="Y45" s="70" t="s">
        <v>315</v>
      </c>
      <c r="Z45" s="70" t="s">
        <v>316</v>
      </c>
      <c r="AA45" s="70" t="s">
        <v>261</v>
      </c>
      <c r="AB45" s="70"/>
      <c r="AC45" s="70"/>
      <c r="AD45" s="70" t="s">
        <v>310</v>
      </c>
      <c r="AE45" s="70" t="s">
        <v>317</v>
      </c>
    </row>
    <row r="46" spans="1:31" ht="15">
      <c r="A46" s="70" t="s">
        <v>309</v>
      </c>
      <c r="B46" s="70" t="s">
        <v>161</v>
      </c>
      <c r="C46" s="70" t="s">
        <v>189</v>
      </c>
      <c r="D46" s="70" t="s">
        <v>310</v>
      </c>
      <c r="E46" s="70">
        <v>4278081</v>
      </c>
      <c r="F46" s="70">
        <v>4362592</v>
      </c>
      <c r="G46" s="70" t="s">
        <v>65</v>
      </c>
      <c r="H46" s="70" t="s">
        <v>164</v>
      </c>
      <c r="I46" s="70" t="s">
        <v>311</v>
      </c>
      <c r="J46" s="70" t="s">
        <v>312</v>
      </c>
      <c r="K46" s="71">
        <v>46118.729166666664</v>
      </c>
      <c r="L46" s="71">
        <v>46115.701388888891</v>
      </c>
      <c r="M46" s="71">
        <v>46121.229166666664</v>
      </c>
      <c r="N46" s="70"/>
      <c r="O46" s="70" t="s">
        <v>313</v>
      </c>
      <c r="P46" s="71">
        <v>46130.229166666664</v>
      </c>
      <c r="Q46" s="70"/>
      <c r="R46" s="70"/>
      <c r="S46" s="70">
        <v>2</v>
      </c>
      <c r="T46" s="70"/>
      <c r="U46" s="70" t="s">
        <v>168</v>
      </c>
      <c r="V46" s="70" t="s">
        <v>168</v>
      </c>
      <c r="W46" s="70" t="s">
        <v>314</v>
      </c>
      <c r="X46" s="71">
        <v>46064.52847222222</v>
      </c>
      <c r="Y46" s="70" t="s">
        <v>315</v>
      </c>
      <c r="Z46" s="70" t="s">
        <v>316</v>
      </c>
      <c r="AA46" s="70" t="s">
        <v>261</v>
      </c>
      <c r="AB46" s="70"/>
      <c r="AC46" s="70"/>
      <c r="AD46" s="70" t="s">
        <v>310</v>
      </c>
      <c r="AE46" s="70" t="s">
        <v>317</v>
      </c>
    </row>
    <row r="47" spans="1:3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4"/>
      <c r="L47" s="144"/>
      <c r="M47" s="144"/>
      <c r="N47" s="144"/>
      <c r="O47" s="143"/>
      <c r="P47" s="144"/>
      <c r="Q47" s="143"/>
      <c r="R47" s="143"/>
      <c r="S47" s="143"/>
      <c r="T47" s="143"/>
      <c r="U47" s="143"/>
      <c r="V47" s="143"/>
      <c r="W47" s="143"/>
      <c r="X47" s="144"/>
      <c r="Y47" s="143"/>
      <c r="Z47" s="143"/>
      <c r="AA47" s="143"/>
      <c r="AB47" s="143"/>
      <c r="AC47" s="143"/>
      <c r="AD47" s="143"/>
      <c r="AE47" s="143"/>
    </row>
    <row r="48" spans="1:3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4"/>
      <c r="L48" s="144"/>
      <c r="M48" s="144"/>
      <c r="N48" s="144"/>
      <c r="O48" s="143"/>
      <c r="P48" s="144"/>
      <c r="Q48" s="143"/>
      <c r="R48" s="143"/>
      <c r="S48" s="143"/>
      <c r="T48" s="143"/>
      <c r="U48" s="143"/>
      <c r="V48" s="143"/>
      <c r="W48" s="143"/>
      <c r="X48" s="144"/>
      <c r="Y48" s="143"/>
      <c r="Z48" s="143"/>
      <c r="AA48" s="143"/>
      <c r="AB48" s="143"/>
      <c r="AC48" s="143"/>
      <c r="AD48" s="143"/>
      <c r="AE48" s="143"/>
    </row>
    <row r="49" spans="1:3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4"/>
      <c r="L49" s="144"/>
      <c r="M49" s="144"/>
      <c r="N49" s="144"/>
      <c r="O49" s="143"/>
      <c r="P49" s="144"/>
      <c r="Q49" s="143"/>
      <c r="R49" s="143"/>
      <c r="S49" s="143"/>
      <c r="T49" s="143"/>
      <c r="U49" s="143"/>
      <c r="V49" s="143"/>
      <c r="W49" s="143"/>
      <c r="X49" s="144"/>
      <c r="Y49" s="143"/>
      <c r="Z49" s="143"/>
      <c r="AA49" s="143"/>
      <c r="AB49" s="143"/>
      <c r="AC49" s="143"/>
      <c r="AD49" s="143"/>
      <c r="AE49" s="143"/>
    </row>
    <row r="50" spans="1:3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4"/>
      <c r="L50" s="144"/>
      <c r="M50" s="144"/>
      <c r="N50" s="144"/>
      <c r="O50" s="143"/>
      <c r="P50" s="144"/>
      <c r="Q50" s="143"/>
      <c r="R50" s="143"/>
      <c r="S50" s="143"/>
      <c r="T50" s="143"/>
      <c r="U50" s="143"/>
      <c r="V50" s="143"/>
      <c r="W50" s="143"/>
      <c r="X50" s="144"/>
      <c r="Y50" s="143"/>
      <c r="Z50" s="143"/>
      <c r="AA50" s="143"/>
      <c r="AB50" s="143"/>
      <c r="AC50" s="143"/>
      <c r="AD50" s="143"/>
      <c r="AE50" s="143"/>
    </row>
    <row r="51" spans="1:3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4"/>
      <c r="L51" s="144"/>
      <c r="M51" s="144"/>
      <c r="N51" s="144"/>
      <c r="O51" s="143"/>
      <c r="P51" s="144"/>
      <c r="Q51" s="143"/>
      <c r="R51" s="143"/>
      <c r="S51" s="143"/>
      <c r="T51" s="143"/>
      <c r="U51" s="143"/>
      <c r="V51" s="143"/>
      <c r="W51" s="143"/>
      <c r="X51" s="144"/>
      <c r="Y51" s="143"/>
      <c r="Z51" s="143"/>
      <c r="AA51" s="143"/>
      <c r="AB51" s="143"/>
      <c r="AC51" s="143"/>
      <c r="AD51" s="143"/>
      <c r="AE51" s="143"/>
    </row>
    <row r="52" spans="1:3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4"/>
      <c r="L52" s="144"/>
      <c r="M52" s="144"/>
      <c r="N52" s="144"/>
      <c r="O52" s="143"/>
      <c r="P52" s="144"/>
      <c r="Q52" s="143"/>
      <c r="R52" s="143"/>
      <c r="S52" s="143"/>
      <c r="T52" s="143"/>
      <c r="U52" s="143"/>
      <c r="V52" s="143"/>
      <c r="W52" s="143"/>
      <c r="X52" s="144"/>
      <c r="Y52" s="143"/>
      <c r="Z52" s="143"/>
      <c r="AA52" s="143"/>
      <c r="AB52" s="143"/>
      <c r="AC52" s="143"/>
      <c r="AD52" s="143"/>
      <c r="AE52" s="143"/>
    </row>
    <row r="53" spans="1:3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4"/>
      <c r="L53" s="144"/>
      <c r="M53" s="144"/>
      <c r="N53" s="144"/>
      <c r="O53" s="143"/>
      <c r="P53" s="144"/>
      <c r="Q53" s="143"/>
      <c r="R53" s="143"/>
      <c r="S53" s="143"/>
      <c r="T53" s="143"/>
      <c r="U53" s="143"/>
      <c r="V53" s="143"/>
      <c r="W53" s="143"/>
      <c r="X53" s="144"/>
      <c r="Y53" s="143"/>
      <c r="Z53" s="143"/>
      <c r="AA53" s="143"/>
      <c r="AB53" s="143"/>
      <c r="AC53" s="143"/>
      <c r="AD53" s="143"/>
      <c r="AE53" s="143"/>
    </row>
    <row r="54" spans="1:3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4"/>
      <c r="L54" s="144"/>
      <c r="M54" s="144"/>
      <c r="N54" s="144"/>
      <c r="O54" s="143"/>
      <c r="P54" s="144"/>
      <c r="Q54" s="143"/>
      <c r="R54" s="143"/>
      <c r="S54" s="143"/>
      <c r="T54" s="143"/>
      <c r="U54" s="143"/>
      <c r="V54" s="143"/>
      <c r="W54" s="143"/>
      <c r="X54" s="144"/>
      <c r="Y54" s="143"/>
      <c r="Z54" s="143"/>
      <c r="AA54" s="143"/>
      <c r="AB54" s="143"/>
      <c r="AC54" s="143"/>
      <c r="AD54" s="143"/>
      <c r="AE54" s="143"/>
    </row>
    <row r="55" spans="1:3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4"/>
      <c r="L55" s="144"/>
      <c r="M55" s="144"/>
      <c r="N55" s="144"/>
      <c r="O55" s="143"/>
      <c r="P55" s="144"/>
      <c r="Q55" s="143"/>
      <c r="R55" s="143"/>
      <c r="S55" s="143"/>
      <c r="T55" s="143"/>
      <c r="U55" s="143"/>
      <c r="V55" s="143"/>
      <c r="W55" s="143"/>
      <c r="X55" s="144"/>
      <c r="Y55" s="143"/>
      <c r="Z55" s="143"/>
      <c r="AA55" s="143"/>
      <c r="AB55" s="143"/>
      <c r="AC55" s="143"/>
      <c r="AD55" s="143"/>
      <c r="AE55" s="143"/>
    </row>
    <row r="56" spans="1:3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4"/>
      <c r="L56" s="144"/>
      <c r="M56" s="144"/>
      <c r="N56" s="144"/>
      <c r="O56" s="143"/>
      <c r="P56" s="144"/>
      <c r="Q56" s="143"/>
      <c r="R56" s="143"/>
      <c r="S56" s="143"/>
      <c r="T56" s="143"/>
      <c r="U56" s="143"/>
      <c r="V56" s="143"/>
      <c r="W56" s="143"/>
      <c r="X56" s="144"/>
      <c r="Y56" s="143"/>
      <c r="Z56" s="143"/>
      <c r="AA56" s="143"/>
      <c r="AB56" s="143"/>
      <c r="AC56" s="143"/>
      <c r="AD56" s="143"/>
      <c r="AE56" s="143"/>
    </row>
    <row r="57" spans="1:3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4"/>
      <c r="L57" s="144"/>
      <c r="M57" s="144"/>
      <c r="N57" s="144"/>
      <c r="O57" s="143"/>
      <c r="P57" s="144"/>
      <c r="Q57" s="143"/>
      <c r="R57" s="143"/>
      <c r="S57" s="143"/>
      <c r="T57" s="143"/>
      <c r="U57" s="143"/>
      <c r="V57" s="143"/>
      <c r="W57" s="143"/>
      <c r="X57" s="144"/>
      <c r="Y57" s="143"/>
      <c r="Z57" s="143"/>
      <c r="AA57" s="143"/>
      <c r="AB57" s="143"/>
      <c r="AC57" s="143"/>
      <c r="AD57" s="143"/>
      <c r="AE57" s="143"/>
    </row>
    <row r="58" spans="1:3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4"/>
      <c r="L58" s="144"/>
      <c r="M58" s="144"/>
      <c r="N58" s="144"/>
      <c r="O58" s="143"/>
      <c r="P58" s="144"/>
      <c r="Q58" s="143"/>
      <c r="R58" s="143"/>
      <c r="S58" s="143"/>
      <c r="T58" s="143"/>
      <c r="U58" s="143"/>
      <c r="V58" s="143"/>
      <c r="W58" s="143"/>
      <c r="X58" s="144"/>
      <c r="Y58" s="143"/>
      <c r="Z58" s="143"/>
      <c r="AA58" s="143"/>
      <c r="AB58" s="143"/>
      <c r="AC58" s="143"/>
      <c r="AD58" s="143"/>
      <c r="AE58" s="143"/>
    </row>
    <row r="59" spans="1:3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4"/>
      <c r="L59" s="144"/>
      <c r="M59" s="144"/>
      <c r="N59" s="144"/>
      <c r="O59" s="143"/>
      <c r="P59" s="144"/>
      <c r="Q59" s="143"/>
      <c r="R59" s="143"/>
      <c r="S59" s="143"/>
      <c r="T59" s="143"/>
      <c r="U59" s="143"/>
      <c r="V59" s="143"/>
      <c r="W59" s="143"/>
      <c r="X59" s="144"/>
      <c r="Y59" s="143"/>
      <c r="Z59" s="143"/>
      <c r="AA59" s="143"/>
      <c r="AB59" s="143"/>
      <c r="AC59" s="143"/>
      <c r="AD59" s="143"/>
      <c r="AE59" s="143"/>
    </row>
    <row r="60" spans="1:3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4"/>
      <c r="L60" s="144"/>
      <c r="M60" s="144"/>
      <c r="N60" s="144"/>
      <c r="O60" s="143"/>
      <c r="P60" s="144"/>
      <c r="Q60" s="143"/>
      <c r="R60" s="143"/>
      <c r="S60" s="143"/>
      <c r="T60" s="143"/>
      <c r="U60" s="143"/>
      <c r="V60" s="143"/>
      <c r="W60" s="143"/>
      <c r="X60" s="144"/>
      <c r="Y60" s="143"/>
      <c r="Z60" s="143"/>
      <c r="AA60" s="143"/>
      <c r="AB60" s="143"/>
      <c r="AC60" s="143"/>
      <c r="AD60" s="143"/>
      <c r="AE60" s="143"/>
    </row>
    <row r="61" spans="1:3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4"/>
      <c r="L61" s="144"/>
      <c r="M61" s="144"/>
      <c r="N61" s="144"/>
      <c r="O61" s="143"/>
      <c r="P61" s="144"/>
      <c r="Q61" s="143"/>
      <c r="R61" s="143"/>
      <c r="S61" s="143"/>
      <c r="T61" s="143"/>
      <c r="U61" s="143"/>
      <c r="V61" s="143"/>
      <c r="W61" s="143"/>
      <c r="X61" s="144"/>
      <c r="Y61" s="143"/>
      <c r="Z61" s="143"/>
      <c r="AA61" s="143"/>
      <c r="AB61" s="143"/>
      <c r="AC61" s="143"/>
      <c r="AD61" s="143"/>
      <c r="AE61" s="143"/>
    </row>
    <row r="62" spans="1:3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4"/>
      <c r="L62" s="144"/>
      <c r="M62" s="143"/>
      <c r="N62" s="143"/>
      <c r="O62" s="143"/>
      <c r="P62" s="144"/>
      <c r="Q62" s="143"/>
      <c r="R62" s="143"/>
      <c r="S62" s="143"/>
      <c r="T62" s="143"/>
      <c r="U62" s="143"/>
      <c r="V62" s="143"/>
      <c r="W62" s="143"/>
      <c r="X62" s="144"/>
      <c r="Y62" s="143"/>
      <c r="Z62" s="143"/>
      <c r="AA62" s="143"/>
      <c r="AB62" s="143"/>
      <c r="AC62" s="143"/>
      <c r="AD62" s="143"/>
      <c r="AE62" s="143"/>
    </row>
    <row r="63" spans="1:3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4"/>
      <c r="L63" s="144"/>
      <c r="M63" s="144"/>
      <c r="N63" s="144"/>
      <c r="O63" s="143"/>
      <c r="P63" s="144"/>
      <c r="Q63" s="143"/>
      <c r="R63" s="143"/>
      <c r="S63" s="143"/>
      <c r="T63" s="143"/>
      <c r="U63" s="143"/>
      <c r="V63" s="143"/>
      <c r="W63" s="143"/>
      <c r="X63" s="144"/>
      <c r="Y63" s="143"/>
      <c r="Z63" s="143"/>
      <c r="AA63" s="143"/>
      <c r="AB63" s="143"/>
      <c r="AC63" s="143"/>
      <c r="AD63" s="143"/>
      <c r="AE63" s="143"/>
    </row>
    <row r="64" spans="1:3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4"/>
      <c r="L64" s="144"/>
      <c r="M64" s="144"/>
      <c r="N64" s="144"/>
      <c r="O64" s="143"/>
      <c r="P64" s="144"/>
      <c r="Q64" s="143"/>
      <c r="R64" s="143"/>
      <c r="S64" s="143"/>
      <c r="T64" s="143"/>
      <c r="U64" s="143"/>
      <c r="V64" s="143"/>
      <c r="W64" s="143"/>
      <c r="X64" s="144"/>
      <c r="Y64" s="143"/>
      <c r="Z64" s="143"/>
      <c r="AA64" s="143"/>
      <c r="AB64" s="143"/>
      <c r="AC64" s="143"/>
      <c r="AD64" s="143"/>
      <c r="AE64" s="143"/>
    </row>
    <row r="65" spans="1:3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4"/>
      <c r="L65" s="144"/>
      <c r="M65" s="144"/>
      <c r="N65" s="144"/>
      <c r="O65" s="143"/>
      <c r="P65" s="144"/>
      <c r="Q65" s="143"/>
      <c r="R65" s="143"/>
      <c r="S65" s="143"/>
      <c r="T65" s="143"/>
      <c r="U65" s="143"/>
      <c r="V65" s="143"/>
      <c r="W65" s="143"/>
      <c r="X65" s="144"/>
      <c r="Y65" s="143"/>
      <c r="Z65" s="143"/>
      <c r="AA65" s="143"/>
      <c r="AB65" s="143"/>
      <c r="AC65" s="143"/>
      <c r="AD65" s="143"/>
      <c r="AE65" s="143"/>
    </row>
    <row r="66" spans="1:3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4"/>
      <c r="L66" s="144"/>
      <c r="M66" s="143"/>
      <c r="N66" s="143"/>
      <c r="O66" s="143"/>
      <c r="P66" s="144"/>
      <c r="Q66" s="143"/>
      <c r="R66" s="143"/>
      <c r="S66" s="143"/>
      <c r="T66" s="143"/>
      <c r="U66" s="143"/>
      <c r="V66" s="143"/>
      <c r="W66" s="143"/>
      <c r="X66" s="144"/>
      <c r="Y66" s="143"/>
      <c r="Z66" s="143"/>
      <c r="AA66" s="143"/>
      <c r="AB66" s="143"/>
      <c r="AC66" s="143"/>
      <c r="AD66" s="143"/>
      <c r="AE66" s="143"/>
    </row>
    <row r="67" spans="1:3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4"/>
      <c r="L67" s="144"/>
      <c r="M67" s="144"/>
      <c r="N67" s="144"/>
      <c r="O67" s="143"/>
      <c r="P67" s="144"/>
      <c r="Q67" s="143"/>
      <c r="R67" s="143"/>
      <c r="S67" s="143"/>
      <c r="T67" s="143"/>
      <c r="U67" s="143"/>
      <c r="V67" s="143"/>
      <c r="W67" s="143"/>
      <c r="X67" s="144"/>
      <c r="Y67" s="143"/>
      <c r="Z67" s="143"/>
      <c r="AA67" s="143"/>
      <c r="AB67" s="143"/>
      <c r="AC67" s="143"/>
      <c r="AD67" s="143"/>
      <c r="AE67" s="143"/>
    </row>
    <row r="68" spans="1:3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4"/>
      <c r="L68" s="144"/>
      <c r="M68" s="144"/>
      <c r="N68" s="144"/>
      <c r="O68" s="143"/>
      <c r="P68" s="144"/>
      <c r="Q68" s="143"/>
      <c r="R68" s="143"/>
      <c r="S68" s="143"/>
      <c r="T68" s="143"/>
      <c r="U68" s="143"/>
      <c r="V68" s="143"/>
      <c r="W68" s="143"/>
      <c r="X68" s="144"/>
      <c r="Y68" s="143"/>
      <c r="Z68" s="143"/>
      <c r="AA68" s="143"/>
      <c r="AB68" s="143"/>
      <c r="AC68" s="143"/>
      <c r="AD68" s="143"/>
      <c r="AE68" s="143"/>
    </row>
    <row r="69" spans="1:3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4"/>
      <c r="L69" s="144"/>
      <c r="M69" s="144"/>
      <c r="N69" s="144"/>
      <c r="O69" s="143"/>
      <c r="P69" s="144"/>
      <c r="Q69" s="143"/>
      <c r="R69" s="143"/>
      <c r="S69" s="143"/>
      <c r="T69" s="143"/>
      <c r="U69" s="143"/>
      <c r="V69" s="143"/>
      <c r="W69" s="143"/>
      <c r="X69" s="144"/>
      <c r="Y69" s="143"/>
      <c r="Z69" s="143"/>
      <c r="AA69" s="143"/>
      <c r="AB69" s="143"/>
      <c r="AC69" s="143"/>
      <c r="AD69" s="143"/>
      <c r="AE69" s="143"/>
    </row>
    <row r="70" spans="1:3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4"/>
      <c r="L70" s="144"/>
      <c r="M70" s="144"/>
      <c r="N70" s="144"/>
      <c r="O70" s="143"/>
      <c r="P70" s="144"/>
      <c r="Q70" s="143"/>
      <c r="R70" s="143"/>
      <c r="S70" s="143"/>
      <c r="T70" s="143"/>
      <c r="U70" s="143"/>
      <c r="V70" s="143"/>
      <c r="W70" s="143"/>
      <c r="X70" s="144"/>
      <c r="Y70" s="143"/>
      <c r="Z70" s="143"/>
      <c r="AA70" s="143"/>
      <c r="AB70" s="143"/>
      <c r="AC70" s="143"/>
      <c r="AD70" s="143"/>
      <c r="AE70" s="143"/>
    </row>
    <row r="71" spans="1:3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4"/>
      <c r="L71" s="144"/>
      <c r="M71" s="144"/>
      <c r="N71" s="144"/>
      <c r="O71" s="143"/>
      <c r="P71" s="144"/>
      <c r="Q71" s="143"/>
      <c r="R71" s="143"/>
      <c r="S71" s="143"/>
      <c r="T71" s="143"/>
      <c r="U71" s="143"/>
      <c r="V71" s="143"/>
      <c r="W71" s="143"/>
      <c r="X71" s="144"/>
      <c r="Y71" s="143"/>
      <c r="Z71" s="143"/>
      <c r="AA71" s="143"/>
      <c r="AB71" s="143"/>
      <c r="AC71" s="143"/>
      <c r="AD71" s="143"/>
      <c r="AE71" s="143"/>
    </row>
    <row r="72" spans="1:3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4"/>
      <c r="L72" s="144"/>
      <c r="M72" s="144"/>
      <c r="N72" s="144"/>
      <c r="O72" s="143"/>
      <c r="P72" s="144"/>
      <c r="Q72" s="143"/>
      <c r="R72" s="143"/>
      <c r="S72" s="143"/>
      <c r="T72" s="143"/>
      <c r="U72" s="143"/>
      <c r="V72" s="143"/>
      <c r="W72" s="143"/>
      <c r="X72" s="144"/>
      <c r="Y72" s="143"/>
      <c r="Z72" s="143"/>
      <c r="AA72" s="143"/>
      <c r="AB72" s="143"/>
      <c r="AC72" s="143"/>
      <c r="AD72" s="143"/>
      <c r="AE72" s="143"/>
    </row>
    <row r="73" spans="1:3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4"/>
      <c r="L73" s="144"/>
      <c r="M73" s="144"/>
      <c r="N73" s="144"/>
      <c r="O73" s="143"/>
      <c r="P73" s="144"/>
      <c r="Q73" s="143"/>
      <c r="R73" s="143"/>
      <c r="S73" s="143"/>
      <c r="T73" s="143"/>
      <c r="U73" s="143"/>
      <c r="V73" s="143"/>
      <c r="W73" s="143"/>
      <c r="X73" s="144"/>
      <c r="Y73" s="143"/>
      <c r="Z73" s="143"/>
      <c r="AA73" s="143"/>
      <c r="AB73" s="143"/>
      <c r="AC73" s="143"/>
      <c r="AD73" s="143"/>
      <c r="AE73" s="143"/>
    </row>
    <row r="74" spans="1:3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4"/>
      <c r="L74" s="144"/>
      <c r="M74" s="144"/>
      <c r="N74" s="144"/>
      <c r="O74" s="143"/>
      <c r="P74" s="144"/>
      <c r="Q74" s="143"/>
      <c r="R74" s="143"/>
      <c r="S74" s="143"/>
      <c r="T74" s="143"/>
      <c r="U74" s="143"/>
      <c r="V74" s="143"/>
      <c r="W74" s="143"/>
      <c r="X74" s="144"/>
      <c r="Y74" s="143"/>
      <c r="Z74" s="143"/>
      <c r="AA74" s="143"/>
      <c r="AB74" s="143"/>
      <c r="AC74" s="143"/>
      <c r="AD74" s="143"/>
      <c r="AE74" s="143"/>
    </row>
    <row r="75" spans="1:3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4"/>
      <c r="L75" s="144"/>
      <c r="M75" s="143"/>
      <c r="N75" s="143"/>
      <c r="O75" s="143"/>
      <c r="P75" s="144"/>
      <c r="Q75" s="143"/>
      <c r="R75" s="143"/>
      <c r="S75" s="143"/>
      <c r="T75" s="143"/>
      <c r="U75" s="143"/>
      <c r="V75" s="143"/>
      <c r="W75" s="143"/>
      <c r="X75" s="144"/>
      <c r="Y75" s="143"/>
      <c r="Z75" s="143"/>
      <c r="AA75" s="143"/>
      <c r="AB75" s="143"/>
      <c r="AC75" s="143"/>
      <c r="AD75" s="143"/>
      <c r="AE75" s="143"/>
    </row>
    <row r="76" spans="1:3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4"/>
      <c r="L76" s="144"/>
      <c r="M76" s="143"/>
      <c r="N76" s="143"/>
      <c r="O76" s="143"/>
      <c r="P76" s="144"/>
      <c r="Q76" s="143"/>
      <c r="R76" s="143"/>
      <c r="S76" s="143"/>
      <c r="T76" s="143"/>
      <c r="U76" s="143"/>
      <c r="V76" s="143"/>
      <c r="W76" s="143"/>
      <c r="X76" s="144"/>
      <c r="Y76" s="143"/>
      <c r="Z76" s="143"/>
      <c r="AA76" s="143"/>
      <c r="AB76" s="143"/>
      <c r="AC76" s="143"/>
      <c r="AD76" s="143"/>
      <c r="AE76" s="143"/>
    </row>
    <row r="77" spans="1:3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4"/>
      <c r="L77" s="144"/>
      <c r="M77" s="143"/>
      <c r="N77" s="143"/>
      <c r="O77" s="143"/>
      <c r="P77" s="144"/>
      <c r="Q77" s="143"/>
      <c r="R77" s="143"/>
      <c r="S77" s="143"/>
      <c r="T77" s="143"/>
      <c r="U77" s="143"/>
      <c r="V77" s="143"/>
      <c r="W77" s="143"/>
      <c r="X77" s="144"/>
      <c r="Y77" s="143"/>
      <c r="Z77" s="143"/>
      <c r="AA77" s="143"/>
      <c r="AB77" s="143"/>
      <c r="AC77" s="143"/>
      <c r="AD77" s="143"/>
      <c r="AE77" s="143"/>
    </row>
    <row r="78" spans="1:3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4"/>
      <c r="L78" s="144"/>
      <c r="M78" s="143"/>
      <c r="N78" s="143"/>
      <c r="O78" s="143"/>
      <c r="P78" s="144"/>
      <c r="Q78" s="143"/>
      <c r="R78" s="143"/>
      <c r="S78" s="143"/>
      <c r="T78" s="143"/>
      <c r="U78" s="143"/>
      <c r="V78" s="143"/>
      <c r="W78" s="143"/>
      <c r="X78" s="144"/>
      <c r="Y78" s="143"/>
      <c r="Z78" s="143"/>
      <c r="AA78" s="143"/>
      <c r="AB78" s="143"/>
      <c r="AC78" s="143"/>
      <c r="AD78" s="143"/>
      <c r="AE78" s="143"/>
    </row>
    <row r="79" spans="1:3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4"/>
      <c r="L79" s="144"/>
      <c r="M79" s="144"/>
      <c r="N79" s="143"/>
      <c r="O79" s="143"/>
      <c r="P79" s="144"/>
      <c r="Q79" s="143"/>
      <c r="R79" s="143"/>
      <c r="S79" s="143"/>
      <c r="T79" s="143"/>
      <c r="U79" s="143"/>
      <c r="V79" s="143"/>
      <c r="W79" s="143"/>
      <c r="X79" s="144"/>
      <c r="Y79" s="143"/>
      <c r="Z79" s="143"/>
      <c r="AA79" s="143"/>
      <c r="AB79" s="143"/>
      <c r="AC79" s="143"/>
      <c r="AD79" s="143"/>
      <c r="AE79" s="143"/>
    </row>
    <row r="80" spans="1:3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4"/>
      <c r="L80" s="144"/>
      <c r="M80" s="144"/>
      <c r="N80" s="143"/>
      <c r="O80" s="143"/>
      <c r="P80" s="144"/>
      <c r="Q80" s="143"/>
      <c r="R80" s="143"/>
      <c r="S80" s="143"/>
      <c r="T80" s="143"/>
      <c r="U80" s="143"/>
      <c r="V80" s="143"/>
      <c r="W80" s="143"/>
      <c r="X80" s="144"/>
      <c r="Y80" s="143"/>
      <c r="Z80" s="143"/>
      <c r="AA80" s="143"/>
      <c r="AB80" s="143"/>
      <c r="AC80" s="143"/>
      <c r="AD80" s="143"/>
      <c r="AE80" s="143"/>
    </row>
    <row r="81" spans="1:3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4"/>
      <c r="L81" s="144"/>
      <c r="M81" s="144"/>
      <c r="N81" s="144"/>
      <c r="O81" s="143"/>
      <c r="P81" s="144"/>
      <c r="Q81" s="143"/>
      <c r="R81" s="143"/>
      <c r="S81" s="143"/>
      <c r="T81" s="143"/>
      <c r="U81" s="143"/>
      <c r="V81" s="143"/>
      <c r="W81" s="143"/>
      <c r="X81" s="144"/>
      <c r="Y81" s="143"/>
      <c r="Z81" s="143"/>
      <c r="AA81" s="143"/>
      <c r="AB81" s="143"/>
      <c r="AC81" s="143"/>
      <c r="AD81" s="143"/>
      <c r="AE81" s="143"/>
    </row>
    <row r="82" spans="1:3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4"/>
      <c r="L82" s="144"/>
      <c r="M82" s="144"/>
      <c r="N82" s="143"/>
      <c r="O82" s="143"/>
      <c r="P82" s="144"/>
      <c r="Q82" s="143"/>
      <c r="R82" s="143"/>
      <c r="S82" s="143"/>
      <c r="T82" s="143"/>
      <c r="U82" s="143"/>
      <c r="V82" s="143"/>
      <c r="W82" s="143"/>
      <c r="X82" s="144"/>
      <c r="Y82" s="143"/>
      <c r="Z82" s="143"/>
      <c r="AA82" s="143"/>
      <c r="AB82" s="143"/>
      <c r="AC82" s="143"/>
      <c r="AD82" s="143"/>
      <c r="AE82" s="143"/>
    </row>
    <row r="83" spans="1:3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4"/>
      <c r="L83" s="144"/>
      <c r="M83" s="144"/>
      <c r="N83" s="144"/>
      <c r="O83" s="143"/>
      <c r="P83" s="144"/>
      <c r="Q83" s="143"/>
      <c r="R83" s="143"/>
      <c r="S83" s="143"/>
      <c r="T83" s="143"/>
      <c r="U83" s="143"/>
      <c r="V83" s="143"/>
      <c r="W83" s="143"/>
      <c r="X83" s="144"/>
      <c r="Y83" s="143"/>
      <c r="Z83" s="143"/>
      <c r="AA83" s="143"/>
      <c r="AB83" s="143"/>
      <c r="AC83" s="143"/>
      <c r="AD83" s="143"/>
      <c r="AE83" s="143"/>
    </row>
    <row r="84" spans="1:3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4"/>
      <c r="L84" s="144"/>
      <c r="M84" s="144"/>
      <c r="N84" s="144"/>
      <c r="O84" s="143"/>
      <c r="P84" s="144"/>
      <c r="Q84" s="143"/>
      <c r="R84" s="143"/>
      <c r="S84" s="143"/>
      <c r="T84" s="143"/>
      <c r="U84" s="143"/>
      <c r="V84" s="143"/>
      <c r="W84" s="143"/>
      <c r="X84" s="144"/>
      <c r="Y84" s="143"/>
      <c r="Z84" s="143"/>
      <c r="AA84" s="143"/>
      <c r="AB84" s="143"/>
      <c r="AC84" s="143"/>
      <c r="AD84" s="143"/>
      <c r="AE84" s="143"/>
    </row>
    <row r="85" spans="1:3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4"/>
      <c r="L85" s="144"/>
      <c r="M85" s="144"/>
      <c r="N85" s="144"/>
      <c r="O85" s="143"/>
      <c r="P85" s="144"/>
      <c r="Q85" s="143"/>
      <c r="R85" s="143"/>
      <c r="S85" s="143"/>
      <c r="T85" s="143"/>
      <c r="U85" s="143"/>
      <c r="V85" s="143"/>
      <c r="W85" s="143"/>
      <c r="X85" s="144"/>
      <c r="Y85" s="143"/>
      <c r="Z85" s="143"/>
      <c r="AA85" s="143"/>
      <c r="AB85" s="143"/>
      <c r="AC85" s="143"/>
      <c r="AD85" s="143"/>
      <c r="AE85" s="143"/>
    </row>
    <row r="86" spans="1:3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4"/>
      <c r="L86" s="144"/>
      <c r="M86" s="144"/>
      <c r="N86" s="144"/>
      <c r="O86" s="143"/>
      <c r="P86" s="144"/>
      <c r="Q86" s="143"/>
      <c r="R86" s="143"/>
      <c r="S86" s="143"/>
      <c r="T86" s="143"/>
      <c r="U86" s="143"/>
      <c r="V86" s="143"/>
      <c r="W86" s="143"/>
      <c r="X86" s="144"/>
      <c r="Y86" s="143"/>
      <c r="Z86" s="143"/>
      <c r="AA86" s="143"/>
      <c r="AB86" s="143"/>
      <c r="AC86" s="143"/>
      <c r="AD86" s="143"/>
      <c r="AE86" s="143"/>
    </row>
    <row r="87" spans="1:3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4"/>
      <c r="L87" s="144"/>
      <c r="M87" s="144"/>
      <c r="N87" s="144"/>
      <c r="O87" s="143"/>
      <c r="P87" s="144"/>
      <c r="Q87" s="143"/>
      <c r="R87" s="143"/>
      <c r="S87" s="143"/>
      <c r="T87" s="143"/>
      <c r="U87" s="143"/>
      <c r="V87" s="143"/>
      <c r="W87" s="143"/>
      <c r="X87" s="144"/>
      <c r="Y87" s="143"/>
      <c r="Z87" s="143"/>
      <c r="AA87" s="143"/>
      <c r="AB87" s="143"/>
      <c r="AC87" s="143"/>
      <c r="AD87" s="143"/>
      <c r="AE87" s="143"/>
    </row>
    <row r="88" spans="1:3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4"/>
      <c r="L88" s="144"/>
      <c r="M88" s="144"/>
      <c r="N88" s="144"/>
      <c r="O88" s="143"/>
      <c r="P88" s="144"/>
      <c r="Q88" s="143"/>
      <c r="R88" s="143"/>
      <c r="S88" s="143"/>
      <c r="T88" s="143"/>
      <c r="U88" s="143"/>
      <c r="V88" s="143"/>
      <c r="W88" s="143"/>
      <c r="X88" s="144"/>
      <c r="Y88" s="143"/>
      <c r="Z88" s="143"/>
      <c r="AA88" s="143"/>
      <c r="AB88" s="143"/>
      <c r="AC88" s="143"/>
      <c r="AD88" s="143"/>
      <c r="AE88" s="143"/>
    </row>
    <row r="89" spans="1:3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4"/>
      <c r="L89" s="144"/>
      <c r="M89" s="144"/>
      <c r="N89" s="144"/>
      <c r="O89" s="143"/>
      <c r="P89" s="144"/>
      <c r="Q89" s="143"/>
      <c r="R89" s="143"/>
      <c r="S89" s="143"/>
      <c r="T89" s="143"/>
      <c r="U89" s="143"/>
      <c r="V89" s="143"/>
      <c r="W89" s="143"/>
      <c r="X89" s="144"/>
      <c r="Y89" s="143"/>
      <c r="Z89" s="143"/>
      <c r="AA89" s="143"/>
      <c r="AB89" s="143"/>
      <c r="AC89" s="143"/>
      <c r="AD89" s="143"/>
      <c r="AE89" s="143"/>
    </row>
    <row r="90" spans="1:3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4"/>
      <c r="L90" s="144"/>
      <c r="M90" s="144"/>
      <c r="N90" s="144"/>
      <c r="O90" s="143"/>
      <c r="P90" s="144"/>
      <c r="Q90" s="143"/>
      <c r="R90" s="143"/>
      <c r="S90" s="143"/>
      <c r="T90" s="143"/>
      <c r="U90" s="143"/>
      <c r="V90" s="143"/>
      <c r="W90" s="143"/>
      <c r="X90" s="144"/>
      <c r="Y90" s="143"/>
      <c r="Z90" s="143"/>
      <c r="AA90" s="143"/>
      <c r="AB90" s="143"/>
      <c r="AC90" s="143"/>
      <c r="AD90" s="143"/>
      <c r="AE90" s="143"/>
    </row>
    <row r="91" spans="1:3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4"/>
      <c r="L91" s="144"/>
      <c r="M91" s="144"/>
      <c r="N91" s="144"/>
      <c r="O91" s="143"/>
      <c r="P91" s="144"/>
      <c r="Q91" s="143"/>
      <c r="R91" s="143"/>
      <c r="S91" s="143"/>
      <c r="T91" s="143"/>
      <c r="U91" s="143"/>
      <c r="V91" s="143"/>
      <c r="W91" s="143"/>
      <c r="X91" s="144"/>
      <c r="Y91" s="143"/>
      <c r="Z91" s="143"/>
      <c r="AA91" s="143"/>
      <c r="AB91" s="143"/>
      <c r="AC91" s="143"/>
      <c r="AD91" s="143"/>
      <c r="AE91" s="143"/>
    </row>
    <row r="92" spans="1:3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4"/>
      <c r="L92" s="144"/>
      <c r="M92" s="143"/>
      <c r="N92" s="143"/>
      <c r="O92" s="143"/>
      <c r="P92" s="144"/>
      <c r="Q92" s="143"/>
      <c r="R92" s="143"/>
      <c r="S92" s="143"/>
      <c r="T92" s="143"/>
      <c r="U92" s="143"/>
      <c r="V92" s="143"/>
      <c r="W92" s="143"/>
      <c r="X92" s="144"/>
      <c r="Y92" s="143"/>
      <c r="Z92" s="143"/>
      <c r="AA92" s="143"/>
      <c r="AB92" s="143"/>
      <c r="AC92" s="143"/>
      <c r="AD92" s="143"/>
      <c r="AE92" s="143"/>
    </row>
    <row r="93" spans="1:3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4"/>
      <c r="L93" s="144"/>
      <c r="M93" s="143"/>
      <c r="N93" s="143"/>
      <c r="O93" s="143"/>
      <c r="P93" s="144"/>
      <c r="Q93" s="143"/>
      <c r="R93" s="143"/>
      <c r="S93" s="143"/>
      <c r="T93" s="143"/>
      <c r="U93" s="143"/>
      <c r="V93" s="143"/>
      <c r="W93" s="143"/>
      <c r="X93" s="144"/>
      <c r="Y93" s="143"/>
      <c r="Z93" s="143"/>
      <c r="AA93" s="143"/>
      <c r="AB93" s="143"/>
      <c r="AC93" s="143"/>
      <c r="AD93" s="143"/>
      <c r="AE93" s="143"/>
    </row>
    <row r="94" spans="1:3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4"/>
      <c r="L94" s="144"/>
      <c r="M94" s="143"/>
      <c r="N94" s="143"/>
      <c r="O94" s="143"/>
      <c r="P94" s="144"/>
      <c r="Q94" s="143"/>
      <c r="R94" s="143"/>
      <c r="S94" s="143"/>
      <c r="T94" s="143"/>
      <c r="U94" s="143"/>
      <c r="V94" s="143"/>
      <c r="W94" s="143"/>
      <c r="X94" s="144"/>
      <c r="Y94" s="143"/>
      <c r="Z94" s="143"/>
      <c r="AA94" s="143"/>
      <c r="AB94" s="143"/>
      <c r="AC94" s="143"/>
      <c r="AD94" s="143"/>
      <c r="AE94" s="143"/>
    </row>
    <row r="95" spans="1:3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4"/>
      <c r="L95" s="144"/>
      <c r="M95" s="143"/>
      <c r="N95" s="143"/>
      <c r="O95" s="143"/>
      <c r="P95" s="144"/>
      <c r="Q95" s="143"/>
      <c r="R95" s="143"/>
      <c r="S95" s="143"/>
      <c r="T95" s="143"/>
      <c r="U95" s="143"/>
      <c r="V95" s="143"/>
      <c r="W95" s="143"/>
      <c r="X95" s="144"/>
      <c r="Y95" s="143"/>
      <c r="Z95" s="143"/>
      <c r="AA95" s="143"/>
      <c r="AB95" s="143"/>
      <c r="AC95" s="143"/>
      <c r="AD95" s="143"/>
      <c r="AE95" s="143"/>
    </row>
    <row r="96" spans="1:3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4"/>
      <c r="L96" s="144"/>
      <c r="M96" s="144"/>
      <c r="N96" s="144"/>
      <c r="O96" s="143"/>
      <c r="P96" s="144"/>
      <c r="Q96" s="143"/>
      <c r="R96" s="143"/>
      <c r="S96" s="143"/>
      <c r="T96" s="143"/>
      <c r="U96" s="143"/>
      <c r="V96" s="143"/>
      <c r="W96" s="143"/>
      <c r="X96" s="144"/>
      <c r="Y96" s="143"/>
      <c r="Z96" s="143"/>
      <c r="AA96" s="143"/>
      <c r="AB96" s="143"/>
      <c r="AC96" s="143"/>
      <c r="AD96" s="143"/>
      <c r="AE96" s="143"/>
    </row>
    <row r="97" spans="1:3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4"/>
      <c r="L97" s="144"/>
      <c r="M97" s="144"/>
      <c r="N97" s="144"/>
      <c r="O97" s="143"/>
      <c r="P97" s="144"/>
      <c r="Q97" s="143"/>
      <c r="R97" s="143"/>
      <c r="S97" s="143"/>
      <c r="T97" s="143"/>
      <c r="U97" s="143"/>
      <c r="V97" s="143"/>
      <c r="W97" s="143"/>
      <c r="X97" s="144"/>
      <c r="Y97" s="143"/>
      <c r="Z97" s="143"/>
      <c r="AA97" s="143"/>
      <c r="AB97" s="143"/>
      <c r="AC97" s="143"/>
      <c r="AD97" s="143"/>
      <c r="AE97" s="143"/>
    </row>
    <row r="98" spans="1:3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4"/>
      <c r="L98" s="144"/>
      <c r="M98" s="144"/>
      <c r="N98" s="144"/>
      <c r="O98" s="143"/>
      <c r="P98" s="144"/>
      <c r="Q98" s="143"/>
      <c r="R98" s="143"/>
      <c r="S98" s="143"/>
      <c r="T98" s="143"/>
      <c r="U98" s="143"/>
      <c r="V98" s="143"/>
      <c r="W98" s="143"/>
      <c r="X98" s="144"/>
      <c r="Y98" s="143"/>
      <c r="Z98" s="143"/>
      <c r="AA98" s="143"/>
      <c r="AB98" s="143"/>
      <c r="AC98" s="143"/>
      <c r="AD98" s="143"/>
      <c r="AE98" s="143"/>
    </row>
    <row r="99" spans="1:3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4"/>
      <c r="L99" s="144"/>
      <c r="M99" s="144"/>
      <c r="N99" s="144"/>
      <c r="O99" s="143"/>
      <c r="P99" s="144"/>
      <c r="Q99" s="143"/>
      <c r="R99" s="143"/>
      <c r="S99" s="143"/>
      <c r="T99" s="143"/>
      <c r="U99" s="143"/>
      <c r="V99" s="143"/>
      <c r="W99" s="143"/>
      <c r="X99" s="144"/>
      <c r="Y99" s="143"/>
      <c r="Z99" s="143"/>
      <c r="AA99" s="143"/>
      <c r="AB99" s="143"/>
      <c r="AC99" s="143"/>
      <c r="AD99" s="143"/>
      <c r="AE99" s="143"/>
    </row>
    <row r="100" spans="1:3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4"/>
      <c r="L100" s="144"/>
      <c r="M100" s="144"/>
      <c r="N100" s="144"/>
      <c r="O100" s="143"/>
      <c r="P100" s="144"/>
      <c r="Q100" s="143"/>
      <c r="R100" s="143"/>
      <c r="S100" s="143"/>
      <c r="T100" s="143"/>
      <c r="U100" s="143"/>
      <c r="V100" s="143"/>
      <c r="W100" s="143"/>
      <c r="X100" s="144"/>
      <c r="Y100" s="143"/>
      <c r="Z100" s="143"/>
      <c r="AA100" s="143"/>
      <c r="AB100" s="143"/>
      <c r="AC100" s="143"/>
      <c r="AD100" s="143"/>
      <c r="AE100" s="143"/>
    </row>
    <row r="101" spans="1:3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4"/>
      <c r="L101" s="144"/>
      <c r="M101" s="144"/>
      <c r="N101" s="144"/>
      <c r="O101" s="143"/>
      <c r="P101" s="144"/>
      <c r="Q101" s="143"/>
      <c r="R101" s="143"/>
      <c r="S101" s="143"/>
      <c r="T101" s="143"/>
      <c r="U101" s="143"/>
      <c r="V101" s="143"/>
      <c r="W101" s="143"/>
      <c r="X101" s="144"/>
      <c r="Y101" s="143"/>
      <c r="Z101" s="143"/>
      <c r="AA101" s="143"/>
      <c r="AB101" s="143"/>
      <c r="AC101" s="143"/>
      <c r="AD101" s="143"/>
      <c r="AE101" s="143"/>
    </row>
    <row r="102" spans="1:3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4"/>
      <c r="L102" s="144"/>
      <c r="M102" s="144"/>
      <c r="N102" s="144"/>
      <c r="O102" s="143"/>
      <c r="P102" s="144"/>
      <c r="Q102" s="143"/>
      <c r="R102" s="143"/>
      <c r="S102" s="143"/>
      <c r="T102" s="143"/>
      <c r="U102" s="143"/>
      <c r="V102" s="143"/>
      <c r="W102" s="143"/>
      <c r="X102" s="144"/>
      <c r="Y102" s="143"/>
      <c r="Z102" s="143"/>
      <c r="AA102" s="143"/>
      <c r="AB102" s="143"/>
      <c r="AC102" s="143"/>
      <c r="AD102" s="143"/>
      <c r="AE102" s="143"/>
    </row>
    <row r="103" spans="1:3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4"/>
      <c r="L103" s="144"/>
      <c r="M103" s="144"/>
      <c r="N103" s="144"/>
      <c r="O103" s="143"/>
      <c r="P103" s="144"/>
      <c r="Q103" s="143"/>
      <c r="R103" s="143"/>
      <c r="S103" s="143"/>
      <c r="T103" s="143"/>
      <c r="U103" s="143"/>
      <c r="V103" s="143"/>
      <c r="W103" s="143"/>
      <c r="X103" s="144"/>
      <c r="Y103" s="143"/>
      <c r="Z103" s="143"/>
      <c r="AA103" s="143"/>
      <c r="AB103" s="143"/>
      <c r="AC103" s="143"/>
      <c r="AD103" s="143"/>
      <c r="AE103" s="143"/>
    </row>
    <row r="104" spans="1:3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4"/>
      <c r="L104" s="144"/>
      <c r="M104" s="144"/>
      <c r="N104" s="143"/>
      <c r="O104" s="143"/>
      <c r="P104" s="144"/>
      <c r="Q104" s="143"/>
      <c r="R104" s="143"/>
      <c r="S104" s="143"/>
      <c r="T104" s="143"/>
      <c r="U104" s="143"/>
      <c r="V104" s="143"/>
      <c r="W104" s="143"/>
      <c r="X104" s="144"/>
      <c r="Y104" s="143"/>
      <c r="Z104" s="143"/>
      <c r="AA104" s="143"/>
      <c r="AB104" s="143"/>
      <c r="AC104" s="143"/>
      <c r="AD104" s="143"/>
      <c r="AE104" s="143"/>
    </row>
    <row r="105" spans="1:3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4"/>
      <c r="L105" s="144"/>
      <c r="M105" s="144"/>
      <c r="N105" s="144"/>
      <c r="O105" s="143"/>
      <c r="P105" s="144"/>
      <c r="Q105" s="143"/>
      <c r="R105" s="143"/>
      <c r="S105" s="143"/>
      <c r="T105" s="143"/>
      <c r="U105" s="143"/>
      <c r="V105" s="143"/>
      <c r="W105" s="143"/>
      <c r="X105" s="144"/>
      <c r="Y105" s="143"/>
      <c r="Z105" s="143"/>
      <c r="AA105" s="143"/>
      <c r="AB105" s="143"/>
      <c r="AC105" s="143"/>
      <c r="AD105" s="143"/>
      <c r="AE105" s="143"/>
    </row>
    <row r="106" spans="1:3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4"/>
      <c r="L106" s="144"/>
      <c r="M106" s="144"/>
      <c r="N106" s="143"/>
      <c r="O106" s="143"/>
      <c r="P106" s="144"/>
      <c r="Q106" s="143"/>
      <c r="R106" s="143"/>
      <c r="S106" s="143"/>
      <c r="T106" s="143"/>
      <c r="U106" s="143"/>
      <c r="V106" s="143"/>
      <c r="W106" s="143"/>
      <c r="X106" s="144"/>
      <c r="Y106" s="143"/>
      <c r="Z106" s="143"/>
      <c r="AA106" s="143"/>
      <c r="AB106" s="143"/>
      <c r="AC106" s="143"/>
      <c r="AD106" s="143"/>
      <c r="AE106" s="143"/>
    </row>
    <row r="107" spans="1:3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4"/>
      <c r="L107" s="144"/>
      <c r="M107" s="144"/>
      <c r="N107" s="144"/>
      <c r="O107" s="143"/>
      <c r="P107" s="144"/>
      <c r="Q107" s="143"/>
      <c r="R107" s="143"/>
      <c r="S107" s="143"/>
      <c r="T107" s="143"/>
      <c r="U107" s="143"/>
      <c r="V107" s="143"/>
      <c r="W107" s="143"/>
      <c r="X107" s="144"/>
      <c r="Y107" s="143"/>
      <c r="Z107" s="143"/>
      <c r="AA107" s="143"/>
      <c r="AB107" s="143"/>
      <c r="AC107" s="143"/>
      <c r="AD107" s="143"/>
      <c r="AE107" s="143"/>
    </row>
    <row r="108" spans="1:3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4"/>
      <c r="L108" s="144"/>
      <c r="M108" s="144"/>
      <c r="N108" s="144"/>
      <c r="O108" s="143"/>
      <c r="P108" s="144"/>
      <c r="Q108" s="143"/>
      <c r="R108" s="143"/>
      <c r="S108" s="143"/>
      <c r="T108" s="143"/>
      <c r="U108" s="143"/>
      <c r="V108" s="143"/>
      <c r="W108" s="143"/>
      <c r="X108" s="144"/>
      <c r="Y108" s="143"/>
      <c r="Z108" s="143"/>
      <c r="AA108" s="143"/>
      <c r="AB108" s="143"/>
      <c r="AC108" s="143"/>
      <c r="AD108" s="143"/>
      <c r="AE108" s="143"/>
    </row>
    <row r="109" spans="1:3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4"/>
      <c r="L109" s="144"/>
      <c r="M109" s="144"/>
      <c r="N109" s="144"/>
      <c r="O109" s="143"/>
      <c r="P109" s="144"/>
      <c r="Q109" s="143"/>
      <c r="R109" s="143"/>
      <c r="S109" s="143"/>
      <c r="T109" s="143"/>
      <c r="U109" s="143"/>
      <c r="V109" s="143"/>
      <c r="W109" s="143"/>
      <c r="X109" s="144"/>
      <c r="Y109" s="143"/>
      <c r="Z109" s="143"/>
      <c r="AA109" s="143"/>
      <c r="AB109" s="143"/>
      <c r="AC109" s="143"/>
      <c r="AD109" s="143"/>
      <c r="AE109" s="143"/>
    </row>
    <row r="110" spans="1:3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4"/>
      <c r="L110" s="144"/>
      <c r="M110" s="144"/>
      <c r="N110" s="144"/>
      <c r="O110" s="143"/>
      <c r="P110" s="144"/>
      <c r="Q110" s="143"/>
      <c r="R110" s="143"/>
      <c r="S110" s="143"/>
      <c r="T110" s="143"/>
      <c r="U110" s="143"/>
      <c r="V110" s="143"/>
      <c r="W110" s="143"/>
      <c r="X110" s="144"/>
      <c r="Y110" s="143"/>
      <c r="Z110" s="143"/>
      <c r="AA110" s="143"/>
      <c r="AB110" s="143"/>
      <c r="AC110" s="143"/>
      <c r="AD110" s="143"/>
      <c r="AE110" s="143"/>
    </row>
    <row r="111" spans="1:3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4"/>
      <c r="L111" s="144"/>
      <c r="M111" s="144"/>
      <c r="N111" s="144"/>
      <c r="O111" s="143"/>
      <c r="P111" s="144"/>
      <c r="Q111" s="143"/>
      <c r="R111" s="143"/>
      <c r="S111" s="143"/>
      <c r="T111" s="143"/>
      <c r="U111" s="143"/>
      <c r="V111" s="143"/>
      <c r="W111" s="143"/>
      <c r="X111" s="144"/>
      <c r="Y111" s="143"/>
      <c r="Z111" s="143"/>
      <c r="AA111" s="143"/>
      <c r="AB111" s="143"/>
      <c r="AC111" s="143"/>
      <c r="AD111" s="143"/>
      <c r="AE111" s="143"/>
    </row>
    <row r="112" spans="1:3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4"/>
      <c r="L112" s="144"/>
      <c r="M112" s="144"/>
      <c r="N112" s="144"/>
      <c r="O112" s="143"/>
      <c r="P112" s="144"/>
      <c r="Q112" s="143"/>
      <c r="R112" s="143"/>
      <c r="S112" s="143"/>
      <c r="T112" s="143"/>
      <c r="U112" s="143"/>
      <c r="V112" s="143"/>
      <c r="W112" s="143"/>
      <c r="X112" s="144"/>
      <c r="Y112" s="143"/>
      <c r="Z112" s="143"/>
      <c r="AA112" s="143"/>
      <c r="AB112" s="143"/>
      <c r="AC112" s="143"/>
      <c r="AD112" s="143"/>
      <c r="AE112" s="143"/>
    </row>
    <row r="113" spans="1:3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4"/>
      <c r="L113" s="144"/>
      <c r="M113" s="144"/>
      <c r="N113" s="144"/>
      <c r="O113" s="143"/>
      <c r="P113" s="144"/>
      <c r="Q113" s="143"/>
      <c r="R113" s="143"/>
      <c r="S113" s="143"/>
      <c r="T113" s="143"/>
      <c r="U113" s="143"/>
      <c r="V113" s="143"/>
      <c r="W113" s="143"/>
      <c r="X113" s="144"/>
      <c r="Y113" s="143"/>
      <c r="Z113" s="143"/>
      <c r="AA113" s="143"/>
      <c r="AB113" s="143"/>
      <c r="AC113" s="143"/>
      <c r="AD113" s="143"/>
      <c r="AE113" s="143"/>
    </row>
    <row r="114" spans="1:3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4"/>
      <c r="L114" s="144"/>
      <c r="M114" s="144"/>
      <c r="N114" s="144"/>
      <c r="O114" s="143"/>
      <c r="P114" s="144"/>
      <c r="Q114" s="143"/>
      <c r="R114" s="143"/>
      <c r="S114" s="143"/>
      <c r="T114" s="143"/>
      <c r="U114" s="143"/>
      <c r="V114" s="143"/>
      <c r="W114" s="143"/>
      <c r="X114" s="144"/>
      <c r="Y114" s="143"/>
      <c r="Z114" s="143"/>
      <c r="AA114" s="143"/>
      <c r="AB114" s="143"/>
      <c r="AC114" s="143"/>
      <c r="AD114" s="143"/>
      <c r="AE114" s="143"/>
    </row>
    <row r="115" spans="1:3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4"/>
      <c r="L115" s="144"/>
      <c r="M115" s="144"/>
      <c r="N115" s="143"/>
      <c r="O115" s="143"/>
      <c r="P115" s="144"/>
      <c r="Q115" s="143"/>
      <c r="R115" s="143"/>
      <c r="S115" s="143"/>
      <c r="T115" s="143"/>
      <c r="U115" s="143"/>
      <c r="V115" s="143"/>
      <c r="W115" s="143"/>
      <c r="X115" s="144"/>
      <c r="Y115" s="143"/>
      <c r="Z115" s="143"/>
      <c r="AA115" s="143"/>
      <c r="AB115" s="143"/>
      <c r="AC115" s="143"/>
      <c r="AD115" s="143"/>
      <c r="AE115" s="143"/>
    </row>
    <row r="116" spans="1:3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4"/>
      <c r="L116" s="144"/>
      <c r="M116" s="144"/>
      <c r="N116" s="144"/>
      <c r="O116" s="143"/>
      <c r="P116" s="144"/>
      <c r="Q116" s="143"/>
      <c r="R116" s="143"/>
      <c r="S116" s="143"/>
      <c r="T116" s="143"/>
      <c r="U116" s="143"/>
      <c r="V116" s="143"/>
      <c r="W116" s="143"/>
      <c r="X116" s="144"/>
      <c r="Y116" s="143"/>
      <c r="Z116" s="143"/>
      <c r="AA116" s="143"/>
      <c r="AB116" s="143"/>
      <c r="AC116" s="143"/>
      <c r="AD116" s="143"/>
      <c r="AE116" s="143"/>
    </row>
    <row r="117" spans="1:3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4"/>
      <c r="L117" s="144"/>
      <c r="M117" s="144"/>
      <c r="N117" s="144"/>
      <c r="O117" s="143"/>
      <c r="P117" s="144"/>
      <c r="Q117" s="143"/>
      <c r="R117" s="143"/>
      <c r="S117" s="143"/>
      <c r="T117" s="143"/>
      <c r="U117" s="143"/>
      <c r="V117" s="143"/>
      <c r="W117" s="143"/>
      <c r="X117" s="144"/>
      <c r="Y117" s="143"/>
      <c r="Z117" s="143"/>
      <c r="AA117" s="143"/>
      <c r="AB117" s="143"/>
      <c r="AC117" s="143"/>
      <c r="AD117" s="143"/>
      <c r="AE117" s="143"/>
    </row>
    <row r="118" spans="1:3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4"/>
      <c r="L118" s="144"/>
      <c r="M118" s="144"/>
      <c r="N118" s="144"/>
      <c r="O118" s="143"/>
      <c r="P118" s="144"/>
      <c r="Q118" s="143"/>
      <c r="R118" s="143"/>
      <c r="S118" s="143"/>
      <c r="T118" s="143"/>
      <c r="U118" s="143"/>
      <c r="V118" s="143"/>
      <c r="W118" s="143"/>
      <c r="X118" s="144"/>
      <c r="Y118" s="143"/>
      <c r="Z118" s="143"/>
      <c r="AA118" s="143"/>
      <c r="AB118" s="143"/>
      <c r="AC118" s="143"/>
      <c r="AD118" s="143"/>
      <c r="AE118" s="143"/>
    </row>
    <row r="119" spans="1:3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4"/>
      <c r="L119" s="144"/>
      <c r="M119" s="144"/>
      <c r="N119" s="144"/>
      <c r="O119" s="143"/>
      <c r="P119" s="144"/>
      <c r="Q119" s="143"/>
      <c r="R119" s="143"/>
      <c r="S119" s="143"/>
      <c r="T119" s="143"/>
      <c r="U119" s="143"/>
      <c r="V119" s="143"/>
      <c r="W119" s="143"/>
      <c r="X119" s="144"/>
      <c r="Y119" s="143"/>
      <c r="Z119" s="143"/>
      <c r="AA119" s="143"/>
      <c r="AB119" s="143"/>
      <c r="AC119" s="143"/>
      <c r="AD119" s="143"/>
      <c r="AE119" s="143"/>
    </row>
    <row r="120" spans="1:3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4"/>
      <c r="L120" s="144"/>
      <c r="M120" s="144"/>
      <c r="N120" s="144"/>
      <c r="O120" s="143"/>
      <c r="P120" s="144"/>
      <c r="Q120" s="143"/>
      <c r="R120" s="143"/>
      <c r="S120" s="143"/>
      <c r="T120" s="143"/>
      <c r="U120" s="143"/>
      <c r="V120" s="143"/>
      <c r="W120" s="143"/>
      <c r="X120" s="144"/>
      <c r="Y120" s="143"/>
      <c r="Z120" s="143"/>
      <c r="AA120" s="143"/>
      <c r="AB120" s="143"/>
      <c r="AC120" s="143"/>
      <c r="AD120" s="143"/>
      <c r="AE120" s="143"/>
    </row>
    <row r="121" spans="1:3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4"/>
      <c r="L121" s="144"/>
      <c r="M121" s="144"/>
      <c r="N121" s="144"/>
      <c r="O121" s="143"/>
      <c r="P121" s="144"/>
      <c r="Q121" s="143"/>
      <c r="R121" s="143"/>
      <c r="S121" s="143"/>
      <c r="T121" s="143"/>
      <c r="U121" s="143"/>
      <c r="V121" s="143"/>
      <c r="W121" s="143"/>
      <c r="X121" s="144"/>
      <c r="Y121" s="143"/>
      <c r="Z121" s="143"/>
      <c r="AA121" s="143"/>
      <c r="AB121" s="143"/>
      <c r="AC121" s="143"/>
      <c r="AD121" s="143"/>
      <c r="AE121" s="143"/>
    </row>
    <row r="122" spans="1:3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4"/>
      <c r="L122" s="144"/>
      <c r="M122" s="144"/>
      <c r="N122" s="144"/>
      <c r="O122" s="143"/>
      <c r="P122" s="144"/>
      <c r="Q122" s="143"/>
      <c r="R122" s="143"/>
      <c r="S122" s="143"/>
      <c r="T122" s="143"/>
      <c r="U122" s="143"/>
      <c r="V122" s="143"/>
      <c r="W122" s="143"/>
      <c r="X122" s="144"/>
      <c r="Y122" s="143"/>
      <c r="Z122" s="143"/>
      <c r="AA122" s="143"/>
      <c r="AB122" s="143"/>
      <c r="AC122" s="143"/>
      <c r="AD122" s="143"/>
      <c r="AE122" s="143"/>
    </row>
    <row r="123" spans="1:3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4"/>
      <c r="L123" s="144"/>
      <c r="M123" s="144"/>
      <c r="N123" s="144"/>
      <c r="O123" s="143"/>
      <c r="P123" s="144"/>
      <c r="Q123" s="143"/>
      <c r="R123" s="143"/>
      <c r="S123" s="143"/>
      <c r="T123" s="143"/>
      <c r="U123" s="143"/>
      <c r="V123" s="143"/>
      <c r="W123" s="143"/>
      <c r="X123" s="144"/>
      <c r="Y123" s="143"/>
      <c r="Z123" s="143"/>
      <c r="AA123" s="143"/>
      <c r="AB123" s="143"/>
      <c r="AC123" s="143"/>
      <c r="AD123" s="143"/>
      <c r="AE123" s="143"/>
    </row>
    <row r="124" spans="1:3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4"/>
      <c r="L124" s="144"/>
      <c r="M124" s="144"/>
      <c r="N124" s="144"/>
      <c r="O124" s="143"/>
      <c r="P124" s="144"/>
      <c r="Q124" s="143"/>
      <c r="R124" s="143"/>
      <c r="S124" s="143"/>
      <c r="T124" s="143"/>
      <c r="U124" s="143"/>
      <c r="V124" s="143"/>
      <c r="W124" s="143"/>
      <c r="X124" s="144"/>
      <c r="Y124" s="143"/>
      <c r="Z124" s="143"/>
      <c r="AA124" s="143"/>
      <c r="AB124" s="143"/>
      <c r="AC124" s="143"/>
      <c r="AD124" s="143"/>
      <c r="AE124" s="143"/>
    </row>
    <row r="125" spans="1:3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4"/>
      <c r="L125" s="144"/>
      <c r="M125" s="144"/>
      <c r="N125" s="144"/>
      <c r="O125" s="143"/>
      <c r="P125" s="144"/>
      <c r="Q125" s="143"/>
      <c r="R125" s="143"/>
      <c r="S125" s="143"/>
      <c r="T125" s="143"/>
      <c r="U125" s="143"/>
      <c r="V125" s="143"/>
      <c r="W125" s="143"/>
      <c r="X125" s="144"/>
      <c r="Y125" s="143"/>
      <c r="Z125" s="143"/>
      <c r="AA125" s="143"/>
      <c r="AB125" s="143"/>
      <c r="AC125" s="143"/>
      <c r="AD125" s="143"/>
      <c r="AE125" s="143"/>
    </row>
    <row r="126" spans="1:3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4"/>
      <c r="L126" s="144"/>
      <c r="M126" s="144"/>
      <c r="N126" s="144"/>
      <c r="O126" s="143"/>
      <c r="P126" s="144"/>
      <c r="Q126" s="143"/>
      <c r="R126" s="143"/>
      <c r="S126" s="143"/>
      <c r="T126" s="143"/>
      <c r="U126" s="143"/>
      <c r="V126" s="143"/>
      <c r="W126" s="143"/>
      <c r="X126" s="144"/>
      <c r="Y126" s="143"/>
      <c r="Z126" s="143"/>
      <c r="AA126" s="143"/>
      <c r="AB126" s="143"/>
      <c r="AC126" s="143"/>
      <c r="AD126" s="143"/>
      <c r="AE126" s="143"/>
    </row>
    <row r="127" spans="1:3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4"/>
      <c r="L127" s="144"/>
      <c r="M127" s="144"/>
      <c r="N127" s="144"/>
      <c r="O127" s="143"/>
      <c r="P127" s="144"/>
      <c r="Q127" s="143"/>
      <c r="R127" s="143"/>
      <c r="S127" s="143"/>
      <c r="T127" s="143"/>
      <c r="U127" s="143"/>
      <c r="V127" s="143"/>
      <c r="W127" s="143"/>
      <c r="X127" s="144"/>
      <c r="Y127" s="143"/>
      <c r="Z127" s="143"/>
      <c r="AA127" s="143"/>
      <c r="AB127" s="143"/>
      <c r="AC127" s="143"/>
      <c r="AD127" s="143"/>
      <c r="AE127" s="143"/>
    </row>
    <row r="128" spans="1:3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4"/>
      <c r="L128" s="144"/>
      <c r="M128" s="144"/>
      <c r="N128" s="144"/>
      <c r="O128" s="143"/>
      <c r="P128" s="144"/>
      <c r="Q128" s="143"/>
      <c r="R128" s="143"/>
      <c r="S128" s="143"/>
      <c r="T128" s="143"/>
      <c r="U128" s="143"/>
      <c r="V128" s="143"/>
      <c r="W128" s="143"/>
      <c r="X128" s="144"/>
      <c r="Y128" s="143"/>
      <c r="Z128" s="143"/>
      <c r="AA128" s="143"/>
      <c r="AB128" s="143"/>
      <c r="AC128" s="143"/>
      <c r="AD128" s="143"/>
      <c r="AE128" s="143"/>
    </row>
    <row r="129" spans="1:3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4"/>
      <c r="L129" s="144"/>
      <c r="M129" s="144"/>
      <c r="N129" s="144"/>
      <c r="O129" s="143"/>
      <c r="P129" s="144"/>
      <c r="Q129" s="143"/>
      <c r="R129" s="143"/>
      <c r="S129" s="143"/>
      <c r="T129" s="143"/>
      <c r="U129" s="143"/>
      <c r="V129" s="143"/>
      <c r="W129" s="143"/>
      <c r="X129" s="144"/>
      <c r="Y129" s="143"/>
      <c r="Z129" s="143"/>
      <c r="AA129" s="143"/>
      <c r="AB129" s="143"/>
      <c r="AC129" s="143"/>
      <c r="AD129" s="143"/>
      <c r="AE129" s="143"/>
    </row>
    <row r="130" spans="1:3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4"/>
      <c r="L130" s="144"/>
      <c r="M130" s="144"/>
      <c r="N130" s="144"/>
      <c r="O130" s="143"/>
      <c r="P130" s="144"/>
      <c r="Q130" s="143"/>
      <c r="R130" s="143"/>
      <c r="S130" s="143"/>
      <c r="T130" s="143"/>
      <c r="U130" s="143"/>
      <c r="V130" s="143"/>
      <c r="W130" s="143"/>
      <c r="X130" s="144"/>
      <c r="Y130" s="143"/>
      <c r="Z130" s="143"/>
      <c r="AA130" s="143"/>
      <c r="AB130" s="143"/>
      <c r="AC130" s="143"/>
      <c r="AD130" s="143"/>
      <c r="AE130" s="143"/>
    </row>
    <row r="131" spans="1: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4"/>
      <c r="L131" s="144"/>
      <c r="M131" s="144"/>
      <c r="N131" s="144"/>
      <c r="O131" s="143"/>
      <c r="P131" s="144"/>
      <c r="Q131" s="143"/>
      <c r="R131" s="143"/>
      <c r="S131" s="143"/>
      <c r="T131" s="143"/>
      <c r="U131" s="143"/>
      <c r="V131" s="143"/>
      <c r="W131" s="143"/>
      <c r="X131" s="144"/>
      <c r="Y131" s="143"/>
      <c r="Z131" s="143"/>
      <c r="AA131" s="143"/>
      <c r="AB131" s="143"/>
      <c r="AC131" s="143"/>
      <c r="AD131" s="143"/>
      <c r="AE131" s="143"/>
    </row>
    <row r="132" spans="1:3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4"/>
      <c r="L132" s="144"/>
      <c r="M132" s="144"/>
      <c r="N132" s="144"/>
      <c r="O132" s="143"/>
      <c r="P132" s="144"/>
      <c r="Q132" s="143"/>
      <c r="R132" s="143"/>
      <c r="S132" s="143"/>
      <c r="T132" s="143"/>
      <c r="U132" s="143"/>
      <c r="V132" s="143"/>
      <c r="W132" s="143"/>
      <c r="X132" s="144"/>
      <c r="Y132" s="143"/>
      <c r="Z132" s="143"/>
      <c r="AA132" s="143"/>
      <c r="AB132" s="143"/>
      <c r="AC132" s="143"/>
      <c r="AD132" s="143"/>
      <c r="AE132" s="143"/>
    </row>
    <row r="133" spans="1:3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4"/>
      <c r="L133" s="144"/>
      <c r="M133" s="144"/>
      <c r="N133" s="144"/>
      <c r="O133" s="143"/>
      <c r="P133" s="144"/>
      <c r="Q133" s="143"/>
      <c r="R133" s="143"/>
      <c r="S133" s="143"/>
      <c r="T133" s="143"/>
      <c r="U133" s="143"/>
      <c r="V133" s="143"/>
      <c r="W133" s="143"/>
      <c r="X133" s="144"/>
      <c r="Y133" s="143"/>
      <c r="Z133" s="143"/>
      <c r="AA133" s="143"/>
      <c r="AB133" s="143"/>
      <c r="AC133" s="143"/>
      <c r="AD133" s="143"/>
      <c r="AE133" s="143"/>
    </row>
    <row r="134" spans="1:3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4"/>
      <c r="L134" s="144"/>
      <c r="M134" s="144"/>
      <c r="N134" s="144"/>
      <c r="O134" s="143"/>
      <c r="P134" s="144"/>
      <c r="Q134" s="143"/>
      <c r="R134" s="143"/>
      <c r="S134" s="143"/>
      <c r="T134" s="143"/>
      <c r="U134" s="143"/>
      <c r="V134" s="143"/>
      <c r="W134" s="143"/>
      <c r="X134" s="144"/>
      <c r="Y134" s="143"/>
      <c r="Z134" s="143"/>
      <c r="AA134" s="143"/>
      <c r="AB134" s="143"/>
      <c r="AC134" s="143"/>
      <c r="AD134" s="143"/>
      <c r="AE134" s="143"/>
    </row>
    <row r="135" spans="1:3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4"/>
      <c r="L135" s="144"/>
      <c r="M135" s="144"/>
      <c r="N135" s="144"/>
      <c r="O135" s="143"/>
      <c r="P135" s="144"/>
      <c r="Q135" s="143"/>
      <c r="R135" s="143"/>
      <c r="S135" s="143"/>
      <c r="T135" s="143"/>
      <c r="U135" s="143"/>
      <c r="V135" s="143"/>
      <c r="W135" s="143"/>
      <c r="X135" s="144"/>
      <c r="Y135" s="143"/>
      <c r="Z135" s="143"/>
      <c r="AA135" s="143"/>
      <c r="AB135" s="143"/>
      <c r="AC135" s="143"/>
      <c r="AD135" s="143"/>
      <c r="AE135" s="143"/>
    </row>
    <row r="136" spans="1:3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4"/>
      <c r="L136" s="144"/>
      <c r="M136" s="144"/>
      <c r="N136" s="144"/>
      <c r="O136" s="143"/>
      <c r="P136" s="144"/>
      <c r="Q136" s="143"/>
      <c r="R136" s="143"/>
      <c r="S136" s="143"/>
      <c r="T136" s="143"/>
      <c r="U136" s="143"/>
      <c r="V136" s="143"/>
      <c r="W136" s="143"/>
      <c r="X136" s="144"/>
      <c r="Y136" s="143"/>
      <c r="Z136" s="143"/>
      <c r="AA136" s="143"/>
      <c r="AB136" s="143"/>
      <c r="AC136" s="143"/>
      <c r="AD136" s="143"/>
      <c r="AE136" s="143"/>
    </row>
    <row r="137" spans="1:3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4"/>
      <c r="L137" s="144"/>
      <c r="M137" s="144"/>
      <c r="N137" s="144"/>
      <c r="O137" s="143"/>
      <c r="P137" s="144"/>
      <c r="Q137" s="143"/>
      <c r="R137" s="143"/>
      <c r="S137" s="143"/>
      <c r="T137" s="143"/>
      <c r="U137" s="143"/>
      <c r="V137" s="143"/>
      <c r="W137" s="143"/>
      <c r="X137" s="144"/>
      <c r="Y137" s="143"/>
      <c r="Z137" s="143"/>
      <c r="AA137" s="143"/>
      <c r="AB137" s="143"/>
      <c r="AC137" s="143"/>
      <c r="AD137" s="143"/>
      <c r="AE137" s="143"/>
    </row>
    <row r="138" spans="1:3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4"/>
      <c r="L138" s="144"/>
      <c r="M138" s="144"/>
      <c r="N138" s="144"/>
      <c r="O138" s="143"/>
      <c r="P138" s="144"/>
      <c r="Q138" s="143"/>
      <c r="R138" s="143"/>
      <c r="S138" s="143"/>
      <c r="T138" s="143"/>
      <c r="U138" s="143"/>
      <c r="V138" s="143"/>
      <c r="W138" s="143"/>
      <c r="X138" s="144"/>
      <c r="Y138" s="143"/>
      <c r="Z138" s="143"/>
      <c r="AA138" s="143"/>
      <c r="AB138" s="143"/>
      <c r="AC138" s="143"/>
      <c r="AD138" s="143"/>
      <c r="AE138" s="143"/>
    </row>
    <row r="139" spans="1:3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4"/>
      <c r="L139" s="144"/>
      <c r="M139" s="144"/>
      <c r="N139" s="144"/>
      <c r="O139" s="143"/>
      <c r="P139" s="144"/>
      <c r="Q139" s="143"/>
      <c r="R139" s="143"/>
      <c r="S139" s="143"/>
      <c r="T139" s="143"/>
      <c r="U139" s="143"/>
      <c r="V139" s="143"/>
      <c r="W139" s="143"/>
      <c r="X139" s="144"/>
      <c r="Y139" s="143"/>
      <c r="Z139" s="143"/>
      <c r="AA139" s="143"/>
      <c r="AB139" s="143"/>
      <c r="AC139" s="143"/>
      <c r="AD139" s="143"/>
      <c r="AE139" s="143"/>
    </row>
    <row r="140" spans="1:3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4"/>
      <c r="L140" s="144"/>
      <c r="M140" s="144"/>
      <c r="N140" s="144"/>
      <c r="O140" s="143"/>
      <c r="P140" s="144"/>
      <c r="Q140" s="143"/>
      <c r="R140" s="143"/>
      <c r="S140" s="143"/>
      <c r="T140" s="143"/>
      <c r="U140" s="143"/>
      <c r="V140" s="143"/>
      <c r="W140" s="143"/>
      <c r="X140" s="144"/>
      <c r="Y140" s="143"/>
      <c r="Z140" s="143"/>
      <c r="AA140" s="143"/>
      <c r="AB140" s="143"/>
      <c r="AC140" s="143"/>
      <c r="AD140" s="143"/>
      <c r="AE140" s="143"/>
    </row>
    <row r="141" spans="1:3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4"/>
      <c r="L141" s="144"/>
      <c r="M141" s="144"/>
      <c r="N141" s="144"/>
      <c r="O141" s="143"/>
      <c r="P141" s="144"/>
      <c r="Q141" s="143"/>
      <c r="R141" s="143"/>
      <c r="S141" s="143"/>
      <c r="T141" s="143"/>
      <c r="U141" s="143"/>
      <c r="V141" s="143"/>
      <c r="W141" s="143"/>
      <c r="X141" s="144"/>
      <c r="Y141" s="143"/>
      <c r="Z141" s="143"/>
      <c r="AA141" s="143"/>
      <c r="AB141" s="143"/>
      <c r="AC141" s="143"/>
      <c r="AD141" s="143"/>
      <c r="AE141" s="143"/>
    </row>
    <row r="142" spans="1:3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4"/>
      <c r="L142" s="144"/>
      <c r="M142" s="144"/>
      <c r="N142" s="144"/>
      <c r="O142" s="143"/>
      <c r="P142" s="144"/>
      <c r="Q142" s="143"/>
      <c r="R142" s="143"/>
      <c r="S142" s="143"/>
      <c r="T142" s="143"/>
      <c r="U142" s="143"/>
      <c r="V142" s="143"/>
      <c r="W142" s="143"/>
      <c r="X142" s="144"/>
      <c r="Y142" s="143"/>
      <c r="Z142" s="143"/>
      <c r="AA142" s="143"/>
      <c r="AB142" s="143"/>
      <c r="AC142" s="143"/>
      <c r="AD142" s="143"/>
      <c r="AE142" s="143"/>
    </row>
    <row r="143" spans="1:3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4"/>
      <c r="L143" s="144"/>
      <c r="M143" s="144"/>
      <c r="N143" s="144"/>
      <c r="O143" s="143"/>
      <c r="P143" s="144"/>
      <c r="Q143" s="143"/>
      <c r="R143" s="143"/>
      <c r="S143" s="143"/>
      <c r="T143" s="143"/>
      <c r="U143" s="143"/>
      <c r="V143" s="143"/>
      <c r="W143" s="143"/>
      <c r="X143" s="144"/>
      <c r="Y143" s="143"/>
      <c r="Z143" s="143"/>
      <c r="AA143" s="143"/>
      <c r="AB143" s="143"/>
      <c r="AC143" s="143"/>
      <c r="AD143" s="143"/>
      <c r="AE143" s="143"/>
    </row>
    <row r="144" spans="1:3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4"/>
      <c r="L144" s="144"/>
      <c r="M144" s="144"/>
      <c r="N144" s="144"/>
      <c r="O144" s="143"/>
      <c r="P144" s="144"/>
      <c r="Q144" s="143"/>
      <c r="R144" s="143"/>
      <c r="S144" s="143"/>
      <c r="T144" s="143"/>
      <c r="U144" s="143"/>
      <c r="V144" s="143"/>
      <c r="W144" s="143"/>
      <c r="X144" s="144"/>
      <c r="Y144" s="143"/>
      <c r="Z144" s="143"/>
      <c r="AA144" s="143"/>
      <c r="AB144" s="143"/>
      <c r="AC144" s="143"/>
      <c r="AD144" s="143"/>
      <c r="AE144" s="143"/>
    </row>
    <row r="145" spans="1:3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4"/>
      <c r="L145" s="144"/>
      <c r="M145" s="144"/>
      <c r="N145" s="144"/>
      <c r="O145" s="143"/>
      <c r="P145" s="144"/>
      <c r="Q145" s="143"/>
      <c r="R145" s="143"/>
      <c r="S145" s="143"/>
      <c r="T145" s="143"/>
      <c r="U145" s="143"/>
      <c r="V145" s="143"/>
      <c r="W145" s="143"/>
      <c r="X145" s="144"/>
      <c r="Y145" s="143"/>
      <c r="Z145" s="143"/>
      <c r="AA145" s="143"/>
      <c r="AB145" s="143"/>
      <c r="AC145" s="143"/>
      <c r="AD145" s="143"/>
      <c r="AE145" s="143"/>
    </row>
    <row r="146" spans="1:3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4"/>
      <c r="L146" s="144"/>
      <c r="M146" s="144"/>
      <c r="N146" s="144"/>
      <c r="O146" s="143"/>
      <c r="P146" s="144"/>
      <c r="Q146" s="143"/>
      <c r="R146" s="143"/>
      <c r="S146" s="143"/>
      <c r="T146" s="143"/>
      <c r="U146" s="143"/>
      <c r="V146" s="143"/>
      <c r="W146" s="143"/>
      <c r="X146" s="144"/>
      <c r="Y146" s="143"/>
      <c r="Z146" s="143"/>
      <c r="AA146" s="143"/>
      <c r="AB146" s="143"/>
      <c r="AC146" s="143"/>
      <c r="AD146" s="143"/>
      <c r="AE146" s="143"/>
    </row>
    <row r="147" spans="1:3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4"/>
      <c r="L147" s="144"/>
      <c r="M147" s="144"/>
      <c r="N147" s="144"/>
      <c r="O147" s="143"/>
      <c r="P147" s="144"/>
      <c r="Q147" s="143"/>
      <c r="R147" s="143"/>
      <c r="S147" s="143"/>
      <c r="T147" s="143"/>
      <c r="U147" s="143"/>
      <c r="V147" s="143"/>
      <c r="W147" s="143"/>
      <c r="X147" s="144"/>
      <c r="Y147" s="143"/>
      <c r="Z147" s="143"/>
      <c r="AA147" s="143"/>
      <c r="AB147" s="143"/>
      <c r="AC147" s="143"/>
      <c r="AD147" s="143"/>
      <c r="AE147" s="143"/>
    </row>
    <row r="148" spans="1:3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4"/>
      <c r="L148" s="144"/>
      <c r="M148" s="144"/>
      <c r="N148" s="144"/>
      <c r="O148" s="143"/>
      <c r="P148" s="144"/>
      <c r="Q148" s="143"/>
      <c r="R148" s="143"/>
      <c r="S148" s="143"/>
      <c r="T148" s="143"/>
      <c r="U148" s="143"/>
      <c r="V148" s="143"/>
      <c r="W148" s="143"/>
      <c r="X148" s="144"/>
      <c r="Y148" s="143"/>
      <c r="Z148" s="143"/>
      <c r="AA148" s="143"/>
      <c r="AB148" s="143"/>
      <c r="AC148" s="143"/>
      <c r="AD148" s="143"/>
      <c r="AE148" s="143"/>
    </row>
    <row r="149" spans="1:3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4"/>
      <c r="L149" s="144"/>
      <c r="M149" s="144"/>
      <c r="N149" s="144"/>
      <c r="O149" s="143"/>
      <c r="P149" s="144"/>
      <c r="Q149" s="143"/>
      <c r="R149" s="143"/>
      <c r="S149" s="143"/>
      <c r="T149" s="143"/>
      <c r="U149" s="143"/>
      <c r="V149" s="143"/>
      <c r="W149" s="143"/>
      <c r="X149" s="144"/>
      <c r="Y149" s="143"/>
      <c r="Z149" s="143"/>
      <c r="AA149" s="143"/>
      <c r="AB149" s="143"/>
      <c r="AC149" s="143"/>
      <c r="AD149" s="143"/>
      <c r="AE149" s="143"/>
    </row>
    <row r="150" spans="1:3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4"/>
      <c r="L150" s="144"/>
      <c r="M150" s="144"/>
      <c r="N150" s="144"/>
      <c r="O150" s="143"/>
      <c r="P150" s="144"/>
      <c r="Q150" s="143"/>
      <c r="R150" s="143"/>
      <c r="S150" s="143"/>
      <c r="T150" s="143"/>
      <c r="U150" s="143"/>
      <c r="V150" s="143"/>
      <c r="W150" s="143"/>
      <c r="X150" s="144"/>
      <c r="Y150" s="143"/>
      <c r="Z150" s="143"/>
      <c r="AA150" s="143"/>
      <c r="AB150" s="143"/>
      <c r="AC150" s="143"/>
      <c r="AD150" s="143"/>
      <c r="AE150" s="143"/>
    </row>
    <row r="151" spans="1:3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4"/>
      <c r="L151" s="144"/>
      <c r="M151" s="144"/>
      <c r="N151" s="144"/>
      <c r="O151" s="143"/>
      <c r="P151" s="144"/>
      <c r="Q151" s="143"/>
      <c r="R151" s="143"/>
      <c r="S151" s="143"/>
      <c r="T151" s="143"/>
      <c r="U151" s="143"/>
      <c r="V151" s="143"/>
      <c r="W151" s="143"/>
      <c r="X151" s="144"/>
      <c r="Y151" s="143"/>
      <c r="Z151" s="143"/>
      <c r="AA151" s="143"/>
      <c r="AB151" s="143"/>
      <c r="AC151" s="143"/>
      <c r="AD151" s="143"/>
      <c r="AE151" s="143"/>
    </row>
    <row r="152" spans="1:3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4"/>
      <c r="L152" s="144"/>
      <c r="M152" s="144"/>
      <c r="N152" s="144"/>
      <c r="O152" s="143"/>
      <c r="P152" s="144"/>
      <c r="Q152" s="143"/>
      <c r="R152" s="143"/>
      <c r="S152" s="143"/>
      <c r="T152" s="143"/>
      <c r="U152" s="143"/>
      <c r="V152" s="143"/>
      <c r="W152" s="143"/>
      <c r="X152" s="144"/>
      <c r="Y152" s="143"/>
      <c r="Z152" s="143"/>
      <c r="AA152" s="143"/>
      <c r="AB152" s="143"/>
      <c r="AC152" s="143"/>
      <c r="AD152" s="143"/>
      <c r="AE152" s="143"/>
    </row>
    <row r="153" spans="1:3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4"/>
      <c r="L153" s="144"/>
      <c r="M153" s="144"/>
      <c r="N153" s="143"/>
      <c r="O153" s="143"/>
      <c r="P153" s="144"/>
      <c r="Q153" s="143"/>
      <c r="R153" s="143"/>
      <c r="S153" s="143"/>
      <c r="T153" s="143"/>
      <c r="U153" s="143"/>
      <c r="V153" s="143"/>
      <c r="W153" s="143"/>
      <c r="X153" s="144"/>
      <c r="Y153" s="143"/>
      <c r="Z153" s="143"/>
      <c r="AA153" s="143"/>
      <c r="AB153" s="143"/>
      <c r="AC153" s="143"/>
      <c r="AD153" s="143"/>
      <c r="AE153" s="143"/>
    </row>
    <row r="154" spans="1:3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4"/>
      <c r="L154" s="144"/>
      <c r="M154" s="144"/>
      <c r="N154" s="144"/>
      <c r="O154" s="143"/>
      <c r="P154" s="144"/>
      <c r="Q154" s="143"/>
      <c r="R154" s="143"/>
      <c r="S154" s="143"/>
      <c r="T154" s="143"/>
      <c r="U154" s="143"/>
      <c r="V154" s="143"/>
      <c r="W154" s="143"/>
      <c r="X154" s="144"/>
      <c r="Y154" s="143"/>
      <c r="Z154" s="143"/>
      <c r="AA154" s="143"/>
      <c r="AB154" s="143"/>
      <c r="AC154" s="143"/>
      <c r="AD154" s="143"/>
      <c r="AE154" s="143"/>
    </row>
    <row r="155" spans="1:3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4"/>
      <c r="L155" s="144"/>
      <c r="M155" s="144"/>
      <c r="N155" s="144"/>
      <c r="O155" s="143"/>
      <c r="P155" s="144"/>
      <c r="Q155" s="143"/>
      <c r="R155" s="143"/>
      <c r="S155" s="143"/>
      <c r="T155" s="143"/>
      <c r="U155" s="143"/>
      <c r="V155" s="143"/>
      <c r="W155" s="143"/>
      <c r="X155" s="144"/>
      <c r="Y155" s="143"/>
      <c r="Z155" s="143"/>
      <c r="AA155" s="143"/>
      <c r="AB155" s="143"/>
      <c r="AC155" s="143"/>
      <c r="AD155" s="143"/>
      <c r="AE155" s="143"/>
    </row>
    <row r="156" spans="1:3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4"/>
      <c r="L156" s="144"/>
      <c r="M156" s="144"/>
      <c r="N156" s="144"/>
      <c r="O156" s="143"/>
      <c r="P156" s="144"/>
      <c r="Q156" s="143"/>
      <c r="R156" s="143"/>
      <c r="S156" s="143"/>
      <c r="T156" s="143"/>
      <c r="U156" s="143"/>
      <c r="V156" s="143"/>
      <c r="W156" s="143"/>
      <c r="X156" s="144"/>
      <c r="Y156" s="143"/>
      <c r="Z156" s="143"/>
      <c r="AA156" s="143"/>
      <c r="AB156" s="143"/>
      <c r="AC156" s="143"/>
      <c r="AD156" s="143"/>
      <c r="AE156" s="143"/>
    </row>
    <row r="157" spans="1:3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4"/>
      <c r="L157" s="144"/>
      <c r="M157" s="144"/>
      <c r="N157" s="144"/>
      <c r="O157" s="143"/>
      <c r="P157" s="144"/>
      <c r="Q157" s="143"/>
      <c r="R157" s="143"/>
      <c r="S157" s="143"/>
      <c r="T157" s="143"/>
      <c r="U157" s="143"/>
      <c r="V157" s="143"/>
      <c r="W157" s="143"/>
      <c r="X157" s="144"/>
      <c r="Y157" s="143"/>
      <c r="Z157" s="143"/>
      <c r="AA157" s="143"/>
      <c r="AB157" s="143"/>
      <c r="AC157" s="143"/>
      <c r="AD157" s="143"/>
      <c r="AE157" s="143"/>
    </row>
    <row r="158" spans="1:3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4"/>
      <c r="L158" s="144"/>
      <c r="M158" s="144"/>
      <c r="N158" s="144"/>
      <c r="O158" s="143"/>
      <c r="P158" s="144"/>
      <c r="Q158" s="143"/>
      <c r="R158" s="143"/>
      <c r="S158" s="143"/>
      <c r="T158" s="143"/>
      <c r="U158" s="143"/>
      <c r="V158" s="143"/>
      <c r="W158" s="143"/>
      <c r="X158" s="144"/>
      <c r="Y158" s="143"/>
      <c r="Z158" s="143"/>
      <c r="AA158" s="143"/>
      <c r="AB158" s="143"/>
      <c r="AC158" s="143"/>
      <c r="AD158" s="143"/>
      <c r="AE158" s="143"/>
    </row>
    <row r="159" spans="1:3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4"/>
      <c r="L159" s="144"/>
      <c r="M159" s="144"/>
      <c r="N159" s="144"/>
      <c r="O159" s="143"/>
      <c r="P159" s="144"/>
      <c r="Q159" s="143"/>
      <c r="R159" s="143"/>
      <c r="S159" s="143"/>
      <c r="T159" s="143"/>
      <c r="U159" s="143"/>
      <c r="V159" s="143"/>
      <c r="W159" s="143"/>
      <c r="X159" s="144"/>
      <c r="Y159" s="143"/>
      <c r="Z159" s="143"/>
      <c r="AA159" s="143"/>
      <c r="AB159" s="143"/>
      <c r="AC159" s="143"/>
      <c r="AD159" s="143"/>
      <c r="AE159" s="143"/>
    </row>
    <row r="160" spans="1:3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4"/>
      <c r="L160" s="144"/>
      <c r="M160" s="144"/>
      <c r="N160" s="144"/>
      <c r="O160" s="143"/>
      <c r="P160" s="144"/>
      <c r="Q160" s="143"/>
      <c r="R160" s="143"/>
      <c r="S160" s="143"/>
      <c r="T160" s="143"/>
      <c r="U160" s="143"/>
      <c r="V160" s="143"/>
      <c r="W160" s="143"/>
      <c r="X160" s="144"/>
      <c r="Y160" s="143"/>
      <c r="Z160" s="143"/>
      <c r="AA160" s="143"/>
      <c r="AB160" s="143"/>
      <c r="AC160" s="143"/>
      <c r="AD160" s="143"/>
      <c r="AE160" s="143"/>
    </row>
    <row r="161" spans="1:3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4"/>
      <c r="L161" s="144"/>
      <c r="M161" s="144"/>
      <c r="N161" s="144"/>
      <c r="O161" s="143"/>
      <c r="P161" s="144"/>
      <c r="Q161" s="143"/>
      <c r="R161" s="143"/>
      <c r="S161" s="143"/>
      <c r="T161" s="143"/>
      <c r="U161" s="143"/>
      <c r="V161" s="143"/>
      <c r="W161" s="143"/>
      <c r="X161" s="144"/>
      <c r="Y161" s="143"/>
      <c r="Z161" s="143"/>
      <c r="AA161" s="143"/>
      <c r="AB161" s="143"/>
      <c r="AC161" s="143"/>
      <c r="AD161" s="143"/>
      <c r="AE161" s="143"/>
    </row>
    <row r="162" spans="1:3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4"/>
      <c r="L162" s="144"/>
      <c r="M162" s="144"/>
      <c r="N162" s="144"/>
      <c r="O162" s="143"/>
      <c r="P162" s="144"/>
      <c r="Q162" s="143"/>
      <c r="R162" s="143"/>
      <c r="S162" s="143"/>
      <c r="T162" s="143"/>
      <c r="U162" s="143"/>
      <c r="V162" s="143"/>
      <c r="W162" s="143"/>
      <c r="X162" s="144"/>
      <c r="Y162" s="143"/>
      <c r="Z162" s="143"/>
      <c r="AA162" s="143"/>
      <c r="AB162" s="143"/>
      <c r="AC162" s="143"/>
      <c r="AD162" s="143"/>
      <c r="AE162" s="143"/>
    </row>
    <row r="163" spans="1:3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4"/>
      <c r="L163" s="143"/>
      <c r="M163" s="144"/>
      <c r="N163" s="143"/>
      <c r="O163" s="143"/>
      <c r="P163" s="144"/>
      <c r="Q163" s="143"/>
      <c r="R163" s="143"/>
      <c r="S163" s="143"/>
      <c r="T163" s="143"/>
      <c r="U163" s="143"/>
      <c r="V163" s="143"/>
      <c r="W163" s="143"/>
      <c r="X163" s="144"/>
      <c r="Y163" s="143"/>
      <c r="Z163" s="143"/>
      <c r="AA163" s="143"/>
      <c r="AB163" s="143"/>
      <c r="AC163" s="143"/>
      <c r="AD163" s="143"/>
      <c r="AE163" s="143"/>
    </row>
    <row r="164" spans="1:3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4"/>
      <c r="L164" s="144"/>
      <c r="M164" s="144"/>
      <c r="N164" s="144"/>
      <c r="O164" s="143"/>
      <c r="P164" s="144"/>
      <c r="Q164" s="143"/>
      <c r="R164" s="143"/>
      <c r="S164" s="143"/>
      <c r="T164" s="143"/>
      <c r="U164" s="143"/>
      <c r="V164" s="143"/>
      <c r="W164" s="143"/>
      <c r="X164" s="144"/>
      <c r="Y164" s="143"/>
      <c r="Z164" s="143"/>
      <c r="AA164" s="143"/>
      <c r="AB164" s="143"/>
      <c r="AC164" s="143"/>
      <c r="AD164" s="143"/>
      <c r="AE164" s="143"/>
    </row>
    <row r="165" spans="1:3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4"/>
      <c r="L165" s="144"/>
      <c r="M165" s="144"/>
      <c r="N165" s="144"/>
      <c r="O165" s="143"/>
      <c r="P165" s="144"/>
      <c r="Q165" s="143"/>
      <c r="R165" s="143"/>
      <c r="S165" s="143"/>
      <c r="T165" s="143"/>
      <c r="U165" s="143"/>
      <c r="V165" s="143"/>
      <c r="W165" s="143"/>
      <c r="X165" s="144"/>
      <c r="Y165" s="143"/>
      <c r="Z165" s="143"/>
      <c r="AA165" s="143"/>
      <c r="AB165" s="143"/>
      <c r="AC165" s="143"/>
      <c r="AD165" s="143"/>
      <c r="AE165" s="143"/>
    </row>
    <row r="166" spans="1:3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4"/>
      <c r="L166" s="144"/>
      <c r="M166" s="144"/>
      <c r="N166" s="144"/>
      <c r="O166" s="143"/>
      <c r="P166" s="144"/>
      <c r="Q166" s="143"/>
      <c r="R166" s="143"/>
      <c r="S166" s="143"/>
      <c r="T166" s="143"/>
      <c r="U166" s="143"/>
      <c r="V166" s="143"/>
      <c r="W166" s="143"/>
      <c r="X166" s="144"/>
      <c r="Y166" s="143"/>
      <c r="Z166" s="143"/>
      <c r="AA166" s="143"/>
      <c r="AB166" s="143"/>
      <c r="AC166" s="143"/>
      <c r="AD166" s="143"/>
      <c r="AE166" s="143"/>
    </row>
    <row r="167" spans="1:3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4"/>
      <c r="L167" s="144"/>
      <c r="M167" s="144"/>
      <c r="N167" s="144"/>
      <c r="O167" s="143"/>
      <c r="P167" s="144"/>
      <c r="Q167" s="143"/>
      <c r="R167" s="143"/>
      <c r="S167" s="143"/>
      <c r="T167" s="143"/>
      <c r="U167" s="143"/>
      <c r="V167" s="143"/>
      <c r="W167" s="143"/>
      <c r="X167" s="144"/>
      <c r="Y167" s="143"/>
      <c r="Z167" s="143"/>
      <c r="AA167" s="143"/>
      <c r="AB167" s="143"/>
      <c r="AC167" s="143"/>
      <c r="AD167" s="143"/>
      <c r="AE167" s="143"/>
    </row>
    <row r="168" spans="1:3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4"/>
      <c r="L168" s="144"/>
      <c r="M168" s="144"/>
      <c r="N168" s="144"/>
      <c r="O168" s="143"/>
      <c r="P168" s="144"/>
      <c r="Q168" s="143"/>
      <c r="R168" s="143"/>
      <c r="S168" s="143"/>
      <c r="T168" s="143"/>
      <c r="U168" s="143"/>
      <c r="V168" s="143"/>
      <c r="W168" s="143"/>
      <c r="X168" s="144"/>
      <c r="Y168" s="143"/>
      <c r="Z168" s="143"/>
      <c r="AA168" s="143"/>
      <c r="AB168" s="143"/>
      <c r="AC168" s="143"/>
      <c r="AD168" s="143"/>
      <c r="AE168" s="143"/>
    </row>
    <row r="169" spans="1:3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4"/>
      <c r="L169" s="144"/>
      <c r="M169" s="144"/>
      <c r="N169" s="144"/>
      <c r="O169" s="143"/>
      <c r="P169" s="144"/>
      <c r="Q169" s="143"/>
      <c r="R169" s="143"/>
      <c r="S169" s="143"/>
      <c r="T169" s="143"/>
      <c r="U169" s="143"/>
      <c r="V169" s="143"/>
      <c r="W169" s="143"/>
      <c r="X169" s="144"/>
      <c r="Y169" s="143"/>
      <c r="Z169" s="143"/>
      <c r="AA169" s="143"/>
      <c r="AB169" s="143"/>
      <c r="AC169" s="143"/>
      <c r="AD169" s="143"/>
      <c r="AE169" s="143"/>
    </row>
    <row r="170" spans="1:3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4"/>
      <c r="L170" s="144"/>
      <c r="M170" s="143"/>
      <c r="N170" s="143"/>
      <c r="O170" s="143"/>
      <c r="P170" s="144"/>
      <c r="Q170" s="143"/>
      <c r="R170" s="143"/>
      <c r="S170" s="143"/>
      <c r="T170" s="143"/>
      <c r="U170" s="143"/>
      <c r="V170" s="143"/>
      <c r="W170" s="143"/>
      <c r="X170" s="144"/>
      <c r="Y170" s="143"/>
      <c r="Z170" s="143"/>
      <c r="AA170" s="143"/>
      <c r="AB170" s="143"/>
      <c r="AC170" s="143"/>
      <c r="AD170" s="143"/>
      <c r="AE170" s="143"/>
    </row>
    <row r="171" spans="1:3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4"/>
      <c r="L171" s="144"/>
      <c r="M171" s="143"/>
      <c r="N171" s="143"/>
      <c r="O171" s="143"/>
      <c r="P171" s="144"/>
      <c r="Q171" s="143"/>
      <c r="R171" s="143"/>
      <c r="S171" s="143"/>
      <c r="T171" s="143"/>
      <c r="U171" s="143"/>
      <c r="V171" s="143"/>
      <c r="W171" s="143"/>
      <c r="X171" s="144"/>
      <c r="Y171" s="143"/>
      <c r="Z171" s="143"/>
      <c r="AA171" s="143"/>
      <c r="AB171" s="143"/>
      <c r="AC171" s="143"/>
      <c r="AD171" s="143"/>
      <c r="AE171" s="143"/>
    </row>
    <row r="172" spans="1:3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4"/>
      <c r="L172" s="144"/>
      <c r="M172" s="143"/>
      <c r="N172" s="143"/>
      <c r="O172" s="143"/>
      <c r="P172" s="144"/>
      <c r="Q172" s="143"/>
      <c r="R172" s="143"/>
      <c r="S172" s="143"/>
      <c r="T172" s="143"/>
      <c r="U172" s="143"/>
      <c r="V172" s="143"/>
      <c r="W172" s="143"/>
      <c r="X172" s="144"/>
      <c r="Y172" s="143"/>
      <c r="Z172" s="143"/>
      <c r="AA172" s="143"/>
      <c r="AB172" s="143"/>
      <c r="AC172" s="143"/>
      <c r="AD172" s="143"/>
      <c r="AE172" s="143"/>
    </row>
    <row r="173" spans="1:3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4"/>
      <c r="L173" s="144"/>
      <c r="M173" s="143"/>
      <c r="N173" s="143"/>
      <c r="O173" s="143"/>
      <c r="P173" s="144"/>
      <c r="Q173" s="143"/>
      <c r="R173" s="143"/>
      <c r="S173" s="143"/>
      <c r="T173" s="143"/>
      <c r="U173" s="143"/>
      <c r="V173" s="143"/>
      <c r="W173" s="143"/>
      <c r="X173" s="144"/>
      <c r="Y173" s="143"/>
      <c r="Z173" s="143"/>
      <c r="AA173" s="143"/>
      <c r="AB173" s="143"/>
      <c r="AC173" s="143"/>
      <c r="AD173" s="143"/>
      <c r="AE173" s="143"/>
    </row>
    <row r="174" spans="1:3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4"/>
      <c r="L174" s="144"/>
      <c r="M174" s="143"/>
      <c r="N174" s="143"/>
      <c r="O174" s="143"/>
      <c r="P174" s="144"/>
      <c r="Q174" s="143"/>
      <c r="R174" s="143"/>
      <c r="S174" s="143"/>
      <c r="T174" s="143"/>
      <c r="U174" s="143"/>
      <c r="V174" s="143"/>
      <c r="W174" s="143"/>
      <c r="X174" s="144"/>
      <c r="Y174" s="143"/>
      <c r="Z174" s="143"/>
      <c r="AA174" s="143"/>
      <c r="AB174" s="143"/>
      <c r="AC174" s="143"/>
      <c r="AD174" s="143"/>
      <c r="AE174" s="143"/>
    </row>
    <row r="175" spans="1:3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4"/>
      <c r="L175" s="144"/>
      <c r="M175" s="143"/>
      <c r="N175" s="143"/>
      <c r="O175" s="143"/>
      <c r="P175" s="144"/>
      <c r="Q175" s="143"/>
      <c r="R175" s="143"/>
      <c r="S175" s="143"/>
      <c r="T175" s="143"/>
      <c r="U175" s="143"/>
      <c r="V175" s="143"/>
      <c r="W175" s="143"/>
      <c r="X175" s="144"/>
      <c r="Y175" s="143"/>
      <c r="Z175" s="143"/>
      <c r="AA175" s="143"/>
      <c r="AB175" s="143"/>
      <c r="AC175" s="143"/>
      <c r="AD175" s="143"/>
      <c r="AE175" s="143"/>
    </row>
    <row r="176" spans="1:3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4"/>
      <c r="L176" s="144"/>
      <c r="M176" s="144"/>
      <c r="N176" s="144"/>
      <c r="O176" s="143"/>
      <c r="P176" s="144"/>
      <c r="Q176" s="143"/>
      <c r="R176" s="143"/>
      <c r="S176" s="143"/>
      <c r="T176" s="143"/>
      <c r="U176" s="143"/>
      <c r="V176" s="143"/>
      <c r="W176" s="143"/>
      <c r="X176" s="144"/>
      <c r="Y176" s="143"/>
      <c r="Z176" s="143"/>
      <c r="AA176" s="143"/>
      <c r="AB176" s="143"/>
      <c r="AC176" s="143"/>
      <c r="AD176" s="143"/>
      <c r="AE176" s="143"/>
    </row>
    <row r="177" spans="1:3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4"/>
      <c r="L177" s="144"/>
      <c r="M177" s="144"/>
      <c r="N177" s="144"/>
      <c r="O177" s="143"/>
      <c r="P177" s="144"/>
      <c r="Q177" s="143"/>
      <c r="R177" s="143"/>
      <c r="S177" s="143"/>
      <c r="T177" s="143"/>
      <c r="U177" s="143"/>
      <c r="V177" s="143"/>
      <c r="W177" s="143"/>
      <c r="X177" s="144"/>
      <c r="Y177" s="143"/>
      <c r="Z177" s="143"/>
      <c r="AA177" s="143"/>
      <c r="AB177" s="143"/>
      <c r="AC177" s="143"/>
      <c r="AD177" s="143"/>
      <c r="AE177" s="143"/>
    </row>
    <row r="178" spans="1:3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4"/>
      <c r="L178" s="144"/>
      <c r="M178" s="143"/>
      <c r="N178" s="143"/>
      <c r="O178" s="143"/>
      <c r="P178" s="144"/>
      <c r="Q178" s="143"/>
      <c r="R178" s="143"/>
      <c r="S178" s="143"/>
      <c r="T178" s="143"/>
      <c r="U178" s="143"/>
      <c r="V178" s="143"/>
      <c r="W178" s="143"/>
      <c r="X178" s="144"/>
      <c r="Y178" s="143"/>
      <c r="Z178" s="143"/>
      <c r="AA178" s="143"/>
      <c r="AB178" s="143"/>
      <c r="AC178" s="143"/>
      <c r="AD178" s="143"/>
      <c r="AE178" s="143"/>
    </row>
    <row r="179" spans="1:3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4"/>
      <c r="L179" s="144"/>
      <c r="M179" s="144"/>
      <c r="N179" s="144"/>
      <c r="O179" s="143"/>
      <c r="P179" s="144"/>
      <c r="Q179" s="143"/>
      <c r="R179" s="143"/>
      <c r="S179" s="143"/>
      <c r="T179" s="143"/>
      <c r="U179" s="143"/>
      <c r="V179" s="143"/>
      <c r="W179" s="143"/>
      <c r="X179" s="144"/>
      <c r="Y179" s="143"/>
      <c r="Z179" s="143"/>
      <c r="AA179" s="143"/>
      <c r="AB179" s="143"/>
      <c r="AC179" s="143"/>
      <c r="AD179" s="143"/>
      <c r="AE179" s="143"/>
    </row>
    <row r="180" spans="1:3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4"/>
      <c r="L180" s="144"/>
      <c r="M180" s="144"/>
      <c r="N180" s="144"/>
      <c r="O180" s="143"/>
      <c r="P180" s="144"/>
      <c r="Q180" s="143"/>
      <c r="R180" s="143"/>
      <c r="S180" s="143"/>
      <c r="T180" s="143"/>
      <c r="U180" s="143"/>
      <c r="V180" s="143"/>
      <c r="W180" s="143"/>
      <c r="X180" s="144"/>
      <c r="Y180" s="143"/>
      <c r="Z180" s="143"/>
      <c r="AA180" s="143"/>
      <c r="AB180" s="143"/>
      <c r="AC180" s="143"/>
      <c r="AD180" s="143"/>
      <c r="AE180" s="143"/>
    </row>
    <row r="181" spans="1:3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4"/>
      <c r="L181" s="144"/>
      <c r="M181" s="144"/>
      <c r="N181" s="144"/>
      <c r="O181" s="143"/>
      <c r="P181" s="144"/>
      <c r="Q181" s="143"/>
      <c r="R181" s="143"/>
      <c r="S181" s="143"/>
      <c r="T181" s="143"/>
      <c r="U181" s="143"/>
      <c r="V181" s="143"/>
      <c r="W181" s="143"/>
      <c r="X181" s="144"/>
      <c r="Y181" s="143"/>
      <c r="Z181" s="143"/>
      <c r="AA181" s="143"/>
      <c r="AB181" s="143"/>
      <c r="AC181" s="143"/>
      <c r="AD181" s="143"/>
      <c r="AE181" s="143"/>
    </row>
    <row r="182" spans="1:3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4"/>
      <c r="L182" s="144"/>
      <c r="M182" s="144"/>
      <c r="N182" s="144"/>
      <c r="O182" s="143"/>
      <c r="P182" s="144"/>
      <c r="Q182" s="143"/>
      <c r="R182" s="143"/>
      <c r="S182" s="143"/>
      <c r="T182" s="143"/>
      <c r="U182" s="143"/>
      <c r="V182" s="143"/>
      <c r="W182" s="143"/>
      <c r="X182" s="144"/>
      <c r="Y182" s="143"/>
      <c r="Z182" s="143"/>
      <c r="AA182" s="143"/>
      <c r="AB182" s="143"/>
      <c r="AC182" s="143"/>
      <c r="AD182" s="143"/>
      <c r="AE182" s="143"/>
    </row>
    <row r="183" spans="1:3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4"/>
      <c r="L183" s="144"/>
      <c r="M183" s="144"/>
      <c r="N183" s="144"/>
      <c r="O183" s="143"/>
      <c r="P183" s="144"/>
      <c r="Q183" s="143"/>
      <c r="R183" s="143"/>
      <c r="S183" s="143"/>
      <c r="T183" s="143"/>
      <c r="U183" s="143"/>
      <c r="V183" s="143"/>
      <c r="W183" s="143"/>
      <c r="X183" s="144"/>
      <c r="Y183" s="143"/>
      <c r="Z183" s="143"/>
      <c r="AA183" s="143"/>
      <c r="AB183" s="143"/>
      <c r="AC183" s="143"/>
      <c r="AD183" s="143"/>
      <c r="AE183" s="143"/>
    </row>
    <row r="184" spans="1:3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4"/>
      <c r="L184" s="144"/>
      <c r="M184" s="144"/>
      <c r="N184" s="144"/>
      <c r="O184" s="143"/>
      <c r="P184" s="144"/>
      <c r="Q184" s="143"/>
      <c r="R184" s="143"/>
      <c r="S184" s="143"/>
      <c r="T184" s="143"/>
      <c r="U184" s="143"/>
      <c r="V184" s="143"/>
      <c r="W184" s="143"/>
      <c r="X184" s="144"/>
      <c r="Y184" s="143"/>
      <c r="Z184" s="143"/>
      <c r="AA184" s="143"/>
      <c r="AB184" s="143"/>
      <c r="AC184" s="143"/>
      <c r="AD184" s="143"/>
      <c r="AE184" s="143"/>
    </row>
    <row r="185" spans="1:3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4"/>
      <c r="L185" s="144"/>
      <c r="M185" s="144"/>
      <c r="N185" s="144"/>
      <c r="O185" s="143"/>
      <c r="P185" s="144"/>
      <c r="Q185" s="143"/>
      <c r="R185" s="143"/>
      <c r="S185" s="143"/>
      <c r="T185" s="143"/>
      <c r="U185" s="143"/>
      <c r="V185" s="143"/>
      <c r="W185" s="143"/>
      <c r="X185" s="144"/>
      <c r="Y185" s="143"/>
      <c r="Z185" s="143"/>
      <c r="AA185" s="143"/>
      <c r="AB185" s="143"/>
      <c r="AC185" s="143"/>
      <c r="AD185" s="143"/>
      <c r="AE185" s="143"/>
    </row>
    <row r="186" spans="1:3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4"/>
      <c r="L186" s="144"/>
      <c r="M186" s="144"/>
      <c r="N186" s="144"/>
      <c r="O186" s="143"/>
      <c r="P186" s="144"/>
      <c r="Q186" s="143"/>
      <c r="R186" s="143"/>
      <c r="S186" s="143"/>
      <c r="T186" s="143"/>
      <c r="U186" s="143"/>
      <c r="V186" s="143"/>
      <c r="W186" s="143"/>
      <c r="X186" s="144"/>
      <c r="Y186" s="143"/>
      <c r="Z186" s="143"/>
      <c r="AA186" s="143"/>
      <c r="AB186" s="143"/>
      <c r="AC186" s="143"/>
      <c r="AD186" s="143"/>
      <c r="AE186" s="143"/>
    </row>
    <row r="187" spans="1:3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4"/>
      <c r="L187" s="144"/>
      <c r="M187" s="144"/>
      <c r="N187" s="144"/>
      <c r="O187" s="143"/>
      <c r="P187" s="144"/>
      <c r="Q187" s="143"/>
      <c r="R187" s="143"/>
      <c r="S187" s="143"/>
      <c r="T187" s="143"/>
      <c r="U187" s="143"/>
      <c r="V187" s="143"/>
      <c r="W187" s="143"/>
      <c r="X187" s="144"/>
      <c r="Y187" s="143"/>
      <c r="Z187" s="143"/>
      <c r="AA187" s="143"/>
      <c r="AB187" s="143"/>
      <c r="AC187" s="143"/>
      <c r="AD187" s="143"/>
      <c r="AE187" s="143"/>
    </row>
    <row r="188" spans="1:3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4"/>
      <c r="L188" s="144"/>
      <c r="M188" s="144"/>
      <c r="N188" s="144"/>
      <c r="O188" s="143"/>
      <c r="P188" s="144"/>
      <c r="Q188" s="143"/>
      <c r="R188" s="143"/>
      <c r="S188" s="143"/>
      <c r="T188" s="143"/>
      <c r="U188" s="143"/>
      <c r="V188" s="143"/>
      <c r="W188" s="143"/>
      <c r="X188" s="144"/>
      <c r="Y188" s="143"/>
      <c r="Z188" s="143"/>
      <c r="AA188" s="143"/>
      <c r="AB188" s="143"/>
      <c r="AC188" s="143"/>
      <c r="AD188" s="143"/>
      <c r="AE188" s="143"/>
    </row>
    <row r="189" spans="1:3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4"/>
      <c r="L189" s="144"/>
      <c r="M189" s="144"/>
      <c r="N189" s="144"/>
      <c r="O189" s="143"/>
      <c r="P189" s="144"/>
      <c r="Q189" s="143"/>
      <c r="R189" s="143"/>
      <c r="S189" s="143"/>
      <c r="T189" s="143"/>
      <c r="U189" s="143"/>
      <c r="V189" s="143"/>
      <c r="W189" s="143"/>
      <c r="X189" s="144"/>
      <c r="Y189" s="143"/>
      <c r="Z189" s="143"/>
      <c r="AA189" s="143"/>
      <c r="AB189" s="143"/>
      <c r="AC189" s="143"/>
      <c r="AD189" s="143"/>
      <c r="AE189" s="143"/>
    </row>
    <row r="190" spans="1:3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4"/>
      <c r="L190" s="144"/>
      <c r="M190" s="144"/>
      <c r="N190" s="144"/>
      <c r="O190" s="143"/>
      <c r="P190" s="144"/>
      <c r="Q190" s="143"/>
      <c r="R190" s="143"/>
      <c r="S190" s="143"/>
      <c r="T190" s="143"/>
      <c r="U190" s="143"/>
      <c r="V190" s="143"/>
      <c r="W190" s="143"/>
      <c r="X190" s="144"/>
      <c r="Y190" s="143"/>
      <c r="Z190" s="143"/>
      <c r="AA190" s="143"/>
      <c r="AB190" s="143"/>
      <c r="AC190" s="143"/>
      <c r="AD190" s="143"/>
      <c r="AE190" s="143"/>
    </row>
    <row r="191" spans="1:3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4"/>
      <c r="L191" s="144"/>
      <c r="M191" s="144"/>
      <c r="N191" s="144"/>
      <c r="O191" s="143"/>
      <c r="P191" s="144"/>
      <c r="Q191" s="143"/>
      <c r="R191" s="143"/>
      <c r="S191" s="143"/>
      <c r="T191" s="143"/>
      <c r="U191" s="143"/>
      <c r="V191" s="143"/>
      <c r="W191" s="143"/>
      <c r="X191" s="144"/>
      <c r="Y191" s="143"/>
      <c r="Z191" s="143"/>
      <c r="AA191" s="143"/>
      <c r="AB191" s="143"/>
      <c r="AC191" s="143"/>
      <c r="AD191" s="143"/>
      <c r="AE191" s="143"/>
    </row>
    <row r="192" spans="1:3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4"/>
      <c r="L192" s="144"/>
      <c r="M192" s="144"/>
      <c r="N192" s="143"/>
      <c r="O192" s="143"/>
      <c r="P192" s="144"/>
      <c r="Q192" s="143"/>
      <c r="R192" s="143"/>
      <c r="S192" s="143"/>
      <c r="T192" s="143"/>
      <c r="U192" s="143"/>
      <c r="V192" s="143"/>
      <c r="W192" s="143"/>
      <c r="X192" s="144"/>
      <c r="Y192" s="143"/>
      <c r="Z192" s="143"/>
      <c r="AA192" s="143"/>
      <c r="AB192" s="143"/>
      <c r="AC192" s="143"/>
      <c r="AD192" s="143"/>
      <c r="AE192" s="143"/>
    </row>
    <row r="193" spans="1:3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4"/>
      <c r="L193" s="144"/>
      <c r="M193" s="144"/>
      <c r="N193" s="143"/>
      <c r="O193" s="143"/>
      <c r="P193" s="144"/>
      <c r="Q193" s="143"/>
      <c r="R193" s="143"/>
      <c r="S193" s="143"/>
      <c r="T193" s="143"/>
      <c r="U193" s="143"/>
      <c r="V193" s="143"/>
      <c r="W193" s="143"/>
      <c r="X193" s="144"/>
      <c r="Y193" s="143"/>
      <c r="Z193" s="143"/>
      <c r="AA193" s="143"/>
      <c r="AB193" s="143"/>
      <c r="AC193" s="143"/>
      <c r="AD193" s="143"/>
      <c r="AE193" s="143"/>
    </row>
    <row r="194" spans="1:3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4"/>
      <c r="L194" s="144"/>
      <c r="M194" s="144"/>
      <c r="N194" s="143"/>
      <c r="O194" s="143"/>
      <c r="P194" s="144"/>
      <c r="Q194" s="143"/>
      <c r="R194" s="143"/>
      <c r="S194" s="143"/>
      <c r="T194" s="143"/>
      <c r="U194" s="143"/>
      <c r="V194" s="143"/>
      <c r="W194" s="143"/>
      <c r="X194" s="144"/>
      <c r="Y194" s="143"/>
      <c r="Z194" s="143"/>
      <c r="AA194" s="143"/>
      <c r="AB194" s="143"/>
      <c r="AC194" s="143"/>
      <c r="AD194" s="143"/>
      <c r="AE194" s="143"/>
    </row>
    <row r="195" spans="1:3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4"/>
      <c r="L195" s="144"/>
      <c r="M195" s="144"/>
      <c r="N195" s="143"/>
      <c r="O195" s="143"/>
      <c r="P195" s="144"/>
      <c r="Q195" s="143"/>
      <c r="R195" s="143"/>
      <c r="S195" s="143"/>
      <c r="T195" s="143"/>
      <c r="U195" s="143"/>
      <c r="V195" s="143"/>
      <c r="W195" s="143"/>
      <c r="X195" s="144"/>
      <c r="Y195" s="143"/>
      <c r="Z195" s="143"/>
      <c r="AA195" s="143"/>
      <c r="AB195" s="143"/>
      <c r="AC195" s="143"/>
      <c r="AD195" s="143"/>
      <c r="AE195" s="143"/>
    </row>
    <row r="196" spans="1:3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4"/>
      <c r="L196" s="144"/>
      <c r="M196" s="144"/>
      <c r="N196" s="143"/>
      <c r="O196" s="143"/>
      <c r="P196" s="144"/>
      <c r="Q196" s="143"/>
      <c r="R196" s="143"/>
      <c r="S196" s="143"/>
      <c r="T196" s="143"/>
      <c r="U196" s="143"/>
      <c r="V196" s="143"/>
      <c r="W196" s="143"/>
      <c r="X196" s="144"/>
      <c r="Y196" s="143"/>
      <c r="Z196" s="143"/>
      <c r="AA196" s="143"/>
      <c r="AB196" s="143"/>
      <c r="AC196" s="143"/>
      <c r="AD196" s="143"/>
      <c r="AE196" s="143"/>
    </row>
    <row r="197" spans="1:3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4"/>
      <c r="L197" s="144"/>
      <c r="M197" s="144"/>
      <c r="N197" s="143"/>
      <c r="O197" s="143"/>
      <c r="P197" s="144"/>
      <c r="Q197" s="143"/>
      <c r="R197" s="143"/>
      <c r="S197" s="143"/>
      <c r="T197" s="143"/>
      <c r="U197" s="143"/>
      <c r="V197" s="143"/>
      <c r="W197" s="143"/>
      <c r="X197" s="144"/>
      <c r="Y197" s="143"/>
      <c r="Z197" s="143"/>
      <c r="AA197" s="143"/>
      <c r="AB197" s="143"/>
      <c r="AC197" s="143"/>
      <c r="AD197" s="143"/>
      <c r="AE197" s="143"/>
    </row>
    <row r="198" spans="1:3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4"/>
      <c r="L198" s="144"/>
      <c r="M198" s="144"/>
      <c r="N198" s="143"/>
      <c r="O198" s="143"/>
      <c r="P198" s="144"/>
      <c r="Q198" s="143"/>
      <c r="R198" s="143"/>
      <c r="S198" s="143"/>
      <c r="T198" s="143"/>
      <c r="U198" s="143"/>
      <c r="V198" s="143"/>
      <c r="W198" s="143"/>
      <c r="X198" s="144"/>
      <c r="Y198" s="143"/>
      <c r="Z198" s="143"/>
      <c r="AA198" s="143"/>
      <c r="AB198" s="143"/>
      <c r="AC198" s="143"/>
      <c r="AD198" s="143"/>
      <c r="AE198" s="143"/>
    </row>
    <row r="199" spans="1:3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4"/>
      <c r="L199" s="144"/>
      <c r="M199" s="144"/>
      <c r="N199" s="143"/>
      <c r="O199" s="143"/>
      <c r="P199" s="144"/>
      <c r="Q199" s="143"/>
      <c r="R199" s="143"/>
      <c r="S199" s="143"/>
      <c r="T199" s="143"/>
      <c r="U199" s="143"/>
      <c r="V199" s="143"/>
      <c r="W199" s="143"/>
      <c r="X199" s="144"/>
      <c r="Y199" s="143"/>
      <c r="Z199" s="143"/>
      <c r="AA199" s="143"/>
      <c r="AB199" s="143"/>
      <c r="AC199" s="143"/>
      <c r="AD199" s="143"/>
      <c r="AE199" s="143"/>
    </row>
    <row r="200" spans="1:3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4"/>
      <c r="L200" s="144"/>
      <c r="M200" s="144"/>
      <c r="N200" s="143"/>
      <c r="O200" s="143"/>
      <c r="P200" s="144"/>
      <c r="Q200" s="143"/>
      <c r="R200" s="143"/>
      <c r="S200" s="143"/>
      <c r="T200" s="143"/>
      <c r="U200" s="143"/>
      <c r="V200" s="143"/>
      <c r="W200" s="143"/>
      <c r="X200" s="144"/>
      <c r="Y200" s="143"/>
      <c r="Z200" s="143"/>
      <c r="AA200" s="143"/>
      <c r="AB200" s="143"/>
      <c r="AC200" s="143"/>
      <c r="AD200" s="143"/>
      <c r="AE200" s="143"/>
    </row>
    <row r="201" spans="1:3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4"/>
      <c r="L201" s="144"/>
      <c r="M201" s="144"/>
      <c r="N201" s="143"/>
      <c r="O201" s="143"/>
      <c r="P201" s="144"/>
      <c r="Q201" s="143"/>
      <c r="R201" s="143"/>
      <c r="S201" s="143"/>
      <c r="T201" s="143"/>
      <c r="U201" s="143"/>
      <c r="V201" s="143"/>
      <c r="W201" s="143"/>
      <c r="X201" s="144"/>
      <c r="Y201" s="143"/>
      <c r="Z201" s="143"/>
      <c r="AA201" s="143"/>
      <c r="AB201" s="143"/>
      <c r="AC201" s="143"/>
      <c r="AD201" s="143"/>
      <c r="AE201" s="143"/>
    </row>
    <row r="202" spans="1:3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4"/>
      <c r="L202" s="144"/>
      <c r="M202" s="144"/>
      <c r="N202" s="143"/>
      <c r="O202" s="143"/>
      <c r="P202" s="144"/>
      <c r="Q202" s="143"/>
      <c r="R202" s="143"/>
      <c r="S202" s="143"/>
      <c r="T202" s="143"/>
      <c r="U202" s="143"/>
      <c r="V202" s="143"/>
      <c r="W202" s="143"/>
      <c r="X202" s="144"/>
      <c r="Y202" s="143"/>
      <c r="Z202" s="143"/>
      <c r="AA202" s="143"/>
      <c r="AB202" s="143"/>
      <c r="AC202" s="143"/>
      <c r="AD202" s="143"/>
      <c r="AE202" s="143"/>
    </row>
    <row r="203" spans="1:3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4"/>
      <c r="L203" s="144"/>
      <c r="M203" s="144"/>
      <c r="N203" s="143"/>
      <c r="O203" s="143"/>
      <c r="P203" s="144"/>
      <c r="Q203" s="143"/>
      <c r="R203" s="143"/>
      <c r="S203" s="143"/>
      <c r="T203" s="143"/>
      <c r="U203" s="143"/>
      <c r="V203" s="143"/>
      <c r="W203" s="143"/>
      <c r="X203" s="144"/>
      <c r="Y203" s="143"/>
      <c r="Z203" s="143"/>
      <c r="AA203" s="143"/>
      <c r="AB203" s="143"/>
      <c r="AC203" s="143"/>
      <c r="AD203" s="143"/>
      <c r="AE203" s="143"/>
    </row>
    <row r="204" spans="1:3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4"/>
      <c r="L204" s="144"/>
      <c r="M204" s="144"/>
      <c r="N204" s="143"/>
      <c r="O204" s="143"/>
      <c r="P204" s="144"/>
      <c r="Q204" s="143"/>
      <c r="R204" s="143"/>
      <c r="S204" s="143"/>
      <c r="T204" s="143"/>
      <c r="U204" s="143"/>
      <c r="V204" s="143"/>
      <c r="W204" s="143"/>
      <c r="X204" s="144"/>
      <c r="Y204" s="143"/>
      <c r="Z204" s="143"/>
      <c r="AA204" s="143"/>
      <c r="AB204" s="143"/>
      <c r="AC204" s="143"/>
      <c r="AD204" s="143"/>
      <c r="AE204" s="143"/>
    </row>
    <row r="205" spans="1:3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4"/>
      <c r="L205" s="144"/>
      <c r="M205" s="144"/>
      <c r="N205" s="143"/>
      <c r="O205" s="143"/>
      <c r="P205" s="144"/>
      <c r="Q205" s="143"/>
      <c r="R205" s="143"/>
      <c r="S205" s="143"/>
      <c r="T205" s="143"/>
      <c r="U205" s="143"/>
      <c r="V205" s="143"/>
      <c r="W205" s="143"/>
      <c r="X205" s="144"/>
      <c r="Y205" s="143"/>
      <c r="Z205" s="143"/>
      <c r="AA205" s="143"/>
      <c r="AB205" s="143"/>
      <c r="AC205" s="143"/>
      <c r="AD205" s="143"/>
      <c r="AE205" s="143"/>
    </row>
    <row r="206" spans="1:3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4"/>
      <c r="L206" s="144"/>
      <c r="M206" s="144"/>
      <c r="N206" s="143"/>
      <c r="O206" s="143"/>
      <c r="P206" s="144"/>
      <c r="Q206" s="143"/>
      <c r="R206" s="143"/>
      <c r="S206" s="143"/>
      <c r="T206" s="143"/>
      <c r="U206" s="143"/>
      <c r="V206" s="143"/>
      <c r="W206" s="143"/>
      <c r="X206" s="144"/>
      <c r="Y206" s="143"/>
      <c r="Z206" s="143"/>
      <c r="AA206" s="143"/>
      <c r="AB206" s="143"/>
      <c r="AC206" s="143"/>
      <c r="AD206" s="143"/>
      <c r="AE206" s="143"/>
    </row>
    <row r="207" spans="1:3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4"/>
      <c r="L207" s="144"/>
      <c r="M207" s="144"/>
      <c r="N207" s="143"/>
      <c r="O207" s="143"/>
      <c r="P207" s="144"/>
      <c r="Q207" s="143"/>
      <c r="R207" s="143"/>
      <c r="S207" s="143"/>
      <c r="T207" s="143"/>
      <c r="U207" s="143"/>
      <c r="V207" s="143"/>
      <c r="W207" s="143"/>
      <c r="X207" s="144"/>
      <c r="Y207" s="143"/>
      <c r="Z207" s="143"/>
      <c r="AA207" s="143"/>
      <c r="AB207" s="143"/>
      <c r="AC207" s="143"/>
      <c r="AD207" s="143"/>
      <c r="AE207" s="143"/>
    </row>
    <row r="208" spans="1:3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4"/>
      <c r="L208" s="144"/>
      <c r="M208" s="144"/>
      <c r="N208" s="143"/>
      <c r="O208" s="143"/>
      <c r="P208" s="144"/>
      <c r="Q208" s="143"/>
      <c r="R208" s="143"/>
      <c r="S208" s="143"/>
      <c r="T208" s="143"/>
      <c r="U208" s="143"/>
      <c r="V208" s="143"/>
      <c r="W208" s="143"/>
      <c r="X208" s="144"/>
      <c r="Y208" s="143"/>
      <c r="Z208" s="143"/>
      <c r="AA208" s="143"/>
      <c r="AB208" s="143"/>
      <c r="AC208" s="143"/>
      <c r="AD208" s="143"/>
      <c r="AE208" s="143"/>
    </row>
    <row r="209" spans="1:3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4"/>
      <c r="L209" s="144"/>
      <c r="M209" s="144"/>
      <c r="N209" s="143"/>
      <c r="O209" s="143"/>
      <c r="P209" s="144"/>
      <c r="Q209" s="143"/>
      <c r="R209" s="143"/>
      <c r="S209" s="143"/>
      <c r="T209" s="143"/>
      <c r="U209" s="143"/>
      <c r="V209" s="143"/>
      <c r="W209" s="143"/>
      <c r="X209" s="144"/>
      <c r="Y209" s="143"/>
      <c r="Z209" s="143"/>
      <c r="AA209" s="143"/>
      <c r="AB209" s="143"/>
      <c r="AC209" s="143"/>
      <c r="AD209" s="143"/>
      <c r="AE209" s="143"/>
    </row>
    <row r="210" spans="1:3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4"/>
      <c r="L210" s="144"/>
      <c r="M210" s="144"/>
      <c r="N210" s="143"/>
      <c r="O210" s="143"/>
      <c r="P210" s="144"/>
      <c r="Q210" s="143"/>
      <c r="R210" s="143"/>
      <c r="S210" s="143"/>
      <c r="T210" s="143"/>
      <c r="U210" s="143"/>
      <c r="V210" s="143"/>
      <c r="W210" s="143"/>
      <c r="X210" s="144"/>
      <c r="Y210" s="143"/>
      <c r="Z210" s="143"/>
      <c r="AA210" s="143"/>
      <c r="AB210" s="143"/>
      <c r="AC210" s="143"/>
      <c r="AD210" s="143"/>
      <c r="AE210" s="143"/>
    </row>
    <row r="211" spans="1:3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4"/>
      <c r="L211" s="144"/>
      <c r="M211" s="144"/>
      <c r="N211" s="143"/>
      <c r="O211" s="143"/>
      <c r="P211" s="144"/>
      <c r="Q211" s="143"/>
      <c r="R211" s="143"/>
      <c r="S211" s="143"/>
      <c r="T211" s="143"/>
      <c r="U211" s="143"/>
      <c r="V211" s="143"/>
      <c r="W211" s="143"/>
      <c r="X211" s="144"/>
      <c r="Y211" s="143"/>
      <c r="Z211" s="143"/>
      <c r="AA211" s="143"/>
      <c r="AB211" s="143"/>
      <c r="AC211" s="143"/>
      <c r="AD211" s="143"/>
      <c r="AE211" s="143"/>
    </row>
    <row r="212" spans="1:3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4"/>
      <c r="L212" s="144"/>
      <c r="M212" s="144"/>
      <c r="N212" s="143"/>
      <c r="O212" s="143"/>
      <c r="P212" s="144"/>
      <c r="Q212" s="143"/>
      <c r="R212" s="143"/>
      <c r="S212" s="143"/>
      <c r="T212" s="143"/>
      <c r="U212" s="143"/>
      <c r="V212" s="143"/>
      <c r="W212" s="143"/>
      <c r="X212" s="144"/>
      <c r="Y212" s="143"/>
      <c r="Z212" s="143"/>
      <c r="AA212" s="143"/>
      <c r="AB212" s="143"/>
      <c r="AC212" s="143"/>
      <c r="AD212" s="143"/>
      <c r="AE212" s="143"/>
    </row>
    <row r="213" spans="1:3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4"/>
      <c r="L213" s="144"/>
      <c r="M213" s="144"/>
      <c r="N213" s="143"/>
      <c r="O213" s="143"/>
      <c r="P213" s="144"/>
      <c r="Q213" s="143"/>
      <c r="R213" s="143"/>
      <c r="S213" s="143"/>
      <c r="T213" s="143"/>
      <c r="U213" s="143"/>
      <c r="V213" s="143"/>
      <c r="W213" s="143"/>
      <c r="X213" s="144"/>
      <c r="Y213" s="143"/>
      <c r="Z213" s="143"/>
      <c r="AA213" s="143"/>
      <c r="AB213" s="143"/>
      <c r="AC213" s="143"/>
      <c r="AD213" s="143"/>
      <c r="AE213" s="143"/>
    </row>
    <row r="214" spans="1:3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4"/>
      <c r="L214" s="144"/>
      <c r="M214" s="144"/>
      <c r="N214" s="143"/>
      <c r="O214" s="143"/>
      <c r="P214" s="144"/>
      <c r="Q214" s="143"/>
      <c r="R214" s="143"/>
      <c r="S214" s="143"/>
      <c r="T214" s="143"/>
      <c r="U214" s="143"/>
      <c r="V214" s="143"/>
      <c r="W214" s="143"/>
      <c r="X214" s="144"/>
      <c r="Y214" s="143"/>
      <c r="Z214" s="143"/>
      <c r="AA214" s="143"/>
      <c r="AB214" s="143"/>
      <c r="AC214" s="143"/>
      <c r="AD214" s="143"/>
      <c r="AE214" s="143"/>
    </row>
    <row r="215" spans="1:3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4"/>
      <c r="L215" s="144"/>
      <c r="M215" s="144"/>
      <c r="N215" s="143"/>
      <c r="O215" s="143"/>
      <c r="P215" s="144"/>
      <c r="Q215" s="143"/>
      <c r="R215" s="143"/>
      <c r="S215" s="143"/>
      <c r="T215" s="143"/>
      <c r="U215" s="143"/>
      <c r="V215" s="143"/>
      <c r="W215" s="143"/>
      <c r="X215" s="144"/>
      <c r="Y215" s="143"/>
      <c r="Z215" s="143"/>
      <c r="AA215" s="143"/>
      <c r="AB215" s="143"/>
      <c r="AC215" s="143"/>
      <c r="AD215" s="143"/>
      <c r="AE215" s="143"/>
    </row>
    <row r="216" spans="1:3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4"/>
      <c r="L216" s="144"/>
      <c r="M216" s="144"/>
      <c r="N216" s="143"/>
      <c r="O216" s="143"/>
      <c r="P216" s="144"/>
      <c r="Q216" s="143"/>
      <c r="R216" s="143"/>
      <c r="S216" s="143"/>
      <c r="T216" s="143"/>
      <c r="U216" s="143"/>
      <c r="V216" s="143"/>
      <c r="W216" s="143"/>
      <c r="X216" s="144"/>
      <c r="Y216" s="143"/>
      <c r="Z216" s="143"/>
      <c r="AA216" s="143"/>
      <c r="AB216" s="143"/>
      <c r="AC216" s="143"/>
      <c r="AD216" s="143"/>
      <c r="AE216" s="143"/>
    </row>
    <row r="217" spans="1:3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4"/>
      <c r="L217" s="144"/>
      <c r="M217" s="144"/>
      <c r="N217" s="143"/>
      <c r="O217" s="143"/>
      <c r="P217" s="144"/>
      <c r="Q217" s="143"/>
      <c r="R217" s="143"/>
      <c r="S217" s="143"/>
      <c r="T217" s="143"/>
      <c r="U217" s="143"/>
      <c r="V217" s="143"/>
      <c r="W217" s="143"/>
      <c r="X217" s="144"/>
      <c r="Y217" s="143"/>
      <c r="Z217" s="143"/>
      <c r="AA217" s="143"/>
      <c r="AB217" s="143"/>
      <c r="AC217" s="143"/>
      <c r="AD217" s="143"/>
      <c r="AE217" s="143"/>
    </row>
    <row r="218" spans="1:3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4"/>
      <c r="L218" s="144"/>
      <c r="M218" s="144"/>
      <c r="N218" s="143"/>
      <c r="O218" s="143"/>
      <c r="P218" s="144"/>
      <c r="Q218" s="143"/>
      <c r="R218" s="143"/>
      <c r="S218" s="143"/>
      <c r="T218" s="143"/>
      <c r="U218" s="143"/>
      <c r="V218" s="143"/>
      <c r="W218" s="143"/>
      <c r="X218" s="144"/>
      <c r="Y218" s="143"/>
      <c r="Z218" s="143"/>
      <c r="AA218" s="143"/>
      <c r="AB218" s="143"/>
      <c r="AC218" s="143"/>
      <c r="AD218" s="143"/>
      <c r="AE218" s="143"/>
    </row>
    <row r="219" spans="1:3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4"/>
      <c r="L219" s="144"/>
      <c r="M219" s="144"/>
      <c r="N219" s="143"/>
      <c r="O219" s="143"/>
      <c r="P219" s="144"/>
      <c r="Q219" s="143"/>
      <c r="R219" s="143"/>
      <c r="S219" s="143"/>
      <c r="T219" s="143"/>
      <c r="U219" s="143"/>
      <c r="V219" s="143"/>
      <c r="W219" s="143"/>
      <c r="X219" s="144"/>
      <c r="Y219" s="143"/>
      <c r="Z219" s="143"/>
      <c r="AA219" s="143"/>
      <c r="AB219" s="143"/>
      <c r="AC219" s="143"/>
      <c r="AD219" s="143"/>
      <c r="AE219" s="143"/>
    </row>
    <row r="220" spans="1:3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4"/>
      <c r="L220" s="144"/>
      <c r="M220" s="144"/>
      <c r="N220" s="143"/>
      <c r="O220" s="143"/>
      <c r="P220" s="144"/>
      <c r="Q220" s="143"/>
      <c r="R220" s="143"/>
      <c r="S220" s="143"/>
      <c r="T220" s="143"/>
      <c r="U220" s="143"/>
      <c r="V220" s="143"/>
      <c r="W220" s="143"/>
      <c r="X220" s="144"/>
      <c r="Y220" s="143"/>
      <c r="Z220" s="143"/>
      <c r="AA220" s="143"/>
      <c r="AB220" s="143"/>
      <c r="AC220" s="143"/>
      <c r="AD220" s="143"/>
      <c r="AE220" s="143"/>
    </row>
    <row r="221" spans="1:3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4"/>
      <c r="L221" s="144"/>
      <c r="M221" s="144"/>
      <c r="N221" s="144"/>
      <c r="O221" s="143"/>
      <c r="P221" s="144"/>
      <c r="Q221" s="143"/>
      <c r="R221" s="143"/>
      <c r="S221" s="143"/>
      <c r="T221" s="143"/>
      <c r="U221" s="143"/>
      <c r="V221" s="143"/>
      <c r="W221" s="143"/>
      <c r="X221" s="144"/>
      <c r="Y221" s="143"/>
      <c r="Z221" s="143"/>
      <c r="AA221" s="143"/>
      <c r="AB221" s="143"/>
      <c r="AC221" s="143"/>
      <c r="AD221" s="143"/>
      <c r="AE221" s="143"/>
    </row>
    <row r="222" spans="1:3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4"/>
      <c r="L222" s="144"/>
      <c r="M222" s="144"/>
      <c r="N222" s="144"/>
      <c r="O222" s="143"/>
      <c r="P222" s="144"/>
      <c r="Q222" s="143"/>
      <c r="R222" s="143"/>
      <c r="S222" s="143"/>
      <c r="T222" s="143"/>
      <c r="U222" s="143"/>
      <c r="V222" s="143"/>
      <c r="W222" s="143"/>
      <c r="X222" s="144"/>
      <c r="Y222" s="143"/>
      <c r="Z222" s="143"/>
      <c r="AA222" s="143"/>
      <c r="AB222" s="143"/>
      <c r="AC222" s="143"/>
      <c r="AD222" s="143"/>
      <c r="AE222" s="143"/>
    </row>
    <row r="223" spans="1:3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4"/>
      <c r="L223" s="144"/>
      <c r="M223" s="144"/>
      <c r="N223" s="143"/>
      <c r="O223" s="143"/>
      <c r="P223" s="144"/>
      <c r="Q223" s="143"/>
      <c r="R223" s="143"/>
      <c r="S223" s="143"/>
      <c r="T223" s="143"/>
      <c r="U223" s="143"/>
      <c r="V223" s="143"/>
      <c r="W223" s="143"/>
      <c r="X223" s="144"/>
      <c r="Y223" s="143"/>
      <c r="Z223" s="143"/>
      <c r="AA223" s="143"/>
      <c r="AB223" s="143"/>
      <c r="AC223" s="143"/>
      <c r="AD223" s="143"/>
      <c r="AE223" s="143"/>
    </row>
    <row r="224" spans="1:3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4"/>
      <c r="L224" s="144"/>
      <c r="M224" s="143"/>
      <c r="N224" s="143"/>
      <c r="O224" s="143"/>
      <c r="P224" s="144"/>
      <c r="Q224" s="143"/>
      <c r="R224" s="143"/>
      <c r="S224" s="143"/>
      <c r="T224" s="143"/>
      <c r="U224" s="143"/>
      <c r="V224" s="143"/>
      <c r="W224" s="143"/>
      <c r="X224" s="144"/>
      <c r="Y224" s="143"/>
      <c r="Z224" s="143"/>
      <c r="AA224" s="143"/>
      <c r="AB224" s="143"/>
      <c r="AC224" s="143"/>
      <c r="AD224" s="143"/>
      <c r="AE224" s="143"/>
    </row>
    <row r="225" spans="1:3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4"/>
      <c r="L225" s="144"/>
      <c r="M225" s="143"/>
      <c r="N225" s="143"/>
      <c r="O225" s="143"/>
      <c r="P225" s="144"/>
      <c r="Q225" s="143"/>
      <c r="R225" s="143"/>
      <c r="S225" s="143"/>
      <c r="T225" s="143"/>
      <c r="U225" s="143"/>
      <c r="V225" s="143"/>
      <c r="W225" s="143"/>
      <c r="X225" s="144"/>
      <c r="Y225" s="143"/>
      <c r="Z225" s="143"/>
      <c r="AA225" s="143"/>
      <c r="AB225" s="143"/>
      <c r="AC225" s="143"/>
      <c r="AD225" s="143"/>
      <c r="AE225" s="143"/>
    </row>
    <row r="226" spans="1:3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4"/>
      <c r="L226" s="144"/>
      <c r="M226" s="143"/>
      <c r="N226" s="143"/>
      <c r="O226" s="143"/>
      <c r="P226" s="144"/>
      <c r="Q226" s="143"/>
      <c r="R226" s="143"/>
      <c r="S226" s="143"/>
      <c r="T226" s="143"/>
      <c r="U226" s="143"/>
      <c r="V226" s="143"/>
      <c r="W226" s="143"/>
      <c r="X226" s="144"/>
      <c r="Y226" s="143"/>
      <c r="Z226" s="143"/>
      <c r="AA226" s="143"/>
      <c r="AB226" s="143"/>
      <c r="AC226" s="143"/>
      <c r="AD226" s="143"/>
      <c r="AE226" s="143"/>
    </row>
    <row r="227" spans="1:3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4"/>
      <c r="L227" s="144"/>
      <c r="M227" s="143"/>
      <c r="N227" s="143"/>
      <c r="O227" s="143"/>
      <c r="P227" s="144"/>
      <c r="Q227" s="143"/>
      <c r="R227" s="143"/>
      <c r="S227" s="143"/>
      <c r="T227" s="143"/>
      <c r="U227" s="143"/>
      <c r="V227" s="143"/>
      <c r="W227" s="143"/>
      <c r="X227" s="144"/>
      <c r="Y227" s="143"/>
      <c r="Z227" s="143"/>
      <c r="AA227" s="143"/>
      <c r="AB227" s="143"/>
      <c r="AC227" s="143"/>
      <c r="AD227" s="143"/>
      <c r="AE227" s="143"/>
    </row>
    <row r="228" spans="1:3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4"/>
      <c r="L228" s="144"/>
      <c r="M228" s="143"/>
      <c r="N228" s="143"/>
      <c r="O228" s="143"/>
      <c r="P228" s="144"/>
      <c r="Q228" s="143"/>
      <c r="R228" s="143"/>
      <c r="S228" s="143"/>
      <c r="T228" s="143"/>
      <c r="U228" s="143"/>
      <c r="V228" s="143"/>
      <c r="W228" s="143"/>
      <c r="X228" s="144"/>
      <c r="Y228" s="143"/>
      <c r="Z228" s="143"/>
      <c r="AA228" s="143"/>
      <c r="AB228" s="143"/>
      <c r="AC228" s="143"/>
      <c r="AD228" s="143"/>
      <c r="AE228" s="143"/>
    </row>
    <row r="229" spans="1:3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4"/>
      <c r="L229" s="144"/>
      <c r="M229" s="143"/>
      <c r="N229" s="143"/>
      <c r="O229" s="143"/>
      <c r="P229" s="144"/>
      <c r="Q229" s="143"/>
      <c r="R229" s="143"/>
      <c r="S229" s="143"/>
      <c r="T229" s="143"/>
      <c r="U229" s="143"/>
      <c r="V229" s="143"/>
      <c r="W229" s="143"/>
      <c r="X229" s="144"/>
      <c r="Y229" s="143"/>
      <c r="Z229" s="143"/>
      <c r="AA229" s="143"/>
      <c r="AB229" s="143"/>
      <c r="AC229" s="143"/>
      <c r="AD229" s="143"/>
      <c r="AE229" s="143"/>
    </row>
    <row r="230" spans="1:3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4"/>
      <c r="L230" s="144"/>
      <c r="M230" s="144"/>
      <c r="N230" s="144"/>
      <c r="O230" s="143"/>
      <c r="P230" s="144"/>
      <c r="Q230" s="143"/>
      <c r="R230" s="143"/>
      <c r="S230" s="143"/>
      <c r="T230" s="143"/>
      <c r="U230" s="143"/>
      <c r="V230" s="143"/>
      <c r="W230" s="143"/>
      <c r="X230" s="144"/>
      <c r="Y230" s="143"/>
      <c r="Z230" s="143"/>
      <c r="AA230" s="143"/>
      <c r="AB230" s="143"/>
      <c r="AC230" s="143"/>
      <c r="AD230" s="143"/>
      <c r="AE230" s="143"/>
    </row>
    <row r="231" spans="1: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4"/>
      <c r="L231" s="144"/>
      <c r="M231" s="143"/>
      <c r="N231" s="143"/>
      <c r="O231" s="143"/>
      <c r="P231" s="144"/>
      <c r="Q231" s="143"/>
      <c r="R231" s="143"/>
      <c r="S231" s="143"/>
      <c r="T231" s="143"/>
      <c r="U231" s="143"/>
      <c r="V231" s="143"/>
      <c r="W231" s="143"/>
      <c r="X231" s="144"/>
      <c r="Y231" s="143"/>
      <c r="Z231" s="143"/>
      <c r="AA231" s="143"/>
      <c r="AB231" s="143"/>
      <c r="AC231" s="143"/>
      <c r="AD231" s="143"/>
      <c r="AE231" s="143"/>
    </row>
    <row r="232" spans="1:3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4"/>
      <c r="L232" s="144"/>
      <c r="M232" s="144"/>
      <c r="N232" s="144"/>
      <c r="O232" s="143"/>
      <c r="P232" s="144"/>
      <c r="Q232" s="143"/>
      <c r="R232" s="143"/>
      <c r="S232" s="143"/>
      <c r="T232" s="143"/>
      <c r="U232" s="143"/>
      <c r="V232" s="143"/>
      <c r="W232" s="143"/>
      <c r="X232" s="144"/>
      <c r="Y232" s="143"/>
      <c r="Z232" s="143"/>
      <c r="AA232" s="143"/>
      <c r="AB232" s="143"/>
      <c r="AC232" s="143"/>
      <c r="AD232" s="143"/>
      <c r="AE232" s="143"/>
    </row>
    <row r="233" spans="1:3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4"/>
      <c r="L233" s="144"/>
      <c r="M233" s="144"/>
      <c r="N233" s="144"/>
      <c r="O233" s="143"/>
      <c r="P233" s="144"/>
      <c r="Q233" s="143"/>
      <c r="R233" s="143"/>
      <c r="S233" s="143"/>
      <c r="T233" s="143"/>
      <c r="U233" s="143"/>
      <c r="V233" s="143"/>
      <c r="W233" s="143"/>
      <c r="X233" s="144"/>
      <c r="Y233" s="143"/>
      <c r="Z233" s="143"/>
      <c r="AA233" s="143"/>
      <c r="AB233" s="143"/>
      <c r="AC233" s="143"/>
      <c r="AD233" s="143"/>
      <c r="AE233" s="143"/>
    </row>
    <row r="234" spans="1:3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4"/>
      <c r="L234" s="144"/>
      <c r="M234" s="143"/>
      <c r="N234" s="143"/>
      <c r="O234" s="143"/>
      <c r="P234" s="144"/>
      <c r="Q234" s="143"/>
      <c r="R234" s="143"/>
      <c r="S234" s="143"/>
      <c r="T234" s="143"/>
      <c r="U234" s="143"/>
      <c r="V234" s="143"/>
      <c r="W234" s="143"/>
      <c r="X234" s="144"/>
      <c r="Y234" s="143"/>
      <c r="Z234" s="143"/>
      <c r="AA234" s="143"/>
      <c r="AB234" s="143"/>
      <c r="AC234" s="143"/>
      <c r="AD234" s="143"/>
      <c r="AE234" s="143"/>
    </row>
    <row r="235" spans="1:3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4"/>
      <c r="L235" s="144"/>
      <c r="M235" s="143"/>
      <c r="N235" s="143"/>
      <c r="O235" s="143"/>
      <c r="P235" s="144"/>
      <c r="Q235" s="143"/>
      <c r="R235" s="143"/>
      <c r="S235" s="143"/>
      <c r="T235" s="143"/>
      <c r="U235" s="143"/>
      <c r="V235" s="143"/>
      <c r="W235" s="143"/>
      <c r="X235" s="144"/>
      <c r="Y235" s="143"/>
      <c r="Z235" s="143"/>
      <c r="AA235" s="143"/>
      <c r="AB235" s="143"/>
      <c r="AC235" s="143"/>
      <c r="AD235" s="143"/>
      <c r="AE235" s="143"/>
    </row>
    <row r="236" spans="1:3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4"/>
      <c r="L236" s="144"/>
      <c r="M236" s="144"/>
      <c r="N236" s="144"/>
      <c r="O236" s="143"/>
      <c r="P236" s="144"/>
      <c r="Q236" s="143"/>
      <c r="R236" s="143"/>
      <c r="S236" s="143"/>
      <c r="T236" s="143"/>
      <c r="U236" s="143"/>
      <c r="V236" s="143"/>
      <c r="W236" s="143"/>
      <c r="X236" s="144"/>
      <c r="Y236" s="143"/>
      <c r="Z236" s="143"/>
      <c r="AA236" s="143"/>
      <c r="AB236" s="143"/>
      <c r="AC236" s="143"/>
      <c r="AD236" s="143"/>
      <c r="AE236" s="143"/>
    </row>
    <row r="237" spans="1:3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4"/>
      <c r="L237" s="144"/>
      <c r="M237" s="144"/>
      <c r="N237" s="144"/>
      <c r="O237" s="143"/>
      <c r="P237" s="144"/>
      <c r="Q237" s="143"/>
      <c r="R237" s="143"/>
      <c r="S237" s="143"/>
      <c r="T237" s="143"/>
      <c r="U237" s="143"/>
      <c r="V237" s="143"/>
      <c r="W237" s="143"/>
      <c r="X237" s="144"/>
      <c r="Y237" s="143"/>
      <c r="Z237" s="143"/>
      <c r="AA237" s="143"/>
      <c r="AB237" s="143"/>
      <c r="AC237" s="143"/>
      <c r="AD237" s="143"/>
      <c r="AE237" s="143"/>
    </row>
    <row r="238" spans="1:3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4"/>
      <c r="L238" s="144"/>
      <c r="M238" s="144"/>
      <c r="N238" s="144"/>
      <c r="O238" s="143"/>
      <c r="P238" s="144"/>
      <c r="Q238" s="143"/>
      <c r="R238" s="143"/>
      <c r="S238" s="143"/>
      <c r="T238" s="143"/>
      <c r="U238" s="143"/>
      <c r="V238" s="143"/>
      <c r="W238" s="143"/>
      <c r="X238" s="144"/>
      <c r="Y238" s="143"/>
      <c r="Z238" s="143"/>
      <c r="AA238" s="143"/>
      <c r="AB238" s="143"/>
      <c r="AC238" s="143"/>
      <c r="AD238" s="143"/>
      <c r="AE238" s="143"/>
    </row>
    <row r="239" spans="1:3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4"/>
      <c r="L239" s="143"/>
      <c r="M239" s="144"/>
      <c r="N239" s="143"/>
      <c r="O239" s="143"/>
      <c r="P239" s="144"/>
      <c r="Q239" s="143"/>
      <c r="R239" s="143"/>
      <c r="S239" s="143"/>
      <c r="T239" s="143"/>
      <c r="U239" s="143"/>
      <c r="V239" s="143"/>
      <c r="W239" s="143"/>
      <c r="X239" s="144"/>
      <c r="Y239" s="143"/>
      <c r="Z239" s="143"/>
      <c r="AA239" s="143"/>
      <c r="AB239" s="143"/>
      <c r="AC239" s="143"/>
      <c r="AD239" s="143"/>
      <c r="AE239" s="143"/>
    </row>
    <row r="240" spans="1:3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4"/>
      <c r="L240" s="143"/>
      <c r="M240" s="144"/>
      <c r="N240" s="143"/>
      <c r="O240" s="143"/>
      <c r="P240" s="144"/>
      <c r="Q240" s="143"/>
      <c r="R240" s="143"/>
      <c r="S240" s="143"/>
      <c r="T240" s="143"/>
      <c r="U240" s="143"/>
      <c r="V240" s="143"/>
      <c r="W240" s="143"/>
      <c r="X240" s="144"/>
      <c r="Y240" s="143"/>
      <c r="Z240" s="143"/>
      <c r="AA240" s="143"/>
      <c r="AB240" s="143"/>
      <c r="AC240" s="143"/>
      <c r="AD240" s="143"/>
      <c r="AE240" s="143"/>
    </row>
    <row r="241" spans="1:3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4"/>
      <c r="L241" s="144"/>
      <c r="M241" s="144"/>
      <c r="N241" s="144"/>
      <c r="O241" s="143"/>
      <c r="P241" s="144"/>
      <c r="Q241" s="143"/>
      <c r="R241" s="143"/>
      <c r="S241" s="143"/>
      <c r="T241" s="143"/>
      <c r="U241" s="143"/>
      <c r="V241" s="143"/>
      <c r="W241" s="143"/>
      <c r="X241" s="144"/>
      <c r="Y241" s="143"/>
      <c r="Z241" s="143"/>
      <c r="AA241" s="143"/>
      <c r="AB241" s="143"/>
      <c r="AC241" s="143"/>
      <c r="AD241" s="143"/>
      <c r="AE241" s="143"/>
    </row>
    <row r="242" spans="1:3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4"/>
      <c r="L242" s="143"/>
      <c r="M242" s="144"/>
      <c r="N242" s="143"/>
      <c r="O242" s="143"/>
      <c r="P242" s="144"/>
      <c r="Q242" s="143"/>
      <c r="R242" s="143"/>
      <c r="S242" s="143"/>
      <c r="T242" s="143"/>
      <c r="U242" s="143"/>
      <c r="V242" s="143"/>
      <c r="W242" s="143"/>
      <c r="X242" s="144"/>
      <c r="Y242" s="143"/>
      <c r="Z242" s="143"/>
      <c r="AA242" s="143"/>
      <c r="AB242" s="143"/>
      <c r="AC242" s="143"/>
      <c r="AD242" s="143"/>
      <c r="AE242" s="143"/>
    </row>
    <row r="243" spans="1:3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4"/>
      <c r="L243" s="144"/>
      <c r="M243" s="144"/>
      <c r="N243" s="144"/>
      <c r="O243" s="143"/>
      <c r="P243" s="144"/>
      <c r="Q243" s="143"/>
      <c r="R243" s="143"/>
      <c r="S243" s="143"/>
      <c r="T243" s="143"/>
      <c r="U243" s="143"/>
      <c r="V243" s="143"/>
      <c r="W243" s="143"/>
      <c r="X243" s="144"/>
      <c r="Y243" s="143"/>
      <c r="Z243" s="143"/>
      <c r="AA243" s="143"/>
      <c r="AB243" s="143"/>
      <c r="AC243" s="143"/>
      <c r="AD243" s="143"/>
      <c r="AE243" s="143"/>
    </row>
    <row r="244" spans="1:3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4"/>
      <c r="L244" s="144"/>
      <c r="M244" s="144"/>
      <c r="N244" s="144"/>
      <c r="O244" s="143"/>
      <c r="P244" s="144"/>
      <c r="Q244" s="143"/>
      <c r="R244" s="143"/>
      <c r="S244" s="143"/>
      <c r="T244" s="143"/>
      <c r="U244" s="143"/>
      <c r="V244" s="143"/>
      <c r="W244" s="143"/>
      <c r="X244" s="144"/>
      <c r="Y244" s="143"/>
      <c r="Z244" s="143"/>
      <c r="AA244" s="143"/>
      <c r="AB244" s="143"/>
      <c r="AC244" s="143"/>
      <c r="AD244" s="143"/>
      <c r="AE244" s="143"/>
    </row>
    <row r="245" spans="1:3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4"/>
      <c r="L245" s="144"/>
      <c r="M245" s="144"/>
      <c r="N245" s="144"/>
      <c r="O245" s="143"/>
      <c r="P245" s="144"/>
      <c r="Q245" s="143"/>
      <c r="R245" s="143"/>
      <c r="S245" s="143"/>
      <c r="T245" s="143"/>
      <c r="U245" s="143"/>
      <c r="V245" s="143"/>
      <c r="W245" s="143"/>
      <c r="X245" s="144"/>
      <c r="Y245" s="143"/>
      <c r="Z245" s="143"/>
      <c r="AA245" s="143"/>
      <c r="AB245" s="143"/>
      <c r="AC245" s="143"/>
      <c r="AD245" s="143"/>
      <c r="AE245" s="143"/>
    </row>
    <row r="246" spans="1:3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4"/>
      <c r="L246" s="143"/>
      <c r="M246" s="144"/>
      <c r="N246" s="143"/>
      <c r="O246" s="143"/>
      <c r="P246" s="144"/>
      <c r="Q246" s="143"/>
      <c r="R246" s="143"/>
      <c r="S246" s="143"/>
      <c r="T246" s="143"/>
      <c r="U246" s="143"/>
      <c r="V246" s="143"/>
      <c r="W246" s="143"/>
      <c r="X246" s="144"/>
      <c r="Y246" s="143"/>
      <c r="Z246" s="143"/>
      <c r="AA246" s="143"/>
      <c r="AB246" s="143"/>
      <c r="AC246" s="143"/>
      <c r="AD246" s="143"/>
      <c r="AE246" s="143"/>
    </row>
    <row r="247" spans="1:3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4"/>
      <c r="L247" s="144"/>
      <c r="M247" s="144"/>
      <c r="N247" s="144"/>
      <c r="O247" s="143"/>
      <c r="P247" s="144"/>
      <c r="Q247" s="143"/>
      <c r="R247" s="143"/>
      <c r="S247" s="143"/>
      <c r="T247" s="143"/>
      <c r="U247" s="143"/>
      <c r="V247" s="143"/>
      <c r="W247" s="143"/>
      <c r="X247" s="144"/>
      <c r="Y247" s="143"/>
      <c r="Z247" s="143"/>
      <c r="AA247" s="143"/>
      <c r="AB247" s="143"/>
      <c r="AC247" s="143"/>
      <c r="AD247" s="143"/>
      <c r="AE247" s="143"/>
    </row>
    <row r="248" spans="1:3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4"/>
      <c r="L248" s="144"/>
      <c r="M248" s="144"/>
      <c r="N248" s="144"/>
      <c r="O248" s="143"/>
      <c r="P248" s="144"/>
      <c r="Q248" s="143"/>
      <c r="R248" s="143"/>
      <c r="S248" s="143"/>
      <c r="T248" s="143"/>
      <c r="U248" s="143"/>
      <c r="V248" s="143"/>
      <c r="W248" s="143"/>
      <c r="X248" s="144"/>
      <c r="Y248" s="143"/>
      <c r="Z248" s="143"/>
      <c r="AA248" s="143"/>
      <c r="AB248" s="143"/>
      <c r="AC248" s="143"/>
      <c r="AD248" s="143"/>
      <c r="AE248" s="143"/>
    </row>
    <row r="249" spans="1:3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4"/>
      <c r="L249" s="144"/>
      <c r="M249" s="144"/>
      <c r="N249" s="144"/>
      <c r="O249" s="143"/>
      <c r="P249" s="144"/>
      <c r="Q249" s="143"/>
      <c r="R249" s="143"/>
      <c r="S249" s="143"/>
      <c r="T249" s="143"/>
      <c r="U249" s="143"/>
      <c r="V249" s="143"/>
      <c r="W249" s="143"/>
      <c r="X249" s="144"/>
      <c r="Y249" s="143"/>
      <c r="Z249" s="143"/>
      <c r="AA249" s="143"/>
      <c r="AB249" s="143"/>
      <c r="AC249" s="143"/>
      <c r="AD249" s="143"/>
      <c r="AE249" s="143"/>
    </row>
    <row r="250" spans="1:3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4"/>
      <c r="L250" s="144"/>
      <c r="M250" s="144"/>
      <c r="N250" s="144"/>
      <c r="O250" s="143"/>
      <c r="P250" s="144"/>
      <c r="Q250" s="143"/>
      <c r="R250" s="143"/>
      <c r="S250" s="143"/>
      <c r="T250" s="143"/>
      <c r="U250" s="143"/>
      <c r="V250" s="143"/>
      <c r="W250" s="143"/>
      <c r="X250" s="144"/>
      <c r="Y250" s="143"/>
      <c r="Z250" s="143"/>
      <c r="AA250" s="143"/>
      <c r="AB250" s="143"/>
      <c r="AC250" s="143"/>
      <c r="AD250" s="143"/>
      <c r="AE250" s="143"/>
    </row>
    <row r="251" spans="1:3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4"/>
      <c r="L251" s="144"/>
      <c r="M251" s="144"/>
      <c r="N251" s="144"/>
      <c r="O251" s="143"/>
      <c r="P251" s="144"/>
      <c r="Q251" s="143"/>
      <c r="R251" s="143"/>
      <c r="S251" s="143"/>
      <c r="T251" s="143"/>
      <c r="U251" s="143"/>
      <c r="V251" s="143"/>
      <c r="W251" s="143"/>
      <c r="X251" s="144"/>
      <c r="Y251" s="143"/>
      <c r="Z251" s="143"/>
      <c r="AA251" s="143"/>
      <c r="AB251" s="143"/>
      <c r="AC251" s="143"/>
      <c r="AD251" s="143"/>
      <c r="AE251" s="143"/>
    </row>
    <row r="252" spans="1:3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4"/>
      <c r="L252" s="144"/>
      <c r="M252" s="144"/>
      <c r="N252" s="144"/>
      <c r="O252" s="143"/>
      <c r="P252" s="144"/>
      <c r="Q252" s="143"/>
      <c r="R252" s="143"/>
      <c r="S252" s="143"/>
      <c r="T252" s="143"/>
      <c r="U252" s="143"/>
      <c r="V252" s="143"/>
      <c r="W252" s="143"/>
      <c r="X252" s="144"/>
      <c r="Y252" s="143"/>
      <c r="Z252" s="143"/>
      <c r="AA252" s="143"/>
      <c r="AB252" s="143"/>
      <c r="AC252" s="143"/>
      <c r="AD252" s="143"/>
      <c r="AE252" s="143"/>
    </row>
    <row r="253" spans="1:3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4"/>
      <c r="L253" s="144"/>
      <c r="M253" s="144"/>
      <c r="N253" s="144"/>
      <c r="O253" s="143"/>
      <c r="P253" s="144"/>
      <c r="Q253" s="143"/>
      <c r="R253" s="143"/>
      <c r="S253" s="143"/>
      <c r="T253" s="143"/>
      <c r="U253" s="143"/>
      <c r="V253" s="143"/>
      <c r="W253" s="143"/>
      <c r="X253" s="144"/>
      <c r="Y253" s="143"/>
      <c r="Z253" s="143"/>
      <c r="AA253" s="143"/>
      <c r="AB253" s="143"/>
      <c r="AC253" s="143"/>
      <c r="AD253" s="143"/>
      <c r="AE253" s="143"/>
    </row>
    <row r="254" spans="1:3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4"/>
      <c r="L254" s="144"/>
      <c r="M254" s="144"/>
      <c r="N254" s="143"/>
      <c r="O254" s="143"/>
      <c r="P254" s="144"/>
      <c r="Q254" s="143"/>
      <c r="R254" s="143"/>
      <c r="S254" s="143"/>
      <c r="T254" s="143"/>
      <c r="U254" s="143"/>
      <c r="V254" s="143"/>
      <c r="W254" s="143"/>
      <c r="X254" s="144"/>
      <c r="Y254" s="143"/>
      <c r="Z254" s="143"/>
      <c r="AA254" s="143"/>
      <c r="AB254" s="143"/>
      <c r="AC254" s="143"/>
      <c r="AD254" s="143"/>
      <c r="AE254" s="143"/>
    </row>
    <row r="255" spans="1:3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4"/>
      <c r="L255" s="144"/>
      <c r="M255" s="144"/>
      <c r="N255" s="144"/>
      <c r="O255" s="143"/>
      <c r="P255" s="144"/>
      <c r="Q255" s="143"/>
      <c r="R255" s="143"/>
      <c r="S255" s="143"/>
      <c r="T255" s="143"/>
      <c r="U255" s="143"/>
      <c r="V255" s="143"/>
      <c r="W255" s="143"/>
      <c r="X255" s="144"/>
      <c r="Y255" s="143"/>
      <c r="Z255" s="143"/>
      <c r="AA255" s="143"/>
      <c r="AB255" s="143"/>
      <c r="AC255" s="143"/>
      <c r="AD255" s="143"/>
      <c r="AE255" s="143"/>
    </row>
    <row r="256" spans="1:3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4"/>
      <c r="L256" s="144"/>
      <c r="M256" s="144"/>
      <c r="N256" s="144"/>
      <c r="O256" s="143"/>
      <c r="P256" s="144"/>
      <c r="Q256" s="143"/>
      <c r="R256" s="143"/>
      <c r="S256" s="143"/>
      <c r="T256" s="143"/>
      <c r="U256" s="143"/>
      <c r="V256" s="143"/>
      <c r="W256" s="143"/>
      <c r="X256" s="144"/>
      <c r="Y256" s="143"/>
      <c r="Z256" s="143"/>
      <c r="AA256" s="143"/>
      <c r="AB256" s="143"/>
      <c r="AC256" s="143"/>
      <c r="AD256" s="143"/>
      <c r="AE256" s="143"/>
    </row>
    <row r="257" spans="1:3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4"/>
      <c r="L257" s="144"/>
      <c r="M257" s="144"/>
      <c r="N257" s="144"/>
      <c r="O257" s="143"/>
      <c r="P257" s="144"/>
      <c r="Q257" s="143"/>
      <c r="R257" s="143"/>
      <c r="S257" s="143"/>
      <c r="T257" s="143"/>
      <c r="U257" s="143"/>
      <c r="V257" s="143"/>
      <c r="W257" s="143"/>
      <c r="X257" s="144"/>
      <c r="Y257" s="143"/>
      <c r="Z257" s="143"/>
      <c r="AA257" s="143"/>
      <c r="AB257" s="143"/>
      <c r="AC257" s="143"/>
      <c r="AD257" s="143"/>
      <c r="AE257" s="143"/>
    </row>
    <row r="258" spans="1:3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4"/>
      <c r="L258" s="144"/>
      <c r="M258" s="144"/>
      <c r="N258" s="144"/>
      <c r="O258" s="143"/>
      <c r="P258" s="144"/>
      <c r="Q258" s="143"/>
      <c r="R258" s="143"/>
      <c r="S258" s="143"/>
      <c r="T258" s="143"/>
      <c r="U258" s="143"/>
      <c r="V258" s="143"/>
      <c r="W258" s="143"/>
      <c r="X258" s="144"/>
      <c r="Y258" s="143"/>
      <c r="Z258" s="143"/>
      <c r="AA258" s="143"/>
      <c r="AB258" s="143"/>
      <c r="AC258" s="143"/>
      <c r="AD258" s="143"/>
      <c r="AE258" s="143"/>
    </row>
    <row r="259" spans="1:3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4"/>
      <c r="L259" s="144"/>
      <c r="M259" s="144"/>
      <c r="N259" s="144"/>
      <c r="O259" s="143"/>
      <c r="P259" s="144"/>
      <c r="Q259" s="143"/>
      <c r="R259" s="143"/>
      <c r="S259" s="143"/>
      <c r="T259" s="143"/>
      <c r="U259" s="143"/>
      <c r="V259" s="143"/>
      <c r="W259" s="143"/>
      <c r="X259" s="144"/>
      <c r="Y259" s="143"/>
      <c r="Z259" s="143"/>
      <c r="AA259" s="143"/>
      <c r="AB259" s="143"/>
      <c r="AC259" s="143"/>
      <c r="AD259" s="143"/>
      <c r="AE259" s="143"/>
    </row>
    <row r="260" spans="1:3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4"/>
      <c r="L260" s="144"/>
      <c r="M260" s="144"/>
      <c r="N260" s="144"/>
      <c r="O260" s="143"/>
      <c r="P260" s="144"/>
      <c r="Q260" s="143"/>
      <c r="R260" s="143"/>
      <c r="S260" s="143"/>
      <c r="T260" s="143"/>
      <c r="U260" s="143"/>
      <c r="V260" s="143"/>
      <c r="W260" s="143"/>
      <c r="X260" s="144"/>
      <c r="Y260" s="143"/>
      <c r="Z260" s="143"/>
      <c r="AA260" s="143"/>
      <c r="AB260" s="143"/>
      <c r="AC260" s="143"/>
      <c r="AD260" s="143"/>
      <c r="AE260" s="143"/>
    </row>
    <row r="261" spans="1:3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4"/>
      <c r="L261" s="144"/>
      <c r="M261" s="144"/>
      <c r="N261" s="144"/>
      <c r="O261" s="143"/>
      <c r="P261" s="144"/>
      <c r="Q261" s="143"/>
      <c r="R261" s="143"/>
      <c r="S261" s="143"/>
      <c r="T261" s="143"/>
      <c r="U261" s="143"/>
      <c r="V261" s="143"/>
      <c r="W261" s="143"/>
      <c r="X261" s="144"/>
      <c r="Y261" s="143"/>
      <c r="Z261" s="143"/>
      <c r="AA261" s="143"/>
      <c r="AB261" s="143"/>
      <c r="AC261" s="143"/>
      <c r="AD261" s="143"/>
      <c r="AE261" s="143"/>
    </row>
    <row r="262" spans="1:3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4"/>
      <c r="L262" s="144"/>
      <c r="M262" s="144"/>
      <c r="N262" s="143"/>
      <c r="O262" s="143"/>
      <c r="P262" s="144"/>
      <c r="Q262" s="143"/>
      <c r="R262" s="143"/>
      <c r="S262" s="143"/>
      <c r="T262" s="143"/>
      <c r="U262" s="143"/>
      <c r="V262" s="143"/>
      <c r="W262" s="143"/>
      <c r="X262" s="144"/>
      <c r="Y262" s="143"/>
      <c r="Z262" s="143"/>
      <c r="AA262" s="143"/>
      <c r="AB262" s="143"/>
      <c r="AC262" s="143"/>
      <c r="AD262" s="143"/>
      <c r="AE262" s="143"/>
    </row>
    <row r="263" spans="1:3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4"/>
      <c r="L263" s="144"/>
      <c r="M263" s="144"/>
      <c r="N263" s="144"/>
      <c r="O263" s="143"/>
      <c r="P263" s="144"/>
      <c r="Q263" s="143"/>
      <c r="R263" s="143"/>
      <c r="S263" s="143"/>
      <c r="T263" s="143"/>
      <c r="U263" s="143"/>
      <c r="V263" s="143"/>
      <c r="W263" s="143"/>
      <c r="X263" s="144"/>
      <c r="Y263" s="143"/>
      <c r="Z263" s="143"/>
      <c r="AA263" s="143"/>
      <c r="AB263" s="143"/>
      <c r="AC263" s="143"/>
      <c r="AD263" s="143"/>
      <c r="AE263" s="143"/>
    </row>
    <row r="264" spans="1:3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4"/>
      <c r="L264" s="144"/>
      <c r="M264" s="144"/>
      <c r="N264" s="144"/>
      <c r="O264" s="143"/>
      <c r="P264" s="144"/>
      <c r="Q264" s="143"/>
      <c r="R264" s="143"/>
      <c r="S264" s="143"/>
      <c r="T264" s="143"/>
      <c r="U264" s="143"/>
      <c r="V264" s="143"/>
      <c r="W264" s="143"/>
      <c r="X264" s="144"/>
      <c r="Y264" s="143"/>
      <c r="Z264" s="143"/>
      <c r="AA264" s="143"/>
      <c r="AB264" s="143"/>
      <c r="AC264" s="143"/>
      <c r="AD264" s="143"/>
      <c r="AE264" s="143"/>
    </row>
    <row r="265" spans="1:3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4"/>
      <c r="L265" s="144"/>
      <c r="M265" s="144"/>
      <c r="N265" s="144"/>
      <c r="O265" s="143"/>
      <c r="P265" s="144"/>
      <c r="Q265" s="143"/>
      <c r="R265" s="143"/>
      <c r="S265" s="143"/>
      <c r="T265" s="143"/>
      <c r="U265" s="143"/>
      <c r="V265" s="143"/>
      <c r="W265" s="143"/>
      <c r="X265" s="144"/>
      <c r="Y265" s="143"/>
      <c r="Z265" s="143"/>
      <c r="AA265" s="143"/>
      <c r="AB265" s="143"/>
      <c r="AC265" s="143"/>
      <c r="AD265" s="143"/>
      <c r="AE265" s="143"/>
    </row>
    <row r="266" spans="1:3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4"/>
      <c r="L266" s="144"/>
      <c r="M266" s="144"/>
      <c r="N266" s="144"/>
      <c r="O266" s="143"/>
      <c r="P266" s="144"/>
      <c r="Q266" s="143"/>
      <c r="R266" s="143"/>
      <c r="S266" s="143"/>
      <c r="T266" s="143"/>
      <c r="U266" s="143"/>
      <c r="V266" s="143"/>
      <c r="W266" s="143"/>
      <c r="X266" s="144"/>
      <c r="Y266" s="143"/>
      <c r="Z266" s="143"/>
      <c r="AA266" s="143"/>
      <c r="AB266" s="143"/>
      <c r="AC266" s="143"/>
      <c r="AD266" s="143"/>
      <c r="AE266" s="143"/>
    </row>
    <row r="267" spans="1:3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4"/>
      <c r="L267" s="144"/>
      <c r="M267" s="144"/>
      <c r="N267" s="143"/>
      <c r="O267" s="143"/>
      <c r="P267" s="144"/>
      <c r="Q267" s="143"/>
      <c r="R267" s="143"/>
      <c r="S267" s="143"/>
      <c r="T267" s="143"/>
      <c r="U267" s="143"/>
      <c r="V267" s="143"/>
      <c r="W267" s="143"/>
      <c r="X267" s="144"/>
      <c r="Y267" s="143"/>
      <c r="Z267" s="143"/>
      <c r="AA267" s="143"/>
      <c r="AB267" s="143"/>
      <c r="AC267" s="143"/>
      <c r="AD267" s="143"/>
      <c r="AE267" s="143"/>
    </row>
    <row r="268" spans="1:3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4"/>
      <c r="L268" s="144"/>
      <c r="M268" s="144"/>
      <c r="N268" s="144"/>
      <c r="O268" s="143"/>
      <c r="P268" s="144"/>
      <c r="Q268" s="143"/>
      <c r="R268" s="143"/>
      <c r="S268" s="143"/>
      <c r="T268" s="143"/>
      <c r="U268" s="143"/>
      <c r="V268" s="143"/>
      <c r="W268" s="143"/>
      <c r="X268" s="144"/>
      <c r="Y268" s="143"/>
      <c r="Z268" s="143"/>
      <c r="AA268" s="143"/>
      <c r="AB268" s="143"/>
      <c r="AC268" s="143"/>
      <c r="AD268" s="143"/>
      <c r="AE268" s="143"/>
    </row>
    <row r="269" spans="1:3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4"/>
      <c r="L269" s="144"/>
      <c r="M269" s="144"/>
      <c r="N269" s="144"/>
      <c r="O269" s="143"/>
      <c r="P269" s="144"/>
      <c r="Q269" s="143"/>
      <c r="R269" s="143"/>
      <c r="S269" s="143"/>
      <c r="T269" s="143"/>
      <c r="U269" s="143"/>
      <c r="V269" s="143"/>
      <c r="W269" s="143"/>
      <c r="X269" s="144"/>
      <c r="Y269" s="143"/>
      <c r="Z269" s="143"/>
      <c r="AA269" s="143"/>
      <c r="AB269" s="143"/>
      <c r="AC269" s="143"/>
      <c r="AD269" s="143"/>
      <c r="AE269" s="143"/>
    </row>
    <row r="270" spans="1:3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4"/>
      <c r="L270" s="144"/>
      <c r="M270" s="144"/>
      <c r="N270" s="144"/>
      <c r="O270" s="143"/>
      <c r="P270" s="144"/>
      <c r="Q270" s="143"/>
      <c r="R270" s="143"/>
      <c r="S270" s="143"/>
      <c r="T270" s="143"/>
      <c r="U270" s="143"/>
      <c r="V270" s="143"/>
      <c r="W270" s="143"/>
      <c r="X270" s="144"/>
      <c r="Y270" s="143"/>
      <c r="Z270" s="143"/>
      <c r="AA270" s="143"/>
      <c r="AB270" s="143"/>
      <c r="AC270" s="143"/>
      <c r="AD270" s="143"/>
      <c r="AE270" s="143"/>
    </row>
    <row r="271" spans="1:3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4"/>
      <c r="L271" s="144"/>
      <c r="M271" s="144"/>
      <c r="N271" s="144"/>
      <c r="O271" s="143"/>
      <c r="P271" s="144"/>
      <c r="Q271" s="143"/>
      <c r="R271" s="143"/>
      <c r="S271" s="143"/>
      <c r="T271" s="143"/>
      <c r="U271" s="143"/>
      <c r="V271" s="143"/>
      <c r="W271" s="143"/>
      <c r="X271" s="144"/>
      <c r="Y271" s="143"/>
      <c r="Z271" s="143"/>
      <c r="AA271" s="143"/>
      <c r="AB271" s="143"/>
      <c r="AC271" s="143"/>
      <c r="AD271" s="143"/>
      <c r="AE271" s="143"/>
    </row>
    <row r="272" spans="1:3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4"/>
      <c r="L272" s="144"/>
      <c r="M272" s="144"/>
      <c r="N272" s="144"/>
      <c r="O272" s="143"/>
      <c r="P272" s="144"/>
      <c r="Q272" s="143"/>
      <c r="R272" s="143"/>
      <c r="S272" s="143"/>
      <c r="T272" s="143"/>
      <c r="U272" s="143"/>
      <c r="V272" s="143"/>
      <c r="W272" s="143"/>
      <c r="X272" s="144"/>
      <c r="Y272" s="143"/>
      <c r="Z272" s="143"/>
      <c r="AA272" s="143"/>
      <c r="AB272" s="143"/>
      <c r="AC272" s="143"/>
      <c r="AD272" s="143"/>
      <c r="AE272" s="143"/>
    </row>
    <row r="273" spans="1:3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4"/>
      <c r="L273" s="144"/>
      <c r="M273" s="144"/>
      <c r="N273" s="144"/>
      <c r="O273" s="143"/>
      <c r="P273" s="144"/>
      <c r="Q273" s="143"/>
      <c r="R273" s="143"/>
      <c r="S273" s="143"/>
      <c r="T273" s="143"/>
      <c r="U273" s="143"/>
      <c r="V273" s="143"/>
      <c r="W273" s="143"/>
      <c r="X273" s="144"/>
      <c r="Y273" s="143"/>
      <c r="Z273" s="143"/>
      <c r="AA273" s="143"/>
      <c r="AB273" s="143"/>
      <c r="AC273" s="143"/>
      <c r="AD273" s="143"/>
      <c r="AE273" s="143"/>
    </row>
    <row r="274" spans="1:3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4"/>
      <c r="L274" s="144"/>
      <c r="M274" s="144"/>
      <c r="N274" s="144"/>
      <c r="O274" s="143"/>
      <c r="P274" s="144"/>
      <c r="Q274" s="143"/>
      <c r="R274" s="143"/>
      <c r="S274" s="143"/>
      <c r="T274" s="143"/>
      <c r="U274" s="143"/>
      <c r="V274" s="143"/>
      <c r="W274" s="143"/>
      <c r="X274" s="144"/>
      <c r="Y274" s="143"/>
      <c r="Z274" s="143"/>
      <c r="AA274" s="143"/>
      <c r="AB274" s="143"/>
      <c r="AC274" s="143"/>
      <c r="AD274" s="143"/>
      <c r="AE274" s="143"/>
    </row>
    <row r="275" spans="1:3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4"/>
      <c r="L275" s="144"/>
      <c r="M275" s="144"/>
      <c r="N275" s="144"/>
      <c r="O275" s="143"/>
      <c r="P275" s="144"/>
      <c r="Q275" s="143"/>
      <c r="R275" s="143"/>
      <c r="S275" s="143"/>
      <c r="T275" s="143"/>
      <c r="U275" s="143"/>
      <c r="V275" s="143"/>
      <c r="W275" s="143"/>
      <c r="X275" s="144"/>
      <c r="Y275" s="143"/>
      <c r="Z275" s="143"/>
      <c r="AA275" s="143"/>
      <c r="AB275" s="143"/>
      <c r="AC275" s="143"/>
      <c r="AD275" s="143"/>
      <c r="AE275" s="143"/>
    </row>
    <row r="276" spans="1:3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4"/>
      <c r="L276" s="144"/>
      <c r="M276" s="144"/>
      <c r="N276" s="144"/>
      <c r="O276" s="143"/>
      <c r="P276" s="144"/>
      <c r="Q276" s="143"/>
      <c r="R276" s="143"/>
      <c r="S276" s="143"/>
      <c r="T276" s="143"/>
      <c r="U276" s="143"/>
      <c r="V276" s="143"/>
      <c r="W276" s="143"/>
      <c r="X276" s="144"/>
      <c r="Y276" s="143"/>
      <c r="Z276" s="143"/>
      <c r="AA276" s="143"/>
      <c r="AB276" s="143"/>
      <c r="AC276" s="143"/>
      <c r="AD276" s="143"/>
      <c r="AE276" s="143"/>
    </row>
    <row r="277" spans="1:3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4"/>
      <c r="L277" s="144"/>
      <c r="M277" s="144"/>
      <c r="N277" s="144"/>
      <c r="O277" s="143"/>
      <c r="P277" s="144"/>
      <c r="Q277" s="143"/>
      <c r="R277" s="143"/>
      <c r="S277" s="143"/>
      <c r="T277" s="143"/>
      <c r="U277" s="143"/>
      <c r="V277" s="143"/>
      <c r="W277" s="143"/>
      <c r="X277" s="144"/>
      <c r="Y277" s="143"/>
      <c r="Z277" s="143"/>
      <c r="AA277" s="143"/>
      <c r="AB277" s="143"/>
      <c r="AC277" s="143"/>
      <c r="AD277" s="143"/>
      <c r="AE277" s="143"/>
    </row>
    <row r="278" spans="1:3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4"/>
      <c r="L278" s="144"/>
      <c r="M278" s="144"/>
      <c r="N278" s="143"/>
      <c r="O278" s="143"/>
      <c r="P278" s="144"/>
      <c r="Q278" s="143"/>
      <c r="R278" s="143"/>
      <c r="S278" s="143"/>
      <c r="T278" s="143"/>
      <c r="U278" s="143"/>
      <c r="V278" s="143"/>
      <c r="W278" s="143"/>
      <c r="X278" s="144"/>
      <c r="Y278" s="143"/>
      <c r="Z278" s="143"/>
      <c r="AA278" s="143"/>
      <c r="AB278" s="143"/>
      <c r="AC278" s="143"/>
      <c r="AD278" s="143"/>
      <c r="AE278" s="143"/>
    </row>
    <row r="279" spans="1:3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4"/>
      <c r="L279" s="144"/>
      <c r="M279" s="144"/>
      <c r="N279" s="143"/>
      <c r="O279" s="143"/>
      <c r="P279" s="144"/>
      <c r="Q279" s="143"/>
      <c r="R279" s="143"/>
      <c r="S279" s="143"/>
      <c r="T279" s="143"/>
      <c r="U279" s="143"/>
      <c r="V279" s="143"/>
      <c r="W279" s="143"/>
      <c r="X279" s="144"/>
      <c r="Y279" s="143"/>
      <c r="Z279" s="143"/>
      <c r="AA279" s="143"/>
      <c r="AB279" s="143"/>
      <c r="AC279" s="143"/>
      <c r="AD279" s="143"/>
      <c r="AE279" s="143"/>
    </row>
    <row r="280" spans="1:3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4"/>
      <c r="L280" s="144"/>
      <c r="M280" s="144"/>
      <c r="N280" s="144"/>
      <c r="O280" s="143"/>
      <c r="P280" s="144"/>
      <c r="Q280" s="143"/>
      <c r="R280" s="143"/>
      <c r="S280" s="143"/>
      <c r="T280" s="143"/>
      <c r="U280" s="143"/>
      <c r="V280" s="143"/>
      <c r="W280" s="143"/>
      <c r="X280" s="144"/>
      <c r="Y280" s="143"/>
      <c r="Z280" s="143"/>
      <c r="AA280" s="143"/>
      <c r="AB280" s="143"/>
      <c r="AC280" s="143"/>
      <c r="AD280" s="143"/>
      <c r="AE280" s="143"/>
    </row>
    <row r="281" spans="1:3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4"/>
      <c r="L281" s="144"/>
      <c r="M281" s="144"/>
      <c r="N281" s="144"/>
      <c r="O281" s="143"/>
      <c r="P281" s="144"/>
      <c r="Q281" s="143"/>
      <c r="R281" s="143"/>
      <c r="S281" s="143"/>
      <c r="T281" s="143"/>
      <c r="U281" s="143"/>
      <c r="V281" s="143"/>
      <c r="W281" s="143"/>
      <c r="X281" s="144"/>
      <c r="Y281" s="143"/>
      <c r="Z281" s="143"/>
      <c r="AA281" s="143"/>
      <c r="AB281" s="143"/>
      <c r="AC281" s="143"/>
      <c r="AD281" s="143"/>
      <c r="AE281" s="143"/>
    </row>
    <row r="282" spans="1:3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4"/>
      <c r="L282" s="144"/>
      <c r="M282" s="144"/>
      <c r="N282" s="144"/>
      <c r="O282" s="143"/>
      <c r="P282" s="144"/>
      <c r="Q282" s="143"/>
      <c r="R282" s="143"/>
      <c r="S282" s="143"/>
      <c r="T282" s="143"/>
      <c r="U282" s="143"/>
      <c r="V282" s="143"/>
      <c r="W282" s="143"/>
      <c r="X282" s="144"/>
      <c r="Y282" s="143"/>
      <c r="Z282" s="143"/>
      <c r="AA282" s="143"/>
      <c r="AB282" s="143"/>
      <c r="AC282" s="143"/>
      <c r="AD282" s="143"/>
      <c r="AE282" s="143"/>
    </row>
    <row r="283" spans="1:3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4"/>
      <c r="L283" s="144"/>
      <c r="M283" s="144"/>
      <c r="N283" s="144"/>
      <c r="O283" s="143"/>
      <c r="P283" s="144"/>
      <c r="Q283" s="143"/>
      <c r="R283" s="143"/>
      <c r="S283" s="143"/>
      <c r="T283" s="143"/>
      <c r="U283" s="143"/>
      <c r="V283" s="143"/>
      <c r="W283" s="143"/>
      <c r="X283" s="144"/>
      <c r="Y283" s="143"/>
      <c r="Z283" s="143"/>
      <c r="AA283" s="143"/>
      <c r="AB283" s="143"/>
      <c r="AC283" s="143"/>
      <c r="AD283" s="143"/>
      <c r="AE283" s="143"/>
    </row>
    <row r="284" spans="1:3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4"/>
      <c r="L284" s="144"/>
      <c r="M284" s="144"/>
      <c r="N284" s="144"/>
      <c r="O284" s="143"/>
      <c r="P284" s="144"/>
      <c r="Q284" s="143"/>
      <c r="R284" s="143"/>
      <c r="S284" s="143"/>
      <c r="T284" s="143"/>
      <c r="U284" s="143"/>
      <c r="V284" s="143"/>
      <c r="W284" s="143"/>
      <c r="X284" s="144"/>
      <c r="Y284" s="143"/>
      <c r="Z284" s="143"/>
      <c r="AA284" s="143"/>
      <c r="AB284" s="143"/>
      <c r="AC284" s="143"/>
      <c r="AD284" s="143"/>
      <c r="AE284" s="143"/>
    </row>
    <row r="285" spans="1:3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4"/>
      <c r="L285" s="144"/>
      <c r="M285" s="144"/>
      <c r="N285" s="144"/>
      <c r="O285" s="143"/>
      <c r="P285" s="144"/>
      <c r="Q285" s="143"/>
      <c r="R285" s="143"/>
      <c r="S285" s="143"/>
      <c r="T285" s="143"/>
      <c r="U285" s="143"/>
      <c r="V285" s="143"/>
      <c r="W285" s="143"/>
      <c r="X285" s="144"/>
      <c r="Y285" s="143"/>
      <c r="Z285" s="143"/>
      <c r="AA285" s="143"/>
      <c r="AB285" s="143"/>
      <c r="AC285" s="143"/>
      <c r="AD285" s="143"/>
      <c r="AE285" s="143"/>
    </row>
    <row r="286" spans="1:3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4"/>
      <c r="L286" s="144"/>
      <c r="M286" s="144"/>
      <c r="N286" s="144"/>
      <c r="O286" s="143"/>
      <c r="P286" s="144"/>
      <c r="Q286" s="143"/>
      <c r="R286" s="143"/>
      <c r="S286" s="143"/>
      <c r="T286" s="143"/>
      <c r="U286" s="143"/>
      <c r="V286" s="143"/>
      <c r="W286" s="143"/>
      <c r="X286" s="144"/>
      <c r="Y286" s="143"/>
      <c r="Z286" s="143"/>
      <c r="AA286" s="143"/>
      <c r="AB286" s="143"/>
      <c r="AC286" s="143"/>
      <c r="AD286" s="143"/>
      <c r="AE286" s="143"/>
    </row>
    <row r="287" spans="1:3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4"/>
      <c r="L287" s="144"/>
      <c r="M287" s="144"/>
      <c r="N287" s="144"/>
      <c r="O287" s="143"/>
      <c r="P287" s="144"/>
      <c r="Q287" s="143"/>
      <c r="R287" s="143"/>
      <c r="S287" s="143"/>
      <c r="T287" s="143"/>
      <c r="U287" s="143"/>
      <c r="V287" s="143"/>
      <c r="W287" s="143"/>
      <c r="X287" s="144"/>
      <c r="Y287" s="143"/>
      <c r="Z287" s="143"/>
      <c r="AA287" s="143"/>
      <c r="AB287" s="143"/>
      <c r="AC287" s="143"/>
      <c r="AD287" s="143"/>
      <c r="AE287" s="143"/>
    </row>
    <row r="288" spans="1:3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4"/>
      <c r="L288" s="144"/>
      <c r="M288" s="144"/>
      <c r="N288" s="144"/>
      <c r="O288" s="143"/>
      <c r="P288" s="144"/>
      <c r="Q288" s="143"/>
      <c r="R288" s="143"/>
      <c r="S288" s="143"/>
      <c r="T288" s="143"/>
      <c r="U288" s="143"/>
      <c r="V288" s="143"/>
      <c r="W288" s="143"/>
      <c r="X288" s="144"/>
      <c r="Y288" s="143"/>
      <c r="Z288" s="143"/>
      <c r="AA288" s="143"/>
      <c r="AB288" s="143"/>
      <c r="AC288" s="143"/>
      <c r="AD288" s="143"/>
      <c r="AE288" s="143"/>
    </row>
    <row r="289" spans="1:3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4"/>
      <c r="L289" s="144"/>
      <c r="M289" s="144"/>
      <c r="N289" s="144"/>
      <c r="O289" s="143"/>
      <c r="P289" s="144"/>
      <c r="Q289" s="143"/>
      <c r="R289" s="143"/>
      <c r="S289" s="143"/>
      <c r="T289" s="143"/>
      <c r="U289" s="143"/>
      <c r="V289" s="143"/>
      <c r="W289" s="143"/>
      <c r="X289" s="144"/>
      <c r="Y289" s="143"/>
      <c r="Z289" s="143"/>
      <c r="AA289" s="143"/>
      <c r="AB289" s="143"/>
      <c r="AC289" s="143"/>
      <c r="AD289" s="143"/>
      <c r="AE289" s="143"/>
    </row>
    <row r="290" spans="1:3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4"/>
      <c r="L290" s="144"/>
      <c r="M290" s="144"/>
      <c r="N290" s="144"/>
      <c r="O290" s="143"/>
      <c r="P290" s="144"/>
      <c r="Q290" s="143"/>
      <c r="R290" s="143"/>
      <c r="S290" s="143"/>
      <c r="T290" s="143"/>
      <c r="U290" s="143"/>
      <c r="V290" s="143"/>
      <c r="W290" s="143"/>
      <c r="X290" s="144"/>
      <c r="Y290" s="143"/>
      <c r="Z290" s="143"/>
      <c r="AA290" s="143"/>
      <c r="AB290" s="143"/>
      <c r="AC290" s="143"/>
      <c r="AD290" s="143"/>
      <c r="AE290" s="143"/>
    </row>
    <row r="291" spans="1:3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4"/>
      <c r="L291" s="144"/>
      <c r="M291" s="144"/>
      <c r="N291" s="144"/>
      <c r="O291" s="143"/>
      <c r="P291" s="144"/>
      <c r="Q291" s="143"/>
      <c r="R291" s="143"/>
      <c r="S291" s="143"/>
      <c r="T291" s="143"/>
      <c r="U291" s="143"/>
      <c r="V291" s="143"/>
      <c r="W291" s="143"/>
      <c r="X291" s="144"/>
      <c r="Y291" s="143"/>
      <c r="Z291" s="143"/>
      <c r="AA291" s="143"/>
      <c r="AB291" s="143"/>
      <c r="AC291" s="143"/>
      <c r="AD291" s="143"/>
      <c r="AE291" s="143"/>
    </row>
    <row r="292" spans="1:3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4"/>
      <c r="L292" s="143"/>
      <c r="M292" s="144"/>
      <c r="N292" s="143"/>
      <c r="O292" s="143"/>
      <c r="P292" s="144"/>
      <c r="Q292" s="143"/>
      <c r="R292" s="143"/>
      <c r="S292" s="143"/>
      <c r="T292" s="143"/>
      <c r="U292" s="143"/>
      <c r="V292" s="143"/>
      <c r="W292" s="143"/>
      <c r="X292" s="144"/>
      <c r="Y292" s="143"/>
      <c r="Z292" s="143"/>
      <c r="AA292" s="143"/>
      <c r="AB292" s="143"/>
      <c r="AC292" s="143"/>
      <c r="AD292" s="143"/>
      <c r="AE292" s="143"/>
    </row>
    <row r="293" spans="1:3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4"/>
      <c r="L293" s="144"/>
      <c r="M293" s="144"/>
      <c r="N293" s="143"/>
      <c r="O293" s="143"/>
      <c r="P293" s="144"/>
      <c r="Q293" s="143"/>
      <c r="R293" s="143"/>
      <c r="S293" s="143"/>
      <c r="T293" s="143"/>
      <c r="U293" s="143"/>
      <c r="V293" s="143"/>
      <c r="W293" s="143"/>
      <c r="X293" s="144"/>
      <c r="Y293" s="143"/>
      <c r="Z293" s="143"/>
      <c r="AA293" s="143"/>
      <c r="AB293" s="143"/>
      <c r="AC293" s="143"/>
      <c r="AD293" s="143"/>
      <c r="AE293" s="143"/>
    </row>
    <row r="294" spans="1:3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4"/>
      <c r="L294" s="144"/>
      <c r="M294" s="144"/>
      <c r="N294" s="143"/>
      <c r="O294" s="143"/>
      <c r="P294" s="144"/>
      <c r="Q294" s="143"/>
      <c r="R294" s="143"/>
      <c r="S294" s="143"/>
      <c r="T294" s="143"/>
      <c r="U294" s="143"/>
      <c r="V294" s="143"/>
      <c r="W294" s="143"/>
      <c r="X294" s="144"/>
      <c r="Y294" s="143"/>
      <c r="Z294" s="143"/>
      <c r="AA294" s="143"/>
      <c r="AB294" s="143"/>
      <c r="AC294" s="143"/>
      <c r="AD294" s="143"/>
      <c r="AE294" s="143"/>
    </row>
    <row r="295" spans="1:3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4"/>
      <c r="L295" s="144"/>
      <c r="M295" s="144"/>
      <c r="N295" s="143"/>
      <c r="O295" s="143"/>
      <c r="P295" s="144"/>
      <c r="Q295" s="143"/>
      <c r="R295" s="143"/>
      <c r="S295" s="143"/>
      <c r="T295" s="143"/>
      <c r="U295" s="143"/>
      <c r="V295" s="143"/>
      <c r="W295" s="143"/>
      <c r="X295" s="144"/>
      <c r="Y295" s="143"/>
      <c r="Z295" s="143"/>
      <c r="AA295" s="143"/>
      <c r="AB295" s="143"/>
      <c r="AC295" s="143"/>
      <c r="AD295" s="143"/>
      <c r="AE295" s="143"/>
    </row>
    <row r="296" spans="1:3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4"/>
      <c r="L296" s="144"/>
      <c r="M296" s="144"/>
      <c r="N296" s="143"/>
      <c r="O296" s="143"/>
      <c r="P296" s="144"/>
      <c r="Q296" s="143"/>
      <c r="R296" s="143"/>
      <c r="S296" s="143"/>
      <c r="T296" s="143"/>
      <c r="U296" s="143"/>
      <c r="V296" s="143"/>
      <c r="W296" s="143"/>
      <c r="X296" s="144"/>
      <c r="Y296" s="143"/>
      <c r="Z296" s="143"/>
      <c r="AA296" s="143"/>
      <c r="AB296" s="143"/>
      <c r="AC296" s="143"/>
      <c r="AD296" s="143"/>
      <c r="AE296" s="143"/>
    </row>
    <row r="297" spans="1:3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4"/>
      <c r="L297" s="144"/>
      <c r="M297" s="144"/>
      <c r="N297" s="143"/>
      <c r="O297" s="143"/>
      <c r="P297" s="144"/>
      <c r="Q297" s="143"/>
      <c r="R297" s="143"/>
      <c r="S297" s="143"/>
      <c r="T297" s="143"/>
      <c r="U297" s="143"/>
      <c r="V297" s="143"/>
      <c r="W297" s="143"/>
      <c r="X297" s="144"/>
      <c r="Y297" s="143"/>
      <c r="Z297" s="143"/>
      <c r="AA297" s="143"/>
      <c r="AB297" s="143"/>
      <c r="AC297" s="143"/>
      <c r="AD297" s="143"/>
      <c r="AE297" s="143"/>
    </row>
    <row r="298" spans="1:3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4"/>
      <c r="L298" s="143"/>
      <c r="M298" s="144"/>
      <c r="N298" s="143"/>
      <c r="O298" s="143"/>
      <c r="P298" s="144"/>
      <c r="Q298" s="143"/>
      <c r="R298" s="143"/>
      <c r="S298" s="143"/>
      <c r="T298" s="143"/>
      <c r="U298" s="143"/>
      <c r="V298" s="143"/>
      <c r="W298" s="143"/>
      <c r="X298" s="144"/>
      <c r="Y298" s="143"/>
      <c r="Z298" s="143"/>
      <c r="AA298" s="143"/>
      <c r="AB298" s="143"/>
      <c r="AC298" s="143"/>
      <c r="AD298" s="143"/>
      <c r="AE298" s="143"/>
    </row>
    <row r="299" spans="1:3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4"/>
      <c r="L299" s="144"/>
      <c r="M299" s="144"/>
      <c r="N299" s="144"/>
      <c r="O299" s="143"/>
      <c r="P299" s="144"/>
      <c r="Q299" s="143"/>
      <c r="R299" s="143"/>
      <c r="S299" s="143"/>
      <c r="T299" s="143"/>
      <c r="U299" s="143"/>
      <c r="V299" s="143"/>
      <c r="W299" s="143"/>
      <c r="X299" s="144"/>
      <c r="Y299" s="143"/>
      <c r="Z299" s="143"/>
      <c r="AA299" s="143"/>
      <c r="AB299" s="143"/>
      <c r="AC299" s="143"/>
      <c r="AD299" s="143"/>
      <c r="AE299" s="143"/>
    </row>
    <row r="300" spans="1:3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4"/>
      <c r="L300" s="144"/>
      <c r="M300" s="144"/>
      <c r="N300" s="144"/>
      <c r="O300" s="143"/>
      <c r="P300" s="144"/>
      <c r="Q300" s="143"/>
      <c r="R300" s="143"/>
      <c r="S300" s="143"/>
      <c r="T300" s="143"/>
      <c r="U300" s="143"/>
      <c r="V300" s="143"/>
      <c r="W300" s="143"/>
      <c r="X300" s="144"/>
      <c r="Y300" s="143"/>
      <c r="Z300" s="143"/>
      <c r="AA300" s="143"/>
      <c r="AB300" s="143"/>
      <c r="AC300" s="143"/>
      <c r="AD300" s="143"/>
      <c r="AE300" s="143"/>
    </row>
    <row r="301" spans="1:3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4"/>
      <c r="L301" s="144"/>
      <c r="M301" s="144"/>
      <c r="N301" s="144"/>
      <c r="O301" s="143"/>
      <c r="P301" s="144"/>
      <c r="Q301" s="143"/>
      <c r="R301" s="143"/>
      <c r="S301" s="143"/>
      <c r="T301" s="143"/>
      <c r="U301" s="143"/>
      <c r="V301" s="143"/>
      <c r="W301" s="143"/>
      <c r="X301" s="144"/>
      <c r="Y301" s="143"/>
      <c r="Z301" s="143"/>
      <c r="AA301" s="143"/>
      <c r="AB301" s="143"/>
      <c r="AC301" s="143"/>
      <c r="AD301" s="143"/>
      <c r="AE301" s="143"/>
    </row>
    <row r="302" spans="1:3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4"/>
      <c r="L302" s="144"/>
      <c r="M302" s="144"/>
      <c r="N302" s="144"/>
      <c r="O302" s="143"/>
      <c r="P302" s="144"/>
      <c r="Q302" s="143"/>
      <c r="R302" s="143"/>
      <c r="S302" s="143"/>
      <c r="T302" s="143"/>
      <c r="U302" s="143"/>
      <c r="V302" s="143"/>
      <c r="W302" s="143"/>
      <c r="X302" s="144"/>
      <c r="Y302" s="143"/>
      <c r="Z302" s="143"/>
      <c r="AA302" s="143"/>
      <c r="AB302" s="143"/>
      <c r="AC302" s="143"/>
      <c r="AD302" s="143"/>
      <c r="AE302" s="143"/>
    </row>
    <row r="303" spans="1:3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4"/>
      <c r="L303" s="144"/>
      <c r="M303" s="144"/>
      <c r="N303" s="144"/>
      <c r="O303" s="143"/>
      <c r="P303" s="144"/>
      <c r="Q303" s="143"/>
      <c r="R303" s="143"/>
      <c r="S303" s="143"/>
      <c r="T303" s="143"/>
      <c r="U303" s="143"/>
      <c r="V303" s="143"/>
      <c r="W303" s="143"/>
      <c r="X303" s="144"/>
      <c r="Y303" s="143"/>
      <c r="Z303" s="143"/>
      <c r="AA303" s="143"/>
      <c r="AB303" s="143"/>
      <c r="AC303" s="143"/>
      <c r="AD303" s="143"/>
      <c r="AE303" s="143"/>
    </row>
    <row r="304" spans="1:3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4"/>
      <c r="L304" s="144"/>
      <c r="M304" s="144"/>
      <c r="N304" s="144"/>
      <c r="O304" s="143"/>
      <c r="P304" s="144"/>
      <c r="Q304" s="143"/>
      <c r="R304" s="143"/>
      <c r="S304" s="143"/>
      <c r="T304" s="143"/>
      <c r="U304" s="143"/>
      <c r="V304" s="143"/>
      <c r="W304" s="143"/>
      <c r="X304" s="144"/>
      <c r="Y304" s="143"/>
      <c r="Z304" s="143"/>
      <c r="AA304" s="143"/>
      <c r="AB304" s="143"/>
      <c r="AC304" s="143"/>
      <c r="AD304" s="143"/>
      <c r="AE304" s="143"/>
    </row>
    <row r="305" spans="1:3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4"/>
      <c r="L305" s="144"/>
      <c r="M305" s="144"/>
      <c r="N305" s="144"/>
      <c r="O305" s="143"/>
      <c r="P305" s="144"/>
      <c r="Q305" s="143"/>
      <c r="R305" s="143"/>
      <c r="S305" s="143"/>
      <c r="T305" s="143"/>
      <c r="U305" s="143"/>
      <c r="V305" s="143"/>
      <c r="W305" s="143"/>
      <c r="X305" s="144"/>
      <c r="Y305" s="143"/>
      <c r="Z305" s="143"/>
      <c r="AA305" s="143"/>
      <c r="AB305" s="143"/>
      <c r="AC305" s="143"/>
      <c r="AD305" s="143"/>
      <c r="AE305" s="143"/>
    </row>
    <row r="306" spans="1:3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4"/>
      <c r="L306" s="144"/>
      <c r="M306" s="144"/>
      <c r="N306" s="144"/>
      <c r="O306" s="143"/>
      <c r="P306" s="144"/>
      <c r="Q306" s="143"/>
      <c r="R306" s="143"/>
      <c r="S306" s="143"/>
      <c r="T306" s="143"/>
      <c r="U306" s="143"/>
      <c r="V306" s="143"/>
      <c r="W306" s="143"/>
      <c r="X306" s="144"/>
      <c r="Y306" s="143"/>
      <c r="Z306" s="143"/>
      <c r="AA306" s="143"/>
      <c r="AB306" s="143"/>
      <c r="AC306" s="143"/>
      <c r="AD306" s="143"/>
      <c r="AE306" s="143"/>
    </row>
    <row r="307" spans="1:3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4"/>
      <c r="L307" s="144"/>
      <c r="M307" s="144"/>
      <c r="N307" s="144"/>
      <c r="O307" s="143"/>
      <c r="P307" s="144"/>
      <c r="Q307" s="143"/>
      <c r="R307" s="143"/>
      <c r="S307" s="143"/>
      <c r="T307" s="143"/>
      <c r="U307" s="143"/>
      <c r="V307" s="143"/>
      <c r="W307" s="143"/>
      <c r="X307" s="144"/>
      <c r="Y307" s="143"/>
      <c r="Z307" s="143"/>
      <c r="AA307" s="143"/>
      <c r="AB307" s="143"/>
      <c r="AC307" s="143"/>
      <c r="AD307" s="143"/>
      <c r="AE307" s="143"/>
    </row>
    <row r="308" spans="1:3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4"/>
      <c r="L308" s="144"/>
      <c r="M308" s="144"/>
      <c r="N308" s="144"/>
      <c r="O308" s="143"/>
      <c r="P308" s="144"/>
      <c r="Q308" s="143"/>
      <c r="R308" s="143"/>
      <c r="S308" s="143"/>
      <c r="T308" s="143"/>
      <c r="U308" s="143"/>
      <c r="V308" s="143"/>
      <c r="W308" s="143"/>
      <c r="X308" s="144"/>
      <c r="Y308" s="143"/>
      <c r="Z308" s="143"/>
      <c r="AA308" s="143"/>
      <c r="AB308" s="143"/>
      <c r="AC308" s="143"/>
      <c r="AD308" s="143"/>
      <c r="AE308" s="143"/>
    </row>
    <row r="309" spans="1:3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4"/>
      <c r="L309" s="144"/>
      <c r="M309" s="144"/>
      <c r="N309" s="144"/>
      <c r="O309" s="143"/>
      <c r="P309" s="144"/>
      <c r="Q309" s="143"/>
      <c r="R309" s="143"/>
      <c r="S309" s="143"/>
      <c r="T309" s="143"/>
      <c r="U309" s="143"/>
      <c r="V309" s="143"/>
      <c r="W309" s="143"/>
      <c r="X309" s="144"/>
      <c r="Y309" s="143"/>
      <c r="Z309" s="143"/>
      <c r="AA309" s="143"/>
      <c r="AB309" s="143"/>
      <c r="AC309" s="143"/>
      <c r="AD309" s="143"/>
      <c r="AE309" s="143"/>
    </row>
    <row r="310" spans="1:3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4"/>
      <c r="L310" s="144"/>
      <c r="M310" s="144"/>
      <c r="N310" s="144"/>
      <c r="O310" s="143"/>
      <c r="P310" s="144"/>
      <c r="Q310" s="143"/>
      <c r="R310" s="143"/>
      <c r="S310" s="143"/>
      <c r="T310" s="143"/>
      <c r="U310" s="143"/>
      <c r="V310" s="143"/>
      <c r="W310" s="143"/>
      <c r="X310" s="144"/>
      <c r="Y310" s="143"/>
      <c r="Z310" s="143"/>
      <c r="AA310" s="143"/>
      <c r="AB310" s="143"/>
      <c r="AC310" s="143"/>
      <c r="AD310" s="143"/>
      <c r="AE310" s="143"/>
    </row>
    <row r="311" spans="1:3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4"/>
      <c r="L311" s="144"/>
      <c r="M311" s="144"/>
      <c r="N311" s="144"/>
      <c r="O311" s="143"/>
      <c r="P311" s="144"/>
      <c r="Q311" s="143"/>
      <c r="R311" s="143"/>
      <c r="S311" s="143"/>
      <c r="T311" s="143"/>
      <c r="U311" s="143"/>
      <c r="V311" s="143"/>
      <c r="W311" s="143"/>
      <c r="X311" s="144"/>
      <c r="Y311" s="143"/>
      <c r="Z311" s="143"/>
      <c r="AA311" s="143"/>
      <c r="AB311" s="143"/>
      <c r="AC311" s="143"/>
      <c r="AD311" s="143"/>
      <c r="AE311" s="143"/>
    </row>
    <row r="312" spans="1:3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4"/>
      <c r="L312" s="144"/>
      <c r="M312" s="144"/>
      <c r="N312" s="144"/>
      <c r="O312" s="143"/>
      <c r="P312" s="144"/>
      <c r="Q312" s="143"/>
      <c r="R312" s="143"/>
      <c r="S312" s="143"/>
      <c r="T312" s="143"/>
      <c r="U312" s="143"/>
      <c r="V312" s="143"/>
      <c r="W312" s="143"/>
      <c r="X312" s="144"/>
      <c r="Y312" s="143"/>
      <c r="Z312" s="143"/>
      <c r="AA312" s="143"/>
      <c r="AB312" s="143"/>
      <c r="AC312" s="143"/>
      <c r="AD312" s="143"/>
      <c r="AE312" s="143"/>
    </row>
    <row r="313" spans="1:3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4"/>
      <c r="L313" s="144"/>
      <c r="M313" s="144"/>
      <c r="N313" s="144"/>
      <c r="O313" s="143"/>
      <c r="P313" s="144"/>
      <c r="Q313" s="143"/>
      <c r="R313" s="143"/>
      <c r="S313" s="143"/>
      <c r="T313" s="143"/>
      <c r="U313" s="143"/>
      <c r="V313" s="143"/>
      <c r="W313" s="143"/>
      <c r="X313" s="144"/>
      <c r="Y313" s="143"/>
      <c r="Z313" s="143"/>
      <c r="AA313" s="143"/>
      <c r="AB313" s="143"/>
      <c r="AC313" s="143"/>
      <c r="AD313" s="143"/>
      <c r="AE313" s="143"/>
    </row>
    <row r="314" spans="1:3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4"/>
      <c r="L314" s="144"/>
      <c r="M314" s="144"/>
      <c r="N314" s="144"/>
      <c r="O314" s="143"/>
      <c r="P314" s="144"/>
      <c r="Q314" s="143"/>
      <c r="R314" s="143"/>
      <c r="S314" s="143"/>
      <c r="T314" s="143"/>
      <c r="U314" s="143"/>
      <c r="V314" s="143"/>
      <c r="W314" s="143"/>
      <c r="X314" s="144"/>
      <c r="Y314" s="143"/>
      <c r="Z314" s="143"/>
      <c r="AA314" s="143"/>
      <c r="AB314" s="143"/>
      <c r="AC314" s="143"/>
      <c r="AD314" s="143"/>
      <c r="AE314" s="143"/>
    </row>
    <row r="315" spans="1:3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4"/>
      <c r="L315" s="144"/>
      <c r="M315" s="144"/>
      <c r="N315" s="144"/>
      <c r="O315" s="143"/>
      <c r="P315" s="144"/>
      <c r="Q315" s="143"/>
      <c r="R315" s="143"/>
      <c r="S315" s="143"/>
      <c r="T315" s="143"/>
      <c r="U315" s="143"/>
      <c r="V315" s="143"/>
      <c r="W315" s="143"/>
      <c r="X315" s="144"/>
      <c r="Y315" s="143"/>
      <c r="Z315" s="143"/>
      <c r="AA315" s="143"/>
      <c r="AB315" s="143"/>
      <c r="AC315" s="143"/>
      <c r="AD315" s="143"/>
      <c r="AE315" s="143"/>
    </row>
    <row r="316" spans="1:3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4"/>
      <c r="L316" s="144"/>
      <c r="M316" s="144"/>
      <c r="N316" s="144"/>
      <c r="O316" s="143"/>
      <c r="P316" s="144"/>
      <c r="Q316" s="143"/>
      <c r="R316" s="143"/>
      <c r="S316" s="143"/>
      <c r="T316" s="143"/>
      <c r="U316" s="143"/>
      <c r="V316" s="143"/>
      <c r="W316" s="143"/>
      <c r="X316" s="144"/>
      <c r="Y316" s="143"/>
      <c r="Z316" s="143"/>
      <c r="AA316" s="143"/>
      <c r="AB316" s="143"/>
      <c r="AC316" s="143"/>
      <c r="AD316" s="143"/>
      <c r="AE316" s="143"/>
    </row>
    <row r="317" spans="1:3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4"/>
      <c r="L317" s="144"/>
      <c r="M317" s="144"/>
      <c r="N317" s="144"/>
      <c r="O317" s="143"/>
      <c r="P317" s="144"/>
      <c r="Q317" s="143"/>
      <c r="R317" s="143"/>
      <c r="S317" s="143"/>
      <c r="T317" s="143"/>
      <c r="U317" s="143"/>
      <c r="V317" s="143"/>
      <c r="W317" s="143"/>
      <c r="X317" s="144"/>
      <c r="Y317" s="143"/>
      <c r="Z317" s="143"/>
      <c r="AA317" s="143"/>
      <c r="AB317" s="143"/>
      <c r="AC317" s="143"/>
      <c r="AD317" s="143"/>
      <c r="AE317" s="143"/>
    </row>
    <row r="318" spans="1:3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4"/>
      <c r="L318" s="144"/>
      <c r="M318" s="144"/>
      <c r="N318" s="144"/>
      <c r="O318" s="143"/>
      <c r="P318" s="144"/>
      <c r="Q318" s="143"/>
      <c r="R318" s="143"/>
      <c r="S318" s="143"/>
      <c r="T318" s="143"/>
      <c r="U318" s="143"/>
      <c r="V318" s="143"/>
      <c r="W318" s="143"/>
      <c r="X318" s="144"/>
      <c r="Y318" s="143"/>
      <c r="Z318" s="143"/>
      <c r="AA318" s="143"/>
      <c r="AB318" s="143"/>
      <c r="AC318" s="143"/>
      <c r="AD318" s="143"/>
      <c r="AE318" s="143"/>
    </row>
    <row r="319" spans="1:3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4"/>
      <c r="L319" s="144"/>
      <c r="M319" s="144"/>
      <c r="N319" s="144"/>
      <c r="O319" s="143"/>
      <c r="P319" s="144"/>
      <c r="Q319" s="143"/>
      <c r="R319" s="143"/>
      <c r="S319" s="143"/>
      <c r="T319" s="143"/>
      <c r="U319" s="143"/>
      <c r="V319" s="143"/>
      <c r="W319" s="143"/>
      <c r="X319" s="144"/>
      <c r="Y319" s="143"/>
      <c r="Z319" s="143"/>
      <c r="AA319" s="143"/>
      <c r="AB319" s="143"/>
      <c r="AC319" s="143"/>
      <c r="AD319" s="143"/>
      <c r="AE319" s="143"/>
    </row>
    <row r="320" spans="1:3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4"/>
      <c r="L320" s="144"/>
      <c r="M320" s="144"/>
      <c r="N320" s="144"/>
      <c r="O320" s="143"/>
      <c r="P320" s="144"/>
      <c r="Q320" s="143"/>
      <c r="R320" s="143"/>
      <c r="S320" s="143"/>
      <c r="T320" s="143"/>
      <c r="U320" s="143"/>
      <c r="V320" s="143"/>
      <c r="W320" s="143"/>
      <c r="X320" s="144"/>
      <c r="Y320" s="143"/>
      <c r="Z320" s="143"/>
      <c r="AA320" s="143"/>
      <c r="AB320" s="143"/>
      <c r="AC320" s="143"/>
      <c r="AD320" s="143"/>
      <c r="AE320" s="143"/>
    </row>
    <row r="321" spans="1:3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4"/>
      <c r="L321" s="144"/>
      <c r="M321" s="144"/>
      <c r="N321" s="144"/>
      <c r="O321" s="143"/>
      <c r="P321" s="144"/>
      <c r="Q321" s="143"/>
      <c r="R321" s="143"/>
      <c r="S321" s="143"/>
      <c r="T321" s="143"/>
      <c r="U321" s="143"/>
      <c r="V321" s="143"/>
      <c r="W321" s="143"/>
      <c r="X321" s="144"/>
      <c r="Y321" s="143"/>
      <c r="Z321" s="143"/>
      <c r="AA321" s="143"/>
      <c r="AB321" s="143"/>
      <c r="AC321" s="143"/>
      <c r="AD321" s="143"/>
      <c r="AE321" s="143"/>
    </row>
    <row r="322" spans="1:3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4"/>
      <c r="L322" s="144"/>
      <c r="M322" s="144"/>
      <c r="N322" s="144"/>
      <c r="O322" s="143"/>
      <c r="P322" s="144"/>
      <c r="Q322" s="143"/>
      <c r="R322" s="143"/>
      <c r="S322" s="143"/>
      <c r="T322" s="143"/>
      <c r="U322" s="143"/>
      <c r="V322" s="143"/>
      <c r="W322" s="143"/>
      <c r="X322" s="144"/>
      <c r="Y322" s="143"/>
      <c r="Z322" s="143"/>
      <c r="AA322" s="143"/>
      <c r="AB322" s="143"/>
      <c r="AC322" s="143"/>
      <c r="AD322" s="143"/>
      <c r="AE322" s="143"/>
    </row>
    <row r="323" spans="1:3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4"/>
      <c r="L323" s="144"/>
      <c r="M323" s="144"/>
      <c r="N323" s="144"/>
      <c r="O323" s="143"/>
      <c r="P323" s="144"/>
      <c r="Q323" s="143"/>
      <c r="R323" s="143"/>
      <c r="S323" s="143"/>
      <c r="T323" s="143"/>
      <c r="U323" s="143"/>
      <c r="V323" s="143"/>
      <c r="W323" s="143"/>
      <c r="X323" s="144"/>
      <c r="Y323" s="143"/>
      <c r="Z323" s="143"/>
      <c r="AA323" s="143"/>
      <c r="AB323" s="143"/>
      <c r="AC323" s="143"/>
      <c r="AD323" s="143"/>
      <c r="AE323" s="143"/>
    </row>
    <row r="324" spans="1:3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4"/>
      <c r="L324" s="144"/>
      <c r="M324" s="144"/>
      <c r="N324" s="144"/>
      <c r="O324" s="143"/>
      <c r="P324" s="144"/>
      <c r="Q324" s="143"/>
      <c r="R324" s="143"/>
      <c r="S324" s="143"/>
      <c r="T324" s="143"/>
      <c r="U324" s="143"/>
      <c r="V324" s="143"/>
      <c r="W324" s="143"/>
      <c r="X324" s="144"/>
      <c r="Y324" s="143"/>
      <c r="Z324" s="143"/>
      <c r="AA324" s="143"/>
      <c r="AB324" s="143"/>
      <c r="AC324" s="143"/>
      <c r="AD324" s="143"/>
      <c r="AE324" s="143"/>
    </row>
    <row r="325" spans="1:3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4"/>
      <c r="L325" s="144"/>
      <c r="M325" s="144"/>
      <c r="N325" s="144"/>
      <c r="O325" s="143"/>
      <c r="P325" s="144"/>
      <c r="Q325" s="143"/>
      <c r="R325" s="143"/>
      <c r="S325" s="143"/>
      <c r="T325" s="143"/>
      <c r="U325" s="143"/>
      <c r="V325" s="143"/>
      <c r="W325" s="143"/>
      <c r="X325" s="144"/>
      <c r="Y325" s="143"/>
      <c r="Z325" s="143"/>
      <c r="AA325" s="143"/>
      <c r="AB325" s="143"/>
      <c r="AC325" s="143"/>
      <c r="AD325" s="143"/>
      <c r="AE325" s="143"/>
    </row>
    <row r="326" spans="1:3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4"/>
      <c r="L326" s="144"/>
      <c r="M326" s="144"/>
      <c r="N326" s="144"/>
      <c r="O326" s="143"/>
      <c r="P326" s="144"/>
      <c r="Q326" s="143"/>
      <c r="R326" s="143"/>
      <c r="S326" s="143"/>
      <c r="T326" s="143"/>
      <c r="U326" s="143"/>
      <c r="V326" s="143"/>
      <c r="W326" s="143"/>
      <c r="X326" s="144"/>
      <c r="Y326" s="143"/>
      <c r="Z326" s="143"/>
      <c r="AA326" s="143"/>
      <c r="AB326" s="143"/>
      <c r="AC326" s="143"/>
      <c r="AD326" s="143"/>
      <c r="AE326" s="143"/>
    </row>
    <row r="327" spans="1:3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4"/>
      <c r="L327" s="144"/>
      <c r="M327" s="144"/>
      <c r="N327" s="144"/>
      <c r="O327" s="143"/>
      <c r="P327" s="144"/>
      <c r="Q327" s="143"/>
      <c r="R327" s="143"/>
      <c r="S327" s="143"/>
      <c r="T327" s="143"/>
      <c r="U327" s="143"/>
      <c r="V327" s="143"/>
      <c r="W327" s="143"/>
      <c r="X327" s="144"/>
      <c r="Y327" s="143"/>
      <c r="Z327" s="143"/>
      <c r="AA327" s="143"/>
      <c r="AB327" s="143"/>
      <c r="AC327" s="143"/>
      <c r="AD327" s="143"/>
      <c r="AE327" s="143"/>
    </row>
    <row r="328" spans="1:3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4"/>
      <c r="L328" s="144"/>
      <c r="M328" s="144"/>
      <c r="N328" s="144"/>
      <c r="O328" s="143"/>
      <c r="P328" s="144"/>
      <c r="Q328" s="143"/>
      <c r="R328" s="143"/>
      <c r="S328" s="143"/>
      <c r="T328" s="143"/>
      <c r="U328" s="143"/>
      <c r="V328" s="143"/>
      <c r="W328" s="143"/>
      <c r="X328" s="144"/>
      <c r="Y328" s="143"/>
      <c r="Z328" s="143"/>
      <c r="AA328" s="143"/>
      <c r="AB328" s="143"/>
      <c r="AC328" s="143"/>
      <c r="AD328" s="143"/>
      <c r="AE328" s="143"/>
    </row>
    <row r="329" spans="1:3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4"/>
      <c r="L329" s="144"/>
      <c r="M329" s="144"/>
      <c r="N329" s="144"/>
      <c r="O329" s="143"/>
      <c r="P329" s="144"/>
      <c r="Q329" s="143"/>
      <c r="R329" s="143"/>
      <c r="S329" s="143"/>
      <c r="T329" s="143"/>
      <c r="U329" s="143"/>
      <c r="V329" s="143"/>
      <c r="W329" s="143"/>
      <c r="X329" s="144"/>
      <c r="Y329" s="143"/>
      <c r="Z329" s="143"/>
      <c r="AA329" s="143"/>
      <c r="AB329" s="143"/>
      <c r="AC329" s="143"/>
      <c r="AD329" s="143"/>
      <c r="AE329" s="143"/>
    </row>
    <row r="330" spans="1:3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4"/>
      <c r="L330" s="144"/>
      <c r="M330" s="144"/>
      <c r="N330" s="144"/>
      <c r="O330" s="143"/>
      <c r="P330" s="144"/>
      <c r="Q330" s="143"/>
      <c r="R330" s="143"/>
      <c r="S330" s="143"/>
      <c r="T330" s="143"/>
      <c r="U330" s="143"/>
      <c r="V330" s="143"/>
      <c r="W330" s="143"/>
      <c r="X330" s="144"/>
      <c r="Y330" s="143"/>
      <c r="Z330" s="143"/>
      <c r="AA330" s="143"/>
      <c r="AB330" s="143"/>
      <c r="AC330" s="143"/>
      <c r="AD330" s="143"/>
      <c r="AE330" s="143"/>
    </row>
    <row r="331" spans="1: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4"/>
      <c r="L331" s="143"/>
      <c r="M331" s="144"/>
      <c r="N331" s="143"/>
      <c r="O331" s="143"/>
      <c r="P331" s="144"/>
      <c r="Q331" s="143"/>
      <c r="R331" s="143"/>
      <c r="S331" s="143"/>
      <c r="T331" s="143"/>
      <c r="U331" s="143"/>
      <c r="V331" s="143"/>
      <c r="W331" s="143"/>
      <c r="X331" s="144"/>
      <c r="Y331" s="143"/>
      <c r="Z331" s="143"/>
      <c r="AA331" s="143"/>
      <c r="AB331" s="143"/>
      <c r="AC331" s="143"/>
      <c r="AD331" s="143"/>
      <c r="AE331" s="143"/>
    </row>
    <row r="332" spans="1:3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4"/>
      <c r="L332" s="144"/>
      <c r="M332" s="144"/>
      <c r="N332" s="144"/>
      <c r="O332" s="143"/>
      <c r="P332" s="144"/>
      <c r="Q332" s="143"/>
      <c r="R332" s="143"/>
      <c r="S332" s="143"/>
      <c r="T332" s="143"/>
      <c r="U332" s="143"/>
      <c r="V332" s="143"/>
      <c r="W332" s="143"/>
      <c r="X332" s="144"/>
      <c r="Y332" s="143"/>
      <c r="Z332" s="143"/>
      <c r="AA332" s="143"/>
      <c r="AB332" s="143"/>
      <c r="AC332" s="143"/>
      <c r="AD332" s="143"/>
      <c r="AE332" s="143"/>
    </row>
    <row r="333" spans="1:3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4"/>
      <c r="L333" s="144"/>
      <c r="M333" s="144"/>
      <c r="N333" s="144"/>
      <c r="O333" s="143"/>
      <c r="P333" s="144"/>
      <c r="Q333" s="143"/>
      <c r="R333" s="143"/>
      <c r="S333" s="143"/>
      <c r="T333" s="143"/>
      <c r="U333" s="143"/>
      <c r="V333" s="143"/>
      <c r="W333" s="143"/>
      <c r="X333" s="144"/>
      <c r="Y333" s="143"/>
      <c r="Z333" s="143"/>
      <c r="AA333" s="143"/>
      <c r="AB333" s="143"/>
      <c r="AC333" s="143"/>
      <c r="AD333" s="143"/>
      <c r="AE333" s="143"/>
    </row>
    <row r="334" spans="1:3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4"/>
      <c r="L334" s="144"/>
      <c r="M334" s="144"/>
      <c r="N334" s="144"/>
      <c r="O334" s="143"/>
      <c r="P334" s="144"/>
      <c r="Q334" s="143"/>
      <c r="R334" s="143"/>
      <c r="S334" s="143"/>
      <c r="T334" s="143"/>
      <c r="U334" s="143"/>
      <c r="V334" s="143"/>
      <c r="W334" s="143"/>
      <c r="X334" s="144"/>
      <c r="Y334" s="143"/>
      <c r="Z334" s="143"/>
      <c r="AA334" s="143"/>
      <c r="AB334" s="143"/>
      <c r="AC334" s="143"/>
      <c r="AD334" s="143"/>
      <c r="AE334" s="143"/>
    </row>
    <row r="335" spans="1:3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4"/>
      <c r="L335" s="144"/>
      <c r="M335" s="144"/>
      <c r="N335" s="144"/>
      <c r="O335" s="143"/>
      <c r="P335" s="144"/>
      <c r="Q335" s="143"/>
      <c r="R335" s="143"/>
      <c r="S335" s="143"/>
      <c r="T335" s="143"/>
      <c r="U335" s="143"/>
      <c r="V335" s="143"/>
      <c r="W335" s="143"/>
      <c r="X335" s="144"/>
      <c r="Y335" s="143"/>
      <c r="Z335" s="143"/>
      <c r="AA335" s="143"/>
      <c r="AB335" s="143"/>
      <c r="AC335" s="143"/>
      <c r="AD335" s="143"/>
      <c r="AE335" s="143"/>
    </row>
    <row r="336" spans="1:3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4"/>
      <c r="L336" s="144"/>
      <c r="M336" s="144"/>
      <c r="N336" s="144"/>
      <c r="O336" s="143"/>
      <c r="P336" s="144"/>
      <c r="Q336" s="143"/>
      <c r="R336" s="143"/>
      <c r="S336" s="143"/>
      <c r="T336" s="143"/>
      <c r="U336" s="143"/>
      <c r="V336" s="143"/>
      <c r="W336" s="143"/>
      <c r="X336" s="144"/>
      <c r="Y336" s="143"/>
      <c r="Z336" s="143"/>
      <c r="AA336" s="143"/>
      <c r="AB336" s="143"/>
      <c r="AC336" s="143"/>
      <c r="AD336" s="143"/>
      <c r="AE336" s="143"/>
    </row>
    <row r="337" spans="1:3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4"/>
      <c r="L337" s="144"/>
      <c r="M337" s="144"/>
      <c r="N337" s="144"/>
      <c r="O337" s="143"/>
      <c r="P337" s="144"/>
      <c r="Q337" s="143"/>
      <c r="R337" s="143"/>
      <c r="S337" s="143"/>
      <c r="T337" s="143"/>
      <c r="U337" s="143"/>
      <c r="V337" s="143"/>
      <c r="W337" s="143"/>
      <c r="X337" s="144"/>
      <c r="Y337" s="143"/>
      <c r="Z337" s="143"/>
      <c r="AA337" s="143"/>
      <c r="AB337" s="143"/>
      <c r="AC337" s="143"/>
      <c r="AD337" s="143"/>
      <c r="AE337" s="143"/>
    </row>
    <row r="338" spans="1:3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4"/>
      <c r="L338" s="144"/>
      <c r="M338" s="144"/>
      <c r="N338" s="144"/>
      <c r="O338" s="143"/>
      <c r="P338" s="144"/>
      <c r="Q338" s="143"/>
      <c r="R338" s="143"/>
      <c r="S338" s="143"/>
      <c r="T338" s="143"/>
      <c r="U338" s="143"/>
      <c r="V338" s="143"/>
      <c r="W338" s="143"/>
      <c r="X338" s="144"/>
      <c r="Y338" s="143"/>
      <c r="Z338" s="143"/>
      <c r="AA338" s="143"/>
      <c r="AB338" s="143"/>
      <c r="AC338" s="143"/>
      <c r="AD338" s="143"/>
      <c r="AE338" s="143"/>
    </row>
    <row r="339" spans="1:3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4"/>
      <c r="L339" s="144"/>
      <c r="M339" s="144"/>
      <c r="N339" s="144"/>
      <c r="O339" s="143"/>
      <c r="P339" s="144"/>
      <c r="Q339" s="143"/>
      <c r="R339" s="143"/>
      <c r="S339" s="143"/>
      <c r="T339" s="143"/>
      <c r="U339" s="143"/>
      <c r="V339" s="143"/>
      <c r="W339" s="143"/>
      <c r="X339" s="144"/>
      <c r="Y339" s="143"/>
      <c r="Z339" s="143"/>
      <c r="AA339" s="143"/>
      <c r="AB339" s="143"/>
      <c r="AC339" s="143"/>
      <c r="AD339" s="143"/>
      <c r="AE339" s="143"/>
    </row>
    <row r="340" spans="1:3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4"/>
      <c r="L340" s="143"/>
      <c r="M340" s="144"/>
      <c r="N340" s="144"/>
      <c r="O340" s="143"/>
      <c r="P340" s="144"/>
      <c r="Q340" s="143"/>
      <c r="R340" s="143"/>
      <c r="S340" s="143"/>
      <c r="T340" s="143"/>
      <c r="U340" s="143"/>
      <c r="V340" s="143"/>
      <c r="W340" s="143"/>
      <c r="X340" s="144"/>
      <c r="Y340" s="143"/>
      <c r="Z340" s="143"/>
      <c r="AA340" s="143"/>
      <c r="AB340" s="143"/>
      <c r="AC340" s="143"/>
      <c r="AD340" s="143"/>
      <c r="AE340" s="143"/>
    </row>
    <row r="341" spans="1:3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4"/>
      <c r="L341" s="144"/>
      <c r="M341" s="144"/>
      <c r="N341" s="144"/>
      <c r="O341" s="143"/>
      <c r="P341" s="144"/>
      <c r="Q341" s="143"/>
      <c r="R341" s="143"/>
      <c r="S341" s="143"/>
      <c r="T341" s="143"/>
      <c r="U341" s="143"/>
      <c r="V341" s="143"/>
      <c r="W341" s="143"/>
      <c r="X341" s="144"/>
      <c r="Y341" s="143"/>
      <c r="Z341" s="143"/>
      <c r="AA341" s="143"/>
      <c r="AB341" s="143"/>
      <c r="AC341" s="143"/>
      <c r="AD341" s="143"/>
      <c r="AE341" s="143"/>
    </row>
    <row r="342" spans="1:3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4"/>
      <c r="L342" s="144"/>
      <c r="M342" s="144"/>
      <c r="N342" s="144"/>
      <c r="O342" s="143"/>
      <c r="P342" s="144"/>
      <c r="Q342" s="143"/>
      <c r="R342" s="143"/>
      <c r="S342" s="143"/>
      <c r="T342" s="143"/>
      <c r="U342" s="143"/>
      <c r="V342" s="143"/>
      <c r="W342" s="143"/>
      <c r="X342" s="144"/>
      <c r="Y342" s="143"/>
      <c r="Z342" s="143"/>
      <c r="AA342" s="143"/>
      <c r="AB342" s="143"/>
      <c r="AC342" s="143"/>
      <c r="AD342" s="143"/>
      <c r="AE342" s="143"/>
    </row>
    <row r="343" spans="1:3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4"/>
      <c r="L343" s="144"/>
      <c r="M343" s="144"/>
      <c r="N343" s="143"/>
      <c r="O343" s="143"/>
      <c r="P343" s="144"/>
      <c r="Q343" s="143"/>
      <c r="R343" s="143"/>
      <c r="S343" s="143"/>
      <c r="T343" s="143"/>
      <c r="U343" s="143"/>
      <c r="V343" s="143"/>
      <c r="W343" s="143"/>
      <c r="X343" s="144"/>
      <c r="Y343" s="143"/>
      <c r="Z343" s="143"/>
      <c r="AA343" s="143"/>
      <c r="AB343" s="143"/>
      <c r="AC343" s="143"/>
      <c r="AD343" s="143"/>
      <c r="AE343" s="143"/>
    </row>
    <row r="344" spans="1:3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4"/>
      <c r="L344" s="144"/>
      <c r="M344" s="144"/>
      <c r="N344" s="144"/>
      <c r="O344" s="143"/>
      <c r="P344" s="144"/>
      <c r="Q344" s="143"/>
      <c r="R344" s="143"/>
      <c r="S344" s="143"/>
      <c r="T344" s="143"/>
      <c r="U344" s="143"/>
      <c r="V344" s="143"/>
      <c r="W344" s="143"/>
      <c r="X344" s="144"/>
      <c r="Y344" s="143"/>
      <c r="Z344" s="143"/>
      <c r="AA344" s="143"/>
      <c r="AB344" s="143"/>
      <c r="AC344" s="143"/>
      <c r="AD344" s="143"/>
      <c r="AE344" s="143"/>
    </row>
    <row r="345" spans="1:3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4"/>
      <c r="L345" s="144"/>
      <c r="M345" s="144"/>
      <c r="N345" s="144"/>
      <c r="O345" s="143"/>
      <c r="P345" s="144"/>
      <c r="Q345" s="143"/>
      <c r="R345" s="143"/>
      <c r="S345" s="143"/>
      <c r="T345" s="143"/>
      <c r="U345" s="143"/>
      <c r="V345" s="143"/>
      <c r="W345" s="143"/>
      <c r="X345" s="144"/>
      <c r="Y345" s="143"/>
      <c r="Z345" s="143"/>
      <c r="AA345" s="143"/>
      <c r="AB345" s="143"/>
      <c r="AC345" s="143"/>
      <c r="AD345" s="143"/>
      <c r="AE345" s="143"/>
    </row>
    <row r="346" spans="1:3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4"/>
      <c r="L346" s="144"/>
      <c r="M346" s="144"/>
      <c r="N346" s="144"/>
      <c r="O346" s="143"/>
      <c r="P346" s="144"/>
      <c r="Q346" s="143"/>
      <c r="R346" s="143"/>
      <c r="S346" s="143"/>
      <c r="T346" s="143"/>
      <c r="U346" s="143"/>
      <c r="V346" s="143"/>
      <c r="W346" s="143"/>
      <c r="X346" s="144"/>
      <c r="Y346" s="143"/>
      <c r="Z346" s="143"/>
      <c r="AA346" s="143"/>
      <c r="AB346" s="143"/>
      <c r="AC346" s="143"/>
      <c r="AD346" s="143"/>
      <c r="AE346" s="143"/>
    </row>
    <row r="347" spans="1:3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4"/>
      <c r="L347" s="144"/>
      <c r="M347" s="144"/>
      <c r="N347" s="144"/>
      <c r="O347" s="143"/>
      <c r="P347" s="144"/>
      <c r="Q347" s="143"/>
      <c r="R347" s="143"/>
      <c r="S347" s="143"/>
      <c r="T347" s="143"/>
      <c r="U347" s="143"/>
      <c r="V347" s="143"/>
      <c r="W347" s="143"/>
      <c r="X347" s="144"/>
      <c r="Y347" s="143"/>
      <c r="Z347" s="143"/>
      <c r="AA347" s="143"/>
      <c r="AB347" s="143"/>
      <c r="AC347" s="143"/>
      <c r="AD347" s="143"/>
      <c r="AE347" s="143"/>
    </row>
    <row r="348" spans="1:3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4"/>
      <c r="L348" s="144"/>
      <c r="M348" s="144"/>
      <c r="N348" s="144"/>
      <c r="O348" s="143"/>
      <c r="P348" s="144"/>
      <c r="Q348" s="143"/>
      <c r="R348" s="143"/>
      <c r="S348" s="143"/>
      <c r="T348" s="143"/>
      <c r="U348" s="143"/>
      <c r="V348" s="143"/>
      <c r="W348" s="143"/>
      <c r="X348" s="144"/>
      <c r="Y348" s="143"/>
      <c r="Z348" s="143"/>
      <c r="AA348" s="143"/>
      <c r="AB348" s="143"/>
      <c r="AC348" s="143"/>
      <c r="AD348" s="143"/>
      <c r="AE348" s="143"/>
    </row>
    <row r="349" spans="1:3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4"/>
      <c r="L349" s="144"/>
      <c r="M349" s="144"/>
      <c r="N349" s="144"/>
      <c r="O349" s="143"/>
      <c r="P349" s="144"/>
      <c r="Q349" s="143"/>
      <c r="R349" s="143"/>
      <c r="S349" s="143"/>
      <c r="T349" s="143"/>
      <c r="U349" s="143"/>
      <c r="V349" s="143"/>
      <c r="W349" s="143"/>
      <c r="X349" s="144"/>
      <c r="Y349" s="143"/>
      <c r="Z349" s="143"/>
      <c r="AA349" s="143"/>
      <c r="AB349" s="143"/>
      <c r="AC349" s="143"/>
      <c r="AD349" s="143"/>
      <c r="AE349" s="143"/>
    </row>
    <row r="350" spans="1:3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4"/>
      <c r="L350" s="144"/>
      <c r="M350" s="144"/>
      <c r="N350" s="144"/>
      <c r="O350" s="143"/>
      <c r="P350" s="144"/>
      <c r="Q350" s="143"/>
      <c r="R350" s="143"/>
      <c r="S350" s="143"/>
      <c r="T350" s="143"/>
      <c r="U350" s="143"/>
      <c r="V350" s="143"/>
      <c r="W350" s="143"/>
      <c r="X350" s="144"/>
      <c r="Y350" s="143"/>
      <c r="Z350" s="143"/>
      <c r="AA350" s="143"/>
      <c r="AB350" s="143"/>
      <c r="AC350" s="143"/>
      <c r="AD350" s="143"/>
      <c r="AE350" s="143"/>
    </row>
    <row r="351" spans="1:3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4"/>
      <c r="L351" s="144"/>
      <c r="M351" s="144"/>
      <c r="N351" s="144"/>
      <c r="O351" s="143"/>
      <c r="P351" s="144"/>
      <c r="Q351" s="143"/>
      <c r="R351" s="143"/>
      <c r="S351" s="143"/>
      <c r="T351" s="143"/>
      <c r="U351" s="143"/>
      <c r="V351" s="143"/>
      <c r="W351" s="143"/>
      <c r="X351" s="144"/>
      <c r="Y351" s="143"/>
      <c r="Z351" s="143"/>
      <c r="AA351" s="143"/>
      <c r="AB351" s="143"/>
      <c r="AC351" s="143"/>
      <c r="AD351" s="143"/>
      <c r="AE351" s="143"/>
    </row>
    <row r="352" spans="1:3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4"/>
      <c r="L352" s="144"/>
      <c r="M352" s="144"/>
      <c r="N352" s="144"/>
      <c r="O352" s="143"/>
      <c r="P352" s="144"/>
      <c r="Q352" s="143"/>
      <c r="R352" s="143"/>
      <c r="S352" s="143"/>
      <c r="T352" s="143"/>
      <c r="U352" s="143"/>
      <c r="V352" s="143"/>
      <c r="W352" s="143"/>
      <c r="X352" s="144"/>
      <c r="Y352" s="143"/>
      <c r="Z352" s="143"/>
      <c r="AA352" s="143"/>
      <c r="AB352" s="143"/>
      <c r="AC352" s="143"/>
      <c r="AD352" s="143"/>
      <c r="AE352" s="143"/>
    </row>
    <row r="353" spans="1:3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4"/>
      <c r="L353" s="144"/>
      <c r="M353" s="144"/>
      <c r="N353" s="144"/>
      <c r="O353" s="143"/>
      <c r="P353" s="144"/>
      <c r="Q353" s="143"/>
      <c r="R353" s="143"/>
      <c r="S353" s="143"/>
      <c r="T353" s="143"/>
      <c r="U353" s="143"/>
      <c r="V353" s="143"/>
      <c r="W353" s="143"/>
      <c r="X353" s="144"/>
      <c r="Y353" s="143"/>
      <c r="Z353" s="143"/>
      <c r="AA353" s="143"/>
      <c r="AB353" s="143"/>
      <c r="AC353" s="143"/>
      <c r="AD353" s="143"/>
      <c r="AE353" s="143"/>
    </row>
    <row r="354" spans="1:3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4"/>
      <c r="L354" s="144"/>
      <c r="M354" s="144"/>
      <c r="N354" s="144"/>
      <c r="O354" s="143"/>
      <c r="P354" s="144"/>
      <c r="Q354" s="143"/>
      <c r="R354" s="143"/>
      <c r="S354" s="143"/>
      <c r="T354" s="143"/>
      <c r="U354" s="143"/>
      <c r="V354" s="143"/>
      <c r="W354" s="143"/>
      <c r="X354" s="144"/>
      <c r="Y354" s="143"/>
      <c r="Z354" s="143"/>
      <c r="AA354" s="143"/>
      <c r="AB354" s="143"/>
      <c r="AC354" s="143"/>
      <c r="AD354" s="143"/>
      <c r="AE354" s="143"/>
    </row>
    <row r="355" spans="1:3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4"/>
      <c r="L355" s="144"/>
      <c r="M355" s="144"/>
      <c r="N355" s="144"/>
      <c r="O355" s="143"/>
      <c r="P355" s="144"/>
      <c r="Q355" s="143"/>
      <c r="R355" s="143"/>
      <c r="S355" s="143"/>
      <c r="T355" s="143"/>
      <c r="U355" s="143"/>
      <c r="V355" s="143"/>
      <c r="W355" s="143"/>
      <c r="X355" s="144"/>
      <c r="Y355" s="143"/>
      <c r="Z355" s="143"/>
      <c r="AA355" s="143"/>
      <c r="AB355" s="143"/>
      <c r="AC355" s="143"/>
      <c r="AD355" s="143"/>
      <c r="AE355" s="143"/>
    </row>
    <row r="356" spans="1:3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4"/>
      <c r="L356" s="144"/>
      <c r="M356" s="144"/>
      <c r="N356" s="144"/>
      <c r="O356" s="143"/>
      <c r="P356" s="144"/>
      <c r="Q356" s="143"/>
      <c r="R356" s="143"/>
      <c r="S356" s="143"/>
      <c r="T356" s="143"/>
      <c r="U356" s="143"/>
      <c r="V356" s="143"/>
      <c r="W356" s="143"/>
      <c r="X356" s="144"/>
      <c r="Y356" s="143"/>
      <c r="Z356" s="143"/>
      <c r="AA356" s="143"/>
      <c r="AB356" s="143"/>
      <c r="AC356" s="143"/>
      <c r="AD356" s="143"/>
      <c r="AE356" s="143"/>
    </row>
    <row r="357" spans="1:3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4"/>
      <c r="L357" s="144"/>
      <c r="M357" s="144"/>
      <c r="N357" s="144"/>
      <c r="O357" s="143"/>
      <c r="P357" s="144"/>
      <c r="Q357" s="143"/>
      <c r="R357" s="143"/>
      <c r="S357" s="143"/>
      <c r="T357" s="143"/>
      <c r="U357" s="143"/>
      <c r="V357" s="143"/>
      <c r="W357" s="143"/>
      <c r="X357" s="144"/>
      <c r="Y357" s="143"/>
      <c r="Z357" s="143"/>
      <c r="AA357" s="143"/>
      <c r="AB357" s="143"/>
      <c r="AC357" s="143"/>
      <c r="AD357" s="143"/>
      <c r="AE357" s="143"/>
    </row>
    <row r="358" spans="1:3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4"/>
      <c r="L358" s="144"/>
      <c r="M358" s="144"/>
      <c r="N358" s="144"/>
      <c r="O358" s="143"/>
      <c r="P358" s="144"/>
      <c r="Q358" s="143"/>
      <c r="R358" s="143"/>
      <c r="S358" s="143"/>
      <c r="T358" s="143"/>
      <c r="U358" s="143"/>
      <c r="V358" s="143"/>
      <c r="W358" s="143"/>
      <c r="X358" s="144"/>
      <c r="Y358" s="143"/>
      <c r="Z358" s="143"/>
      <c r="AA358" s="143"/>
      <c r="AB358" s="143"/>
      <c r="AC358" s="143"/>
      <c r="AD358" s="143"/>
      <c r="AE358" s="143"/>
    </row>
    <row r="359" spans="1:3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4"/>
      <c r="L359" s="144"/>
      <c r="M359" s="144"/>
      <c r="N359" s="144"/>
      <c r="O359" s="143"/>
      <c r="P359" s="144"/>
      <c r="Q359" s="143"/>
      <c r="R359" s="143"/>
      <c r="S359" s="143"/>
      <c r="T359" s="143"/>
      <c r="U359" s="143"/>
      <c r="V359" s="143"/>
      <c r="W359" s="143"/>
      <c r="X359" s="144"/>
      <c r="Y359" s="143"/>
      <c r="Z359" s="143"/>
      <c r="AA359" s="143"/>
      <c r="AB359" s="143"/>
      <c r="AC359" s="143"/>
      <c r="AD359" s="143"/>
      <c r="AE359" s="143"/>
    </row>
    <row r="360" spans="1:3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4"/>
      <c r="L360" s="144"/>
      <c r="M360" s="144"/>
      <c r="N360" s="144"/>
      <c r="O360" s="143"/>
      <c r="P360" s="144"/>
      <c r="Q360" s="143"/>
      <c r="R360" s="143"/>
      <c r="S360" s="143"/>
      <c r="T360" s="143"/>
      <c r="U360" s="143"/>
      <c r="V360" s="143"/>
      <c r="W360" s="143"/>
      <c r="X360" s="144"/>
      <c r="Y360" s="143"/>
      <c r="Z360" s="143"/>
      <c r="AA360" s="143"/>
      <c r="AB360" s="143"/>
      <c r="AC360" s="143"/>
      <c r="AD360" s="143"/>
      <c r="AE360" s="143"/>
    </row>
    <row r="361" spans="1:3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4"/>
      <c r="L361" s="144"/>
      <c r="M361" s="144"/>
      <c r="N361" s="144"/>
      <c r="O361" s="143"/>
      <c r="P361" s="144"/>
      <c r="Q361" s="143"/>
      <c r="R361" s="143"/>
      <c r="S361" s="143"/>
      <c r="T361" s="143"/>
      <c r="U361" s="143"/>
      <c r="V361" s="143"/>
      <c r="W361" s="143"/>
      <c r="X361" s="144"/>
      <c r="Y361" s="143"/>
      <c r="Z361" s="143"/>
      <c r="AA361" s="143"/>
      <c r="AB361" s="143"/>
      <c r="AC361" s="143"/>
      <c r="AD361" s="143"/>
      <c r="AE361" s="143"/>
    </row>
    <row r="362" spans="1:3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4"/>
      <c r="L362" s="144"/>
      <c r="M362" s="144"/>
      <c r="N362" s="144"/>
      <c r="O362" s="143"/>
      <c r="P362" s="144"/>
      <c r="Q362" s="143"/>
      <c r="R362" s="143"/>
      <c r="S362" s="143"/>
      <c r="T362" s="143"/>
      <c r="U362" s="143"/>
      <c r="V362" s="143"/>
      <c r="W362" s="143"/>
      <c r="X362" s="144"/>
      <c r="Y362" s="143"/>
      <c r="Z362" s="143"/>
      <c r="AA362" s="143"/>
      <c r="AB362" s="143"/>
      <c r="AC362" s="143"/>
      <c r="AD362" s="143"/>
      <c r="AE362" s="143"/>
    </row>
    <row r="363" spans="1:3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4"/>
      <c r="L363" s="144"/>
      <c r="M363" s="144"/>
      <c r="N363" s="144"/>
      <c r="O363" s="143"/>
      <c r="P363" s="144"/>
      <c r="Q363" s="143"/>
      <c r="R363" s="143"/>
      <c r="S363" s="143"/>
      <c r="T363" s="143"/>
      <c r="U363" s="143"/>
      <c r="V363" s="143"/>
      <c r="W363" s="143"/>
      <c r="X363" s="144"/>
      <c r="Y363" s="143"/>
      <c r="Z363" s="143"/>
      <c r="AA363" s="143"/>
      <c r="AB363" s="143"/>
      <c r="AC363" s="143"/>
      <c r="AD363" s="143"/>
      <c r="AE363" s="143"/>
    </row>
    <row r="364" spans="1:3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4"/>
      <c r="L364" s="144"/>
      <c r="M364" s="144"/>
      <c r="N364" s="144"/>
      <c r="O364" s="143"/>
      <c r="P364" s="144"/>
      <c r="Q364" s="143"/>
      <c r="R364" s="143"/>
      <c r="S364" s="143"/>
      <c r="T364" s="143"/>
      <c r="U364" s="143"/>
      <c r="V364" s="143"/>
      <c r="W364" s="143"/>
      <c r="X364" s="144"/>
      <c r="Y364" s="143"/>
      <c r="Z364" s="143"/>
      <c r="AA364" s="143"/>
      <c r="AB364" s="143"/>
      <c r="AC364" s="143"/>
      <c r="AD364" s="143"/>
      <c r="AE364" s="143"/>
    </row>
    <row r="365" spans="1:3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4"/>
      <c r="L365" s="144"/>
      <c r="M365" s="144"/>
      <c r="N365" s="144"/>
      <c r="O365" s="143"/>
      <c r="P365" s="144"/>
      <c r="Q365" s="143"/>
      <c r="R365" s="143"/>
      <c r="S365" s="143"/>
      <c r="T365" s="143"/>
      <c r="U365" s="143"/>
      <c r="V365" s="143"/>
      <c r="W365" s="143"/>
      <c r="X365" s="144"/>
      <c r="Y365" s="143"/>
      <c r="Z365" s="143"/>
      <c r="AA365" s="143"/>
      <c r="AB365" s="143"/>
      <c r="AC365" s="143"/>
      <c r="AD365" s="143"/>
      <c r="AE365" s="143"/>
    </row>
    <row r="366" spans="1:3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4"/>
      <c r="L366" s="144"/>
      <c r="M366" s="144"/>
      <c r="N366" s="144"/>
      <c r="O366" s="143"/>
      <c r="P366" s="144"/>
      <c r="Q366" s="143"/>
      <c r="R366" s="143"/>
      <c r="S366" s="143"/>
      <c r="T366" s="143"/>
      <c r="U366" s="143"/>
      <c r="V366" s="143"/>
      <c r="W366" s="143"/>
      <c r="X366" s="144"/>
      <c r="Y366" s="143"/>
      <c r="Z366" s="143"/>
      <c r="AA366" s="143"/>
      <c r="AB366" s="143"/>
      <c r="AC366" s="143"/>
      <c r="AD366" s="143"/>
      <c r="AE366" s="143"/>
    </row>
    <row r="367" spans="1:3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4"/>
      <c r="L367" s="144"/>
      <c r="M367" s="144"/>
      <c r="N367" s="144"/>
      <c r="O367" s="143"/>
      <c r="P367" s="144"/>
      <c r="Q367" s="143"/>
      <c r="R367" s="143"/>
      <c r="S367" s="143"/>
      <c r="T367" s="143"/>
      <c r="U367" s="143"/>
      <c r="V367" s="143"/>
      <c r="W367" s="143"/>
      <c r="X367" s="144"/>
      <c r="Y367" s="143"/>
      <c r="Z367" s="143"/>
      <c r="AA367" s="143"/>
      <c r="AB367" s="143"/>
      <c r="AC367" s="143"/>
      <c r="AD367" s="143"/>
      <c r="AE367" s="143"/>
    </row>
    <row r="368" spans="1:3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4"/>
      <c r="L368" s="144"/>
      <c r="M368" s="144"/>
      <c r="N368" s="144"/>
      <c r="O368" s="143"/>
      <c r="P368" s="144"/>
      <c r="Q368" s="143"/>
      <c r="R368" s="143"/>
      <c r="S368" s="143"/>
      <c r="T368" s="143"/>
      <c r="U368" s="143"/>
      <c r="V368" s="143"/>
      <c r="W368" s="143"/>
      <c r="X368" s="144"/>
      <c r="Y368" s="143"/>
      <c r="Z368" s="143"/>
      <c r="AA368" s="143"/>
      <c r="AB368" s="143"/>
      <c r="AC368" s="143"/>
      <c r="AD368" s="143"/>
      <c r="AE368" s="143"/>
    </row>
    <row r="369" spans="1:3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4"/>
      <c r="L369" s="144"/>
      <c r="M369" s="144"/>
      <c r="N369" s="144"/>
      <c r="O369" s="143"/>
      <c r="P369" s="144"/>
      <c r="Q369" s="143"/>
      <c r="R369" s="143"/>
      <c r="S369" s="143"/>
      <c r="T369" s="143"/>
      <c r="U369" s="143"/>
      <c r="V369" s="143"/>
      <c r="W369" s="143"/>
      <c r="X369" s="144"/>
      <c r="Y369" s="143"/>
      <c r="Z369" s="143"/>
      <c r="AA369" s="143"/>
      <c r="AB369" s="143"/>
      <c r="AC369" s="143"/>
      <c r="AD369" s="143"/>
      <c r="AE369" s="143"/>
    </row>
    <row r="370" spans="1:3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4"/>
      <c r="L370" s="144"/>
      <c r="M370" s="144"/>
      <c r="N370" s="144"/>
      <c r="O370" s="143"/>
      <c r="P370" s="144"/>
      <c r="Q370" s="143"/>
      <c r="R370" s="143"/>
      <c r="S370" s="143"/>
      <c r="T370" s="143"/>
      <c r="U370" s="143"/>
      <c r="V370" s="143"/>
      <c r="W370" s="143"/>
      <c r="X370" s="144"/>
      <c r="Y370" s="143"/>
      <c r="Z370" s="143"/>
      <c r="AA370" s="143"/>
      <c r="AB370" s="143"/>
      <c r="AC370" s="143"/>
      <c r="AD370" s="143"/>
      <c r="AE370" s="143"/>
    </row>
    <row r="371" spans="1:3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4"/>
      <c r="L371" s="144"/>
      <c r="M371" s="144"/>
      <c r="N371" s="143"/>
      <c r="O371" s="143"/>
      <c r="P371" s="144"/>
      <c r="Q371" s="143"/>
      <c r="R371" s="143"/>
      <c r="S371" s="143"/>
      <c r="T371" s="143"/>
      <c r="U371" s="143"/>
      <c r="V371" s="143"/>
      <c r="W371" s="143"/>
      <c r="X371" s="144"/>
      <c r="Y371" s="143"/>
      <c r="Z371" s="143"/>
      <c r="AA371" s="143"/>
      <c r="AB371" s="143"/>
      <c r="AC371" s="143"/>
      <c r="AD371" s="143"/>
      <c r="AE371" s="143"/>
    </row>
    <row r="372" spans="1:3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4"/>
      <c r="L372" s="144"/>
      <c r="M372" s="144"/>
      <c r="N372" s="144"/>
      <c r="O372" s="143"/>
      <c r="P372" s="144"/>
      <c r="Q372" s="143"/>
      <c r="R372" s="143"/>
      <c r="S372" s="143"/>
      <c r="T372" s="143"/>
      <c r="U372" s="143"/>
      <c r="V372" s="143"/>
      <c r="W372" s="143"/>
      <c r="X372" s="144"/>
      <c r="Y372" s="143"/>
      <c r="Z372" s="143"/>
      <c r="AA372" s="143"/>
      <c r="AB372" s="143"/>
      <c r="AC372" s="143"/>
      <c r="AD372" s="143"/>
      <c r="AE372" s="143"/>
    </row>
    <row r="373" spans="1:3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4"/>
      <c r="L373" s="144"/>
      <c r="M373" s="144"/>
      <c r="N373" s="144"/>
      <c r="O373" s="143"/>
      <c r="P373" s="144"/>
      <c r="Q373" s="143"/>
      <c r="R373" s="143"/>
      <c r="S373" s="143"/>
      <c r="T373" s="143"/>
      <c r="U373" s="143"/>
      <c r="V373" s="143"/>
      <c r="W373" s="143"/>
      <c r="X373" s="144"/>
      <c r="Y373" s="143"/>
      <c r="Z373" s="143"/>
      <c r="AA373" s="143"/>
      <c r="AB373" s="143"/>
      <c r="AC373" s="143"/>
      <c r="AD373" s="143"/>
      <c r="AE373" s="143"/>
    </row>
    <row r="374" spans="1:3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4"/>
      <c r="L374" s="144"/>
      <c r="M374" s="144"/>
      <c r="N374" s="144"/>
      <c r="O374" s="143"/>
      <c r="P374" s="144"/>
      <c r="Q374" s="143"/>
      <c r="R374" s="143"/>
      <c r="S374" s="143"/>
      <c r="T374" s="143"/>
      <c r="U374" s="143"/>
      <c r="V374" s="143"/>
      <c r="W374" s="143"/>
      <c r="X374" s="144"/>
      <c r="Y374" s="143"/>
      <c r="Z374" s="143"/>
      <c r="AA374" s="143"/>
      <c r="AB374" s="143"/>
      <c r="AC374" s="143"/>
      <c r="AD374" s="143"/>
      <c r="AE374" s="143"/>
    </row>
    <row r="375" spans="1:3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4"/>
      <c r="L375" s="144"/>
      <c r="M375" s="144"/>
      <c r="N375" s="144"/>
      <c r="O375" s="143"/>
      <c r="P375" s="144"/>
      <c r="Q375" s="143"/>
      <c r="R375" s="143"/>
      <c r="S375" s="143"/>
      <c r="T375" s="143"/>
      <c r="U375" s="143"/>
      <c r="V375" s="143"/>
      <c r="W375" s="143"/>
      <c r="X375" s="144"/>
      <c r="Y375" s="143"/>
      <c r="Z375" s="143"/>
      <c r="AA375" s="143"/>
      <c r="AB375" s="143"/>
      <c r="AC375" s="143"/>
      <c r="AD375" s="143"/>
      <c r="AE375" s="143"/>
    </row>
    <row r="376" spans="1:3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4"/>
      <c r="L376" s="144"/>
      <c r="M376" s="144"/>
      <c r="N376" s="144"/>
      <c r="O376" s="143"/>
      <c r="P376" s="144"/>
      <c r="Q376" s="143"/>
      <c r="R376" s="143"/>
      <c r="S376" s="143"/>
      <c r="T376" s="143"/>
      <c r="U376" s="143"/>
      <c r="V376" s="143"/>
      <c r="W376" s="143"/>
      <c r="X376" s="144"/>
      <c r="Y376" s="143"/>
      <c r="Z376" s="143"/>
      <c r="AA376" s="143"/>
      <c r="AB376" s="143"/>
      <c r="AC376" s="143"/>
      <c r="AD376" s="143"/>
      <c r="AE376" s="143"/>
    </row>
    <row r="377" spans="1:3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4"/>
      <c r="L377" s="144"/>
      <c r="M377" s="144"/>
      <c r="N377" s="144"/>
      <c r="O377" s="143"/>
      <c r="P377" s="144"/>
      <c r="Q377" s="143"/>
      <c r="R377" s="143"/>
      <c r="S377" s="143"/>
      <c r="T377" s="143"/>
      <c r="U377" s="143"/>
      <c r="V377" s="143"/>
      <c r="W377" s="143"/>
      <c r="X377" s="144"/>
      <c r="Y377" s="143"/>
      <c r="Z377" s="143"/>
      <c r="AA377" s="143"/>
      <c r="AB377" s="143"/>
      <c r="AC377" s="143"/>
      <c r="AD377" s="143"/>
      <c r="AE377" s="143"/>
    </row>
    <row r="378" spans="1:3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4"/>
      <c r="L378" s="143"/>
      <c r="M378" s="144"/>
      <c r="N378" s="143"/>
      <c r="O378" s="143"/>
      <c r="P378" s="144"/>
      <c r="Q378" s="143"/>
      <c r="R378" s="143"/>
      <c r="S378" s="143"/>
      <c r="T378" s="143"/>
      <c r="U378" s="143"/>
      <c r="V378" s="143"/>
      <c r="W378" s="143"/>
      <c r="X378" s="144"/>
      <c r="Y378" s="143"/>
      <c r="Z378" s="143"/>
      <c r="AA378" s="143"/>
      <c r="AB378" s="143"/>
      <c r="AC378" s="143"/>
      <c r="AD378" s="143"/>
      <c r="AE378" s="143"/>
    </row>
    <row r="379" spans="1:3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4"/>
      <c r="L379" s="144"/>
      <c r="M379" s="144"/>
      <c r="N379" s="144"/>
      <c r="O379" s="143"/>
      <c r="P379" s="144"/>
      <c r="Q379" s="143"/>
      <c r="R379" s="143"/>
      <c r="S379" s="143"/>
      <c r="T379" s="143"/>
      <c r="U379" s="143"/>
      <c r="V379" s="143"/>
      <c r="W379" s="143"/>
      <c r="X379" s="144"/>
      <c r="Y379" s="143"/>
      <c r="Z379" s="143"/>
      <c r="AA379" s="143"/>
      <c r="AB379" s="143"/>
      <c r="AC379" s="143"/>
      <c r="AD379" s="143"/>
      <c r="AE379" s="143"/>
    </row>
    <row r="380" spans="1:3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4"/>
      <c r="L380" s="144"/>
      <c r="M380" s="144"/>
      <c r="N380" s="144"/>
      <c r="O380" s="143"/>
      <c r="P380" s="144"/>
      <c r="Q380" s="143"/>
      <c r="R380" s="143"/>
      <c r="S380" s="143"/>
      <c r="T380" s="143"/>
      <c r="U380" s="143"/>
      <c r="V380" s="143"/>
      <c r="W380" s="143"/>
      <c r="X380" s="144"/>
      <c r="Y380" s="143"/>
      <c r="Z380" s="143"/>
      <c r="AA380" s="143"/>
      <c r="AB380" s="143"/>
      <c r="AC380" s="143"/>
      <c r="AD380" s="143"/>
      <c r="AE380" s="143"/>
    </row>
    <row r="381" spans="1:3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4"/>
      <c r="L381" s="144"/>
      <c r="M381" s="144"/>
      <c r="N381" s="144"/>
      <c r="O381" s="143"/>
      <c r="P381" s="144"/>
      <c r="Q381" s="143"/>
      <c r="R381" s="143"/>
      <c r="S381" s="143"/>
      <c r="T381" s="143"/>
      <c r="U381" s="143"/>
      <c r="V381" s="143"/>
      <c r="W381" s="143"/>
      <c r="X381" s="144"/>
      <c r="Y381" s="143"/>
      <c r="Z381" s="143"/>
      <c r="AA381" s="143"/>
      <c r="AB381" s="143"/>
      <c r="AC381" s="143"/>
      <c r="AD381" s="143"/>
      <c r="AE381" s="143"/>
    </row>
    <row r="382" spans="1:3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4"/>
      <c r="L382" s="144"/>
      <c r="M382" s="144"/>
      <c r="N382" s="144"/>
      <c r="O382" s="143"/>
      <c r="P382" s="144"/>
      <c r="Q382" s="143"/>
      <c r="R382" s="143"/>
      <c r="S382" s="143"/>
      <c r="T382" s="143"/>
      <c r="U382" s="143"/>
      <c r="V382" s="143"/>
      <c r="W382" s="143"/>
      <c r="X382" s="144"/>
      <c r="Y382" s="143"/>
      <c r="Z382" s="143"/>
      <c r="AA382" s="143"/>
      <c r="AB382" s="143"/>
      <c r="AC382" s="143"/>
      <c r="AD382" s="143"/>
      <c r="AE382" s="143"/>
    </row>
    <row r="383" spans="1:3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4"/>
      <c r="L383" s="144"/>
      <c r="M383" s="144"/>
      <c r="N383" s="144"/>
      <c r="O383" s="143"/>
      <c r="P383" s="144"/>
      <c r="Q383" s="143"/>
      <c r="R383" s="143"/>
      <c r="S383" s="143"/>
      <c r="T383" s="143"/>
      <c r="U383" s="143"/>
      <c r="V383" s="143"/>
      <c r="W383" s="143"/>
      <c r="X383" s="144"/>
      <c r="Y383" s="143"/>
      <c r="Z383" s="143"/>
      <c r="AA383" s="143"/>
      <c r="AB383" s="143"/>
      <c r="AC383" s="143"/>
      <c r="AD383" s="143"/>
      <c r="AE383" s="143"/>
    </row>
    <row r="384" spans="1:3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4"/>
      <c r="L384" s="144"/>
      <c r="M384" s="144"/>
      <c r="N384" s="144"/>
      <c r="O384" s="143"/>
      <c r="P384" s="144"/>
      <c r="Q384" s="143"/>
      <c r="R384" s="143"/>
      <c r="S384" s="143"/>
      <c r="T384" s="143"/>
      <c r="U384" s="143"/>
      <c r="V384" s="143"/>
      <c r="W384" s="143"/>
      <c r="X384" s="144"/>
      <c r="Y384" s="143"/>
      <c r="Z384" s="143"/>
      <c r="AA384" s="143"/>
      <c r="AB384" s="143"/>
      <c r="AC384" s="143"/>
      <c r="AD384" s="143"/>
      <c r="AE384" s="143"/>
    </row>
    <row r="385" spans="1:3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4"/>
      <c r="L385" s="144"/>
      <c r="M385" s="144"/>
      <c r="N385" s="143"/>
      <c r="O385" s="143"/>
      <c r="P385" s="144"/>
      <c r="Q385" s="143"/>
      <c r="R385" s="143"/>
      <c r="S385" s="143"/>
      <c r="T385" s="143"/>
      <c r="U385" s="143"/>
      <c r="V385" s="143"/>
      <c r="W385" s="143"/>
      <c r="X385" s="144"/>
      <c r="Y385" s="143"/>
      <c r="Z385" s="143"/>
      <c r="AA385" s="143"/>
      <c r="AB385" s="143"/>
      <c r="AC385" s="143"/>
      <c r="AD385" s="143"/>
      <c r="AE385" s="143"/>
    </row>
    <row r="386" spans="1:3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4"/>
      <c r="L386" s="144"/>
      <c r="M386" s="144"/>
      <c r="N386" s="144"/>
      <c r="O386" s="143"/>
      <c r="P386" s="144"/>
      <c r="Q386" s="143"/>
      <c r="R386" s="143"/>
      <c r="S386" s="143"/>
      <c r="T386" s="143"/>
      <c r="U386" s="143"/>
      <c r="V386" s="143"/>
      <c r="W386" s="143"/>
      <c r="X386" s="144"/>
      <c r="Y386" s="143"/>
      <c r="Z386" s="143"/>
      <c r="AA386" s="143"/>
      <c r="AB386" s="143"/>
      <c r="AC386" s="143"/>
      <c r="AD386" s="143"/>
      <c r="AE386" s="143"/>
    </row>
    <row r="387" spans="1:3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4"/>
      <c r="L387" s="144"/>
      <c r="M387" s="144"/>
      <c r="N387" s="144"/>
      <c r="O387" s="143"/>
      <c r="P387" s="144"/>
      <c r="Q387" s="143"/>
      <c r="R387" s="143"/>
      <c r="S387" s="143"/>
      <c r="T387" s="143"/>
      <c r="U387" s="143"/>
      <c r="V387" s="143"/>
      <c r="W387" s="143"/>
      <c r="X387" s="144"/>
      <c r="Y387" s="143"/>
      <c r="Z387" s="143"/>
      <c r="AA387" s="143"/>
      <c r="AB387" s="143"/>
      <c r="AC387" s="143"/>
      <c r="AD387" s="143"/>
      <c r="AE387" s="143"/>
    </row>
    <row r="388" spans="1:3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4"/>
      <c r="L388" s="144"/>
      <c r="M388" s="144"/>
      <c r="N388" s="144"/>
      <c r="O388" s="143"/>
      <c r="P388" s="144"/>
      <c r="Q388" s="143"/>
      <c r="R388" s="143"/>
      <c r="S388" s="143"/>
      <c r="T388" s="143"/>
      <c r="U388" s="143"/>
      <c r="V388" s="143"/>
      <c r="W388" s="143"/>
      <c r="X388" s="144"/>
      <c r="Y388" s="143"/>
      <c r="Z388" s="143"/>
      <c r="AA388" s="143"/>
      <c r="AB388" s="143"/>
      <c r="AC388" s="143"/>
      <c r="AD388" s="143"/>
      <c r="AE388" s="143"/>
    </row>
    <row r="389" spans="1:3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4"/>
      <c r="L389" s="144"/>
      <c r="M389" s="144"/>
      <c r="N389" s="144"/>
      <c r="O389" s="143"/>
      <c r="P389" s="144"/>
      <c r="Q389" s="143"/>
      <c r="R389" s="143"/>
      <c r="S389" s="143"/>
      <c r="T389" s="143"/>
      <c r="U389" s="143"/>
      <c r="V389" s="143"/>
      <c r="W389" s="143"/>
      <c r="X389" s="144"/>
      <c r="Y389" s="143"/>
      <c r="Z389" s="143"/>
      <c r="AA389" s="143"/>
      <c r="AB389" s="143"/>
      <c r="AC389" s="143"/>
      <c r="AD389" s="143"/>
      <c r="AE389" s="143"/>
    </row>
    <row r="390" spans="1:3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4"/>
      <c r="L390" s="144"/>
      <c r="M390" s="144"/>
      <c r="N390" s="144"/>
      <c r="O390" s="143"/>
      <c r="P390" s="144"/>
      <c r="Q390" s="143"/>
      <c r="R390" s="143"/>
      <c r="S390" s="143"/>
      <c r="T390" s="143"/>
      <c r="U390" s="143"/>
      <c r="V390" s="143"/>
      <c r="W390" s="143"/>
      <c r="X390" s="144"/>
      <c r="Y390" s="143"/>
      <c r="Z390" s="143"/>
      <c r="AA390" s="143"/>
      <c r="AB390" s="143"/>
      <c r="AC390" s="143"/>
      <c r="AD390" s="143"/>
      <c r="AE390" s="143"/>
    </row>
    <row r="391" spans="1:3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4"/>
      <c r="L391" s="144"/>
      <c r="M391" s="144"/>
      <c r="N391" s="144"/>
      <c r="O391" s="143"/>
      <c r="P391" s="144"/>
      <c r="Q391" s="143"/>
      <c r="R391" s="143"/>
      <c r="S391" s="143"/>
      <c r="T391" s="143"/>
      <c r="U391" s="143"/>
      <c r="V391" s="143"/>
      <c r="W391" s="143"/>
      <c r="X391" s="144"/>
      <c r="Y391" s="143"/>
      <c r="Z391" s="143"/>
      <c r="AA391" s="143"/>
      <c r="AB391" s="143"/>
      <c r="AC391" s="143"/>
      <c r="AD391" s="143"/>
      <c r="AE391" s="143"/>
    </row>
    <row r="392" spans="1:3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4"/>
      <c r="L392" s="144"/>
      <c r="M392" s="144"/>
      <c r="N392" s="144"/>
      <c r="O392" s="143"/>
      <c r="P392" s="144"/>
      <c r="Q392" s="143"/>
      <c r="R392" s="143"/>
      <c r="S392" s="143"/>
      <c r="T392" s="143"/>
      <c r="U392" s="143"/>
      <c r="V392" s="143"/>
      <c r="W392" s="143"/>
      <c r="X392" s="144"/>
      <c r="Y392" s="143"/>
      <c r="Z392" s="143"/>
      <c r="AA392" s="143"/>
      <c r="AB392" s="143"/>
      <c r="AC392" s="143"/>
      <c r="AD392" s="143"/>
      <c r="AE392" s="143"/>
    </row>
    <row r="393" spans="1:3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4"/>
      <c r="L393" s="144"/>
      <c r="M393" s="144"/>
      <c r="N393" s="144"/>
      <c r="O393" s="143"/>
      <c r="P393" s="144"/>
      <c r="Q393" s="143"/>
      <c r="R393" s="143"/>
      <c r="S393" s="143"/>
      <c r="T393" s="143"/>
      <c r="U393" s="143"/>
      <c r="V393" s="143"/>
      <c r="W393" s="143"/>
      <c r="X393" s="144"/>
      <c r="Y393" s="143"/>
      <c r="Z393" s="143"/>
      <c r="AA393" s="143"/>
      <c r="AB393" s="143"/>
      <c r="AC393" s="143"/>
      <c r="AD393" s="143"/>
      <c r="AE393" s="143"/>
    </row>
    <row r="394" spans="1:3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4"/>
      <c r="L394" s="144"/>
      <c r="M394" s="144"/>
      <c r="N394" s="144"/>
      <c r="O394" s="143"/>
      <c r="P394" s="144"/>
      <c r="Q394" s="143"/>
      <c r="R394" s="143"/>
      <c r="S394" s="143"/>
      <c r="T394" s="143"/>
      <c r="U394" s="143"/>
      <c r="V394" s="143"/>
      <c r="W394" s="143"/>
      <c r="X394" s="144"/>
      <c r="Y394" s="143"/>
      <c r="Z394" s="143"/>
      <c r="AA394" s="143"/>
      <c r="AB394" s="143"/>
      <c r="AC394" s="143"/>
      <c r="AD394" s="143"/>
      <c r="AE394" s="143"/>
    </row>
    <row r="395" spans="1:3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4"/>
      <c r="L395" s="144"/>
      <c r="M395" s="144"/>
      <c r="N395" s="144"/>
      <c r="O395" s="143"/>
      <c r="P395" s="144"/>
      <c r="Q395" s="143"/>
      <c r="R395" s="143"/>
      <c r="S395" s="143"/>
      <c r="T395" s="143"/>
      <c r="U395" s="143"/>
      <c r="V395" s="143"/>
      <c r="W395" s="143"/>
      <c r="X395" s="144"/>
      <c r="Y395" s="143"/>
      <c r="Z395" s="143"/>
      <c r="AA395" s="143"/>
      <c r="AB395" s="143"/>
      <c r="AC395" s="143"/>
      <c r="AD395" s="143"/>
      <c r="AE395" s="143"/>
    </row>
    <row r="396" spans="1:3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4"/>
      <c r="L396" s="144"/>
      <c r="M396" s="144"/>
      <c r="N396" s="144"/>
      <c r="O396" s="143"/>
      <c r="P396" s="144"/>
      <c r="Q396" s="143"/>
      <c r="R396" s="143"/>
      <c r="S396" s="143"/>
      <c r="T396" s="143"/>
      <c r="U396" s="143"/>
      <c r="V396" s="143"/>
      <c r="W396" s="143"/>
      <c r="X396" s="144"/>
      <c r="Y396" s="143"/>
      <c r="Z396" s="143"/>
      <c r="AA396" s="143"/>
      <c r="AB396" s="143"/>
      <c r="AC396" s="143"/>
      <c r="AD396" s="143"/>
      <c r="AE396" s="143"/>
    </row>
    <row r="397" spans="1:3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4"/>
      <c r="L397" s="144"/>
      <c r="M397" s="144"/>
      <c r="N397" s="144"/>
      <c r="O397" s="143"/>
      <c r="P397" s="144"/>
      <c r="Q397" s="143"/>
      <c r="R397" s="143"/>
      <c r="S397" s="143"/>
      <c r="T397" s="143"/>
      <c r="U397" s="143"/>
      <c r="V397" s="143"/>
      <c r="W397" s="143"/>
      <c r="X397" s="144"/>
      <c r="Y397" s="143"/>
      <c r="Z397" s="143"/>
      <c r="AA397" s="143"/>
      <c r="AB397" s="143"/>
      <c r="AC397" s="143"/>
      <c r="AD397" s="143"/>
      <c r="AE397" s="143"/>
    </row>
    <row r="398" spans="1:3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4"/>
      <c r="L398" s="144"/>
      <c r="M398" s="144"/>
      <c r="N398" s="144"/>
      <c r="O398" s="143"/>
      <c r="P398" s="144"/>
      <c r="Q398" s="143"/>
      <c r="R398" s="143"/>
      <c r="S398" s="143"/>
      <c r="T398" s="143"/>
      <c r="U398" s="143"/>
      <c r="V398" s="143"/>
      <c r="W398" s="143"/>
      <c r="X398" s="144"/>
      <c r="Y398" s="143"/>
      <c r="Z398" s="143"/>
      <c r="AA398" s="143"/>
      <c r="AB398" s="143"/>
      <c r="AC398" s="143"/>
      <c r="AD398" s="143"/>
      <c r="AE398" s="143"/>
    </row>
    <row r="399" spans="1:3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4"/>
      <c r="L399" s="144"/>
      <c r="M399" s="144"/>
      <c r="N399" s="143"/>
      <c r="O399" s="143"/>
      <c r="P399" s="144"/>
      <c r="Q399" s="143"/>
      <c r="R399" s="143"/>
      <c r="S399" s="143"/>
      <c r="T399" s="143"/>
      <c r="U399" s="143"/>
      <c r="V399" s="143"/>
      <c r="W399" s="143"/>
      <c r="X399" s="144"/>
      <c r="Y399" s="143"/>
      <c r="Z399" s="143"/>
      <c r="AA399" s="143"/>
      <c r="AB399" s="143"/>
      <c r="AC399" s="143"/>
      <c r="AD399" s="143"/>
      <c r="AE399" s="143"/>
    </row>
    <row r="400" spans="1:3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4"/>
      <c r="L400" s="144"/>
      <c r="M400" s="144"/>
      <c r="N400" s="143"/>
      <c r="O400" s="143"/>
      <c r="P400" s="144"/>
      <c r="Q400" s="143"/>
      <c r="R400" s="143"/>
      <c r="S400" s="143"/>
      <c r="T400" s="143"/>
      <c r="U400" s="143"/>
      <c r="V400" s="143"/>
      <c r="W400" s="143"/>
      <c r="X400" s="144"/>
      <c r="Y400" s="143"/>
      <c r="Z400" s="143"/>
      <c r="AA400" s="143"/>
      <c r="AB400" s="143"/>
      <c r="AC400" s="143"/>
      <c r="AD400" s="143"/>
      <c r="AE400" s="143"/>
    </row>
    <row r="401" spans="1:3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4"/>
      <c r="L401" s="144"/>
      <c r="M401" s="144"/>
      <c r="N401" s="143"/>
      <c r="O401" s="143"/>
      <c r="P401" s="144"/>
      <c r="Q401" s="143"/>
      <c r="R401" s="143"/>
      <c r="S401" s="143"/>
      <c r="T401" s="143"/>
      <c r="U401" s="143"/>
      <c r="V401" s="143"/>
      <c r="W401" s="143"/>
      <c r="X401" s="144"/>
      <c r="Y401" s="143"/>
      <c r="Z401" s="143"/>
      <c r="AA401" s="143"/>
      <c r="AB401" s="143"/>
      <c r="AC401" s="143"/>
      <c r="AD401" s="143"/>
      <c r="AE401" s="143"/>
    </row>
    <row r="402" spans="1:3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4"/>
      <c r="L402" s="144"/>
      <c r="M402" s="144"/>
      <c r="N402" s="144"/>
      <c r="O402" s="143"/>
      <c r="P402" s="144"/>
      <c r="Q402" s="143"/>
      <c r="R402" s="143"/>
      <c r="S402" s="143"/>
      <c r="T402" s="143"/>
      <c r="U402" s="143"/>
      <c r="V402" s="143"/>
      <c r="W402" s="143"/>
      <c r="X402" s="144"/>
      <c r="Y402" s="143"/>
      <c r="Z402" s="143"/>
      <c r="AA402" s="143"/>
      <c r="AB402" s="143"/>
      <c r="AC402" s="143"/>
      <c r="AD402" s="143"/>
      <c r="AE402" s="143"/>
    </row>
    <row r="403" spans="1:3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4"/>
      <c r="L403" s="144"/>
      <c r="M403" s="144"/>
      <c r="N403" s="144"/>
      <c r="O403" s="143"/>
      <c r="P403" s="144"/>
      <c r="Q403" s="143"/>
      <c r="R403" s="143"/>
      <c r="S403" s="143"/>
      <c r="T403" s="143"/>
      <c r="U403" s="143"/>
      <c r="V403" s="143"/>
      <c r="W403" s="143"/>
      <c r="X403" s="144"/>
      <c r="Y403" s="143"/>
      <c r="Z403" s="143"/>
      <c r="AA403" s="143"/>
      <c r="AB403" s="143"/>
      <c r="AC403" s="143"/>
      <c r="AD403" s="143"/>
      <c r="AE403" s="143"/>
    </row>
    <row r="404" spans="1:3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4"/>
      <c r="L404" s="144"/>
      <c r="M404" s="143"/>
      <c r="N404" s="143"/>
      <c r="O404" s="143"/>
      <c r="P404" s="144"/>
      <c r="Q404" s="143"/>
      <c r="R404" s="143"/>
      <c r="S404" s="143"/>
      <c r="T404" s="143"/>
      <c r="U404" s="143"/>
      <c r="V404" s="143"/>
      <c r="W404" s="143"/>
      <c r="X404" s="144"/>
      <c r="Y404" s="143"/>
      <c r="Z404" s="143"/>
      <c r="AA404" s="143"/>
      <c r="AB404" s="143"/>
      <c r="AC404" s="143"/>
      <c r="AD404" s="143"/>
      <c r="AE404" s="143"/>
    </row>
    <row r="405" spans="1:3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4"/>
      <c r="L405" s="144"/>
      <c r="M405" s="144"/>
      <c r="N405" s="144"/>
      <c r="O405" s="143"/>
      <c r="P405" s="144"/>
      <c r="Q405" s="143"/>
      <c r="R405" s="143"/>
      <c r="S405" s="143"/>
      <c r="T405" s="143"/>
      <c r="U405" s="143"/>
      <c r="V405" s="143"/>
      <c r="W405" s="143"/>
      <c r="X405" s="144"/>
      <c r="Y405" s="143"/>
      <c r="Z405" s="143"/>
      <c r="AA405" s="143"/>
      <c r="AB405" s="143"/>
      <c r="AC405" s="143"/>
      <c r="AD405" s="143"/>
      <c r="AE405" s="143"/>
    </row>
    <row r="406" spans="1:3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4"/>
      <c r="L406" s="144"/>
      <c r="M406" s="144"/>
      <c r="N406" s="144"/>
      <c r="O406" s="143"/>
      <c r="P406" s="144"/>
      <c r="Q406" s="143"/>
      <c r="R406" s="143"/>
      <c r="S406" s="143"/>
      <c r="T406" s="143"/>
      <c r="U406" s="143"/>
      <c r="V406" s="143"/>
      <c r="W406" s="143"/>
      <c r="X406" s="144"/>
      <c r="Y406" s="143"/>
      <c r="Z406" s="143"/>
      <c r="AA406" s="143"/>
      <c r="AB406" s="143"/>
      <c r="AC406" s="143"/>
      <c r="AD406" s="143"/>
      <c r="AE406" s="143"/>
    </row>
    <row r="407" spans="1:3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4"/>
      <c r="L407" s="144"/>
      <c r="M407" s="144"/>
      <c r="N407" s="144"/>
      <c r="O407" s="143"/>
      <c r="P407" s="144"/>
      <c r="Q407" s="143"/>
      <c r="R407" s="143"/>
      <c r="S407" s="143"/>
      <c r="T407" s="143"/>
      <c r="U407" s="143"/>
      <c r="V407" s="143"/>
      <c r="W407" s="143"/>
      <c r="X407" s="144"/>
      <c r="Y407" s="143"/>
      <c r="Z407" s="143"/>
      <c r="AA407" s="143"/>
      <c r="AB407" s="143"/>
      <c r="AC407" s="143"/>
      <c r="AD407" s="143"/>
      <c r="AE407" s="143"/>
    </row>
    <row r="408" spans="1:3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4"/>
      <c r="L408" s="144"/>
      <c r="M408" s="144"/>
      <c r="N408" s="144"/>
      <c r="O408" s="143"/>
      <c r="P408" s="144"/>
      <c r="Q408" s="143"/>
      <c r="R408" s="143"/>
      <c r="S408" s="143"/>
      <c r="T408" s="143"/>
      <c r="U408" s="143"/>
      <c r="V408" s="143"/>
      <c r="W408" s="143"/>
      <c r="X408" s="144"/>
      <c r="Y408" s="143"/>
      <c r="Z408" s="143"/>
      <c r="AA408" s="143"/>
      <c r="AB408" s="143"/>
      <c r="AC408" s="143"/>
      <c r="AD408" s="143"/>
      <c r="AE408" s="143"/>
    </row>
    <row r="409" spans="1:3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4"/>
      <c r="L409" s="144"/>
      <c r="M409" s="144"/>
      <c r="N409" s="144"/>
      <c r="O409" s="143"/>
      <c r="P409" s="144"/>
      <c r="Q409" s="143"/>
      <c r="R409" s="143"/>
      <c r="S409" s="143"/>
      <c r="T409" s="143"/>
      <c r="U409" s="143"/>
      <c r="V409" s="143"/>
      <c r="W409" s="143"/>
      <c r="X409" s="144"/>
      <c r="Y409" s="143"/>
      <c r="Z409" s="143"/>
      <c r="AA409" s="143"/>
      <c r="AB409" s="143"/>
      <c r="AC409" s="143"/>
      <c r="AD409" s="143"/>
      <c r="AE409" s="143"/>
    </row>
    <row r="410" spans="1:3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4"/>
      <c r="L410" s="144"/>
      <c r="M410" s="144"/>
      <c r="N410" s="144"/>
      <c r="O410" s="143"/>
      <c r="P410" s="144"/>
      <c r="Q410" s="143"/>
      <c r="R410" s="143"/>
      <c r="S410" s="143"/>
      <c r="T410" s="143"/>
      <c r="U410" s="143"/>
      <c r="V410" s="143"/>
      <c r="W410" s="143"/>
      <c r="X410" s="144"/>
      <c r="Y410" s="143"/>
      <c r="Z410" s="143"/>
      <c r="AA410" s="143"/>
      <c r="AB410" s="143"/>
      <c r="AC410" s="143"/>
      <c r="AD410" s="143"/>
      <c r="AE410" s="143"/>
    </row>
    <row r="411" spans="1:3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4"/>
      <c r="L411" s="144"/>
      <c r="M411" s="144"/>
      <c r="N411" s="143"/>
      <c r="O411" s="143"/>
      <c r="P411" s="144"/>
      <c r="Q411" s="143"/>
      <c r="R411" s="143"/>
      <c r="S411" s="143"/>
      <c r="T411" s="143"/>
      <c r="U411" s="143"/>
      <c r="V411" s="143"/>
      <c r="W411" s="143"/>
      <c r="X411" s="144"/>
      <c r="Y411" s="143"/>
      <c r="Z411" s="143"/>
      <c r="AA411" s="143"/>
      <c r="AB411" s="143"/>
      <c r="AC411" s="143"/>
      <c r="AD411" s="143"/>
      <c r="AE411" s="143"/>
    </row>
    <row r="412" spans="1:3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4"/>
      <c r="L412" s="143"/>
      <c r="M412" s="144"/>
      <c r="N412" s="143"/>
      <c r="O412" s="143"/>
      <c r="P412" s="144"/>
      <c r="Q412" s="143"/>
      <c r="R412" s="143"/>
      <c r="S412" s="143"/>
      <c r="T412" s="143"/>
      <c r="U412" s="143"/>
      <c r="V412" s="143"/>
      <c r="W412" s="143"/>
      <c r="X412" s="144"/>
      <c r="Y412" s="143"/>
      <c r="Z412" s="143"/>
      <c r="AA412" s="143"/>
      <c r="AB412" s="143"/>
      <c r="AC412" s="143"/>
      <c r="AD412" s="143"/>
      <c r="AE412" s="143"/>
    </row>
    <row r="413" spans="1:3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4"/>
      <c r="L413" s="144"/>
      <c r="M413" s="144"/>
      <c r="N413" s="143"/>
      <c r="O413" s="143"/>
      <c r="P413" s="144"/>
      <c r="Q413" s="143"/>
      <c r="R413" s="143"/>
      <c r="S413" s="143"/>
      <c r="T413" s="143"/>
      <c r="U413" s="143"/>
      <c r="V413" s="143"/>
      <c r="W413" s="143"/>
      <c r="X413" s="144"/>
      <c r="Y413" s="143"/>
      <c r="Z413" s="143"/>
      <c r="AA413" s="143"/>
      <c r="AB413" s="143"/>
      <c r="AC413" s="143"/>
      <c r="AD413" s="143"/>
      <c r="AE413" s="143"/>
    </row>
    <row r="414" spans="1:3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4"/>
      <c r="L414" s="144"/>
      <c r="M414" s="144"/>
      <c r="N414" s="143"/>
      <c r="O414" s="143"/>
      <c r="P414" s="144"/>
      <c r="Q414" s="143"/>
      <c r="R414" s="143"/>
      <c r="S414" s="143"/>
      <c r="T414" s="143"/>
      <c r="U414" s="143"/>
      <c r="V414" s="143"/>
      <c r="W414" s="143"/>
      <c r="X414" s="144"/>
      <c r="Y414" s="143"/>
      <c r="Z414" s="143"/>
      <c r="AA414" s="143"/>
      <c r="AB414" s="143"/>
      <c r="AC414" s="143"/>
      <c r="AD414" s="143"/>
      <c r="AE414" s="143"/>
    </row>
    <row r="415" spans="1:3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4"/>
      <c r="L415" s="144"/>
      <c r="M415" s="144"/>
      <c r="N415" s="143"/>
      <c r="O415" s="143"/>
      <c r="P415" s="144"/>
      <c r="Q415" s="143"/>
      <c r="R415" s="143"/>
      <c r="S415" s="143"/>
      <c r="T415" s="143"/>
      <c r="U415" s="143"/>
      <c r="V415" s="143"/>
      <c r="W415" s="143"/>
      <c r="X415" s="144"/>
      <c r="Y415" s="143"/>
      <c r="Z415" s="143"/>
      <c r="AA415" s="143"/>
      <c r="AB415" s="143"/>
      <c r="AC415" s="143"/>
      <c r="AD415" s="143"/>
      <c r="AE415" s="143"/>
    </row>
    <row r="416" spans="1:3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4"/>
      <c r="L416" s="144"/>
      <c r="M416" s="144"/>
      <c r="N416" s="143"/>
      <c r="O416" s="143"/>
      <c r="P416" s="144"/>
      <c r="Q416" s="143"/>
      <c r="R416" s="143"/>
      <c r="S416" s="143"/>
      <c r="T416" s="143"/>
      <c r="U416" s="143"/>
      <c r="V416" s="143"/>
      <c r="W416" s="143"/>
      <c r="X416" s="144"/>
      <c r="Y416" s="143"/>
      <c r="Z416" s="143"/>
      <c r="AA416" s="143"/>
      <c r="AB416" s="143"/>
      <c r="AC416" s="143"/>
      <c r="AD416" s="143"/>
      <c r="AE416" s="143"/>
    </row>
    <row r="417" spans="1:3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4"/>
      <c r="L417" s="144"/>
      <c r="M417" s="144"/>
      <c r="N417" s="144"/>
      <c r="O417" s="143"/>
      <c r="P417" s="144"/>
      <c r="Q417" s="143"/>
      <c r="R417" s="143"/>
      <c r="S417" s="143"/>
      <c r="T417" s="143"/>
      <c r="U417" s="143"/>
      <c r="V417" s="143"/>
      <c r="W417" s="143"/>
      <c r="X417" s="144"/>
      <c r="Y417" s="143"/>
      <c r="Z417" s="143"/>
      <c r="AA417" s="143"/>
      <c r="AB417" s="143"/>
      <c r="AC417" s="143"/>
      <c r="AD417" s="143"/>
      <c r="AE417" s="143"/>
    </row>
    <row r="418" spans="1:3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4"/>
      <c r="L418" s="144"/>
      <c r="M418" s="144"/>
      <c r="N418" s="144"/>
      <c r="O418" s="143"/>
      <c r="P418" s="144"/>
      <c r="Q418" s="143"/>
      <c r="R418" s="143"/>
      <c r="S418" s="143"/>
      <c r="T418" s="143"/>
      <c r="U418" s="143"/>
      <c r="V418" s="143"/>
      <c r="W418" s="143"/>
      <c r="X418" s="144"/>
      <c r="Y418" s="143"/>
      <c r="Z418" s="143"/>
      <c r="AA418" s="143"/>
      <c r="AB418" s="143"/>
      <c r="AC418" s="143"/>
      <c r="AD418" s="143"/>
      <c r="AE418" s="143"/>
    </row>
    <row r="419" spans="1:3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4"/>
      <c r="L419" s="144"/>
      <c r="M419" s="143"/>
      <c r="N419" s="143"/>
      <c r="O419" s="143"/>
      <c r="P419" s="144"/>
      <c r="Q419" s="143"/>
      <c r="R419" s="143"/>
      <c r="S419" s="143"/>
      <c r="T419" s="143"/>
      <c r="U419" s="143"/>
      <c r="V419" s="143"/>
      <c r="W419" s="143"/>
      <c r="X419" s="144"/>
      <c r="Y419" s="143"/>
      <c r="Z419" s="143"/>
      <c r="AA419" s="143"/>
      <c r="AB419" s="143"/>
      <c r="AC419" s="143"/>
      <c r="AD419" s="143"/>
      <c r="AE419" s="143"/>
    </row>
    <row r="420" spans="1:3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4"/>
      <c r="L420" s="144"/>
      <c r="M420" s="144"/>
      <c r="N420" s="144"/>
      <c r="O420" s="143"/>
      <c r="P420" s="144"/>
      <c r="Q420" s="143"/>
      <c r="R420" s="143"/>
      <c r="S420" s="143"/>
      <c r="T420" s="143"/>
      <c r="U420" s="143"/>
      <c r="V420" s="143"/>
      <c r="W420" s="143"/>
      <c r="X420" s="144"/>
      <c r="Y420" s="143"/>
      <c r="Z420" s="143"/>
      <c r="AA420" s="143"/>
      <c r="AB420" s="143"/>
      <c r="AC420" s="143"/>
      <c r="AD420" s="143"/>
      <c r="AE420" s="143"/>
    </row>
    <row r="421" spans="1:3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4"/>
      <c r="L421" s="144"/>
      <c r="M421" s="144"/>
      <c r="N421" s="144"/>
      <c r="O421" s="143"/>
      <c r="P421" s="144"/>
      <c r="Q421" s="143"/>
      <c r="R421" s="143"/>
      <c r="S421" s="143"/>
      <c r="T421" s="143"/>
      <c r="U421" s="143"/>
      <c r="V421" s="143"/>
      <c r="W421" s="143"/>
      <c r="X421" s="144"/>
      <c r="Y421" s="143"/>
      <c r="Z421" s="143"/>
      <c r="AA421" s="143"/>
      <c r="AB421" s="143"/>
      <c r="AC421" s="143"/>
      <c r="AD421" s="143"/>
      <c r="AE421" s="143"/>
    </row>
    <row r="422" spans="1:3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4"/>
      <c r="L422" s="144"/>
      <c r="M422" s="144"/>
      <c r="N422" s="144"/>
      <c r="O422" s="143"/>
      <c r="P422" s="144"/>
      <c r="Q422" s="143"/>
      <c r="R422" s="143"/>
      <c r="S422" s="143"/>
      <c r="T422" s="143"/>
      <c r="U422" s="143"/>
      <c r="V422" s="143"/>
      <c r="W422" s="143"/>
      <c r="X422" s="144"/>
      <c r="Y422" s="143"/>
      <c r="Z422" s="143"/>
      <c r="AA422" s="143"/>
      <c r="AB422" s="143"/>
      <c r="AC422" s="143"/>
      <c r="AD422" s="143"/>
      <c r="AE422" s="143"/>
    </row>
    <row r="423" spans="1:3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4"/>
      <c r="L423" s="144"/>
      <c r="M423" s="144"/>
      <c r="N423" s="144"/>
      <c r="O423" s="143"/>
      <c r="P423" s="144"/>
      <c r="Q423" s="143"/>
      <c r="R423" s="143"/>
      <c r="S423" s="143"/>
      <c r="T423" s="143"/>
      <c r="U423" s="143"/>
      <c r="V423" s="143"/>
      <c r="W423" s="143"/>
      <c r="X423" s="144"/>
      <c r="Y423" s="143"/>
      <c r="Z423" s="143"/>
      <c r="AA423" s="143"/>
      <c r="AB423" s="143"/>
      <c r="AC423" s="143"/>
      <c r="AD423" s="143"/>
      <c r="AE423" s="143"/>
    </row>
    <row r="424" spans="1:3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4"/>
      <c r="L424" s="144"/>
      <c r="M424" s="144"/>
      <c r="N424" s="144"/>
      <c r="O424" s="143"/>
      <c r="P424" s="144"/>
      <c r="Q424" s="143"/>
      <c r="R424" s="143"/>
      <c r="S424" s="143"/>
      <c r="T424" s="143"/>
      <c r="U424" s="143"/>
      <c r="V424" s="143"/>
      <c r="W424" s="143"/>
      <c r="X424" s="144"/>
      <c r="Y424" s="143"/>
      <c r="Z424" s="143"/>
      <c r="AA424" s="143"/>
      <c r="AB424" s="143"/>
      <c r="AC424" s="143"/>
      <c r="AD424" s="143"/>
      <c r="AE424" s="143"/>
    </row>
    <row r="425" spans="1:3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4"/>
      <c r="L425" s="144"/>
      <c r="M425" s="144"/>
      <c r="N425" s="143"/>
      <c r="O425" s="143"/>
      <c r="P425" s="144"/>
      <c r="Q425" s="143"/>
      <c r="R425" s="143"/>
      <c r="S425" s="143"/>
      <c r="T425" s="143"/>
      <c r="U425" s="143"/>
      <c r="V425" s="143"/>
      <c r="W425" s="143"/>
      <c r="X425" s="144"/>
      <c r="Y425" s="143"/>
      <c r="Z425" s="143"/>
      <c r="AA425" s="143"/>
      <c r="AB425" s="143"/>
      <c r="AC425" s="143"/>
      <c r="AD425" s="143"/>
      <c r="AE425" s="143"/>
    </row>
    <row r="426" spans="1:3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4"/>
      <c r="L426" s="144"/>
      <c r="M426" s="144"/>
      <c r="N426" s="143"/>
      <c r="O426" s="143"/>
      <c r="P426" s="144"/>
      <c r="Q426" s="143"/>
      <c r="R426" s="143"/>
      <c r="S426" s="143"/>
      <c r="T426" s="143"/>
      <c r="U426" s="143"/>
      <c r="V426" s="143"/>
      <c r="W426" s="143"/>
      <c r="X426" s="144"/>
      <c r="Y426" s="143"/>
      <c r="Z426" s="143"/>
      <c r="AA426" s="143"/>
      <c r="AB426" s="143"/>
      <c r="AC426" s="143"/>
      <c r="AD426" s="143"/>
      <c r="AE426" s="143"/>
    </row>
    <row r="427" spans="1:3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4"/>
      <c r="L427" s="144"/>
      <c r="M427" s="144"/>
      <c r="N427" s="144"/>
      <c r="O427" s="143"/>
      <c r="P427" s="144"/>
      <c r="Q427" s="143"/>
      <c r="R427" s="143"/>
      <c r="S427" s="143"/>
      <c r="T427" s="143"/>
      <c r="U427" s="143"/>
      <c r="V427" s="143"/>
      <c r="W427" s="143"/>
      <c r="X427" s="144"/>
      <c r="Y427" s="143"/>
      <c r="Z427" s="143"/>
      <c r="AA427" s="143"/>
      <c r="AB427" s="143"/>
      <c r="AC427" s="143"/>
      <c r="AD427" s="143"/>
      <c r="AE427" s="143"/>
    </row>
    <row r="428" spans="1:3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4"/>
      <c r="L428" s="144"/>
      <c r="M428" s="144"/>
      <c r="N428" s="144"/>
      <c r="O428" s="143"/>
      <c r="P428" s="144"/>
      <c r="Q428" s="143"/>
      <c r="R428" s="143"/>
      <c r="S428" s="143"/>
      <c r="T428" s="143"/>
      <c r="U428" s="143"/>
      <c r="V428" s="143"/>
      <c r="W428" s="143"/>
      <c r="X428" s="144"/>
      <c r="Y428" s="143"/>
      <c r="Z428" s="143"/>
      <c r="AA428" s="143"/>
      <c r="AB428" s="143"/>
      <c r="AC428" s="143"/>
      <c r="AD428" s="143"/>
      <c r="AE428" s="143"/>
    </row>
    <row r="429" spans="1:3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4"/>
      <c r="L429" s="144"/>
      <c r="M429" s="144"/>
      <c r="N429" s="144"/>
      <c r="O429" s="143"/>
      <c r="P429" s="144"/>
      <c r="Q429" s="143"/>
      <c r="R429" s="143"/>
      <c r="S429" s="143"/>
      <c r="T429" s="143"/>
      <c r="U429" s="143"/>
      <c r="V429" s="143"/>
      <c r="W429" s="143"/>
      <c r="X429" s="144"/>
      <c r="Y429" s="143"/>
      <c r="Z429" s="143"/>
      <c r="AA429" s="143"/>
      <c r="AB429" s="143"/>
      <c r="AC429" s="143"/>
      <c r="AD429" s="143"/>
      <c r="AE429" s="143"/>
    </row>
    <row r="430" spans="1:3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4"/>
      <c r="L430" s="144"/>
      <c r="M430" s="144"/>
      <c r="N430" s="144"/>
      <c r="O430" s="143"/>
      <c r="P430" s="144"/>
      <c r="Q430" s="143"/>
      <c r="R430" s="143"/>
      <c r="S430" s="143"/>
      <c r="T430" s="143"/>
      <c r="U430" s="143"/>
      <c r="V430" s="143"/>
      <c r="W430" s="143"/>
      <c r="X430" s="144"/>
      <c r="Y430" s="143"/>
      <c r="Z430" s="143"/>
      <c r="AA430" s="143"/>
      <c r="AB430" s="143"/>
      <c r="AC430" s="143"/>
      <c r="AD430" s="143"/>
      <c r="AE430" s="143"/>
    </row>
    <row r="431" spans="1: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4"/>
      <c r="L431" s="144"/>
      <c r="M431" s="144"/>
      <c r="N431" s="144"/>
      <c r="O431" s="143"/>
      <c r="P431" s="144"/>
      <c r="Q431" s="143"/>
      <c r="R431" s="143"/>
      <c r="S431" s="143"/>
      <c r="T431" s="143"/>
      <c r="U431" s="143"/>
      <c r="V431" s="143"/>
      <c r="W431" s="143"/>
      <c r="X431" s="144"/>
      <c r="Y431" s="143"/>
      <c r="Z431" s="143"/>
      <c r="AA431" s="143"/>
      <c r="AB431" s="143"/>
      <c r="AC431" s="143"/>
      <c r="AD431" s="143"/>
      <c r="AE431" s="143"/>
    </row>
    <row r="432" spans="1:3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4"/>
      <c r="L432" s="144"/>
      <c r="M432" s="144"/>
      <c r="N432" s="144"/>
      <c r="O432" s="143"/>
      <c r="P432" s="144"/>
      <c r="Q432" s="143"/>
      <c r="R432" s="143"/>
      <c r="S432" s="143"/>
      <c r="T432" s="143"/>
      <c r="U432" s="143"/>
      <c r="V432" s="143"/>
      <c r="W432" s="143"/>
      <c r="X432" s="144"/>
      <c r="Y432" s="143"/>
      <c r="Z432" s="143"/>
      <c r="AA432" s="143"/>
      <c r="AB432" s="143"/>
      <c r="AC432" s="143"/>
      <c r="AD432" s="143"/>
      <c r="AE432" s="143"/>
    </row>
    <row r="433" spans="1:3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4"/>
      <c r="L433" s="144"/>
      <c r="M433" s="144"/>
      <c r="N433" s="144"/>
      <c r="O433" s="143"/>
      <c r="P433" s="144"/>
      <c r="Q433" s="143"/>
      <c r="R433" s="143"/>
      <c r="S433" s="143"/>
      <c r="T433" s="143"/>
      <c r="U433" s="143"/>
      <c r="V433" s="143"/>
      <c r="W433" s="143"/>
      <c r="X433" s="144"/>
      <c r="Y433" s="143"/>
      <c r="Z433" s="143"/>
      <c r="AA433" s="143"/>
      <c r="AB433" s="143"/>
      <c r="AC433" s="143"/>
      <c r="AD433" s="143"/>
      <c r="AE433" s="143"/>
    </row>
    <row r="434" spans="1:3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4"/>
      <c r="L434" s="144"/>
      <c r="M434" s="144"/>
      <c r="N434" s="144"/>
      <c r="O434" s="143"/>
      <c r="P434" s="144"/>
      <c r="Q434" s="143"/>
      <c r="R434" s="143"/>
      <c r="S434" s="143"/>
      <c r="T434" s="143"/>
      <c r="U434" s="143"/>
      <c r="V434" s="143"/>
      <c r="W434" s="143"/>
      <c r="X434" s="144"/>
      <c r="Y434" s="143"/>
      <c r="Z434" s="143"/>
      <c r="AA434" s="143"/>
      <c r="AB434" s="143"/>
      <c r="AC434" s="143"/>
      <c r="AD434" s="143"/>
      <c r="AE434" s="143"/>
    </row>
    <row r="435" spans="1:3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4"/>
      <c r="L435" s="144"/>
      <c r="M435" s="144"/>
      <c r="N435" s="144"/>
      <c r="O435" s="143"/>
      <c r="P435" s="144"/>
      <c r="Q435" s="143"/>
      <c r="R435" s="143"/>
      <c r="S435" s="143"/>
      <c r="T435" s="143"/>
      <c r="U435" s="143"/>
      <c r="V435" s="143"/>
      <c r="W435" s="143"/>
      <c r="X435" s="144"/>
      <c r="Y435" s="143"/>
      <c r="Z435" s="143"/>
      <c r="AA435" s="143"/>
      <c r="AB435" s="143"/>
      <c r="AC435" s="143"/>
      <c r="AD435" s="143"/>
      <c r="AE435" s="143"/>
    </row>
    <row r="436" spans="1:3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4"/>
      <c r="L436" s="144"/>
      <c r="M436" s="144"/>
      <c r="N436" s="144"/>
      <c r="O436" s="143"/>
      <c r="P436" s="144"/>
      <c r="Q436" s="143"/>
      <c r="R436" s="143"/>
      <c r="S436" s="143"/>
      <c r="T436" s="143"/>
      <c r="U436" s="143"/>
      <c r="V436" s="143"/>
      <c r="W436" s="143"/>
      <c r="X436" s="144"/>
      <c r="Y436" s="143"/>
      <c r="Z436" s="143"/>
      <c r="AA436" s="143"/>
      <c r="AB436" s="143"/>
      <c r="AC436" s="143"/>
      <c r="AD436" s="143"/>
      <c r="AE436" s="143"/>
    </row>
    <row r="437" spans="1:3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4"/>
      <c r="L437" s="144"/>
      <c r="M437" s="144"/>
      <c r="N437" s="144"/>
      <c r="O437" s="143"/>
      <c r="P437" s="144"/>
      <c r="Q437" s="143"/>
      <c r="R437" s="143"/>
      <c r="S437" s="143"/>
      <c r="T437" s="143"/>
      <c r="U437" s="143"/>
      <c r="V437" s="143"/>
      <c r="W437" s="143"/>
      <c r="X437" s="144"/>
      <c r="Y437" s="143"/>
      <c r="Z437" s="143"/>
      <c r="AA437" s="143"/>
      <c r="AB437" s="143"/>
      <c r="AC437" s="143"/>
      <c r="AD437" s="143"/>
      <c r="AE437" s="143"/>
    </row>
    <row r="438" spans="1:3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4"/>
      <c r="L438" s="144"/>
      <c r="M438" s="144"/>
      <c r="N438" s="144"/>
      <c r="O438" s="143"/>
      <c r="P438" s="144"/>
      <c r="Q438" s="143"/>
      <c r="R438" s="143"/>
      <c r="S438" s="143"/>
      <c r="T438" s="143"/>
      <c r="U438" s="143"/>
      <c r="V438" s="143"/>
      <c r="W438" s="143"/>
      <c r="X438" s="144"/>
      <c r="Y438" s="143"/>
      <c r="Z438" s="143"/>
      <c r="AA438" s="143"/>
      <c r="AB438" s="143"/>
      <c r="AC438" s="143"/>
      <c r="AD438" s="143"/>
      <c r="AE438" s="143"/>
    </row>
    <row r="439" spans="1:3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4"/>
      <c r="L439" s="144"/>
      <c r="M439" s="144"/>
      <c r="N439" s="144"/>
      <c r="O439" s="143"/>
      <c r="P439" s="144"/>
      <c r="Q439" s="143"/>
      <c r="R439" s="143"/>
      <c r="S439" s="143"/>
      <c r="T439" s="143"/>
      <c r="U439" s="143"/>
      <c r="V439" s="143"/>
      <c r="W439" s="143"/>
      <c r="X439" s="144"/>
      <c r="Y439" s="143"/>
      <c r="Z439" s="143"/>
      <c r="AA439" s="143"/>
      <c r="AB439" s="143"/>
      <c r="AC439" s="143"/>
      <c r="AD439" s="143"/>
      <c r="AE439" s="143"/>
    </row>
    <row r="440" spans="1:3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4"/>
      <c r="L440" s="144"/>
      <c r="M440" s="144"/>
      <c r="N440" s="144"/>
      <c r="O440" s="143"/>
      <c r="P440" s="144"/>
      <c r="Q440" s="143"/>
      <c r="R440" s="143"/>
      <c r="S440" s="143"/>
      <c r="T440" s="143"/>
      <c r="U440" s="143"/>
      <c r="V440" s="143"/>
      <c r="W440" s="143"/>
      <c r="X440" s="144"/>
      <c r="Y440" s="143"/>
      <c r="Z440" s="143"/>
      <c r="AA440" s="143"/>
      <c r="AB440" s="143"/>
      <c r="AC440" s="143"/>
      <c r="AD440" s="143"/>
      <c r="AE440" s="143"/>
    </row>
    <row r="441" spans="1:3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4"/>
      <c r="L441" s="144"/>
      <c r="M441" s="144"/>
      <c r="N441" s="144"/>
      <c r="O441" s="143"/>
      <c r="P441" s="144"/>
      <c r="Q441" s="143"/>
      <c r="R441" s="143"/>
      <c r="S441" s="143"/>
      <c r="T441" s="143"/>
      <c r="U441" s="143"/>
      <c r="V441" s="143"/>
      <c r="W441" s="143"/>
      <c r="X441" s="144"/>
      <c r="Y441" s="143"/>
      <c r="Z441" s="143"/>
      <c r="AA441" s="143"/>
      <c r="AB441" s="143"/>
      <c r="AC441" s="143"/>
      <c r="AD441" s="143"/>
      <c r="AE441" s="143"/>
    </row>
    <row r="442" spans="1:3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4"/>
      <c r="L442" s="144"/>
      <c r="M442" s="144"/>
      <c r="N442" s="144"/>
      <c r="O442" s="143"/>
      <c r="P442" s="144"/>
      <c r="Q442" s="143"/>
      <c r="R442" s="143"/>
      <c r="S442" s="143"/>
      <c r="T442" s="143"/>
      <c r="U442" s="143"/>
      <c r="V442" s="143"/>
      <c r="W442" s="143"/>
      <c r="X442" s="144"/>
      <c r="Y442" s="143"/>
      <c r="Z442" s="143"/>
      <c r="AA442" s="143"/>
      <c r="AB442" s="143"/>
      <c r="AC442" s="143"/>
      <c r="AD442" s="143"/>
      <c r="AE442" s="143"/>
    </row>
    <row r="443" spans="1:3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4"/>
      <c r="L443" s="144"/>
      <c r="M443" s="144"/>
      <c r="N443" s="144"/>
      <c r="O443" s="143"/>
      <c r="P443" s="144"/>
      <c r="Q443" s="143"/>
      <c r="R443" s="143"/>
      <c r="S443" s="143"/>
      <c r="T443" s="143"/>
      <c r="U443" s="143"/>
      <c r="V443" s="143"/>
      <c r="W443" s="143"/>
      <c r="X443" s="144"/>
      <c r="Y443" s="143"/>
      <c r="Z443" s="143"/>
      <c r="AA443" s="143"/>
      <c r="AB443" s="143"/>
      <c r="AC443" s="143"/>
      <c r="AD443" s="143"/>
      <c r="AE443" s="143"/>
    </row>
    <row r="444" spans="1:3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4"/>
      <c r="L444" s="144"/>
      <c r="M444" s="144"/>
      <c r="N444" s="144"/>
      <c r="O444" s="143"/>
      <c r="P444" s="144"/>
      <c r="Q444" s="143"/>
      <c r="R444" s="143"/>
      <c r="S444" s="143"/>
      <c r="T444" s="143"/>
      <c r="U444" s="143"/>
      <c r="V444" s="143"/>
      <c r="W444" s="143"/>
      <c r="X444" s="144"/>
      <c r="Y444" s="143"/>
      <c r="Z444" s="143"/>
      <c r="AA444" s="143"/>
      <c r="AB444" s="143"/>
      <c r="AC444" s="143"/>
      <c r="AD444" s="143"/>
      <c r="AE444" s="143"/>
    </row>
    <row r="445" spans="1:3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4"/>
      <c r="L445" s="144"/>
      <c r="M445" s="144"/>
      <c r="N445" s="144"/>
      <c r="O445" s="143"/>
      <c r="P445" s="144"/>
      <c r="Q445" s="143"/>
      <c r="R445" s="143"/>
      <c r="S445" s="143"/>
      <c r="T445" s="143"/>
      <c r="U445" s="143"/>
      <c r="V445" s="143"/>
      <c r="W445" s="143"/>
      <c r="X445" s="144"/>
      <c r="Y445" s="143"/>
      <c r="Z445" s="143"/>
      <c r="AA445" s="143"/>
      <c r="AB445" s="143"/>
      <c r="AC445" s="143"/>
      <c r="AD445" s="143"/>
      <c r="AE445" s="143"/>
    </row>
    <row r="446" spans="1:3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4"/>
      <c r="L446" s="144"/>
      <c r="M446" s="144"/>
      <c r="N446" s="144"/>
      <c r="O446" s="143"/>
      <c r="P446" s="144"/>
      <c r="Q446" s="143"/>
      <c r="R446" s="143"/>
      <c r="S446" s="143"/>
      <c r="T446" s="143"/>
      <c r="U446" s="143"/>
      <c r="V446" s="143"/>
      <c r="W446" s="143"/>
      <c r="X446" s="144"/>
      <c r="Y446" s="143"/>
      <c r="Z446" s="143"/>
      <c r="AA446" s="143"/>
      <c r="AB446" s="143"/>
      <c r="AC446" s="143"/>
      <c r="AD446" s="143"/>
      <c r="AE446" s="143"/>
    </row>
    <row r="447" spans="1:3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4"/>
      <c r="L447" s="144"/>
      <c r="M447" s="144"/>
      <c r="N447" s="143"/>
      <c r="O447" s="143"/>
      <c r="P447" s="144"/>
      <c r="Q447" s="143"/>
      <c r="R447" s="143"/>
      <c r="S447" s="143"/>
      <c r="T447" s="143"/>
      <c r="U447" s="143"/>
      <c r="V447" s="143"/>
      <c r="W447" s="143"/>
      <c r="X447" s="144"/>
      <c r="Y447" s="143"/>
      <c r="Z447" s="143"/>
      <c r="AA447" s="143"/>
      <c r="AB447" s="143"/>
      <c r="AC447" s="143"/>
      <c r="AD447" s="143"/>
      <c r="AE447" s="143"/>
    </row>
    <row r="448" spans="1:3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4"/>
      <c r="L448" s="144"/>
      <c r="M448" s="144"/>
      <c r="N448" s="143"/>
      <c r="O448" s="143"/>
      <c r="P448" s="144"/>
      <c r="Q448" s="143"/>
      <c r="R448" s="143"/>
      <c r="S448" s="143"/>
      <c r="T448" s="143"/>
      <c r="U448" s="143"/>
      <c r="V448" s="143"/>
      <c r="W448" s="143"/>
      <c r="X448" s="144"/>
      <c r="Y448" s="143"/>
      <c r="Z448" s="143"/>
      <c r="AA448" s="143"/>
      <c r="AB448" s="143"/>
      <c r="AC448" s="143"/>
      <c r="AD448" s="143"/>
      <c r="AE448" s="143"/>
    </row>
    <row r="449" spans="1:3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4"/>
      <c r="L449" s="144"/>
      <c r="M449" s="144"/>
      <c r="N449" s="143"/>
      <c r="O449" s="143"/>
      <c r="P449" s="144"/>
      <c r="Q449" s="143"/>
      <c r="R449" s="143"/>
      <c r="S449" s="143"/>
      <c r="T449" s="143"/>
      <c r="U449" s="143"/>
      <c r="V449" s="143"/>
      <c r="W449" s="143"/>
      <c r="X449" s="144"/>
      <c r="Y449" s="143"/>
      <c r="Z449" s="143"/>
      <c r="AA449" s="143"/>
      <c r="AB449" s="143"/>
      <c r="AC449" s="143"/>
      <c r="AD449" s="143"/>
      <c r="AE449" s="143"/>
    </row>
    <row r="450" spans="1:3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4"/>
      <c r="L450" s="144"/>
      <c r="M450" s="144"/>
      <c r="N450" s="143"/>
      <c r="O450" s="143"/>
      <c r="P450" s="144"/>
      <c r="Q450" s="143"/>
      <c r="R450" s="143"/>
      <c r="S450" s="143"/>
      <c r="T450" s="143"/>
      <c r="U450" s="143"/>
      <c r="V450" s="143"/>
      <c r="W450" s="143"/>
      <c r="X450" s="144"/>
      <c r="Y450" s="143"/>
      <c r="Z450" s="143"/>
      <c r="AA450" s="143"/>
      <c r="AB450" s="143"/>
      <c r="AC450" s="143"/>
      <c r="AD450" s="143"/>
      <c r="AE450" s="143"/>
    </row>
    <row r="451" spans="1:3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4"/>
      <c r="L451" s="144"/>
      <c r="M451" s="144"/>
      <c r="N451" s="143"/>
      <c r="O451" s="143"/>
      <c r="P451" s="144"/>
      <c r="Q451" s="143"/>
      <c r="R451" s="143"/>
      <c r="S451" s="143"/>
      <c r="T451" s="143"/>
      <c r="U451" s="143"/>
      <c r="V451" s="143"/>
      <c r="W451" s="143"/>
      <c r="X451" s="144"/>
      <c r="Y451" s="143"/>
      <c r="Z451" s="143"/>
      <c r="AA451" s="143"/>
      <c r="AB451" s="143"/>
      <c r="AC451" s="143"/>
      <c r="AD451" s="143"/>
      <c r="AE451" s="143"/>
    </row>
    <row r="452" spans="1:3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4"/>
      <c r="L452" s="144"/>
      <c r="M452" s="144"/>
      <c r="N452" s="143"/>
      <c r="O452" s="143"/>
      <c r="P452" s="144"/>
      <c r="Q452" s="143"/>
      <c r="R452" s="143"/>
      <c r="S452" s="143"/>
      <c r="T452" s="143"/>
      <c r="U452" s="143"/>
      <c r="V452" s="143"/>
      <c r="W452" s="143"/>
      <c r="X452" s="144"/>
      <c r="Y452" s="143"/>
      <c r="Z452" s="143"/>
      <c r="AA452" s="143"/>
      <c r="AB452" s="143"/>
      <c r="AC452" s="143"/>
      <c r="AD452" s="143"/>
      <c r="AE452" s="143"/>
    </row>
    <row r="453" spans="1:3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4"/>
      <c r="L453" s="144"/>
      <c r="M453" s="144"/>
      <c r="N453" s="143"/>
      <c r="O453" s="143"/>
      <c r="P453" s="144"/>
      <c r="Q453" s="143"/>
      <c r="R453" s="143"/>
      <c r="S453" s="143"/>
      <c r="T453" s="143"/>
      <c r="U453" s="143"/>
      <c r="V453" s="143"/>
      <c r="W453" s="143"/>
      <c r="X453" s="144"/>
      <c r="Y453" s="143"/>
      <c r="Z453" s="143"/>
      <c r="AA453" s="143"/>
      <c r="AB453" s="143"/>
      <c r="AC453" s="143"/>
      <c r="AD453" s="143"/>
      <c r="AE453" s="143"/>
    </row>
    <row r="454" spans="1:3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4"/>
      <c r="L454" s="144"/>
      <c r="M454" s="144"/>
      <c r="N454" s="144"/>
      <c r="O454" s="143"/>
      <c r="P454" s="144"/>
      <c r="Q454" s="143"/>
      <c r="R454" s="143"/>
      <c r="S454" s="143"/>
      <c r="T454" s="143"/>
      <c r="U454" s="143"/>
      <c r="V454" s="143"/>
      <c r="W454" s="143"/>
      <c r="X454" s="144"/>
      <c r="Y454" s="143"/>
      <c r="Z454" s="143"/>
      <c r="AA454" s="143"/>
      <c r="AB454" s="143"/>
      <c r="AC454" s="143"/>
      <c r="AD454" s="143"/>
      <c r="AE454" s="143"/>
    </row>
    <row r="455" spans="1:3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4"/>
      <c r="L455" s="144"/>
      <c r="M455" s="144"/>
      <c r="N455" s="143"/>
      <c r="O455" s="143"/>
      <c r="P455" s="144"/>
      <c r="Q455" s="143"/>
      <c r="R455" s="143"/>
      <c r="S455" s="143"/>
      <c r="T455" s="143"/>
      <c r="U455" s="143"/>
      <c r="V455" s="143"/>
      <c r="W455" s="143"/>
      <c r="X455" s="144"/>
      <c r="Y455" s="143"/>
      <c r="Z455" s="143"/>
      <c r="AA455" s="143"/>
      <c r="AB455" s="143"/>
      <c r="AC455" s="143"/>
      <c r="AD455" s="143"/>
      <c r="AE455" s="143"/>
    </row>
    <row r="456" spans="1:3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4"/>
      <c r="L456" s="144"/>
      <c r="M456" s="144"/>
      <c r="N456" s="144"/>
      <c r="O456" s="143"/>
      <c r="P456" s="144"/>
      <c r="Q456" s="143"/>
      <c r="R456" s="143"/>
      <c r="S456" s="143"/>
      <c r="T456" s="143"/>
      <c r="U456" s="143"/>
      <c r="V456" s="143"/>
      <c r="W456" s="143"/>
      <c r="X456" s="144"/>
      <c r="Y456" s="143"/>
      <c r="Z456" s="143"/>
      <c r="AA456" s="143"/>
      <c r="AB456" s="143"/>
      <c r="AC456" s="143"/>
      <c r="AD456" s="143"/>
      <c r="AE456" s="143"/>
    </row>
    <row r="457" spans="1:3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4"/>
      <c r="L457" s="144"/>
      <c r="M457" s="144"/>
      <c r="N457" s="144"/>
      <c r="O457" s="143"/>
      <c r="P457" s="144"/>
      <c r="Q457" s="143"/>
      <c r="R457" s="143"/>
      <c r="S457" s="143"/>
      <c r="T457" s="143"/>
      <c r="U457" s="143"/>
      <c r="V457" s="143"/>
      <c r="W457" s="143"/>
      <c r="X457" s="144"/>
      <c r="Y457" s="143"/>
      <c r="Z457" s="143"/>
      <c r="AA457" s="143"/>
      <c r="AB457" s="143"/>
      <c r="AC457" s="143"/>
      <c r="AD457" s="143"/>
      <c r="AE457" s="143"/>
    </row>
    <row r="458" spans="1:3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4"/>
      <c r="L458" s="144"/>
      <c r="M458" s="144"/>
      <c r="N458" s="144"/>
      <c r="O458" s="143"/>
      <c r="P458" s="144"/>
      <c r="Q458" s="143"/>
      <c r="R458" s="143"/>
      <c r="S458" s="143"/>
      <c r="T458" s="143"/>
      <c r="U458" s="143"/>
      <c r="V458" s="143"/>
      <c r="W458" s="143"/>
      <c r="X458" s="144"/>
      <c r="Y458" s="143"/>
      <c r="Z458" s="143"/>
      <c r="AA458" s="143"/>
      <c r="AB458" s="143"/>
      <c r="AC458" s="143"/>
      <c r="AD458" s="143"/>
      <c r="AE458" s="143"/>
    </row>
    <row r="459" spans="1:3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4"/>
      <c r="L459" s="144"/>
      <c r="M459" s="144"/>
      <c r="N459" s="144"/>
      <c r="O459" s="143"/>
      <c r="P459" s="144"/>
      <c r="Q459" s="143"/>
      <c r="R459" s="143"/>
      <c r="S459" s="143"/>
      <c r="T459" s="143"/>
      <c r="U459" s="143"/>
      <c r="V459" s="143"/>
      <c r="W459" s="143"/>
      <c r="X459" s="144"/>
      <c r="Y459" s="143"/>
      <c r="Z459" s="143"/>
      <c r="AA459" s="143"/>
      <c r="AB459" s="143"/>
      <c r="AC459" s="143"/>
      <c r="AD459" s="143"/>
      <c r="AE459" s="143"/>
    </row>
    <row r="460" spans="1:3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4"/>
      <c r="L460" s="144"/>
      <c r="M460" s="144"/>
      <c r="N460" s="144"/>
      <c r="O460" s="143"/>
      <c r="P460" s="144"/>
      <c r="Q460" s="143"/>
      <c r="R460" s="143"/>
      <c r="S460" s="143"/>
      <c r="T460" s="143"/>
      <c r="U460" s="143"/>
      <c r="V460" s="143"/>
      <c r="W460" s="143"/>
      <c r="X460" s="144"/>
      <c r="Y460" s="143"/>
      <c r="Z460" s="143"/>
      <c r="AA460" s="143"/>
      <c r="AB460" s="143"/>
      <c r="AC460" s="143"/>
      <c r="AD460" s="143"/>
      <c r="AE460" s="143"/>
    </row>
    <row r="461" spans="1:3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4"/>
      <c r="L461" s="144"/>
      <c r="M461" s="144"/>
      <c r="N461" s="144"/>
      <c r="O461" s="143"/>
      <c r="P461" s="144"/>
      <c r="Q461" s="143"/>
      <c r="R461" s="143"/>
      <c r="S461" s="143"/>
      <c r="T461" s="143"/>
      <c r="U461" s="143"/>
      <c r="V461" s="143"/>
      <c r="W461" s="143"/>
      <c r="X461" s="144"/>
      <c r="Y461" s="143"/>
      <c r="Z461" s="143"/>
      <c r="AA461" s="143"/>
      <c r="AB461" s="143"/>
      <c r="AC461" s="143"/>
      <c r="AD461" s="143"/>
      <c r="AE461" s="143"/>
    </row>
    <row r="462" spans="1:3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4"/>
      <c r="L462" s="144"/>
      <c r="M462" s="144"/>
      <c r="N462" s="144"/>
      <c r="O462" s="143"/>
      <c r="P462" s="144"/>
      <c r="Q462" s="143"/>
      <c r="R462" s="143"/>
      <c r="S462" s="143"/>
      <c r="T462" s="143"/>
      <c r="U462" s="143"/>
      <c r="V462" s="143"/>
      <c r="W462" s="143"/>
      <c r="X462" s="144"/>
      <c r="Y462" s="143"/>
      <c r="Z462" s="143"/>
      <c r="AA462" s="143"/>
      <c r="AB462" s="143"/>
      <c r="AC462" s="143"/>
      <c r="AD462" s="143"/>
      <c r="AE462" s="143"/>
    </row>
    <row r="463" spans="1:3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4"/>
      <c r="L463" s="144"/>
      <c r="M463" s="144"/>
      <c r="N463" s="144"/>
      <c r="O463" s="143"/>
      <c r="P463" s="144"/>
      <c r="Q463" s="143"/>
      <c r="R463" s="143"/>
      <c r="S463" s="143"/>
      <c r="T463" s="143"/>
      <c r="U463" s="143"/>
      <c r="V463" s="143"/>
      <c r="W463" s="143"/>
      <c r="X463" s="144"/>
      <c r="Y463" s="143"/>
      <c r="Z463" s="143"/>
      <c r="AA463" s="143"/>
      <c r="AB463" s="143"/>
      <c r="AC463" s="143"/>
      <c r="AD463" s="143"/>
      <c r="AE463" s="143"/>
    </row>
    <row r="464" spans="1:3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4"/>
      <c r="L464" s="144"/>
      <c r="M464" s="144"/>
      <c r="N464" s="144"/>
      <c r="O464" s="143"/>
      <c r="P464" s="144"/>
      <c r="Q464" s="143"/>
      <c r="R464" s="143"/>
      <c r="S464" s="143"/>
      <c r="T464" s="143"/>
      <c r="U464" s="143"/>
      <c r="V464" s="143"/>
      <c r="W464" s="143"/>
      <c r="X464" s="144"/>
      <c r="Y464" s="143"/>
      <c r="Z464" s="143"/>
      <c r="AA464" s="143"/>
      <c r="AB464" s="143"/>
      <c r="AC464" s="143"/>
      <c r="AD464" s="143"/>
      <c r="AE464" s="143"/>
    </row>
    <row r="465" spans="1:3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4"/>
      <c r="L465" s="144"/>
      <c r="M465" s="144"/>
      <c r="N465" s="144"/>
      <c r="O465" s="143"/>
      <c r="P465" s="144"/>
      <c r="Q465" s="143"/>
      <c r="R465" s="143"/>
      <c r="S465" s="143"/>
      <c r="T465" s="143"/>
      <c r="U465" s="143"/>
      <c r="V465" s="143"/>
      <c r="W465" s="143"/>
      <c r="X465" s="144"/>
      <c r="Y465" s="143"/>
      <c r="Z465" s="143"/>
      <c r="AA465" s="143"/>
      <c r="AB465" s="143"/>
      <c r="AC465" s="143"/>
      <c r="AD465" s="143"/>
      <c r="AE465" s="143"/>
    </row>
    <row r="466" spans="1:3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4"/>
      <c r="L466" s="144"/>
      <c r="M466" s="144"/>
      <c r="N466" s="144"/>
      <c r="O466" s="143"/>
      <c r="P466" s="144"/>
      <c r="Q466" s="143"/>
      <c r="R466" s="143"/>
      <c r="S466" s="143"/>
      <c r="T466" s="143"/>
      <c r="U466" s="143"/>
      <c r="V466" s="143"/>
      <c r="W466" s="143"/>
      <c r="X466" s="144"/>
      <c r="Y466" s="143"/>
      <c r="Z466" s="143"/>
      <c r="AA466" s="143"/>
      <c r="AB466" s="143"/>
      <c r="AC466" s="143"/>
      <c r="AD466" s="143"/>
      <c r="AE466" s="143"/>
    </row>
    <row r="467" spans="1:3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4"/>
      <c r="L467" s="144"/>
      <c r="M467" s="144"/>
      <c r="N467" s="144"/>
      <c r="O467" s="143"/>
      <c r="P467" s="144"/>
      <c r="Q467" s="143"/>
      <c r="R467" s="143"/>
      <c r="S467" s="143"/>
      <c r="T467" s="143"/>
      <c r="U467" s="143"/>
      <c r="V467" s="143"/>
      <c r="W467" s="143"/>
      <c r="X467" s="144"/>
      <c r="Y467" s="143"/>
      <c r="Z467" s="143"/>
      <c r="AA467" s="143"/>
      <c r="AB467" s="143"/>
      <c r="AC467" s="143"/>
      <c r="AD467" s="143"/>
      <c r="AE467" s="143"/>
    </row>
    <row r="468" spans="1:3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4"/>
      <c r="L468" s="144"/>
      <c r="M468" s="144"/>
      <c r="N468" s="144"/>
      <c r="O468" s="143"/>
      <c r="P468" s="144"/>
      <c r="Q468" s="143"/>
      <c r="R468" s="143"/>
      <c r="S468" s="143"/>
      <c r="T468" s="143"/>
      <c r="U468" s="143"/>
      <c r="V468" s="143"/>
      <c r="W468" s="143"/>
      <c r="X468" s="144"/>
      <c r="Y468" s="143"/>
      <c r="Z468" s="143"/>
      <c r="AA468" s="143"/>
      <c r="AB468" s="143"/>
      <c r="AC468" s="143"/>
      <c r="AD468" s="143"/>
      <c r="AE468" s="143"/>
    </row>
    <row r="469" spans="1:3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4"/>
      <c r="L469" s="144"/>
      <c r="M469" s="144"/>
      <c r="N469" s="144"/>
      <c r="O469" s="143"/>
      <c r="P469" s="144"/>
      <c r="Q469" s="143"/>
      <c r="R469" s="143"/>
      <c r="S469" s="143"/>
      <c r="T469" s="143"/>
      <c r="U469" s="143"/>
      <c r="V469" s="143"/>
      <c r="W469" s="143"/>
      <c r="X469" s="144"/>
      <c r="Y469" s="143"/>
      <c r="Z469" s="143"/>
      <c r="AA469" s="143"/>
      <c r="AB469" s="143"/>
      <c r="AC469" s="143"/>
      <c r="AD469" s="143"/>
      <c r="AE469" s="143"/>
    </row>
    <row r="470" spans="1:3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4"/>
      <c r="L470" s="144"/>
      <c r="M470" s="144"/>
      <c r="N470" s="144"/>
      <c r="O470" s="143"/>
      <c r="P470" s="144"/>
      <c r="Q470" s="143"/>
      <c r="R470" s="143"/>
      <c r="S470" s="143"/>
      <c r="T470" s="143"/>
      <c r="U470" s="143"/>
      <c r="V470" s="143"/>
      <c r="W470" s="143"/>
      <c r="X470" s="144"/>
      <c r="Y470" s="143"/>
      <c r="Z470" s="143"/>
      <c r="AA470" s="143"/>
      <c r="AB470" s="143"/>
      <c r="AC470" s="143"/>
      <c r="AD470" s="143"/>
      <c r="AE470" s="143"/>
    </row>
    <row r="471" spans="1:3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4"/>
      <c r="L471" s="144"/>
      <c r="M471" s="144"/>
      <c r="N471" s="144"/>
      <c r="O471" s="143"/>
      <c r="P471" s="144"/>
      <c r="Q471" s="143"/>
      <c r="R471" s="143"/>
      <c r="S471" s="143"/>
      <c r="T471" s="143"/>
      <c r="U471" s="143"/>
      <c r="V471" s="143"/>
      <c r="W471" s="143"/>
      <c r="X471" s="144"/>
      <c r="Y471" s="143"/>
      <c r="Z471" s="143"/>
      <c r="AA471" s="143"/>
      <c r="AB471" s="143"/>
      <c r="AC471" s="143"/>
      <c r="AD471" s="143"/>
      <c r="AE471" s="143"/>
    </row>
    <row r="472" spans="1:3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4"/>
      <c r="L472" s="144"/>
      <c r="M472" s="144"/>
      <c r="N472" s="143"/>
      <c r="O472" s="143"/>
      <c r="P472" s="144"/>
      <c r="Q472" s="143"/>
      <c r="R472" s="143"/>
      <c r="S472" s="143"/>
      <c r="T472" s="143"/>
      <c r="U472" s="143"/>
      <c r="V472" s="143"/>
      <c r="W472" s="143"/>
      <c r="X472" s="144"/>
      <c r="Y472" s="143"/>
      <c r="Z472" s="143"/>
      <c r="AA472" s="143"/>
      <c r="AB472" s="143"/>
      <c r="AC472" s="143"/>
      <c r="AD472" s="143"/>
      <c r="AE472" s="143"/>
    </row>
    <row r="473" spans="1:3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4"/>
      <c r="L473" s="144"/>
      <c r="M473" s="144"/>
      <c r="N473" s="144"/>
      <c r="O473" s="143"/>
      <c r="P473" s="144"/>
      <c r="Q473" s="143"/>
      <c r="R473" s="143"/>
      <c r="S473" s="143"/>
      <c r="T473" s="143"/>
      <c r="U473" s="143"/>
      <c r="V473" s="143"/>
      <c r="W473" s="143"/>
      <c r="X473" s="144"/>
      <c r="Y473" s="143"/>
      <c r="Z473" s="143"/>
      <c r="AA473" s="143"/>
      <c r="AB473" s="143"/>
      <c r="AC473" s="143"/>
      <c r="AD473" s="143"/>
      <c r="AE473" s="143"/>
    </row>
    <row r="474" spans="1:3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4"/>
      <c r="L474" s="144"/>
      <c r="M474" s="144"/>
      <c r="N474" s="144"/>
      <c r="O474" s="143"/>
      <c r="P474" s="144"/>
      <c r="Q474" s="143"/>
      <c r="R474" s="143"/>
      <c r="S474" s="143"/>
      <c r="T474" s="143"/>
      <c r="U474" s="143"/>
      <c r="V474" s="143"/>
      <c r="W474" s="143"/>
      <c r="X474" s="144"/>
      <c r="Y474" s="143"/>
      <c r="Z474" s="143"/>
      <c r="AA474" s="143"/>
      <c r="AB474" s="143"/>
      <c r="AC474" s="143"/>
      <c r="AD474" s="143"/>
      <c r="AE474" s="143"/>
    </row>
    <row r="475" spans="1:3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4"/>
      <c r="L475" s="144"/>
      <c r="M475" s="144"/>
      <c r="N475" s="143"/>
      <c r="O475" s="143"/>
      <c r="P475" s="144"/>
      <c r="Q475" s="143"/>
      <c r="R475" s="143"/>
      <c r="S475" s="143"/>
      <c r="T475" s="143"/>
      <c r="U475" s="143"/>
      <c r="V475" s="143"/>
      <c r="W475" s="143"/>
      <c r="X475" s="144"/>
      <c r="Y475" s="143"/>
      <c r="Z475" s="143"/>
      <c r="AA475" s="143"/>
      <c r="AB475" s="143"/>
      <c r="AC475" s="143"/>
      <c r="AD475" s="143"/>
      <c r="AE475" s="143"/>
    </row>
    <row r="476" spans="1:3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4"/>
      <c r="L476" s="144"/>
      <c r="M476" s="143"/>
      <c r="N476" s="143"/>
      <c r="O476" s="143"/>
      <c r="P476" s="144"/>
      <c r="Q476" s="143"/>
      <c r="R476" s="143"/>
      <c r="S476" s="143"/>
      <c r="T476" s="143"/>
      <c r="U476" s="143"/>
      <c r="V476" s="143"/>
      <c r="W476" s="143"/>
      <c r="X476" s="144"/>
      <c r="Y476" s="143"/>
      <c r="Z476" s="143"/>
      <c r="AA476" s="143"/>
      <c r="AB476" s="143"/>
      <c r="AC476" s="143"/>
      <c r="AD476" s="143"/>
      <c r="AE476" s="143"/>
    </row>
    <row r="477" spans="1:3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4"/>
      <c r="L477" s="144"/>
      <c r="M477" s="144"/>
      <c r="N477" s="144"/>
      <c r="O477" s="143"/>
      <c r="P477" s="144"/>
      <c r="Q477" s="143"/>
      <c r="R477" s="143"/>
      <c r="S477" s="143"/>
      <c r="T477" s="143"/>
      <c r="U477" s="143"/>
      <c r="V477" s="143"/>
      <c r="W477" s="143"/>
      <c r="X477" s="144"/>
      <c r="Y477" s="143"/>
      <c r="Z477" s="143"/>
      <c r="AA477" s="143"/>
      <c r="AB477" s="143"/>
      <c r="AC477" s="143"/>
      <c r="AD477" s="143"/>
      <c r="AE477" s="143"/>
    </row>
    <row r="478" spans="1:3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4"/>
      <c r="L478" s="144"/>
      <c r="M478" s="143"/>
      <c r="N478" s="143"/>
      <c r="O478" s="143"/>
      <c r="P478" s="144"/>
      <c r="Q478" s="143"/>
      <c r="R478" s="143"/>
      <c r="S478" s="143"/>
      <c r="T478" s="143"/>
      <c r="U478" s="143"/>
      <c r="V478" s="143"/>
      <c r="W478" s="143"/>
      <c r="X478" s="144"/>
      <c r="Y478" s="143"/>
      <c r="Z478" s="143"/>
      <c r="AA478" s="143"/>
      <c r="AB478" s="143"/>
      <c r="AC478" s="143"/>
      <c r="AD478" s="143"/>
      <c r="AE478" s="143"/>
    </row>
    <row r="479" spans="1:3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4"/>
      <c r="L479" s="144"/>
      <c r="M479" s="143"/>
      <c r="N479" s="143"/>
      <c r="O479" s="143"/>
      <c r="P479" s="144"/>
      <c r="Q479" s="143"/>
      <c r="R479" s="143"/>
      <c r="S479" s="143"/>
      <c r="T479" s="143"/>
      <c r="U479" s="143"/>
      <c r="V479" s="143"/>
      <c r="W479" s="143"/>
      <c r="X479" s="144"/>
      <c r="Y479" s="143"/>
      <c r="Z479" s="143"/>
      <c r="AA479" s="143"/>
      <c r="AB479" s="143"/>
      <c r="AC479" s="143"/>
      <c r="AD479" s="143"/>
      <c r="AE479" s="143"/>
    </row>
    <row r="480" spans="1:3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1"/>
      <c r="L480" s="71"/>
      <c r="M480" s="71"/>
      <c r="N480" s="70"/>
      <c r="O480" s="70"/>
      <c r="P480" s="71"/>
      <c r="Q480" s="70"/>
      <c r="R480" s="70"/>
      <c r="S480" s="70"/>
      <c r="T480" s="70"/>
      <c r="U480" s="70"/>
      <c r="V480" s="70"/>
      <c r="W480" s="70"/>
      <c r="X480" s="71"/>
      <c r="Y480" s="70"/>
      <c r="Z480" s="70"/>
      <c r="AA480" s="70"/>
      <c r="AB480" s="70"/>
      <c r="AC480" s="70"/>
      <c r="AD480" s="70"/>
      <c r="AE480" s="70"/>
    </row>
    <row r="481" spans="1:3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1"/>
      <c r="L481" s="70"/>
      <c r="M481" s="71"/>
      <c r="N481" s="70"/>
      <c r="O481" s="70"/>
      <c r="P481" s="71"/>
      <c r="Q481" s="70"/>
      <c r="R481" s="70"/>
      <c r="S481" s="70"/>
      <c r="T481" s="70"/>
      <c r="U481" s="70"/>
      <c r="V481" s="70"/>
      <c r="W481" s="70"/>
      <c r="X481" s="71"/>
      <c r="Y481" s="70"/>
      <c r="Z481" s="70"/>
      <c r="AA481" s="70"/>
      <c r="AB481" s="70"/>
      <c r="AC481" s="70"/>
      <c r="AD481" s="70"/>
      <c r="AE481" s="70"/>
    </row>
    <row r="482" spans="1:3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1"/>
      <c r="L482" s="70"/>
      <c r="M482" s="71"/>
      <c r="N482" s="70"/>
      <c r="O482" s="70"/>
      <c r="P482" s="71"/>
      <c r="Q482" s="70"/>
      <c r="R482" s="70"/>
      <c r="S482" s="70"/>
      <c r="T482" s="70"/>
      <c r="U482" s="70"/>
      <c r="V482" s="70"/>
      <c r="W482" s="70"/>
      <c r="X482" s="71"/>
      <c r="Y482" s="70"/>
      <c r="Z482" s="70"/>
      <c r="AA482" s="70"/>
      <c r="AB482" s="70"/>
      <c r="AC482" s="70"/>
      <c r="AD482" s="70"/>
      <c r="AE482" s="70"/>
    </row>
    <row r="483" spans="1:3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1"/>
      <c r="L483" s="70"/>
      <c r="M483" s="70"/>
      <c r="N483" s="70"/>
      <c r="O483" s="70"/>
      <c r="P483" s="71"/>
      <c r="Q483" s="70"/>
      <c r="R483" s="70"/>
      <c r="S483" s="70"/>
      <c r="T483" s="70"/>
      <c r="U483" s="70"/>
      <c r="V483" s="70"/>
      <c r="W483" s="70"/>
      <c r="X483" s="71"/>
      <c r="Y483" s="70"/>
      <c r="Z483" s="70"/>
      <c r="AA483" s="70"/>
      <c r="AB483" s="70"/>
      <c r="AC483" s="70"/>
      <c r="AD483" s="70"/>
      <c r="AE483" s="70"/>
    </row>
    <row r="484" spans="1:3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1"/>
      <c r="L484" s="70"/>
      <c r="M484" s="70"/>
      <c r="N484" s="70"/>
      <c r="O484" s="70"/>
      <c r="P484" s="71"/>
      <c r="Q484" s="70"/>
      <c r="R484" s="70"/>
      <c r="S484" s="70"/>
      <c r="T484" s="70"/>
      <c r="U484" s="70"/>
      <c r="V484" s="70"/>
      <c r="W484" s="70"/>
      <c r="X484" s="71"/>
      <c r="Y484" s="70"/>
      <c r="Z484" s="70"/>
      <c r="AA484" s="70"/>
      <c r="AB484" s="70"/>
      <c r="AC484" s="70"/>
      <c r="AD484" s="70"/>
      <c r="AE484" s="70"/>
    </row>
    <row r="485" spans="1:3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1"/>
      <c r="L485" s="70"/>
      <c r="M485" s="71"/>
      <c r="N485" s="70"/>
      <c r="O485" s="70"/>
      <c r="P485" s="71"/>
      <c r="Q485" s="70"/>
      <c r="R485" s="70"/>
      <c r="S485" s="70"/>
      <c r="T485" s="70"/>
      <c r="U485" s="70"/>
      <c r="V485" s="70"/>
      <c r="W485" s="70"/>
      <c r="X485" s="71"/>
      <c r="Y485" s="70"/>
      <c r="Z485" s="70"/>
      <c r="AA485" s="70"/>
      <c r="AB485" s="70"/>
      <c r="AC485" s="70"/>
      <c r="AD485" s="70"/>
      <c r="AE485" s="70"/>
    </row>
    <row r="486" spans="1:3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1"/>
      <c r="L486" s="70"/>
      <c r="M486" s="71"/>
      <c r="N486" s="70"/>
      <c r="O486" s="70"/>
      <c r="P486" s="71"/>
      <c r="Q486" s="70"/>
      <c r="R486" s="70"/>
      <c r="S486" s="70"/>
      <c r="T486" s="70"/>
      <c r="U486" s="70"/>
      <c r="V486" s="70"/>
      <c r="W486" s="70"/>
      <c r="X486" s="71"/>
      <c r="Y486" s="70"/>
      <c r="Z486" s="70"/>
      <c r="AA486" s="70"/>
      <c r="AB486" s="70"/>
      <c r="AC486" s="70"/>
      <c r="AD486" s="70"/>
      <c r="AE486" s="70"/>
    </row>
    <row r="487" spans="1:3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1"/>
      <c r="L487" s="70"/>
      <c r="M487" s="71"/>
      <c r="N487" s="70"/>
      <c r="O487" s="70"/>
      <c r="P487" s="71"/>
      <c r="Q487" s="70"/>
      <c r="R487" s="70"/>
      <c r="S487" s="70"/>
      <c r="T487" s="70"/>
      <c r="U487" s="70"/>
      <c r="V487" s="70"/>
      <c r="W487" s="70"/>
      <c r="X487" s="71"/>
      <c r="Y487" s="70"/>
      <c r="Z487" s="70"/>
      <c r="AA487" s="70"/>
      <c r="AB487" s="70"/>
      <c r="AC487" s="70"/>
      <c r="AD487" s="70"/>
      <c r="AE487" s="70"/>
    </row>
    <row r="488" spans="1:3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1"/>
      <c r="L488" s="70"/>
      <c r="M488" s="71"/>
      <c r="N488" s="70"/>
      <c r="O488" s="70"/>
      <c r="P488" s="71"/>
      <c r="Q488" s="70"/>
      <c r="R488" s="70"/>
      <c r="S488" s="70"/>
      <c r="T488" s="70"/>
      <c r="U488" s="70"/>
      <c r="V488" s="70"/>
      <c r="W488" s="70"/>
      <c r="X488" s="71"/>
      <c r="Y488" s="70"/>
      <c r="Z488" s="70"/>
      <c r="AA488" s="70"/>
      <c r="AB488" s="70"/>
      <c r="AC488" s="70"/>
      <c r="AD488" s="70"/>
      <c r="AE488" s="70"/>
    </row>
    <row r="489" spans="1:3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1"/>
      <c r="L489" s="70"/>
      <c r="M489" s="70"/>
      <c r="N489" s="70"/>
      <c r="O489" s="70"/>
      <c r="P489" s="71"/>
      <c r="Q489" s="70"/>
      <c r="R489" s="70"/>
      <c r="S489" s="70"/>
      <c r="T489" s="70"/>
      <c r="U489" s="70"/>
      <c r="V489" s="70"/>
      <c r="W489" s="70"/>
      <c r="X489" s="71"/>
      <c r="Y489" s="70"/>
      <c r="Z489" s="70"/>
      <c r="AA489" s="70"/>
      <c r="AB489" s="70"/>
      <c r="AC489" s="70"/>
      <c r="AD489" s="70"/>
      <c r="AE489" s="70"/>
    </row>
    <row r="490" spans="1:3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1"/>
      <c r="L490" s="70"/>
      <c r="M490" s="71"/>
      <c r="N490" s="70"/>
      <c r="O490" s="70"/>
      <c r="P490" s="71"/>
      <c r="Q490" s="70"/>
      <c r="R490" s="70"/>
      <c r="S490" s="70"/>
      <c r="T490" s="70"/>
      <c r="U490" s="70"/>
      <c r="V490" s="70"/>
      <c r="W490" s="70"/>
      <c r="X490" s="71"/>
      <c r="Y490" s="70"/>
      <c r="Z490" s="70"/>
      <c r="AA490" s="70"/>
      <c r="AB490" s="70"/>
      <c r="AC490" s="70"/>
      <c r="AD490" s="70"/>
      <c r="AE490" s="70"/>
    </row>
    <row r="491" spans="1:3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1"/>
      <c r="L491" s="70"/>
      <c r="M491" s="71"/>
      <c r="N491" s="70"/>
      <c r="O491" s="70"/>
      <c r="P491" s="71"/>
      <c r="Q491" s="70"/>
      <c r="R491" s="70"/>
      <c r="S491" s="70"/>
      <c r="T491" s="70"/>
      <c r="U491" s="70"/>
      <c r="V491" s="70"/>
      <c r="W491" s="70"/>
      <c r="X491" s="71"/>
      <c r="Y491" s="70"/>
      <c r="Z491" s="70"/>
      <c r="AA491" s="70"/>
      <c r="AB491" s="70"/>
      <c r="AC491" s="70"/>
      <c r="AD491" s="70"/>
      <c r="AE491" s="70"/>
    </row>
    <row r="492" spans="1:3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1"/>
      <c r="L492" s="70"/>
      <c r="M492" s="71"/>
      <c r="N492" s="70"/>
      <c r="O492" s="70"/>
      <c r="P492" s="71"/>
      <c r="Q492" s="70"/>
      <c r="R492" s="70"/>
      <c r="S492" s="70"/>
      <c r="T492" s="70"/>
      <c r="U492" s="70"/>
      <c r="V492" s="70"/>
      <c r="W492" s="70"/>
      <c r="X492" s="71"/>
      <c r="Y492" s="70"/>
      <c r="Z492" s="70"/>
      <c r="AA492" s="70"/>
      <c r="AB492" s="70"/>
      <c r="AC492" s="70"/>
      <c r="AD492" s="70"/>
      <c r="AE492" s="70"/>
    </row>
    <row r="493" spans="1:3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1"/>
      <c r="L493" s="70"/>
      <c r="M493" s="71"/>
      <c r="N493" s="70"/>
      <c r="O493" s="70"/>
      <c r="P493" s="71"/>
      <c r="Q493" s="70"/>
      <c r="R493" s="70"/>
      <c r="S493" s="70"/>
      <c r="T493" s="70"/>
      <c r="U493" s="70"/>
      <c r="V493" s="70"/>
      <c r="W493" s="70"/>
      <c r="X493" s="71"/>
      <c r="Y493" s="70"/>
      <c r="Z493" s="70"/>
      <c r="AA493" s="70"/>
      <c r="AB493" s="70"/>
      <c r="AC493" s="70"/>
      <c r="AD493" s="70"/>
      <c r="AE493" s="70"/>
    </row>
    <row r="494" spans="1:3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1"/>
      <c r="L494" s="70"/>
      <c r="M494" s="70"/>
      <c r="N494" s="70"/>
      <c r="O494" s="70"/>
      <c r="P494" s="71"/>
      <c r="Q494" s="70"/>
      <c r="R494" s="70"/>
      <c r="S494" s="70"/>
      <c r="T494" s="70"/>
      <c r="U494" s="70"/>
      <c r="V494" s="70"/>
      <c r="W494" s="70"/>
      <c r="X494" s="71"/>
      <c r="Y494" s="70"/>
      <c r="Z494" s="70"/>
      <c r="AA494" s="70"/>
      <c r="AB494" s="70"/>
      <c r="AC494" s="70"/>
      <c r="AD494" s="70"/>
      <c r="AE494" s="70"/>
    </row>
    <row r="495" spans="1:3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1"/>
      <c r="L495" s="70"/>
      <c r="M495" s="71"/>
      <c r="N495" s="70"/>
      <c r="O495" s="70"/>
      <c r="P495" s="71"/>
      <c r="Q495" s="70"/>
      <c r="R495" s="70"/>
      <c r="S495" s="70"/>
      <c r="T495" s="70"/>
      <c r="U495" s="70"/>
      <c r="V495" s="70"/>
      <c r="W495" s="70"/>
      <c r="X495" s="71"/>
      <c r="Y495" s="70"/>
      <c r="Z495" s="70"/>
      <c r="AA495" s="70"/>
      <c r="AB495" s="70"/>
      <c r="AC495" s="70"/>
      <c r="AD495" s="70"/>
      <c r="AE495" s="70"/>
    </row>
    <row r="496" spans="1:3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1"/>
      <c r="L496" s="70"/>
      <c r="M496" s="71"/>
      <c r="N496" s="70"/>
      <c r="O496" s="70"/>
      <c r="P496" s="71"/>
      <c r="Q496" s="70"/>
      <c r="R496" s="70"/>
      <c r="S496" s="70"/>
      <c r="T496" s="70"/>
      <c r="U496" s="70"/>
      <c r="V496" s="70"/>
      <c r="W496" s="70"/>
      <c r="X496" s="71"/>
      <c r="Y496" s="70"/>
      <c r="Z496" s="70"/>
      <c r="AA496" s="70"/>
      <c r="AB496" s="70"/>
      <c r="AC496" s="70"/>
      <c r="AD496" s="70"/>
      <c r="AE496" s="70"/>
    </row>
    <row r="497" spans="1:3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1"/>
      <c r="L497" s="70"/>
      <c r="M497" s="71"/>
      <c r="N497" s="70"/>
      <c r="O497" s="70"/>
      <c r="P497" s="71"/>
      <c r="Q497" s="70"/>
      <c r="R497" s="70"/>
      <c r="S497" s="70"/>
      <c r="T497" s="70"/>
      <c r="U497" s="70"/>
      <c r="V497" s="70"/>
      <c r="W497" s="70"/>
      <c r="X497" s="71"/>
      <c r="Y497" s="70"/>
      <c r="Z497" s="70"/>
      <c r="AA497" s="70"/>
      <c r="AB497" s="70"/>
      <c r="AC497" s="70"/>
      <c r="AD497" s="70"/>
      <c r="AE497" s="70"/>
    </row>
    <row r="498" spans="1:3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1"/>
      <c r="L498" s="70"/>
      <c r="M498" s="71"/>
      <c r="N498" s="70"/>
      <c r="O498" s="70"/>
      <c r="P498" s="71"/>
      <c r="Q498" s="70"/>
      <c r="R498" s="70"/>
      <c r="S498" s="70"/>
      <c r="T498" s="70"/>
      <c r="U498" s="70"/>
      <c r="V498" s="70"/>
      <c r="W498" s="70"/>
      <c r="X498" s="71"/>
      <c r="Y498" s="70"/>
      <c r="Z498" s="70"/>
      <c r="AA498" s="70"/>
      <c r="AB498" s="70"/>
      <c r="AC498" s="70"/>
      <c r="AD498" s="70"/>
      <c r="AE498" s="70"/>
    </row>
    <row r="499" spans="1:3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1"/>
      <c r="L499" s="70"/>
      <c r="M499" s="71"/>
      <c r="N499" s="70"/>
      <c r="O499" s="70"/>
      <c r="P499" s="71"/>
      <c r="Q499" s="70"/>
      <c r="R499" s="70"/>
      <c r="S499" s="70"/>
      <c r="T499" s="70"/>
      <c r="U499" s="70"/>
      <c r="V499" s="70"/>
      <c r="W499" s="70"/>
      <c r="X499" s="71"/>
      <c r="Y499" s="70"/>
      <c r="Z499" s="70"/>
      <c r="AA499" s="70"/>
      <c r="AB499" s="70"/>
      <c r="AC499" s="70"/>
      <c r="AD499" s="70"/>
      <c r="AE499" s="70"/>
    </row>
    <row r="500" spans="1:3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1"/>
      <c r="L500" s="70"/>
      <c r="M500" s="71"/>
      <c r="N500" s="70"/>
      <c r="O500" s="70"/>
      <c r="P500" s="71"/>
      <c r="Q500" s="70"/>
      <c r="R500" s="70"/>
      <c r="S500" s="70"/>
      <c r="T500" s="70"/>
      <c r="U500" s="70"/>
      <c r="V500" s="70"/>
      <c r="W500" s="70"/>
      <c r="X500" s="71"/>
      <c r="Y500" s="70"/>
      <c r="Z500" s="70"/>
      <c r="AA500" s="70"/>
      <c r="AB500" s="70"/>
      <c r="AC500" s="70"/>
      <c r="AD500" s="70"/>
      <c r="AE500" s="70"/>
    </row>
    <row r="501" spans="1:3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1"/>
      <c r="L501" s="70"/>
      <c r="M501" s="71"/>
      <c r="N501" s="70"/>
      <c r="O501" s="70"/>
      <c r="P501" s="71"/>
      <c r="Q501" s="70"/>
      <c r="R501" s="70"/>
      <c r="S501" s="70"/>
      <c r="T501" s="70"/>
      <c r="U501" s="70"/>
      <c r="V501" s="70"/>
      <c r="W501" s="70"/>
      <c r="X501" s="71"/>
      <c r="Y501" s="70"/>
      <c r="Z501" s="70"/>
      <c r="AA501" s="70"/>
      <c r="AB501" s="70"/>
      <c r="AC501" s="70"/>
      <c r="AD501" s="70"/>
      <c r="AE501" s="70"/>
    </row>
    <row r="502" spans="1:3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1"/>
      <c r="L502" s="70"/>
      <c r="M502" s="71"/>
      <c r="N502" s="70"/>
      <c r="O502" s="70"/>
      <c r="P502" s="71"/>
      <c r="Q502" s="70"/>
      <c r="R502" s="70"/>
      <c r="S502" s="70"/>
      <c r="T502" s="70"/>
      <c r="U502" s="70"/>
      <c r="V502" s="70"/>
      <c r="W502" s="70"/>
      <c r="X502" s="71"/>
      <c r="Y502" s="70"/>
      <c r="Z502" s="70"/>
      <c r="AA502" s="70"/>
      <c r="AB502" s="70"/>
      <c r="AC502" s="70"/>
      <c r="AD502" s="70"/>
      <c r="AE502" s="70"/>
    </row>
    <row r="503" spans="1:3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1"/>
      <c r="L503" s="70"/>
      <c r="M503" s="71"/>
      <c r="N503" s="70"/>
      <c r="O503" s="70"/>
      <c r="P503" s="71"/>
      <c r="Q503" s="70"/>
      <c r="R503" s="70"/>
      <c r="S503" s="70"/>
      <c r="T503" s="70"/>
      <c r="U503" s="70"/>
      <c r="V503" s="70"/>
      <c r="W503" s="70"/>
      <c r="X503" s="71"/>
      <c r="Y503" s="70"/>
      <c r="Z503" s="70"/>
      <c r="AA503" s="70"/>
      <c r="AB503" s="70"/>
      <c r="AC503" s="70"/>
      <c r="AD503" s="70"/>
      <c r="AE503" s="70"/>
    </row>
    <row r="504" spans="1:3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1"/>
      <c r="L504" s="70"/>
      <c r="M504" s="71"/>
      <c r="N504" s="70"/>
      <c r="O504" s="70"/>
      <c r="P504" s="71"/>
      <c r="Q504" s="70"/>
      <c r="R504" s="70"/>
      <c r="S504" s="70"/>
      <c r="T504" s="70"/>
      <c r="U504" s="70"/>
      <c r="V504" s="70"/>
      <c r="W504" s="70"/>
      <c r="X504" s="71"/>
      <c r="Y504" s="70"/>
      <c r="Z504" s="70"/>
      <c r="AA504" s="70"/>
      <c r="AB504" s="70"/>
      <c r="AC504" s="70"/>
      <c r="AD504" s="70"/>
      <c r="AE504" s="70"/>
    </row>
    <row r="505" spans="1:3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1"/>
      <c r="L505" s="70"/>
      <c r="M505" s="71"/>
      <c r="N505" s="70"/>
      <c r="O505" s="70"/>
      <c r="P505" s="71"/>
      <c r="Q505" s="70"/>
      <c r="R505" s="70"/>
      <c r="S505" s="70"/>
      <c r="T505" s="70"/>
      <c r="U505" s="70"/>
      <c r="V505" s="70"/>
      <c r="W505" s="70"/>
      <c r="X505" s="71"/>
      <c r="Y505" s="70"/>
      <c r="Z505" s="70"/>
      <c r="AA505" s="70"/>
      <c r="AB505" s="70"/>
      <c r="AC505" s="70"/>
      <c r="AD505" s="70"/>
      <c r="AE505" s="70"/>
    </row>
    <row r="506" spans="1:3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1"/>
      <c r="Q506" s="70"/>
      <c r="R506" s="70"/>
      <c r="S506" s="70"/>
      <c r="T506" s="70"/>
      <c r="U506" s="70"/>
      <c r="V506" s="70"/>
      <c r="W506" s="70"/>
      <c r="X506" s="71"/>
      <c r="Y506" s="70"/>
      <c r="Z506" s="70"/>
      <c r="AA506" s="70"/>
      <c r="AB506" s="70"/>
      <c r="AC506" s="70"/>
      <c r="AD506" s="70"/>
      <c r="AE506" s="70"/>
    </row>
    <row r="507" spans="1:3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1"/>
      <c r="Q507" s="70"/>
      <c r="R507" s="70"/>
      <c r="S507" s="70"/>
      <c r="T507" s="70"/>
      <c r="U507" s="70"/>
      <c r="V507" s="70"/>
      <c r="W507" s="70"/>
      <c r="X507" s="71"/>
      <c r="Y507" s="70"/>
      <c r="Z507" s="70"/>
      <c r="AA507" s="70"/>
      <c r="AB507" s="70"/>
      <c r="AC507" s="70"/>
      <c r="AD507" s="70"/>
      <c r="AE507" s="70"/>
    </row>
    <row r="508" spans="1:3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1"/>
      <c r="Q508" s="70"/>
      <c r="R508" s="70"/>
      <c r="S508" s="70"/>
      <c r="T508" s="70"/>
      <c r="U508" s="70"/>
      <c r="V508" s="70"/>
      <c r="W508" s="70"/>
      <c r="X508" s="71"/>
      <c r="Y508" s="70"/>
      <c r="Z508" s="70"/>
      <c r="AA508" s="70"/>
      <c r="AB508" s="70"/>
      <c r="AC508" s="70"/>
      <c r="AD508" s="70"/>
      <c r="AE508" s="70"/>
    </row>
    <row r="509" spans="1:3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1"/>
      <c r="L509" s="70"/>
      <c r="M509" s="71"/>
      <c r="N509" s="70"/>
      <c r="O509" s="70"/>
      <c r="P509" s="71"/>
      <c r="Q509" s="70"/>
      <c r="R509" s="70"/>
      <c r="S509" s="70"/>
      <c r="T509" s="70"/>
      <c r="U509" s="70"/>
      <c r="V509" s="70"/>
      <c r="W509" s="70"/>
      <c r="X509" s="71"/>
      <c r="Y509" s="70"/>
      <c r="Z509" s="70"/>
      <c r="AA509" s="70"/>
      <c r="AB509" s="70"/>
      <c r="AC509" s="70"/>
      <c r="AD509" s="70"/>
      <c r="AE509" s="70"/>
    </row>
    <row r="510" spans="1:3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1"/>
      <c r="Q510" s="70"/>
      <c r="R510" s="70"/>
      <c r="S510" s="70"/>
      <c r="T510" s="70"/>
      <c r="U510" s="70"/>
      <c r="V510" s="70"/>
      <c r="W510" s="70"/>
      <c r="X510" s="71"/>
      <c r="Y510" s="70"/>
      <c r="Z510" s="70"/>
      <c r="AA510" s="70"/>
      <c r="AB510" s="70"/>
      <c r="AC510" s="70"/>
      <c r="AD510" s="70"/>
      <c r="AE510" s="70"/>
    </row>
    <row r="511" spans="1:3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1"/>
      <c r="Q511" s="70"/>
      <c r="R511" s="70"/>
      <c r="S511" s="70"/>
      <c r="T511" s="70"/>
      <c r="U511" s="70"/>
      <c r="V511" s="70"/>
      <c r="W511" s="70"/>
      <c r="X511" s="71"/>
      <c r="Y511" s="70"/>
      <c r="Z511" s="70"/>
      <c r="AA511" s="70"/>
      <c r="AB511" s="70"/>
      <c r="AC511" s="70"/>
      <c r="AD511" s="70"/>
      <c r="AE511" s="70"/>
    </row>
    <row r="512" spans="1:3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1"/>
      <c r="L512" s="70"/>
      <c r="M512" s="71"/>
      <c r="N512" s="70"/>
      <c r="O512" s="70"/>
      <c r="P512" s="71"/>
      <c r="Q512" s="70"/>
      <c r="R512" s="70"/>
      <c r="S512" s="70"/>
      <c r="T512" s="70"/>
      <c r="U512" s="70"/>
      <c r="V512" s="70"/>
      <c r="W512" s="70"/>
      <c r="X512" s="71"/>
      <c r="Y512" s="70"/>
      <c r="Z512" s="70"/>
      <c r="AA512" s="70"/>
      <c r="AB512" s="70"/>
      <c r="AC512" s="70"/>
      <c r="AD512" s="70"/>
      <c r="AE512" s="70"/>
    </row>
    <row r="513" spans="1:3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1"/>
      <c r="L513" s="70"/>
      <c r="M513" s="71"/>
      <c r="N513" s="70"/>
      <c r="O513" s="70"/>
      <c r="P513" s="71"/>
      <c r="Q513" s="70"/>
      <c r="R513" s="70"/>
      <c r="S513" s="70"/>
      <c r="T513" s="70"/>
      <c r="U513" s="70"/>
      <c r="V513" s="70"/>
      <c r="W513" s="70"/>
      <c r="X513" s="71"/>
      <c r="Y513" s="70"/>
      <c r="Z513" s="70"/>
      <c r="AA513" s="70"/>
      <c r="AB513" s="70"/>
      <c r="AC513" s="70"/>
      <c r="AD513" s="70"/>
      <c r="AE513" s="70"/>
    </row>
    <row r="514" spans="1:3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1"/>
      <c r="Q514" s="70"/>
      <c r="R514" s="70"/>
      <c r="S514" s="70"/>
      <c r="T514" s="70"/>
      <c r="U514" s="70"/>
      <c r="V514" s="70"/>
      <c r="W514" s="70"/>
      <c r="X514" s="71"/>
      <c r="Y514" s="70"/>
      <c r="Z514" s="70"/>
      <c r="AA514" s="70"/>
      <c r="AB514" s="70"/>
      <c r="AC514" s="70"/>
      <c r="AD514" s="70"/>
      <c r="AE514" s="70"/>
    </row>
    <row r="515" spans="1:3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1"/>
      <c r="Q515" s="70"/>
      <c r="R515" s="70"/>
      <c r="S515" s="70"/>
      <c r="T515" s="70"/>
      <c r="U515" s="70"/>
      <c r="V515" s="70"/>
      <c r="W515" s="70"/>
      <c r="X515" s="71"/>
      <c r="Y515" s="70"/>
      <c r="Z515" s="70"/>
      <c r="AA515" s="70"/>
      <c r="AB515" s="70"/>
      <c r="AC515" s="70"/>
      <c r="AD515" s="70"/>
      <c r="AE515" s="70"/>
    </row>
    <row r="516" spans="1:3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1"/>
      <c r="L516" s="70"/>
      <c r="M516" s="71"/>
      <c r="N516" s="70"/>
      <c r="O516" s="70"/>
      <c r="P516" s="71"/>
      <c r="Q516" s="70"/>
      <c r="R516" s="70"/>
      <c r="S516" s="70"/>
      <c r="T516" s="70"/>
      <c r="U516" s="70"/>
      <c r="V516" s="70"/>
      <c r="W516" s="70"/>
      <c r="X516" s="71"/>
      <c r="Y516" s="70"/>
      <c r="Z516" s="70"/>
      <c r="AA516" s="70"/>
      <c r="AB516" s="70"/>
      <c r="AC516" s="70"/>
      <c r="AD516" s="70"/>
      <c r="AE516" s="70"/>
    </row>
    <row r="517" spans="1:3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1"/>
      <c r="L517" s="70"/>
      <c r="M517" s="71"/>
      <c r="N517" s="70"/>
      <c r="O517" s="70"/>
      <c r="P517" s="71"/>
      <c r="Q517" s="70"/>
      <c r="R517" s="70"/>
      <c r="S517" s="70"/>
      <c r="T517" s="70"/>
      <c r="U517" s="70"/>
      <c r="V517" s="70"/>
      <c r="W517" s="70"/>
      <c r="X517" s="71"/>
      <c r="Y517" s="70"/>
      <c r="Z517" s="70"/>
      <c r="AA517" s="70"/>
      <c r="AB517" s="70"/>
      <c r="AC517" s="70"/>
      <c r="AD517" s="70"/>
      <c r="AE517" s="70"/>
    </row>
    <row r="518" spans="1:3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1"/>
      <c r="Q518" s="70"/>
      <c r="R518" s="70"/>
      <c r="S518" s="70"/>
      <c r="T518" s="70"/>
      <c r="U518" s="70"/>
      <c r="V518" s="70"/>
      <c r="W518" s="70"/>
      <c r="X518" s="71"/>
      <c r="Y518" s="70"/>
      <c r="Z518" s="70"/>
      <c r="AA518" s="70"/>
      <c r="AB518" s="70"/>
      <c r="AC518" s="70"/>
      <c r="AD518" s="70"/>
      <c r="AE518" s="70"/>
    </row>
    <row r="519" spans="1:3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1"/>
      <c r="L519" s="70"/>
      <c r="M519" s="71"/>
      <c r="N519" s="70"/>
      <c r="O519" s="70"/>
      <c r="P519" s="71"/>
      <c r="Q519" s="70"/>
      <c r="R519" s="70"/>
      <c r="S519" s="70"/>
      <c r="T519" s="70"/>
      <c r="U519" s="70"/>
      <c r="V519" s="70"/>
      <c r="W519" s="70"/>
      <c r="X519" s="71"/>
      <c r="Y519" s="70"/>
      <c r="Z519" s="70"/>
      <c r="AA519" s="70"/>
      <c r="AB519" s="70"/>
      <c r="AC519" s="70"/>
      <c r="AD519" s="70"/>
      <c r="AE519" s="70"/>
    </row>
    <row r="520" spans="1:3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1"/>
      <c r="Q520" s="70"/>
      <c r="R520" s="70"/>
      <c r="S520" s="70"/>
      <c r="T520" s="70"/>
      <c r="U520" s="70"/>
      <c r="V520" s="70"/>
      <c r="W520" s="70"/>
      <c r="X520" s="71"/>
      <c r="Y520" s="70"/>
      <c r="Z520" s="70"/>
      <c r="AA520" s="70"/>
      <c r="AB520" s="70"/>
      <c r="AC520" s="70"/>
      <c r="AD520" s="70"/>
      <c r="AE520" s="70"/>
    </row>
    <row r="521" spans="1:3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1"/>
      <c r="Q521" s="70"/>
      <c r="R521" s="70"/>
      <c r="S521" s="70"/>
      <c r="T521" s="70"/>
      <c r="U521" s="70"/>
      <c r="V521" s="70"/>
      <c r="W521" s="70"/>
      <c r="X521" s="71"/>
      <c r="Y521" s="70"/>
      <c r="Z521" s="70"/>
      <c r="AA521" s="70"/>
      <c r="AB521" s="70"/>
      <c r="AC521" s="70"/>
      <c r="AD521" s="70"/>
      <c r="AE521" s="70"/>
    </row>
    <row r="522" spans="1:3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1"/>
      <c r="L522" s="70"/>
      <c r="M522" s="71"/>
      <c r="N522" s="70"/>
      <c r="O522" s="70"/>
      <c r="P522" s="71"/>
      <c r="Q522" s="70"/>
      <c r="R522" s="70"/>
      <c r="S522" s="70"/>
      <c r="T522" s="70"/>
      <c r="U522" s="70"/>
      <c r="V522" s="70"/>
      <c r="W522" s="70"/>
      <c r="X522" s="71"/>
      <c r="Y522" s="70"/>
      <c r="Z522" s="70"/>
      <c r="AA522" s="70"/>
      <c r="AB522" s="70"/>
      <c r="AC522" s="70"/>
      <c r="AD522" s="70"/>
      <c r="AE522" s="70"/>
    </row>
    <row r="523" spans="1:3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1"/>
      <c r="L523" s="70"/>
      <c r="M523" s="71"/>
      <c r="N523" s="70"/>
      <c r="O523" s="70"/>
      <c r="P523" s="71"/>
      <c r="Q523" s="70"/>
      <c r="R523" s="70"/>
      <c r="S523" s="70"/>
      <c r="T523" s="70"/>
      <c r="U523" s="70"/>
      <c r="V523" s="70"/>
      <c r="W523" s="70"/>
      <c r="X523" s="71"/>
      <c r="Y523" s="70"/>
      <c r="Z523" s="70"/>
      <c r="AA523" s="70"/>
      <c r="AB523" s="70"/>
      <c r="AC523" s="70"/>
      <c r="AD523" s="70"/>
      <c r="AE523" s="70"/>
    </row>
    <row r="524" spans="1:3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1"/>
      <c r="Q524" s="70"/>
      <c r="R524" s="70"/>
      <c r="S524" s="70"/>
      <c r="T524" s="70"/>
      <c r="U524" s="70"/>
      <c r="V524" s="70"/>
      <c r="W524" s="70"/>
      <c r="X524" s="71"/>
      <c r="Y524" s="70"/>
      <c r="Z524" s="70"/>
      <c r="AA524" s="70"/>
      <c r="AB524" s="70"/>
      <c r="AC524" s="70"/>
      <c r="AD524" s="70"/>
      <c r="AE524" s="70"/>
    </row>
    <row r="525" spans="1:3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1"/>
      <c r="Q525" s="70"/>
      <c r="R525" s="70"/>
      <c r="S525" s="70"/>
      <c r="T525" s="70"/>
      <c r="U525" s="70"/>
      <c r="V525" s="70"/>
      <c r="W525" s="70"/>
      <c r="X525" s="71"/>
      <c r="Y525" s="70"/>
      <c r="Z525" s="70"/>
      <c r="AA525" s="70"/>
      <c r="AB525" s="70"/>
      <c r="AC525" s="70"/>
      <c r="AD525" s="70"/>
      <c r="AE525" s="70"/>
    </row>
    <row r="526" spans="1:3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1"/>
      <c r="L526" s="70"/>
      <c r="M526" s="71"/>
      <c r="N526" s="70"/>
      <c r="O526" s="70"/>
      <c r="P526" s="71"/>
      <c r="Q526" s="70"/>
      <c r="R526" s="70"/>
      <c r="S526" s="70"/>
      <c r="T526" s="70"/>
      <c r="U526" s="70"/>
      <c r="V526" s="70"/>
      <c r="W526" s="70"/>
      <c r="X526" s="71"/>
      <c r="Y526" s="70"/>
      <c r="Z526" s="70"/>
      <c r="AA526" s="70"/>
      <c r="AB526" s="70"/>
      <c r="AC526" s="70"/>
      <c r="AD526" s="70"/>
      <c r="AE526" s="70"/>
    </row>
    <row r="527" spans="1:3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1"/>
      <c r="L527" s="70"/>
      <c r="M527" s="71"/>
      <c r="N527" s="70"/>
      <c r="O527" s="70"/>
      <c r="P527" s="71"/>
      <c r="Q527" s="70"/>
      <c r="R527" s="70"/>
      <c r="S527" s="70"/>
      <c r="T527" s="70"/>
      <c r="U527" s="70"/>
      <c r="V527" s="70"/>
      <c r="W527" s="70"/>
      <c r="X527" s="71"/>
      <c r="Y527" s="70"/>
      <c r="Z527" s="70"/>
      <c r="AA527" s="70"/>
      <c r="AB527" s="70"/>
      <c r="AC527" s="70"/>
      <c r="AD527" s="70"/>
      <c r="AE527" s="70"/>
    </row>
    <row r="528" spans="1:3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1"/>
      <c r="L528" s="70"/>
      <c r="M528" s="71"/>
      <c r="N528" s="70"/>
      <c r="O528" s="70"/>
      <c r="P528" s="71"/>
      <c r="Q528" s="70"/>
      <c r="R528" s="70"/>
      <c r="S528" s="70"/>
      <c r="T528" s="70"/>
      <c r="U528" s="70"/>
      <c r="V528" s="70"/>
      <c r="W528" s="70"/>
      <c r="X528" s="71"/>
      <c r="Y528" s="70"/>
      <c r="Z528" s="70"/>
      <c r="AA528" s="70"/>
      <c r="AB528" s="70"/>
      <c r="AC528" s="70"/>
      <c r="AD528" s="70"/>
      <c r="AE528" s="70"/>
    </row>
    <row r="529" spans="1:3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1"/>
      <c r="L529" s="70"/>
      <c r="M529" s="71"/>
      <c r="N529" s="70"/>
      <c r="O529" s="70"/>
      <c r="P529" s="71"/>
      <c r="Q529" s="70"/>
      <c r="R529" s="70"/>
      <c r="S529" s="70"/>
      <c r="T529" s="70"/>
      <c r="U529" s="70"/>
      <c r="V529" s="70"/>
      <c r="W529" s="70"/>
      <c r="X529" s="71"/>
      <c r="Y529" s="70"/>
      <c r="Z529" s="70"/>
      <c r="AA529" s="70"/>
      <c r="AB529" s="70"/>
      <c r="AC529" s="70"/>
      <c r="AD529" s="70"/>
      <c r="AE529" s="70"/>
    </row>
    <row r="530" spans="1:3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1"/>
      <c r="Q530" s="70"/>
      <c r="R530" s="70"/>
      <c r="S530" s="70"/>
      <c r="T530" s="70"/>
      <c r="U530" s="70"/>
      <c r="V530" s="70"/>
      <c r="W530" s="70"/>
      <c r="X530" s="71"/>
      <c r="Y530" s="70"/>
      <c r="Z530" s="70"/>
      <c r="AA530" s="70"/>
      <c r="AB530" s="70"/>
      <c r="AC530" s="70"/>
      <c r="AD530" s="70"/>
      <c r="AE530" s="70"/>
    </row>
    <row r="531" spans="1: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1"/>
      <c r="Q531" s="70"/>
      <c r="R531" s="70"/>
      <c r="S531" s="70"/>
      <c r="T531" s="70"/>
      <c r="U531" s="70"/>
      <c r="V531" s="70"/>
      <c r="W531" s="70"/>
      <c r="X531" s="71"/>
      <c r="Y531" s="70"/>
      <c r="Z531" s="70"/>
      <c r="AA531" s="70"/>
      <c r="AB531" s="70"/>
      <c r="AC531" s="70"/>
      <c r="AD531" s="70"/>
      <c r="AE531" s="70"/>
    </row>
    <row r="532" spans="1:3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1"/>
      <c r="Q532" s="70"/>
      <c r="R532" s="70"/>
      <c r="S532" s="70"/>
      <c r="T532" s="70"/>
      <c r="U532" s="70"/>
      <c r="V532" s="70"/>
      <c r="W532" s="70"/>
      <c r="X532" s="71"/>
      <c r="Y532" s="70"/>
      <c r="Z532" s="70"/>
      <c r="AA532" s="70"/>
      <c r="AB532" s="70"/>
      <c r="AC532" s="70"/>
      <c r="AD532" s="70"/>
      <c r="AE532" s="70"/>
    </row>
    <row r="533" spans="1:3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1"/>
      <c r="Q533" s="70"/>
      <c r="R533" s="70"/>
      <c r="S533" s="70"/>
      <c r="T533" s="70"/>
      <c r="U533" s="70"/>
      <c r="V533" s="70"/>
      <c r="W533" s="70"/>
      <c r="X533" s="71"/>
      <c r="Y533" s="70"/>
      <c r="Z533" s="70"/>
      <c r="AA533" s="70"/>
      <c r="AB533" s="70"/>
      <c r="AC533" s="70"/>
      <c r="AD533" s="70"/>
      <c r="AE533" s="70"/>
    </row>
    <row r="534" spans="1:3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1"/>
      <c r="L534" s="70"/>
      <c r="M534" s="71"/>
      <c r="N534" s="70"/>
      <c r="O534" s="70"/>
      <c r="P534" s="71"/>
      <c r="Q534" s="70"/>
      <c r="R534" s="70"/>
      <c r="S534" s="70"/>
      <c r="T534" s="70"/>
      <c r="U534" s="70"/>
      <c r="V534" s="70"/>
      <c r="W534" s="70"/>
      <c r="X534" s="71"/>
      <c r="Y534" s="70"/>
      <c r="Z534" s="70"/>
      <c r="AA534" s="70"/>
      <c r="AB534" s="70"/>
      <c r="AC534" s="70"/>
      <c r="AD534" s="70"/>
      <c r="AE534" s="70"/>
    </row>
    <row r="535" spans="1:3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1"/>
      <c r="L535" s="70"/>
      <c r="M535" s="71"/>
      <c r="N535" s="70"/>
      <c r="O535" s="70"/>
      <c r="P535" s="71"/>
      <c r="Q535" s="70"/>
      <c r="R535" s="70"/>
      <c r="S535" s="70"/>
      <c r="T535" s="70"/>
      <c r="U535" s="70"/>
      <c r="V535" s="70"/>
      <c r="W535" s="70"/>
      <c r="X535" s="71"/>
      <c r="Y535" s="70"/>
      <c r="Z535" s="70"/>
      <c r="AA535" s="70"/>
      <c r="AB535" s="70"/>
      <c r="AC535" s="70"/>
      <c r="AD535" s="70"/>
      <c r="AE535" s="70"/>
    </row>
    <row r="536" spans="1:3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1"/>
      <c r="P536" s="70"/>
      <c r="Q536" s="70"/>
      <c r="R536" s="70"/>
      <c r="S536" s="70"/>
      <c r="T536" s="70"/>
      <c r="U536" s="70"/>
      <c r="V536" s="70"/>
      <c r="W536" s="71"/>
      <c r="X536" s="70"/>
      <c r="Y536" s="70"/>
      <c r="Z536" s="70"/>
      <c r="AA536" s="70"/>
      <c r="AB536" s="70"/>
      <c r="AC536" s="70"/>
      <c r="AD536" s="70"/>
    </row>
    <row r="537" spans="1:3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1"/>
      <c r="P537" s="70"/>
      <c r="Q537" s="70"/>
      <c r="R537" s="70"/>
      <c r="S537" s="70"/>
      <c r="T537" s="70"/>
      <c r="U537" s="70"/>
      <c r="V537" s="70"/>
      <c r="W537" s="71"/>
      <c r="X537" s="70"/>
      <c r="Y537" s="70"/>
      <c r="Z537" s="70"/>
      <c r="AA537" s="70"/>
      <c r="AB537" s="70"/>
      <c r="AC537" s="70"/>
      <c r="AD537" s="70"/>
    </row>
    <row r="538" spans="1:3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1"/>
      <c r="P538" s="70"/>
      <c r="Q538" s="70"/>
      <c r="R538" s="70"/>
      <c r="S538" s="70"/>
      <c r="T538" s="70"/>
      <c r="U538" s="70"/>
      <c r="V538" s="70"/>
      <c r="W538" s="71"/>
      <c r="X538" s="70"/>
      <c r="Y538" s="70"/>
      <c r="Z538" s="70"/>
      <c r="AA538" s="70"/>
      <c r="AB538" s="70"/>
      <c r="AC538" s="70"/>
      <c r="AD538" s="70"/>
    </row>
    <row r="539" spans="1:3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1"/>
      <c r="P539" s="70"/>
      <c r="Q539" s="70"/>
      <c r="R539" s="70"/>
      <c r="S539" s="70"/>
      <c r="T539" s="70"/>
      <c r="U539" s="70"/>
      <c r="V539" s="70"/>
      <c r="W539" s="71"/>
      <c r="X539" s="70"/>
      <c r="Y539" s="70"/>
      <c r="Z539" s="70"/>
      <c r="AA539" s="70"/>
      <c r="AB539" s="70"/>
      <c r="AC539" s="70"/>
      <c r="AD539" s="70"/>
    </row>
    <row r="540" spans="1:3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1"/>
      <c r="P540" s="70"/>
      <c r="Q540" s="70"/>
      <c r="R540" s="70"/>
      <c r="S540" s="70"/>
      <c r="T540" s="70"/>
      <c r="U540" s="70"/>
      <c r="V540" s="70"/>
      <c r="W540" s="71"/>
      <c r="X540" s="70"/>
      <c r="Y540" s="70"/>
      <c r="Z540" s="70"/>
      <c r="AA540" s="70"/>
      <c r="AB540" s="70"/>
      <c r="AC540" s="70"/>
      <c r="AD540" s="70"/>
    </row>
  </sheetData>
  <autoFilter ref="A1:AE46" xr:uid="{A7D1C79B-F496-4ECF-AD17-705D3D2757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E920-8772-4021-9FF8-2E3CE42DF106}">
  <dimension ref="A1:F37"/>
  <sheetViews>
    <sheetView workbookViewId="0">
      <selection activeCell="C2" sqref="C2"/>
    </sheetView>
  </sheetViews>
  <sheetFormatPr defaultColWidth="8.85546875" defaultRowHeight="12"/>
  <cols>
    <col min="1" max="1" width="16.42578125" style="7" customWidth="1"/>
    <col min="2" max="2" width="51.42578125" style="7" customWidth="1"/>
    <col min="3" max="3" width="49.42578125" style="7" customWidth="1"/>
    <col min="4" max="4" width="14.42578125" style="7" hidden="1" customWidth="1"/>
    <col min="5" max="5" width="35.42578125" style="7" hidden="1" customWidth="1"/>
    <col min="6" max="16384" width="8.85546875" style="7"/>
  </cols>
  <sheetData>
    <row r="1" spans="1:6" ht="12.75" customHeight="1">
      <c r="A1" s="6" t="s">
        <v>318</v>
      </c>
      <c r="B1" s="6" t="s">
        <v>319</v>
      </c>
      <c r="C1" s="6" t="s">
        <v>320</v>
      </c>
      <c r="D1" s="25"/>
    </row>
    <row r="2" spans="1:6" ht="12.75" customHeight="1">
      <c r="A2" s="8" t="s">
        <v>321</v>
      </c>
      <c r="B2" s="156" t="s">
        <v>322</v>
      </c>
      <c r="C2" s="156" t="s">
        <v>323</v>
      </c>
      <c r="D2" s="19"/>
    </row>
    <row r="3" spans="1:6" ht="12.75" customHeight="1">
      <c r="A3" s="113" t="s">
        <v>324</v>
      </c>
      <c r="B3" s="140" t="s">
        <v>325</v>
      </c>
      <c r="C3" s="140" t="s">
        <v>326</v>
      </c>
      <c r="D3" s="19"/>
      <c r="E3" s="7" t="s">
        <v>327</v>
      </c>
    </row>
    <row r="4" spans="1:6" ht="14.45">
      <c r="A4" s="8" t="s">
        <v>328</v>
      </c>
      <c r="B4" s="161" t="s">
        <v>329</v>
      </c>
      <c r="C4" s="161" t="s">
        <v>330</v>
      </c>
      <c r="D4" s="10"/>
      <c r="E4" s="7" t="s">
        <v>331</v>
      </c>
    </row>
    <row r="5" spans="1:6">
      <c r="A5" s="10"/>
      <c r="B5" s="9"/>
      <c r="C5" s="9"/>
      <c r="D5" s="10"/>
    </row>
    <row r="6" spans="1:6" ht="12.75" customHeight="1">
      <c r="A6" s="11"/>
      <c r="B6" s="11"/>
      <c r="C6" s="11"/>
      <c r="D6" s="11"/>
    </row>
    <row r="7" spans="1:6" ht="12.75" customHeight="1">
      <c r="A7" s="186" t="s">
        <v>332</v>
      </c>
      <c r="B7" s="186"/>
      <c r="C7" s="186"/>
      <c r="D7" s="58"/>
    </row>
    <row r="8" spans="1:6" ht="12.75" customHeight="1">
      <c r="A8" s="60" t="s">
        <v>333</v>
      </c>
      <c r="B8" s="61" t="s">
        <v>319</v>
      </c>
      <c r="C8" s="61" t="s">
        <v>334</v>
      </c>
      <c r="D8" s="59" t="s">
        <v>335</v>
      </c>
      <c r="E8" s="23" t="s">
        <v>35</v>
      </c>
    </row>
    <row r="9" spans="1:6" ht="12.75" customHeight="1">
      <c r="A9" s="60" t="s">
        <v>321</v>
      </c>
      <c r="B9" s="156" t="s">
        <v>322</v>
      </c>
      <c r="C9" s="156" t="s">
        <v>323</v>
      </c>
      <c r="D9" s="51" t="s">
        <v>336</v>
      </c>
      <c r="E9" s="14"/>
    </row>
    <row r="10" spans="1:6" ht="12.75" customHeight="1">
      <c r="A10" s="60" t="s">
        <v>337</v>
      </c>
      <c r="B10" s="157"/>
      <c r="C10" s="156" t="s">
        <v>338</v>
      </c>
      <c r="D10" s="187" t="s">
        <v>339</v>
      </c>
      <c r="E10" s="14"/>
    </row>
    <row r="11" spans="1:6" ht="14.45">
      <c r="A11" s="60" t="s">
        <v>340</v>
      </c>
      <c r="B11" s="156" t="s">
        <v>341</v>
      </c>
      <c r="C11" s="157"/>
      <c r="D11" s="187"/>
      <c r="E11" s="14"/>
    </row>
    <row r="12" spans="1:6" ht="12.95">
      <c r="A12" s="60" t="s">
        <v>342</v>
      </c>
      <c r="C12" s="158" t="s">
        <v>343</v>
      </c>
      <c r="D12" s="52" t="s">
        <v>38</v>
      </c>
      <c r="E12" s="28"/>
      <c r="F12" s="12"/>
    </row>
    <row r="13" spans="1:6" ht="12.95">
      <c r="A13" s="60" t="s">
        <v>253</v>
      </c>
      <c r="C13" s="158" t="s">
        <v>344</v>
      </c>
      <c r="D13" s="51" t="s">
        <v>62</v>
      </c>
      <c r="E13" s="14"/>
      <c r="F13" s="12"/>
    </row>
    <row r="14" spans="1:6" ht="16.5" customHeight="1">
      <c r="A14" s="60" t="s">
        <v>345</v>
      </c>
      <c r="B14" s="157"/>
      <c r="C14" s="157"/>
      <c r="D14" s="51" t="s">
        <v>110</v>
      </c>
      <c r="E14" s="13"/>
      <c r="F14" s="12"/>
    </row>
    <row r="15" spans="1:6" ht="16.5" customHeight="1">
      <c r="A15" s="60" t="s">
        <v>346</v>
      </c>
      <c r="B15" s="157"/>
      <c r="C15" s="159" t="s">
        <v>347</v>
      </c>
      <c r="D15" s="53" t="s">
        <v>110</v>
      </c>
      <c r="E15" s="14"/>
    </row>
    <row r="16" spans="1:6" ht="12.75" customHeight="1">
      <c r="A16" s="60" t="s">
        <v>348</v>
      </c>
      <c r="B16" s="157"/>
      <c r="C16" s="159" t="s">
        <v>349</v>
      </c>
      <c r="D16" s="53" t="s">
        <v>66</v>
      </c>
      <c r="E16" s="13"/>
    </row>
    <row r="17" spans="1:5" ht="12.75" customHeight="1">
      <c r="A17" s="54" t="s">
        <v>350</v>
      </c>
      <c r="B17" s="54"/>
      <c r="C17" s="54"/>
      <c r="D17" s="27" t="s">
        <v>51</v>
      </c>
      <c r="E17" s="14"/>
    </row>
    <row r="18" spans="1:5" ht="12.75" customHeight="1">
      <c r="A18" s="26" t="s">
        <v>351</v>
      </c>
      <c r="B18" s="26"/>
      <c r="C18" s="26"/>
      <c r="D18" s="27" t="s">
        <v>352</v>
      </c>
      <c r="E18" s="14"/>
    </row>
    <row r="19" spans="1:5" ht="12.75" customHeight="1">
      <c r="A19" s="26" t="s">
        <v>353</v>
      </c>
      <c r="B19" s="26"/>
      <c r="C19" s="26"/>
      <c r="D19" s="27" t="s">
        <v>354</v>
      </c>
      <c r="E19" s="14"/>
    </row>
    <row r="20" spans="1:5" ht="12.75" customHeight="1">
      <c r="A20" s="26" t="s">
        <v>355</v>
      </c>
      <c r="B20" s="26"/>
      <c r="C20" s="26"/>
      <c r="D20" s="27" t="s">
        <v>51</v>
      </c>
      <c r="E20" s="14"/>
    </row>
    <row r="21" spans="1:5" ht="12.95">
      <c r="A21" s="26" t="s">
        <v>356</v>
      </c>
      <c r="B21" s="26"/>
      <c r="C21" s="26"/>
      <c r="D21" s="27" t="s">
        <v>352</v>
      </c>
      <c r="E21" s="14"/>
    </row>
    <row r="22" spans="1:5" ht="12.95">
      <c r="A22" s="26" t="s">
        <v>357</v>
      </c>
      <c r="B22" s="26"/>
      <c r="C22" s="26"/>
      <c r="D22" s="27" t="s">
        <v>352</v>
      </c>
      <c r="E22" s="14"/>
    </row>
    <row r="23" spans="1:5" ht="12.95">
      <c r="A23" s="26" t="s">
        <v>358</v>
      </c>
      <c r="B23" s="26"/>
      <c r="C23" s="26"/>
      <c r="D23" s="27" t="s">
        <v>352</v>
      </c>
      <c r="E23" s="14"/>
    </row>
    <row r="24" spans="1:5" ht="14.45">
      <c r="A24" s="26" t="s">
        <v>359</v>
      </c>
      <c r="B24" s="24"/>
      <c r="C24" s="24"/>
      <c r="D24" s="27" t="s">
        <v>360</v>
      </c>
      <c r="E24" s="14"/>
    </row>
    <row r="35" ht="23.25" customHeight="1"/>
    <row r="36" ht="21.75" customHeight="1"/>
    <row r="37" ht="9.75" customHeight="1"/>
  </sheetData>
  <autoFilter ref="A8:F8" xr:uid="{5F29E920-8772-4021-9FF8-2E3CE42DF106}"/>
  <mergeCells count="2">
    <mergeCell ref="A7:C7"/>
    <mergeCell ref="D10:D11"/>
  </mergeCells>
  <hyperlinks>
    <hyperlink ref="B9" r:id="rId1" xr:uid="{F494CE7F-A347-44CF-9C50-3C44DECB2E3C}"/>
    <hyperlink ref="C9" r:id="rId2" xr:uid="{56D7B386-A3DB-4AFE-860E-06C370F8792F}"/>
    <hyperlink ref="C10" r:id="rId3" xr:uid="{BFEFB697-CD30-4F5F-96BF-780A16AC35B9}"/>
    <hyperlink ref="B11" r:id="rId4" xr:uid="{E1174D44-FB42-452C-98AD-867E026AF459}"/>
    <hyperlink ref="B2" r:id="rId5" xr:uid="{1AE51187-F100-4C1B-8C36-59E54566B744}"/>
    <hyperlink ref="C2" r:id="rId6" xr:uid="{2307408C-DD07-4CC7-B63A-4F5868DAE76F}"/>
    <hyperlink ref="C3" r:id="rId7" xr:uid="{3C894843-8EAE-4C56-8542-EA08E15DD3A6}"/>
    <hyperlink ref="B3" r:id="rId8" xr:uid="{B6BE0845-BD02-4D8F-B3F8-B88CFBD0FC9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AF69-5C9F-46C3-8723-07208F68740A}">
  <sheetPr>
    <tabColor rgb="FFFF0000"/>
  </sheetPr>
  <dimension ref="A1:DS923"/>
  <sheetViews>
    <sheetView workbookViewId="0">
      <selection activeCell="B7" sqref="B7"/>
    </sheetView>
  </sheetViews>
  <sheetFormatPr defaultColWidth="9.140625" defaultRowHeight="12"/>
  <cols>
    <col min="1" max="1" width="9" style="33" customWidth="1"/>
    <col min="2" max="2" width="52.28515625" style="33" bestFit="1" customWidth="1"/>
    <col min="3" max="3" width="10.85546875" style="33" bestFit="1" customWidth="1"/>
    <col min="4" max="4" width="17.42578125" style="33" bestFit="1" customWidth="1"/>
    <col min="5" max="5" width="15.5703125" style="33" bestFit="1" customWidth="1"/>
    <col min="6" max="6" width="11.5703125" style="33" bestFit="1" customWidth="1"/>
    <col min="7" max="7" width="10.7109375" style="33" bestFit="1" customWidth="1"/>
    <col min="8" max="8" width="12.28515625" style="33" bestFit="1" customWidth="1"/>
    <col min="9" max="9" width="12.42578125" style="33" bestFit="1" customWidth="1"/>
    <col min="10" max="10" width="10.140625" style="33" bestFit="1" customWidth="1"/>
    <col min="11" max="120" width="8.42578125" style="33" bestFit="1" customWidth="1"/>
    <col min="121" max="121" width="5.42578125" style="33" bestFit="1" customWidth="1"/>
    <col min="122" max="122" width="7.42578125" style="33" bestFit="1" customWidth="1"/>
    <col min="123" max="123" width="11.42578125" style="33" bestFit="1" customWidth="1"/>
    <col min="124" max="16384" width="9.140625" style="33"/>
  </cols>
  <sheetData>
    <row r="1" spans="1:12">
      <c r="A1" s="145" t="s">
        <v>36</v>
      </c>
      <c r="B1" s="146" t="s">
        <v>361</v>
      </c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>
      <c r="A2" s="145" t="s">
        <v>37</v>
      </c>
      <c r="B2" s="146" t="s">
        <v>361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>
      <c r="A4" s="147" t="s">
        <v>11</v>
      </c>
      <c r="B4" s="147" t="s">
        <v>10</v>
      </c>
      <c r="C4" s="147" t="s">
        <v>362</v>
      </c>
      <c r="D4" s="147" t="s">
        <v>363</v>
      </c>
      <c r="E4" s="147" t="s">
        <v>364</v>
      </c>
      <c r="F4" s="147" t="s">
        <v>365</v>
      </c>
      <c r="G4" s="147" t="s">
        <v>366</v>
      </c>
      <c r="H4" s="147" t="s">
        <v>367</v>
      </c>
      <c r="I4" s="147" t="s">
        <v>368</v>
      </c>
      <c r="J4" s="147" t="s">
        <v>369</v>
      </c>
      <c r="K4" s="34" t="s">
        <v>33</v>
      </c>
      <c r="L4" s="34" t="s">
        <v>34</v>
      </c>
    </row>
    <row r="5" spans="1:12">
      <c r="A5" s="146">
        <v>4278081</v>
      </c>
      <c r="B5" s="146" t="s">
        <v>309</v>
      </c>
      <c r="C5" s="184">
        <v>2</v>
      </c>
      <c r="D5" s="184">
        <v>2</v>
      </c>
      <c r="E5" s="184">
        <v>2</v>
      </c>
      <c r="F5" s="184">
        <v>4</v>
      </c>
      <c r="G5" s="184">
        <v>0</v>
      </c>
      <c r="H5" s="184">
        <v>0</v>
      </c>
      <c r="I5" s="184">
        <v>2</v>
      </c>
      <c r="J5" s="184">
        <v>6</v>
      </c>
      <c r="K5" s="37">
        <f t="shared" ref="K5:K36" si="0">IF(G5+F5=0,0,SUM(F5:H5)/J5)</f>
        <v>0.66666666666666663</v>
      </c>
      <c r="L5" s="37">
        <f t="shared" ref="L5:L36" si="1">IF(F5=0,0,F5/(SUM(F5:H5)))</f>
        <v>1</v>
      </c>
    </row>
    <row r="6" spans="1:12">
      <c r="A6" s="146" t="s">
        <v>370</v>
      </c>
      <c r="B6" s="146" t="s">
        <v>370</v>
      </c>
      <c r="C6" s="184"/>
      <c r="D6" s="184"/>
      <c r="E6" s="184"/>
      <c r="F6" s="184"/>
      <c r="G6" s="184"/>
      <c r="H6" s="184"/>
      <c r="I6" s="184"/>
      <c r="J6" s="184"/>
      <c r="K6" s="37">
        <f t="shared" si="0"/>
        <v>0</v>
      </c>
      <c r="L6" s="37">
        <f t="shared" si="1"/>
        <v>0</v>
      </c>
    </row>
    <row r="7" spans="1:12">
      <c r="A7" s="146">
        <v>4386341</v>
      </c>
      <c r="B7" s="146" t="s">
        <v>296</v>
      </c>
      <c r="C7" s="184">
        <v>6</v>
      </c>
      <c r="D7" s="184">
        <v>6</v>
      </c>
      <c r="E7" s="184">
        <v>6</v>
      </c>
      <c r="F7" s="184">
        <v>0</v>
      </c>
      <c r="G7" s="184">
        <v>0</v>
      </c>
      <c r="H7" s="184">
        <v>0</v>
      </c>
      <c r="I7" s="184">
        <v>0</v>
      </c>
      <c r="J7" s="184">
        <v>0</v>
      </c>
      <c r="K7" s="37">
        <f t="shared" si="0"/>
        <v>0</v>
      </c>
      <c r="L7" s="37">
        <f t="shared" si="1"/>
        <v>0</v>
      </c>
    </row>
    <row r="8" spans="1:12">
      <c r="A8" s="146">
        <v>4386335</v>
      </c>
      <c r="B8" s="146" t="s">
        <v>306</v>
      </c>
      <c r="C8" s="184">
        <v>1</v>
      </c>
      <c r="D8" s="184">
        <v>1</v>
      </c>
      <c r="E8" s="184">
        <v>1</v>
      </c>
      <c r="F8" s="184">
        <v>0</v>
      </c>
      <c r="G8" s="184">
        <v>0</v>
      </c>
      <c r="H8" s="184">
        <v>0</v>
      </c>
      <c r="I8" s="184">
        <v>0</v>
      </c>
      <c r="J8" s="184">
        <v>0</v>
      </c>
      <c r="K8" s="37">
        <f t="shared" si="0"/>
        <v>0</v>
      </c>
      <c r="L8" s="37">
        <f t="shared" si="1"/>
        <v>0</v>
      </c>
    </row>
    <row r="9" spans="1:12">
      <c r="A9" s="146">
        <v>4429397</v>
      </c>
      <c r="B9" s="146" t="s">
        <v>211</v>
      </c>
      <c r="C9" s="184">
        <v>4</v>
      </c>
      <c r="D9" s="184">
        <v>4</v>
      </c>
      <c r="E9" s="184">
        <v>4</v>
      </c>
      <c r="F9" s="184">
        <v>60</v>
      </c>
      <c r="G9" s="184">
        <v>1</v>
      </c>
      <c r="H9" s="184">
        <v>0</v>
      </c>
      <c r="I9" s="184">
        <v>26</v>
      </c>
      <c r="J9" s="184">
        <v>87</v>
      </c>
      <c r="K9" s="37">
        <f t="shared" si="0"/>
        <v>0.70114942528735635</v>
      </c>
      <c r="L9" s="37">
        <f t="shared" si="1"/>
        <v>0.98360655737704916</v>
      </c>
    </row>
    <row r="10" spans="1:12">
      <c r="A10" s="146">
        <v>4389877</v>
      </c>
      <c r="B10" s="146" t="s">
        <v>202</v>
      </c>
      <c r="C10" s="184">
        <v>3</v>
      </c>
      <c r="D10" s="184">
        <v>3</v>
      </c>
      <c r="E10" s="184">
        <v>3</v>
      </c>
      <c r="F10" s="184">
        <v>21</v>
      </c>
      <c r="G10" s="184">
        <v>7</v>
      </c>
      <c r="H10" s="184">
        <v>0</v>
      </c>
      <c r="I10" s="184">
        <v>12</v>
      </c>
      <c r="J10" s="184">
        <v>40</v>
      </c>
      <c r="K10" s="37">
        <f t="shared" si="0"/>
        <v>0.7</v>
      </c>
      <c r="L10" s="37">
        <f t="shared" si="1"/>
        <v>0.75</v>
      </c>
    </row>
    <row r="11" spans="1:12">
      <c r="A11" s="146">
        <v>4373911</v>
      </c>
      <c r="B11" s="146" t="s">
        <v>160</v>
      </c>
      <c r="C11" s="184">
        <v>18</v>
      </c>
      <c r="D11" s="184">
        <v>18</v>
      </c>
      <c r="E11" s="184">
        <v>18</v>
      </c>
      <c r="F11" s="184">
        <v>212</v>
      </c>
      <c r="G11" s="184">
        <v>29</v>
      </c>
      <c r="H11" s="184">
        <v>0</v>
      </c>
      <c r="I11" s="184">
        <v>136</v>
      </c>
      <c r="J11" s="184">
        <v>377</v>
      </c>
      <c r="K11" s="37">
        <f t="shared" si="0"/>
        <v>0.63925729442970824</v>
      </c>
      <c r="L11" s="37">
        <f t="shared" si="1"/>
        <v>0.8796680497925311</v>
      </c>
    </row>
    <row r="12" spans="1:12">
      <c r="A12" s="146">
        <v>4277501</v>
      </c>
      <c r="B12" s="146" t="s">
        <v>178</v>
      </c>
      <c r="C12" s="184">
        <v>1</v>
      </c>
      <c r="D12" s="184">
        <v>1</v>
      </c>
      <c r="E12" s="184">
        <v>1</v>
      </c>
      <c r="F12" s="184">
        <v>7</v>
      </c>
      <c r="G12" s="184">
        <v>1</v>
      </c>
      <c r="H12" s="184">
        <v>0</v>
      </c>
      <c r="I12" s="184">
        <v>3</v>
      </c>
      <c r="J12" s="184">
        <v>11</v>
      </c>
      <c r="K12" s="37">
        <f t="shared" si="0"/>
        <v>0.72727272727272729</v>
      </c>
      <c r="L12" s="37">
        <f t="shared" si="1"/>
        <v>0.875</v>
      </c>
    </row>
    <row r="13" spans="1:12">
      <c r="A13" s="146">
        <v>4446745</v>
      </c>
      <c r="B13" s="146" t="s">
        <v>252</v>
      </c>
      <c r="C13" s="184">
        <v>1</v>
      </c>
      <c r="D13" s="184">
        <v>1</v>
      </c>
      <c r="E13" s="184">
        <v>1</v>
      </c>
      <c r="F13" s="184">
        <v>3</v>
      </c>
      <c r="G13" s="184">
        <v>0</v>
      </c>
      <c r="H13" s="184">
        <v>0</v>
      </c>
      <c r="I13" s="184">
        <v>0</v>
      </c>
      <c r="J13" s="184">
        <v>3</v>
      </c>
      <c r="K13" s="37">
        <f t="shared" si="0"/>
        <v>1</v>
      </c>
      <c r="L13" s="37">
        <f t="shared" si="1"/>
        <v>1</v>
      </c>
    </row>
    <row r="14" spans="1:12">
      <c r="A14" s="146">
        <v>4458987</v>
      </c>
      <c r="B14" s="146" t="s">
        <v>264</v>
      </c>
      <c r="C14" s="184">
        <v>1</v>
      </c>
      <c r="D14" s="184">
        <v>1</v>
      </c>
      <c r="E14" s="184">
        <v>1</v>
      </c>
      <c r="F14" s="184">
        <v>0</v>
      </c>
      <c r="G14" s="184">
        <v>0</v>
      </c>
      <c r="H14" s="184">
        <v>0</v>
      </c>
      <c r="I14" s="184">
        <v>0</v>
      </c>
      <c r="J14" s="184">
        <v>0</v>
      </c>
      <c r="K14" s="37">
        <f t="shared" si="0"/>
        <v>0</v>
      </c>
      <c r="L14" s="37">
        <f t="shared" si="1"/>
        <v>0</v>
      </c>
    </row>
    <row r="15" spans="1:12">
      <c r="A15" s="146">
        <v>4458972</v>
      </c>
      <c r="B15" s="146" t="s">
        <v>240</v>
      </c>
      <c r="C15" s="184">
        <v>3</v>
      </c>
      <c r="D15" s="184">
        <v>3</v>
      </c>
      <c r="E15" s="184">
        <v>3</v>
      </c>
      <c r="F15" s="184">
        <v>0</v>
      </c>
      <c r="G15" s="184">
        <v>0</v>
      </c>
      <c r="H15" s="184">
        <v>0</v>
      </c>
      <c r="I15" s="184">
        <v>68</v>
      </c>
      <c r="J15" s="184">
        <v>68</v>
      </c>
      <c r="K15" s="37">
        <f t="shared" si="0"/>
        <v>0</v>
      </c>
      <c r="L15" s="37">
        <f t="shared" si="1"/>
        <v>0</v>
      </c>
    </row>
    <row r="16" spans="1:12">
      <c r="A16" s="146">
        <v>4439196</v>
      </c>
      <c r="B16" s="146" t="s">
        <v>221</v>
      </c>
      <c r="C16" s="184">
        <v>5</v>
      </c>
      <c r="D16" s="184">
        <v>5</v>
      </c>
      <c r="E16" s="184">
        <v>5</v>
      </c>
      <c r="F16" s="184">
        <v>0</v>
      </c>
      <c r="G16" s="184">
        <v>0</v>
      </c>
      <c r="H16" s="184">
        <v>0</v>
      </c>
      <c r="I16" s="184">
        <v>56</v>
      </c>
      <c r="J16" s="184">
        <v>56</v>
      </c>
      <c r="K16" s="37">
        <f t="shared" si="0"/>
        <v>0</v>
      </c>
      <c r="L16" s="37">
        <f t="shared" si="1"/>
        <v>0</v>
      </c>
    </row>
    <row r="17" spans="1:12">
      <c r="A17" s="147" t="s">
        <v>371</v>
      </c>
      <c r="B17" s="147"/>
      <c r="C17" s="185">
        <v>45</v>
      </c>
      <c r="D17" s="185">
        <v>45</v>
      </c>
      <c r="E17" s="185">
        <v>45</v>
      </c>
      <c r="F17" s="185">
        <v>307</v>
      </c>
      <c r="G17" s="185">
        <v>38</v>
      </c>
      <c r="H17" s="185">
        <v>0</v>
      </c>
      <c r="I17" s="185">
        <v>303</v>
      </c>
      <c r="J17" s="185">
        <v>648</v>
      </c>
      <c r="K17" s="37">
        <f t="shared" si="0"/>
        <v>0.53240740740740744</v>
      </c>
      <c r="L17" s="37">
        <f t="shared" si="1"/>
        <v>0.88985507246376816</v>
      </c>
    </row>
    <row r="18" spans="1:12">
      <c r="A18"/>
      <c r="B18"/>
      <c r="C18"/>
      <c r="D18"/>
      <c r="E18"/>
      <c r="F18"/>
      <c r="G18"/>
      <c r="H18"/>
      <c r="I18"/>
      <c r="J18"/>
      <c r="K18" s="37">
        <f t="shared" si="0"/>
        <v>0</v>
      </c>
      <c r="L18" s="37">
        <f t="shared" si="1"/>
        <v>0</v>
      </c>
    </row>
    <row r="19" spans="1:12">
      <c r="A19"/>
      <c r="B19"/>
      <c r="C19"/>
      <c r="D19"/>
      <c r="E19"/>
      <c r="F19"/>
      <c r="G19"/>
      <c r="H19"/>
      <c r="I19"/>
      <c r="J19"/>
      <c r="K19" s="37">
        <f t="shared" si="0"/>
        <v>0</v>
      </c>
      <c r="L19" s="37">
        <f t="shared" si="1"/>
        <v>0</v>
      </c>
    </row>
    <row r="20" spans="1:12">
      <c r="A20"/>
      <c r="B20"/>
      <c r="C20"/>
      <c r="D20"/>
      <c r="E20"/>
      <c r="F20"/>
      <c r="G20"/>
      <c r="H20"/>
      <c r="I20"/>
      <c r="J20"/>
      <c r="K20" s="37">
        <f t="shared" si="0"/>
        <v>0</v>
      </c>
      <c r="L20" s="37">
        <f t="shared" si="1"/>
        <v>0</v>
      </c>
    </row>
    <row r="21" spans="1:12">
      <c r="A21"/>
      <c r="B21"/>
      <c r="C21"/>
      <c r="D21"/>
      <c r="E21"/>
      <c r="F21"/>
      <c r="G21"/>
      <c r="H21"/>
      <c r="I21"/>
      <c r="J21"/>
      <c r="K21" s="37">
        <f t="shared" si="0"/>
        <v>0</v>
      </c>
      <c r="L21" s="37">
        <f t="shared" si="1"/>
        <v>0</v>
      </c>
    </row>
    <row r="22" spans="1:12">
      <c r="A22"/>
      <c r="B22"/>
      <c r="C22"/>
      <c r="D22"/>
      <c r="E22"/>
      <c r="F22"/>
      <c r="G22"/>
      <c r="H22"/>
      <c r="I22"/>
      <c r="J22"/>
      <c r="K22" s="37">
        <f t="shared" si="0"/>
        <v>0</v>
      </c>
      <c r="L22" s="37">
        <f t="shared" si="1"/>
        <v>0</v>
      </c>
    </row>
    <row r="23" spans="1:12">
      <c r="A23"/>
      <c r="B23"/>
      <c r="C23"/>
      <c r="D23"/>
      <c r="E23"/>
      <c r="F23"/>
      <c r="G23"/>
      <c r="H23"/>
      <c r="I23"/>
      <c r="J23"/>
      <c r="K23" s="37">
        <f t="shared" si="0"/>
        <v>0</v>
      </c>
      <c r="L23" s="37">
        <f t="shared" si="1"/>
        <v>0</v>
      </c>
    </row>
    <row r="24" spans="1:12">
      <c r="A24"/>
      <c r="B24"/>
      <c r="C24"/>
      <c r="D24"/>
      <c r="E24"/>
      <c r="F24"/>
      <c r="G24"/>
      <c r="H24"/>
      <c r="I24"/>
      <c r="J24"/>
      <c r="K24" s="37">
        <f t="shared" si="0"/>
        <v>0</v>
      </c>
      <c r="L24" s="37">
        <f t="shared" si="1"/>
        <v>0</v>
      </c>
    </row>
    <row r="25" spans="1:12">
      <c r="A25"/>
      <c r="B25"/>
      <c r="C25"/>
      <c r="D25"/>
      <c r="E25"/>
      <c r="F25"/>
      <c r="G25"/>
      <c r="H25"/>
      <c r="I25"/>
      <c r="J25"/>
      <c r="K25" s="37">
        <f t="shared" si="0"/>
        <v>0</v>
      </c>
      <c r="L25" s="37">
        <f t="shared" si="1"/>
        <v>0</v>
      </c>
    </row>
    <row r="26" spans="1:12">
      <c r="A26"/>
      <c r="B26"/>
      <c r="C26"/>
      <c r="D26"/>
      <c r="E26"/>
      <c r="F26"/>
      <c r="G26"/>
      <c r="H26"/>
      <c r="I26"/>
      <c r="J26"/>
      <c r="K26" s="37">
        <f t="shared" si="0"/>
        <v>0</v>
      </c>
      <c r="L26" s="37">
        <f t="shared" si="1"/>
        <v>0</v>
      </c>
    </row>
    <row r="27" spans="1:12">
      <c r="A27"/>
      <c r="B27"/>
      <c r="C27"/>
      <c r="D27"/>
      <c r="E27"/>
      <c r="F27"/>
      <c r="G27"/>
      <c r="H27"/>
      <c r="I27"/>
      <c r="J27"/>
      <c r="K27" s="37">
        <f t="shared" si="0"/>
        <v>0</v>
      </c>
      <c r="L27" s="37">
        <f t="shared" si="1"/>
        <v>0</v>
      </c>
    </row>
    <row r="28" spans="1:12">
      <c r="A28"/>
      <c r="B28"/>
      <c r="C28"/>
      <c r="D28"/>
      <c r="E28"/>
      <c r="F28"/>
      <c r="G28"/>
      <c r="H28"/>
      <c r="I28"/>
      <c r="J28"/>
      <c r="K28" s="37">
        <f t="shared" si="0"/>
        <v>0</v>
      </c>
      <c r="L28" s="37">
        <f t="shared" si="1"/>
        <v>0</v>
      </c>
    </row>
    <row r="29" spans="1:12">
      <c r="A29"/>
      <c r="B29"/>
      <c r="C29"/>
      <c r="D29"/>
      <c r="E29"/>
      <c r="F29"/>
      <c r="G29"/>
      <c r="H29"/>
      <c r="I29"/>
      <c r="J29"/>
      <c r="K29" s="37">
        <f t="shared" si="0"/>
        <v>0</v>
      </c>
      <c r="L29" s="37">
        <f t="shared" si="1"/>
        <v>0</v>
      </c>
    </row>
    <row r="30" spans="1:12">
      <c r="A30"/>
      <c r="B30"/>
      <c r="C30"/>
      <c r="D30"/>
      <c r="E30"/>
      <c r="F30"/>
      <c r="G30"/>
      <c r="H30"/>
      <c r="I30"/>
      <c r="J30"/>
      <c r="K30" s="37">
        <f t="shared" si="0"/>
        <v>0</v>
      </c>
      <c r="L30" s="37">
        <f t="shared" si="1"/>
        <v>0</v>
      </c>
    </row>
    <row r="31" spans="1:12">
      <c r="A31"/>
      <c r="B31"/>
      <c r="C31"/>
      <c r="D31"/>
      <c r="E31"/>
      <c r="F31"/>
      <c r="G31"/>
      <c r="H31"/>
      <c r="I31"/>
      <c r="J31"/>
      <c r="K31" s="37">
        <f t="shared" si="0"/>
        <v>0</v>
      </c>
      <c r="L31" s="37">
        <f t="shared" si="1"/>
        <v>0</v>
      </c>
    </row>
    <row r="32" spans="1:12">
      <c r="A32"/>
      <c r="B32"/>
      <c r="C32"/>
      <c r="D32"/>
      <c r="E32"/>
      <c r="F32"/>
      <c r="G32"/>
      <c r="H32"/>
      <c r="I32"/>
      <c r="J32"/>
      <c r="K32" s="37">
        <f t="shared" si="0"/>
        <v>0</v>
      </c>
      <c r="L32" s="37">
        <f t="shared" si="1"/>
        <v>0</v>
      </c>
    </row>
    <row r="33" spans="1:12">
      <c r="A33"/>
      <c r="B33"/>
      <c r="C33"/>
      <c r="D33"/>
      <c r="E33"/>
      <c r="F33"/>
      <c r="G33"/>
      <c r="H33"/>
      <c r="I33"/>
      <c r="J33"/>
      <c r="K33" s="37">
        <f t="shared" si="0"/>
        <v>0</v>
      </c>
      <c r="L33" s="37">
        <f t="shared" si="1"/>
        <v>0</v>
      </c>
    </row>
    <row r="34" spans="1:12">
      <c r="A34"/>
      <c r="B34"/>
      <c r="C34"/>
      <c r="D34"/>
      <c r="E34"/>
      <c r="F34"/>
      <c r="G34"/>
      <c r="H34"/>
      <c r="I34"/>
      <c r="J34"/>
      <c r="K34" s="37">
        <f t="shared" si="0"/>
        <v>0</v>
      </c>
      <c r="L34" s="37">
        <f t="shared" si="1"/>
        <v>0</v>
      </c>
    </row>
    <row r="35" spans="1:12">
      <c r="A35"/>
      <c r="B35"/>
      <c r="C35"/>
      <c r="D35"/>
      <c r="E35"/>
      <c r="F35"/>
      <c r="G35"/>
      <c r="H35"/>
      <c r="I35"/>
      <c r="J35"/>
      <c r="K35" s="37">
        <f t="shared" si="0"/>
        <v>0</v>
      </c>
      <c r="L35" s="37">
        <f t="shared" si="1"/>
        <v>0</v>
      </c>
    </row>
    <row r="36" spans="1:12">
      <c r="A36"/>
      <c r="B36"/>
      <c r="C36"/>
      <c r="D36"/>
      <c r="E36"/>
      <c r="F36"/>
      <c r="G36"/>
      <c r="H36"/>
      <c r="I36"/>
      <c r="J36"/>
      <c r="K36" s="37">
        <f t="shared" si="0"/>
        <v>0</v>
      </c>
      <c r="L36" s="37">
        <f t="shared" si="1"/>
        <v>0</v>
      </c>
    </row>
    <row r="37" spans="1:12">
      <c r="A37"/>
      <c r="B37"/>
      <c r="C37"/>
      <c r="D37"/>
      <c r="E37"/>
      <c r="F37"/>
      <c r="G37"/>
      <c r="H37"/>
      <c r="I37"/>
      <c r="J37"/>
      <c r="K37" s="37">
        <f t="shared" ref="K37:K68" si="2">IF(G37+F37=0,0,SUM(F37:H37)/J37)</f>
        <v>0</v>
      </c>
      <c r="L37" s="37">
        <f t="shared" ref="L37:L68" si="3">IF(F37=0,0,F37/(SUM(F37:H37)))</f>
        <v>0</v>
      </c>
    </row>
    <row r="38" spans="1:12">
      <c r="A38"/>
      <c r="B38"/>
      <c r="C38"/>
      <c r="D38"/>
      <c r="E38"/>
      <c r="F38"/>
      <c r="G38"/>
      <c r="H38"/>
      <c r="I38"/>
      <c r="J38"/>
      <c r="K38" s="37">
        <f t="shared" si="2"/>
        <v>0</v>
      </c>
      <c r="L38" s="37">
        <f t="shared" si="3"/>
        <v>0</v>
      </c>
    </row>
    <row r="39" spans="1:12">
      <c r="A39"/>
      <c r="B39"/>
      <c r="C39"/>
      <c r="D39"/>
      <c r="E39"/>
      <c r="F39"/>
      <c r="G39"/>
      <c r="H39"/>
      <c r="I39"/>
      <c r="J39"/>
      <c r="K39" s="37">
        <f t="shared" si="2"/>
        <v>0</v>
      </c>
      <c r="L39" s="37">
        <f t="shared" si="3"/>
        <v>0</v>
      </c>
    </row>
    <row r="40" spans="1:12">
      <c r="A40"/>
      <c r="B40"/>
      <c r="C40"/>
      <c r="D40"/>
      <c r="E40"/>
      <c r="F40"/>
      <c r="G40"/>
      <c r="H40"/>
      <c r="I40"/>
      <c r="J40"/>
      <c r="K40" s="37">
        <f t="shared" si="2"/>
        <v>0</v>
      </c>
      <c r="L40" s="37">
        <f t="shared" si="3"/>
        <v>0</v>
      </c>
    </row>
    <row r="41" spans="1:12">
      <c r="A41"/>
      <c r="B41"/>
      <c r="C41"/>
      <c r="D41"/>
      <c r="E41"/>
      <c r="F41"/>
      <c r="G41"/>
      <c r="H41"/>
      <c r="I41"/>
      <c r="J41"/>
      <c r="K41" s="37">
        <f t="shared" si="2"/>
        <v>0</v>
      </c>
      <c r="L41" s="37">
        <f t="shared" si="3"/>
        <v>0</v>
      </c>
    </row>
    <row r="42" spans="1:12">
      <c r="A42"/>
      <c r="B42"/>
      <c r="C42"/>
      <c r="D42"/>
      <c r="E42"/>
      <c r="F42"/>
      <c r="G42"/>
      <c r="H42"/>
      <c r="I42"/>
      <c r="J42"/>
      <c r="K42" s="37">
        <f t="shared" si="2"/>
        <v>0</v>
      </c>
      <c r="L42" s="37">
        <f t="shared" si="3"/>
        <v>0</v>
      </c>
    </row>
    <row r="43" spans="1:12">
      <c r="A43"/>
      <c r="B43"/>
      <c r="C43"/>
      <c r="D43"/>
      <c r="E43"/>
      <c r="F43"/>
      <c r="G43"/>
      <c r="H43"/>
      <c r="I43"/>
      <c r="J43"/>
      <c r="K43" s="37">
        <f t="shared" si="2"/>
        <v>0</v>
      </c>
      <c r="L43" s="37">
        <f t="shared" si="3"/>
        <v>0</v>
      </c>
    </row>
    <row r="44" spans="1:12">
      <c r="A44"/>
      <c r="B44"/>
      <c r="C44"/>
      <c r="D44"/>
      <c r="E44"/>
      <c r="F44"/>
      <c r="G44"/>
      <c r="H44"/>
      <c r="I44"/>
      <c r="J44"/>
      <c r="K44" s="37">
        <f t="shared" si="2"/>
        <v>0</v>
      </c>
      <c r="L44" s="37">
        <f t="shared" si="3"/>
        <v>0</v>
      </c>
    </row>
    <row r="45" spans="1:12">
      <c r="A45"/>
      <c r="B45"/>
      <c r="C45"/>
      <c r="D45"/>
      <c r="E45"/>
      <c r="F45"/>
      <c r="G45"/>
      <c r="H45"/>
      <c r="I45"/>
      <c r="J45"/>
      <c r="K45" s="37">
        <f t="shared" si="2"/>
        <v>0</v>
      </c>
      <c r="L45" s="37">
        <f t="shared" si="3"/>
        <v>0</v>
      </c>
    </row>
    <row r="46" spans="1:12">
      <c r="A46"/>
      <c r="B46"/>
      <c r="C46"/>
      <c r="D46"/>
      <c r="E46"/>
      <c r="F46"/>
      <c r="G46"/>
      <c r="H46"/>
      <c r="I46"/>
      <c r="J46"/>
      <c r="K46" s="37">
        <f t="shared" si="2"/>
        <v>0</v>
      </c>
      <c r="L46" s="37">
        <f t="shared" si="3"/>
        <v>0</v>
      </c>
    </row>
    <row r="47" spans="1:12">
      <c r="A47"/>
      <c r="B47"/>
      <c r="C47"/>
      <c r="D47"/>
      <c r="E47"/>
      <c r="F47"/>
      <c r="G47"/>
      <c r="H47"/>
      <c r="I47"/>
      <c r="J47"/>
      <c r="K47" s="37">
        <f t="shared" si="2"/>
        <v>0</v>
      </c>
      <c r="L47" s="37">
        <f t="shared" si="3"/>
        <v>0</v>
      </c>
    </row>
    <row r="48" spans="1:12">
      <c r="A48"/>
      <c r="B48"/>
      <c r="C48"/>
      <c r="D48"/>
      <c r="E48"/>
      <c r="F48"/>
      <c r="G48"/>
      <c r="H48"/>
      <c r="I48"/>
      <c r="J48"/>
      <c r="K48" s="37">
        <f t="shared" si="2"/>
        <v>0</v>
      </c>
      <c r="L48" s="37">
        <f t="shared" si="3"/>
        <v>0</v>
      </c>
    </row>
    <row r="49" spans="1:12">
      <c r="A49"/>
      <c r="B49"/>
      <c r="C49"/>
      <c r="D49"/>
      <c r="E49"/>
      <c r="F49"/>
      <c r="G49"/>
      <c r="H49"/>
      <c r="I49"/>
      <c r="J49"/>
      <c r="K49" s="37">
        <f t="shared" si="2"/>
        <v>0</v>
      </c>
      <c r="L49" s="37">
        <f t="shared" si="3"/>
        <v>0</v>
      </c>
    </row>
    <row r="50" spans="1:12">
      <c r="A50"/>
      <c r="B50"/>
      <c r="C50"/>
      <c r="D50"/>
      <c r="E50"/>
      <c r="F50"/>
      <c r="G50"/>
      <c r="H50"/>
      <c r="I50"/>
      <c r="J50"/>
      <c r="K50" s="37">
        <f t="shared" si="2"/>
        <v>0</v>
      </c>
      <c r="L50" s="37">
        <f t="shared" si="3"/>
        <v>0</v>
      </c>
    </row>
    <row r="51" spans="1:12">
      <c r="A51"/>
      <c r="B51"/>
      <c r="C51"/>
      <c r="D51"/>
      <c r="E51"/>
      <c r="F51"/>
      <c r="G51"/>
      <c r="H51"/>
      <c r="I51"/>
      <c r="J51"/>
      <c r="K51" s="37">
        <f t="shared" si="2"/>
        <v>0</v>
      </c>
      <c r="L51" s="37">
        <f t="shared" si="3"/>
        <v>0</v>
      </c>
    </row>
    <row r="52" spans="1:12">
      <c r="A52"/>
      <c r="B52"/>
      <c r="C52"/>
      <c r="D52"/>
      <c r="E52"/>
      <c r="F52"/>
      <c r="G52"/>
      <c r="H52"/>
      <c r="I52"/>
      <c r="J52"/>
      <c r="K52" s="37">
        <f t="shared" si="2"/>
        <v>0</v>
      </c>
      <c r="L52" s="37">
        <f t="shared" si="3"/>
        <v>0</v>
      </c>
    </row>
    <row r="53" spans="1:12">
      <c r="A53"/>
      <c r="B53"/>
      <c r="C53"/>
      <c r="D53"/>
      <c r="E53"/>
      <c r="F53"/>
      <c r="G53"/>
      <c r="H53"/>
      <c r="I53"/>
      <c r="J53"/>
      <c r="K53" s="37">
        <f t="shared" si="2"/>
        <v>0</v>
      </c>
      <c r="L53" s="37">
        <f t="shared" si="3"/>
        <v>0</v>
      </c>
    </row>
    <row r="54" spans="1:12">
      <c r="A54"/>
      <c r="B54"/>
      <c r="C54"/>
      <c r="D54"/>
      <c r="E54"/>
      <c r="F54"/>
      <c r="G54"/>
      <c r="H54"/>
      <c r="I54"/>
      <c r="J54"/>
      <c r="K54" s="37">
        <f t="shared" si="2"/>
        <v>0</v>
      </c>
      <c r="L54" s="37">
        <f t="shared" si="3"/>
        <v>0</v>
      </c>
    </row>
    <row r="55" spans="1:12">
      <c r="A55"/>
      <c r="B55"/>
      <c r="C55"/>
      <c r="D55"/>
      <c r="E55"/>
      <c r="F55"/>
      <c r="G55"/>
      <c r="H55"/>
      <c r="I55"/>
      <c r="J55"/>
      <c r="K55" s="37">
        <f t="shared" si="2"/>
        <v>0</v>
      </c>
      <c r="L55" s="37">
        <f t="shared" si="3"/>
        <v>0</v>
      </c>
    </row>
    <row r="56" spans="1:12">
      <c r="A56"/>
      <c r="B56"/>
      <c r="C56"/>
      <c r="D56"/>
      <c r="E56"/>
      <c r="F56"/>
      <c r="G56"/>
      <c r="H56"/>
      <c r="I56"/>
      <c r="J56"/>
      <c r="K56" s="37">
        <f t="shared" si="2"/>
        <v>0</v>
      </c>
      <c r="L56" s="37">
        <f t="shared" si="3"/>
        <v>0</v>
      </c>
    </row>
    <row r="57" spans="1:12">
      <c r="A57"/>
      <c r="B57"/>
      <c r="C57"/>
      <c r="D57"/>
      <c r="E57"/>
      <c r="F57"/>
      <c r="G57"/>
      <c r="H57"/>
      <c r="I57"/>
      <c r="J57"/>
      <c r="K57" s="37">
        <f t="shared" si="2"/>
        <v>0</v>
      </c>
      <c r="L57" s="37">
        <f t="shared" si="3"/>
        <v>0</v>
      </c>
    </row>
    <row r="58" spans="1:12">
      <c r="A58"/>
      <c r="B58"/>
      <c r="C58"/>
      <c r="D58"/>
      <c r="E58"/>
      <c r="F58"/>
      <c r="G58"/>
      <c r="H58"/>
      <c r="I58"/>
      <c r="J58"/>
      <c r="K58" s="37">
        <f t="shared" si="2"/>
        <v>0</v>
      </c>
      <c r="L58" s="37">
        <f t="shared" si="3"/>
        <v>0</v>
      </c>
    </row>
    <row r="59" spans="1:12">
      <c r="A59"/>
      <c r="B59"/>
      <c r="C59"/>
      <c r="D59"/>
      <c r="E59"/>
      <c r="F59"/>
      <c r="G59"/>
      <c r="H59"/>
      <c r="I59"/>
      <c r="J59"/>
      <c r="K59" s="37">
        <f t="shared" si="2"/>
        <v>0</v>
      </c>
      <c r="L59" s="37">
        <f t="shared" si="3"/>
        <v>0</v>
      </c>
    </row>
    <row r="60" spans="1:12">
      <c r="A60"/>
      <c r="B60"/>
      <c r="C60"/>
      <c r="D60"/>
      <c r="E60"/>
      <c r="F60"/>
      <c r="G60"/>
      <c r="H60"/>
      <c r="I60"/>
      <c r="J60"/>
      <c r="K60" s="37">
        <f t="shared" si="2"/>
        <v>0</v>
      </c>
      <c r="L60" s="37">
        <f t="shared" si="3"/>
        <v>0</v>
      </c>
    </row>
    <row r="61" spans="1:12">
      <c r="A61"/>
      <c r="B61"/>
      <c r="C61"/>
      <c r="D61"/>
      <c r="E61"/>
      <c r="F61"/>
      <c r="G61"/>
      <c r="H61"/>
      <c r="I61"/>
      <c r="J61"/>
      <c r="K61" s="37">
        <f t="shared" si="2"/>
        <v>0</v>
      </c>
      <c r="L61" s="37">
        <f t="shared" si="3"/>
        <v>0</v>
      </c>
    </row>
    <row r="62" spans="1:12">
      <c r="A62"/>
      <c r="B62"/>
      <c r="C62"/>
      <c r="D62"/>
      <c r="E62"/>
      <c r="F62"/>
      <c r="G62"/>
      <c r="H62"/>
      <c r="I62"/>
      <c r="J62"/>
      <c r="K62" s="37">
        <f t="shared" si="2"/>
        <v>0</v>
      </c>
      <c r="L62" s="37">
        <f t="shared" si="3"/>
        <v>0</v>
      </c>
    </row>
    <row r="63" spans="1:12">
      <c r="A63"/>
      <c r="B63"/>
      <c r="C63"/>
      <c r="D63"/>
      <c r="E63"/>
      <c r="F63"/>
      <c r="G63"/>
      <c r="H63"/>
      <c r="I63"/>
      <c r="J63"/>
      <c r="K63" s="37">
        <f t="shared" si="2"/>
        <v>0</v>
      </c>
      <c r="L63" s="37">
        <f t="shared" si="3"/>
        <v>0</v>
      </c>
    </row>
    <row r="64" spans="1:12">
      <c r="A64"/>
      <c r="B64"/>
      <c r="C64"/>
      <c r="D64"/>
      <c r="E64"/>
      <c r="F64"/>
      <c r="G64"/>
      <c r="H64"/>
      <c r="I64"/>
      <c r="J64"/>
      <c r="K64" s="37">
        <f t="shared" si="2"/>
        <v>0</v>
      </c>
      <c r="L64" s="37">
        <f t="shared" si="3"/>
        <v>0</v>
      </c>
    </row>
    <row r="65" spans="1:12">
      <c r="A65"/>
      <c r="B65"/>
      <c r="C65"/>
      <c r="D65"/>
      <c r="E65"/>
      <c r="F65"/>
      <c r="G65"/>
      <c r="H65"/>
      <c r="I65"/>
      <c r="J65"/>
      <c r="K65" s="37">
        <f t="shared" si="2"/>
        <v>0</v>
      </c>
      <c r="L65" s="37">
        <f t="shared" si="3"/>
        <v>0</v>
      </c>
    </row>
    <row r="66" spans="1:12">
      <c r="A66"/>
      <c r="B66"/>
      <c r="C66"/>
      <c r="D66"/>
      <c r="E66"/>
      <c r="F66"/>
      <c r="G66"/>
      <c r="H66"/>
      <c r="I66"/>
      <c r="J66"/>
      <c r="K66" s="37">
        <f t="shared" si="2"/>
        <v>0</v>
      </c>
      <c r="L66" s="37">
        <f t="shared" si="3"/>
        <v>0</v>
      </c>
    </row>
    <row r="67" spans="1:12">
      <c r="A67"/>
      <c r="B67"/>
      <c r="C67"/>
      <c r="D67"/>
      <c r="E67"/>
      <c r="F67"/>
      <c r="G67"/>
      <c r="H67"/>
      <c r="I67"/>
      <c r="J67"/>
      <c r="K67" s="37">
        <f t="shared" si="2"/>
        <v>0</v>
      </c>
      <c r="L67" s="37">
        <f t="shared" si="3"/>
        <v>0</v>
      </c>
    </row>
    <row r="68" spans="1:12">
      <c r="A68"/>
      <c r="B68"/>
      <c r="C68"/>
      <c r="D68"/>
      <c r="E68"/>
      <c r="F68"/>
      <c r="G68"/>
      <c r="H68"/>
      <c r="I68"/>
      <c r="J68"/>
      <c r="K68" s="37">
        <f t="shared" si="2"/>
        <v>0</v>
      </c>
      <c r="L68" s="37">
        <f t="shared" si="3"/>
        <v>0</v>
      </c>
    </row>
    <row r="69" spans="1:12">
      <c r="A69"/>
      <c r="B69"/>
      <c r="C69"/>
      <c r="D69"/>
      <c r="E69"/>
      <c r="F69"/>
      <c r="G69"/>
      <c r="H69"/>
      <c r="I69"/>
      <c r="J69"/>
      <c r="K69" s="37">
        <f t="shared" ref="K69:K100" si="4">IF(G69+F69=0,0,SUM(F69:H69)/J69)</f>
        <v>0</v>
      </c>
      <c r="L69" s="37">
        <f t="shared" ref="L69:L100" si="5">IF(F69=0,0,F69/(SUM(F69:H69)))</f>
        <v>0</v>
      </c>
    </row>
    <row r="70" spans="1:12">
      <c r="A70"/>
      <c r="B70"/>
      <c r="C70"/>
      <c r="D70"/>
      <c r="E70"/>
      <c r="F70"/>
      <c r="G70"/>
      <c r="H70"/>
      <c r="I70"/>
      <c r="J70"/>
      <c r="K70" s="37">
        <f t="shared" si="4"/>
        <v>0</v>
      </c>
      <c r="L70" s="37">
        <f t="shared" si="5"/>
        <v>0</v>
      </c>
    </row>
    <row r="71" spans="1:12">
      <c r="A71"/>
      <c r="B71"/>
      <c r="C71"/>
      <c r="D71"/>
      <c r="E71"/>
      <c r="F71"/>
      <c r="G71"/>
      <c r="H71"/>
      <c r="I71"/>
      <c r="J71"/>
      <c r="K71" s="37">
        <f t="shared" si="4"/>
        <v>0</v>
      </c>
      <c r="L71" s="37">
        <f t="shared" si="5"/>
        <v>0</v>
      </c>
    </row>
    <row r="72" spans="1:12">
      <c r="A72"/>
      <c r="B72"/>
      <c r="C72"/>
      <c r="D72"/>
      <c r="E72"/>
      <c r="F72"/>
      <c r="G72"/>
      <c r="H72"/>
      <c r="I72"/>
      <c r="J72"/>
      <c r="K72" s="37">
        <f t="shared" si="4"/>
        <v>0</v>
      </c>
      <c r="L72" s="37">
        <f t="shared" si="5"/>
        <v>0</v>
      </c>
    </row>
    <row r="73" spans="1:12">
      <c r="A73"/>
      <c r="B73"/>
      <c r="C73"/>
      <c r="D73"/>
      <c r="E73"/>
      <c r="F73"/>
      <c r="G73"/>
      <c r="H73"/>
      <c r="I73"/>
      <c r="J73"/>
      <c r="K73" s="37">
        <f t="shared" si="4"/>
        <v>0</v>
      </c>
      <c r="L73" s="37">
        <f t="shared" si="5"/>
        <v>0</v>
      </c>
    </row>
    <row r="74" spans="1:12">
      <c r="A74"/>
      <c r="B74"/>
      <c r="C74"/>
      <c r="D74"/>
      <c r="E74"/>
      <c r="F74"/>
      <c r="G74"/>
      <c r="H74"/>
      <c r="I74"/>
      <c r="J74"/>
      <c r="K74" s="37">
        <f t="shared" si="4"/>
        <v>0</v>
      </c>
      <c r="L74" s="37">
        <f t="shared" si="5"/>
        <v>0</v>
      </c>
    </row>
    <row r="75" spans="1:12">
      <c r="A75"/>
      <c r="B75"/>
      <c r="C75"/>
      <c r="D75"/>
      <c r="E75"/>
      <c r="F75"/>
      <c r="G75"/>
      <c r="H75"/>
      <c r="I75"/>
      <c r="J75"/>
      <c r="K75" s="37">
        <f t="shared" si="4"/>
        <v>0</v>
      </c>
      <c r="L75" s="37">
        <f t="shared" si="5"/>
        <v>0</v>
      </c>
    </row>
    <row r="76" spans="1:12">
      <c r="A76"/>
      <c r="B76"/>
      <c r="C76"/>
      <c r="D76"/>
      <c r="E76"/>
      <c r="F76"/>
      <c r="G76"/>
      <c r="H76"/>
      <c r="I76"/>
      <c r="J76"/>
      <c r="K76" s="37">
        <f t="shared" si="4"/>
        <v>0</v>
      </c>
      <c r="L76" s="37">
        <f t="shared" si="5"/>
        <v>0</v>
      </c>
    </row>
    <row r="77" spans="1:12">
      <c r="A77"/>
      <c r="B77"/>
      <c r="C77"/>
      <c r="D77"/>
      <c r="E77"/>
      <c r="F77"/>
      <c r="G77"/>
      <c r="H77"/>
      <c r="I77"/>
      <c r="J77"/>
      <c r="K77" s="37">
        <f t="shared" si="4"/>
        <v>0</v>
      </c>
      <c r="L77" s="37">
        <f t="shared" si="5"/>
        <v>0</v>
      </c>
    </row>
    <row r="78" spans="1:12">
      <c r="A78"/>
      <c r="B78"/>
      <c r="C78"/>
      <c r="D78"/>
      <c r="E78"/>
      <c r="F78"/>
      <c r="G78"/>
      <c r="H78"/>
      <c r="I78"/>
      <c r="J78"/>
      <c r="K78" s="37">
        <f t="shared" si="4"/>
        <v>0</v>
      </c>
      <c r="L78" s="37">
        <f t="shared" si="5"/>
        <v>0</v>
      </c>
    </row>
    <row r="79" spans="1:12">
      <c r="A79"/>
      <c r="B79"/>
      <c r="C79"/>
      <c r="D79"/>
      <c r="E79"/>
      <c r="F79"/>
      <c r="G79"/>
      <c r="H79"/>
      <c r="I79"/>
      <c r="J79"/>
      <c r="K79" s="37">
        <f t="shared" si="4"/>
        <v>0</v>
      </c>
      <c r="L79" s="37">
        <f t="shared" si="5"/>
        <v>0</v>
      </c>
    </row>
    <row r="80" spans="1:12">
      <c r="A80"/>
      <c r="B80"/>
      <c r="C80"/>
      <c r="D80"/>
      <c r="E80"/>
      <c r="F80"/>
      <c r="G80"/>
      <c r="H80"/>
      <c r="I80"/>
      <c r="J80"/>
      <c r="K80" s="37">
        <f t="shared" si="4"/>
        <v>0</v>
      </c>
      <c r="L80" s="37">
        <f t="shared" si="5"/>
        <v>0</v>
      </c>
    </row>
    <row r="81" spans="1:12">
      <c r="A81"/>
      <c r="B81"/>
      <c r="C81"/>
      <c r="D81"/>
      <c r="E81"/>
      <c r="F81"/>
      <c r="G81"/>
      <c r="H81"/>
      <c r="I81"/>
      <c r="J81"/>
      <c r="K81" s="37">
        <f t="shared" si="4"/>
        <v>0</v>
      </c>
      <c r="L81" s="37">
        <f t="shared" si="5"/>
        <v>0</v>
      </c>
    </row>
    <row r="82" spans="1:12">
      <c r="A82"/>
      <c r="B82"/>
      <c r="C82"/>
      <c r="D82"/>
      <c r="E82"/>
      <c r="F82"/>
      <c r="G82"/>
      <c r="H82"/>
      <c r="I82"/>
      <c r="J82"/>
      <c r="K82" s="37">
        <f t="shared" si="4"/>
        <v>0</v>
      </c>
      <c r="L82" s="37">
        <f t="shared" si="5"/>
        <v>0</v>
      </c>
    </row>
    <row r="83" spans="1:12">
      <c r="A83"/>
      <c r="B83"/>
      <c r="C83"/>
      <c r="D83"/>
      <c r="E83"/>
      <c r="F83"/>
      <c r="G83"/>
      <c r="H83"/>
      <c r="I83"/>
      <c r="J83"/>
      <c r="K83" s="37">
        <f t="shared" si="4"/>
        <v>0</v>
      </c>
      <c r="L83" s="37">
        <f t="shared" si="5"/>
        <v>0</v>
      </c>
    </row>
    <row r="84" spans="1:12">
      <c r="A84"/>
      <c r="B84"/>
      <c r="C84"/>
      <c r="D84"/>
      <c r="E84"/>
      <c r="F84"/>
      <c r="G84"/>
      <c r="H84"/>
      <c r="I84"/>
      <c r="J84"/>
      <c r="K84" s="37">
        <f t="shared" si="4"/>
        <v>0</v>
      </c>
      <c r="L84" s="37">
        <f t="shared" si="5"/>
        <v>0</v>
      </c>
    </row>
    <row r="85" spans="1:12">
      <c r="A85"/>
      <c r="B85"/>
      <c r="C85"/>
      <c r="D85"/>
      <c r="E85"/>
      <c r="F85"/>
      <c r="G85"/>
      <c r="H85"/>
      <c r="I85"/>
      <c r="J85"/>
      <c r="K85" s="37">
        <f t="shared" si="4"/>
        <v>0</v>
      </c>
      <c r="L85" s="37">
        <f t="shared" si="5"/>
        <v>0</v>
      </c>
    </row>
    <row r="86" spans="1:12">
      <c r="A86"/>
      <c r="B86"/>
      <c r="C86"/>
      <c r="D86"/>
      <c r="E86"/>
      <c r="F86"/>
      <c r="G86"/>
      <c r="H86"/>
      <c r="I86"/>
      <c r="J86"/>
      <c r="K86" s="37">
        <f t="shared" si="4"/>
        <v>0</v>
      </c>
      <c r="L86" s="37">
        <f t="shared" si="5"/>
        <v>0</v>
      </c>
    </row>
    <row r="87" spans="1:12">
      <c r="A87"/>
      <c r="B87"/>
      <c r="C87"/>
      <c r="D87"/>
      <c r="E87"/>
      <c r="F87"/>
      <c r="G87"/>
      <c r="H87"/>
      <c r="I87"/>
      <c r="J87"/>
      <c r="K87" s="37">
        <f t="shared" si="4"/>
        <v>0</v>
      </c>
      <c r="L87" s="37">
        <f t="shared" si="5"/>
        <v>0</v>
      </c>
    </row>
    <row r="88" spans="1:12">
      <c r="A88"/>
      <c r="B88"/>
      <c r="C88"/>
      <c r="D88"/>
      <c r="E88"/>
      <c r="F88"/>
      <c r="G88"/>
      <c r="H88"/>
      <c r="I88"/>
      <c r="J88"/>
      <c r="K88" s="37">
        <f t="shared" si="4"/>
        <v>0</v>
      </c>
      <c r="L88" s="37">
        <f t="shared" si="5"/>
        <v>0</v>
      </c>
    </row>
    <row r="89" spans="1:12">
      <c r="A89"/>
      <c r="B89"/>
      <c r="C89"/>
      <c r="D89"/>
      <c r="E89"/>
      <c r="F89"/>
      <c r="G89"/>
      <c r="H89"/>
      <c r="I89"/>
      <c r="J89"/>
      <c r="K89" s="37">
        <f t="shared" si="4"/>
        <v>0</v>
      </c>
      <c r="L89" s="37">
        <f t="shared" si="5"/>
        <v>0</v>
      </c>
    </row>
    <row r="90" spans="1:12">
      <c r="A90"/>
      <c r="B90"/>
      <c r="C90"/>
      <c r="D90"/>
      <c r="E90"/>
      <c r="F90"/>
      <c r="G90"/>
      <c r="H90"/>
      <c r="I90"/>
      <c r="J90"/>
      <c r="K90" s="37">
        <f t="shared" si="4"/>
        <v>0</v>
      </c>
      <c r="L90" s="37">
        <f t="shared" si="5"/>
        <v>0</v>
      </c>
    </row>
    <row r="91" spans="1:12">
      <c r="A91"/>
      <c r="B91"/>
      <c r="C91"/>
      <c r="D91"/>
      <c r="E91"/>
      <c r="F91"/>
      <c r="G91"/>
      <c r="H91"/>
      <c r="I91"/>
      <c r="J91"/>
      <c r="K91" s="37">
        <f t="shared" si="4"/>
        <v>0</v>
      </c>
      <c r="L91" s="37">
        <f t="shared" si="5"/>
        <v>0</v>
      </c>
    </row>
    <row r="92" spans="1:12">
      <c r="A92"/>
      <c r="B92"/>
      <c r="C92"/>
      <c r="D92"/>
      <c r="E92"/>
      <c r="F92"/>
      <c r="G92"/>
      <c r="H92"/>
      <c r="I92"/>
      <c r="J92"/>
      <c r="K92" s="37">
        <f t="shared" si="4"/>
        <v>0</v>
      </c>
      <c r="L92" s="37">
        <f t="shared" si="5"/>
        <v>0</v>
      </c>
    </row>
    <row r="93" spans="1:12">
      <c r="A93"/>
      <c r="B93"/>
      <c r="C93"/>
      <c r="D93"/>
      <c r="E93"/>
      <c r="F93"/>
      <c r="G93"/>
      <c r="H93"/>
      <c r="I93"/>
      <c r="J93"/>
      <c r="K93" s="37">
        <f t="shared" si="4"/>
        <v>0</v>
      </c>
      <c r="L93" s="37">
        <f t="shared" si="5"/>
        <v>0</v>
      </c>
    </row>
    <row r="94" spans="1:12">
      <c r="A94"/>
      <c r="B94"/>
      <c r="C94"/>
      <c r="D94"/>
      <c r="E94"/>
      <c r="F94"/>
      <c r="G94"/>
      <c r="H94"/>
      <c r="I94"/>
      <c r="J94"/>
      <c r="K94" s="37">
        <f t="shared" si="4"/>
        <v>0</v>
      </c>
      <c r="L94" s="37">
        <f t="shared" si="5"/>
        <v>0</v>
      </c>
    </row>
    <row r="95" spans="1:12">
      <c r="A95"/>
      <c r="B95"/>
      <c r="C95"/>
      <c r="D95"/>
      <c r="E95"/>
      <c r="F95"/>
      <c r="G95"/>
      <c r="H95"/>
      <c r="I95"/>
      <c r="J95"/>
      <c r="K95" s="37">
        <f t="shared" si="4"/>
        <v>0</v>
      </c>
      <c r="L95" s="37">
        <f t="shared" si="5"/>
        <v>0</v>
      </c>
    </row>
    <row r="96" spans="1:12">
      <c r="A96"/>
      <c r="B96"/>
      <c r="C96"/>
      <c r="D96"/>
      <c r="E96"/>
      <c r="F96"/>
      <c r="G96"/>
      <c r="H96"/>
      <c r="I96"/>
      <c r="J96"/>
      <c r="K96" s="37">
        <f t="shared" si="4"/>
        <v>0</v>
      </c>
      <c r="L96" s="37">
        <f t="shared" si="5"/>
        <v>0</v>
      </c>
    </row>
    <row r="97" spans="1:12">
      <c r="A97"/>
      <c r="B97"/>
      <c r="C97"/>
      <c r="D97"/>
      <c r="E97"/>
      <c r="F97"/>
      <c r="G97"/>
      <c r="H97"/>
      <c r="I97"/>
      <c r="J97"/>
      <c r="K97" s="37">
        <f t="shared" si="4"/>
        <v>0</v>
      </c>
      <c r="L97" s="37">
        <f t="shared" si="5"/>
        <v>0</v>
      </c>
    </row>
    <row r="98" spans="1:12">
      <c r="A98"/>
      <c r="B98"/>
      <c r="C98"/>
      <c r="D98"/>
      <c r="E98"/>
      <c r="F98"/>
      <c r="G98"/>
      <c r="H98"/>
      <c r="I98"/>
      <c r="J98"/>
      <c r="K98" s="37">
        <f t="shared" si="4"/>
        <v>0</v>
      </c>
      <c r="L98" s="37">
        <f t="shared" si="5"/>
        <v>0</v>
      </c>
    </row>
    <row r="99" spans="1:12">
      <c r="A99"/>
      <c r="B99"/>
      <c r="C99"/>
      <c r="D99"/>
      <c r="E99"/>
      <c r="F99"/>
      <c r="G99"/>
      <c r="H99"/>
      <c r="I99"/>
      <c r="J99"/>
      <c r="K99" s="37">
        <f t="shared" si="4"/>
        <v>0</v>
      </c>
      <c r="L99" s="37">
        <f t="shared" si="5"/>
        <v>0</v>
      </c>
    </row>
    <row r="100" spans="1:12">
      <c r="A100"/>
      <c r="B100"/>
      <c r="C100"/>
      <c r="D100"/>
      <c r="E100"/>
      <c r="F100"/>
      <c r="G100"/>
      <c r="H100"/>
      <c r="I100"/>
      <c r="J100"/>
      <c r="K100" s="37">
        <f t="shared" si="4"/>
        <v>0</v>
      </c>
      <c r="L100" s="37">
        <f t="shared" si="5"/>
        <v>0</v>
      </c>
    </row>
    <row r="101" spans="1:12">
      <c r="A101"/>
      <c r="B101"/>
      <c r="C101"/>
      <c r="D101"/>
      <c r="E101"/>
      <c r="F101"/>
      <c r="G101"/>
      <c r="H101"/>
      <c r="I101"/>
      <c r="J101"/>
      <c r="K101" s="37">
        <f t="shared" ref="K101:K132" si="6">IF(G101+F101=0,0,SUM(F101:H101)/J101)</f>
        <v>0</v>
      </c>
      <c r="L101" s="37">
        <f t="shared" ref="L101:L132" si="7">IF(F101=0,0,F101/(SUM(F101:H101)))</f>
        <v>0</v>
      </c>
    </row>
    <row r="102" spans="1:12">
      <c r="A102"/>
      <c r="B102"/>
      <c r="C102"/>
      <c r="D102"/>
      <c r="E102"/>
      <c r="F102"/>
      <c r="G102"/>
      <c r="H102"/>
      <c r="I102"/>
      <c r="J102"/>
      <c r="K102" s="37">
        <f t="shared" si="6"/>
        <v>0</v>
      </c>
      <c r="L102" s="37">
        <f t="shared" si="7"/>
        <v>0</v>
      </c>
    </row>
    <row r="103" spans="1:12">
      <c r="A103"/>
      <c r="B103"/>
      <c r="C103"/>
      <c r="D103"/>
      <c r="E103"/>
      <c r="F103"/>
      <c r="G103"/>
      <c r="H103"/>
      <c r="I103"/>
      <c r="J103"/>
      <c r="K103" s="37">
        <f t="shared" si="6"/>
        <v>0</v>
      </c>
      <c r="L103" s="37">
        <f t="shared" si="7"/>
        <v>0</v>
      </c>
    </row>
    <row r="104" spans="1:12">
      <c r="A104"/>
      <c r="B104"/>
      <c r="C104"/>
      <c r="D104"/>
      <c r="E104"/>
      <c r="F104"/>
      <c r="G104"/>
      <c r="H104"/>
      <c r="I104"/>
      <c r="J104"/>
      <c r="K104" s="37">
        <f t="shared" si="6"/>
        <v>0</v>
      </c>
      <c r="L104" s="37">
        <f t="shared" si="7"/>
        <v>0</v>
      </c>
    </row>
    <row r="105" spans="1:12">
      <c r="A105"/>
      <c r="B105"/>
      <c r="C105"/>
      <c r="D105"/>
      <c r="E105"/>
      <c r="F105"/>
      <c r="G105"/>
      <c r="H105"/>
      <c r="I105"/>
      <c r="J105"/>
      <c r="K105" s="37">
        <f t="shared" si="6"/>
        <v>0</v>
      </c>
      <c r="L105" s="37">
        <f t="shared" si="7"/>
        <v>0</v>
      </c>
    </row>
    <row r="106" spans="1:12">
      <c r="A106"/>
      <c r="B106"/>
      <c r="C106"/>
      <c r="D106"/>
      <c r="E106"/>
      <c r="F106"/>
      <c r="G106"/>
      <c r="H106"/>
      <c r="I106"/>
      <c r="J106"/>
      <c r="K106" s="37">
        <f t="shared" si="6"/>
        <v>0</v>
      </c>
      <c r="L106" s="37">
        <f t="shared" si="7"/>
        <v>0</v>
      </c>
    </row>
    <row r="107" spans="1:12">
      <c r="A107"/>
      <c r="B107"/>
      <c r="C107"/>
      <c r="D107"/>
      <c r="E107"/>
      <c r="F107"/>
      <c r="G107"/>
      <c r="H107"/>
      <c r="I107"/>
      <c r="J107"/>
      <c r="K107" s="37">
        <f t="shared" si="6"/>
        <v>0</v>
      </c>
      <c r="L107" s="37">
        <f t="shared" si="7"/>
        <v>0</v>
      </c>
    </row>
    <row r="108" spans="1:12">
      <c r="A108"/>
      <c r="B108"/>
      <c r="C108"/>
      <c r="D108"/>
      <c r="E108"/>
      <c r="F108"/>
      <c r="G108"/>
      <c r="H108"/>
      <c r="I108"/>
      <c r="J108"/>
      <c r="K108" s="37">
        <f t="shared" si="6"/>
        <v>0</v>
      </c>
      <c r="L108" s="37">
        <f t="shared" si="7"/>
        <v>0</v>
      </c>
    </row>
    <row r="109" spans="1:12">
      <c r="A109"/>
      <c r="B109"/>
      <c r="C109"/>
      <c r="D109"/>
      <c r="E109"/>
      <c r="F109"/>
      <c r="G109"/>
      <c r="H109"/>
      <c r="I109"/>
      <c r="J109"/>
      <c r="K109" s="37">
        <f t="shared" si="6"/>
        <v>0</v>
      </c>
      <c r="L109" s="37">
        <f t="shared" si="7"/>
        <v>0</v>
      </c>
    </row>
    <row r="110" spans="1:12">
      <c r="A110"/>
      <c r="B110"/>
      <c r="C110"/>
      <c r="D110"/>
      <c r="E110"/>
      <c r="F110"/>
      <c r="G110"/>
      <c r="H110"/>
      <c r="I110"/>
      <c r="J110"/>
      <c r="K110" s="37">
        <f t="shared" si="6"/>
        <v>0</v>
      </c>
      <c r="L110" s="37">
        <f t="shared" si="7"/>
        <v>0</v>
      </c>
    </row>
    <row r="111" spans="1:12">
      <c r="A111"/>
      <c r="B111"/>
      <c r="C111"/>
      <c r="D111"/>
      <c r="E111"/>
      <c r="F111"/>
      <c r="G111"/>
      <c r="H111"/>
      <c r="I111"/>
      <c r="J111"/>
      <c r="K111" s="37">
        <f t="shared" si="6"/>
        <v>0</v>
      </c>
      <c r="L111" s="37">
        <f t="shared" si="7"/>
        <v>0</v>
      </c>
    </row>
    <row r="112" spans="1:12">
      <c r="A112"/>
      <c r="B112"/>
      <c r="C112"/>
      <c r="D112"/>
      <c r="E112"/>
      <c r="F112"/>
      <c r="G112"/>
      <c r="H112"/>
      <c r="I112"/>
      <c r="J112"/>
      <c r="K112" s="37">
        <f t="shared" si="6"/>
        <v>0</v>
      </c>
      <c r="L112" s="37">
        <f t="shared" si="7"/>
        <v>0</v>
      </c>
    </row>
    <row r="113" spans="1:12">
      <c r="A113"/>
      <c r="B113"/>
      <c r="C113"/>
      <c r="D113"/>
      <c r="E113"/>
      <c r="F113"/>
      <c r="G113"/>
      <c r="H113"/>
      <c r="I113"/>
      <c r="J113"/>
      <c r="K113" s="37">
        <f t="shared" si="6"/>
        <v>0</v>
      </c>
      <c r="L113" s="37">
        <f t="shared" si="7"/>
        <v>0</v>
      </c>
    </row>
    <row r="114" spans="1:12">
      <c r="A114"/>
      <c r="B114"/>
      <c r="C114"/>
      <c r="D114"/>
      <c r="E114"/>
      <c r="F114"/>
      <c r="G114"/>
      <c r="H114"/>
      <c r="I114"/>
      <c r="J114"/>
      <c r="K114" s="37">
        <f t="shared" si="6"/>
        <v>0</v>
      </c>
      <c r="L114" s="37">
        <f t="shared" si="7"/>
        <v>0</v>
      </c>
    </row>
    <row r="115" spans="1:12">
      <c r="A115"/>
      <c r="B115"/>
      <c r="C115"/>
      <c r="D115"/>
      <c r="E115"/>
      <c r="F115"/>
      <c r="G115"/>
      <c r="H115"/>
      <c r="I115"/>
      <c r="J115"/>
      <c r="K115" s="37">
        <f t="shared" si="6"/>
        <v>0</v>
      </c>
      <c r="L115" s="37">
        <f t="shared" si="7"/>
        <v>0</v>
      </c>
    </row>
    <row r="116" spans="1:12">
      <c r="A116"/>
      <c r="B116"/>
      <c r="C116"/>
      <c r="D116"/>
      <c r="E116"/>
      <c r="F116"/>
      <c r="G116"/>
      <c r="H116"/>
      <c r="I116"/>
      <c r="J116"/>
      <c r="K116" s="37">
        <f t="shared" si="6"/>
        <v>0</v>
      </c>
      <c r="L116" s="37">
        <f t="shared" si="7"/>
        <v>0</v>
      </c>
    </row>
    <row r="117" spans="1:12">
      <c r="A117"/>
      <c r="B117"/>
      <c r="C117"/>
      <c r="D117"/>
      <c r="E117"/>
      <c r="F117"/>
      <c r="G117"/>
      <c r="H117"/>
      <c r="I117"/>
      <c r="J117"/>
      <c r="K117" s="37">
        <f t="shared" si="6"/>
        <v>0</v>
      </c>
      <c r="L117" s="37">
        <f t="shared" si="7"/>
        <v>0</v>
      </c>
    </row>
    <row r="118" spans="1:12">
      <c r="A118"/>
      <c r="B118"/>
      <c r="C118"/>
      <c r="D118"/>
      <c r="E118"/>
      <c r="F118"/>
      <c r="G118"/>
      <c r="H118"/>
      <c r="I118"/>
      <c r="J118"/>
      <c r="K118" s="37">
        <f t="shared" si="6"/>
        <v>0</v>
      </c>
      <c r="L118" s="37">
        <f t="shared" si="7"/>
        <v>0</v>
      </c>
    </row>
    <row r="119" spans="1:12">
      <c r="A119"/>
      <c r="B119"/>
      <c r="C119"/>
      <c r="D119"/>
      <c r="E119"/>
      <c r="F119"/>
      <c r="G119"/>
      <c r="H119"/>
      <c r="I119"/>
      <c r="J119"/>
      <c r="K119" s="37">
        <f t="shared" si="6"/>
        <v>0</v>
      </c>
      <c r="L119" s="37">
        <f t="shared" si="7"/>
        <v>0</v>
      </c>
    </row>
    <row r="120" spans="1:12">
      <c r="A120"/>
      <c r="B120"/>
      <c r="C120"/>
      <c r="D120"/>
      <c r="E120"/>
      <c r="F120"/>
      <c r="G120"/>
      <c r="H120"/>
      <c r="I120"/>
      <c r="J120"/>
      <c r="K120" s="37">
        <f t="shared" si="6"/>
        <v>0</v>
      </c>
      <c r="L120" s="37">
        <f t="shared" si="7"/>
        <v>0</v>
      </c>
    </row>
    <row r="121" spans="1:12">
      <c r="A121"/>
      <c r="B121"/>
      <c r="C121"/>
      <c r="D121"/>
      <c r="E121"/>
      <c r="F121"/>
      <c r="G121"/>
      <c r="H121"/>
      <c r="I121"/>
      <c r="J121"/>
      <c r="K121" s="37">
        <f t="shared" si="6"/>
        <v>0</v>
      </c>
      <c r="L121" s="37">
        <f t="shared" si="7"/>
        <v>0</v>
      </c>
    </row>
    <row r="122" spans="1:12">
      <c r="A122"/>
      <c r="B122"/>
      <c r="C122"/>
      <c r="D122"/>
      <c r="E122"/>
      <c r="F122"/>
      <c r="G122"/>
      <c r="H122"/>
      <c r="I122"/>
      <c r="J122"/>
      <c r="K122" s="37">
        <f t="shared" si="6"/>
        <v>0</v>
      </c>
      <c r="L122" s="37">
        <f t="shared" si="7"/>
        <v>0</v>
      </c>
    </row>
    <row r="123" spans="1:12">
      <c r="A123"/>
      <c r="B123"/>
      <c r="C123"/>
      <c r="D123"/>
      <c r="E123"/>
      <c r="F123"/>
      <c r="G123"/>
      <c r="H123"/>
      <c r="I123"/>
      <c r="J123"/>
      <c r="K123" s="37">
        <f t="shared" si="6"/>
        <v>0</v>
      </c>
      <c r="L123" s="37">
        <f t="shared" si="7"/>
        <v>0</v>
      </c>
    </row>
    <row r="124" spans="1:12">
      <c r="A124"/>
      <c r="B124"/>
      <c r="C124"/>
      <c r="D124"/>
      <c r="E124"/>
      <c r="F124"/>
      <c r="G124"/>
      <c r="H124"/>
      <c r="I124"/>
      <c r="J124"/>
      <c r="K124" s="37">
        <f t="shared" si="6"/>
        <v>0</v>
      </c>
      <c r="L124" s="37">
        <f t="shared" si="7"/>
        <v>0</v>
      </c>
    </row>
    <row r="125" spans="1:12">
      <c r="A125"/>
      <c r="B125"/>
      <c r="C125"/>
      <c r="D125"/>
      <c r="E125"/>
      <c r="F125"/>
      <c r="G125"/>
      <c r="H125"/>
      <c r="I125"/>
      <c r="J125"/>
      <c r="K125" s="37">
        <f t="shared" si="6"/>
        <v>0</v>
      </c>
      <c r="L125" s="37">
        <f t="shared" si="7"/>
        <v>0</v>
      </c>
    </row>
    <row r="126" spans="1:12">
      <c r="A126"/>
      <c r="B126"/>
      <c r="C126"/>
      <c r="D126"/>
      <c r="E126"/>
      <c r="F126"/>
      <c r="G126"/>
      <c r="H126"/>
      <c r="I126"/>
      <c r="J126"/>
      <c r="K126" s="37">
        <f t="shared" si="6"/>
        <v>0</v>
      </c>
      <c r="L126" s="37">
        <f t="shared" si="7"/>
        <v>0</v>
      </c>
    </row>
    <row r="127" spans="1:12">
      <c r="A127"/>
      <c r="B127"/>
      <c r="C127"/>
      <c r="D127"/>
      <c r="E127"/>
      <c r="F127"/>
      <c r="G127"/>
      <c r="H127"/>
      <c r="I127"/>
      <c r="J127"/>
      <c r="K127" s="37">
        <f t="shared" si="6"/>
        <v>0</v>
      </c>
      <c r="L127" s="37">
        <f t="shared" si="7"/>
        <v>0</v>
      </c>
    </row>
    <row r="128" spans="1:12">
      <c r="A128"/>
      <c r="B128"/>
      <c r="C128"/>
      <c r="D128"/>
      <c r="E128"/>
      <c r="F128"/>
      <c r="G128"/>
      <c r="H128"/>
      <c r="I128"/>
      <c r="J128"/>
      <c r="K128" s="37">
        <f t="shared" si="6"/>
        <v>0</v>
      </c>
      <c r="L128" s="37">
        <f t="shared" si="7"/>
        <v>0</v>
      </c>
    </row>
    <row r="129" spans="1:12">
      <c r="A129"/>
      <c r="B129"/>
      <c r="C129"/>
      <c r="D129"/>
      <c r="E129"/>
      <c r="F129"/>
      <c r="G129"/>
      <c r="H129"/>
      <c r="I129"/>
      <c r="J129"/>
      <c r="K129" s="37">
        <f t="shared" si="6"/>
        <v>0</v>
      </c>
      <c r="L129" s="37">
        <f t="shared" si="7"/>
        <v>0</v>
      </c>
    </row>
    <row r="130" spans="1:12">
      <c r="A130"/>
      <c r="B130"/>
      <c r="C130"/>
      <c r="D130"/>
      <c r="E130"/>
      <c r="F130"/>
      <c r="G130"/>
      <c r="H130"/>
      <c r="I130"/>
      <c r="J130"/>
      <c r="K130" s="37">
        <f t="shared" si="6"/>
        <v>0</v>
      </c>
      <c r="L130" s="37">
        <f t="shared" si="7"/>
        <v>0</v>
      </c>
    </row>
    <row r="131" spans="1:12">
      <c r="A131"/>
      <c r="B131"/>
      <c r="C131"/>
      <c r="D131"/>
      <c r="E131"/>
      <c r="F131"/>
      <c r="G131"/>
      <c r="H131"/>
      <c r="I131"/>
      <c r="J131"/>
      <c r="K131" s="37">
        <f t="shared" si="6"/>
        <v>0</v>
      </c>
      <c r="L131" s="37">
        <f t="shared" si="7"/>
        <v>0</v>
      </c>
    </row>
    <row r="132" spans="1:12">
      <c r="A132"/>
      <c r="B132"/>
      <c r="C132"/>
      <c r="D132"/>
      <c r="E132"/>
      <c r="F132"/>
      <c r="G132"/>
      <c r="H132"/>
      <c r="I132"/>
      <c r="J132"/>
      <c r="K132" s="37">
        <f t="shared" si="6"/>
        <v>0</v>
      </c>
      <c r="L132" s="37">
        <f t="shared" si="7"/>
        <v>0</v>
      </c>
    </row>
    <row r="133" spans="1:12" ht="14.45">
      <c r="A133"/>
      <c r="B133"/>
      <c r="C133"/>
      <c r="D133"/>
      <c r="E133"/>
      <c r="F133"/>
      <c r="G133"/>
      <c r="H133"/>
      <c r="I133"/>
      <c r="J133"/>
      <c r="K133" s="37">
        <f>IF(G133+H133=0,0,SUM(G133:H133)/#REF!)</f>
        <v>0</v>
      </c>
      <c r="L133" s="37">
        <f t="shared" ref="L133:L164" si="8">IF(G133=0,0,G133/(SUM(G133:I133)))</f>
        <v>0</v>
      </c>
    </row>
    <row r="134" spans="1:12" ht="14.45">
      <c r="A134"/>
      <c r="B134"/>
      <c r="C134"/>
      <c r="D134"/>
      <c r="E134"/>
      <c r="F134"/>
      <c r="G134"/>
      <c r="H134"/>
      <c r="I134"/>
      <c r="J134"/>
      <c r="K134" s="37">
        <f>IF(G134+H134=0,0,SUM(G134:H134)/#REF!)</f>
        <v>0</v>
      </c>
      <c r="L134" s="37">
        <f t="shared" si="8"/>
        <v>0</v>
      </c>
    </row>
    <row r="135" spans="1:12" ht="14.45">
      <c r="A135"/>
      <c r="B135"/>
      <c r="C135"/>
      <c r="D135"/>
      <c r="E135"/>
      <c r="F135"/>
      <c r="G135"/>
      <c r="H135"/>
      <c r="I135"/>
      <c r="J135"/>
      <c r="K135" s="37">
        <f>IF(G135+H135=0,0,SUM(G135:H135)/#REF!)</f>
        <v>0</v>
      </c>
      <c r="L135" s="37">
        <f t="shared" si="8"/>
        <v>0</v>
      </c>
    </row>
    <row r="136" spans="1:12" ht="14.45">
      <c r="A136"/>
      <c r="B136"/>
      <c r="C136"/>
      <c r="D136"/>
      <c r="E136"/>
      <c r="F136"/>
      <c r="G136"/>
      <c r="H136"/>
      <c r="I136"/>
      <c r="J136"/>
      <c r="K136" s="37">
        <f>IF(G136+H136=0,0,SUM(G136:H136)/#REF!)</f>
        <v>0</v>
      </c>
      <c r="L136" s="37">
        <f t="shared" si="8"/>
        <v>0</v>
      </c>
    </row>
    <row r="137" spans="1:12" ht="14.45">
      <c r="A137"/>
      <c r="B137"/>
      <c r="C137"/>
      <c r="D137"/>
      <c r="E137"/>
      <c r="F137"/>
      <c r="G137"/>
      <c r="H137"/>
      <c r="I137"/>
      <c r="J137"/>
      <c r="K137" s="37">
        <f>IF(G137+H137=0,0,SUM(G137:H137)/#REF!)</f>
        <v>0</v>
      </c>
      <c r="L137" s="37">
        <f t="shared" si="8"/>
        <v>0</v>
      </c>
    </row>
    <row r="138" spans="1:12" ht="14.45">
      <c r="A138"/>
      <c r="B138"/>
      <c r="C138"/>
      <c r="D138"/>
      <c r="E138"/>
      <c r="F138"/>
      <c r="G138"/>
      <c r="H138"/>
      <c r="I138"/>
      <c r="J138"/>
      <c r="K138" s="37">
        <f>IF(G138+H138=0,0,SUM(G138:H138)/#REF!)</f>
        <v>0</v>
      </c>
      <c r="L138" s="37">
        <f t="shared" si="8"/>
        <v>0</v>
      </c>
    </row>
    <row r="139" spans="1:12" ht="14.45">
      <c r="A139"/>
      <c r="B139"/>
      <c r="C139"/>
      <c r="D139"/>
      <c r="E139"/>
      <c r="F139"/>
      <c r="G139"/>
      <c r="H139"/>
      <c r="I139"/>
      <c r="J139"/>
      <c r="K139" s="37">
        <f>IF(G139+H139=0,0,SUM(G139:H139)/#REF!)</f>
        <v>0</v>
      </c>
      <c r="L139" s="37">
        <f t="shared" si="8"/>
        <v>0</v>
      </c>
    </row>
    <row r="140" spans="1:12" ht="14.45">
      <c r="A140"/>
      <c r="B140"/>
      <c r="C140"/>
      <c r="D140"/>
      <c r="E140"/>
      <c r="F140"/>
      <c r="G140"/>
      <c r="H140"/>
      <c r="I140"/>
      <c r="J140"/>
      <c r="K140" s="37">
        <f>IF(G140+H140=0,0,SUM(G140:H140)/#REF!)</f>
        <v>0</v>
      </c>
      <c r="L140" s="37">
        <f t="shared" si="8"/>
        <v>0</v>
      </c>
    </row>
    <row r="141" spans="1:12" ht="14.45">
      <c r="A141"/>
      <c r="B141"/>
      <c r="C141"/>
      <c r="D141"/>
      <c r="E141"/>
      <c r="F141"/>
      <c r="G141"/>
      <c r="H141"/>
      <c r="I141"/>
      <c r="J141"/>
      <c r="K141" s="37">
        <f>IF(G141+H141=0,0,SUM(G141:H141)/#REF!)</f>
        <v>0</v>
      </c>
      <c r="L141" s="37">
        <f t="shared" si="8"/>
        <v>0</v>
      </c>
    </row>
    <row r="142" spans="1:12" ht="14.45">
      <c r="A142"/>
      <c r="B142"/>
      <c r="C142"/>
      <c r="D142"/>
      <c r="E142"/>
      <c r="F142"/>
      <c r="G142"/>
      <c r="H142"/>
      <c r="I142"/>
      <c r="J142"/>
      <c r="K142" s="37">
        <f>IF(G142+H142=0,0,SUM(G142:H142)/#REF!)</f>
        <v>0</v>
      </c>
      <c r="L142" s="37">
        <f t="shared" si="8"/>
        <v>0</v>
      </c>
    </row>
    <row r="143" spans="1:12" ht="14.45">
      <c r="A143"/>
      <c r="B143"/>
      <c r="C143"/>
      <c r="D143"/>
      <c r="E143"/>
      <c r="F143"/>
      <c r="G143"/>
      <c r="H143"/>
      <c r="I143"/>
      <c r="J143"/>
      <c r="K143" s="37">
        <f>IF(G143+H143=0,0,SUM(G143:H143)/#REF!)</f>
        <v>0</v>
      </c>
      <c r="L143" s="37">
        <f t="shared" si="8"/>
        <v>0</v>
      </c>
    </row>
    <row r="144" spans="1:12" ht="14.45">
      <c r="A144"/>
      <c r="B144"/>
      <c r="C144"/>
      <c r="D144"/>
      <c r="E144"/>
      <c r="F144"/>
      <c r="G144"/>
      <c r="H144"/>
      <c r="I144"/>
      <c r="J144"/>
      <c r="K144" s="37">
        <f>IF(G144+H144=0,0,SUM(G144:H144)/#REF!)</f>
        <v>0</v>
      </c>
      <c r="L144" s="37">
        <f t="shared" si="8"/>
        <v>0</v>
      </c>
    </row>
    <row r="145" spans="1:12" ht="14.45">
      <c r="A145"/>
      <c r="B145"/>
      <c r="C145"/>
      <c r="D145"/>
      <c r="E145"/>
      <c r="F145"/>
      <c r="G145"/>
      <c r="H145"/>
      <c r="I145"/>
      <c r="J145"/>
      <c r="K145" s="37">
        <f>IF(G145+H145=0,0,SUM(G145:H145)/#REF!)</f>
        <v>0</v>
      </c>
      <c r="L145" s="37">
        <f t="shared" si="8"/>
        <v>0</v>
      </c>
    </row>
    <row r="146" spans="1:12" ht="14.45">
      <c r="A146"/>
      <c r="B146"/>
      <c r="C146"/>
      <c r="D146"/>
      <c r="E146"/>
      <c r="F146"/>
      <c r="G146"/>
      <c r="H146"/>
      <c r="I146"/>
      <c r="J146"/>
      <c r="K146" s="37">
        <f>IF(G146+H146=0,0,SUM(G146:H146)/#REF!)</f>
        <v>0</v>
      </c>
      <c r="L146" s="37">
        <f t="shared" si="8"/>
        <v>0</v>
      </c>
    </row>
    <row r="147" spans="1:12" ht="14.45">
      <c r="A147"/>
      <c r="B147"/>
      <c r="C147"/>
      <c r="D147"/>
      <c r="E147"/>
      <c r="F147"/>
      <c r="G147"/>
      <c r="H147"/>
      <c r="I147"/>
      <c r="J147"/>
      <c r="K147" s="37">
        <f>IF(G147+H147=0,0,SUM(G147:H147)/#REF!)</f>
        <v>0</v>
      </c>
      <c r="L147" s="37">
        <f t="shared" si="8"/>
        <v>0</v>
      </c>
    </row>
    <row r="148" spans="1:12" ht="14.45">
      <c r="A148"/>
      <c r="B148"/>
      <c r="C148"/>
      <c r="D148"/>
      <c r="E148"/>
      <c r="F148"/>
      <c r="G148"/>
      <c r="H148"/>
      <c r="I148"/>
      <c r="J148"/>
      <c r="K148" s="37">
        <f>IF(G148+H148=0,0,SUM(G148:H148)/#REF!)</f>
        <v>0</v>
      </c>
      <c r="L148" s="37">
        <f t="shared" si="8"/>
        <v>0</v>
      </c>
    </row>
    <row r="149" spans="1:12" ht="14.45">
      <c r="A149"/>
      <c r="B149"/>
      <c r="C149"/>
      <c r="D149"/>
      <c r="E149"/>
      <c r="F149"/>
      <c r="G149"/>
      <c r="H149"/>
      <c r="I149"/>
      <c r="J149"/>
      <c r="K149" s="37">
        <f>IF(G149+H149=0,0,SUM(G149:H149)/#REF!)</f>
        <v>0</v>
      </c>
      <c r="L149" s="37">
        <f t="shared" si="8"/>
        <v>0</v>
      </c>
    </row>
    <row r="150" spans="1:12" ht="14.45">
      <c r="A150"/>
      <c r="B150"/>
      <c r="C150"/>
      <c r="D150"/>
      <c r="E150"/>
      <c r="F150"/>
      <c r="G150"/>
      <c r="H150"/>
      <c r="I150"/>
      <c r="J150"/>
      <c r="K150" s="37">
        <f>IF(G150+H150=0,0,SUM(G150:H150)/#REF!)</f>
        <v>0</v>
      </c>
      <c r="L150" s="37">
        <f t="shared" si="8"/>
        <v>0</v>
      </c>
    </row>
    <row r="151" spans="1:12" ht="14.45">
      <c r="A151"/>
      <c r="B151"/>
      <c r="C151"/>
      <c r="D151"/>
      <c r="E151"/>
      <c r="F151"/>
      <c r="G151"/>
      <c r="H151"/>
      <c r="I151"/>
      <c r="J151"/>
      <c r="K151" s="37">
        <f>IF(G151+H151=0,0,SUM(G151:H151)/#REF!)</f>
        <v>0</v>
      </c>
      <c r="L151" s="37">
        <f t="shared" si="8"/>
        <v>0</v>
      </c>
    </row>
    <row r="152" spans="1:12" ht="14.45">
      <c r="A152"/>
      <c r="B152"/>
      <c r="C152"/>
      <c r="D152"/>
      <c r="E152"/>
      <c r="F152"/>
      <c r="G152"/>
      <c r="H152"/>
      <c r="I152"/>
      <c r="J152"/>
      <c r="K152" s="37">
        <f>IF(G152+H152=0,0,SUM(G152:H152)/#REF!)</f>
        <v>0</v>
      </c>
      <c r="L152" s="37">
        <f t="shared" si="8"/>
        <v>0</v>
      </c>
    </row>
    <row r="153" spans="1:12" ht="14.45">
      <c r="A153"/>
      <c r="B153"/>
      <c r="C153"/>
      <c r="D153"/>
      <c r="E153"/>
      <c r="F153"/>
      <c r="G153"/>
      <c r="H153"/>
      <c r="I153"/>
      <c r="J153"/>
      <c r="K153" s="37">
        <f>IF(G153+H153=0,0,SUM(G153:H153)/#REF!)</f>
        <v>0</v>
      </c>
      <c r="L153" s="37">
        <f t="shared" si="8"/>
        <v>0</v>
      </c>
    </row>
    <row r="154" spans="1:12" ht="14.45">
      <c r="A154"/>
      <c r="B154"/>
      <c r="C154"/>
      <c r="D154"/>
      <c r="E154"/>
      <c r="F154"/>
      <c r="G154"/>
      <c r="H154"/>
      <c r="I154"/>
      <c r="J154"/>
      <c r="K154" s="37">
        <f>IF(G154+H154=0,0,SUM(G154:H154)/#REF!)</f>
        <v>0</v>
      </c>
      <c r="L154" s="37">
        <f t="shared" si="8"/>
        <v>0</v>
      </c>
    </row>
    <row r="155" spans="1:12" ht="14.45">
      <c r="A155"/>
      <c r="B155"/>
      <c r="C155"/>
      <c r="D155"/>
      <c r="E155"/>
      <c r="F155"/>
      <c r="G155"/>
      <c r="H155"/>
      <c r="I155"/>
      <c r="J155"/>
      <c r="K155" s="37">
        <f>IF(G155+H155=0,0,SUM(G155:H155)/#REF!)</f>
        <v>0</v>
      </c>
      <c r="L155" s="37">
        <f t="shared" si="8"/>
        <v>0</v>
      </c>
    </row>
    <row r="156" spans="1:12" ht="14.45">
      <c r="A156"/>
      <c r="B156"/>
      <c r="C156"/>
      <c r="D156"/>
      <c r="E156"/>
      <c r="F156"/>
      <c r="G156"/>
      <c r="H156"/>
      <c r="I156"/>
      <c r="J156"/>
      <c r="K156" s="37">
        <f>IF(G156+H156=0,0,SUM(G156:H156)/#REF!)</f>
        <v>0</v>
      </c>
      <c r="L156" s="37">
        <f t="shared" si="8"/>
        <v>0</v>
      </c>
    </row>
    <row r="157" spans="1:12" ht="14.45">
      <c r="A157"/>
      <c r="B157"/>
      <c r="C157"/>
      <c r="D157"/>
      <c r="E157"/>
      <c r="F157"/>
      <c r="G157"/>
      <c r="H157"/>
      <c r="I157"/>
      <c r="J157"/>
      <c r="K157" s="37">
        <f>IF(G157+H157=0,0,SUM(G157:H157)/#REF!)</f>
        <v>0</v>
      </c>
      <c r="L157" s="37">
        <f t="shared" si="8"/>
        <v>0</v>
      </c>
    </row>
    <row r="158" spans="1:12" ht="14.45">
      <c r="A158"/>
      <c r="B158"/>
      <c r="C158"/>
      <c r="D158"/>
      <c r="E158"/>
      <c r="F158"/>
      <c r="G158"/>
      <c r="H158"/>
      <c r="I158"/>
      <c r="J158"/>
      <c r="K158" s="37">
        <f>IF(G158+H158=0,0,SUM(G158:H158)/#REF!)</f>
        <v>0</v>
      </c>
      <c r="L158" s="37">
        <f t="shared" si="8"/>
        <v>0</v>
      </c>
    </row>
    <row r="159" spans="1:12" ht="14.45">
      <c r="A159"/>
      <c r="B159"/>
      <c r="C159"/>
      <c r="D159"/>
      <c r="E159"/>
      <c r="F159"/>
      <c r="G159"/>
      <c r="H159"/>
      <c r="I159"/>
      <c r="J159"/>
      <c r="K159" s="37">
        <f>IF(G159+H159=0,0,SUM(G159:H159)/#REF!)</f>
        <v>0</v>
      </c>
      <c r="L159" s="37">
        <f t="shared" si="8"/>
        <v>0</v>
      </c>
    </row>
    <row r="160" spans="1:12" ht="14.45">
      <c r="A160"/>
      <c r="B160"/>
      <c r="C160"/>
      <c r="D160"/>
      <c r="E160"/>
      <c r="F160"/>
      <c r="G160"/>
      <c r="H160"/>
      <c r="I160"/>
      <c r="J160"/>
      <c r="K160" s="37">
        <f>IF(G160+H160=0,0,SUM(G160:H160)/#REF!)</f>
        <v>0</v>
      </c>
      <c r="L160" s="37">
        <f t="shared" si="8"/>
        <v>0</v>
      </c>
    </row>
    <row r="161" spans="1:12" ht="14.45">
      <c r="A161"/>
      <c r="B161"/>
      <c r="C161"/>
      <c r="D161"/>
      <c r="E161"/>
      <c r="F161"/>
      <c r="G161"/>
      <c r="H161"/>
      <c r="I161"/>
      <c r="J161"/>
      <c r="K161" s="37">
        <f>IF(G161+H161=0,0,SUM(G161:H161)/#REF!)</f>
        <v>0</v>
      </c>
      <c r="L161" s="37">
        <f t="shared" si="8"/>
        <v>0</v>
      </c>
    </row>
    <row r="162" spans="1:12" ht="14.45">
      <c r="A162"/>
      <c r="B162"/>
      <c r="C162"/>
      <c r="D162"/>
      <c r="E162"/>
      <c r="F162"/>
      <c r="G162"/>
      <c r="H162"/>
      <c r="I162"/>
      <c r="J162"/>
      <c r="K162" s="37">
        <f>IF(G162+H162=0,0,SUM(G162:H162)/#REF!)</f>
        <v>0</v>
      </c>
      <c r="L162" s="37">
        <f t="shared" si="8"/>
        <v>0</v>
      </c>
    </row>
    <row r="163" spans="1:12" ht="14.45">
      <c r="A163"/>
      <c r="B163"/>
      <c r="C163"/>
      <c r="D163"/>
      <c r="E163"/>
      <c r="F163"/>
      <c r="G163"/>
      <c r="H163"/>
      <c r="I163"/>
      <c r="J163"/>
      <c r="K163" s="37">
        <f>IF(G163+H163=0,0,SUM(G163:H163)/#REF!)</f>
        <v>0</v>
      </c>
      <c r="L163" s="37">
        <f t="shared" si="8"/>
        <v>0</v>
      </c>
    </row>
    <row r="164" spans="1:12" ht="14.45">
      <c r="A164"/>
      <c r="B164"/>
      <c r="C164"/>
      <c r="D164"/>
      <c r="E164"/>
      <c r="F164"/>
      <c r="G164"/>
      <c r="H164"/>
      <c r="I164"/>
      <c r="J164"/>
      <c r="K164" s="37">
        <f>IF(G164+H164=0,0,SUM(G164:H164)/#REF!)</f>
        <v>0</v>
      </c>
      <c r="L164" s="37">
        <f t="shared" si="8"/>
        <v>0</v>
      </c>
    </row>
    <row r="165" spans="1:12" ht="14.45">
      <c r="A165"/>
      <c r="B165"/>
      <c r="C165"/>
      <c r="D165"/>
      <c r="E165"/>
      <c r="F165"/>
      <c r="G165"/>
      <c r="H165"/>
      <c r="I165"/>
      <c r="J165"/>
      <c r="K165" s="37">
        <f>IF(G165+H165=0,0,SUM(G165:H165)/#REF!)</f>
        <v>0</v>
      </c>
      <c r="L165" s="37">
        <f t="shared" ref="L165:L190" si="9">IF(G165=0,0,G165/(SUM(G165:I165)))</f>
        <v>0</v>
      </c>
    </row>
    <row r="166" spans="1:12" ht="14.45">
      <c r="A166"/>
      <c r="B166"/>
      <c r="C166"/>
      <c r="D166"/>
      <c r="E166"/>
      <c r="F166"/>
      <c r="G166"/>
      <c r="H166"/>
      <c r="I166"/>
      <c r="J166"/>
      <c r="K166" s="37">
        <f>IF(G166+H166=0,0,SUM(G166:H166)/#REF!)</f>
        <v>0</v>
      </c>
      <c r="L166" s="37">
        <f t="shared" si="9"/>
        <v>0</v>
      </c>
    </row>
    <row r="167" spans="1:12" ht="14.45">
      <c r="A167"/>
      <c r="B167"/>
      <c r="C167"/>
      <c r="D167"/>
      <c r="E167"/>
      <c r="F167"/>
      <c r="G167"/>
      <c r="H167"/>
      <c r="I167"/>
      <c r="J167"/>
      <c r="K167" s="37">
        <f>IF(G167+H167=0,0,SUM(G167:H167)/#REF!)</f>
        <v>0</v>
      </c>
      <c r="L167" s="37">
        <f t="shared" si="9"/>
        <v>0</v>
      </c>
    </row>
    <row r="168" spans="1:12" ht="14.45">
      <c r="A168"/>
      <c r="B168"/>
      <c r="C168"/>
      <c r="D168"/>
      <c r="E168"/>
      <c r="F168"/>
      <c r="G168"/>
      <c r="H168"/>
      <c r="I168"/>
      <c r="J168"/>
      <c r="K168" s="37">
        <f>IF(G168+H168=0,0,SUM(G168:H168)/#REF!)</f>
        <v>0</v>
      </c>
      <c r="L168" s="37">
        <f t="shared" si="9"/>
        <v>0</v>
      </c>
    </row>
    <row r="169" spans="1:12" ht="14.45">
      <c r="A169"/>
      <c r="B169"/>
      <c r="C169"/>
      <c r="D169"/>
      <c r="E169"/>
      <c r="F169"/>
      <c r="G169"/>
      <c r="H169"/>
      <c r="I169"/>
      <c r="J169"/>
      <c r="K169" s="37">
        <f>IF(G169+H169=0,0,SUM(G169:H169)/#REF!)</f>
        <v>0</v>
      </c>
      <c r="L169" s="37">
        <f t="shared" si="9"/>
        <v>0</v>
      </c>
    </row>
    <row r="170" spans="1:12" ht="14.45">
      <c r="A170"/>
      <c r="B170"/>
      <c r="C170"/>
      <c r="D170"/>
      <c r="E170"/>
      <c r="F170"/>
      <c r="G170"/>
      <c r="H170"/>
      <c r="I170"/>
      <c r="J170"/>
      <c r="K170" s="37">
        <f>IF(G170+H170=0,0,SUM(G170:H170)/#REF!)</f>
        <v>0</v>
      </c>
      <c r="L170" s="37">
        <f t="shared" si="9"/>
        <v>0</v>
      </c>
    </row>
    <row r="171" spans="1:12" ht="14.45">
      <c r="A171"/>
      <c r="B171"/>
      <c r="C171"/>
      <c r="D171"/>
      <c r="E171"/>
      <c r="F171"/>
      <c r="G171"/>
      <c r="H171"/>
      <c r="I171"/>
      <c r="J171"/>
      <c r="K171" s="37">
        <f>IF(G171+H171=0,0,SUM(G171:H171)/#REF!)</f>
        <v>0</v>
      </c>
      <c r="L171" s="37">
        <f t="shared" si="9"/>
        <v>0</v>
      </c>
    </row>
    <row r="172" spans="1:12" ht="14.45">
      <c r="A172"/>
      <c r="B172"/>
      <c r="C172"/>
      <c r="D172"/>
      <c r="E172"/>
      <c r="F172"/>
      <c r="G172"/>
      <c r="H172"/>
      <c r="I172"/>
      <c r="J172"/>
      <c r="K172" s="37">
        <f>IF(G172+H172=0,0,SUM(G172:H172)/#REF!)</f>
        <v>0</v>
      </c>
      <c r="L172" s="37">
        <f t="shared" si="9"/>
        <v>0</v>
      </c>
    </row>
    <row r="173" spans="1:12" ht="14.45">
      <c r="A173"/>
      <c r="B173"/>
      <c r="C173"/>
      <c r="D173"/>
      <c r="E173"/>
      <c r="F173"/>
      <c r="G173"/>
      <c r="H173"/>
      <c r="I173"/>
      <c r="J173"/>
      <c r="K173" s="37">
        <f>IF(G173+H173=0,0,SUM(G173:H173)/#REF!)</f>
        <v>0</v>
      </c>
      <c r="L173" s="37">
        <f t="shared" si="9"/>
        <v>0</v>
      </c>
    </row>
    <row r="174" spans="1:12" ht="14.45">
      <c r="A174"/>
      <c r="B174"/>
      <c r="C174"/>
      <c r="D174"/>
      <c r="E174"/>
      <c r="F174"/>
      <c r="G174"/>
      <c r="H174"/>
      <c r="I174"/>
      <c r="J174"/>
      <c r="K174" s="37">
        <f>IF(G174+H174=0,0,SUM(G174:H174)/#REF!)</f>
        <v>0</v>
      </c>
      <c r="L174" s="37">
        <f t="shared" si="9"/>
        <v>0</v>
      </c>
    </row>
    <row r="175" spans="1:12" ht="14.45">
      <c r="A175"/>
      <c r="B175"/>
      <c r="C175"/>
      <c r="D175"/>
      <c r="E175"/>
      <c r="F175"/>
      <c r="G175"/>
      <c r="H175"/>
      <c r="I175"/>
      <c r="J175"/>
      <c r="K175" s="37">
        <f>IF(G175+H175=0,0,SUM(G175:H175)/#REF!)</f>
        <v>0</v>
      </c>
      <c r="L175" s="37">
        <f t="shared" si="9"/>
        <v>0</v>
      </c>
    </row>
    <row r="176" spans="1:12" ht="14.45">
      <c r="A176"/>
      <c r="B176"/>
      <c r="C176"/>
      <c r="D176"/>
      <c r="E176"/>
      <c r="F176"/>
      <c r="G176"/>
      <c r="H176"/>
      <c r="I176"/>
      <c r="J176"/>
      <c r="K176" s="37">
        <f>IF(G176+H176=0,0,SUM(G176:H176)/#REF!)</f>
        <v>0</v>
      </c>
      <c r="L176" s="37">
        <f t="shared" si="9"/>
        <v>0</v>
      </c>
    </row>
    <row r="177" spans="1:123" ht="14.45">
      <c r="A177"/>
      <c r="B177"/>
      <c r="C177"/>
      <c r="D177"/>
      <c r="E177"/>
      <c r="F177"/>
      <c r="G177"/>
      <c r="H177"/>
      <c r="I177"/>
      <c r="J177"/>
      <c r="K177" s="37">
        <f>IF(G177+H177=0,0,SUM(G177:H177)/#REF!)</f>
        <v>0</v>
      </c>
      <c r="L177" s="37">
        <f t="shared" si="9"/>
        <v>0</v>
      </c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</row>
    <row r="178" spans="1:123" ht="14.45">
      <c r="A178"/>
      <c r="B178"/>
      <c r="C178"/>
      <c r="D178"/>
      <c r="E178"/>
      <c r="F178"/>
      <c r="G178"/>
      <c r="H178"/>
      <c r="I178"/>
      <c r="J178"/>
      <c r="K178" s="37">
        <f>IF(G178+H178=0,0,SUM(G178:H178)/#REF!)</f>
        <v>0</v>
      </c>
      <c r="L178" s="37">
        <f t="shared" si="9"/>
        <v>0</v>
      </c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</row>
    <row r="179" spans="1:123" ht="14.45">
      <c r="A179"/>
      <c r="B179"/>
      <c r="C179"/>
      <c r="D179"/>
      <c r="E179"/>
      <c r="F179"/>
      <c r="G179"/>
      <c r="H179"/>
      <c r="I179"/>
      <c r="J179"/>
      <c r="K179" s="37">
        <f>IF(G179+H179=0,0,SUM(G179:H179)/#REF!)</f>
        <v>0</v>
      </c>
      <c r="L179" s="37">
        <f t="shared" si="9"/>
        <v>0</v>
      </c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</row>
    <row r="180" spans="1:123" ht="14.45">
      <c r="A180"/>
      <c r="B180"/>
      <c r="C180"/>
      <c r="D180"/>
      <c r="E180"/>
      <c r="F180"/>
      <c r="G180"/>
      <c r="H180"/>
      <c r="I180"/>
      <c r="J180"/>
      <c r="K180" s="37">
        <f>IF(G180+H180=0,0,SUM(G180:H180)/#REF!)</f>
        <v>0</v>
      </c>
      <c r="L180" s="37">
        <f t="shared" si="9"/>
        <v>0</v>
      </c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</row>
    <row r="181" spans="1:123" ht="14.45">
      <c r="A181"/>
      <c r="B181"/>
      <c r="C181"/>
      <c r="D181"/>
      <c r="E181"/>
      <c r="F181"/>
      <c r="G181"/>
      <c r="H181"/>
      <c r="I181"/>
      <c r="J181"/>
      <c r="K181" s="37">
        <f>IF(G181+H181=0,0,SUM(G181:H181)/#REF!)</f>
        <v>0</v>
      </c>
      <c r="L181" s="37">
        <f t="shared" si="9"/>
        <v>0</v>
      </c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</row>
    <row r="182" spans="1:123" ht="14.45">
      <c r="A182"/>
      <c r="B182"/>
      <c r="C182"/>
      <c r="D182"/>
      <c r="E182"/>
      <c r="F182"/>
      <c r="G182"/>
      <c r="H182"/>
      <c r="I182"/>
      <c r="J182"/>
      <c r="K182" s="37">
        <f>IF(G182+H182=0,0,SUM(G182:H182)/#REF!)</f>
        <v>0</v>
      </c>
      <c r="L182" s="37">
        <f t="shared" si="9"/>
        <v>0</v>
      </c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</row>
    <row r="183" spans="1:123" ht="14.45">
      <c r="A183"/>
      <c r="B183"/>
      <c r="C183"/>
      <c r="D183"/>
      <c r="E183"/>
      <c r="F183"/>
      <c r="G183"/>
      <c r="H183"/>
      <c r="I183"/>
      <c r="J183"/>
      <c r="K183" s="37">
        <f>IF(G183+H183=0,0,SUM(G183:H183)/#REF!)</f>
        <v>0</v>
      </c>
      <c r="L183" s="37">
        <f t="shared" si="9"/>
        <v>0</v>
      </c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</row>
    <row r="184" spans="1:123" ht="14.45">
      <c r="A184"/>
      <c r="B184"/>
      <c r="C184"/>
      <c r="D184"/>
      <c r="E184"/>
      <c r="F184"/>
      <c r="G184"/>
      <c r="H184"/>
      <c r="I184"/>
      <c r="J184"/>
      <c r="K184" s="37">
        <f>IF(G184+H184=0,0,SUM(G184:H184)/#REF!)</f>
        <v>0</v>
      </c>
      <c r="L184" s="37">
        <f t="shared" si="9"/>
        <v>0</v>
      </c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</row>
    <row r="185" spans="1:123" ht="14.45">
      <c r="A185"/>
      <c r="B185"/>
      <c r="C185"/>
      <c r="D185"/>
      <c r="E185"/>
      <c r="F185"/>
      <c r="G185"/>
      <c r="H185"/>
      <c r="I185"/>
      <c r="J185"/>
      <c r="K185" s="37">
        <f>IF(G185+H185=0,0,SUM(G185:H185)/#REF!)</f>
        <v>0</v>
      </c>
      <c r="L185" s="37">
        <f t="shared" si="9"/>
        <v>0</v>
      </c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</row>
    <row r="186" spans="1:123" ht="14.45">
      <c r="A186"/>
      <c r="B186"/>
      <c r="C186"/>
      <c r="D186"/>
      <c r="E186"/>
      <c r="F186"/>
      <c r="G186"/>
      <c r="H186"/>
      <c r="I186"/>
      <c r="J186"/>
      <c r="K186" s="37">
        <f>IF(G186+H186=0,0,SUM(G186:H186)/#REF!)</f>
        <v>0</v>
      </c>
      <c r="L186" s="37">
        <f t="shared" si="9"/>
        <v>0</v>
      </c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</row>
    <row r="187" spans="1:123" ht="14.45">
      <c r="A187"/>
      <c r="B187"/>
      <c r="C187"/>
      <c r="D187"/>
      <c r="E187"/>
      <c r="F187"/>
      <c r="G187"/>
      <c r="H187"/>
      <c r="I187"/>
      <c r="J187"/>
      <c r="K187" s="37">
        <f>IF(G187+H187=0,0,SUM(G187:H187)/#REF!)</f>
        <v>0</v>
      </c>
      <c r="L187" s="37">
        <f t="shared" si="9"/>
        <v>0</v>
      </c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</row>
    <row r="188" spans="1:123" ht="14.45">
      <c r="A188"/>
      <c r="B188"/>
      <c r="C188"/>
      <c r="D188"/>
      <c r="E188"/>
      <c r="F188"/>
      <c r="G188"/>
      <c r="H188"/>
      <c r="I188"/>
      <c r="J188"/>
      <c r="K188" s="37">
        <f>IF(G188+H188=0,0,SUM(G188:H188)/#REF!)</f>
        <v>0</v>
      </c>
      <c r="L188" s="37">
        <f t="shared" si="9"/>
        <v>0</v>
      </c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</row>
    <row r="189" spans="1:123" ht="14.45">
      <c r="A189"/>
      <c r="B189"/>
      <c r="C189"/>
      <c r="D189"/>
      <c r="E189"/>
      <c r="F189"/>
      <c r="G189"/>
      <c r="H189"/>
      <c r="I189"/>
      <c r="J189"/>
      <c r="K189" s="37">
        <f>IF(G189+H189=0,0,SUM(G189:H189)/#REF!)</f>
        <v>0</v>
      </c>
      <c r="L189" s="37">
        <f t="shared" si="9"/>
        <v>0</v>
      </c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</row>
    <row r="190" spans="1:123" ht="14.45">
      <c r="A190"/>
      <c r="B190"/>
      <c r="C190"/>
      <c r="D190"/>
      <c r="E190"/>
      <c r="F190"/>
      <c r="G190"/>
      <c r="H190"/>
      <c r="I190"/>
      <c r="J190"/>
      <c r="K190" s="37">
        <f>IF(G190+H190=0,0,SUM(G190:H190)/#REF!)</f>
        <v>0</v>
      </c>
      <c r="L190" s="37">
        <f t="shared" si="9"/>
        <v>0</v>
      </c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</row>
    <row r="191" spans="1:123" ht="14.45">
      <c r="A191"/>
      <c r="B191"/>
      <c r="C191"/>
      <c r="D191"/>
      <c r="E191"/>
      <c r="F191"/>
      <c r="G191"/>
      <c r="H191"/>
      <c r="I191"/>
      <c r="J191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</row>
    <row r="192" spans="1:123" ht="14.45">
      <c r="A192"/>
      <c r="B192"/>
      <c r="C192"/>
      <c r="D192"/>
      <c r="E192"/>
      <c r="F192"/>
      <c r="G192"/>
      <c r="H192"/>
      <c r="I192"/>
      <c r="J192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</row>
    <row r="193" spans="1:123" ht="14.45">
      <c r="A193"/>
      <c r="B193"/>
      <c r="C193"/>
      <c r="D193"/>
      <c r="E193"/>
      <c r="F193"/>
      <c r="G193"/>
      <c r="H193"/>
      <c r="I193"/>
      <c r="J193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</row>
    <row r="194" spans="1:123" ht="14.45">
      <c r="A194"/>
      <c r="B194"/>
      <c r="C194"/>
      <c r="D194"/>
      <c r="E194"/>
      <c r="F194"/>
      <c r="G194"/>
      <c r="H194"/>
      <c r="I194"/>
      <c r="J194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</row>
    <row r="195" spans="1:123" ht="14.45">
      <c r="A195"/>
      <c r="B195"/>
      <c r="C195"/>
      <c r="D195"/>
      <c r="E195"/>
      <c r="F195"/>
      <c r="G195"/>
      <c r="H195"/>
      <c r="I195"/>
      <c r="J195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</row>
    <row r="196" spans="1:123" ht="14.45">
      <c r="A196"/>
      <c r="B196"/>
      <c r="C196"/>
      <c r="D196"/>
      <c r="E196"/>
      <c r="F196"/>
      <c r="G196"/>
      <c r="H196"/>
      <c r="I196"/>
      <c r="J19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</row>
    <row r="197" spans="1:123" ht="14.45">
      <c r="A197"/>
      <c r="B197"/>
      <c r="C197"/>
      <c r="D197"/>
      <c r="E197"/>
      <c r="F197"/>
      <c r="G197"/>
      <c r="H197"/>
      <c r="I197"/>
      <c r="J197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</row>
    <row r="198" spans="1:123" ht="14.45">
      <c r="A198"/>
      <c r="B198"/>
      <c r="C198"/>
      <c r="D198"/>
      <c r="E198"/>
      <c r="F198"/>
      <c r="G198"/>
      <c r="H198"/>
      <c r="I198"/>
      <c r="J198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</row>
    <row r="199" spans="1:123" ht="14.45">
      <c r="A199"/>
      <c r="B199"/>
      <c r="C199"/>
      <c r="D199"/>
      <c r="E199"/>
      <c r="F199"/>
      <c r="G199"/>
      <c r="H199"/>
      <c r="I199"/>
      <c r="J199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</row>
    <row r="200" spans="1:123" ht="14.45">
      <c r="A200"/>
      <c r="B200"/>
      <c r="C200"/>
      <c r="D200"/>
      <c r="E200"/>
      <c r="F200"/>
      <c r="G200"/>
      <c r="H200"/>
      <c r="I200"/>
      <c r="J200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</row>
    <row r="201" spans="1:123" ht="14.45">
      <c r="A201"/>
      <c r="B201"/>
      <c r="C201"/>
      <c r="D201"/>
      <c r="E201"/>
      <c r="F201"/>
      <c r="G201"/>
      <c r="H201"/>
      <c r="I201"/>
      <c r="J201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6"/>
      <c r="DP201" s="36"/>
      <c r="DQ201" s="36"/>
      <c r="DR201" s="36"/>
      <c r="DS201" s="36"/>
    </row>
    <row r="202" spans="1:123" ht="14.45">
      <c r="A202"/>
      <c r="B202"/>
      <c r="C202"/>
      <c r="D202"/>
      <c r="E202"/>
      <c r="F202"/>
      <c r="G202"/>
      <c r="H202"/>
      <c r="I202"/>
      <c r="J202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</row>
    <row r="203" spans="1:123" ht="14.45">
      <c r="A203"/>
      <c r="B203"/>
      <c r="C203"/>
      <c r="D203"/>
      <c r="E203"/>
      <c r="F203"/>
      <c r="G203"/>
      <c r="H203"/>
      <c r="I203"/>
      <c r="J203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</row>
    <row r="204" spans="1:123" ht="14.45">
      <c r="A204"/>
      <c r="B204"/>
      <c r="C204"/>
      <c r="D204"/>
      <c r="E204"/>
      <c r="F204"/>
      <c r="G204"/>
      <c r="H204"/>
      <c r="I204"/>
      <c r="J204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</row>
    <row r="205" spans="1:123" ht="14.45">
      <c r="A205"/>
      <c r="B205"/>
      <c r="C205"/>
      <c r="D205"/>
      <c r="E205"/>
      <c r="F205"/>
      <c r="G205"/>
      <c r="H205"/>
      <c r="I205"/>
      <c r="J205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</row>
    <row r="206" spans="1:123" ht="14.45">
      <c r="A206"/>
      <c r="B206"/>
      <c r="C206"/>
      <c r="D206"/>
      <c r="E206"/>
      <c r="F206"/>
      <c r="G206"/>
      <c r="H206"/>
      <c r="I206"/>
      <c r="J20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</row>
    <row r="207" spans="1:123" ht="14.45">
      <c r="A207"/>
      <c r="B207"/>
      <c r="C207"/>
      <c r="D207"/>
      <c r="E207"/>
      <c r="F207"/>
      <c r="G207"/>
      <c r="H207"/>
      <c r="I207"/>
      <c r="J207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</row>
    <row r="208" spans="1:123" ht="14.45">
      <c r="A208"/>
      <c r="B208"/>
      <c r="C208"/>
      <c r="D208"/>
      <c r="E208"/>
      <c r="F208"/>
      <c r="G208"/>
      <c r="H208"/>
      <c r="I208"/>
      <c r="J208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</row>
    <row r="209" spans="1:123" ht="14.45">
      <c r="A209"/>
      <c r="B209"/>
      <c r="C209"/>
      <c r="D209"/>
      <c r="E209"/>
      <c r="F209"/>
      <c r="G209"/>
      <c r="H209"/>
      <c r="I209"/>
      <c r="J209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</row>
    <row r="210" spans="1:123" ht="14.45">
      <c r="A210"/>
      <c r="B210"/>
      <c r="C210"/>
      <c r="D210"/>
      <c r="E210"/>
      <c r="F210"/>
      <c r="G210"/>
      <c r="H210"/>
      <c r="I210"/>
      <c r="J210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</row>
    <row r="211" spans="1:123" ht="14.45">
      <c r="A211"/>
      <c r="B211"/>
      <c r="C211"/>
      <c r="D211"/>
      <c r="E211"/>
      <c r="F211"/>
      <c r="G211"/>
      <c r="H211"/>
      <c r="I211"/>
      <c r="J211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</row>
    <row r="212" spans="1:123" ht="14.45">
      <c r="A212"/>
      <c r="B212"/>
      <c r="C212"/>
      <c r="D212"/>
      <c r="E212"/>
      <c r="F212"/>
      <c r="G212"/>
      <c r="H212"/>
      <c r="I212"/>
      <c r="J212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</row>
    <row r="213" spans="1:123" ht="14.45">
      <c r="A213"/>
      <c r="B213"/>
      <c r="C213"/>
      <c r="D213"/>
      <c r="E213"/>
      <c r="F213"/>
      <c r="G213"/>
      <c r="H213"/>
      <c r="I213"/>
      <c r="J213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</row>
    <row r="214" spans="1:123" ht="14.45">
      <c r="A214"/>
      <c r="B214"/>
      <c r="C214"/>
      <c r="D214"/>
      <c r="E214"/>
      <c r="F214"/>
      <c r="G214"/>
      <c r="H214"/>
      <c r="I214"/>
      <c r="J214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</row>
    <row r="215" spans="1:123" ht="14.45">
      <c r="A215"/>
      <c r="B215"/>
      <c r="C215"/>
      <c r="D215"/>
      <c r="E215"/>
      <c r="F215"/>
      <c r="G215"/>
      <c r="H215"/>
      <c r="I215"/>
      <c r="J215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</row>
    <row r="216" spans="1:123" ht="14.45">
      <c r="A216"/>
      <c r="B216"/>
      <c r="C216"/>
      <c r="D216"/>
      <c r="E216"/>
      <c r="F216"/>
      <c r="G216"/>
      <c r="H216"/>
      <c r="I216"/>
      <c r="J21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</row>
    <row r="217" spans="1:123" ht="14.45">
      <c r="A217"/>
      <c r="B217"/>
      <c r="C217"/>
      <c r="D217"/>
      <c r="E217"/>
      <c r="F217"/>
      <c r="G217"/>
      <c r="H217"/>
      <c r="I217"/>
      <c r="J217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</row>
    <row r="218" spans="1:123" ht="14.45">
      <c r="A218"/>
      <c r="B218"/>
      <c r="C218"/>
      <c r="D218"/>
      <c r="E218"/>
      <c r="F218"/>
      <c r="G218"/>
      <c r="H218"/>
      <c r="I218"/>
      <c r="J218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</row>
    <row r="219" spans="1:123" ht="14.45">
      <c r="A219"/>
      <c r="B219"/>
      <c r="C219"/>
      <c r="D219"/>
      <c r="E219"/>
      <c r="F219"/>
      <c r="G219"/>
      <c r="H219"/>
      <c r="I219"/>
      <c r="J219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</row>
    <row r="220" spans="1:123" ht="14.45">
      <c r="A220"/>
      <c r="B220"/>
      <c r="C220"/>
      <c r="D220"/>
      <c r="E220"/>
      <c r="F220"/>
      <c r="G220"/>
      <c r="H220"/>
      <c r="I220"/>
      <c r="J220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</row>
    <row r="221" spans="1:123" ht="14.45">
      <c r="A221"/>
      <c r="B221"/>
      <c r="C221"/>
      <c r="D221"/>
      <c r="E221"/>
      <c r="F221"/>
      <c r="G221"/>
      <c r="H221"/>
      <c r="I221"/>
      <c r="J221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</row>
    <row r="222" spans="1:123" ht="14.45">
      <c r="A222"/>
      <c r="B222"/>
      <c r="C222"/>
      <c r="D222"/>
      <c r="E222"/>
      <c r="F222"/>
      <c r="G222"/>
      <c r="H222"/>
      <c r="I222"/>
      <c r="J222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</row>
    <row r="223" spans="1:123" ht="14.45">
      <c r="A223"/>
      <c r="B223"/>
      <c r="C223"/>
      <c r="D223"/>
      <c r="E223"/>
      <c r="F223"/>
      <c r="G223"/>
      <c r="H223"/>
      <c r="I223"/>
      <c r="J223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</row>
    <row r="224" spans="1:123" ht="14.45">
      <c r="A224"/>
      <c r="B224"/>
      <c r="C224"/>
      <c r="D224"/>
      <c r="E224"/>
      <c r="F224"/>
      <c r="G224"/>
      <c r="H224"/>
      <c r="I224"/>
      <c r="J224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</row>
    <row r="225" spans="1:123" ht="14.45">
      <c r="A225"/>
      <c r="B225"/>
      <c r="C225"/>
      <c r="D225"/>
      <c r="E225"/>
      <c r="F225"/>
      <c r="G225"/>
      <c r="H225"/>
      <c r="I225"/>
      <c r="J225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</row>
    <row r="226" spans="1:123" ht="14.45">
      <c r="A226"/>
      <c r="B226"/>
      <c r="C226"/>
      <c r="D226"/>
      <c r="E226"/>
      <c r="F226"/>
      <c r="G226"/>
      <c r="H226"/>
      <c r="I226"/>
      <c r="J22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</row>
    <row r="227" spans="1:123" ht="14.45">
      <c r="A227"/>
      <c r="B227"/>
      <c r="C227"/>
      <c r="D227"/>
      <c r="E227"/>
      <c r="F227"/>
      <c r="G227"/>
      <c r="H227"/>
      <c r="I227"/>
      <c r="J227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</row>
    <row r="228" spans="1:123" ht="14.45">
      <c r="A228"/>
      <c r="B228"/>
      <c r="C228"/>
      <c r="D228"/>
      <c r="E228"/>
      <c r="F228"/>
      <c r="G228"/>
      <c r="H228"/>
      <c r="I228"/>
      <c r="J228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</row>
    <row r="229" spans="1:123" ht="14.45">
      <c r="A229"/>
      <c r="B229"/>
      <c r="C229"/>
      <c r="D229"/>
      <c r="E229"/>
      <c r="F229"/>
      <c r="G229"/>
      <c r="H229"/>
      <c r="I229"/>
      <c r="J229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</row>
    <row r="230" spans="1:123" ht="14.45">
      <c r="A230"/>
      <c r="B230"/>
      <c r="C230"/>
      <c r="D230"/>
      <c r="E230"/>
      <c r="F230"/>
      <c r="G230"/>
      <c r="H230"/>
      <c r="I230"/>
      <c r="J230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</row>
    <row r="231" spans="1:123" ht="14.45">
      <c r="A231"/>
      <c r="B231"/>
      <c r="C231"/>
      <c r="D231"/>
      <c r="E231"/>
      <c r="F231"/>
      <c r="G231"/>
      <c r="H231"/>
      <c r="I231"/>
      <c r="J231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</row>
    <row r="232" spans="1:123" ht="14.45">
      <c r="A232"/>
      <c r="B232"/>
      <c r="C232"/>
      <c r="D232"/>
      <c r="E232"/>
      <c r="F232"/>
      <c r="G232"/>
      <c r="H232"/>
      <c r="I232"/>
      <c r="J232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</row>
    <row r="233" spans="1:123" ht="14.45">
      <c r="A233"/>
      <c r="B233"/>
      <c r="C233"/>
      <c r="D233"/>
      <c r="E233"/>
      <c r="F233"/>
      <c r="G233"/>
      <c r="H233"/>
      <c r="I233"/>
      <c r="J233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</row>
    <row r="234" spans="1:123" ht="14.45">
      <c r="A234"/>
      <c r="B234"/>
      <c r="C234"/>
      <c r="D234"/>
      <c r="E234"/>
      <c r="F234"/>
      <c r="G234"/>
      <c r="H234"/>
      <c r="I234"/>
      <c r="J234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</row>
    <row r="235" spans="1:123" ht="14.45">
      <c r="A235"/>
      <c r="B235"/>
      <c r="C235"/>
      <c r="D235"/>
      <c r="E235"/>
      <c r="F235"/>
      <c r="G235"/>
      <c r="H235"/>
      <c r="I235"/>
      <c r="J235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</row>
    <row r="236" spans="1:123" ht="14.45">
      <c r="A236"/>
      <c r="B236"/>
      <c r="C236"/>
      <c r="D236"/>
      <c r="E236"/>
      <c r="F236"/>
      <c r="G236"/>
      <c r="H236"/>
      <c r="I236"/>
      <c r="J2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</row>
    <row r="237" spans="1:123" ht="14.45">
      <c r="A237"/>
      <c r="B237"/>
      <c r="C237"/>
      <c r="D237"/>
      <c r="E237"/>
      <c r="F237"/>
      <c r="G237"/>
      <c r="H237"/>
      <c r="I237"/>
      <c r="J237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</row>
    <row r="238" spans="1:123" ht="14.45">
      <c r="A238"/>
      <c r="B238"/>
      <c r="C238"/>
      <c r="D238"/>
      <c r="E238"/>
      <c r="F238"/>
      <c r="G238"/>
      <c r="H238"/>
      <c r="I238"/>
      <c r="J238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</row>
    <row r="239" spans="1:123" ht="14.45">
      <c r="A239"/>
      <c r="B239"/>
      <c r="C239"/>
      <c r="D239"/>
      <c r="E239"/>
      <c r="F239"/>
      <c r="G239"/>
      <c r="H239"/>
      <c r="I239"/>
      <c r="J239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</row>
    <row r="240" spans="1:123" ht="14.45">
      <c r="A240"/>
      <c r="B240"/>
      <c r="C240"/>
      <c r="D240"/>
      <c r="E240"/>
      <c r="F240"/>
      <c r="G240"/>
      <c r="H240"/>
      <c r="I240"/>
      <c r="J240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</row>
    <row r="241" spans="1:123" ht="14.45">
      <c r="A241"/>
      <c r="B241"/>
      <c r="C241"/>
      <c r="D241"/>
      <c r="E241"/>
      <c r="F241"/>
      <c r="G241"/>
      <c r="H241"/>
      <c r="I241"/>
      <c r="J241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</row>
    <row r="242" spans="1:123" ht="14.45">
      <c r="A242"/>
      <c r="B242"/>
      <c r="C242"/>
      <c r="D242"/>
      <c r="E242"/>
      <c r="F242"/>
      <c r="G242"/>
      <c r="H242"/>
      <c r="I242"/>
      <c r="J242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</row>
    <row r="243" spans="1:123" ht="14.45">
      <c r="A243"/>
      <c r="B243"/>
      <c r="C243"/>
      <c r="D243"/>
      <c r="E243"/>
      <c r="F243"/>
      <c r="G243"/>
      <c r="H243"/>
      <c r="I243"/>
      <c r="J243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</row>
    <row r="244" spans="1:123" ht="14.45">
      <c r="A244"/>
      <c r="B244"/>
      <c r="C244"/>
      <c r="D244"/>
      <c r="E244"/>
      <c r="F244"/>
      <c r="G244"/>
      <c r="H244"/>
      <c r="I244"/>
      <c r="J244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</row>
    <row r="245" spans="1:123" ht="14.45">
      <c r="A245"/>
      <c r="B245"/>
      <c r="C245"/>
      <c r="D245"/>
      <c r="E245"/>
      <c r="F245"/>
      <c r="G245"/>
      <c r="H245"/>
      <c r="I245"/>
      <c r="J245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</row>
    <row r="246" spans="1:123" ht="14.45">
      <c r="A246"/>
      <c r="B246"/>
      <c r="C246"/>
      <c r="D246"/>
      <c r="E246"/>
      <c r="F246"/>
      <c r="G246"/>
      <c r="H246"/>
      <c r="I246"/>
      <c r="J24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</row>
    <row r="247" spans="1:123" ht="14.45">
      <c r="A247"/>
      <c r="B247"/>
      <c r="C247"/>
      <c r="D247"/>
      <c r="E247"/>
      <c r="F247"/>
      <c r="G247"/>
      <c r="H247"/>
      <c r="I247"/>
      <c r="J247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</row>
    <row r="248" spans="1:123" ht="14.45">
      <c r="A248"/>
      <c r="B248"/>
      <c r="C248"/>
      <c r="D248"/>
      <c r="E248"/>
      <c r="F248"/>
      <c r="G248"/>
      <c r="H248"/>
      <c r="I248"/>
      <c r="J248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</row>
    <row r="249" spans="1:123" ht="14.45">
      <c r="A249"/>
      <c r="B249"/>
      <c r="C249"/>
      <c r="D249"/>
      <c r="E249"/>
      <c r="F249"/>
      <c r="G249"/>
      <c r="H249"/>
      <c r="I249"/>
      <c r="J249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</row>
    <row r="250" spans="1:123" ht="14.45">
      <c r="A250"/>
      <c r="B250"/>
      <c r="C250"/>
      <c r="D250"/>
      <c r="E250"/>
      <c r="F250"/>
      <c r="G250"/>
      <c r="H250"/>
      <c r="I250"/>
      <c r="J250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</row>
    <row r="251" spans="1:123" ht="14.45">
      <c r="A251"/>
      <c r="B251"/>
      <c r="C251"/>
      <c r="D251"/>
      <c r="E251"/>
      <c r="F251"/>
      <c r="G251"/>
      <c r="H251"/>
      <c r="I251"/>
      <c r="J251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</row>
    <row r="252" spans="1:123" ht="14.45">
      <c r="A252"/>
      <c r="B252"/>
      <c r="C252"/>
      <c r="D252"/>
      <c r="E252"/>
      <c r="F252"/>
      <c r="G252"/>
      <c r="H252"/>
      <c r="I252"/>
      <c r="J252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</row>
    <row r="253" spans="1:123" ht="14.45">
      <c r="A253"/>
      <c r="B253"/>
      <c r="C253"/>
      <c r="D253"/>
      <c r="E253"/>
      <c r="F253"/>
      <c r="G253"/>
      <c r="H253"/>
      <c r="I253"/>
      <c r="J253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</row>
    <row r="254" spans="1:123" ht="14.45">
      <c r="A254"/>
      <c r="B254"/>
      <c r="C254"/>
      <c r="D254"/>
      <c r="E254"/>
      <c r="F254"/>
      <c r="G254"/>
      <c r="H254"/>
      <c r="I254"/>
      <c r="J254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</row>
    <row r="255" spans="1:123" ht="14.45">
      <c r="A255"/>
      <c r="B255"/>
      <c r="C255"/>
      <c r="D255"/>
      <c r="E255"/>
      <c r="F255"/>
      <c r="G255"/>
      <c r="H255"/>
      <c r="I255"/>
      <c r="J255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</row>
    <row r="256" spans="1:123" ht="14.45">
      <c r="A256"/>
      <c r="B256"/>
      <c r="C256"/>
      <c r="D256"/>
      <c r="E256"/>
      <c r="F256"/>
      <c r="G256"/>
      <c r="H256"/>
      <c r="I256"/>
      <c r="J25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</row>
    <row r="257" spans="1:123" ht="14.45">
      <c r="A257"/>
      <c r="B257"/>
      <c r="C257"/>
      <c r="D257"/>
      <c r="E257"/>
      <c r="F257"/>
      <c r="G257"/>
      <c r="H257"/>
      <c r="I257"/>
      <c r="J257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</row>
    <row r="258" spans="1:123" ht="14.45">
      <c r="A258"/>
      <c r="B258"/>
      <c r="C258"/>
      <c r="D258"/>
      <c r="E258"/>
      <c r="F258"/>
      <c r="G258"/>
      <c r="H258"/>
      <c r="I258"/>
      <c r="J258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</row>
    <row r="259" spans="1:123" ht="14.45">
      <c r="A259"/>
      <c r="B259"/>
      <c r="C259"/>
      <c r="D259"/>
      <c r="E259"/>
      <c r="F259"/>
      <c r="G259"/>
      <c r="H259"/>
      <c r="I259"/>
      <c r="J259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</row>
    <row r="260" spans="1:123" ht="14.45">
      <c r="A260"/>
      <c r="B260"/>
      <c r="C260"/>
      <c r="D260"/>
      <c r="E260"/>
      <c r="F260"/>
      <c r="G260"/>
      <c r="H260"/>
      <c r="I260"/>
      <c r="J260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</row>
    <row r="261" spans="1:123" ht="14.45">
      <c r="A261"/>
      <c r="B261"/>
      <c r="C261"/>
      <c r="D261"/>
      <c r="E261"/>
      <c r="F261"/>
      <c r="G261"/>
      <c r="H261"/>
      <c r="I261"/>
      <c r="J261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</row>
    <row r="262" spans="1:123" ht="14.45">
      <c r="A262"/>
      <c r="B262"/>
      <c r="C262"/>
      <c r="D262"/>
      <c r="E262"/>
      <c r="F262"/>
      <c r="G262"/>
      <c r="H262"/>
      <c r="I262"/>
      <c r="J262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</row>
    <row r="263" spans="1:123" ht="14.45">
      <c r="A263"/>
      <c r="B263"/>
      <c r="C263"/>
      <c r="D263"/>
      <c r="E263"/>
      <c r="F263"/>
      <c r="G263"/>
      <c r="H263"/>
      <c r="I263"/>
      <c r="J263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</row>
    <row r="264" spans="1:123" ht="14.45">
      <c r="A264"/>
      <c r="B264"/>
      <c r="C264"/>
      <c r="D264"/>
      <c r="E264"/>
      <c r="F264"/>
      <c r="G264"/>
      <c r="H264"/>
      <c r="I264"/>
      <c r="J264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</row>
    <row r="265" spans="1:123" ht="14.45">
      <c r="A265"/>
      <c r="B265"/>
      <c r="C265"/>
      <c r="D265"/>
      <c r="E265"/>
      <c r="F265"/>
      <c r="G265"/>
      <c r="H265"/>
      <c r="I265"/>
      <c r="J265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</row>
    <row r="266" spans="1:123" ht="14.45">
      <c r="A266"/>
      <c r="B266"/>
      <c r="C266"/>
      <c r="D266"/>
      <c r="E266"/>
      <c r="F266"/>
      <c r="G266"/>
      <c r="H266"/>
      <c r="I266"/>
      <c r="J26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</row>
    <row r="267" spans="1:123" ht="14.45">
      <c r="A267"/>
      <c r="B267"/>
      <c r="C267"/>
      <c r="D267"/>
      <c r="E267"/>
      <c r="F267"/>
      <c r="G267"/>
      <c r="H267"/>
      <c r="I267"/>
      <c r="J267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</row>
    <row r="268" spans="1:123" ht="14.45">
      <c r="A268"/>
      <c r="B268"/>
      <c r="C268"/>
      <c r="D268"/>
      <c r="E268"/>
      <c r="F268"/>
      <c r="G268"/>
      <c r="H268"/>
      <c r="I268"/>
      <c r="J268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</row>
    <row r="269" spans="1:123" ht="14.45">
      <c r="A269"/>
      <c r="B269"/>
      <c r="C269"/>
      <c r="D269"/>
      <c r="E269"/>
      <c r="F269"/>
      <c r="G269"/>
      <c r="H269"/>
      <c r="I269"/>
      <c r="J269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</row>
    <row r="270" spans="1:123" ht="14.45">
      <c r="A270"/>
      <c r="B270"/>
      <c r="C270"/>
      <c r="D270"/>
      <c r="E270"/>
      <c r="F270"/>
      <c r="G270"/>
      <c r="H270"/>
      <c r="I270"/>
      <c r="J270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</row>
    <row r="271" spans="1:123" ht="14.45">
      <c r="A271"/>
      <c r="B271"/>
      <c r="C271"/>
      <c r="D271"/>
      <c r="E271"/>
      <c r="F271"/>
      <c r="G271"/>
      <c r="H271"/>
      <c r="I271"/>
      <c r="J271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</row>
    <row r="272" spans="1:123" ht="14.45">
      <c r="A272"/>
      <c r="B272"/>
      <c r="C272"/>
      <c r="D272"/>
      <c r="E272"/>
      <c r="F272"/>
      <c r="G272"/>
      <c r="H272"/>
      <c r="I272"/>
      <c r="J272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</row>
    <row r="273" spans="1:123" ht="14.45">
      <c r="A273"/>
      <c r="B273"/>
      <c r="C273"/>
      <c r="D273"/>
      <c r="E273"/>
      <c r="F273"/>
      <c r="G273"/>
      <c r="H273"/>
      <c r="I273"/>
      <c r="J273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</row>
    <row r="274" spans="1:123" ht="14.45">
      <c r="A274"/>
      <c r="B274"/>
      <c r="C274"/>
      <c r="D274"/>
      <c r="E274"/>
      <c r="F274"/>
      <c r="G274"/>
      <c r="H274"/>
      <c r="I274"/>
      <c r="J274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</row>
    <row r="275" spans="1:123" ht="14.45">
      <c r="A275"/>
      <c r="B275"/>
      <c r="C275"/>
      <c r="D275"/>
      <c r="E275"/>
      <c r="F275"/>
      <c r="G275"/>
      <c r="H275"/>
      <c r="I275"/>
      <c r="J275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</row>
    <row r="276" spans="1:123" ht="14.45">
      <c r="A276"/>
      <c r="B276"/>
      <c r="C276"/>
      <c r="D276"/>
      <c r="E276"/>
      <c r="F276"/>
      <c r="G276"/>
      <c r="H276"/>
      <c r="I276"/>
      <c r="J27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</row>
    <row r="277" spans="1:123" ht="14.45">
      <c r="A277"/>
      <c r="B277"/>
      <c r="C277"/>
      <c r="D277"/>
      <c r="E277"/>
      <c r="F277"/>
      <c r="G277"/>
      <c r="H277"/>
      <c r="I277"/>
      <c r="J277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</row>
    <row r="278" spans="1:123" ht="14.45">
      <c r="A278"/>
      <c r="B278"/>
      <c r="C278"/>
      <c r="D278"/>
      <c r="E278"/>
      <c r="F278"/>
      <c r="G278"/>
      <c r="H278"/>
      <c r="I278"/>
      <c r="J278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</row>
    <row r="279" spans="1:123" ht="14.45">
      <c r="A279"/>
      <c r="B279"/>
      <c r="C279"/>
      <c r="D279"/>
      <c r="E279"/>
      <c r="F279"/>
      <c r="G279"/>
      <c r="H279"/>
      <c r="I279"/>
      <c r="J279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</row>
    <row r="280" spans="1:123" ht="14.45">
      <c r="A280"/>
      <c r="B280"/>
      <c r="C280"/>
      <c r="D280"/>
      <c r="E280"/>
      <c r="F280"/>
      <c r="G280"/>
      <c r="H280"/>
      <c r="I280"/>
      <c r="J280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</row>
    <row r="281" spans="1:123" ht="14.45">
      <c r="A281"/>
      <c r="B281"/>
      <c r="C281"/>
      <c r="D281"/>
      <c r="E281"/>
      <c r="F281"/>
      <c r="G281"/>
      <c r="H281"/>
      <c r="I281"/>
      <c r="J281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</row>
    <row r="282" spans="1:123" ht="14.45">
      <c r="A282"/>
      <c r="B282"/>
      <c r="C282"/>
      <c r="D282"/>
      <c r="E282"/>
      <c r="F282"/>
      <c r="G282"/>
      <c r="H282"/>
      <c r="I282"/>
      <c r="J282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</row>
    <row r="283" spans="1:123" ht="14.45">
      <c r="A283"/>
      <c r="B283"/>
      <c r="C283"/>
      <c r="D283"/>
      <c r="E283"/>
      <c r="F283"/>
      <c r="G283"/>
      <c r="H283"/>
      <c r="I283"/>
      <c r="J283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</row>
    <row r="284" spans="1:123" ht="14.45">
      <c r="A284"/>
      <c r="B284"/>
      <c r="C284"/>
      <c r="D284"/>
      <c r="E284"/>
      <c r="F284"/>
      <c r="G284"/>
      <c r="H284"/>
      <c r="I284"/>
      <c r="J284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</row>
    <row r="285" spans="1:123" ht="14.45">
      <c r="A285"/>
      <c r="B285"/>
      <c r="C285"/>
      <c r="D285"/>
      <c r="E285"/>
      <c r="F285"/>
      <c r="G285"/>
      <c r="H285"/>
      <c r="I285"/>
      <c r="J285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</row>
    <row r="286" spans="1:123" ht="14.45">
      <c r="A286"/>
      <c r="B286"/>
      <c r="C286"/>
      <c r="D286"/>
      <c r="E286"/>
      <c r="F286"/>
      <c r="G286"/>
      <c r="H286"/>
      <c r="I286"/>
      <c r="J28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</row>
    <row r="287" spans="1:123" ht="14.45">
      <c r="A287"/>
      <c r="B287"/>
      <c r="C287"/>
      <c r="D287"/>
      <c r="E287"/>
      <c r="F287"/>
      <c r="G287"/>
      <c r="H287"/>
      <c r="I287"/>
      <c r="J287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</row>
    <row r="288" spans="1:123" ht="14.45">
      <c r="A288"/>
      <c r="B288"/>
      <c r="C288"/>
      <c r="D288"/>
      <c r="E288"/>
      <c r="F288"/>
      <c r="G288"/>
      <c r="H288"/>
      <c r="I288"/>
      <c r="J288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</row>
    <row r="289" spans="1:123" ht="14.45">
      <c r="A289"/>
      <c r="B289"/>
      <c r="C289"/>
      <c r="D289"/>
      <c r="E289"/>
      <c r="F289"/>
      <c r="G289"/>
      <c r="H289"/>
      <c r="I289"/>
      <c r="J289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</row>
    <row r="290" spans="1:123" ht="14.45">
      <c r="A290"/>
      <c r="B290"/>
      <c r="C290"/>
      <c r="D290"/>
      <c r="E290"/>
      <c r="F290"/>
      <c r="G290"/>
      <c r="H290"/>
      <c r="I290"/>
      <c r="J290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</row>
    <row r="291" spans="1:123" ht="14.45">
      <c r="A291"/>
      <c r="B291"/>
      <c r="C291"/>
      <c r="D291"/>
      <c r="E291"/>
      <c r="F291"/>
      <c r="G291"/>
      <c r="H291"/>
      <c r="I291"/>
      <c r="J291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</row>
    <row r="292" spans="1:123" ht="14.45">
      <c r="A292"/>
      <c r="B292"/>
      <c r="C292"/>
      <c r="D292"/>
      <c r="E292"/>
      <c r="F292"/>
      <c r="G292"/>
      <c r="H292"/>
      <c r="I292"/>
      <c r="J292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</row>
    <row r="293" spans="1:123" ht="14.45">
      <c r="A293"/>
      <c r="B293"/>
      <c r="C293"/>
      <c r="D293"/>
      <c r="E293"/>
      <c r="F293"/>
      <c r="G293"/>
      <c r="H293"/>
      <c r="I293"/>
      <c r="J293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</row>
    <row r="294" spans="1:123" ht="14.45">
      <c r="A294"/>
      <c r="B294"/>
      <c r="C294"/>
      <c r="D294"/>
      <c r="E294"/>
      <c r="F294"/>
      <c r="G294"/>
      <c r="H294"/>
      <c r="I294"/>
      <c r="J294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</row>
    <row r="295" spans="1:123" ht="14.45">
      <c r="A295"/>
      <c r="B295"/>
      <c r="C295"/>
      <c r="D295"/>
      <c r="E295"/>
      <c r="F295"/>
      <c r="G295"/>
      <c r="H295"/>
      <c r="I295"/>
      <c r="J295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</row>
    <row r="296" spans="1:123" ht="14.45">
      <c r="A296"/>
      <c r="B296"/>
      <c r="C296"/>
      <c r="D296"/>
      <c r="E296"/>
      <c r="F296"/>
      <c r="G296"/>
      <c r="H296"/>
      <c r="I296"/>
      <c r="J29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</row>
    <row r="297" spans="1:123" ht="14.45">
      <c r="A297"/>
      <c r="B297"/>
      <c r="C297"/>
      <c r="D297"/>
      <c r="E297"/>
      <c r="F297"/>
      <c r="G297"/>
      <c r="H297"/>
      <c r="I297"/>
      <c r="J297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</row>
    <row r="298" spans="1:123" ht="14.45">
      <c r="A298"/>
      <c r="B298"/>
      <c r="C298"/>
      <c r="D298"/>
      <c r="E298"/>
      <c r="F298"/>
      <c r="G298"/>
      <c r="H298"/>
      <c r="I298"/>
      <c r="J298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</row>
    <row r="299" spans="1:123" ht="14.45">
      <c r="A299"/>
      <c r="B299"/>
      <c r="C299"/>
      <c r="D299"/>
      <c r="E299"/>
      <c r="F299"/>
      <c r="G299"/>
      <c r="H299"/>
      <c r="I299"/>
      <c r="J299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</row>
    <row r="300" spans="1:123" ht="14.45">
      <c r="A300"/>
      <c r="B300"/>
      <c r="C300"/>
      <c r="D300"/>
      <c r="E300"/>
      <c r="F300"/>
      <c r="G300"/>
      <c r="H300"/>
      <c r="I300"/>
      <c r="J300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</row>
    <row r="301" spans="1:123" ht="14.45">
      <c r="A301"/>
      <c r="B301"/>
      <c r="C301"/>
      <c r="D301"/>
      <c r="E301"/>
      <c r="F301"/>
      <c r="G301"/>
      <c r="H301"/>
      <c r="I301"/>
      <c r="J301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</row>
    <row r="302" spans="1:123" ht="14.45">
      <c r="A302"/>
      <c r="B302"/>
      <c r="C302"/>
      <c r="D302"/>
      <c r="E302"/>
      <c r="F302"/>
      <c r="G302"/>
      <c r="H302"/>
      <c r="I302"/>
      <c r="J302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</row>
    <row r="303" spans="1:123" ht="14.45">
      <c r="A303"/>
      <c r="B303"/>
      <c r="C303"/>
      <c r="D303"/>
      <c r="E303"/>
      <c r="F303"/>
      <c r="G303"/>
      <c r="H303"/>
      <c r="I303"/>
      <c r="J303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</row>
    <row r="304" spans="1:123" ht="14.45">
      <c r="A304"/>
      <c r="B304"/>
      <c r="C304"/>
      <c r="D304"/>
      <c r="E304"/>
      <c r="F304"/>
      <c r="G304"/>
      <c r="H304"/>
      <c r="I304"/>
      <c r="J304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</row>
    <row r="305" spans="1:123" ht="14.45">
      <c r="A305"/>
      <c r="B305"/>
      <c r="C305"/>
      <c r="D305"/>
      <c r="E305"/>
      <c r="F305"/>
      <c r="G305"/>
      <c r="H305"/>
      <c r="I305"/>
      <c r="J305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</row>
    <row r="306" spans="1:123" ht="14.45">
      <c r="A306"/>
      <c r="B306"/>
      <c r="C306"/>
      <c r="D306"/>
      <c r="E306"/>
      <c r="F306"/>
      <c r="G306"/>
      <c r="H306"/>
      <c r="I306"/>
      <c r="J30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</row>
    <row r="307" spans="1:123" ht="14.45">
      <c r="A307"/>
      <c r="B307"/>
      <c r="C307"/>
      <c r="D307"/>
      <c r="E307"/>
      <c r="F307"/>
      <c r="G307"/>
      <c r="H307"/>
      <c r="I307"/>
      <c r="J307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</row>
    <row r="308" spans="1:123" ht="14.45">
      <c r="A308"/>
      <c r="B308"/>
      <c r="C308"/>
      <c r="D308"/>
      <c r="E308"/>
      <c r="F308"/>
      <c r="G308"/>
      <c r="H308"/>
      <c r="I308"/>
      <c r="J308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</row>
    <row r="309" spans="1:123" ht="14.45">
      <c r="A309"/>
      <c r="B309"/>
      <c r="C309"/>
      <c r="D309"/>
      <c r="E309"/>
      <c r="F309"/>
      <c r="G309"/>
      <c r="H309"/>
      <c r="I309"/>
      <c r="J309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</row>
    <row r="310" spans="1:123" ht="14.45">
      <c r="A310"/>
      <c r="B310"/>
      <c r="C310"/>
      <c r="D310"/>
      <c r="E310"/>
      <c r="F310"/>
      <c r="G310"/>
      <c r="H310"/>
      <c r="I310"/>
      <c r="J310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</row>
    <row r="311" spans="1:123" ht="14.45">
      <c r="A311"/>
      <c r="B311"/>
      <c r="C311"/>
      <c r="D311"/>
      <c r="E311"/>
      <c r="F311"/>
      <c r="G311"/>
      <c r="H311"/>
      <c r="I311"/>
      <c r="J311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</row>
    <row r="312" spans="1:123" ht="14.45">
      <c r="A312"/>
      <c r="B312"/>
      <c r="C312"/>
      <c r="D312"/>
      <c r="E312"/>
      <c r="F312"/>
      <c r="G312"/>
      <c r="H312"/>
      <c r="I312"/>
      <c r="J312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</row>
    <row r="313" spans="1:123" ht="14.45">
      <c r="A313"/>
      <c r="B313"/>
      <c r="C313"/>
      <c r="D313"/>
      <c r="E313"/>
      <c r="F313"/>
      <c r="G313"/>
      <c r="H313"/>
      <c r="I313"/>
      <c r="J313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</row>
    <row r="314" spans="1:123" ht="14.45">
      <c r="A314"/>
      <c r="B314"/>
      <c r="C314"/>
      <c r="D314"/>
      <c r="E314"/>
      <c r="F314"/>
      <c r="G314"/>
      <c r="H314"/>
      <c r="I314"/>
      <c r="J314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</row>
    <row r="315" spans="1:123" ht="14.45">
      <c r="A315"/>
      <c r="B315"/>
      <c r="C315"/>
      <c r="D315"/>
      <c r="E315"/>
      <c r="F315"/>
      <c r="G315"/>
      <c r="H315"/>
      <c r="I315"/>
      <c r="J315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</row>
    <row r="316" spans="1:123" ht="14.45">
      <c r="A316"/>
      <c r="B316"/>
      <c r="C316"/>
      <c r="D316"/>
      <c r="E316"/>
      <c r="F316"/>
      <c r="G316"/>
      <c r="H316"/>
      <c r="I316"/>
      <c r="J31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</row>
    <row r="317" spans="1:123" ht="14.45">
      <c r="A317"/>
      <c r="B317"/>
      <c r="C317"/>
      <c r="D317"/>
      <c r="E317"/>
      <c r="F317"/>
      <c r="G317"/>
      <c r="H317"/>
      <c r="I317"/>
      <c r="J317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</row>
    <row r="318" spans="1:123" ht="14.45">
      <c r="A318"/>
      <c r="B318"/>
      <c r="C318"/>
      <c r="D318"/>
      <c r="E318"/>
      <c r="F318"/>
      <c r="G318"/>
      <c r="H318"/>
      <c r="I318"/>
      <c r="J318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</row>
    <row r="319" spans="1:123" ht="14.45">
      <c r="A319"/>
      <c r="B319"/>
      <c r="C319"/>
      <c r="D319"/>
      <c r="E319"/>
      <c r="F319"/>
      <c r="G319"/>
      <c r="H319"/>
      <c r="I319"/>
      <c r="J319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</row>
    <row r="320" spans="1:123" ht="14.45">
      <c r="A320"/>
      <c r="B320"/>
      <c r="C320"/>
      <c r="D320"/>
      <c r="E320"/>
      <c r="F320"/>
      <c r="G320"/>
      <c r="H320"/>
      <c r="I320"/>
      <c r="J320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</row>
    <row r="321" spans="1:123" ht="14.45">
      <c r="A321"/>
      <c r="B321"/>
      <c r="C321"/>
      <c r="D321"/>
      <c r="E321"/>
      <c r="F321"/>
      <c r="G321"/>
      <c r="H321"/>
      <c r="I321"/>
      <c r="J321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</row>
    <row r="322" spans="1:123" ht="14.45">
      <c r="A322"/>
      <c r="B322"/>
      <c r="C322"/>
      <c r="D322"/>
      <c r="E322"/>
      <c r="F322"/>
      <c r="G322"/>
      <c r="H322"/>
      <c r="I322"/>
      <c r="J322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</row>
    <row r="323" spans="1:123" ht="14.45">
      <c r="A323"/>
      <c r="B323"/>
      <c r="C323"/>
      <c r="D323"/>
      <c r="E323"/>
      <c r="F323"/>
      <c r="G323"/>
      <c r="H323"/>
      <c r="I323"/>
      <c r="J323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</row>
    <row r="324" spans="1:123" ht="14.45">
      <c r="A324"/>
      <c r="B324"/>
      <c r="C324"/>
      <c r="D324"/>
      <c r="E324"/>
      <c r="F324"/>
      <c r="G324"/>
      <c r="H324"/>
      <c r="I324"/>
      <c r="J324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</row>
    <row r="325" spans="1:123" ht="14.45">
      <c r="A325"/>
      <c r="B325"/>
      <c r="C325"/>
      <c r="D325"/>
      <c r="E325"/>
      <c r="F325"/>
      <c r="G325"/>
      <c r="H325"/>
      <c r="I325"/>
      <c r="J325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</row>
    <row r="326" spans="1:123" ht="14.45">
      <c r="A326"/>
      <c r="B326"/>
      <c r="C326"/>
      <c r="D326"/>
      <c r="E326"/>
      <c r="F326"/>
      <c r="G326"/>
      <c r="H326"/>
      <c r="I326"/>
      <c r="J32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</row>
    <row r="327" spans="1:123" ht="14.45">
      <c r="A327"/>
      <c r="B327"/>
      <c r="C327"/>
      <c r="D327"/>
      <c r="E327"/>
      <c r="F327"/>
      <c r="G327"/>
      <c r="H327"/>
      <c r="I327"/>
      <c r="J327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</row>
    <row r="328" spans="1:123" ht="14.45">
      <c r="A328"/>
      <c r="B328"/>
      <c r="C328"/>
      <c r="D328"/>
      <c r="E328"/>
      <c r="F328"/>
      <c r="G328"/>
      <c r="H328"/>
      <c r="I328"/>
      <c r="J328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</row>
    <row r="329" spans="1:123" ht="14.45">
      <c r="A329"/>
      <c r="B329"/>
      <c r="C329"/>
      <c r="D329"/>
      <c r="E329"/>
      <c r="F329"/>
      <c r="G329"/>
      <c r="H329"/>
      <c r="I329"/>
      <c r="J329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</row>
    <row r="330" spans="1:123" ht="14.45">
      <c r="A330"/>
      <c r="B330"/>
      <c r="C330"/>
      <c r="D330"/>
      <c r="E330"/>
      <c r="F330"/>
      <c r="G330"/>
      <c r="H330"/>
      <c r="I330"/>
      <c r="J330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</row>
    <row r="331" spans="1:123" ht="14.45">
      <c r="A331"/>
      <c r="B331"/>
      <c r="C331"/>
      <c r="D331"/>
      <c r="E331"/>
      <c r="F331"/>
      <c r="G331"/>
      <c r="H331"/>
      <c r="I331"/>
      <c r="J331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</row>
    <row r="332" spans="1:123" ht="14.45">
      <c r="A332"/>
      <c r="B332"/>
      <c r="C332"/>
      <c r="D332"/>
      <c r="E332"/>
      <c r="F332"/>
      <c r="G332"/>
      <c r="H332"/>
      <c r="I332"/>
      <c r="J332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</row>
    <row r="333" spans="1:123" ht="14.45">
      <c r="A333"/>
      <c r="B333"/>
      <c r="C333"/>
      <c r="D333"/>
      <c r="E333"/>
      <c r="F333"/>
      <c r="G333"/>
      <c r="H333"/>
      <c r="I333"/>
      <c r="J333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</row>
    <row r="334" spans="1:123" ht="14.45">
      <c r="A334"/>
      <c r="B334"/>
      <c r="C334"/>
      <c r="D334"/>
      <c r="E334"/>
      <c r="F334"/>
      <c r="G334"/>
      <c r="H334"/>
      <c r="I334"/>
      <c r="J334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</row>
    <row r="335" spans="1:123" ht="14.45">
      <c r="A335"/>
      <c r="B335"/>
      <c r="C335"/>
      <c r="D335"/>
      <c r="E335"/>
      <c r="F335"/>
      <c r="G335"/>
      <c r="H335"/>
      <c r="I335"/>
      <c r="J335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</row>
    <row r="336" spans="1:123" ht="14.45">
      <c r="A336"/>
      <c r="B336"/>
      <c r="C336"/>
      <c r="D336"/>
      <c r="E336"/>
      <c r="F336"/>
      <c r="G336"/>
      <c r="H336"/>
      <c r="I336"/>
      <c r="J3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</row>
    <row r="337" spans="1:123" ht="14.45">
      <c r="A337"/>
      <c r="B337"/>
      <c r="C337"/>
      <c r="D337"/>
      <c r="E337"/>
      <c r="F337"/>
      <c r="G337"/>
      <c r="H337"/>
      <c r="I337"/>
      <c r="J337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</row>
    <row r="338" spans="1:123" ht="14.45">
      <c r="A338"/>
      <c r="B338"/>
      <c r="C338"/>
      <c r="D338"/>
      <c r="E338"/>
      <c r="F338"/>
      <c r="G338"/>
      <c r="H338"/>
      <c r="I338"/>
      <c r="J338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</row>
    <row r="339" spans="1:123" ht="14.45">
      <c r="A339"/>
      <c r="B339"/>
      <c r="C339"/>
      <c r="D339"/>
      <c r="E339"/>
      <c r="F339"/>
      <c r="G339"/>
      <c r="H339"/>
      <c r="I339"/>
      <c r="J339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</row>
    <row r="340" spans="1:123" ht="14.45">
      <c r="A340"/>
      <c r="B340"/>
      <c r="C340"/>
      <c r="D340"/>
      <c r="E340"/>
      <c r="F340"/>
      <c r="G340"/>
      <c r="H340"/>
      <c r="I340"/>
      <c r="J340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</row>
    <row r="341" spans="1:123" ht="14.45">
      <c r="A341"/>
      <c r="B341"/>
      <c r="C341"/>
      <c r="D341"/>
      <c r="E341"/>
      <c r="F341"/>
      <c r="G341"/>
      <c r="H341"/>
      <c r="I341"/>
      <c r="J341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</row>
    <row r="342" spans="1:123" ht="14.45">
      <c r="A342"/>
      <c r="B342"/>
      <c r="C342"/>
      <c r="D342"/>
      <c r="E342"/>
      <c r="F342"/>
      <c r="G342"/>
      <c r="H342"/>
      <c r="I342"/>
      <c r="J342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</row>
    <row r="343" spans="1:123" ht="14.45">
      <c r="A343"/>
      <c r="B343"/>
      <c r="C343"/>
      <c r="D343"/>
      <c r="E343"/>
      <c r="F343"/>
      <c r="G343"/>
      <c r="H343"/>
      <c r="I343"/>
      <c r="J343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</row>
    <row r="344" spans="1:123" ht="14.45">
      <c r="A344"/>
      <c r="B344"/>
      <c r="C344"/>
      <c r="D344"/>
      <c r="E344"/>
      <c r="F344"/>
      <c r="G344"/>
      <c r="H344"/>
      <c r="I344"/>
      <c r="J344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</row>
    <row r="345" spans="1:123" ht="14.45">
      <c r="A345"/>
      <c r="B345"/>
      <c r="C345"/>
      <c r="D345"/>
      <c r="E345"/>
      <c r="F345"/>
      <c r="G345"/>
      <c r="H345"/>
      <c r="I345"/>
      <c r="J345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</row>
    <row r="346" spans="1:123" ht="14.45">
      <c r="A346"/>
      <c r="B346"/>
      <c r="C346"/>
      <c r="D346"/>
      <c r="E346"/>
      <c r="F346"/>
      <c r="G346"/>
      <c r="H346"/>
      <c r="I346"/>
      <c r="J34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</row>
    <row r="347" spans="1:123" ht="14.45">
      <c r="A347"/>
      <c r="B347"/>
      <c r="C347"/>
      <c r="D347"/>
      <c r="E347"/>
      <c r="F347"/>
      <c r="G347"/>
      <c r="H347"/>
      <c r="I347"/>
      <c r="J347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</row>
    <row r="348" spans="1:123" ht="14.45">
      <c r="A348"/>
      <c r="B348"/>
      <c r="C348"/>
      <c r="D348"/>
      <c r="E348"/>
      <c r="F348"/>
      <c r="G348"/>
      <c r="H348"/>
      <c r="I348"/>
      <c r="J348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</row>
    <row r="349" spans="1:123" ht="14.45">
      <c r="A349"/>
      <c r="B349"/>
      <c r="C349"/>
      <c r="D349"/>
      <c r="E349"/>
      <c r="F349"/>
      <c r="G349"/>
      <c r="H349"/>
      <c r="I349"/>
      <c r="J349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</row>
    <row r="350" spans="1:123" ht="14.45">
      <c r="A350"/>
      <c r="B350"/>
      <c r="C350"/>
      <c r="D350"/>
      <c r="E350"/>
      <c r="F350"/>
      <c r="G350"/>
      <c r="H350"/>
      <c r="I350"/>
      <c r="J350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</row>
    <row r="351" spans="1:123" ht="14.45">
      <c r="A351"/>
      <c r="B351"/>
      <c r="C351"/>
      <c r="D351"/>
      <c r="E351"/>
      <c r="F351"/>
      <c r="G351"/>
      <c r="H351"/>
      <c r="I351"/>
      <c r="J351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</row>
    <row r="352" spans="1:123" ht="14.45">
      <c r="A352"/>
      <c r="B352"/>
      <c r="C352"/>
      <c r="D352"/>
      <c r="E352"/>
      <c r="F352"/>
      <c r="G352"/>
      <c r="H352"/>
      <c r="I352"/>
      <c r="J352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</row>
    <row r="353" spans="1:123" ht="14.45">
      <c r="A353"/>
      <c r="B353"/>
      <c r="C353"/>
      <c r="D353"/>
      <c r="E353"/>
      <c r="F353"/>
      <c r="G353"/>
      <c r="H353"/>
      <c r="I353"/>
      <c r="J353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</row>
    <row r="354" spans="1:123" ht="14.45">
      <c r="A354"/>
      <c r="B354"/>
      <c r="C354"/>
      <c r="D354"/>
      <c r="E354"/>
      <c r="F354"/>
      <c r="G354"/>
      <c r="H354"/>
      <c r="I354"/>
      <c r="J354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</row>
    <row r="355" spans="1:123" ht="14.45">
      <c r="A355"/>
      <c r="B355"/>
      <c r="C355"/>
      <c r="D355"/>
      <c r="E355"/>
      <c r="F355"/>
      <c r="G355"/>
      <c r="H355"/>
      <c r="I355"/>
      <c r="J355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</row>
    <row r="356" spans="1:123" ht="14.45">
      <c r="A356"/>
      <c r="B356"/>
      <c r="C356"/>
      <c r="D356"/>
      <c r="E356"/>
      <c r="F356"/>
      <c r="G356"/>
      <c r="H356"/>
      <c r="I356"/>
      <c r="J35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</row>
    <row r="357" spans="1:123" ht="14.45">
      <c r="A357"/>
      <c r="B357"/>
      <c r="C357"/>
      <c r="D357"/>
      <c r="E357"/>
      <c r="F357"/>
      <c r="G357"/>
      <c r="H357"/>
      <c r="I357"/>
      <c r="J357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</row>
    <row r="358" spans="1:123" ht="14.45">
      <c r="A358"/>
      <c r="B358"/>
      <c r="C358"/>
      <c r="D358"/>
      <c r="E358"/>
      <c r="F358"/>
      <c r="G358"/>
      <c r="H358"/>
      <c r="I358"/>
      <c r="J358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</row>
    <row r="359" spans="1:123" ht="14.45">
      <c r="A359"/>
      <c r="B359"/>
      <c r="C359"/>
      <c r="D359"/>
      <c r="E359"/>
      <c r="F359"/>
      <c r="G359"/>
      <c r="H359"/>
      <c r="I359"/>
      <c r="J359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</row>
    <row r="360" spans="1:123" ht="14.45">
      <c r="A360"/>
      <c r="B360"/>
      <c r="C360"/>
      <c r="D360"/>
      <c r="E360"/>
      <c r="F360"/>
      <c r="G360"/>
      <c r="H360"/>
      <c r="I360"/>
      <c r="J360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</row>
    <row r="361" spans="1:123" ht="14.45">
      <c r="A361"/>
      <c r="B361"/>
      <c r="C361"/>
      <c r="D361"/>
      <c r="E361"/>
      <c r="F361"/>
      <c r="G361"/>
      <c r="H361"/>
      <c r="I361"/>
      <c r="J361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</row>
    <row r="362" spans="1:123" ht="14.45">
      <c r="A362"/>
      <c r="B362"/>
      <c r="C362"/>
      <c r="D362"/>
      <c r="E362"/>
      <c r="F362"/>
      <c r="G362"/>
      <c r="H362"/>
      <c r="I362"/>
      <c r="J362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</row>
    <row r="363" spans="1:123" ht="14.45">
      <c r="A363"/>
      <c r="B363"/>
      <c r="C363"/>
      <c r="D363"/>
      <c r="E363"/>
      <c r="F363"/>
      <c r="G363"/>
      <c r="H363"/>
      <c r="I363"/>
      <c r="J363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</row>
    <row r="364" spans="1:123" ht="14.45">
      <c r="A364"/>
      <c r="B364"/>
      <c r="C364"/>
      <c r="D364"/>
      <c r="E364"/>
      <c r="F364"/>
      <c r="G364"/>
      <c r="H364"/>
      <c r="I364"/>
      <c r="J364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</row>
    <row r="365" spans="1:123" ht="14.45">
      <c r="A365"/>
      <c r="B365"/>
      <c r="C365"/>
      <c r="D365"/>
      <c r="E365"/>
      <c r="F365"/>
      <c r="G365"/>
      <c r="H365"/>
      <c r="I365"/>
      <c r="J365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</row>
    <row r="366" spans="1:123" ht="14.45">
      <c r="A366"/>
      <c r="B366"/>
      <c r="C366"/>
      <c r="D366"/>
      <c r="E366"/>
      <c r="F366"/>
      <c r="G366"/>
      <c r="H366"/>
      <c r="I366"/>
      <c r="J36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</row>
    <row r="367" spans="1:123" ht="14.45">
      <c r="A367"/>
      <c r="B367"/>
      <c r="C367"/>
      <c r="D367"/>
      <c r="E367"/>
      <c r="F367"/>
      <c r="G367"/>
      <c r="H367"/>
      <c r="I367"/>
      <c r="J367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</row>
    <row r="368" spans="1:123" ht="14.45">
      <c r="A368"/>
      <c r="B368"/>
      <c r="C368"/>
      <c r="D368"/>
      <c r="E368"/>
      <c r="F368"/>
      <c r="G368"/>
      <c r="H368"/>
      <c r="I368"/>
      <c r="J368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</row>
    <row r="369" spans="1:123" ht="14.45">
      <c r="A369"/>
      <c r="B369"/>
      <c r="C369"/>
      <c r="D369"/>
      <c r="E369"/>
      <c r="F369"/>
      <c r="G369"/>
      <c r="H369"/>
      <c r="I369"/>
      <c r="J369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</row>
    <row r="370" spans="1:123" ht="14.45">
      <c r="A370"/>
      <c r="B370"/>
      <c r="C370"/>
      <c r="D370"/>
      <c r="E370"/>
      <c r="F370"/>
      <c r="G370"/>
      <c r="H370"/>
      <c r="I370"/>
      <c r="J370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</row>
    <row r="371" spans="1:123" ht="14.45">
      <c r="A371"/>
      <c r="B371"/>
      <c r="C371"/>
      <c r="D371"/>
      <c r="E371"/>
      <c r="F371"/>
      <c r="G371"/>
      <c r="H371"/>
      <c r="I371"/>
      <c r="J371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</row>
    <row r="372" spans="1:123" ht="14.45">
      <c r="A372"/>
      <c r="B372"/>
      <c r="C372"/>
      <c r="D372"/>
      <c r="E372"/>
      <c r="F372"/>
      <c r="G372"/>
      <c r="H372"/>
      <c r="I372"/>
      <c r="J372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</row>
    <row r="373" spans="1:123" ht="14.45">
      <c r="A373"/>
      <c r="B373"/>
      <c r="C373"/>
      <c r="D373"/>
      <c r="E373"/>
      <c r="F373"/>
      <c r="G373"/>
      <c r="H373"/>
      <c r="I373"/>
      <c r="J373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</row>
    <row r="374" spans="1:123" ht="14.45">
      <c r="A374"/>
      <c r="B374"/>
      <c r="C374"/>
      <c r="D374"/>
      <c r="E374"/>
      <c r="F374"/>
      <c r="G374"/>
      <c r="H374"/>
      <c r="I374"/>
      <c r="J374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</row>
    <row r="375" spans="1:123" ht="14.45">
      <c r="A375"/>
      <c r="B375"/>
      <c r="C375"/>
      <c r="D375"/>
      <c r="E375"/>
      <c r="F375"/>
      <c r="G375"/>
      <c r="H375"/>
      <c r="I375"/>
      <c r="J375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</row>
    <row r="376" spans="1:123" ht="14.45">
      <c r="A376"/>
      <c r="B376"/>
      <c r="C376"/>
      <c r="D376"/>
      <c r="E376"/>
      <c r="F376"/>
      <c r="G376"/>
      <c r="H376"/>
      <c r="I376"/>
      <c r="J37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</row>
    <row r="377" spans="1:123" ht="14.45">
      <c r="A377"/>
      <c r="B377"/>
      <c r="C377"/>
      <c r="D377"/>
      <c r="E377"/>
      <c r="F377"/>
      <c r="G377"/>
      <c r="H377"/>
      <c r="I377"/>
      <c r="J377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</row>
    <row r="378" spans="1:123" ht="14.45">
      <c r="A378"/>
      <c r="B378"/>
      <c r="C378"/>
      <c r="D378"/>
      <c r="E378"/>
      <c r="F378"/>
      <c r="G378"/>
      <c r="H378"/>
      <c r="I378"/>
      <c r="J378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</row>
    <row r="379" spans="1:123" ht="14.45">
      <c r="A379"/>
      <c r="B379"/>
      <c r="C379"/>
      <c r="D379"/>
      <c r="E379"/>
      <c r="F379"/>
      <c r="G379"/>
      <c r="H379"/>
      <c r="I379"/>
      <c r="J379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</row>
    <row r="380" spans="1:123" ht="14.45">
      <c r="A380"/>
      <c r="B380"/>
      <c r="C380"/>
      <c r="D380"/>
      <c r="E380"/>
      <c r="F380"/>
      <c r="G380"/>
      <c r="H380"/>
      <c r="I380"/>
      <c r="J380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</row>
    <row r="381" spans="1:123" ht="14.45">
      <c r="A381"/>
      <c r="B381"/>
      <c r="C381"/>
      <c r="D381"/>
      <c r="E381"/>
      <c r="F381"/>
      <c r="G381"/>
      <c r="H381"/>
      <c r="I381"/>
      <c r="J381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</row>
    <row r="382" spans="1:123" ht="14.45">
      <c r="A382"/>
      <c r="B382"/>
      <c r="C382"/>
      <c r="D382"/>
      <c r="E382"/>
      <c r="F382"/>
      <c r="G382"/>
      <c r="H382"/>
      <c r="I382"/>
      <c r="J382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</row>
    <row r="383" spans="1:123" ht="14.45">
      <c r="A383"/>
      <c r="B383"/>
      <c r="C383"/>
      <c r="D383"/>
      <c r="E383"/>
      <c r="F383"/>
      <c r="G383"/>
      <c r="H383"/>
      <c r="I383"/>
      <c r="J383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</row>
    <row r="384" spans="1:123" ht="14.45">
      <c r="A384"/>
      <c r="B384"/>
      <c r="C384"/>
      <c r="D384"/>
      <c r="E384"/>
      <c r="F384"/>
      <c r="G384"/>
      <c r="H384"/>
      <c r="I384"/>
      <c r="J384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</row>
    <row r="385" spans="1:123" ht="14.45">
      <c r="A385"/>
      <c r="B385"/>
      <c r="C385"/>
      <c r="D385"/>
      <c r="E385"/>
      <c r="F385"/>
      <c r="G385"/>
      <c r="H385"/>
      <c r="I385"/>
      <c r="J385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</row>
    <row r="386" spans="1:123" ht="14.45">
      <c r="A386"/>
      <c r="B386"/>
      <c r="C386"/>
      <c r="D386"/>
      <c r="E386"/>
      <c r="F386"/>
      <c r="G386"/>
      <c r="H386"/>
      <c r="I386"/>
      <c r="J38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</row>
    <row r="387" spans="1:123" ht="14.45">
      <c r="A387"/>
      <c r="B387"/>
      <c r="C387"/>
      <c r="D387"/>
      <c r="E387"/>
      <c r="F387"/>
      <c r="G387"/>
      <c r="H387"/>
      <c r="I387"/>
      <c r="J387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/>
      <c r="DP387" s="36"/>
      <c r="DQ387" s="36"/>
      <c r="DR387" s="36"/>
      <c r="DS387" s="36"/>
    </row>
    <row r="388" spans="1:123" ht="14.45">
      <c r="A388"/>
      <c r="B388"/>
      <c r="C388"/>
      <c r="D388"/>
      <c r="E388"/>
      <c r="F388"/>
      <c r="G388"/>
      <c r="H388"/>
      <c r="I388"/>
      <c r="J388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</row>
    <row r="389" spans="1:123" ht="14.45">
      <c r="A389"/>
      <c r="B389"/>
      <c r="C389"/>
      <c r="D389"/>
      <c r="E389"/>
      <c r="F389"/>
      <c r="G389"/>
      <c r="H389"/>
      <c r="I389"/>
      <c r="J389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</row>
    <row r="390" spans="1:123" ht="14.45">
      <c r="A390"/>
      <c r="B390"/>
      <c r="C390"/>
      <c r="D390"/>
      <c r="E390"/>
      <c r="F390"/>
      <c r="G390"/>
      <c r="H390"/>
      <c r="I390"/>
      <c r="J390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</row>
    <row r="391" spans="1:123" ht="14.45">
      <c r="A391"/>
      <c r="B391"/>
      <c r="C391"/>
      <c r="D391"/>
      <c r="E391"/>
      <c r="F391"/>
      <c r="G391"/>
      <c r="H391"/>
      <c r="I391"/>
      <c r="J391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</row>
    <row r="392" spans="1:123" ht="14.45">
      <c r="A392"/>
      <c r="B392"/>
      <c r="C392"/>
      <c r="D392"/>
      <c r="E392"/>
      <c r="F392"/>
      <c r="G392"/>
      <c r="H392"/>
      <c r="I392"/>
      <c r="J392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</row>
    <row r="393" spans="1:123" ht="14.45">
      <c r="A393"/>
      <c r="B393"/>
      <c r="C393"/>
      <c r="D393"/>
      <c r="E393"/>
      <c r="F393"/>
      <c r="G393"/>
      <c r="H393"/>
      <c r="I393"/>
      <c r="J393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</row>
    <row r="394" spans="1:123" ht="14.45">
      <c r="A394"/>
      <c r="B394"/>
      <c r="C394"/>
      <c r="D394"/>
      <c r="E394"/>
      <c r="F394"/>
      <c r="G394"/>
      <c r="H394"/>
      <c r="I394"/>
      <c r="J394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</row>
    <row r="395" spans="1:123" ht="14.45">
      <c r="A395"/>
      <c r="B395"/>
      <c r="C395"/>
      <c r="D395"/>
      <c r="E395"/>
      <c r="F395"/>
      <c r="G395"/>
      <c r="H395"/>
      <c r="I395"/>
      <c r="J395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</row>
    <row r="396" spans="1:123" ht="14.45">
      <c r="A396"/>
      <c r="B396"/>
      <c r="C396"/>
      <c r="D396"/>
      <c r="E396"/>
      <c r="F396"/>
      <c r="G396"/>
      <c r="H396"/>
      <c r="I396"/>
      <c r="J39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</row>
    <row r="397" spans="1:123" ht="14.45">
      <c r="A397"/>
      <c r="B397"/>
      <c r="C397"/>
      <c r="D397"/>
      <c r="E397"/>
      <c r="F397"/>
      <c r="G397"/>
      <c r="H397"/>
      <c r="I397"/>
      <c r="J397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</row>
    <row r="398" spans="1:123" ht="14.45">
      <c r="A398"/>
      <c r="B398"/>
      <c r="C398"/>
      <c r="D398"/>
      <c r="E398"/>
      <c r="F398"/>
      <c r="G398"/>
      <c r="H398"/>
      <c r="I398"/>
      <c r="J398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</row>
    <row r="399" spans="1:123" ht="14.45">
      <c r="A399"/>
      <c r="B399"/>
      <c r="C399"/>
      <c r="D399"/>
      <c r="E399"/>
      <c r="F399"/>
      <c r="G399"/>
      <c r="H399"/>
      <c r="I399"/>
      <c r="J399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</row>
    <row r="400" spans="1:123" ht="14.45">
      <c r="A400"/>
      <c r="B400"/>
      <c r="C400"/>
      <c r="D400"/>
      <c r="E400"/>
      <c r="F400"/>
      <c r="G400"/>
      <c r="H400"/>
      <c r="I400"/>
      <c r="J400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</row>
    <row r="401" spans="1:123" ht="14.45">
      <c r="A401"/>
      <c r="B401"/>
      <c r="C401"/>
      <c r="D401"/>
      <c r="E401"/>
      <c r="F401"/>
      <c r="G401"/>
      <c r="H401"/>
      <c r="I401"/>
      <c r="J401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</row>
    <row r="402" spans="1:123" ht="14.45">
      <c r="A402"/>
      <c r="B402"/>
      <c r="C402"/>
      <c r="D402"/>
      <c r="E402"/>
      <c r="F402"/>
      <c r="G402"/>
      <c r="H402"/>
      <c r="I402"/>
      <c r="J402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</row>
    <row r="403" spans="1:123" ht="14.45">
      <c r="A403"/>
      <c r="B403"/>
      <c r="C403"/>
      <c r="D403"/>
      <c r="E403"/>
      <c r="F403"/>
      <c r="G403"/>
      <c r="H403"/>
      <c r="I403"/>
      <c r="J403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</row>
    <row r="404" spans="1:123" ht="14.45">
      <c r="A404"/>
      <c r="B404"/>
      <c r="C404"/>
      <c r="D404"/>
      <c r="E404"/>
      <c r="F404"/>
      <c r="G404"/>
      <c r="H404"/>
      <c r="I404"/>
      <c r="J404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</row>
    <row r="405" spans="1:123" ht="14.45">
      <c r="A405"/>
      <c r="B405"/>
      <c r="C405"/>
      <c r="D405"/>
      <c r="E405"/>
      <c r="F405"/>
      <c r="G405"/>
      <c r="H405"/>
      <c r="I405"/>
      <c r="J405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</row>
    <row r="406" spans="1:123" ht="14.45">
      <c r="A406"/>
      <c r="B406"/>
      <c r="C406"/>
      <c r="D406"/>
      <c r="E406"/>
      <c r="F406"/>
      <c r="G406"/>
      <c r="H406"/>
      <c r="I406"/>
      <c r="J40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</row>
    <row r="407" spans="1:123" ht="14.45">
      <c r="A407"/>
      <c r="B407"/>
      <c r="C407"/>
      <c r="D407"/>
      <c r="E407"/>
      <c r="F407"/>
      <c r="G407"/>
      <c r="H407"/>
      <c r="I407"/>
      <c r="J407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</row>
    <row r="408" spans="1:123" ht="14.45">
      <c r="A408"/>
      <c r="B408"/>
      <c r="C408"/>
      <c r="D408"/>
      <c r="E408"/>
      <c r="F408"/>
      <c r="G408"/>
      <c r="H408"/>
      <c r="I408"/>
      <c r="J408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</row>
    <row r="409" spans="1:123" ht="14.45">
      <c r="A409"/>
      <c r="B409"/>
      <c r="C409"/>
      <c r="D409"/>
      <c r="E409"/>
      <c r="F409"/>
      <c r="G409"/>
      <c r="H409"/>
      <c r="I409"/>
      <c r="J409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</row>
    <row r="410" spans="1:123" ht="14.45">
      <c r="A410"/>
      <c r="B410"/>
      <c r="C410"/>
      <c r="D410"/>
      <c r="E410"/>
      <c r="F410"/>
      <c r="G410"/>
      <c r="H410"/>
      <c r="I410"/>
      <c r="J410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</row>
    <row r="411" spans="1:123" ht="14.45">
      <c r="A411"/>
      <c r="B411"/>
      <c r="C411"/>
      <c r="D411"/>
      <c r="E411"/>
      <c r="F411"/>
      <c r="G411"/>
      <c r="H411"/>
      <c r="I411"/>
      <c r="J411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</row>
    <row r="412" spans="1:123" ht="14.45">
      <c r="A412"/>
      <c r="B412"/>
      <c r="C412"/>
      <c r="D412"/>
      <c r="E412"/>
      <c r="F412"/>
      <c r="G412"/>
      <c r="H412"/>
      <c r="I412"/>
      <c r="J412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</row>
    <row r="413" spans="1:123" ht="14.45">
      <c r="A413"/>
      <c r="B413"/>
      <c r="C413"/>
      <c r="D413"/>
      <c r="E413"/>
      <c r="F413"/>
      <c r="G413"/>
      <c r="H413"/>
      <c r="I413"/>
      <c r="J413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</row>
    <row r="414" spans="1:123" ht="14.45">
      <c r="A414"/>
      <c r="B414"/>
      <c r="C414"/>
      <c r="D414"/>
      <c r="E414"/>
      <c r="F414"/>
      <c r="G414"/>
      <c r="H414"/>
      <c r="I414"/>
      <c r="J414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</row>
    <row r="415" spans="1:123" ht="14.45">
      <c r="A415"/>
      <c r="B415"/>
      <c r="C415"/>
      <c r="D415"/>
      <c r="E415"/>
      <c r="F415"/>
      <c r="G415"/>
      <c r="H415"/>
      <c r="I415"/>
      <c r="J415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</row>
    <row r="416" spans="1:123" ht="14.45">
      <c r="A416"/>
      <c r="B416"/>
      <c r="C416"/>
      <c r="D416"/>
      <c r="E416"/>
      <c r="F416"/>
      <c r="G416"/>
      <c r="H416"/>
      <c r="I416"/>
      <c r="J41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/>
      <c r="DQ416" s="36"/>
      <c r="DR416" s="36"/>
      <c r="DS416" s="36"/>
    </row>
    <row r="417" spans="1:123" ht="14.45">
      <c r="A417"/>
      <c r="B417"/>
      <c r="C417"/>
      <c r="D417"/>
      <c r="E417"/>
      <c r="F417"/>
      <c r="G417"/>
      <c r="H417"/>
      <c r="I417"/>
      <c r="J417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</row>
    <row r="418" spans="1:123" ht="14.45">
      <c r="A418"/>
      <c r="B418"/>
      <c r="C418"/>
      <c r="D418"/>
      <c r="E418"/>
      <c r="F418"/>
      <c r="G418"/>
      <c r="H418"/>
      <c r="I418"/>
      <c r="J418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/>
      <c r="DR418" s="36"/>
      <c r="DS418" s="36"/>
    </row>
    <row r="419" spans="1:123" ht="14.45">
      <c r="A419"/>
      <c r="B419"/>
      <c r="C419"/>
      <c r="D419"/>
      <c r="E419"/>
      <c r="F419"/>
      <c r="G419"/>
      <c r="H419"/>
      <c r="I419"/>
      <c r="J419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</row>
    <row r="420" spans="1:123" ht="14.45">
      <c r="A420"/>
      <c r="B420"/>
      <c r="C420"/>
      <c r="D420"/>
      <c r="E420"/>
      <c r="F420"/>
      <c r="G420"/>
      <c r="H420"/>
      <c r="I420"/>
      <c r="J420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</row>
    <row r="421" spans="1:123" ht="14.45">
      <c r="A421"/>
      <c r="B421"/>
      <c r="C421"/>
      <c r="D421"/>
      <c r="E421"/>
      <c r="F421"/>
      <c r="G421"/>
      <c r="H421"/>
      <c r="I421"/>
      <c r="J421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</row>
    <row r="422" spans="1:123" ht="14.45">
      <c r="A422"/>
      <c r="B422"/>
      <c r="C422"/>
      <c r="D422"/>
      <c r="E422"/>
      <c r="F422"/>
      <c r="G422"/>
      <c r="H422"/>
      <c r="I422"/>
      <c r="J422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</row>
    <row r="423" spans="1:123" ht="14.45">
      <c r="A423"/>
      <c r="B423"/>
      <c r="C423"/>
      <c r="D423"/>
      <c r="E423"/>
      <c r="F423"/>
      <c r="G423"/>
      <c r="H423"/>
      <c r="I423"/>
      <c r="J423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</row>
    <row r="424" spans="1:123" ht="14.45">
      <c r="A424"/>
      <c r="B424"/>
      <c r="C424"/>
      <c r="D424"/>
      <c r="E424"/>
      <c r="F424"/>
      <c r="G424"/>
      <c r="H424"/>
      <c r="I424"/>
      <c r="J424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  <c r="DO424" s="36"/>
      <c r="DP424" s="36"/>
      <c r="DQ424" s="36"/>
      <c r="DR424" s="36"/>
      <c r="DS424" s="36"/>
    </row>
    <row r="425" spans="1:123" ht="14.45">
      <c r="A425"/>
      <c r="B425"/>
      <c r="C425"/>
      <c r="D425"/>
      <c r="E425"/>
      <c r="F425"/>
      <c r="G425"/>
      <c r="H425"/>
      <c r="I425"/>
      <c r="J425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</row>
    <row r="426" spans="1:123" ht="14.45">
      <c r="A426"/>
      <c r="B426"/>
      <c r="C426"/>
      <c r="D426"/>
      <c r="E426"/>
      <c r="F426"/>
      <c r="G426"/>
      <c r="H426"/>
      <c r="I426"/>
      <c r="J42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  <c r="DO426" s="36"/>
      <c r="DP426" s="36"/>
      <c r="DQ426" s="36"/>
      <c r="DR426" s="36"/>
      <c r="DS426" s="36"/>
    </row>
    <row r="427" spans="1:123" ht="14.45">
      <c r="A427"/>
      <c r="B427"/>
      <c r="C427"/>
      <c r="D427"/>
      <c r="E427"/>
      <c r="F427"/>
      <c r="G427"/>
      <c r="H427"/>
      <c r="I427"/>
      <c r="J427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</row>
    <row r="428" spans="1:123" ht="14.45">
      <c r="A428"/>
      <c r="B428"/>
      <c r="C428"/>
      <c r="D428"/>
      <c r="E428"/>
      <c r="F428"/>
      <c r="G428"/>
      <c r="H428"/>
      <c r="I428"/>
      <c r="J428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  <c r="DO428" s="36"/>
      <c r="DP428" s="36"/>
      <c r="DQ428" s="36"/>
      <c r="DR428" s="36"/>
      <c r="DS428" s="36"/>
    </row>
    <row r="429" spans="1:123" ht="14.45">
      <c r="A429"/>
      <c r="B429"/>
      <c r="C429"/>
      <c r="D429"/>
      <c r="E429"/>
      <c r="F429"/>
      <c r="G429"/>
      <c r="H429"/>
      <c r="I429"/>
      <c r="J429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</row>
    <row r="430" spans="1:123" ht="14.45">
      <c r="A430"/>
      <c r="B430"/>
      <c r="C430"/>
      <c r="D430"/>
      <c r="E430"/>
      <c r="F430"/>
      <c r="G430"/>
      <c r="H430"/>
      <c r="I430"/>
      <c r="J430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</row>
    <row r="431" spans="1:123" ht="14.45">
      <c r="A431"/>
      <c r="B431"/>
      <c r="C431"/>
      <c r="D431"/>
      <c r="E431"/>
      <c r="F431"/>
      <c r="G431"/>
      <c r="H431"/>
      <c r="I431"/>
      <c r="J431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</row>
    <row r="432" spans="1:123" ht="14.45">
      <c r="A432"/>
      <c r="B432"/>
      <c r="C432"/>
      <c r="D432"/>
      <c r="E432"/>
      <c r="F432"/>
      <c r="G432"/>
      <c r="H432"/>
      <c r="I432"/>
      <c r="J432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  <c r="DO432" s="36"/>
      <c r="DP432" s="36"/>
      <c r="DQ432" s="36"/>
      <c r="DR432" s="36"/>
      <c r="DS432" s="36"/>
    </row>
    <row r="433" spans="1:123" ht="14.45">
      <c r="A433"/>
      <c r="B433"/>
      <c r="C433"/>
      <c r="D433"/>
      <c r="E433"/>
      <c r="F433"/>
      <c r="G433"/>
      <c r="H433"/>
      <c r="I433"/>
      <c r="J433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</row>
    <row r="434" spans="1:123" ht="14.45">
      <c r="A434"/>
      <c r="B434"/>
      <c r="C434"/>
      <c r="D434"/>
      <c r="E434"/>
      <c r="F434"/>
      <c r="G434"/>
      <c r="H434"/>
      <c r="I434"/>
      <c r="J434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/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</row>
    <row r="435" spans="1:123" ht="14.45">
      <c r="A435"/>
      <c r="B435"/>
      <c r="C435"/>
      <c r="D435"/>
      <c r="E435"/>
      <c r="F435"/>
      <c r="G435"/>
      <c r="H435"/>
      <c r="I435"/>
      <c r="J435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</row>
    <row r="436" spans="1:123" ht="14.45">
      <c r="A436"/>
      <c r="B436"/>
      <c r="C436"/>
      <c r="D436"/>
      <c r="E436"/>
      <c r="F436"/>
      <c r="G436"/>
      <c r="H436"/>
      <c r="I436"/>
      <c r="J4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  <c r="DO436" s="36"/>
      <c r="DP436" s="36"/>
      <c r="DQ436" s="36"/>
      <c r="DR436" s="36"/>
      <c r="DS436" s="36"/>
    </row>
    <row r="437" spans="1:123" ht="14.45">
      <c r="A437"/>
      <c r="B437"/>
      <c r="C437"/>
      <c r="D437"/>
      <c r="E437"/>
      <c r="F437"/>
      <c r="G437"/>
      <c r="H437"/>
      <c r="I437"/>
      <c r="J437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</row>
    <row r="438" spans="1:123" ht="14.45">
      <c r="A438"/>
      <c r="B438"/>
      <c r="C438"/>
      <c r="D438"/>
      <c r="E438"/>
      <c r="F438"/>
      <c r="G438"/>
      <c r="H438"/>
      <c r="I438"/>
      <c r="J438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</row>
    <row r="439" spans="1:123" ht="14.45">
      <c r="A439"/>
      <c r="B439"/>
      <c r="C439"/>
      <c r="D439"/>
      <c r="E439"/>
      <c r="F439"/>
      <c r="G439"/>
      <c r="H439"/>
      <c r="I439"/>
      <c r="J439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</row>
    <row r="440" spans="1:123" ht="14.45">
      <c r="A440"/>
      <c r="B440"/>
      <c r="C440"/>
      <c r="D440"/>
      <c r="E440"/>
      <c r="F440"/>
      <c r="G440"/>
      <c r="H440"/>
      <c r="I440"/>
      <c r="J440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</row>
    <row r="441" spans="1:123" ht="14.45">
      <c r="A441"/>
      <c r="B441"/>
      <c r="C441"/>
      <c r="D441"/>
      <c r="E441"/>
      <c r="F441"/>
      <c r="G441"/>
      <c r="H441"/>
      <c r="I441"/>
      <c r="J441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</row>
    <row r="442" spans="1:123" ht="14.45">
      <c r="A442"/>
      <c r="B442"/>
      <c r="C442"/>
      <c r="D442"/>
      <c r="E442"/>
      <c r="F442"/>
      <c r="G442"/>
      <c r="H442"/>
      <c r="I442"/>
      <c r="J442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</row>
    <row r="443" spans="1:123" ht="14.45">
      <c r="A443"/>
      <c r="B443"/>
      <c r="C443"/>
      <c r="D443"/>
      <c r="E443"/>
      <c r="F443"/>
      <c r="G443"/>
      <c r="H443"/>
      <c r="I443"/>
      <c r="J443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</row>
    <row r="444" spans="1:123" ht="14.45">
      <c r="A444"/>
      <c r="B444"/>
      <c r="C444"/>
      <c r="D444"/>
      <c r="E444"/>
      <c r="F444"/>
      <c r="G444"/>
      <c r="H444"/>
      <c r="I444"/>
      <c r="J444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</row>
    <row r="445" spans="1:123" ht="14.45">
      <c r="A445"/>
      <c r="B445"/>
      <c r="C445"/>
      <c r="D445"/>
      <c r="E445"/>
      <c r="F445"/>
      <c r="G445"/>
      <c r="H445"/>
      <c r="I445"/>
      <c r="J445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</row>
    <row r="446" spans="1:123" ht="14.45">
      <c r="A446"/>
      <c r="B446"/>
      <c r="C446"/>
      <c r="D446"/>
      <c r="E446"/>
      <c r="F446"/>
      <c r="G446"/>
      <c r="H446"/>
      <c r="I446"/>
      <c r="J44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/>
      <c r="DE446" s="36"/>
      <c r="DF446" s="36"/>
      <c r="DG446" s="36"/>
      <c r="DH446" s="36"/>
      <c r="DI446" s="36"/>
      <c r="DJ446" s="36"/>
      <c r="DK446" s="36"/>
      <c r="DL446" s="36"/>
      <c r="DM446" s="36"/>
      <c r="DN446" s="36"/>
      <c r="DO446" s="36"/>
      <c r="DP446" s="36"/>
      <c r="DQ446" s="36"/>
      <c r="DR446" s="36"/>
      <c r="DS446" s="36"/>
    </row>
    <row r="447" spans="1:123" ht="14.45">
      <c r="A447"/>
      <c r="B447"/>
      <c r="C447"/>
      <c r="D447"/>
      <c r="E447"/>
      <c r="F447"/>
      <c r="G447"/>
      <c r="H447"/>
      <c r="I447"/>
      <c r="J447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</row>
    <row r="448" spans="1:123" ht="14.45">
      <c r="A448"/>
      <c r="B448"/>
      <c r="C448"/>
      <c r="D448"/>
      <c r="E448"/>
      <c r="F448"/>
      <c r="G448"/>
      <c r="H448"/>
      <c r="I448"/>
      <c r="J448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</row>
    <row r="449" spans="1:123" ht="14.45">
      <c r="A449"/>
      <c r="B449"/>
      <c r="C449"/>
      <c r="D449"/>
      <c r="E449"/>
      <c r="F449"/>
      <c r="G449"/>
      <c r="H449"/>
      <c r="I449"/>
      <c r="J449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</row>
    <row r="450" spans="1:123" ht="14.45">
      <c r="A450"/>
      <c r="B450"/>
      <c r="C450"/>
      <c r="D450"/>
      <c r="E450"/>
      <c r="F450"/>
      <c r="G450"/>
      <c r="H450"/>
      <c r="I450"/>
      <c r="J450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</row>
    <row r="451" spans="1:123" ht="14.45">
      <c r="A451"/>
      <c r="B451"/>
      <c r="C451"/>
      <c r="D451"/>
      <c r="E451"/>
      <c r="F451"/>
      <c r="G451"/>
      <c r="H451"/>
      <c r="I451"/>
      <c r="J451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</row>
    <row r="452" spans="1:123" ht="14.45">
      <c r="A452"/>
      <c r="B452"/>
      <c r="C452"/>
      <c r="D452"/>
      <c r="E452"/>
      <c r="F452"/>
      <c r="G452"/>
      <c r="H452"/>
      <c r="I452"/>
      <c r="J452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</row>
    <row r="453" spans="1:123" ht="14.45">
      <c r="A453"/>
      <c r="B453"/>
      <c r="C453"/>
      <c r="D453"/>
      <c r="E453"/>
      <c r="F453"/>
      <c r="G453"/>
      <c r="H453"/>
      <c r="I453"/>
      <c r="J453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</row>
    <row r="454" spans="1:123" ht="14.45">
      <c r="A454"/>
      <c r="B454"/>
      <c r="C454"/>
      <c r="D454"/>
      <c r="E454"/>
      <c r="F454"/>
      <c r="G454"/>
      <c r="H454"/>
      <c r="I454"/>
      <c r="J454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  <c r="DO454" s="36"/>
      <c r="DP454" s="36"/>
      <c r="DQ454" s="36"/>
      <c r="DR454" s="36"/>
      <c r="DS454" s="36"/>
    </row>
    <row r="455" spans="1:123" ht="14.45">
      <c r="A455"/>
      <c r="B455"/>
      <c r="C455"/>
      <c r="D455"/>
      <c r="E455"/>
      <c r="F455"/>
      <c r="G455"/>
      <c r="H455"/>
      <c r="I455"/>
      <c r="J455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</row>
    <row r="456" spans="1:123" ht="14.45">
      <c r="A456"/>
      <c r="B456"/>
      <c r="C456"/>
      <c r="D456"/>
      <c r="E456"/>
      <c r="F456"/>
      <c r="G456"/>
      <c r="H456"/>
      <c r="I456"/>
      <c r="J45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</row>
    <row r="457" spans="1:123" ht="14.45">
      <c r="A457"/>
      <c r="B457"/>
      <c r="C457"/>
      <c r="D457"/>
      <c r="E457"/>
      <c r="F457"/>
      <c r="G457"/>
      <c r="H457"/>
      <c r="I457"/>
      <c r="J457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</row>
    <row r="458" spans="1:123" ht="14.45">
      <c r="A458"/>
      <c r="B458"/>
      <c r="C458"/>
      <c r="D458"/>
      <c r="E458"/>
      <c r="F458"/>
      <c r="G458"/>
      <c r="H458"/>
      <c r="I458"/>
      <c r="J458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</row>
    <row r="459" spans="1:123" ht="14.45">
      <c r="A459"/>
      <c r="B459"/>
      <c r="C459"/>
      <c r="D459"/>
      <c r="E459"/>
      <c r="F459"/>
      <c r="G459"/>
      <c r="H459"/>
      <c r="I459"/>
      <c r="J459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  <c r="DO459" s="36"/>
      <c r="DP459" s="36"/>
      <c r="DQ459" s="36"/>
      <c r="DR459" s="36"/>
      <c r="DS459" s="36"/>
    </row>
    <row r="460" spans="1:123" ht="14.45">
      <c r="A460"/>
      <c r="B460"/>
      <c r="C460"/>
      <c r="D460"/>
      <c r="E460"/>
      <c r="F460"/>
      <c r="G460"/>
      <c r="H460"/>
      <c r="I460"/>
      <c r="J460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</row>
    <row r="461" spans="1:123" ht="14.45">
      <c r="A461"/>
      <c r="B461"/>
      <c r="C461"/>
      <c r="D461"/>
      <c r="E461"/>
      <c r="F461"/>
      <c r="G461"/>
      <c r="H461"/>
      <c r="I461"/>
      <c r="J461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</row>
    <row r="462" spans="1:123" ht="14.45">
      <c r="A462"/>
      <c r="B462"/>
      <c r="C462"/>
      <c r="D462"/>
      <c r="E462"/>
      <c r="F462"/>
      <c r="G462"/>
      <c r="H462"/>
      <c r="I462"/>
      <c r="J462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/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</row>
    <row r="463" spans="1:123" ht="14.45">
      <c r="A463"/>
      <c r="B463"/>
      <c r="C463"/>
      <c r="D463"/>
      <c r="E463"/>
      <c r="F463"/>
      <c r="G463"/>
      <c r="H463"/>
      <c r="I463"/>
      <c r="J463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</row>
    <row r="464" spans="1:123" ht="14.45">
      <c r="A464"/>
      <c r="B464"/>
      <c r="C464"/>
      <c r="D464"/>
      <c r="E464"/>
      <c r="F464"/>
      <c r="G464"/>
      <c r="H464"/>
      <c r="I464"/>
      <c r="J464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</row>
    <row r="465" spans="1:123" ht="14.45">
      <c r="A465"/>
      <c r="B465"/>
      <c r="C465"/>
      <c r="D465"/>
      <c r="E465"/>
      <c r="F465"/>
      <c r="G465"/>
      <c r="H465"/>
      <c r="I465"/>
      <c r="J465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</row>
    <row r="466" spans="1:123" ht="14.45">
      <c r="A466"/>
      <c r="B466"/>
      <c r="C466"/>
      <c r="D466"/>
      <c r="E466"/>
      <c r="F466"/>
      <c r="G466"/>
      <c r="H466"/>
      <c r="I466"/>
      <c r="J46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</row>
    <row r="467" spans="1:123" ht="14.45">
      <c r="A467"/>
      <c r="B467"/>
      <c r="C467"/>
      <c r="D467"/>
      <c r="E467"/>
      <c r="F467"/>
      <c r="G467"/>
      <c r="H467"/>
      <c r="I467"/>
      <c r="J467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</row>
    <row r="468" spans="1:123" ht="14.45">
      <c r="A468"/>
      <c r="B468"/>
      <c r="C468"/>
      <c r="D468"/>
      <c r="E468"/>
      <c r="F468"/>
      <c r="G468"/>
      <c r="H468"/>
      <c r="I468"/>
      <c r="J468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</row>
    <row r="469" spans="1:123" ht="14.45">
      <c r="A469"/>
      <c r="B469"/>
      <c r="C469"/>
      <c r="D469"/>
      <c r="E469"/>
      <c r="F469"/>
      <c r="G469"/>
      <c r="H469"/>
      <c r="I469"/>
      <c r="J469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</row>
    <row r="470" spans="1:123" ht="14.45">
      <c r="A470"/>
      <c r="B470"/>
      <c r="C470"/>
      <c r="D470"/>
      <c r="E470"/>
      <c r="F470"/>
      <c r="G470"/>
      <c r="H470"/>
      <c r="I470"/>
      <c r="J470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</row>
    <row r="471" spans="1:123" ht="14.45">
      <c r="A471"/>
      <c r="B471"/>
      <c r="C471"/>
      <c r="D471"/>
      <c r="E471"/>
      <c r="F471"/>
      <c r="G471"/>
      <c r="H471"/>
      <c r="I471"/>
      <c r="J471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</row>
    <row r="472" spans="1:123" ht="14.45">
      <c r="A472"/>
      <c r="B472"/>
      <c r="C472"/>
      <c r="D472"/>
      <c r="E472"/>
      <c r="F472"/>
      <c r="G472"/>
      <c r="H472"/>
      <c r="I472"/>
      <c r="J472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</row>
    <row r="473" spans="1:123" ht="14.45">
      <c r="A473"/>
      <c r="B473"/>
      <c r="C473"/>
      <c r="D473"/>
      <c r="E473"/>
      <c r="F473"/>
      <c r="G473"/>
      <c r="H473"/>
      <c r="I473"/>
      <c r="J473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</row>
    <row r="474" spans="1:123" ht="14.45">
      <c r="A474"/>
      <c r="B474"/>
      <c r="C474"/>
      <c r="D474"/>
      <c r="E474"/>
      <c r="F474"/>
      <c r="G474"/>
      <c r="H474"/>
      <c r="I474"/>
      <c r="J474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  <c r="CN474" s="36"/>
      <c r="CO474" s="36"/>
      <c r="CP474" s="36"/>
      <c r="CQ474" s="36"/>
      <c r="CR474" s="36"/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/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  <c r="DO474" s="36"/>
      <c r="DP474" s="36"/>
      <c r="DQ474" s="36"/>
      <c r="DR474" s="36"/>
      <c r="DS474" s="36"/>
    </row>
    <row r="475" spans="1:123" ht="14.45">
      <c r="A475"/>
      <c r="B475"/>
      <c r="C475"/>
      <c r="D475"/>
      <c r="E475"/>
      <c r="F475"/>
      <c r="G475"/>
      <c r="H475"/>
      <c r="I475"/>
      <c r="J475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  <c r="DO475" s="36"/>
      <c r="DP475" s="36"/>
      <c r="DQ475" s="36"/>
      <c r="DR475" s="36"/>
      <c r="DS475" s="36"/>
    </row>
    <row r="476" spans="1:123" ht="14.45">
      <c r="A476"/>
      <c r="B476"/>
      <c r="C476"/>
      <c r="D476"/>
      <c r="E476"/>
      <c r="F476"/>
      <c r="G476"/>
      <c r="H476"/>
      <c r="I476"/>
      <c r="J47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</row>
    <row r="477" spans="1:123" ht="14.45">
      <c r="A477"/>
      <c r="B477"/>
      <c r="C477"/>
      <c r="D477"/>
      <c r="E477"/>
      <c r="F477"/>
      <c r="G477"/>
      <c r="H477"/>
      <c r="I477"/>
      <c r="J477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  <c r="BS477" s="36"/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CL477" s="36"/>
      <c r="CM477" s="36"/>
      <c r="CN477" s="36"/>
      <c r="CO477" s="36"/>
      <c r="CP477" s="36"/>
      <c r="CQ477" s="36"/>
      <c r="CR477" s="36"/>
      <c r="CS477" s="36"/>
      <c r="CT477" s="36"/>
      <c r="CU477" s="36"/>
      <c r="CV477" s="36"/>
      <c r="CW477" s="36"/>
      <c r="CX477" s="36"/>
      <c r="CY477" s="36"/>
      <c r="CZ477" s="36"/>
      <c r="DA477" s="36"/>
      <c r="DB477" s="36"/>
      <c r="DC477" s="36"/>
      <c r="DD477" s="36"/>
      <c r="DE477" s="36"/>
      <c r="DF477" s="36"/>
      <c r="DG477" s="36"/>
      <c r="DH477" s="36"/>
      <c r="DI477" s="36"/>
      <c r="DJ477" s="36"/>
      <c r="DK477" s="36"/>
      <c r="DL477" s="36"/>
      <c r="DM477" s="36"/>
      <c r="DN477" s="36"/>
      <c r="DO477" s="36"/>
      <c r="DP477" s="36"/>
      <c r="DQ477" s="36"/>
      <c r="DR477" s="36"/>
      <c r="DS477" s="36"/>
    </row>
    <row r="478" spans="1:123" ht="14.45">
      <c r="A478"/>
      <c r="B478"/>
      <c r="C478"/>
      <c r="D478"/>
      <c r="E478"/>
      <c r="F478"/>
      <c r="G478"/>
      <c r="H478"/>
      <c r="I478"/>
      <c r="J478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  <c r="CK478" s="36"/>
      <c r="CL478" s="36"/>
      <c r="CM478" s="36"/>
      <c r="CN478" s="36"/>
      <c r="CO478" s="36"/>
      <c r="CP478" s="36"/>
      <c r="CQ478" s="36"/>
      <c r="CR478" s="36"/>
      <c r="CS478" s="36"/>
      <c r="CT478" s="36"/>
      <c r="CU478" s="36"/>
      <c r="CV478" s="36"/>
      <c r="CW478" s="36"/>
      <c r="CX478" s="36"/>
      <c r="CY478" s="36"/>
      <c r="CZ478" s="36"/>
      <c r="DA478" s="36"/>
      <c r="DB478" s="36"/>
      <c r="DC478" s="36"/>
      <c r="DD478" s="36"/>
      <c r="DE478" s="36"/>
      <c r="DF478" s="36"/>
      <c r="DG478" s="36"/>
      <c r="DH478" s="36"/>
      <c r="DI478" s="36"/>
      <c r="DJ478" s="36"/>
      <c r="DK478" s="36"/>
      <c r="DL478" s="36"/>
      <c r="DM478" s="36"/>
      <c r="DN478" s="36"/>
      <c r="DO478" s="36"/>
      <c r="DP478" s="36"/>
      <c r="DQ478" s="36"/>
      <c r="DR478" s="36"/>
      <c r="DS478" s="36"/>
    </row>
    <row r="479" spans="1:123" ht="14.45">
      <c r="A479"/>
      <c r="B479"/>
      <c r="C479"/>
      <c r="D479"/>
      <c r="E479"/>
      <c r="F479"/>
      <c r="G479"/>
      <c r="H479"/>
      <c r="I479"/>
      <c r="J479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  <c r="BW479" s="36"/>
      <c r="BX479" s="36"/>
      <c r="BY479" s="36"/>
      <c r="BZ479" s="36"/>
      <c r="CA479" s="36"/>
      <c r="CB479" s="36"/>
      <c r="CC479" s="36"/>
      <c r="CD479" s="36"/>
      <c r="CE479" s="36"/>
      <c r="CF479" s="36"/>
      <c r="CG479" s="36"/>
      <c r="CH479" s="36"/>
      <c r="CI479" s="36"/>
      <c r="CJ479" s="36"/>
      <c r="CK479" s="36"/>
      <c r="CL479" s="36"/>
      <c r="CM479" s="36"/>
      <c r="CN479" s="36"/>
      <c r="CO479" s="36"/>
      <c r="CP479" s="36"/>
      <c r="CQ479" s="36"/>
      <c r="CR479" s="36"/>
      <c r="CS479" s="36"/>
      <c r="CT479" s="36"/>
      <c r="CU479" s="36"/>
      <c r="CV479" s="36"/>
      <c r="CW479" s="36"/>
      <c r="CX479" s="36"/>
      <c r="CY479" s="36"/>
      <c r="CZ479" s="36"/>
      <c r="DA479" s="36"/>
      <c r="DB479" s="36"/>
      <c r="DC479" s="36"/>
      <c r="DD479" s="36"/>
      <c r="DE479" s="36"/>
      <c r="DF479" s="36"/>
      <c r="DG479" s="36"/>
      <c r="DH479" s="36"/>
      <c r="DI479" s="36"/>
      <c r="DJ479" s="36"/>
      <c r="DK479" s="36"/>
      <c r="DL479" s="36"/>
      <c r="DM479" s="36"/>
      <c r="DN479" s="36"/>
      <c r="DO479" s="36"/>
      <c r="DP479" s="36"/>
      <c r="DQ479" s="36"/>
      <c r="DR479" s="36"/>
      <c r="DS479" s="36"/>
    </row>
    <row r="480" spans="1:123" ht="14.45">
      <c r="A480"/>
      <c r="B480"/>
      <c r="C480"/>
      <c r="D480"/>
      <c r="E480"/>
      <c r="F480"/>
      <c r="G480"/>
      <c r="H480"/>
      <c r="I480"/>
      <c r="J480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CL480" s="36"/>
      <c r="CM480" s="36"/>
      <c r="CN480" s="36"/>
      <c r="CO480" s="36"/>
      <c r="CP480" s="36"/>
      <c r="CQ480" s="36"/>
      <c r="CR480" s="36"/>
      <c r="CS480" s="36"/>
      <c r="CT480" s="36"/>
      <c r="CU480" s="36"/>
      <c r="CV480" s="36"/>
      <c r="CW480" s="36"/>
      <c r="CX480" s="36"/>
      <c r="CY480" s="36"/>
      <c r="CZ480" s="36"/>
      <c r="DA480" s="36"/>
      <c r="DB480" s="36"/>
      <c r="DC480" s="36"/>
      <c r="DD480" s="36"/>
      <c r="DE480" s="36"/>
      <c r="DF480" s="36"/>
      <c r="DG480" s="36"/>
      <c r="DH480" s="36"/>
      <c r="DI480" s="36"/>
      <c r="DJ480" s="36"/>
      <c r="DK480" s="36"/>
      <c r="DL480" s="36"/>
      <c r="DM480" s="36"/>
      <c r="DN480" s="36"/>
      <c r="DO480" s="36"/>
      <c r="DP480" s="36"/>
      <c r="DQ480" s="36"/>
      <c r="DR480" s="36"/>
      <c r="DS480" s="36"/>
    </row>
    <row r="481" spans="1:123" ht="14.45">
      <c r="A481"/>
      <c r="B481"/>
      <c r="C481"/>
      <c r="D481"/>
      <c r="E481"/>
      <c r="F481"/>
      <c r="G481"/>
      <c r="H481"/>
      <c r="I481"/>
      <c r="J481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CL481" s="36"/>
      <c r="CM481" s="36"/>
      <c r="CN481" s="36"/>
      <c r="CO481" s="36"/>
      <c r="CP481" s="36"/>
      <c r="CQ481" s="36"/>
      <c r="CR481" s="36"/>
      <c r="CS481" s="36"/>
      <c r="CT481" s="36"/>
      <c r="CU481" s="36"/>
      <c r="CV481" s="36"/>
      <c r="CW481" s="36"/>
      <c r="CX481" s="36"/>
      <c r="CY481" s="36"/>
      <c r="CZ481" s="36"/>
      <c r="DA481" s="36"/>
      <c r="DB481" s="36"/>
      <c r="DC481" s="36"/>
      <c r="DD481" s="36"/>
      <c r="DE481" s="36"/>
      <c r="DF481" s="36"/>
      <c r="DG481" s="36"/>
      <c r="DH481" s="36"/>
      <c r="DI481" s="36"/>
      <c r="DJ481" s="36"/>
      <c r="DK481" s="36"/>
      <c r="DL481" s="36"/>
      <c r="DM481" s="36"/>
      <c r="DN481" s="36"/>
      <c r="DO481" s="36"/>
      <c r="DP481" s="36"/>
      <c r="DQ481" s="36"/>
      <c r="DR481" s="36"/>
      <c r="DS481" s="36"/>
    </row>
    <row r="482" spans="1:123" ht="14.45">
      <c r="A482"/>
      <c r="B482"/>
      <c r="C482"/>
      <c r="D482"/>
      <c r="E482"/>
      <c r="F482"/>
      <c r="G482"/>
      <c r="H482"/>
      <c r="I482"/>
      <c r="J482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  <c r="CN482" s="36"/>
      <c r="CO482" s="36"/>
      <c r="CP482" s="36"/>
      <c r="CQ482" s="36"/>
      <c r="CR482" s="36"/>
      <c r="CS482" s="36"/>
      <c r="CT482" s="36"/>
      <c r="CU482" s="36"/>
      <c r="CV482" s="36"/>
      <c r="CW482" s="36"/>
      <c r="CX482" s="36"/>
      <c r="CY482" s="36"/>
      <c r="CZ482" s="36"/>
      <c r="DA482" s="36"/>
      <c r="DB482" s="36"/>
      <c r="DC482" s="36"/>
      <c r="DD482" s="36"/>
      <c r="DE482" s="36"/>
      <c r="DF482" s="36"/>
      <c r="DG482" s="36"/>
      <c r="DH482" s="36"/>
      <c r="DI482" s="36"/>
      <c r="DJ482" s="36"/>
      <c r="DK482" s="36"/>
      <c r="DL482" s="36"/>
      <c r="DM482" s="36"/>
      <c r="DN482" s="36"/>
      <c r="DO482" s="36"/>
      <c r="DP482" s="36"/>
      <c r="DQ482" s="36"/>
      <c r="DR482" s="36"/>
      <c r="DS482" s="36"/>
    </row>
    <row r="483" spans="1:123" ht="14.45">
      <c r="A483"/>
      <c r="B483"/>
      <c r="C483"/>
      <c r="D483"/>
      <c r="E483"/>
      <c r="F483"/>
      <c r="G483"/>
      <c r="H483"/>
      <c r="I483"/>
      <c r="J483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CL483" s="36"/>
      <c r="CM483" s="36"/>
      <c r="CN483" s="36"/>
      <c r="CO483" s="36"/>
      <c r="CP483" s="36"/>
      <c r="CQ483" s="36"/>
      <c r="CR483" s="36"/>
      <c r="CS483" s="36"/>
      <c r="CT483" s="36"/>
      <c r="CU483" s="36"/>
      <c r="CV483" s="36"/>
      <c r="CW483" s="36"/>
      <c r="CX483" s="36"/>
      <c r="CY483" s="36"/>
      <c r="CZ483" s="36"/>
      <c r="DA483" s="36"/>
      <c r="DB483" s="36"/>
      <c r="DC483" s="36"/>
      <c r="DD483" s="36"/>
      <c r="DE483" s="36"/>
      <c r="DF483" s="36"/>
      <c r="DG483" s="36"/>
      <c r="DH483" s="36"/>
      <c r="DI483" s="36"/>
      <c r="DJ483" s="36"/>
      <c r="DK483" s="36"/>
      <c r="DL483" s="36"/>
      <c r="DM483" s="36"/>
      <c r="DN483" s="36"/>
      <c r="DO483" s="36"/>
      <c r="DP483" s="36"/>
      <c r="DQ483" s="36"/>
      <c r="DR483" s="36"/>
      <c r="DS483" s="36"/>
    </row>
    <row r="484" spans="1:123" ht="14.45">
      <c r="A484"/>
      <c r="B484"/>
      <c r="C484"/>
      <c r="D484"/>
      <c r="E484"/>
      <c r="F484"/>
      <c r="G484"/>
      <c r="H484"/>
      <c r="I484"/>
      <c r="J484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CL484" s="36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36"/>
      <c r="CY484" s="36"/>
      <c r="CZ484" s="36"/>
      <c r="DA484" s="36"/>
      <c r="DB484" s="36"/>
      <c r="DC484" s="36"/>
      <c r="DD484" s="36"/>
      <c r="DE484" s="36"/>
      <c r="DF484" s="36"/>
      <c r="DG484" s="36"/>
      <c r="DH484" s="36"/>
      <c r="DI484" s="36"/>
      <c r="DJ484" s="36"/>
      <c r="DK484" s="36"/>
      <c r="DL484" s="36"/>
      <c r="DM484" s="36"/>
      <c r="DN484" s="36"/>
      <c r="DO484" s="36"/>
      <c r="DP484" s="36"/>
      <c r="DQ484" s="36"/>
      <c r="DR484" s="36"/>
      <c r="DS484" s="36"/>
    </row>
    <row r="485" spans="1:123" ht="14.45">
      <c r="A485"/>
      <c r="B485"/>
      <c r="C485"/>
      <c r="D485"/>
      <c r="E485"/>
      <c r="F485"/>
      <c r="G485"/>
      <c r="H485"/>
      <c r="I485"/>
      <c r="J485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  <c r="BS485" s="36"/>
      <c r="BT485" s="36"/>
      <c r="BU485" s="36"/>
      <c r="BV485" s="36"/>
      <c r="BW485" s="36"/>
      <c r="BX485" s="36"/>
      <c r="BY485" s="36"/>
      <c r="BZ485" s="36"/>
      <c r="CA485" s="36"/>
      <c r="CB485" s="36"/>
      <c r="CC485" s="36"/>
      <c r="CD485" s="36"/>
      <c r="CE485" s="36"/>
      <c r="CF485" s="36"/>
      <c r="CG485" s="36"/>
      <c r="CH485" s="36"/>
      <c r="CI485" s="36"/>
      <c r="CJ485" s="36"/>
      <c r="CK485" s="36"/>
      <c r="CL485" s="36"/>
      <c r="CM485" s="36"/>
      <c r="CN485" s="36"/>
      <c r="CO485" s="36"/>
      <c r="CP485" s="36"/>
      <c r="CQ485" s="36"/>
      <c r="CR485" s="36"/>
      <c r="CS485" s="36"/>
      <c r="CT485" s="36"/>
      <c r="CU485" s="36"/>
      <c r="CV485" s="36"/>
      <c r="CW485" s="36"/>
      <c r="CX485" s="36"/>
      <c r="CY485" s="36"/>
      <c r="CZ485" s="36"/>
      <c r="DA485" s="36"/>
      <c r="DB485" s="36"/>
      <c r="DC485" s="36"/>
      <c r="DD485" s="36"/>
      <c r="DE485" s="36"/>
      <c r="DF485" s="36"/>
      <c r="DG485" s="36"/>
      <c r="DH485" s="36"/>
      <c r="DI485" s="36"/>
      <c r="DJ485" s="36"/>
      <c r="DK485" s="36"/>
      <c r="DL485" s="36"/>
      <c r="DM485" s="36"/>
      <c r="DN485" s="36"/>
      <c r="DO485" s="36"/>
      <c r="DP485" s="36"/>
      <c r="DQ485" s="36"/>
      <c r="DR485" s="36"/>
      <c r="DS485" s="36"/>
    </row>
    <row r="486" spans="1:123" ht="14.45">
      <c r="A486"/>
      <c r="B486"/>
      <c r="C486"/>
      <c r="D486"/>
      <c r="E486"/>
      <c r="F486"/>
      <c r="G486"/>
      <c r="H486"/>
      <c r="I486"/>
      <c r="J48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  <c r="BW486" s="36"/>
      <c r="BX486" s="36"/>
      <c r="BY486" s="36"/>
      <c r="BZ486" s="36"/>
      <c r="CA486" s="36"/>
      <c r="CB486" s="36"/>
      <c r="CC486" s="36"/>
      <c r="CD486" s="36"/>
      <c r="CE486" s="36"/>
      <c r="CF486" s="36"/>
      <c r="CG486" s="36"/>
      <c r="CH486" s="36"/>
      <c r="CI486" s="36"/>
      <c r="CJ486" s="36"/>
      <c r="CK486" s="36"/>
      <c r="CL486" s="36"/>
      <c r="CM486" s="36"/>
      <c r="CN486" s="36"/>
      <c r="CO486" s="36"/>
      <c r="CP486" s="36"/>
      <c r="CQ486" s="36"/>
      <c r="CR486" s="36"/>
      <c r="CS486" s="36"/>
      <c r="CT486" s="36"/>
      <c r="CU486" s="36"/>
      <c r="CV486" s="36"/>
      <c r="CW486" s="36"/>
      <c r="CX486" s="36"/>
      <c r="CY486" s="36"/>
      <c r="CZ486" s="36"/>
      <c r="DA486" s="36"/>
      <c r="DB486" s="36"/>
      <c r="DC486" s="36"/>
      <c r="DD486" s="36"/>
      <c r="DE486" s="36"/>
      <c r="DF486" s="36"/>
      <c r="DG486" s="36"/>
      <c r="DH486" s="36"/>
      <c r="DI486" s="36"/>
      <c r="DJ486" s="36"/>
      <c r="DK486" s="36"/>
      <c r="DL486" s="36"/>
      <c r="DM486" s="36"/>
      <c r="DN486" s="36"/>
      <c r="DO486" s="36"/>
      <c r="DP486" s="36"/>
      <c r="DQ486" s="36"/>
      <c r="DR486" s="36"/>
      <c r="DS486" s="36"/>
    </row>
    <row r="487" spans="1:123" ht="14.45">
      <c r="A487"/>
      <c r="B487"/>
      <c r="C487"/>
      <c r="D487"/>
      <c r="E487"/>
      <c r="F487"/>
      <c r="G487"/>
      <c r="H487"/>
      <c r="I487"/>
      <c r="J487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/>
      <c r="CC487" s="36"/>
      <c r="CD487" s="36"/>
      <c r="CE487" s="36"/>
      <c r="CF487" s="36"/>
      <c r="CG487" s="36"/>
      <c r="CH487" s="36"/>
      <c r="CI487" s="36"/>
      <c r="CJ487" s="36"/>
      <c r="CK487" s="36"/>
      <c r="CL487" s="36"/>
      <c r="CM487" s="36"/>
      <c r="CN487" s="36"/>
      <c r="CO487" s="36"/>
      <c r="CP487" s="36"/>
      <c r="CQ487" s="36"/>
      <c r="CR487" s="36"/>
      <c r="CS487" s="36"/>
      <c r="CT487" s="36"/>
      <c r="CU487" s="36"/>
      <c r="CV487" s="36"/>
      <c r="CW487" s="36"/>
      <c r="CX487" s="36"/>
      <c r="CY487" s="36"/>
      <c r="CZ487" s="36"/>
      <c r="DA487" s="36"/>
      <c r="DB487" s="36"/>
      <c r="DC487" s="36"/>
      <c r="DD487" s="36"/>
      <c r="DE487" s="36"/>
      <c r="DF487" s="36"/>
      <c r="DG487" s="36"/>
      <c r="DH487" s="36"/>
      <c r="DI487" s="36"/>
      <c r="DJ487" s="36"/>
      <c r="DK487" s="36"/>
      <c r="DL487" s="36"/>
      <c r="DM487" s="36"/>
      <c r="DN487" s="36"/>
      <c r="DO487" s="36"/>
      <c r="DP487" s="36"/>
      <c r="DQ487" s="36"/>
      <c r="DR487" s="36"/>
      <c r="DS487" s="36"/>
    </row>
    <row r="488" spans="1:123" ht="14.45">
      <c r="A488"/>
      <c r="B488"/>
      <c r="C488"/>
      <c r="D488"/>
      <c r="E488"/>
      <c r="F488"/>
      <c r="G488"/>
      <c r="H488"/>
      <c r="I488"/>
      <c r="J488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CL488" s="36"/>
      <c r="CM488" s="36"/>
      <c r="CN488" s="36"/>
      <c r="CO488" s="36"/>
      <c r="CP488" s="36"/>
      <c r="CQ488" s="36"/>
      <c r="CR488" s="36"/>
      <c r="CS488" s="36"/>
      <c r="CT488" s="36"/>
      <c r="CU488" s="36"/>
      <c r="CV488" s="36"/>
      <c r="CW488" s="36"/>
      <c r="CX488" s="36"/>
      <c r="CY488" s="36"/>
      <c r="CZ488" s="36"/>
      <c r="DA488" s="36"/>
      <c r="DB488" s="36"/>
      <c r="DC488" s="36"/>
      <c r="DD488" s="36"/>
      <c r="DE488" s="36"/>
      <c r="DF488" s="36"/>
      <c r="DG488" s="36"/>
      <c r="DH488" s="36"/>
      <c r="DI488" s="36"/>
      <c r="DJ488" s="36"/>
      <c r="DK488" s="36"/>
      <c r="DL488" s="36"/>
      <c r="DM488" s="36"/>
      <c r="DN488" s="36"/>
      <c r="DO488" s="36"/>
      <c r="DP488" s="36"/>
      <c r="DQ488" s="36"/>
      <c r="DR488" s="36"/>
      <c r="DS488" s="36"/>
    </row>
    <row r="489" spans="1:123" ht="14.45">
      <c r="A489"/>
      <c r="B489"/>
      <c r="C489"/>
      <c r="D489"/>
      <c r="E489"/>
      <c r="F489"/>
      <c r="G489"/>
      <c r="H489"/>
      <c r="I489"/>
      <c r="J489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/>
      <c r="BT489" s="36"/>
      <c r="BU489" s="36"/>
      <c r="BV489" s="36"/>
      <c r="BW489" s="36"/>
      <c r="BX489" s="36"/>
      <c r="BY489" s="36"/>
      <c r="BZ489" s="36"/>
      <c r="CA489" s="36"/>
      <c r="CB489" s="36"/>
      <c r="CC489" s="36"/>
      <c r="CD489" s="36"/>
      <c r="CE489" s="36"/>
      <c r="CF489" s="36"/>
      <c r="CG489" s="36"/>
      <c r="CH489" s="36"/>
      <c r="CI489" s="36"/>
      <c r="CJ489" s="36"/>
      <c r="CK489" s="36"/>
      <c r="CL489" s="36"/>
      <c r="CM489" s="36"/>
      <c r="CN489" s="36"/>
      <c r="CO489" s="36"/>
      <c r="CP489" s="36"/>
      <c r="CQ489" s="36"/>
      <c r="CR489" s="36"/>
      <c r="CS489" s="36"/>
      <c r="CT489" s="36"/>
      <c r="CU489" s="36"/>
      <c r="CV489" s="36"/>
      <c r="CW489" s="36"/>
      <c r="CX489" s="36"/>
      <c r="CY489" s="36"/>
      <c r="CZ489" s="36"/>
      <c r="DA489" s="36"/>
      <c r="DB489" s="36"/>
      <c r="DC489" s="36"/>
      <c r="DD489" s="36"/>
      <c r="DE489" s="36"/>
      <c r="DF489" s="36"/>
      <c r="DG489" s="36"/>
      <c r="DH489" s="36"/>
      <c r="DI489" s="36"/>
      <c r="DJ489" s="36"/>
      <c r="DK489" s="36"/>
      <c r="DL489" s="36"/>
      <c r="DM489" s="36"/>
      <c r="DN489" s="36"/>
      <c r="DO489" s="36"/>
      <c r="DP489" s="36"/>
      <c r="DQ489" s="36"/>
      <c r="DR489" s="36"/>
      <c r="DS489" s="36"/>
    </row>
    <row r="490" spans="1:123" ht="14.45">
      <c r="A490"/>
      <c r="B490"/>
      <c r="C490"/>
      <c r="D490"/>
      <c r="E490"/>
      <c r="F490"/>
      <c r="G490"/>
      <c r="H490"/>
      <c r="I490"/>
      <c r="J490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CL490" s="36"/>
      <c r="CM490" s="36"/>
      <c r="CN490" s="36"/>
      <c r="CO490" s="36"/>
      <c r="CP490" s="36"/>
      <c r="CQ490" s="36"/>
      <c r="CR490" s="36"/>
      <c r="CS490" s="36"/>
      <c r="CT490" s="36"/>
      <c r="CU490" s="36"/>
      <c r="CV490" s="36"/>
      <c r="CW490" s="36"/>
      <c r="CX490" s="36"/>
      <c r="CY490" s="36"/>
      <c r="CZ490" s="36"/>
      <c r="DA490" s="36"/>
      <c r="DB490" s="36"/>
      <c r="DC490" s="36"/>
      <c r="DD490" s="36"/>
      <c r="DE490" s="36"/>
      <c r="DF490" s="36"/>
      <c r="DG490" s="36"/>
      <c r="DH490" s="36"/>
      <c r="DI490" s="36"/>
      <c r="DJ490" s="36"/>
      <c r="DK490" s="36"/>
      <c r="DL490" s="36"/>
      <c r="DM490" s="36"/>
      <c r="DN490" s="36"/>
      <c r="DO490" s="36"/>
      <c r="DP490" s="36"/>
      <c r="DQ490" s="36"/>
      <c r="DR490" s="36"/>
      <c r="DS490" s="36"/>
    </row>
    <row r="491" spans="1:123" ht="14.45">
      <c r="A491"/>
      <c r="B491"/>
      <c r="C491"/>
      <c r="D491"/>
      <c r="E491"/>
      <c r="F491"/>
      <c r="G491"/>
      <c r="H491"/>
      <c r="I491"/>
      <c r="J491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/>
      <c r="CM491" s="36"/>
      <c r="CN491" s="36"/>
      <c r="CO491" s="36"/>
      <c r="CP491" s="36"/>
      <c r="CQ491" s="36"/>
      <c r="CR491" s="36"/>
      <c r="CS491" s="36"/>
      <c r="CT491" s="36"/>
      <c r="CU491" s="36"/>
      <c r="CV491" s="36"/>
      <c r="CW491" s="36"/>
      <c r="CX491" s="36"/>
      <c r="CY491" s="36"/>
      <c r="CZ491" s="36"/>
      <c r="DA491" s="36"/>
      <c r="DB491" s="36"/>
      <c r="DC491" s="36"/>
      <c r="DD491" s="36"/>
      <c r="DE491" s="36"/>
      <c r="DF491" s="36"/>
      <c r="DG491" s="36"/>
      <c r="DH491" s="36"/>
      <c r="DI491" s="36"/>
      <c r="DJ491" s="36"/>
      <c r="DK491" s="36"/>
      <c r="DL491" s="36"/>
      <c r="DM491" s="36"/>
      <c r="DN491" s="36"/>
      <c r="DO491" s="36"/>
      <c r="DP491" s="36"/>
      <c r="DQ491" s="36"/>
      <c r="DR491" s="36"/>
      <c r="DS491" s="36"/>
    </row>
    <row r="492" spans="1:123" ht="14.45">
      <c r="A492"/>
      <c r="B492"/>
      <c r="C492"/>
      <c r="D492"/>
      <c r="E492"/>
      <c r="F492"/>
      <c r="G492"/>
      <c r="H492"/>
      <c r="I492"/>
      <c r="J492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CL492" s="36"/>
      <c r="CM492" s="36"/>
      <c r="CN492" s="36"/>
      <c r="CO492" s="36"/>
      <c r="CP492" s="36"/>
      <c r="CQ492" s="36"/>
      <c r="CR492" s="36"/>
      <c r="CS492" s="36"/>
      <c r="CT492" s="36"/>
      <c r="CU492" s="36"/>
      <c r="CV492" s="36"/>
      <c r="CW492" s="36"/>
      <c r="CX492" s="36"/>
      <c r="CY492" s="36"/>
      <c r="CZ492" s="36"/>
      <c r="DA492" s="36"/>
      <c r="DB492" s="36"/>
      <c r="DC492" s="36"/>
      <c r="DD492" s="36"/>
      <c r="DE492" s="36"/>
      <c r="DF492" s="36"/>
      <c r="DG492" s="36"/>
      <c r="DH492" s="36"/>
      <c r="DI492" s="36"/>
      <c r="DJ492" s="36"/>
      <c r="DK492" s="36"/>
      <c r="DL492" s="36"/>
      <c r="DM492" s="36"/>
      <c r="DN492" s="36"/>
      <c r="DO492" s="36"/>
      <c r="DP492" s="36"/>
      <c r="DQ492" s="36"/>
      <c r="DR492" s="36"/>
      <c r="DS492" s="36"/>
    </row>
    <row r="493" spans="1:123" ht="14.45">
      <c r="A493"/>
      <c r="B493"/>
      <c r="C493"/>
      <c r="D493"/>
      <c r="E493"/>
      <c r="F493"/>
      <c r="G493"/>
      <c r="H493"/>
      <c r="I493"/>
      <c r="J493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  <c r="BW493" s="36"/>
      <c r="BX493" s="36"/>
      <c r="BY493" s="36"/>
      <c r="BZ493" s="36"/>
      <c r="CA493" s="36"/>
      <c r="CB493" s="36"/>
      <c r="CC493" s="36"/>
      <c r="CD493" s="36"/>
      <c r="CE493" s="36"/>
      <c r="CF493" s="36"/>
      <c r="CG493" s="36"/>
      <c r="CH493" s="36"/>
      <c r="CI493" s="36"/>
      <c r="CJ493" s="36"/>
      <c r="CK493" s="36"/>
      <c r="CL493" s="36"/>
      <c r="CM493" s="36"/>
      <c r="CN493" s="36"/>
      <c r="CO493" s="36"/>
      <c r="CP493" s="36"/>
      <c r="CQ493" s="36"/>
      <c r="CR493" s="36"/>
      <c r="CS493" s="36"/>
      <c r="CT493" s="36"/>
      <c r="CU493" s="36"/>
      <c r="CV493" s="36"/>
      <c r="CW493" s="36"/>
      <c r="CX493" s="36"/>
      <c r="CY493" s="36"/>
      <c r="CZ493" s="36"/>
      <c r="DA493" s="36"/>
      <c r="DB493" s="36"/>
      <c r="DC493" s="36"/>
      <c r="DD493" s="36"/>
      <c r="DE493" s="36"/>
      <c r="DF493" s="36"/>
      <c r="DG493" s="36"/>
      <c r="DH493" s="36"/>
      <c r="DI493" s="36"/>
      <c r="DJ493" s="36"/>
      <c r="DK493" s="36"/>
      <c r="DL493" s="36"/>
      <c r="DM493" s="36"/>
      <c r="DN493" s="36"/>
      <c r="DO493" s="36"/>
      <c r="DP493" s="36"/>
      <c r="DQ493" s="36"/>
      <c r="DR493" s="36"/>
      <c r="DS493" s="36"/>
    </row>
    <row r="494" spans="1:123" ht="14.45">
      <c r="A494"/>
      <c r="B494"/>
      <c r="C494"/>
      <c r="D494"/>
      <c r="E494"/>
      <c r="F494"/>
      <c r="G494"/>
      <c r="H494"/>
      <c r="I494"/>
      <c r="J494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  <c r="BW494" s="36"/>
      <c r="BX494" s="36"/>
      <c r="BY494" s="36"/>
      <c r="BZ494" s="36"/>
      <c r="CA494" s="36"/>
      <c r="CB494" s="36"/>
      <c r="CC494" s="36"/>
      <c r="CD494" s="36"/>
      <c r="CE494" s="36"/>
      <c r="CF494" s="36"/>
      <c r="CG494" s="36"/>
      <c r="CH494" s="36"/>
      <c r="CI494" s="36"/>
      <c r="CJ494" s="36"/>
      <c r="CK494" s="36"/>
      <c r="CL494" s="36"/>
      <c r="CM494" s="36"/>
      <c r="CN494" s="36"/>
      <c r="CO494" s="36"/>
      <c r="CP494" s="36"/>
      <c r="CQ494" s="36"/>
      <c r="CR494" s="36"/>
      <c r="CS494" s="36"/>
      <c r="CT494" s="36"/>
      <c r="CU494" s="36"/>
      <c r="CV494" s="36"/>
      <c r="CW494" s="36"/>
      <c r="CX494" s="36"/>
      <c r="CY494" s="36"/>
      <c r="CZ494" s="36"/>
      <c r="DA494" s="36"/>
      <c r="DB494" s="36"/>
      <c r="DC494" s="36"/>
      <c r="DD494" s="36"/>
      <c r="DE494" s="36"/>
      <c r="DF494" s="36"/>
      <c r="DG494" s="36"/>
      <c r="DH494" s="36"/>
      <c r="DI494" s="36"/>
      <c r="DJ494" s="36"/>
      <c r="DK494" s="36"/>
      <c r="DL494" s="36"/>
      <c r="DM494" s="36"/>
      <c r="DN494" s="36"/>
      <c r="DO494" s="36"/>
      <c r="DP494" s="36"/>
      <c r="DQ494" s="36"/>
      <c r="DR494" s="36"/>
      <c r="DS494" s="36"/>
    </row>
    <row r="495" spans="1:123" ht="14.45">
      <c r="A495"/>
      <c r="B495"/>
      <c r="C495"/>
      <c r="D495"/>
      <c r="E495"/>
      <c r="F495"/>
      <c r="G495"/>
      <c r="H495"/>
      <c r="I495"/>
      <c r="J495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  <c r="BS495" s="36"/>
      <c r="BT495" s="36"/>
      <c r="BU495" s="36"/>
      <c r="BV495" s="36"/>
      <c r="BW495" s="36"/>
      <c r="BX495" s="36"/>
      <c r="BY495" s="36"/>
      <c r="BZ495" s="36"/>
      <c r="CA495" s="36"/>
      <c r="CB495" s="36"/>
      <c r="CC495" s="36"/>
      <c r="CD495" s="36"/>
      <c r="CE495" s="36"/>
      <c r="CF495" s="36"/>
      <c r="CG495" s="36"/>
      <c r="CH495" s="36"/>
      <c r="CI495" s="36"/>
      <c r="CJ495" s="36"/>
      <c r="CK495" s="36"/>
      <c r="CL495" s="36"/>
      <c r="CM495" s="36"/>
      <c r="CN495" s="36"/>
      <c r="CO495" s="36"/>
      <c r="CP495" s="36"/>
      <c r="CQ495" s="36"/>
      <c r="CR495" s="36"/>
      <c r="CS495" s="36"/>
      <c r="CT495" s="36"/>
      <c r="CU495" s="36"/>
      <c r="CV495" s="36"/>
      <c r="CW495" s="36"/>
      <c r="CX495" s="36"/>
      <c r="CY495" s="36"/>
      <c r="CZ495" s="36"/>
      <c r="DA495" s="36"/>
      <c r="DB495" s="36"/>
      <c r="DC495" s="36"/>
      <c r="DD495" s="36"/>
      <c r="DE495" s="36"/>
      <c r="DF495" s="36"/>
      <c r="DG495" s="36"/>
      <c r="DH495" s="36"/>
      <c r="DI495" s="36"/>
      <c r="DJ495" s="36"/>
      <c r="DK495" s="36"/>
      <c r="DL495" s="36"/>
      <c r="DM495" s="36"/>
      <c r="DN495" s="36"/>
      <c r="DO495" s="36"/>
      <c r="DP495" s="36"/>
      <c r="DQ495" s="36"/>
      <c r="DR495" s="36"/>
      <c r="DS495" s="36"/>
    </row>
    <row r="496" spans="1:123" ht="14.45">
      <c r="A496"/>
      <c r="B496"/>
      <c r="C496"/>
      <c r="D496"/>
      <c r="E496"/>
      <c r="F496"/>
      <c r="G496"/>
      <c r="H496"/>
      <c r="I496"/>
      <c r="J49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  <c r="BW496" s="36"/>
      <c r="BX496" s="36"/>
      <c r="BY496" s="36"/>
      <c r="BZ496" s="36"/>
      <c r="CA496" s="36"/>
      <c r="CB496" s="36"/>
      <c r="CC496" s="36"/>
      <c r="CD496" s="36"/>
      <c r="CE496" s="36"/>
      <c r="CF496" s="36"/>
      <c r="CG496" s="36"/>
      <c r="CH496" s="36"/>
      <c r="CI496" s="36"/>
      <c r="CJ496" s="36"/>
      <c r="CK496" s="36"/>
      <c r="CL496" s="36"/>
      <c r="CM496" s="36"/>
      <c r="CN496" s="36"/>
      <c r="CO496" s="36"/>
      <c r="CP496" s="36"/>
      <c r="CQ496" s="36"/>
      <c r="CR496" s="36"/>
      <c r="CS496" s="36"/>
      <c r="CT496" s="36"/>
      <c r="CU496" s="36"/>
      <c r="CV496" s="36"/>
      <c r="CW496" s="36"/>
      <c r="CX496" s="36"/>
      <c r="CY496" s="36"/>
      <c r="CZ496" s="36"/>
      <c r="DA496" s="36"/>
      <c r="DB496" s="36"/>
      <c r="DC496" s="36"/>
      <c r="DD496" s="36"/>
      <c r="DE496" s="36"/>
      <c r="DF496" s="36"/>
      <c r="DG496" s="36"/>
      <c r="DH496" s="36"/>
      <c r="DI496" s="36"/>
      <c r="DJ496" s="36"/>
      <c r="DK496" s="36"/>
      <c r="DL496" s="36"/>
      <c r="DM496" s="36"/>
      <c r="DN496" s="36"/>
      <c r="DO496" s="36"/>
      <c r="DP496" s="36"/>
      <c r="DQ496" s="36"/>
      <c r="DR496" s="36"/>
      <c r="DS496" s="36"/>
    </row>
    <row r="497" spans="1:123" ht="14.45">
      <c r="A497"/>
      <c r="B497"/>
      <c r="C497"/>
      <c r="D497"/>
      <c r="E497"/>
      <c r="F497"/>
      <c r="G497"/>
      <c r="H497"/>
      <c r="I497"/>
      <c r="J497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  <c r="BS497" s="36"/>
      <c r="BT497" s="36"/>
      <c r="BU497" s="36"/>
      <c r="BV497" s="36"/>
      <c r="BW497" s="36"/>
      <c r="BX497" s="36"/>
      <c r="BY497" s="36"/>
      <c r="BZ497" s="36"/>
      <c r="CA497" s="36"/>
      <c r="CB497" s="36"/>
      <c r="CC497" s="36"/>
      <c r="CD497" s="36"/>
      <c r="CE497" s="36"/>
      <c r="CF497" s="36"/>
      <c r="CG497" s="36"/>
      <c r="CH497" s="36"/>
      <c r="CI497" s="36"/>
      <c r="CJ497" s="36"/>
      <c r="CK497" s="36"/>
      <c r="CL497" s="36"/>
      <c r="CM497" s="36"/>
      <c r="CN497" s="36"/>
      <c r="CO497" s="36"/>
      <c r="CP497" s="36"/>
      <c r="CQ497" s="36"/>
      <c r="CR497" s="36"/>
      <c r="CS497" s="36"/>
      <c r="CT497" s="36"/>
      <c r="CU497" s="36"/>
      <c r="CV497" s="36"/>
      <c r="CW497" s="36"/>
      <c r="CX497" s="36"/>
      <c r="CY497" s="36"/>
      <c r="CZ497" s="36"/>
      <c r="DA497" s="36"/>
      <c r="DB497" s="36"/>
      <c r="DC497" s="36"/>
      <c r="DD497" s="36"/>
      <c r="DE497" s="36"/>
      <c r="DF497" s="36"/>
      <c r="DG497" s="36"/>
      <c r="DH497" s="36"/>
      <c r="DI497" s="36"/>
      <c r="DJ497" s="36"/>
      <c r="DK497" s="36"/>
      <c r="DL497" s="36"/>
      <c r="DM497" s="36"/>
      <c r="DN497" s="36"/>
      <c r="DO497" s="36"/>
      <c r="DP497" s="36"/>
      <c r="DQ497" s="36"/>
      <c r="DR497" s="36"/>
      <c r="DS497" s="36"/>
    </row>
    <row r="498" spans="1:123" ht="14.45">
      <c r="A498"/>
      <c r="B498"/>
      <c r="C498"/>
      <c r="D498"/>
      <c r="E498"/>
      <c r="F498"/>
      <c r="G498"/>
      <c r="H498"/>
      <c r="I498"/>
      <c r="J498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  <c r="BW498" s="36"/>
      <c r="BX498" s="36"/>
      <c r="BY498" s="36"/>
      <c r="BZ498" s="36"/>
      <c r="CA498" s="36"/>
      <c r="CB498" s="36"/>
      <c r="CC498" s="36"/>
      <c r="CD498" s="36"/>
      <c r="CE498" s="36"/>
      <c r="CF498" s="36"/>
      <c r="CG498" s="36"/>
      <c r="CH498" s="36"/>
      <c r="CI498" s="36"/>
      <c r="CJ498" s="36"/>
      <c r="CK498" s="36"/>
      <c r="CL498" s="36"/>
      <c r="CM498" s="36"/>
      <c r="CN498" s="36"/>
      <c r="CO498" s="36"/>
      <c r="CP498" s="36"/>
      <c r="CQ498" s="36"/>
      <c r="CR498" s="36"/>
      <c r="CS498" s="36"/>
      <c r="CT498" s="36"/>
      <c r="CU498" s="36"/>
      <c r="CV498" s="36"/>
      <c r="CW498" s="36"/>
      <c r="CX498" s="36"/>
      <c r="CY498" s="36"/>
      <c r="CZ498" s="36"/>
      <c r="DA498" s="36"/>
      <c r="DB498" s="36"/>
      <c r="DC498" s="36"/>
      <c r="DD498" s="36"/>
      <c r="DE498" s="36"/>
      <c r="DF498" s="36"/>
      <c r="DG498" s="36"/>
      <c r="DH498" s="36"/>
      <c r="DI498" s="36"/>
      <c r="DJ498" s="36"/>
      <c r="DK498" s="36"/>
      <c r="DL498" s="36"/>
      <c r="DM498" s="36"/>
      <c r="DN498" s="36"/>
      <c r="DO498" s="36"/>
      <c r="DP498" s="36"/>
      <c r="DQ498" s="36"/>
      <c r="DR498" s="36"/>
      <c r="DS498" s="36"/>
    </row>
    <row r="499" spans="1:123" ht="14.45">
      <c r="A499"/>
      <c r="B499"/>
      <c r="C499"/>
      <c r="D499"/>
      <c r="E499"/>
      <c r="F499"/>
      <c r="G499"/>
      <c r="H499"/>
      <c r="I499"/>
      <c r="J499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  <c r="BW499" s="36"/>
      <c r="BX499" s="36"/>
      <c r="BY499" s="36"/>
      <c r="BZ499" s="36"/>
      <c r="CA499" s="36"/>
      <c r="CB499" s="36"/>
      <c r="CC499" s="36"/>
      <c r="CD499" s="36"/>
      <c r="CE499" s="36"/>
      <c r="CF499" s="36"/>
      <c r="CG499" s="36"/>
      <c r="CH499" s="36"/>
      <c r="CI499" s="36"/>
      <c r="CJ499" s="36"/>
      <c r="CK499" s="36"/>
      <c r="CL499" s="36"/>
      <c r="CM499" s="36"/>
      <c r="CN499" s="36"/>
      <c r="CO499" s="36"/>
      <c r="CP499" s="36"/>
      <c r="CQ499" s="36"/>
      <c r="CR499" s="36"/>
      <c r="CS499" s="36"/>
      <c r="CT499" s="36"/>
      <c r="CU499" s="36"/>
      <c r="CV499" s="36"/>
      <c r="CW499" s="36"/>
      <c r="CX499" s="36"/>
      <c r="CY499" s="36"/>
      <c r="CZ499" s="36"/>
      <c r="DA499" s="36"/>
      <c r="DB499" s="36"/>
      <c r="DC499" s="36"/>
      <c r="DD499" s="36"/>
      <c r="DE499" s="36"/>
      <c r="DF499" s="36"/>
      <c r="DG499" s="36"/>
      <c r="DH499" s="36"/>
      <c r="DI499" s="36"/>
      <c r="DJ499" s="36"/>
      <c r="DK499" s="36"/>
      <c r="DL499" s="36"/>
      <c r="DM499" s="36"/>
      <c r="DN499" s="36"/>
      <c r="DO499" s="36"/>
      <c r="DP499" s="36"/>
      <c r="DQ499" s="36"/>
      <c r="DR499" s="36"/>
      <c r="DS499" s="36"/>
    </row>
    <row r="500" spans="1:123" ht="14.45">
      <c r="A500"/>
      <c r="B500"/>
      <c r="C500"/>
      <c r="D500"/>
      <c r="E500"/>
      <c r="F500"/>
      <c r="G500"/>
      <c r="H500"/>
      <c r="I500"/>
      <c r="J500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  <c r="CD500" s="36"/>
      <c r="CE500" s="36"/>
      <c r="CF500" s="36"/>
      <c r="CG500" s="36"/>
      <c r="CH500" s="36"/>
      <c r="CI500" s="36"/>
      <c r="CJ500" s="36"/>
      <c r="CK500" s="36"/>
      <c r="CL500" s="36"/>
      <c r="CM500" s="36"/>
      <c r="CN500" s="36"/>
      <c r="CO500" s="36"/>
      <c r="CP500" s="36"/>
      <c r="CQ500" s="36"/>
      <c r="CR500" s="36"/>
      <c r="CS500" s="36"/>
      <c r="CT500" s="36"/>
      <c r="CU500" s="36"/>
      <c r="CV500" s="36"/>
      <c r="CW500" s="36"/>
      <c r="CX500" s="36"/>
      <c r="CY500" s="36"/>
      <c r="CZ500" s="36"/>
      <c r="DA500" s="36"/>
      <c r="DB500" s="36"/>
      <c r="DC500" s="36"/>
      <c r="DD500" s="36"/>
      <c r="DE500" s="36"/>
      <c r="DF500" s="36"/>
      <c r="DG500" s="36"/>
      <c r="DH500" s="36"/>
      <c r="DI500" s="36"/>
      <c r="DJ500" s="36"/>
      <c r="DK500" s="36"/>
      <c r="DL500" s="36"/>
      <c r="DM500" s="36"/>
      <c r="DN500" s="36"/>
      <c r="DO500" s="36"/>
      <c r="DP500" s="36"/>
      <c r="DQ500" s="36"/>
      <c r="DR500" s="36"/>
      <c r="DS500" s="36"/>
    </row>
    <row r="501" spans="1:123" ht="14.45">
      <c r="A501"/>
      <c r="B501"/>
      <c r="C501"/>
      <c r="D501"/>
      <c r="E501"/>
      <c r="F501"/>
      <c r="G501"/>
      <c r="H501"/>
      <c r="I501"/>
      <c r="J501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  <c r="BS501" s="36"/>
      <c r="BT501" s="36"/>
      <c r="BU501" s="36"/>
      <c r="BV501" s="36"/>
      <c r="BW501" s="36"/>
      <c r="BX501" s="36"/>
      <c r="BY501" s="36"/>
      <c r="BZ501" s="36"/>
      <c r="CA501" s="36"/>
      <c r="CB501" s="36"/>
      <c r="CC501" s="36"/>
      <c r="CD501" s="36"/>
      <c r="CE501" s="36"/>
      <c r="CF501" s="36"/>
      <c r="CG501" s="36"/>
      <c r="CH501" s="36"/>
      <c r="CI501" s="36"/>
      <c r="CJ501" s="36"/>
      <c r="CK501" s="36"/>
      <c r="CL501" s="36"/>
      <c r="CM501" s="36"/>
      <c r="CN501" s="36"/>
      <c r="CO501" s="36"/>
      <c r="CP501" s="36"/>
      <c r="CQ501" s="36"/>
      <c r="CR501" s="36"/>
      <c r="CS501" s="36"/>
      <c r="CT501" s="36"/>
      <c r="CU501" s="36"/>
      <c r="CV501" s="36"/>
      <c r="CW501" s="36"/>
      <c r="CX501" s="36"/>
      <c r="CY501" s="36"/>
      <c r="CZ501" s="36"/>
      <c r="DA501" s="36"/>
      <c r="DB501" s="36"/>
      <c r="DC501" s="36"/>
      <c r="DD501" s="36"/>
      <c r="DE501" s="36"/>
      <c r="DF501" s="36"/>
      <c r="DG501" s="36"/>
      <c r="DH501" s="36"/>
      <c r="DI501" s="36"/>
      <c r="DJ501" s="36"/>
      <c r="DK501" s="36"/>
      <c r="DL501" s="36"/>
      <c r="DM501" s="36"/>
      <c r="DN501" s="36"/>
      <c r="DO501" s="36"/>
      <c r="DP501" s="36"/>
      <c r="DQ501" s="36"/>
      <c r="DR501" s="36"/>
      <c r="DS501" s="36"/>
    </row>
    <row r="502" spans="1:123" ht="14.45">
      <c r="A502"/>
      <c r="B502"/>
      <c r="C502"/>
      <c r="D502"/>
      <c r="E502"/>
      <c r="F502"/>
      <c r="G502"/>
      <c r="H502"/>
      <c r="I502"/>
      <c r="J502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  <c r="CK502" s="36"/>
      <c r="CL502" s="36"/>
      <c r="CM502" s="36"/>
      <c r="CN502" s="36"/>
      <c r="CO502" s="36"/>
      <c r="CP502" s="36"/>
      <c r="CQ502" s="36"/>
      <c r="CR502" s="36"/>
      <c r="CS502" s="36"/>
      <c r="CT502" s="36"/>
      <c r="CU502" s="36"/>
      <c r="CV502" s="36"/>
      <c r="CW502" s="36"/>
      <c r="CX502" s="36"/>
      <c r="CY502" s="36"/>
      <c r="CZ502" s="36"/>
      <c r="DA502" s="36"/>
      <c r="DB502" s="36"/>
      <c r="DC502" s="36"/>
      <c r="DD502" s="36"/>
      <c r="DE502" s="36"/>
      <c r="DF502" s="36"/>
      <c r="DG502" s="36"/>
      <c r="DH502" s="36"/>
      <c r="DI502" s="36"/>
      <c r="DJ502" s="36"/>
      <c r="DK502" s="36"/>
      <c r="DL502" s="36"/>
      <c r="DM502" s="36"/>
      <c r="DN502" s="36"/>
      <c r="DO502" s="36"/>
      <c r="DP502" s="36"/>
      <c r="DQ502" s="36"/>
      <c r="DR502" s="36"/>
      <c r="DS502" s="36"/>
    </row>
    <row r="503" spans="1:123" ht="14.45">
      <c r="A503"/>
      <c r="B503"/>
      <c r="C503"/>
      <c r="D503"/>
      <c r="E503"/>
      <c r="F503"/>
      <c r="G503"/>
      <c r="H503"/>
      <c r="I503"/>
      <c r="J503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  <c r="BS503" s="36"/>
      <c r="BT503" s="36"/>
      <c r="BU503" s="36"/>
      <c r="BV503" s="36"/>
      <c r="BW503" s="36"/>
      <c r="BX503" s="36"/>
      <c r="BY503" s="36"/>
      <c r="BZ503" s="36"/>
      <c r="CA503" s="36"/>
      <c r="CB503" s="36"/>
      <c r="CC503" s="36"/>
      <c r="CD503" s="36"/>
      <c r="CE503" s="36"/>
      <c r="CF503" s="36"/>
      <c r="CG503" s="36"/>
      <c r="CH503" s="36"/>
      <c r="CI503" s="36"/>
      <c r="CJ503" s="36"/>
      <c r="CK503" s="36"/>
      <c r="CL503" s="36"/>
      <c r="CM503" s="36"/>
      <c r="CN503" s="36"/>
      <c r="CO503" s="36"/>
      <c r="CP503" s="36"/>
      <c r="CQ503" s="36"/>
      <c r="CR503" s="36"/>
      <c r="CS503" s="36"/>
      <c r="CT503" s="36"/>
      <c r="CU503" s="36"/>
      <c r="CV503" s="36"/>
      <c r="CW503" s="36"/>
      <c r="CX503" s="36"/>
      <c r="CY503" s="36"/>
      <c r="CZ503" s="36"/>
      <c r="DA503" s="36"/>
      <c r="DB503" s="36"/>
      <c r="DC503" s="36"/>
      <c r="DD503" s="36"/>
      <c r="DE503" s="36"/>
      <c r="DF503" s="36"/>
      <c r="DG503" s="36"/>
      <c r="DH503" s="36"/>
      <c r="DI503" s="36"/>
      <c r="DJ503" s="36"/>
      <c r="DK503" s="36"/>
      <c r="DL503" s="36"/>
      <c r="DM503" s="36"/>
      <c r="DN503" s="36"/>
      <c r="DO503" s="36"/>
      <c r="DP503" s="36"/>
      <c r="DQ503" s="36"/>
      <c r="DR503" s="36"/>
      <c r="DS503" s="36"/>
    </row>
    <row r="504" spans="1:123" ht="14.45">
      <c r="A504"/>
      <c r="B504"/>
      <c r="C504"/>
      <c r="D504"/>
      <c r="E504"/>
      <c r="F504"/>
      <c r="G504"/>
      <c r="H504"/>
      <c r="I504"/>
      <c r="J504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CL504" s="36"/>
      <c r="CM504" s="36"/>
      <c r="CN504" s="36"/>
      <c r="CO504" s="36"/>
      <c r="CP504" s="36"/>
      <c r="CQ504" s="36"/>
      <c r="CR504" s="36"/>
      <c r="CS504" s="36"/>
      <c r="CT504" s="36"/>
      <c r="CU504" s="36"/>
      <c r="CV504" s="36"/>
      <c r="CW504" s="36"/>
      <c r="CX504" s="36"/>
      <c r="CY504" s="36"/>
      <c r="CZ504" s="36"/>
      <c r="DA504" s="36"/>
      <c r="DB504" s="36"/>
      <c r="DC504" s="36"/>
      <c r="DD504" s="36"/>
      <c r="DE504" s="36"/>
      <c r="DF504" s="36"/>
      <c r="DG504" s="36"/>
      <c r="DH504" s="36"/>
      <c r="DI504" s="36"/>
      <c r="DJ504" s="36"/>
      <c r="DK504" s="36"/>
      <c r="DL504" s="36"/>
      <c r="DM504" s="36"/>
      <c r="DN504" s="36"/>
      <c r="DO504" s="36"/>
      <c r="DP504" s="36"/>
      <c r="DQ504" s="36"/>
      <c r="DR504" s="36"/>
      <c r="DS504" s="36"/>
    </row>
    <row r="505" spans="1:123" ht="14.45">
      <c r="A505"/>
      <c r="B505"/>
      <c r="C505"/>
      <c r="D505"/>
      <c r="E505"/>
      <c r="F505"/>
      <c r="G505"/>
      <c r="H505"/>
      <c r="I505"/>
      <c r="J505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  <c r="CK505" s="36"/>
      <c r="CL505" s="36"/>
      <c r="CM505" s="36"/>
      <c r="CN505" s="36"/>
      <c r="CO505" s="36"/>
      <c r="CP505" s="36"/>
      <c r="CQ505" s="36"/>
      <c r="CR505" s="36"/>
      <c r="CS505" s="36"/>
      <c r="CT505" s="36"/>
      <c r="CU505" s="36"/>
      <c r="CV505" s="36"/>
      <c r="CW505" s="36"/>
      <c r="CX505" s="36"/>
      <c r="CY505" s="36"/>
      <c r="CZ505" s="36"/>
      <c r="DA505" s="36"/>
      <c r="DB505" s="36"/>
      <c r="DC505" s="36"/>
      <c r="DD505" s="36"/>
      <c r="DE505" s="36"/>
      <c r="DF505" s="36"/>
      <c r="DG505" s="36"/>
      <c r="DH505" s="36"/>
      <c r="DI505" s="36"/>
      <c r="DJ505" s="36"/>
      <c r="DK505" s="36"/>
      <c r="DL505" s="36"/>
      <c r="DM505" s="36"/>
      <c r="DN505" s="36"/>
      <c r="DO505" s="36"/>
      <c r="DP505" s="36"/>
      <c r="DQ505" s="36"/>
      <c r="DR505" s="36"/>
      <c r="DS505" s="36"/>
    </row>
    <row r="506" spans="1:123" ht="14.45">
      <c r="A506"/>
      <c r="B506"/>
      <c r="C506"/>
      <c r="D506"/>
      <c r="E506"/>
      <c r="F506"/>
      <c r="G506"/>
      <c r="H506"/>
      <c r="I506"/>
      <c r="J50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  <c r="CN506" s="36"/>
      <c r="CO506" s="36"/>
      <c r="CP506" s="36"/>
      <c r="CQ506" s="36"/>
      <c r="CR506" s="36"/>
      <c r="CS506" s="36"/>
      <c r="CT506" s="36"/>
      <c r="CU506" s="36"/>
      <c r="CV506" s="36"/>
      <c r="CW506" s="36"/>
      <c r="CX506" s="36"/>
      <c r="CY506" s="36"/>
      <c r="CZ506" s="36"/>
      <c r="DA506" s="36"/>
      <c r="DB506" s="36"/>
      <c r="DC506" s="36"/>
      <c r="DD506" s="36"/>
      <c r="DE506" s="36"/>
      <c r="DF506" s="36"/>
      <c r="DG506" s="36"/>
      <c r="DH506" s="36"/>
      <c r="DI506" s="36"/>
      <c r="DJ506" s="36"/>
      <c r="DK506" s="36"/>
      <c r="DL506" s="36"/>
      <c r="DM506" s="36"/>
      <c r="DN506" s="36"/>
      <c r="DO506" s="36"/>
      <c r="DP506" s="36"/>
      <c r="DQ506" s="36"/>
      <c r="DR506" s="36"/>
      <c r="DS506" s="36"/>
    </row>
    <row r="507" spans="1:123" ht="14.45">
      <c r="A507"/>
      <c r="B507"/>
      <c r="C507"/>
      <c r="D507"/>
      <c r="E507"/>
      <c r="F507"/>
      <c r="G507"/>
      <c r="H507"/>
      <c r="I507"/>
      <c r="J507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  <c r="DO507" s="36"/>
      <c r="DP507" s="36"/>
      <c r="DQ507" s="36"/>
      <c r="DR507" s="36"/>
      <c r="DS507" s="36"/>
    </row>
    <row r="508" spans="1:123" ht="14.45">
      <c r="A508"/>
      <c r="B508"/>
      <c r="C508"/>
      <c r="D508"/>
      <c r="E508"/>
      <c r="F508"/>
      <c r="G508"/>
      <c r="H508"/>
      <c r="I508"/>
      <c r="J508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  <c r="BS508" s="36"/>
      <c r="BT508" s="36"/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CL508" s="36"/>
      <c r="CM508" s="36"/>
      <c r="CN508" s="36"/>
      <c r="CO508" s="36"/>
      <c r="CP508" s="36"/>
      <c r="CQ508" s="36"/>
      <c r="CR508" s="36"/>
      <c r="CS508" s="36"/>
      <c r="CT508" s="36"/>
      <c r="CU508" s="36"/>
      <c r="CV508" s="36"/>
      <c r="CW508" s="36"/>
      <c r="CX508" s="36"/>
      <c r="CY508" s="36"/>
      <c r="CZ508" s="36"/>
      <c r="DA508" s="36"/>
      <c r="DB508" s="36"/>
      <c r="DC508" s="36"/>
      <c r="DD508" s="36"/>
      <c r="DE508" s="36"/>
      <c r="DF508" s="36"/>
      <c r="DG508" s="36"/>
      <c r="DH508" s="36"/>
      <c r="DI508" s="36"/>
      <c r="DJ508" s="36"/>
      <c r="DK508" s="36"/>
      <c r="DL508" s="36"/>
      <c r="DM508" s="36"/>
      <c r="DN508" s="36"/>
      <c r="DO508" s="36"/>
      <c r="DP508" s="36"/>
      <c r="DQ508" s="36"/>
      <c r="DR508" s="36"/>
      <c r="DS508" s="36"/>
    </row>
    <row r="509" spans="1:123" ht="14.45">
      <c r="A509"/>
      <c r="B509"/>
      <c r="C509"/>
      <c r="D509"/>
      <c r="E509"/>
      <c r="F509"/>
      <c r="G509"/>
      <c r="H509"/>
      <c r="I509"/>
      <c r="J509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  <c r="CN509" s="36"/>
      <c r="CO509" s="36"/>
      <c r="CP509" s="36"/>
      <c r="CQ509" s="36"/>
      <c r="CR509" s="36"/>
      <c r="CS509" s="36"/>
      <c r="CT509" s="36"/>
      <c r="CU509" s="36"/>
      <c r="CV509" s="36"/>
      <c r="CW509" s="36"/>
      <c r="CX509" s="36"/>
      <c r="CY509" s="36"/>
      <c r="CZ509" s="36"/>
      <c r="DA509" s="36"/>
      <c r="DB509" s="36"/>
      <c r="DC509" s="36"/>
      <c r="DD509" s="36"/>
      <c r="DE509" s="36"/>
      <c r="DF509" s="36"/>
      <c r="DG509" s="36"/>
      <c r="DH509" s="36"/>
      <c r="DI509" s="36"/>
      <c r="DJ509" s="36"/>
      <c r="DK509" s="36"/>
      <c r="DL509" s="36"/>
      <c r="DM509" s="36"/>
      <c r="DN509" s="36"/>
      <c r="DO509" s="36"/>
      <c r="DP509" s="36"/>
      <c r="DQ509" s="36"/>
      <c r="DR509" s="36"/>
      <c r="DS509" s="36"/>
    </row>
    <row r="510" spans="1:123" ht="14.45">
      <c r="A510"/>
      <c r="B510"/>
      <c r="C510"/>
      <c r="D510"/>
      <c r="E510"/>
      <c r="F510"/>
      <c r="G510"/>
      <c r="H510"/>
      <c r="I510"/>
      <c r="J510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  <c r="BS510" s="36"/>
      <c r="BT510" s="36"/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CL510" s="36"/>
      <c r="CM510" s="36"/>
      <c r="CN510" s="36"/>
      <c r="CO510" s="36"/>
      <c r="CP510" s="36"/>
      <c r="CQ510" s="36"/>
      <c r="CR510" s="36"/>
      <c r="CS510" s="36"/>
      <c r="CT510" s="36"/>
      <c r="CU510" s="36"/>
      <c r="CV510" s="36"/>
      <c r="CW510" s="36"/>
      <c r="CX510" s="36"/>
      <c r="CY510" s="36"/>
      <c r="CZ510" s="36"/>
      <c r="DA510" s="36"/>
      <c r="DB510" s="36"/>
      <c r="DC510" s="36"/>
      <c r="DD510" s="36"/>
      <c r="DE510" s="36"/>
      <c r="DF510" s="36"/>
      <c r="DG510" s="36"/>
      <c r="DH510" s="36"/>
      <c r="DI510" s="36"/>
      <c r="DJ510" s="36"/>
      <c r="DK510" s="36"/>
      <c r="DL510" s="36"/>
      <c r="DM510" s="36"/>
      <c r="DN510" s="36"/>
      <c r="DO510" s="36"/>
      <c r="DP510" s="36"/>
      <c r="DQ510" s="36"/>
      <c r="DR510" s="36"/>
      <c r="DS510" s="36"/>
    </row>
    <row r="511" spans="1:123" ht="14.45">
      <c r="A511"/>
      <c r="B511"/>
      <c r="C511"/>
      <c r="D511"/>
      <c r="E511"/>
      <c r="F511"/>
      <c r="G511"/>
      <c r="H511"/>
      <c r="I511"/>
      <c r="J511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  <c r="BS511" s="36"/>
      <c r="BT511" s="36"/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CL511" s="36"/>
      <c r="CM511" s="36"/>
      <c r="CN511" s="36"/>
      <c r="CO511" s="36"/>
      <c r="CP511" s="36"/>
      <c r="CQ511" s="36"/>
      <c r="CR511" s="36"/>
      <c r="CS511" s="36"/>
      <c r="CT511" s="36"/>
      <c r="CU511" s="36"/>
      <c r="CV511" s="36"/>
      <c r="CW511" s="36"/>
      <c r="CX511" s="36"/>
      <c r="CY511" s="36"/>
      <c r="CZ511" s="36"/>
      <c r="DA511" s="36"/>
      <c r="DB511" s="36"/>
      <c r="DC511" s="36"/>
      <c r="DD511" s="36"/>
      <c r="DE511" s="36"/>
      <c r="DF511" s="36"/>
      <c r="DG511" s="36"/>
      <c r="DH511" s="36"/>
      <c r="DI511" s="36"/>
      <c r="DJ511" s="36"/>
      <c r="DK511" s="36"/>
      <c r="DL511" s="36"/>
      <c r="DM511" s="36"/>
      <c r="DN511" s="36"/>
      <c r="DO511" s="36"/>
      <c r="DP511" s="36"/>
      <c r="DQ511" s="36"/>
      <c r="DR511" s="36"/>
      <c r="DS511" s="36"/>
    </row>
    <row r="512" spans="1:123" ht="14.45">
      <c r="A512"/>
      <c r="B512"/>
      <c r="C512"/>
      <c r="D512"/>
      <c r="E512"/>
      <c r="F512"/>
      <c r="G512"/>
      <c r="H512"/>
      <c r="I512"/>
      <c r="J512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  <c r="CN512" s="36"/>
      <c r="CO512" s="36"/>
      <c r="CP512" s="36"/>
      <c r="CQ512" s="36"/>
      <c r="CR512" s="36"/>
      <c r="CS512" s="36"/>
      <c r="CT512" s="36"/>
      <c r="CU512" s="36"/>
      <c r="CV512" s="36"/>
      <c r="CW512" s="36"/>
      <c r="CX512" s="36"/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/>
      <c r="DL512" s="36"/>
      <c r="DM512" s="36"/>
      <c r="DN512" s="36"/>
      <c r="DO512" s="36"/>
      <c r="DP512" s="36"/>
      <c r="DQ512" s="36"/>
      <c r="DR512" s="36"/>
      <c r="DS512" s="36"/>
    </row>
    <row r="513" spans="1:123" ht="14.45">
      <c r="A513"/>
      <c r="B513"/>
      <c r="C513"/>
      <c r="D513"/>
      <c r="E513"/>
      <c r="F513"/>
      <c r="G513"/>
      <c r="H513"/>
      <c r="I513"/>
      <c r="J513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  <c r="BS513" s="36"/>
      <c r="BT513" s="36"/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  <c r="CN513" s="36"/>
      <c r="CO513" s="36"/>
      <c r="CP513" s="36"/>
      <c r="CQ513" s="36"/>
      <c r="CR513" s="36"/>
      <c r="CS513" s="36"/>
      <c r="CT513" s="36"/>
      <c r="CU513" s="36"/>
      <c r="CV513" s="36"/>
      <c r="CW513" s="36"/>
      <c r="CX513" s="36"/>
      <c r="CY513" s="36"/>
      <c r="CZ513" s="36"/>
      <c r="DA513" s="36"/>
      <c r="DB513" s="36"/>
      <c r="DC513" s="36"/>
      <c r="DD513" s="36"/>
      <c r="DE513" s="36"/>
      <c r="DF513" s="36"/>
      <c r="DG513" s="36"/>
      <c r="DH513" s="36"/>
      <c r="DI513" s="36"/>
      <c r="DJ513" s="36"/>
      <c r="DK513" s="36"/>
      <c r="DL513" s="36"/>
      <c r="DM513" s="36"/>
      <c r="DN513" s="36"/>
      <c r="DO513" s="36"/>
      <c r="DP513" s="36"/>
      <c r="DQ513" s="36"/>
      <c r="DR513" s="36"/>
      <c r="DS513" s="36"/>
    </row>
    <row r="514" spans="1:123" ht="14.45">
      <c r="A514"/>
      <c r="B514"/>
      <c r="C514"/>
      <c r="D514"/>
      <c r="E514"/>
      <c r="F514"/>
      <c r="G514"/>
      <c r="H514"/>
      <c r="I514"/>
      <c r="J514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36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  <c r="DO514" s="36"/>
      <c r="DP514" s="36"/>
      <c r="DQ514" s="36"/>
      <c r="DR514" s="36"/>
      <c r="DS514" s="36"/>
    </row>
    <row r="515" spans="1:123" ht="14.45">
      <c r="A515"/>
      <c r="B515"/>
      <c r="C515"/>
      <c r="D515"/>
      <c r="E515"/>
      <c r="F515"/>
      <c r="G515"/>
      <c r="H515"/>
      <c r="I515"/>
      <c r="J515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  <c r="CN515" s="36"/>
      <c r="CO515" s="36"/>
      <c r="CP515" s="36"/>
      <c r="CQ515" s="36"/>
      <c r="CR515" s="36"/>
      <c r="CS515" s="36"/>
      <c r="CT515" s="36"/>
      <c r="CU515" s="36"/>
      <c r="CV515" s="36"/>
      <c r="CW515" s="36"/>
      <c r="CX515" s="36"/>
      <c r="CY515" s="36"/>
      <c r="CZ515" s="36"/>
      <c r="DA515" s="36"/>
      <c r="DB515" s="36"/>
      <c r="DC515" s="36"/>
      <c r="DD515" s="36"/>
      <c r="DE515" s="36"/>
      <c r="DF515" s="36"/>
      <c r="DG515" s="36"/>
      <c r="DH515" s="36"/>
      <c r="DI515" s="36"/>
      <c r="DJ515" s="36"/>
      <c r="DK515" s="36"/>
      <c r="DL515" s="36"/>
      <c r="DM515" s="36"/>
      <c r="DN515" s="36"/>
      <c r="DO515" s="36"/>
      <c r="DP515" s="36"/>
      <c r="DQ515" s="36"/>
      <c r="DR515" s="36"/>
      <c r="DS515" s="36"/>
    </row>
    <row r="516" spans="1:123" ht="14.45">
      <c r="A516"/>
      <c r="B516"/>
      <c r="C516"/>
      <c r="D516"/>
      <c r="E516"/>
      <c r="F516"/>
      <c r="G516"/>
      <c r="H516"/>
      <c r="I516"/>
      <c r="J51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  <c r="BS516" s="36"/>
      <c r="BT516" s="36"/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  <c r="CN516" s="36"/>
      <c r="CO516" s="36"/>
      <c r="CP516" s="36"/>
      <c r="CQ516" s="36"/>
      <c r="CR516" s="36"/>
      <c r="CS516" s="36"/>
      <c r="CT516" s="36"/>
      <c r="CU516" s="36"/>
      <c r="CV516" s="36"/>
      <c r="CW516" s="36"/>
      <c r="CX516" s="36"/>
      <c r="CY516" s="36"/>
      <c r="CZ516" s="36"/>
      <c r="DA516" s="36"/>
      <c r="DB516" s="36"/>
      <c r="DC516" s="36"/>
      <c r="DD516" s="36"/>
      <c r="DE516" s="36"/>
      <c r="DF516" s="36"/>
      <c r="DG516" s="36"/>
      <c r="DH516" s="36"/>
      <c r="DI516" s="36"/>
      <c r="DJ516" s="36"/>
      <c r="DK516" s="36"/>
      <c r="DL516" s="36"/>
      <c r="DM516" s="36"/>
      <c r="DN516" s="36"/>
      <c r="DO516" s="36"/>
      <c r="DP516" s="36"/>
      <c r="DQ516" s="36"/>
      <c r="DR516" s="36"/>
      <c r="DS516" s="36"/>
    </row>
    <row r="517" spans="1:123" ht="14.45">
      <c r="A517"/>
      <c r="B517"/>
      <c r="C517"/>
      <c r="D517"/>
      <c r="E517"/>
      <c r="F517"/>
      <c r="G517"/>
      <c r="H517"/>
      <c r="I517"/>
      <c r="J517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  <c r="BS517" s="36"/>
      <c r="BT517" s="36"/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CL517" s="36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36"/>
      <c r="CY517" s="36"/>
      <c r="CZ517" s="36"/>
      <c r="DA517" s="36"/>
      <c r="DB517" s="36"/>
      <c r="DC517" s="36"/>
      <c r="DD517" s="36"/>
      <c r="DE517" s="36"/>
      <c r="DF517" s="36"/>
      <c r="DG517" s="36"/>
      <c r="DH517" s="36"/>
      <c r="DI517" s="36"/>
      <c r="DJ517" s="36"/>
      <c r="DK517" s="36"/>
      <c r="DL517" s="36"/>
      <c r="DM517" s="36"/>
      <c r="DN517" s="36"/>
      <c r="DO517" s="36"/>
      <c r="DP517" s="36"/>
      <c r="DQ517" s="36"/>
      <c r="DR517" s="36"/>
      <c r="DS517" s="36"/>
    </row>
    <row r="518" spans="1:123" ht="14.45">
      <c r="A518"/>
      <c r="B518"/>
      <c r="C518"/>
      <c r="D518"/>
      <c r="E518"/>
      <c r="F518"/>
      <c r="G518"/>
      <c r="H518"/>
      <c r="I518"/>
      <c r="J518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  <c r="BS518" s="36"/>
      <c r="BT518" s="36"/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CL518" s="36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36"/>
      <c r="CY518" s="36"/>
      <c r="CZ518" s="36"/>
      <c r="DA518" s="36"/>
      <c r="DB518" s="36"/>
      <c r="DC518" s="36"/>
      <c r="DD518" s="36"/>
      <c r="DE518" s="36"/>
      <c r="DF518" s="36"/>
      <c r="DG518" s="36"/>
      <c r="DH518" s="36"/>
      <c r="DI518" s="36"/>
      <c r="DJ518" s="36"/>
      <c r="DK518" s="36"/>
      <c r="DL518" s="36"/>
      <c r="DM518" s="36"/>
      <c r="DN518" s="36"/>
      <c r="DO518" s="36"/>
      <c r="DP518" s="36"/>
      <c r="DQ518" s="36"/>
      <c r="DR518" s="36"/>
      <c r="DS518" s="36"/>
    </row>
    <row r="519" spans="1:123" ht="14.45">
      <c r="A519"/>
      <c r="B519"/>
      <c r="C519"/>
      <c r="D519"/>
      <c r="E519"/>
      <c r="F519"/>
      <c r="G519"/>
      <c r="H519"/>
      <c r="I519"/>
      <c r="J519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/>
      <c r="DS519" s="36"/>
    </row>
    <row r="520" spans="1:123" ht="14.45">
      <c r="A520"/>
      <c r="B520"/>
      <c r="C520"/>
      <c r="D520"/>
      <c r="E520"/>
      <c r="F520"/>
      <c r="G520"/>
      <c r="H520"/>
      <c r="I520"/>
      <c r="J520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  <c r="DO520" s="36"/>
      <c r="DP520" s="36"/>
      <c r="DQ520" s="36"/>
      <c r="DR520" s="36"/>
      <c r="DS520" s="36"/>
    </row>
    <row r="521" spans="1:123" ht="14.45">
      <c r="A521"/>
      <c r="B521"/>
      <c r="C521"/>
      <c r="D521"/>
      <c r="E521"/>
      <c r="F521"/>
      <c r="G521"/>
      <c r="H521"/>
      <c r="I521"/>
      <c r="J521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  <c r="DO521" s="36"/>
      <c r="DP521" s="36"/>
      <c r="DQ521" s="36"/>
      <c r="DR521" s="36"/>
      <c r="DS521" s="36"/>
    </row>
    <row r="522" spans="1:123" ht="14.45">
      <c r="A522"/>
      <c r="B522"/>
      <c r="C522"/>
      <c r="D522"/>
      <c r="E522"/>
      <c r="F522"/>
      <c r="G522"/>
      <c r="H522"/>
      <c r="I522"/>
      <c r="J522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  <c r="DO522" s="36"/>
      <c r="DP522" s="36"/>
      <c r="DQ522" s="36"/>
      <c r="DR522" s="36"/>
      <c r="DS522" s="36"/>
    </row>
    <row r="523" spans="1:123" ht="14.45">
      <c r="A523"/>
      <c r="B523"/>
      <c r="C523"/>
      <c r="D523"/>
      <c r="E523"/>
      <c r="F523"/>
      <c r="G523"/>
      <c r="H523"/>
      <c r="I523"/>
      <c r="J523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  <c r="DO523" s="36"/>
      <c r="DP523" s="36"/>
      <c r="DQ523" s="36"/>
      <c r="DR523" s="36"/>
      <c r="DS523" s="36"/>
    </row>
    <row r="524" spans="1:123" ht="14.45">
      <c r="A524"/>
      <c r="B524"/>
      <c r="C524"/>
      <c r="D524"/>
      <c r="E524"/>
      <c r="F524"/>
      <c r="G524"/>
      <c r="H524"/>
      <c r="I524"/>
      <c r="J524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  <c r="DO524" s="36"/>
      <c r="DP524" s="36"/>
      <c r="DQ524" s="36"/>
      <c r="DR524" s="36"/>
      <c r="DS524" s="36"/>
    </row>
    <row r="525" spans="1:123" ht="14.45">
      <c r="A525"/>
      <c r="B525"/>
      <c r="C525"/>
      <c r="D525"/>
      <c r="E525"/>
      <c r="F525"/>
      <c r="G525"/>
      <c r="H525"/>
      <c r="I525"/>
      <c r="J525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</row>
    <row r="526" spans="1:123" ht="14.45">
      <c r="A526"/>
      <c r="B526"/>
      <c r="C526"/>
      <c r="D526"/>
      <c r="E526"/>
      <c r="F526"/>
      <c r="G526"/>
      <c r="H526"/>
      <c r="I526"/>
      <c r="J52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  <c r="DO526" s="36"/>
      <c r="DP526" s="36"/>
      <c r="DQ526" s="36"/>
      <c r="DR526" s="36"/>
      <c r="DS526" s="36"/>
    </row>
    <row r="527" spans="1:123" ht="14.45">
      <c r="A527"/>
      <c r="B527"/>
      <c r="C527"/>
      <c r="D527"/>
      <c r="E527"/>
      <c r="F527"/>
      <c r="G527"/>
      <c r="H527"/>
      <c r="I527"/>
      <c r="J527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</row>
    <row r="528" spans="1:123" ht="14.45">
      <c r="A528"/>
      <c r="B528"/>
      <c r="C528"/>
      <c r="D528"/>
      <c r="E528"/>
      <c r="F528"/>
      <c r="G528"/>
      <c r="H528"/>
      <c r="I528"/>
      <c r="J528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  <c r="DO528" s="36"/>
      <c r="DP528" s="36"/>
      <c r="DQ528" s="36"/>
      <c r="DR528" s="36"/>
      <c r="DS528" s="36"/>
    </row>
    <row r="529" spans="1:123" ht="14.45">
      <c r="A529"/>
      <c r="B529"/>
      <c r="C529"/>
      <c r="D529"/>
      <c r="E529"/>
      <c r="F529"/>
      <c r="G529"/>
      <c r="H529"/>
      <c r="I529"/>
      <c r="J529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  <c r="DO529" s="36"/>
      <c r="DP529" s="36"/>
      <c r="DQ529" s="36"/>
      <c r="DR529" s="36"/>
      <c r="DS529" s="36"/>
    </row>
    <row r="530" spans="1:123" ht="14.45">
      <c r="A530"/>
      <c r="B530"/>
      <c r="C530"/>
      <c r="D530"/>
      <c r="E530"/>
      <c r="F530"/>
      <c r="G530"/>
      <c r="H530"/>
      <c r="I530"/>
      <c r="J530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  <c r="DO530" s="36"/>
      <c r="DP530" s="36"/>
      <c r="DQ530" s="36"/>
      <c r="DR530" s="36"/>
      <c r="DS530" s="36"/>
    </row>
    <row r="531" spans="1:123" ht="14.45">
      <c r="A531"/>
      <c r="B531"/>
      <c r="C531"/>
      <c r="D531"/>
      <c r="E531"/>
      <c r="F531"/>
      <c r="G531"/>
      <c r="H531"/>
      <c r="I531"/>
      <c r="J531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36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  <c r="DO531" s="36"/>
      <c r="DP531" s="36"/>
      <c r="DQ531" s="36"/>
      <c r="DR531" s="36"/>
      <c r="DS531" s="36"/>
    </row>
    <row r="532" spans="1:123" ht="14.45">
      <c r="A532"/>
      <c r="B532"/>
      <c r="C532"/>
      <c r="D532"/>
      <c r="E532"/>
      <c r="F532"/>
      <c r="G532"/>
      <c r="H532"/>
      <c r="I532"/>
      <c r="J532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  <c r="CN532" s="36"/>
      <c r="CO532" s="36"/>
      <c r="CP532" s="36"/>
      <c r="CQ532" s="36"/>
      <c r="CR532" s="36"/>
      <c r="CS532" s="36"/>
      <c r="CT532" s="36"/>
      <c r="CU532" s="36"/>
      <c r="CV532" s="36"/>
      <c r="CW532" s="36"/>
      <c r="CX532" s="36"/>
      <c r="CY532" s="36"/>
      <c r="CZ532" s="36"/>
      <c r="DA532" s="36"/>
      <c r="DB532" s="36"/>
      <c r="DC532" s="36"/>
      <c r="DD532" s="36"/>
      <c r="DE532" s="36"/>
      <c r="DF532" s="36"/>
      <c r="DG532" s="36"/>
      <c r="DH532" s="36"/>
      <c r="DI532" s="36"/>
      <c r="DJ532" s="36"/>
      <c r="DK532" s="36"/>
      <c r="DL532" s="36"/>
      <c r="DM532" s="36"/>
      <c r="DN532" s="36"/>
      <c r="DO532" s="36"/>
      <c r="DP532" s="36"/>
      <c r="DQ532" s="36"/>
      <c r="DR532" s="36"/>
      <c r="DS532" s="36"/>
    </row>
    <row r="533" spans="1:123" ht="14.45">
      <c r="A533"/>
      <c r="B533"/>
      <c r="C533"/>
      <c r="D533"/>
      <c r="E533"/>
      <c r="F533"/>
      <c r="G533"/>
      <c r="H533"/>
      <c r="I533"/>
      <c r="J533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  <c r="DO533" s="36"/>
      <c r="DP533" s="36"/>
      <c r="DQ533" s="36"/>
      <c r="DR533" s="36"/>
      <c r="DS533" s="36"/>
    </row>
    <row r="534" spans="1:123" ht="14.45">
      <c r="A534"/>
      <c r="B534"/>
      <c r="C534"/>
      <c r="D534"/>
      <c r="E534"/>
      <c r="F534"/>
      <c r="G534"/>
      <c r="H534"/>
      <c r="I534"/>
      <c r="J534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  <c r="CN534" s="36"/>
      <c r="CO534" s="36"/>
      <c r="CP534" s="36"/>
      <c r="CQ534" s="36"/>
      <c r="CR534" s="36"/>
      <c r="CS534" s="36"/>
      <c r="CT534" s="36"/>
      <c r="CU534" s="36"/>
      <c r="CV534" s="36"/>
      <c r="CW534" s="36"/>
      <c r="CX534" s="36"/>
      <c r="CY534" s="36"/>
      <c r="CZ534" s="36"/>
      <c r="DA534" s="36"/>
      <c r="DB534" s="36"/>
      <c r="DC534" s="36"/>
      <c r="DD534" s="36"/>
      <c r="DE534" s="36"/>
      <c r="DF534" s="36"/>
      <c r="DG534" s="36"/>
      <c r="DH534" s="36"/>
      <c r="DI534" s="36"/>
      <c r="DJ534" s="36"/>
      <c r="DK534" s="36"/>
      <c r="DL534" s="36"/>
      <c r="DM534" s="36"/>
      <c r="DN534" s="36"/>
      <c r="DO534" s="36"/>
      <c r="DP534" s="36"/>
      <c r="DQ534" s="36"/>
      <c r="DR534" s="36"/>
      <c r="DS534" s="36"/>
    </row>
    <row r="535" spans="1:123" ht="14.45">
      <c r="A535"/>
      <c r="B535"/>
      <c r="C535"/>
      <c r="D535"/>
      <c r="E535"/>
      <c r="F535"/>
      <c r="G535"/>
      <c r="H535"/>
      <c r="I535"/>
      <c r="J535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/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  <c r="DO535" s="36"/>
      <c r="DP535" s="36"/>
      <c r="DQ535" s="36"/>
      <c r="DR535" s="36"/>
      <c r="DS535" s="36"/>
    </row>
    <row r="536" spans="1:123" ht="14.45">
      <c r="A536"/>
      <c r="B536"/>
      <c r="C536"/>
      <c r="D536"/>
      <c r="E536"/>
      <c r="F536"/>
      <c r="G536"/>
      <c r="H536"/>
      <c r="I536"/>
      <c r="J5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  <c r="DO536" s="36"/>
      <c r="DP536" s="36"/>
      <c r="DQ536" s="36"/>
      <c r="DR536" s="36"/>
      <c r="DS536" s="36"/>
    </row>
    <row r="537" spans="1:123" ht="14.45">
      <c r="A537"/>
      <c r="B537"/>
      <c r="C537"/>
      <c r="D537"/>
      <c r="E537"/>
      <c r="F537"/>
      <c r="G537"/>
      <c r="H537"/>
      <c r="I537"/>
      <c r="J537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/>
      <c r="CS537" s="36"/>
      <c r="CT537" s="36"/>
      <c r="CU537" s="36"/>
      <c r="CV537" s="36"/>
      <c r="CW537" s="36"/>
      <c r="CX537" s="36"/>
      <c r="CY537" s="36"/>
      <c r="CZ537" s="36"/>
      <c r="DA537" s="36"/>
      <c r="DB537" s="36"/>
      <c r="DC537" s="36"/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  <c r="DO537" s="36"/>
      <c r="DP537" s="36"/>
      <c r="DQ537" s="36"/>
      <c r="DR537" s="36"/>
      <c r="DS537" s="36"/>
    </row>
    <row r="538" spans="1:123" ht="14.45">
      <c r="A538"/>
      <c r="B538"/>
      <c r="C538"/>
      <c r="D538"/>
      <c r="E538"/>
      <c r="F538"/>
      <c r="G538"/>
      <c r="H538"/>
      <c r="I538"/>
      <c r="J538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  <c r="CN538" s="36"/>
      <c r="CO538" s="36"/>
      <c r="CP538" s="36"/>
      <c r="CQ538" s="36"/>
      <c r="CR538" s="36"/>
      <c r="CS538" s="36"/>
      <c r="CT538" s="36"/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/>
      <c r="DJ538" s="36"/>
      <c r="DK538" s="36"/>
      <c r="DL538" s="36"/>
      <c r="DM538" s="36"/>
      <c r="DN538" s="36"/>
      <c r="DO538" s="36"/>
      <c r="DP538" s="36"/>
      <c r="DQ538" s="36"/>
      <c r="DR538" s="36"/>
      <c r="DS538" s="36"/>
    </row>
    <row r="539" spans="1:123" ht="14.45">
      <c r="A539"/>
      <c r="B539"/>
      <c r="C539"/>
      <c r="D539"/>
      <c r="E539"/>
      <c r="F539"/>
      <c r="G539"/>
      <c r="H539"/>
      <c r="I539"/>
      <c r="J539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/>
    </row>
    <row r="540" spans="1:123" ht="14.45">
      <c r="A540"/>
      <c r="B540"/>
      <c r="C540"/>
      <c r="D540"/>
      <c r="E540"/>
      <c r="F540"/>
      <c r="G540"/>
      <c r="H540"/>
      <c r="I540"/>
      <c r="J540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  <c r="CN540" s="36"/>
      <c r="CO540" s="36"/>
      <c r="CP540" s="36"/>
      <c r="CQ540" s="36"/>
      <c r="CR540" s="36"/>
      <c r="CS540" s="36"/>
      <c r="CT540" s="36"/>
      <c r="CU540" s="36"/>
      <c r="CV540" s="36"/>
      <c r="CW540" s="36"/>
      <c r="CX540" s="36"/>
      <c r="CY540" s="36"/>
      <c r="CZ540" s="36"/>
      <c r="DA540" s="36"/>
      <c r="DB540" s="36"/>
      <c r="DC540" s="36"/>
      <c r="DD540" s="36"/>
      <c r="DE540" s="36"/>
      <c r="DF540" s="36"/>
      <c r="DG540" s="36"/>
      <c r="DH540" s="36"/>
      <c r="DI540" s="36"/>
      <c r="DJ540" s="36"/>
      <c r="DK540" s="36"/>
      <c r="DL540" s="36"/>
      <c r="DM540" s="36"/>
      <c r="DN540" s="36"/>
      <c r="DO540" s="36"/>
      <c r="DP540" s="36"/>
      <c r="DQ540" s="36"/>
      <c r="DR540" s="36"/>
      <c r="DS540" s="36"/>
    </row>
    <row r="541" spans="1:123" ht="14.45">
      <c r="A541"/>
      <c r="B541"/>
      <c r="C541"/>
      <c r="D541"/>
      <c r="E541"/>
      <c r="F541"/>
      <c r="G541"/>
      <c r="H541"/>
      <c r="I541"/>
      <c r="J541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  <c r="DO541" s="36"/>
      <c r="DP541" s="36"/>
      <c r="DQ541" s="36"/>
      <c r="DR541" s="36"/>
      <c r="DS541" s="36"/>
    </row>
    <row r="542" spans="1:123" ht="14.45">
      <c r="A542"/>
      <c r="B542"/>
      <c r="C542"/>
      <c r="D542"/>
      <c r="E542"/>
      <c r="F542"/>
      <c r="G542"/>
      <c r="H542"/>
      <c r="I542"/>
      <c r="J542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  <c r="DO542" s="36"/>
      <c r="DP542" s="36"/>
      <c r="DQ542" s="36"/>
      <c r="DR542" s="36"/>
      <c r="DS542" s="36"/>
    </row>
    <row r="543" spans="1:123" ht="14.45">
      <c r="A543"/>
      <c r="B543"/>
      <c r="C543"/>
      <c r="D543"/>
      <c r="E543"/>
      <c r="F543"/>
      <c r="G543"/>
      <c r="H543"/>
      <c r="I543"/>
      <c r="J543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</row>
    <row r="544" spans="1:123" ht="14.45">
      <c r="A544"/>
      <c r="B544"/>
      <c r="C544"/>
      <c r="D544"/>
      <c r="E544"/>
      <c r="F544"/>
      <c r="G544"/>
      <c r="H544"/>
      <c r="I544"/>
      <c r="J544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  <c r="DO544" s="36"/>
      <c r="DP544" s="36"/>
      <c r="DQ544" s="36"/>
      <c r="DR544" s="36"/>
      <c r="DS544" s="36"/>
    </row>
    <row r="545" spans="1:123" ht="14.45">
      <c r="A545"/>
      <c r="B545"/>
      <c r="C545"/>
      <c r="D545"/>
      <c r="E545"/>
      <c r="F545"/>
      <c r="G545"/>
      <c r="H545"/>
      <c r="I545"/>
      <c r="J545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</row>
    <row r="546" spans="1:123" ht="14.45">
      <c r="A546"/>
      <c r="B546"/>
      <c r="C546"/>
      <c r="D546"/>
      <c r="E546"/>
      <c r="F546"/>
      <c r="G546"/>
      <c r="H546"/>
      <c r="I546"/>
      <c r="J54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  <c r="DO546" s="36"/>
      <c r="DP546" s="36"/>
      <c r="DQ546" s="36"/>
      <c r="DR546" s="36"/>
      <c r="DS546" s="36"/>
    </row>
    <row r="547" spans="1:123" ht="14.45">
      <c r="A547"/>
      <c r="B547"/>
      <c r="C547"/>
      <c r="D547"/>
      <c r="E547"/>
      <c r="F547"/>
      <c r="G547"/>
      <c r="H547"/>
      <c r="I547"/>
      <c r="J547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</row>
    <row r="548" spans="1:123" ht="14.45">
      <c r="A548"/>
      <c r="B548"/>
      <c r="C548"/>
      <c r="D548"/>
      <c r="E548"/>
      <c r="F548"/>
      <c r="G548"/>
      <c r="H548"/>
      <c r="I548"/>
      <c r="J548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</row>
    <row r="549" spans="1:123" ht="14.45">
      <c r="A549"/>
      <c r="B549"/>
      <c r="C549"/>
      <c r="D549"/>
      <c r="E549"/>
      <c r="F549"/>
      <c r="G549"/>
      <c r="H549"/>
      <c r="I549"/>
      <c r="J549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  <c r="DO549" s="36"/>
      <c r="DP549" s="36"/>
      <c r="DQ549" s="36"/>
      <c r="DR549" s="36"/>
      <c r="DS549" s="36"/>
    </row>
    <row r="550" spans="1:123" ht="14.45">
      <c r="A550"/>
      <c r="B550"/>
      <c r="C550"/>
      <c r="D550"/>
      <c r="E550"/>
      <c r="F550"/>
      <c r="G550"/>
      <c r="H550"/>
      <c r="I550"/>
      <c r="J550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  <c r="DO550" s="36"/>
      <c r="DP550" s="36"/>
      <c r="DQ550" s="36"/>
      <c r="DR550" s="36"/>
      <c r="DS550" s="36"/>
    </row>
    <row r="551" spans="1:123" ht="14.45">
      <c r="A551"/>
      <c r="B551"/>
      <c r="C551"/>
      <c r="D551"/>
      <c r="E551"/>
      <c r="F551"/>
      <c r="G551"/>
      <c r="H551"/>
      <c r="I551"/>
      <c r="J551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  <c r="DO551" s="36"/>
      <c r="DP551" s="36"/>
      <c r="DQ551" s="36"/>
      <c r="DR551" s="36"/>
      <c r="DS551" s="36"/>
    </row>
    <row r="552" spans="1:123" ht="14.45">
      <c r="A552"/>
      <c r="B552"/>
      <c r="C552"/>
      <c r="D552"/>
      <c r="E552"/>
      <c r="F552"/>
      <c r="G552"/>
      <c r="H552"/>
      <c r="I552"/>
      <c r="J552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</row>
    <row r="553" spans="1:123" ht="14.45">
      <c r="A553"/>
      <c r="B553"/>
      <c r="C553"/>
      <c r="D553"/>
      <c r="E553"/>
      <c r="F553"/>
      <c r="G553"/>
      <c r="H553"/>
      <c r="I553"/>
      <c r="J553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</row>
    <row r="554" spans="1:123" ht="14.45">
      <c r="A554"/>
      <c r="B554"/>
      <c r="C554"/>
      <c r="D554"/>
      <c r="E554"/>
      <c r="F554"/>
      <c r="G554"/>
      <c r="H554"/>
      <c r="I554"/>
      <c r="J554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</row>
    <row r="555" spans="1:123" ht="14.45">
      <c r="A555"/>
      <c r="B555"/>
      <c r="C555"/>
      <c r="D555"/>
      <c r="E555"/>
      <c r="F555"/>
      <c r="G555"/>
      <c r="H555"/>
      <c r="I555"/>
      <c r="J555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</row>
    <row r="556" spans="1:123" ht="14.45">
      <c r="A556"/>
      <c r="B556"/>
      <c r="C556"/>
      <c r="D556"/>
      <c r="E556"/>
      <c r="F556"/>
      <c r="G556"/>
      <c r="H556"/>
      <c r="I556"/>
      <c r="J55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  <c r="DO556" s="36"/>
      <c r="DP556" s="36"/>
      <c r="DQ556" s="36"/>
      <c r="DR556" s="36"/>
      <c r="DS556" s="36"/>
    </row>
    <row r="557" spans="1:123" ht="14.45">
      <c r="A557"/>
      <c r="B557"/>
      <c r="C557"/>
      <c r="D557"/>
      <c r="E557"/>
      <c r="F557"/>
      <c r="G557"/>
      <c r="H557"/>
      <c r="I557"/>
      <c r="J557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  <c r="DO557" s="36"/>
      <c r="DP557" s="36"/>
      <c r="DQ557" s="36"/>
      <c r="DR557" s="36"/>
      <c r="DS557" s="36"/>
    </row>
    <row r="558" spans="1:123" ht="14.45">
      <c r="A558"/>
      <c r="B558"/>
      <c r="C558"/>
      <c r="D558"/>
      <c r="E558"/>
      <c r="F558"/>
      <c r="G558"/>
      <c r="H558"/>
      <c r="I558"/>
      <c r="J558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  <c r="BS558" s="36"/>
      <c r="BT558" s="36"/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36"/>
      <c r="CY558" s="36"/>
      <c r="CZ558" s="36"/>
      <c r="DA558" s="36"/>
      <c r="DB558" s="36"/>
      <c r="DC558" s="36"/>
      <c r="DD558" s="36"/>
      <c r="DE558" s="36"/>
      <c r="DF558" s="36"/>
      <c r="DG558" s="36"/>
      <c r="DH558" s="36"/>
      <c r="DI558" s="36"/>
      <c r="DJ558" s="36"/>
      <c r="DK558" s="36"/>
      <c r="DL558" s="36"/>
      <c r="DM558" s="36"/>
      <c r="DN558" s="36"/>
      <c r="DO558" s="36"/>
      <c r="DP558" s="36"/>
      <c r="DQ558" s="36"/>
      <c r="DR558" s="36"/>
      <c r="DS558" s="36"/>
    </row>
    <row r="559" spans="1:123" ht="14.45">
      <c r="A559"/>
      <c r="B559"/>
      <c r="C559"/>
      <c r="D559"/>
      <c r="E559"/>
      <c r="F559"/>
      <c r="G559"/>
      <c r="H559"/>
      <c r="I559"/>
      <c r="J559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  <c r="DO559" s="36"/>
      <c r="DP559" s="36"/>
      <c r="DQ559" s="36"/>
      <c r="DR559" s="36"/>
      <c r="DS559" s="36"/>
    </row>
    <row r="560" spans="1:123" ht="14.45">
      <c r="A560"/>
      <c r="B560"/>
      <c r="C560"/>
      <c r="D560"/>
      <c r="E560"/>
      <c r="F560"/>
      <c r="G560"/>
      <c r="H560"/>
      <c r="I560"/>
      <c r="J560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/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  <c r="DO560" s="36"/>
      <c r="DP560" s="36"/>
      <c r="DQ560" s="36"/>
      <c r="DR560" s="36"/>
      <c r="DS560" s="36"/>
    </row>
    <row r="561" spans="1:123" ht="14.45">
      <c r="A561"/>
      <c r="B561"/>
      <c r="C561"/>
      <c r="D561"/>
      <c r="E561"/>
      <c r="F561"/>
      <c r="G561"/>
      <c r="H561"/>
      <c r="I561"/>
      <c r="J561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  <c r="CN561" s="36"/>
      <c r="CO561" s="36"/>
      <c r="CP561" s="36"/>
      <c r="CQ561" s="36"/>
      <c r="CR561" s="36"/>
      <c r="CS561" s="36"/>
      <c r="CT561" s="36"/>
      <c r="CU561" s="36"/>
      <c r="CV561" s="36"/>
      <c r="CW561" s="36"/>
      <c r="CX561" s="36"/>
      <c r="CY561" s="36"/>
      <c r="CZ561" s="36"/>
      <c r="DA561" s="36"/>
      <c r="DB561" s="36"/>
      <c r="DC561" s="36"/>
      <c r="DD561" s="36"/>
      <c r="DE561" s="36"/>
      <c r="DF561" s="36"/>
      <c r="DG561" s="36"/>
      <c r="DH561" s="36"/>
      <c r="DI561" s="36"/>
      <c r="DJ561" s="36"/>
      <c r="DK561" s="36"/>
      <c r="DL561" s="36"/>
      <c r="DM561" s="36"/>
      <c r="DN561" s="36"/>
      <c r="DO561" s="36"/>
      <c r="DP561" s="36"/>
      <c r="DQ561" s="36"/>
      <c r="DR561" s="36"/>
      <c r="DS561" s="36"/>
    </row>
    <row r="562" spans="1:123" ht="14.45">
      <c r="A562"/>
      <c r="B562"/>
      <c r="C562"/>
      <c r="D562"/>
      <c r="E562"/>
      <c r="F562"/>
      <c r="G562"/>
      <c r="H562"/>
      <c r="I562"/>
      <c r="J562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</row>
    <row r="563" spans="1:123" ht="14.45">
      <c r="A563"/>
      <c r="B563"/>
      <c r="C563"/>
      <c r="D563"/>
      <c r="E563"/>
      <c r="F563"/>
      <c r="G563"/>
      <c r="H563"/>
      <c r="I563"/>
      <c r="J563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  <c r="BS563" s="36"/>
      <c r="BT563" s="36"/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  <c r="CN563" s="36"/>
      <c r="CO563" s="36"/>
      <c r="CP563" s="36"/>
      <c r="CQ563" s="36"/>
      <c r="CR563" s="36"/>
      <c r="CS563" s="36"/>
      <c r="CT563" s="36"/>
      <c r="CU563" s="36"/>
      <c r="CV563" s="36"/>
      <c r="CW563" s="36"/>
      <c r="CX563" s="36"/>
      <c r="CY563" s="36"/>
      <c r="CZ563" s="36"/>
      <c r="DA563" s="36"/>
      <c r="DB563" s="36"/>
      <c r="DC563" s="36"/>
      <c r="DD563" s="36"/>
      <c r="DE563" s="36"/>
      <c r="DF563" s="36"/>
      <c r="DG563" s="36"/>
      <c r="DH563" s="36"/>
      <c r="DI563" s="36"/>
      <c r="DJ563" s="36"/>
      <c r="DK563" s="36"/>
      <c r="DL563" s="36"/>
      <c r="DM563" s="36"/>
      <c r="DN563" s="36"/>
      <c r="DO563" s="36"/>
      <c r="DP563" s="36"/>
      <c r="DQ563" s="36"/>
      <c r="DR563" s="36"/>
      <c r="DS563" s="36"/>
    </row>
    <row r="564" spans="1:123" ht="14.45">
      <c r="A564"/>
      <c r="B564"/>
      <c r="C564"/>
      <c r="D564"/>
      <c r="E564"/>
      <c r="F564"/>
      <c r="G564"/>
      <c r="H564"/>
      <c r="I564"/>
      <c r="J564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  <c r="BS564" s="36"/>
      <c r="BT564" s="36"/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  <c r="CN564" s="36"/>
      <c r="CO564" s="36"/>
      <c r="CP564" s="36"/>
      <c r="CQ564" s="36"/>
      <c r="CR564" s="36"/>
      <c r="CS564" s="36"/>
      <c r="CT564" s="36"/>
      <c r="CU564" s="36"/>
      <c r="CV564" s="36"/>
      <c r="CW564" s="36"/>
      <c r="CX564" s="36"/>
      <c r="CY564" s="36"/>
      <c r="CZ564" s="36"/>
      <c r="DA564" s="36"/>
      <c r="DB564" s="36"/>
      <c r="DC564" s="36"/>
      <c r="DD564" s="36"/>
      <c r="DE564" s="36"/>
      <c r="DF564" s="36"/>
      <c r="DG564" s="36"/>
      <c r="DH564" s="36"/>
      <c r="DI564" s="36"/>
      <c r="DJ564" s="36"/>
      <c r="DK564" s="36"/>
      <c r="DL564" s="36"/>
      <c r="DM564" s="36"/>
      <c r="DN564" s="36"/>
      <c r="DO564" s="36"/>
      <c r="DP564" s="36"/>
      <c r="DQ564" s="36"/>
      <c r="DR564" s="36"/>
      <c r="DS564" s="36"/>
    </row>
    <row r="565" spans="1:123" ht="14.45">
      <c r="A565"/>
      <c r="B565"/>
      <c r="C565"/>
      <c r="D565"/>
      <c r="E565"/>
      <c r="F565"/>
      <c r="G565"/>
      <c r="H565"/>
      <c r="I565"/>
      <c r="J565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  <c r="CN565" s="36"/>
      <c r="CO565" s="36"/>
      <c r="CP565" s="36"/>
      <c r="CQ565" s="36"/>
      <c r="CR565" s="36"/>
      <c r="CS565" s="36"/>
      <c r="CT565" s="36"/>
      <c r="CU565" s="36"/>
      <c r="CV565" s="36"/>
      <c r="CW565" s="36"/>
      <c r="CX565" s="36"/>
      <c r="CY565" s="36"/>
      <c r="CZ565" s="36"/>
      <c r="DA565" s="36"/>
      <c r="DB565" s="36"/>
      <c r="DC565" s="36"/>
      <c r="DD565" s="36"/>
      <c r="DE565" s="36"/>
      <c r="DF565" s="36"/>
      <c r="DG565" s="36"/>
      <c r="DH565" s="36"/>
      <c r="DI565" s="36"/>
      <c r="DJ565" s="36"/>
      <c r="DK565" s="36"/>
      <c r="DL565" s="36"/>
      <c r="DM565" s="36"/>
      <c r="DN565" s="36"/>
      <c r="DO565" s="36"/>
      <c r="DP565" s="36"/>
      <c r="DQ565" s="36"/>
      <c r="DR565" s="36"/>
      <c r="DS565" s="36"/>
    </row>
    <row r="566" spans="1:123" ht="14.45">
      <c r="A566"/>
      <c r="B566"/>
      <c r="C566"/>
      <c r="D566"/>
      <c r="E566"/>
      <c r="F566"/>
      <c r="G566"/>
      <c r="H566"/>
      <c r="I566"/>
      <c r="J56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  <c r="BS566" s="36"/>
      <c r="BT566" s="36"/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  <c r="CN566" s="36"/>
      <c r="CO566" s="36"/>
      <c r="CP566" s="36"/>
      <c r="CQ566" s="36"/>
      <c r="CR566" s="36"/>
      <c r="CS566" s="36"/>
      <c r="CT566" s="36"/>
      <c r="CU566" s="36"/>
      <c r="CV566" s="36"/>
      <c r="CW566" s="36"/>
      <c r="CX566" s="36"/>
      <c r="CY566" s="36"/>
      <c r="CZ566" s="36"/>
      <c r="DA566" s="36"/>
      <c r="DB566" s="36"/>
      <c r="DC566" s="36"/>
      <c r="DD566" s="36"/>
      <c r="DE566" s="36"/>
      <c r="DF566" s="36"/>
      <c r="DG566" s="36"/>
      <c r="DH566" s="36"/>
      <c r="DI566" s="36"/>
      <c r="DJ566" s="36"/>
      <c r="DK566" s="36"/>
      <c r="DL566" s="36"/>
      <c r="DM566" s="36"/>
      <c r="DN566" s="36"/>
      <c r="DO566" s="36"/>
      <c r="DP566" s="36"/>
      <c r="DQ566" s="36"/>
      <c r="DR566" s="36"/>
      <c r="DS566" s="36"/>
    </row>
    <row r="567" spans="1:123" ht="14.45">
      <c r="A567"/>
      <c r="B567"/>
      <c r="C567"/>
      <c r="D567"/>
      <c r="E567"/>
      <c r="F567"/>
      <c r="G567"/>
      <c r="H567"/>
      <c r="I567"/>
      <c r="J567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  <c r="DO567" s="36"/>
      <c r="DP567" s="36"/>
      <c r="DQ567" s="36"/>
      <c r="DR567" s="36"/>
      <c r="DS567" s="36"/>
    </row>
    <row r="568" spans="1:123" ht="14.45">
      <c r="A568"/>
      <c r="B568"/>
      <c r="C568"/>
      <c r="D568"/>
      <c r="E568"/>
      <c r="F568"/>
      <c r="G568"/>
      <c r="H568"/>
      <c r="I568"/>
      <c r="J568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/>
      <c r="CR568" s="36"/>
      <c r="CS568" s="36"/>
      <c r="CT568" s="36"/>
      <c r="CU568" s="36"/>
      <c r="CV568" s="36"/>
      <c r="CW568" s="36"/>
      <c r="CX568" s="36"/>
      <c r="CY568" s="36"/>
      <c r="CZ568" s="36"/>
      <c r="DA568" s="36"/>
      <c r="DB568" s="36"/>
      <c r="DC568" s="36"/>
      <c r="DD568" s="36"/>
      <c r="DE568" s="36"/>
      <c r="DF568" s="36"/>
      <c r="DG568" s="36"/>
      <c r="DH568" s="36"/>
      <c r="DI568" s="36"/>
      <c r="DJ568" s="36"/>
      <c r="DK568" s="36"/>
      <c r="DL568" s="36"/>
      <c r="DM568" s="36"/>
      <c r="DN568" s="36"/>
      <c r="DO568" s="36"/>
      <c r="DP568" s="36"/>
      <c r="DQ568" s="36"/>
      <c r="DR568" s="36"/>
      <c r="DS568" s="36"/>
    </row>
    <row r="569" spans="1:123" ht="14.45">
      <c r="A569"/>
      <c r="B569"/>
      <c r="C569"/>
      <c r="D569"/>
      <c r="E569"/>
      <c r="F569"/>
      <c r="G569"/>
      <c r="H569"/>
      <c r="I569"/>
      <c r="J569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36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  <c r="DO569" s="36"/>
      <c r="DP569" s="36"/>
      <c r="DQ569" s="36"/>
      <c r="DR569" s="36"/>
      <c r="DS569" s="36"/>
    </row>
    <row r="570" spans="1:123" ht="14.45">
      <c r="A570"/>
      <c r="B570"/>
      <c r="C570"/>
      <c r="D570"/>
      <c r="E570"/>
      <c r="F570"/>
      <c r="G570"/>
      <c r="H570"/>
      <c r="I570"/>
      <c r="J570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  <c r="BS570" s="36"/>
      <c r="BT570" s="36"/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CL570" s="36"/>
      <c r="CM570" s="36"/>
      <c r="CN570" s="36"/>
      <c r="CO570" s="36"/>
      <c r="CP570" s="36"/>
      <c r="CQ570" s="36"/>
      <c r="CR570" s="36"/>
      <c r="CS570" s="36"/>
      <c r="CT570" s="36"/>
      <c r="CU570" s="36"/>
      <c r="CV570" s="36"/>
      <c r="CW570" s="36"/>
      <c r="CX570" s="36"/>
      <c r="CY570" s="36"/>
      <c r="CZ570" s="36"/>
      <c r="DA570" s="36"/>
      <c r="DB570" s="36"/>
      <c r="DC570" s="36"/>
      <c r="DD570" s="36"/>
      <c r="DE570" s="36"/>
      <c r="DF570" s="36"/>
      <c r="DG570" s="36"/>
      <c r="DH570" s="36"/>
      <c r="DI570" s="36"/>
      <c r="DJ570" s="36"/>
      <c r="DK570" s="36"/>
      <c r="DL570" s="36"/>
      <c r="DM570" s="36"/>
      <c r="DN570" s="36"/>
      <c r="DO570" s="36"/>
      <c r="DP570" s="36"/>
      <c r="DQ570" s="36"/>
      <c r="DR570" s="36"/>
      <c r="DS570" s="36"/>
    </row>
    <row r="571" spans="1:123" ht="14.45">
      <c r="A571"/>
      <c r="B571"/>
      <c r="C571"/>
      <c r="D571"/>
      <c r="E571"/>
      <c r="F571"/>
      <c r="G571"/>
      <c r="H571"/>
      <c r="I571"/>
      <c r="J571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  <c r="CN571" s="36"/>
      <c r="CO571" s="36"/>
      <c r="CP571" s="36"/>
      <c r="CQ571" s="36"/>
      <c r="CR571" s="36"/>
      <c r="CS571" s="36"/>
      <c r="CT571" s="36"/>
      <c r="CU571" s="36"/>
      <c r="CV571" s="36"/>
      <c r="CW571" s="36"/>
      <c r="CX571" s="36"/>
      <c r="CY571" s="36"/>
      <c r="CZ571" s="36"/>
      <c r="DA571" s="36"/>
      <c r="DB571" s="36"/>
      <c r="DC571" s="36"/>
      <c r="DD571" s="36"/>
      <c r="DE571" s="36"/>
      <c r="DF571" s="36"/>
      <c r="DG571" s="36"/>
      <c r="DH571" s="36"/>
      <c r="DI571" s="36"/>
      <c r="DJ571" s="36"/>
      <c r="DK571" s="36"/>
      <c r="DL571" s="36"/>
      <c r="DM571" s="36"/>
      <c r="DN571" s="36"/>
      <c r="DO571" s="36"/>
      <c r="DP571" s="36"/>
      <c r="DQ571" s="36"/>
      <c r="DR571" s="36"/>
      <c r="DS571" s="36"/>
    </row>
    <row r="572" spans="1:123" ht="14.45">
      <c r="A572"/>
      <c r="B572"/>
      <c r="C572"/>
      <c r="D572"/>
      <c r="E572"/>
      <c r="F572"/>
      <c r="G572"/>
      <c r="H572"/>
      <c r="I572"/>
      <c r="J572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  <c r="CN572" s="36"/>
      <c r="CO572" s="36"/>
      <c r="CP572" s="36"/>
      <c r="CQ572" s="36"/>
      <c r="CR572" s="36"/>
      <c r="CS572" s="36"/>
      <c r="CT572" s="36"/>
      <c r="CU572" s="36"/>
      <c r="CV572" s="36"/>
      <c r="CW572" s="36"/>
      <c r="CX572" s="36"/>
      <c r="CY572" s="36"/>
      <c r="CZ572" s="36"/>
      <c r="DA572" s="36"/>
      <c r="DB572" s="36"/>
      <c r="DC572" s="36"/>
      <c r="DD572" s="36"/>
      <c r="DE572" s="36"/>
      <c r="DF572" s="36"/>
      <c r="DG572" s="36"/>
      <c r="DH572" s="36"/>
      <c r="DI572" s="36"/>
      <c r="DJ572" s="36"/>
      <c r="DK572" s="36"/>
      <c r="DL572" s="36"/>
      <c r="DM572" s="36"/>
      <c r="DN572" s="36"/>
      <c r="DO572" s="36"/>
      <c r="DP572" s="36"/>
      <c r="DQ572" s="36"/>
      <c r="DR572" s="36"/>
      <c r="DS572" s="36"/>
    </row>
    <row r="573" spans="1:123" ht="14.45">
      <c r="A573"/>
      <c r="B573"/>
      <c r="C573"/>
      <c r="D573"/>
      <c r="E573"/>
      <c r="F573"/>
      <c r="G573"/>
      <c r="H573"/>
      <c r="I573"/>
      <c r="J573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  <c r="BR573" s="36"/>
      <c r="BS573" s="36"/>
      <c r="BT573" s="36"/>
      <c r="BU573" s="36"/>
      <c r="BV573" s="36"/>
      <c r="BW573" s="36"/>
      <c r="BX573" s="36"/>
      <c r="BY573" s="36"/>
      <c r="BZ573" s="36"/>
      <c r="CA573" s="36"/>
      <c r="CB573" s="36"/>
      <c r="CC573" s="36"/>
      <c r="CD573" s="36"/>
      <c r="CE573" s="36"/>
      <c r="CF573" s="36"/>
      <c r="CG573" s="36"/>
      <c r="CH573" s="36"/>
      <c r="CI573" s="36"/>
      <c r="CJ573" s="36"/>
      <c r="CK573" s="36"/>
      <c r="CL573" s="36"/>
      <c r="CM573" s="36"/>
      <c r="CN573" s="36"/>
      <c r="CO573" s="36"/>
      <c r="CP573" s="36"/>
      <c r="CQ573" s="36"/>
      <c r="CR573" s="36"/>
      <c r="CS573" s="36"/>
      <c r="CT573" s="36"/>
      <c r="CU573" s="36"/>
      <c r="CV573" s="36"/>
      <c r="CW573" s="36"/>
      <c r="CX573" s="36"/>
      <c r="CY573" s="36"/>
      <c r="CZ573" s="36"/>
      <c r="DA573" s="36"/>
      <c r="DB573" s="36"/>
      <c r="DC573" s="36"/>
      <c r="DD573" s="36"/>
      <c r="DE573" s="36"/>
      <c r="DF573" s="36"/>
      <c r="DG573" s="36"/>
      <c r="DH573" s="36"/>
      <c r="DI573" s="36"/>
      <c r="DJ573" s="36"/>
      <c r="DK573" s="36"/>
      <c r="DL573" s="36"/>
      <c r="DM573" s="36"/>
      <c r="DN573" s="36"/>
      <c r="DO573" s="36"/>
      <c r="DP573" s="36"/>
      <c r="DQ573" s="36"/>
      <c r="DR573" s="36"/>
      <c r="DS573" s="36"/>
    </row>
    <row r="574" spans="1:123" ht="14.45">
      <c r="A574"/>
      <c r="B574"/>
      <c r="C574"/>
      <c r="D574"/>
      <c r="E574"/>
      <c r="F574"/>
      <c r="G574"/>
      <c r="H574"/>
      <c r="I574"/>
      <c r="J574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36"/>
      <c r="BS574" s="36"/>
      <c r="BT574" s="36"/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CL574" s="36"/>
      <c r="CM574" s="36"/>
      <c r="CN574" s="36"/>
      <c r="CO574" s="36"/>
      <c r="CP574" s="36"/>
      <c r="CQ574" s="36"/>
      <c r="CR574" s="36"/>
      <c r="CS574" s="36"/>
      <c r="CT574" s="36"/>
      <c r="CU574" s="36"/>
      <c r="CV574" s="36"/>
      <c r="CW574" s="36"/>
      <c r="CX574" s="36"/>
      <c r="CY574" s="36"/>
      <c r="CZ574" s="36"/>
      <c r="DA574" s="36"/>
      <c r="DB574" s="36"/>
      <c r="DC574" s="36"/>
      <c r="DD574" s="36"/>
      <c r="DE574" s="36"/>
      <c r="DF574" s="36"/>
      <c r="DG574" s="36"/>
      <c r="DH574" s="36"/>
      <c r="DI574" s="36"/>
      <c r="DJ574" s="36"/>
      <c r="DK574" s="36"/>
      <c r="DL574" s="36"/>
      <c r="DM574" s="36"/>
      <c r="DN574" s="36"/>
      <c r="DO574" s="36"/>
      <c r="DP574" s="36"/>
      <c r="DQ574" s="36"/>
      <c r="DR574" s="36"/>
      <c r="DS574" s="36"/>
    </row>
    <row r="575" spans="1:123" ht="14.45">
      <c r="A575"/>
      <c r="B575"/>
      <c r="C575"/>
      <c r="D575"/>
      <c r="E575"/>
      <c r="F575"/>
      <c r="G575"/>
      <c r="H575"/>
      <c r="I575"/>
      <c r="J575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36"/>
      <c r="BS575" s="36"/>
      <c r="BT575" s="36"/>
      <c r="BU575" s="36"/>
      <c r="BV575" s="36"/>
      <c r="BW575" s="36"/>
      <c r="BX575" s="36"/>
      <c r="BY575" s="36"/>
      <c r="BZ575" s="36"/>
      <c r="CA575" s="36"/>
      <c r="CB575" s="36"/>
      <c r="CC575" s="36"/>
      <c r="CD575" s="36"/>
      <c r="CE575" s="36"/>
      <c r="CF575" s="36"/>
      <c r="CG575" s="36"/>
      <c r="CH575" s="36"/>
      <c r="CI575" s="36"/>
      <c r="CJ575" s="36"/>
      <c r="CK575" s="36"/>
      <c r="CL575" s="36"/>
      <c r="CM575" s="36"/>
      <c r="CN575" s="36"/>
      <c r="CO575" s="36"/>
      <c r="CP575" s="36"/>
      <c r="CQ575" s="36"/>
      <c r="CR575" s="36"/>
      <c r="CS575" s="36"/>
      <c r="CT575" s="36"/>
      <c r="CU575" s="36"/>
      <c r="CV575" s="36"/>
      <c r="CW575" s="36"/>
      <c r="CX575" s="36"/>
      <c r="CY575" s="36"/>
      <c r="CZ575" s="36"/>
      <c r="DA575" s="36"/>
      <c r="DB575" s="36"/>
      <c r="DC575" s="36"/>
      <c r="DD575" s="36"/>
      <c r="DE575" s="36"/>
      <c r="DF575" s="36"/>
      <c r="DG575" s="36"/>
      <c r="DH575" s="36"/>
      <c r="DI575" s="36"/>
      <c r="DJ575" s="36"/>
      <c r="DK575" s="36"/>
      <c r="DL575" s="36"/>
      <c r="DM575" s="36"/>
      <c r="DN575" s="36"/>
      <c r="DO575" s="36"/>
      <c r="DP575" s="36"/>
      <c r="DQ575" s="36"/>
      <c r="DR575" s="36"/>
      <c r="DS575" s="36"/>
    </row>
    <row r="576" spans="1:123" ht="14.45">
      <c r="A576"/>
      <c r="B576"/>
      <c r="C576"/>
      <c r="D576"/>
      <c r="E576"/>
      <c r="F576"/>
      <c r="G576"/>
      <c r="H576"/>
      <c r="I576"/>
      <c r="J57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  <c r="BR576" s="36"/>
      <c r="BS576" s="36"/>
      <c r="BT576" s="36"/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CL576" s="36"/>
      <c r="CM576" s="36"/>
      <c r="CN576" s="36"/>
      <c r="CO576" s="36"/>
      <c r="CP576" s="36"/>
      <c r="CQ576" s="36"/>
      <c r="CR576" s="36"/>
      <c r="CS576" s="36"/>
      <c r="CT576" s="36"/>
      <c r="CU576" s="36"/>
      <c r="CV576" s="36"/>
      <c r="CW576" s="36"/>
      <c r="CX576" s="36"/>
      <c r="CY576" s="36"/>
      <c r="CZ576" s="36"/>
      <c r="DA576" s="36"/>
      <c r="DB576" s="36"/>
      <c r="DC576" s="36"/>
      <c r="DD576" s="36"/>
      <c r="DE576" s="36"/>
      <c r="DF576" s="36"/>
      <c r="DG576" s="36"/>
      <c r="DH576" s="36"/>
      <c r="DI576" s="36"/>
      <c r="DJ576" s="36"/>
      <c r="DK576" s="36"/>
      <c r="DL576" s="36"/>
      <c r="DM576" s="36"/>
      <c r="DN576" s="36"/>
      <c r="DO576" s="36"/>
      <c r="DP576" s="36"/>
      <c r="DQ576" s="36"/>
      <c r="DR576" s="36"/>
      <c r="DS576" s="36"/>
    </row>
    <row r="577" spans="1:123" ht="14.45">
      <c r="A577"/>
      <c r="B577"/>
      <c r="C577"/>
      <c r="D577"/>
      <c r="E577"/>
      <c r="F577"/>
      <c r="G577"/>
      <c r="H577"/>
      <c r="I577"/>
      <c r="J577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  <c r="BR577" s="36"/>
      <c r="BS577" s="36"/>
      <c r="BT577" s="36"/>
      <c r="BU577" s="36"/>
      <c r="BV577" s="36"/>
      <c r="BW577" s="36"/>
      <c r="BX577" s="36"/>
      <c r="BY577" s="36"/>
      <c r="BZ577" s="36"/>
      <c r="CA577" s="36"/>
      <c r="CB577" s="36"/>
      <c r="CC577" s="36"/>
      <c r="CD577" s="36"/>
      <c r="CE577" s="36"/>
      <c r="CF577" s="36"/>
      <c r="CG577" s="36"/>
      <c r="CH577" s="36"/>
      <c r="CI577" s="36"/>
      <c r="CJ577" s="36"/>
      <c r="CK577" s="36"/>
      <c r="CL577" s="36"/>
      <c r="CM577" s="36"/>
      <c r="CN577" s="36"/>
      <c r="CO577" s="36"/>
      <c r="CP577" s="36"/>
      <c r="CQ577" s="36"/>
      <c r="CR577" s="36"/>
      <c r="CS577" s="36"/>
      <c r="CT577" s="36"/>
      <c r="CU577" s="36"/>
      <c r="CV577" s="36"/>
      <c r="CW577" s="36"/>
      <c r="CX577" s="36"/>
      <c r="CY577" s="36"/>
      <c r="CZ577" s="36"/>
      <c r="DA577" s="36"/>
      <c r="DB577" s="36"/>
      <c r="DC577" s="36"/>
      <c r="DD577" s="36"/>
      <c r="DE577" s="36"/>
      <c r="DF577" s="36"/>
      <c r="DG577" s="36"/>
      <c r="DH577" s="36"/>
      <c r="DI577" s="36"/>
      <c r="DJ577" s="36"/>
      <c r="DK577" s="36"/>
      <c r="DL577" s="36"/>
      <c r="DM577" s="36"/>
      <c r="DN577" s="36"/>
      <c r="DO577" s="36"/>
      <c r="DP577" s="36"/>
      <c r="DQ577" s="36"/>
      <c r="DR577" s="36"/>
      <c r="DS577" s="36"/>
    </row>
    <row r="578" spans="1:123" ht="14.45">
      <c r="A578"/>
      <c r="B578"/>
      <c r="C578"/>
      <c r="D578"/>
      <c r="E578"/>
      <c r="F578"/>
      <c r="G578"/>
      <c r="H578"/>
      <c r="I578"/>
      <c r="J578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  <c r="BR578" s="36"/>
      <c r="BS578" s="36"/>
      <c r="BT578" s="36"/>
      <c r="BU578" s="36"/>
      <c r="BV578" s="36"/>
      <c r="BW578" s="36"/>
      <c r="BX578" s="36"/>
      <c r="BY578" s="36"/>
      <c r="BZ578" s="36"/>
      <c r="CA578" s="36"/>
      <c r="CB578" s="36"/>
      <c r="CC578" s="36"/>
      <c r="CD578" s="36"/>
      <c r="CE578" s="36"/>
      <c r="CF578" s="36"/>
      <c r="CG578" s="36"/>
      <c r="CH578" s="36"/>
      <c r="CI578" s="36"/>
      <c r="CJ578" s="36"/>
      <c r="CK578" s="36"/>
      <c r="CL578" s="36"/>
      <c r="CM578" s="36"/>
      <c r="CN578" s="36"/>
      <c r="CO578" s="36"/>
      <c r="CP578" s="36"/>
      <c r="CQ578" s="36"/>
      <c r="CR578" s="36"/>
      <c r="CS578" s="36"/>
      <c r="CT578" s="36"/>
      <c r="CU578" s="36"/>
      <c r="CV578" s="36"/>
      <c r="CW578" s="36"/>
      <c r="CX578" s="36"/>
      <c r="CY578" s="36"/>
      <c r="CZ578" s="36"/>
      <c r="DA578" s="36"/>
      <c r="DB578" s="36"/>
      <c r="DC578" s="36"/>
      <c r="DD578" s="36"/>
      <c r="DE578" s="36"/>
      <c r="DF578" s="36"/>
      <c r="DG578" s="36"/>
      <c r="DH578" s="36"/>
      <c r="DI578" s="36"/>
      <c r="DJ578" s="36"/>
      <c r="DK578" s="36"/>
      <c r="DL578" s="36"/>
      <c r="DM578" s="36"/>
      <c r="DN578" s="36"/>
      <c r="DO578" s="36"/>
      <c r="DP578" s="36"/>
      <c r="DQ578" s="36"/>
      <c r="DR578" s="36"/>
      <c r="DS578" s="36"/>
    </row>
    <row r="579" spans="1:123" ht="14.45">
      <c r="A579"/>
      <c r="B579"/>
      <c r="C579"/>
      <c r="D579"/>
      <c r="E579"/>
      <c r="F579"/>
      <c r="G579"/>
      <c r="H579"/>
      <c r="I579"/>
      <c r="J579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36"/>
      <c r="BS579" s="36"/>
      <c r="BT579" s="36"/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CL579" s="36"/>
      <c r="CM579" s="36"/>
      <c r="CN579" s="36"/>
      <c r="CO579" s="36"/>
      <c r="CP579" s="36"/>
      <c r="CQ579" s="36"/>
      <c r="CR579" s="36"/>
      <c r="CS579" s="36"/>
      <c r="CT579" s="36"/>
      <c r="CU579" s="36"/>
      <c r="CV579" s="36"/>
      <c r="CW579" s="36"/>
      <c r="CX579" s="36"/>
      <c r="CY579" s="36"/>
      <c r="CZ579" s="36"/>
      <c r="DA579" s="36"/>
      <c r="DB579" s="36"/>
      <c r="DC579" s="36"/>
      <c r="DD579" s="36"/>
      <c r="DE579" s="36"/>
      <c r="DF579" s="36"/>
      <c r="DG579" s="36"/>
      <c r="DH579" s="36"/>
      <c r="DI579" s="36"/>
      <c r="DJ579" s="36"/>
      <c r="DK579" s="36"/>
      <c r="DL579" s="36"/>
      <c r="DM579" s="36"/>
      <c r="DN579" s="36"/>
      <c r="DO579" s="36"/>
      <c r="DP579" s="36"/>
      <c r="DQ579" s="36"/>
      <c r="DR579" s="36"/>
      <c r="DS579" s="36"/>
    </row>
    <row r="580" spans="1:123" ht="14.45">
      <c r="A580"/>
      <c r="B580"/>
      <c r="C580"/>
      <c r="D580"/>
      <c r="E580"/>
      <c r="F580"/>
      <c r="G580"/>
      <c r="H580"/>
      <c r="I580"/>
      <c r="J580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  <c r="BR580" s="36"/>
      <c r="BS580" s="36"/>
      <c r="BT580" s="36"/>
      <c r="BU580" s="36"/>
      <c r="BV580" s="36"/>
      <c r="BW580" s="36"/>
      <c r="BX580" s="36"/>
      <c r="BY580" s="36"/>
      <c r="BZ580" s="36"/>
      <c r="CA580" s="36"/>
      <c r="CB580" s="36"/>
      <c r="CC580" s="36"/>
      <c r="CD580" s="36"/>
      <c r="CE580" s="36"/>
      <c r="CF580" s="36"/>
      <c r="CG580" s="36"/>
      <c r="CH580" s="36"/>
      <c r="CI580" s="36"/>
      <c r="CJ580" s="36"/>
      <c r="CK580" s="36"/>
      <c r="CL580" s="36"/>
      <c r="CM580" s="36"/>
      <c r="CN580" s="36"/>
      <c r="CO580" s="36"/>
      <c r="CP580" s="36"/>
      <c r="CQ580" s="36"/>
      <c r="CR580" s="36"/>
      <c r="CS580" s="36"/>
      <c r="CT580" s="36"/>
      <c r="CU580" s="36"/>
      <c r="CV580" s="36"/>
      <c r="CW580" s="36"/>
      <c r="CX580" s="36"/>
      <c r="CY580" s="36"/>
      <c r="CZ580" s="36"/>
      <c r="DA580" s="36"/>
      <c r="DB580" s="36"/>
      <c r="DC580" s="36"/>
      <c r="DD580" s="36"/>
      <c r="DE580" s="36"/>
      <c r="DF580" s="36"/>
      <c r="DG580" s="36"/>
      <c r="DH580" s="36"/>
      <c r="DI580" s="36"/>
      <c r="DJ580" s="36"/>
      <c r="DK580" s="36"/>
      <c r="DL580" s="36"/>
      <c r="DM580" s="36"/>
      <c r="DN580" s="36"/>
      <c r="DO580" s="36"/>
      <c r="DP580" s="36"/>
      <c r="DQ580" s="36"/>
      <c r="DR580" s="36"/>
      <c r="DS580" s="36"/>
    </row>
    <row r="581" spans="1:123" ht="14.45">
      <c r="A581"/>
      <c r="B581"/>
      <c r="C581"/>
      <c r="D581"/>
      <c r="E581"/>
      <c r="F581"/>
      <c r="G581"/>
      <c r="H581"/>
      <c r="I581"/>
      <c r="J581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  <c r="BR581" s="36"/>
      <c r="BS581" s="36"/>
      <c r="BT581" s="36"/>
      <c r="BU581" s="36"/>
      <c r="BV581" s="36"/>
      <c r="BW581" s="36"/>
      <c r="BX581" s="36"/>
      <c r="BY581" s="36"/>
      <c r="BZ581" s="36"/>
      <c r="CA581" s="36"/>
      <c r="CB581" s="36"/>
      <c r="CC581" s="36"/>
      <c r="CD581" s="36"/>
      <c r="CE581" s="36"/>
      <c r="CF581" s="36"/>
      <c r="CG581" s="36"/>
      <c r="CH581" s="36"/>
      <c r="CI581" s="36"/>
      <c r="CJ581" s="36"/>
      <c r="CK581" s="36"/>
      <c r="CL581" s="36"/>
      <c r="CM581" s="36"/>
      <c r="CN581" s="36"/>
      <c r="CO581" s="36"/>
      <c r="CP581" s="36"/>
      <c r="CQ581" s="36"/>
      <c r="CR581" s="36"/>
      <c r="CS581" s="36"/>
      <c r="CT581" s="36"/>
      <c r="CU581" s="36"/>
      <c r="CV581" s="36"/>
      <c r="CW581" s="36"/>
      <c r="CX581" s="36"/>
      <c r="CY581" s="36"/>
      <c r="CZ581" s="36"/>
      <c r="DA581" s="36"/>
      <c r="DB581" s="36"/>
      <c r="DC581" s="36"/>
      <c r="DD581" s="36"/>
      <c r="DE581" s="36"/>
      <c r="DF581" s="36"/>
      <c r="DG581" s="36"/>
      <c r="DH581" s="36"/>
      <c r="DI581" s="36"/>
      <c r="DJ581" s="36"/>
      <c r="DK581" s="36"/>
      <c r="DL581" s="36"/>
      <c r="DM581" s="36"/>
      <c r="DN581" s="36"/>
      <c r="DO581" s="36"/>
      <c r="DP581" s="36"/>
      <c r="DQ581" s="36"/>
      <c r="DR581" s="36"/>
      <c r="DS581" s="36"/>
    </row>
    <row r="582" spans="1:123" ht="14.45">
      <c r="A582"/>
      <c r="B582"/>
      <c r="C582"/>
      <c r="D582"/>
      <c r="E582"/>
      <c r="F582"/>
      <c r="G582"/>
      <c r="H582"/>
      <c r="I582"/>
      <c r="J582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  <c r="BR582" s="36"/>
      <c r="BS582" s="36"/>
      <c r="BT582" s="36"/>
      <c r="BU582" s="36"/>
      <c r="BV582" s="36"/>
      <c r="BW582" s="36"/>
      <c r="BX582" s="36"/>
      <c r="BY582" s="36"/>
      <c r="BZ582" s="36"/>
      <c r="CA582" s="36"/>
      <c r="CB582" s="36"/>
      <c r="CC582" s="36"/>
      <c r="CD582" s="36"/>
      <c r="CE582" s="36"/>
      <c r="CF582" s="36"/>
      <c r="CG582" s="36"/>
      <c r="CH582" s="36"/>
      <c r="CI582" s="36"/>
      <c r="CJ582" s="36"/>
      <c r="CK582" s="36"/>
      <c r="CL582" s="36"/>
      <c r="CM582" s="36"/>
      <c r="CN582" s="36"/>
      <c r="CO582" s="36"/>
      <c r="CP582" s="36"/>
      <c r="CQ582" s="36"/>
      <c r="CR582" s="36"/>
      <c r="CS582" s="36"/>
      <c r="CT582" s="36"/>
      <c r="CU582" s="36"/>
      <c r="CV582" s="36"/>
      <c r="CW582" s="36"/>
      <c r="CX582" s="36"/>
      <c r="CY582" s="36"/>
      <c r="CZ582" s="36"/>
      <c r="DA582" s="36"/>
      <c r="DB582" s="36"/>
      <c r="DC582" s="36"/>
      <c r="DD582" s="36"/>
      <c r="DE582" s="36"/>
      <c r="DF582" s="36"/>
      <c r="DG582" s="36"/>
      <c r="DH582" s="36"/>
      <c r="DI582" s="36"/>
      <c r="DJ582" s="36"/>
      <c r="DK582" s="36"/>
      <c r="DL582" s="36"/>
      <c r="DM582" s="36"/>
      <c r="DN582" s="36"/>
      <c r="DO582" s="36"/>
      <c r="DP582" s="36"/>
      <c r="DQ582" s="36"/>
      <c r="DR582" s="36"/>
      <c r="DS582" s="36"/>
    </row>
    <row r="583" spans="1:123" ht="14.45">
      <c r="A583"/>
      <c r="B583"/>
      <c r="C583"/>
      <c r="D583"/>
      <c r="E583"/>
      <c r="F583"/>
      <c r="G583"/>
      <c r="H583"/>
      <c r="I583"/>
      <c r="J583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  <c r="BR583" s="36"/>
      <c r="BS583" s="36"/>
      <c r="BT583" s="36"/>
      <c r="BU583" s="36"/>
      <c r="BV583" s="36"/>
      <c r="BW583" s="36"/>
      <c r="BX583" s="36"/>
      <c r="BY583" s="36"/>
      <c r="BZ583" s="36"/>
      <c r="CA583" s="36"/>
      <c r="CB583" s="36"/>
      <c r="CC583" s="36"/>
      <c r="CD583" s="36"/>
      <c r="CE583" s="36"/>
      <c r="CF583" s="36"/>
      <c r="CG583" s="36"/>
      <c r="CH583" s="36"/>
      <c r="CI583" s="36"/>
      <c r="CJ583" s="36"/>
      <c r="CK583" s="36"/>
      <c r="CL583" s="36"/>
      <c r="CM583" s="36"/>
      <c r="CN583" s="36"/>
      <c r="CO583" s="36"/>
      <c r="CP583" s="36"/>
      <c r="CQ583" s="36"/>
      <c r="CR583" s="36"/>
      <c r="CS583" s="36"/>
      <c r="CT583" s="36"/>
      <c r="CU583" s="36"/>
      <c r="CV583" s="36"/>
      <c r="CW583" s="36"/>
      <c r="CX583" s="36"/>
      <c r="CY583" s="36"/>
      <c r="CZ583" s="36"/>
      <c r="DA583" s="36"/>
      <c r="DB583" s="36"/>
      <c r="DC583" s="36"/>
      <c r="DD583" s="36"/>
      <c r="DE583" s="36"/>
      <c r="DF583" s="36"/>
      <c r="DG583" s="36"/>
      <c r="DH583" s="36"/>
      <c r="DI583" s="36"/>
      <c r="DJ583" s="36"/>
      <c r="DK583" s="36"/>
      <c r="DL583" s="36"/>
      <c r="DM583" s="36"/>
      <c r="DN583" s="36"/>
      <c r="DO583" s="36"/>
      <c r="DP583" s="36"/>
      <c r="DQ583" s="36"/>
      <c r="DR583" s="36"/>
      <c r="DS583" s="36"/>
    </row>
    <row r="584" spans="1:123" ht="14.45">
      <c r="A584"/>
      <c r="B584"/>
      <c r="C584"/>
      <c r="D584"/>
      <c r="E584"/>
      <c r="F584"/>
      <c r="G584"/>
      <c r="H584"/>
      <c r="I584"/>
      <c r="J584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  <c r="BR584" s="36"/>
      <c r="BS584" s="36"/>
      <c r="BT584" s="36"/>
      <c r="BU584" s="36"/>
      <c r="BV584" s="36"/>
      <c r="BW584" s="36"/>
      <c r="BX584" s="36"/>
      <c r="BY584" s="36"/>
      <c r="BZ584" s="36"/>
      <c r="CA584" s="36"/>
      <c r="CB584" s="36"/>
      <c r="CC584" s="36"/>
      <c r="CD584" s="36"/>
      <c r="CE584" s="36"/>
      <c r="CF584" s="36"/>
      <c r="CG584" s="36"/>
      <c r="CH584" s="36"/>
      <c r="CI584" s="36"/>
      <c r="CJ584" s="36"/>
      <c r="CK584" s="36"/>
      <c r="CL584" s="36"/>
      <c r="CM584" s="36"/>
      <c r="CN584" s="36"/>
      <c r="CO584" s="36"/>
      <c r="CP584" s="36"/>
      <c r="CQ584" s="36"/>
      <c r="CR584" s="36"/>
      <c r="CS584" s="36"/>
      <c r="CT584" s="36"/>
      <c r="CU584" s="36"/>
      <c r="CV584" s="36"/>
      <c r="CW584" s="36"/>
      <c r="CX584" s="36"/>
      <c r="CY584" s="36"/>
      <c r="CZ584" s="36"/>
      <c r="DA584" s="36"/>
      <c r="DB584" s="36"/>
      <c r="DC584" s="36"/>
      <c r="DD584" s="36"/>
      <c r="DE584" s="36"/>
      <c r="DF584" s="36"/>
      <c r="DG584" s="36"/>
      <c r="DH584" s="36"/>
      <c r="DI584" s="36"/>
      <c r="DJ584" s="36"/>
      <c r="DK584" s="36"/>
      <c r="DL584" s="36"/>
      <c r="DM584" s="36"/>
      <c r="DN584" s="36"/>
      <c r="DO584" s="36"/>
      <c r="DP584" s="36"/>
      <c r="DQ584" s="36"/>
      <c r="DR584" s="36"/>
      <c r="DS584" s="36"/>
    </row>
    <row r="585" spans="1:123" ht="14.45">
      <c r="A585"/>
      <c r="B585"/>
      <c r="C585"/>
      <c r="D585"/>
      <c r="E585"/>
      <c r="F585"/>
      <c r="G585"/>
      <c r="H585"/>
      <c r="I585"/>
      <c r="J585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  <c r="BR585" s="36"/>
      <c r="BS585" s="36"/>
      <c r="BT585" s="36"/>
      <c r="BU585" s="36"/>
      <c r="BV585" s="36"/>
      <c r="BW585" s="36"/>
      <c r="BX585" s="36"/>
      <c r="BY585" s="36"/>
      <c r="BZ585" s="36"/>
      <c r="CA585" s="36"/>
      <c r="CB585" s="36"/>
      <c r="CC585" s="36"/>
      <c r="CD585" s="36"/>
      <c r="CE585" s="36"/>
      <c r="CF585" s="36"/>
      <c r="CG585" s="36"/>
      <c r="CH585" s="36"/>
      <c r="CI585" s="36"/>
      <c r="CJ585" s="36"/>
      <c r="CK585" s="36"/>
      <c r="CL585" s="36"/>
      <c r="CM585" s="36"/>
      <c r="CN585" s="36"/>
      <c r="CO585" s="36"/>
      <c r="CP585" s="36"/>
      <c r="CQ585" s="36"/>
      <c r="CR585" s="36"/>
      <c r="CS585" s="36"/>
      <c r="CT585" s="36"/>
      <c r="CU585" s="36"/>
      <c r="CV585" s="36"/>
      <c r="CW585" s="36"/>
      <c r="CX585" s="36"/>
      <c r="CY585" s="36"/>
      <c r="CZ585" s="36"/>
      <c r="DA585" s="36"/>
      <c r="DB585" s="36"/>
      <c r="DC585" s="36"/>
      <c r="DD585" s="36"/>
      <c r="DE585" s="36"/>
      <c r="DF585" s="36"/>
      <c r="DG585" s="36"/>
      <c r="DH585" s="36"/>
      <c r="DI585" s="36"/>
      <c r="DJ585" s="36"/>
      <c r="DK585" s="36"/>
      <c r="DL585" s="36"/>
      <c r="DM585" s="36"/>
      <c r="DN585" s="36"/>
      <c r="DO585" s="36"/>
      <c r="DP585" s="36"/>
      <c r="DQ585" s="36"/>
      <c r="DR585" s="36"/>
      <c r="DS585" s="36"/>
    </row>
    <row r="586" spans="1:123" ht="14.45">
      <c r="A586"/>
      <c r="B586"/>
      <c r="C586"/>
      <c r="D586"/>
      <c r="E586"/>
      <c r="F586"/>
      <c r="G586"/>
      <c r="H586"/>
      <c r="I586"/>
      <c r="J58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  <c r="BR586" s="36"/>
      <c r="BS586" s="36"/>
      <c r="BT586" s="36"/>
      <c r="BU586" s="36"/>
      <c r="BV586" s="36"/>
      <c r="BW586" s="36"/>
      <c r="BX586" s="36"/>
      <c r="BY586" s="36"/>
      <c r="BZ586" s="36"/>
      <c r="CA586" s="36"/>
      <c r="CB586" s="36"/>
      <c r="CC586" s="36"/>
      <c r="CD586" s="36"/>
      <c r="CE586" s="36"/>
      <c r="CF586" s="36"/>
      <c r="CG586" s="36"/>
      <c r="CH586" s="36"/>
      <c r="CI586" s="36"/>
      <c r="CJ586" s="36"/>
      <c r="CK586" s="36"/>
      <c r="CL586" s="36"/>
      <c r="CM586" s="36"/>
      <c r="CN586" s="36"/>
      <c r="CO586" s="36"/>
      <c r="CP586" s="36"/>
      <c r="CQ586" s="36"/>
      <c r="CR586" s="36"/>
      <c r="CS586" s="36"/>
      <c r="CT586" s="36"/>
      <c r="CU586" s="36"/>
      <c r="CV586" s="36"/>
      <c r="CW586" s="36"/>
      <c r="CX586" s="36"/>
      <c r="CY586" s="36"/>
      <c r="CZ586" s="36"/>
      <c r="DA586" s="36"/>
      <c r="DB586" s="36"/>
      <c r="DC586" s="36"/>
      <c r="DD586" s="36"/>
      <c r="DE586" s="36"/>
      <c r="DF586" s="36"/>
      <c r="DG586" s="36"/>
      <c r="DH586" s="36"/>
      <c r="DI586" s="36"/>
      <c r="DJ586" s="36"/>
      <c r="DK586" s="36"/>
      <c r="DL586" s="36"/>
      <c r="DM586" s="36"/>
      <c r="DN586" s="36"/>
      <c r="DO586" s="36"/>
      <c r="DP586" s="36"/>
      <c r="DQ586" s="36"/>
      <c r="DR586" s="36"/>
      <c r="DS586" s="36"/>
    </row>
    <row r="587" spans="1:123" ht="14.45">
      <c r="A587"/>
      <c r="B587"/>
      <c r="C587"/>
      <c r="D587"/>
      <c r="E587"/>
      <c r="F587"/>
      <c r="G587"/>
      <c r="H587"/>
      <c r="I587"/>
      <c r="J587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  <c r="BR587" s="36"/>
      <c r="BS587" s="36"/>
      <c r="BT587" s="36"/>
      <c r="BU587" s="36"/>
      <c r="BV587" s="36"/>
      <c r="BW587" s="36"/>
      <c r="BX587" s="36"/>
      <c r="BY587" s="36"/>
      <c r="BZ587" s="36"/>
      <c r="CA587" s="36"/>
      <c r="CB587" s="36"/>
      <c r="CC587" s="36"/>
      <c r="CD587" s="36"/>
      <c r="CE587" s="36"/>
      <c r="CF587" s="36"/>
      <c r="CG587" s="36"/>
      <c r="CH587" s="36"/>
      <c r="CI587" s="36"/>
      <c r="CJ587" s="36"/>
      <c r="CK587" s="36"/>
      <c r="CL587" s="36"/>
      <c r="CM587" s="36"/>
      <c r="CN587" s="36"/>
      <c r="CO587" s="36"/>
      <c r="CP587" s="36"/>
      <c r="CQ587" s="36"/>
      <c r="CR587" s="36"/>
      <c r="CS587" s="36"/>
      <c r="CT587" s="36"/>
      <c r="CU587" s="36"/>
      <c r="CV587" s="36"/>
      <c r="CW587" s="36"/>
      <c r="CX587" s="36"/>
      <c r="CY587" s="36"/>
      <c r="CZ587" s="36"/>
      <c r="DA587" s="36"/>
      <c r="DB587" s="36"/>
      <c r="DC587" s="36"/>
      <c r="DD587" s="36"/>
      <c r="DE587" s="36"/>
      <c r="DF587" s="36"/>
      <c r="DG587" s="36"/>
      <c r="DH587" s="36"/>
      <c r="DI587" s="36"/>
      <c r="DJ587" s="36"/>
      <c r="DK587" s="36"/>
      <c r="DL587" s="36"/>
      <c r="DM587" s="36"/>
      <c r="DN587" s="36"/>
      <c r="DO587" s="36"/>
      <c r="DP587" s="36"/>
      <c r="DQ587" s="36"/>
      <c r="DR587" s="36"/>
      <c r="DS587" s="36"/>
    </row>
    <row r="588" spans="1:123" ht="14.45">
      <c r="A588"/>
      <c r="B588"/>
      <c r="C588"/>
      <c r="D588"/>
      <c r="E588"/>
      <c r="F588"/>
      <c r="G588"/>
      <c r="H588"/>
      <c r="I588"/>
      <c r="J588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  <c r="BR588" s="36"/>
      <c r="BS588" s="36"/>
      <c r="BT588" s="36"/>
      <c r="BU588" s="36"/>
      <c r="BV588" s="36"/>
      <c r="BW588" s="36"/>
      <c r="BX588" s="36"/>
      <c r="BY588" s="36"/>
      <c r="BZ588" s="36"/>
      <c r="CA588" s="36"/>
      <c r="CB588" s="36"/>
      <c r="CC588" s="36"/>
      <c r="CD588" s="36"/>
      <c r="CE588" s="36"/>
      <c r="CF588" s="36"/>
      <c r="CG588" s="36"/>
      <c r="CH588" s="36"/>
      <c r="CI588" s="36"/>
      <c r="CJ588" s="36"/>
      <c r="CK588" s="36"/>
      <c r="CL588" s="36"/>
      <c r="CM588" s="36"/>
      <c r="CN588" s="36"/>
      <c r="CO588" s="36"/>
      <c r="CP588" s="36"/>
      <c r="CQ588" s="36"/>
      <c r="CR588" s="36"/>
      <c r="CS588" s="36"/>
      <c r="CT588" s="36"/>
      <c r="CU588" s="36"/>
      <c r="CV588" s="36"/>
      <c r="CW588" s="36"/>
      <c r="CX588" s="36"/>
      <c r="CY588" s="36"/>
      <c r="CZ588" s="36"/>
      <c r="DA588" s="36"/>
      <c r="DB588" s="36"/>
      <c r="DC588" s="36"/>
      <c r="DD588" s="36"/>
      <c r="DE588" s="36"/>
      <c r="DF588" s="36"/>
      <c r="DG588" s="36"/>
      <c r="DH588" s="36"/>
      <c r="DI588" s="36"/>
      <c r="DJ588" s="36"/>
      <c r="DK588" s="36"/>
      <c r="DL588" s="36"/>
      <c r="DM588" s="36"/>
      <c r="DN588" s="36"/>
      <c r="DO588" s="36"/>
      <c r="DP588" s="36"/>
      <c r="DQ588" s="36"/>
      <c r="DR588" s="36"/>
      <c r="DS588" s="36"/>
    </row>
    <row r="589" spans="1:123" ht="14.45">
      <c r="A589"/>
      <c r="B589"/>
      <c r="C589"/>
      <c r="D589"/>
      <c r="E589"/>
      <c r="F589"/>
      <c r="G589"/>
      <c r="H589"/>
      <c r="I589"/>
      <c r="J589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36"/>
      <c r="BS589" s="36"/>
      <c r="BT589" s="36"/>
      <c r="BU589" s="36"/>
      <c r="BV589" s="36"/>
      <c r="BW589" s="36"/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/>
      <c r="CJ589" s="36"/>
      <c r="CK589" s="36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/>
      <c r="DF589" s="36"/>
      <c r="DG589" s="36"/>
      <c r="DH589" s="36"/>
      <c r="DI589" s="36"/>
      <c r="DJ589" s="36"/>
      <c r="DK589" s="36"/>
      <c r="DL589" s="36"/>
      <c r="DM589" s="36"/>
      <c r="DN589" s="36"/>
      <c r="DO589" s="36"/>
      <c r="DP589" s="36"/>
      <c r="DQ589" s="36"/>
      <c r="DR589" s="36"/>
      <c r="DS589" s="36"/>
    </row>
    <row r="590" spans="1:123" ht="14.45">
      <c r="A590"/>
      <c r="B590"/>
      <c r="C590"/>
      <c r="D590"/>
      <c r="E590"/>
      <c r="F590"/>
      <c r="G590"/>
      <c r="H590"/>
      <c r="I590"/>
      <c r="J590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  <c r="BS590" s="36"/>
      <c r="BT590" s="36"/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CL590" s="36"/>
      <c r="CM590" s="36"/>
      <c r="CN590" s="36"/>
      <c r="CO590" s="36"/>
      <c r="CP590" s="36"/>
      <c r="CQ590" s="36"/>
      <c r="CR590" s="36"/>
      <c r="CS590" s="36"/>
      <c r="CT590" s="36"/>
      <c r="CU590" s="36"/>
      <c r="CV590" s="36"/>
      <c r="CW590" s="36"/>
      <c r="CX590" s="36"/>
      <c r="CY590" s="36"/>
      <c r="CZ590" s="36"/>
      <c r="DA590" s="36"/>
      <c r="DB590" s="36"/>
      <c r="DC590" s="36"/>
      <c r="DD590" s="36"/>
      <c r="DE590" s="36"/>
      <c r="DF590" s="36"/>
      <c r="DG590" s="36"/>
      <c r="DH590" s="36"/>
      <c r="DI590" s="36"/>
      <c r="DJ590" s="36"/>
      <c r="DK590" s="36"/>
      <c r="DL590" s="36"/>
      <c r="DM590" s="36"/>
      <c r="DN590" s="36"/>
      <c r="DO590" s="36"/>
      <c r="DP590" s="36"/>
      <c r="DQ590" s="36"/>
      <c r="DR590" s="36"/>
      <c r="DS590" s="36"/>
    </row>
    <row r="591" spans="1:123" ht="14.45">
      <c r="A591"/>
      <c r="B591"/>
      <c r="C591"/>
      <c r="D591"/>
      <c r="E591"/>
      <c r="F591"/>
      <c r="G591"/>
      <c r="H591"/>
      <c r="I591"/>
      <c r="J591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36"/>
      <c r="BS591" s="36"/>
      <c r="BT591" s="36"/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CL591" s="36"/>
      <c r="CM591" s="36"/>
      <c r="CN591" s="36"/>
      <c r="CO591" s="36"/>
      <c r="CP591" s="36"/>
      <c r="CQ591" s="36"/>
      <c r="CR591" s="36"/>
      <c r="CS591" s="36"/>
      <c r="CT591" s="36"/>
      <c r="CU591" s="36"/>
      <c r="CV591" s="36"/>
      <c r="CW591" s="36"/>
      <c r="CX591" s="36"/>
      <c r="CY591" s="36"/>
      <c r="CZ591" s="36"/>
      <c r="DA591" s="36"/>
      <c r="DB591" s="36"/>
      <c r="DC591" s="36"/>
      <c r="DD591" s="36"/>
      <c r="DE591" s="36"/>
      <c r="DF591" s="36"/>
      <c r="DG591" s="36"/>
      <c r="DH591" s="36"/>
      <c r="DI591" s="36"/>
      <c r="DJ591" s="36"/>
      <c r="DK591" s="36"/>
      <c r="DL591" s="36"/>
      <c r="DM591" s="36"/>
      <c r="DN591" s="36"/>
      <c r="DO591" s="36"/>
      <c r="DP591" s="36"/>
      <c r="DQ591" s="36"/>
      <c r="DR591" s="36"/>
      <c r="DS591" s="36"/>
    </row>
    <row r="592" spans="1:123" ht="14.45">
      <c r="A592"/>
      <c r="B592"/>
      <c r="C592"/>
      <c r="D592"/>
      <c r="E592"/>
      <c r="F592"/>
      <c r="G592"/>
      <c r="H592"/>
      <c r="I592"/>
      <c r="J592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6"/>
      <c r="CI592" s="36"/>
      <c r="CJ592" s="36"/>
      <c r="CK592" s="36"/>
      <c r="CL592" s="36"/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/>
      <c r="CX592" s="36"/>
      <c r="CY592" s="36"/>
      <c r="CZ592" s="36"/>
      <c r="DA592" s="36"/>
      <c r="DB592" s="36"/>
      <c r="DC592" s="36"/>
      <c r="DD592" s="36"/>
      <c r="DE592" s="36"/>
      <c r="DF592" s="36"/>
      <c r="DG592" s="36"/>
      <c r="DH592" s="36"/>
      <c r="DI592" s="36"/>
      <c r="DJ592" s="36"/>
      <c r="DK592" s="36"/>
      <c r="DL592" s="36"/>
      <c r="DM592" s="36"/>
      <c r="DN592" s="36"/>
      <c r="DO592" s="36"/>
      <c r="DP592" s="36"/>
      <c r="DQ592" s="36"/>
      <c r="DR592" s="36"/>
      <c r="DS592" s="36"/>
    </row>
    <row r="593" spans="1:123" ht="14.45">
      <c r="A593"/>
      <c r="B593"/>
      <c r="C593"/>
      <c r="D593"/>
      <c r="E593"/>
      <c r="F593"/>
      <c r="G593"/>
      <c r="H593"/>
      <c r="I593"/>
      <c r="J593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  <c r="CN593" s="36"/>
      <c r="CO593" s="36"/>
      <c r="CP593" s="36"/>
      <c r="CQ593" s="36"/>
      <c r="CR593" s="36"/>
      <c r="CS593" s="36"/>
      <c r="CT593" s="36"/>
      <c r="CU593" s="36"/>
      <c r="CV593" s="36"/>
      <c r="CW593" s="36"/>
      <c r="CX593" s="36"/>
      <c r="CY593" s="36"/>
      <c r="CZ593" s="36"/>
      <c r="DA593" s="36"/>
      <c r="DB593" s="36"/>
      <c r="DC593" s="36"/>
      <c r="DD593" s="36"/>
      <c r="DE593" s="36"/>
      <c r="DF593" s="36"/>
      <c r="DG593" s="36"/>
      <c r="DH593" s="36"/>
      <c r="DI593" s="36"/>
      <c r="DJ593" s="36"/>
      <c r="DK593" s="36"/>
      <c r="DL593" s="36"/>
      <c r="DM593" s="36"/>
      <c r="DN593" s="36"/>
      <c r="DO593" s="36"/>
      <c r="DP593" s="36"/>
      <c r="DQ593" s="36"/>
      <c r="DR593" s="36"/>
      <c r="DS593" s="36"/>
    </row>
    <row r="594" spans="1:123" ht="14.45">
      <c r="A594"/>
      <c r="B594"/>
      <c r="C594"/>
      <c r="D594"/>
      <c r="E594"/>
      <c r="F594"/>
      <c r="G594"/>
      <c r="H594"/>
      <c r="I594"/>
      <c r="J594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  <c r="CN594" s="36"/>
      <c r="CO594" s="36"/>
      <c r="CP594" s="36"/>
      <c r="CQ594" s="36"/>
      <c r="CR594" s="36"/>
      <c r="CS594" s="36"/>
      <c r="CT594" s="36"/>
      <c r="CU594" s="36"/>
      <c r="CV594" s="36"/>
      <c r="CW594" s="36"/>
      <c r="CX594" s="36"/>
      <c r="CY594" s="36"/>
      <c r="CZ594" s="36"/>
      <c r="DA594" s="36"/>
      <c r="DB594" s="36"/>
      <c r="DC594" s="36"/>
      <c r="DD594" s="36"/>
      <c r="DE594" s="36"/>
      <c r="DF594" s="36"/>
      <c r="DG594" s="36"/>
      <c r="DH594" s="36"/>
      <c r="DI594" s="36"/>
      <c r="DJ594" s="36"/>
      <c r="DK594" s="36"/>
      <c r="DL594" s="36"/>
      <c r="DM594" s="36"/>
      <c r="DN594" s="36"/>
      <c r="DO594" s="36"/>
      <c r="DP594" s="36"/>
      <c r="DQ594" s="36"/>
      <c r="DR594" s="36"/>
      <c r="DS594" s="36"/>
    </row>
    <row r="595" spans="1:123" ht="14.45">
      <c r="A595"/>
      <c r="B595"/>
      <c r="C595"/>
      <c r="D595"/>
      <c r="E595"/>
      <c r="F595"/>
      <c r="G595"/>
      <c r="H595"/>
      <c r="I595"/>
      <c r="J595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36"/>
      <c r="CY595" s="36"/>
      <c r="CZ595" s="36"/>
      <c r="DA595" s="36"/>
      <c r="DB595" s="36"/>
      <c r="DC595" s="36"/>
      <c r="DD595" s="36"/>
      <c r="DE595" s="36"/>
      <c r="DF595" s="36"/>
      <c r="DG595" s="36"/>
      <c r="DH595" s="36"/>
      <c r="DI595" s="36"/>
      <c r="DJ595" s="36"/>
      <c r="DK595" s="36"/>
      <c r="DL595" s="36"/>
      <c r="DM595" s="36"/>
      <c r="DN595" s="36"/>
      <c r="DO595" s="36"/>
      <c r="DP595" s="36"/>
      <c r="DQ595" s="36"/>
      <c r="DR595" s="36"/>
      <c r="DS595" s="36"/>
    </row>
    <row r="596" spans="1:123" ht="14.45">
      <c r="A596"/>
      <c r="B596"/>
      <c r="C596"/>
      <c r="D596"/>
      <c r="E596"/>
      <c r="F596"/>
      <c r="G596"/>
      <c r="H596"/>
      <c r="I596"/>
      <c r="J59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36"/>
      <c r="BS596" s="36"/>
      <c r="BT596" s="36"/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CL596" s="36"/>
      <c r="CM596" s="36"/>
      <c r="CN596" s="36"/>
      <c r="CO596" s="36"/>
      <c r="CP596" s="36"/>
      <c r="CQ596" s="36"/>
      <c r="CR596" s="36"/>
      <c r="CS596" s="36"/>
      <c r="CT596" s="36"/>
      <c r="CU596" s="36"/>
      <c r="CV596" s="36"/>
      <c r="CW596" s="36"/>
      <c r="CX596" s="36"/>
      <c r="CY596" s="36"/>
      <c r="CZ596" s="36"/>
      <c r="DA596" s="36"/>
      <c r="DB596" s="36"/>
      <c r="DC596" s="36"/>
      <c r="DD596" s="36"/>
      <c r="DE596" s="36"/>
      <c r="DF596" s="36"/>
      <c r="DG596" s="36"/>
      <c r="DH596" s="36"/>
      <c r="DI596" s="36"/>
      <c r="DJ596" s="36"/>
      <c r="DK596" s="36"/>
      <c r="DL596" s="36"/>
      <c r="DM596" s="36"/>
      <c r="DN596" s="36"/>
      <c r="DO596" s="36"/>
      <c r="DP596" s="36"/>
      <c r="DQ596" s="36"/>
      <c r="DR596" s="36"/>
      <c r="DS596" s="36"/>
    </row>
    <row r="597" spans="1:123" ht="14.45">
      <c r="A597"/>
      <c r="B597"/>
      <c r="C597"/>
      <c r="D597"/>
      <c r="E597"/>
      <c r="F597"/>
      <c r="G597"/>
      <c r="H597"/>
      <c r="I597"/>
      <c r="J597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36"/>
      <c r="BS597" s="36"/>
      <c r="BT597" s="36"/>
      <c r="BU597" s="36"/>
      <c r="BV597" s="36"/>
      <c r="BW597" s="36"/>
      <c r="BX597" s="36"/>
      <c r="BY597" s="36"/>
      <c r="BZ597" s="36"/>
      <c r="CA597" s="36"/>
      <c r="CB597" s="36"/>
      <c r="CC597" s="36"/>
      <c r="CD597" s="36"/>
      <c r="CE597" s="36"/>
      <c r="CF597" s="36"/>
      <c r="CG597" s="36"/>
      <c r="CH597" s="36"/>
      <c r="CI597" s="36"/>
      <c r="CJ597" s="36"/>
      <c r="CK597" s="36"/>
      <c r="CL597" s="36"/>
      <c r="CM597" s="36"/>
      <c r="CN597" s="36"/>
      <c r="CO597" s="36"/>
      <c r="CP597" s="36"/>
      <c r="CQ597" s="36"/>
      <c r="CR597" s="36"/>
      <c r="CS597" s="36"/>
      <c r="CT597" s="36"/>
      <c r="CU597" s="36"/>
      <c r="CV597" s="36"/>
      <c r="CW597" s="36"/>
      <c r="CX597" s="36"/>
      <c r="CY597" s="36"/>
      <c r="CZ597" s="36"/>
      <c r="DA597" s="36"/>
      <c r="DB597" s="36"/>
      <c r="DC597" s="36"/>
      <c r="DD597" s="36"/>
      <c r="DE597" s="36"/>
      <c r="DF597" s="36"/>
      <c r="DG597" s="36"/>
      <c r="DH597" s="36"/>
      <c r="DI597" s="36"/>
      <c r="DJ597" s="36"/>
      <c r="DK597" s="36"/>
      <c r="DL597" s="36"/>
      <c r="DM597" s="36"/>
      <c r="DN597" s="36"/>
      <c r="DO597" s="36"/>
      <c r="DP597" s="36"/>
      <c r="DQ597" s="36"/>
      <c r="DR597" s="36"/>
      <c r="DS597" s="36"/>
    </row>
    <row r="598" spans="1:123" ht="14.45">
      <c r="A598"/>
      <c r="B598"/>
      <c r="C598"/>
      <c r="D598"/>
      <c r="E598"/>
      <c r="F598"/>
      <c r="G598"/>
      <c r="H598"/>
      <c r="I598"/>
      <c r="J598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  <c r="BR598" s="36"/>
      <c r="BS598" s="36"/>
      <c r="BT598" s="36"/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CL598" s="36"/>
      <c r="CM598" s="36"/>
      <c r="CN598" s="36"/>
      <c r="CO598" s="36"/>
      <c r="CP598" s="36"/>
      <c r="CQ598" s="36"/>
      <c r="CR598" s="36"/>
      <c r="CS598" s="36"/>
      <c r="CT598" s="36"/>
      <c r="CU598" s="36"/>
      <c r="CV598" s="36"/>
      <c r="CW598" s="36"/>
      <c r="CX598" s="36"/>
      <c r="CY598" s="36"/>
      <c r="CZ598" s="36"/>
      <c r="DA598" s="36"/>
      <c r="DB598" s="36"/>
      <c r="DC598" s="36"/>
      <c r="DD598" s="36"/>
      <c r="DE598" s="36"/>
      <c r="DF598" s="36"/>
      <c r="DG598" s="36"/>
      <c r="DH598" s="36"/>
      <c r="DI598" s="36"/>
      <c r="DJ598" s="36"/>
      <c r="DK598" s="36"/>
      <c r="DL598" s="36"/>
      <c r="DM598" s="36"/>
      <c r="DN598" s="36"/>
      <c r="DO598" s="36"/>
      <c r="DP598" s="36"/>
      <c r="DQ598" s="36"/>
      <c r="DR598" s="36"/>
      <c r="DS598" s="36"/>
    </row>
    <row r="599" spans="1:123" ht="14.45">
      <c r="A599"/>
      <c r="B599"/>
      <c r="C599"/>
      <c r="D599"/>
      <c r="E599"/>
      <c r="F599"/>
      <c r="G599"/>
      <c r="H599"/>
      <c r="I599"/>
      <c r="J599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36"/>
      <c r="BS599" s="36"/>
      <c r="BT599" s="36"/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CL599" s="36"/>
      <c r="CM599" s="36"/>
      <c r="CN599" s="36"/>
      <c r="CO599" s="36"/>
      <c r="CP599" s="36"/>
      <c r="CQ599" s="36"/>
      <c r="CR599" s="36"/>
      <c r="CS599" s="36"/>
      <c r="CT599" s="36"/>
      <c r="CU599" s="36"/>
      <c r="CV599" s="36"/>
      <c r="CW599" s="36"/>
      <c r="CX599" s="36"/>
      <c r="CY599" s="36"/>
      <c r="CZ599" s="36"/>
      <c r="DA599" s="36"/>
      <c r="DB599" s="36"/>
      <c r="DC599" s="36"/>
      <c r="DD599" s="36"/>
      <c r="DE599" s="36"/>
      <c r="DF599" s="36"/>
      <c r="DG599" s="36"/>
      <c r="DH599" s="36"/>
      <c r="DI599" s="36"/>
      <c r="DJ599" s="36"/>
      <c r="DK599" s="36"/>
      <c r="DL599" s="36"/>
      <c r="DM599" s="36"/>
      <c r="DN599" s="36"/>
      <c r="DO599" s="36"/>
      <c r="DP599" s="36"/>
      <c r="DQ599" s="36"/>
      <c r="DR599" s="36"/>
      <c r="DS599" s="36"/>
    </row>
    <row r="600" spans="1:123" ht="14.45">
      <c r="A600"/>
      <c r="B600"/>
      <c r="C600"/>
      <c r="D600"/>
      <c r="E600"/>
      <c r="F600"/>
      <c r="G600"/>
      <c r="H600"/>
      <c r="I600"/>
      <c r="J600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36"/>
      <c r="BS600" s="36"/>
      <c r="BT600" s="36"/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CL600" s="36"/>
      <c r="CM600" s="36"/>
      <c r="CN600" s="36"/>
      <c r="CO600" s="36"/>
      <c r="CP600" s="36"/>
      <c r="CQ600" s="36"/>
      <c r="CR600" s="36"/>
      <c r="CS600" s="36"/>
      <c r="CT600" s="36"/>
      <c r="CU600" s="36"/>
      <c r="CV600" s="36"/>
      <c r="CW600" s="36"/>
      <c r="CX600" s="36"/>
      <c r="CY600" s="36"/>
      <c r="CZ600" s="36"/>
      <c r="DA600" s="36"/>
      <c r="DB600" s="36"/>
      <c r="DC600" s="36"/>
      <c r="DD600" s="36"/>
      <c r="DE600" s="36"/>
      <c r="DF600" s="36"/>
      <c r="DG600" s="36"/>
      <c r="DH600" s="36"/>
      <c r="DI600" s="36"/>
      <c r="DJ600" s="36"/>
      <c r="DK600" s="36"/>
      <c r="DL600" s="36"/>
      <c r="DM600" s="36"/>
      <c r="DN600" s="36"/>
      <c r="DO600" s="36"/>
      <c r="DP600" s="36"/>
      <c r="DQ600" s="36"/>
      <c r="DR600" s="36"/>
      <c r="DS600" s="36"/>
    </row>
    <row r="601" spans="1:123" ht="14.45">
      <c r="A601"/>
      <c r="B601"/>
      <c r="C601"/>
      <c r="D601"/>
      <c r="E601"/>
      <c r="F601"/>
      <c r="G601"/>
      <c r="H601"/>
      <c r="I601"/>
      <c r="J601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  <c r="BS601" s="36"/>
      <c r="BT601" s="36"/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CL601" s="36"/>
      <c r="CM601" s="36"/>
      <c r="CN601" s="36"/>
      <c r="CO601" s="36"/>
      <c r="CP601" s="36"/>
      <c r="CQ601" s="36"/>
      <c r="CR601" s="36"/>
      <c r="CS601" s="36"/>
      <c r="CT601" s="36"/>
      <c r="CU601" s="36"/>
      <c r="CV601" s="36"/>
      <c r="CW601" s="36"/>
      <c r="CX601" s="36"/>
      <c r="CY601" s="36"/>
      <c r="CZ601" s="36"/>
      <c r="DA601" s="36"/>
      <c r="DB601" s="36"/>
      <c r="DC601" s="36"/>
      <c r="DD601" s="36"/>
      <c r="DE601" s="36"/>
      <c r="DF601" s="36"/>
      <c r="DG601" s="36"/>
      <c r="DH601" s="36"/>
      <c r="DI601" s="36"/>
      <c r="DJ601" s="36"/>
      <c r="DK601" s="36"/>
      <c r="DL601" s="36"/>
      <c r="DM601" s="36"/>
      <c r="DN601" s="36"/>
      <c r="DO601" s="36"/>
      <c r="DP601" s="36"/>
      <c r="DQ601" s="36"/>
      <c r="DR601" s="36"/>
      <c r="DS601" s="36"/>
    </row>
    <row r="602" spans="1:123" ht="14.45">
      <c r="A602"/>
      <c r="B602"/>
      <c r="C602"/>
      <c r="D602"/>
      <c r="E602"/>
      <c r="F602"/>
      <c r="G602"/>
      <c r="H602"/>
      <c r="I602"/>
      <c r="J602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  <c r="BR602" s="36"/>
      <c r="BS602" s="36"/>
      <c r="BT602" s="36"/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  <c r="CN602" s="36"/>
      <c r="CO602" s="36"/>
      <c r="CP602" s="36"/>
      <c r="CQ602" s="36"/>
      <c r="CR602" s="36"/>
      <c r="CS602" s="36"/>
      <c r="CT602" s="36"/>
      <c r="CU602" s="36"/>
      <c r="CV602" s="36"/>
      <c r="CW602" s="36"/>
      <c r="CX602" s="36"/>
      <c r="CY602" s="36"/>
      <c r="CZ602" s="36"/>
      <c r="DA602" s="36"/>
      <c r="DB602" s="36"/>
      <c r="DC602" s="36"/>
      <c r="DD602" s="36"/>
      <c r="DE602" s="36"/>
      <c r="DF602" s="36"/>
      <c r="DG602" s="36"/>
      <c r="DH602" s="36"/>
      <c r="DI602" s="36"/>
      <c r="DJ602" s="36"/>
      <c r="DK602" s="36"/>
      <c r="DL602" s="36"/>
      <c r="DM602" s="36"/>
      <c r="DN602" s="36"/>
      <c r="DO602" s="36"/>
      <c r="DP602" s="36"/>
      <c r="DQ602" s="36"/>
      <c r="DR602" s="36"/>
      <c r="DS602" s="36"/>
    </row>
    <row r="603" spans="1:123" ht="14.45">
      <c r="A603"/>
      <c r="B603"/>
      <c r="C603"/>
      <c r="D603"/>
      <c r="E603"/>
      <c r="F603"/>
      <c r="G603"/>
      <c r="H603"/>
      <c r="I603"/>
      <c r="J603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  <c r="BR603" s="36"/>
      <c r="BS603" s="36"/>
      <c r="BT603" s="36"/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CL603" s="36"/>
      <c r="CM603" s="36"/>
      <c r="CN603" s="36"/>
      <c r="CO603" s="36"/>
      <c r="CP603" s="36"/>
      <c r="CQ603" s="36"/>
      <c r="CR603" s="36"/>
      <c r="CS603" s="36"/>
      <c r="CT603" s="36"/>
      <c r="CU603" s="36"/>
      <c r="CV603" s="36"/>
      <c r="CW603" s="36"/>
      <c r="CX603" s="36"/>
      <c r="CY603" s="36"/>
      <c r="CZ603" s="36"/>
      <c r="DA603" s="36"/>
      <c r="DB603" s="36"/>
      <c r="DC603" s="36"/>
      <c r="DD603" s="36"/>
      <c r="DE603" s="36"/>
      <c r="DF603" s="36"/>
      <c r="DG603" s="36"/>
      <c r="DH603" s="36"/>
      <c r="DI603" s="36"/>
      <c r="DJ603" s="36"/>
      <c r="DK603" s="36"/>
      <c r="DL603" s="36"/>
      <c r="DM603" s="36"/>
      <c r="DN603" s="36"/>
      <c r="DO603" s="36"/>
      <c r="DP603" s="36"/>
      <c r="DQ603" s="36"/>
      <c r="DR603" s="36"/>
      <c r="DS603" s="36"/>
    </row>
    <row r="604" spans="1:123" ht="14.45">
      <c r="A604"/>
      <c r="B604"/>
      <c r="C604"/>
      <c r="D604"/>
      <c r="E604"/>
      <c r="F604"/>
      <c r="G604"/>
      <c r="H604"/>
      <c r="I604"/>
      <c r="J604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  <c r="BS604" s="36"/>
      <c r="BT604" s="36"/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CL604" s="36"/>
      <c r="CM604" s="36"/>
      <c r="CN604" s="36"/>
      <c r="CO604" s="36"/>
      <c r="CP604" s="36"/>
      <c r="CQ604" s="36"/>
      <c r="CR604" s="36"/>
      <c r="CS604" s="36"/>
      <c r="CT604" s="36"/>
      <c r="CU604" s="36"/>
      <c r="CV604" s="36"/>
      <c r="CW604" s="36"/>
      <c r="CX604" s="36"/>
      <c r="CY604" s="36"/>
      <c r="CZ604" s="36"/>
      <c r="DA604" s="36"/>
      <c r="DB604" s="36"/>
      <c r="DC604" s="36"/>
      <c r="DD604" s="36"/>
      <c r="DE604" s="36"/>
      <c r="DF604" s="36"/>
      <c r="DG604" s="36"/>
      <c r="DH604" s="36"/>
      <c r="DI604" s="36"/>
      <c r="DJ604" s="36"/>
      <c r="DK604" s="36"/>
      <c r="DL604" s="36"/>
      <c r="DM604" s="36"/>
      <c r="DN604" s="36"/>
      <c r="DO604" s="36"/>
      <c r="DP604" s="36"/>
      <c r="DQ604" s="36"/>
      <c r="DR604" s="36"/>
      <c r="DS604" s="36"/>
    </row>
    <row r="605" spans="1:123" ht="14.45">
      <c r="A605"/>
      <c r="B605"/>
      <c r="C605"/>
      <c r="D605"/>
      <c r="E605"/>
      <c r="F605"/>
      <c r="G605"/>
      <c r="H605"/>
      <c r="I605"/>
      <c r="J605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  <c r="BS605" s="36"/>
      <c r="BT605" s="36"/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  <c r="CN605" s="36"/>
      <c r="CO605" s="36"/>
      <c r="CP605" s="36"/>
      <c r="CQ605" s="36"/>
      <c r="CR605" s="36"/>
      <c r="CS605" s="36"/>
      <c r="CT605" s="36"/>
      <c r="CU605" s="36"/>
      <c r="CV605" s="36"/>
      <c r="CW605" s="36"/>
      <c r="CX605" s="36"/>
      <c r="CY605" s="36"/>
      <c r="CZ605" s="36"/>
      <c r="DA605" s="36"/>
      <c r="DB605" s="36"/>
      <c r="DC605" s="36"/>
      <c r="DD605" s="36"/>
      <c r="DE605" s="36"/>
      <c r="DF605" s="36"/>
      <c r="DG605" s="36"/>
      <c r="DH605" s="36"/>
      <c r="DI605" s="36"/>
      <c r="DJ605" s="36"/>
      <c r="DK605" s="36"/>
      <c r="DL605" s="36"/>
      <c r="DM605" s="36"/>
      <c r="DN605" s="36"/>
      <c r="DO605" s="36"/>
      <c r="DP605" s="36"/>
      <c r="DQ605" s="36"/>
      <c r="DR605" s="36"/>
      <c r="DS605" s="36"/>
    </row>
    <row r="606" spans="1:123" ht="14.45">
      <c r="A606"/>
      <c r="B606"/>
      <c r="C606"/>
      <c r="D606"/>
      <c r="E606"/>
      <c r="F606"/>
      <c r="G606"/>
      <c r="H606"/>
      <c r="I606"/>
      <c r="J60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/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36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  <c r="DO606" s="36"/>
      <c r="DP606" s="36"/>
      <c r="DQ606" s="36"/>
      <c r="DR606" s="36"/>
      <c r="DS606" s="36"/>
    </row>
    <row r="607" spans="1:123" ht="14.45">
      <c r="A607"/>
      <c r="B607"/>
      <c r="C607"/>
      <c r="D607"/>
      <c r="E607"/>
      <c r="F607"/>
      <c r="G607"/>
      <c r="H607"/>
      <c r="I607"/>
      <c r="J607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  <c r="BS607" s="36"/>
      <c r="BT607" s="36"/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CL607" s="36"/>
      <c r="CM607" s="36"/>
      <c r="CN607" s="36"/>
      <c r="CO607" s="36"/>
      <c r="CP607" s="36"/>
      <c r="CQ607" s="36"/>
      <c r="CR607" s="36"/>
      <c r="CS607" s="36"/>
      <c r="CT607" s="36"/>
      <c r="CU607" s="36"/>
      <c r="CV607" s="36"/>
      <c r="CW607" s="36"/>
      <c r="CX607" s="36"/>
      <c r="CY607" s="36"/>
      <c r="CZ607" s="36"/>
      <c r="DA607" s="36"/>
      <c r="DB607" s="36"/>
      <c r="DC607" s="36"/>
      <c r="DD607" s="36"/>
      <c r="DE607" s="36"/>
      <c r="DF607" s="36"/>
      <c r="DG607" s="36"/>
      <c r="DH607" s="36"/>
      <c r="DI607" s="36"/>
      <c r="DJ607" s="36"/>
      <c r="DK607" s="36"/>
      <c r="DL607" s="36"/>
      <c r="DM607" s="36"/>
      <c r="DN607" s="36"/>
      <c r="DO607" s="36"/>
      <c r="DP607" s="36"/>
      <c r="DQ607" s="36"/>
      <c r="DR607" s="36"/>
      <c r="DS607" s="36"/>
    </row>
    <row r="608" spans="1:123" ht="14.45">
      <c r="A608"/>
      <c r="B608"/>
      <c r="C608"/>
      <c r="D608"/>
      <c r="E608"/>
      <c r="F608"/>
      <c r="G608"/>
      <c r="H608"/>
      <c r="I608"/>
      <c r="J608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CL608" s="36"/>
      <c r="CM608" s="36"/>
      <c r="CN608" s="36"/>
      <c r="CO608" s="36"/>
      <c r="CP608" s="36"/>
      <c r="CQ608" s="36"/>
      <c r="CR608" s="36"/>
      <c r="CS608" s="36"/>
      <c r="CT608" s="36"/>
      <c r="CU608" s="36"/>
      <c r="CV608" s="36"/>
      <c r="CW608" s="36"/>
      <c r="CX608" s="36"/>
      <c r="CY608" s="36"/>
      <c r="CZ608" s="36"/>
      <c r="DA608" s="36"/>
      <c r="DB608" s="36"/>
      <c r="DC608" s="36"/>
      <c r="DD608" s="36"/>
      <c r="DE608" s="36"/>
      <c r="DF608" s="36"/>
      <c r="DG608" s="36"/>
      <c r="DH608" s="36"/>
      <c r="DI608" s="36"/>
      <c r="DJ608" s="36"/>
      <c r="DK608" s="36"/>
      <c r="DL608" s="36"/>
      <c r="DM608" s="36"/>
      <c r="DN608" s="36"/>
      <c r="DO608" s="36"/>
      <c r="DP608" s="36"/>
      <c r="DQ608" s="36"/>
      <c r="DR608" s="36"/>
      <c r="DS608" s="36"/>
    </row>
    <row r="609" spans="1:123" ht="14.45">
      <c r="A609"/>
      <c r="B609"/>
      <c r="C609"/>
      <c r="D609"/>
      <c r="E609"/>
      <c r="F609"/>
      <c r="G609"/>
      <c r="H609"/>
      <c r="I609"/>
      <c r="J609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  <c r="BS609" s="36"/>
      <c r="BT609" s="36"/>
      <c r="BU609" s="36"/>
      <c r="BV609" s="36"/>
      <c r="BW609" s="36"/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CL609" s="36"/>
      <c r="CM609" s="36"/>
      <c r="CN609" s="36"/>
      <c r="CO609" s="36"/>
      <c r="CP609" s="36"/>
      <c r="CQ609" s="36"/>
      <c r="CR609" s="36"/>
      <c r="CS609" s="36"/>
      <c r="CT609" s="36"/>
      <c r="CU609" s="36"/>
      <c r="CV609" s="36"/>
      <c r="CW609" s="36"/>
      <c r="CX609" s="36"/>
      <c r="CY609" s="36"/>
      <c r="CZ609" s="36"/>
      <c r="DA609" s="36"/>
      <c r="DB609" s="36"/>
      <c r="DC609" s="36"/>
      <c r="DD609" s="36"/>
      <c r="DE609" s="36"/>
      <c r="DF609" s="36"/>
      <c r="DG609" s="36"/>
      <c r="DH609" s="36"/>
      <c r="DI609" s="36"/>
      <c r="DJ609" s="36"/>
      <c r="DK609" s="36"/>
      <c r="DL609" s="36"/>
      <c r="DM609" s="36"/>
      <c r="DN609" s="36"/>
      <c r="DO609" s="36"/>
      <c r="DP609" s="36"/>
      <c r="DQ609" s="36"/>
      <c r="DR609" s="36"/>
      <c r="DS609" s="36"/>
    </row>
    <row r="610" spans="1:123" ht="14.45">
      <c r="A610"/>
      <c r="B610"/>
      <c r="C610"/>
      <c r="D610"/>
      <c r="E610"/>
      <c r="F610"/>
      <c r="G610"/>
      <c r="H610"/>
      <c r="I610"/>
      <c r="J610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  <c r="BS610" s="36"/>
      <c r="BT610" s="36"/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CL610" s="36"/>
      <c r="CM610" s="36"/>
      <c r="CN610" s="36"/>
      <c r="CO610" s="36"/>
      <c r="CP610" s="36"/>
      <c r="CQ610" s="36"/>
      <c r="CR610" s="36"/>
      <c r="CS610" s="36"/>
      <c r="CT610" s="36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6"/>
      <c r="DL610" s="36"/>
      <c r="DM610" s="36"/>
      <c r="DN610" s="36"/>
      <c r="DO610" s="36"/>
      <c r="DP610" s="36"/>
      <c r="DQ610" s="36"/>
      <c r="DR610" s="36"/>
      <c r="DS610" s="36"/>
    </row>
    <row r="611" spans="1:123" ht="14.45">
      <c r="A611"/>
      <c r="B611"/>
      <c r="C611"/>
      <c r="D611"/>
      <c r="E611"/>
      <c r="F611"/>
      <c r="G611"/>
      <c r="H611"/>
      <c r="I611"/>
      <c r="J611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36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  <c r="DO611" s="36"/>
      <c r="DP611" s="36"/>
      <c r="DQ611" s="36"/>
      <c r="DR611" s="36"/>
      <c r="DS611" s="36"/>
    </row>
    <row r="612" spans="1:123" ht="14.45">
      <c r="A612"/>
      <c r="B612"/>
      <c r="C612"/>
      <c r="D612"/>
      <c r="E612"/>
      <c r="F612"/>
      <c r="G612"/>
      <c r="H612"/>
      <c r="I612"/>
      <c r="J612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  <c r="BR612" s="36"/>
      <c r="BS612" s="36"/>
      <c r="BT612" s="36"/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CL612" s="36"/>
      <c r="CM612" s="36"/>
      <c r="CN612" s="36"/>
      <c r="CO612" s="36"/>
      <c r="CP612" s="36"/>
      <c r="CQ612" s="36"/>
      <c r="CR612" s="36"/>
      <c r="CS612" s="36"/>
      <c r="CT612" s="36"/>
      <c r="CU612" s="36"/>
      <c r="CV612" s="36"/>
      <c r="CW612" s="36"/>
      <c r="CX612" s="36"/>
      <c r="CY612" s="36"/>
      <c r="CZ612" s="36"/>
      <c r="DA612" s="36"/>
      <c r="DB612" s="36"/>
      <c r="DC612" s="36"/>
      <c r="DD612" s="36"/>
      <c r="DE612" s="36"/>
      <c r="DF612" s="36"/>
      <c r="DG612" s="36"/>
      <c r="DH612" s="36"/>
      <c r="DI612" s="36"/>
      <c r="DJ612" s="36"/>
      <c r="DK612" s="36"/>
      <c r="DL612" s="36"/>
      <c r="DM612" s="36"/>
      <c r="DN612" s="36"/>
      <c r="DO612" s="36"/>
      <c r="DP612" s="36"/>
      <c r="DQ612" s="36"/>
      <c r="DR612" s="36"/>
      <c r="DS612" s="36"/>
    </row>
    <row r="613" spans="1:123" ht="14.45">
      <c r="A613"/>
      <c r="B613"/>
      <c r="C613"/>
      <c r="D613"/>
      <c r="E613"/>
      <c r="F613"/>
      <c r="G613"/>
      <c r="H613"/>
      <c r="I613"/>
      <c r="J613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/>
      <c r="CR613" s="36"/>
      <c r="CS613" s="36"/>
      <c r="CT613" s="36"/>
      <c r="CU613" s="36"/>
      <c r="CV613" s="36"/>
      <c r="CW613" s="36"/>
      <c r="CX613" s="36"/>
      <c r="CY613" s="36"/>
      <c r="CZ613" s="36"/>
      <c r="DA613" s="36"/>
      <c r="DB613" s="36"/>
      <c r="DC613" s="36"/>
      <c r="DD613" s="36"/>
      <c r="DE613" s="36"/>
      <c r="DF613" s="36"/>
      <c r="DG613" s="36"/>
      <c r="DH613" s="36"/>
      <c r="DI613" s="36"/>
      <c r="DJ613" s="36"/>
      <c r="DK613" s="36"/>
      <c r="DL613" s="36"/>
      <c r="DM613" s="36"/>
      <c r="DN613" s="36"/>
      <c r="DO613" s="36"/>
      <c r="DP613" s="36"/>
      <c r="DQ613" s="36"/>
      <c r="DR613" s="36"/>
      <c r="DS613" s="36"/>
    </row>
    <row r="614" spans="1:123" ht="14.45">
      <c r="A614"/>
      <c r="B614"/>
      <c r="C614"/>
      <c r="D614"/>
      <c r="E614"/>
      <c r="F614"/>
      <c r="G614"/>
      <c r="H614"/>
      <c r="I614"/>
      <c r="J614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  <c r="BS614" s="36"/>
      <c r="BT614" s="36"/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CL614" s="36"/>
      <c r="CM614" s="36"/>
      <c r="CN614" s="36"/>
      <c r="CO614" s="36"/>
      <c r="CP614" s="36"/>
      <c r="CQ614" s="36"/>
      <c r="CR614" s="36"/>
      <c r="CS614" s="36"/>
      <c r="CT614" s="36"/>
      <c r="CU614" s="36"/>
      <c r="CV614" s="36"/>
      <c r="CW614" s="36"/>
      <c r="CX614" s="36"/>
      <c r="CY614" s="36"/>
      <c r="CZ614" s="36"/>
      <c r="DA614" s="36"/>
      <c r="DB614" s="36"/>
      <c r="DC614" s="36"/>
      <c r="DD614" s="36"/>
      <c r="DE614" s="36"/>
      <c r="DF614" s="36"/>
      <c r="DG614" s="36"/>
      <c r="DH614" s="36"/>
      <c r="DI614" s="36"/>
      <c r="DJ614" s="36"/>
      <c r="DK614" s="36"/>
      <c r="DL614" s="36"/>
      <c r="DM614" s="36"/>
      <c r="DN614" s="36"/>
      <c r="DO614" s="36"/>
      <c r="DP614" s="36"/>
      <c r="DQ614" s="36"/>
      <c r="DR614" s="36"/>
      <c r="DS614" s="36"/>
    </row>
    <row r="615" spans="1:123" ht="14.45">
      <c r="A615"/>
      <c r="B615"/>
      <c r="C615"/>
      <c r="D615"/>
      <c r="E615"/>
      <c r="F615"/>
      <c r="G615"/>
      <c r="H615"/>
      <c r="I615"/>
      <c r="J615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  <c r="BR615" s="36"/>
      <c r="BS615" s="36"/>
      <c r="BT615" s="36"/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  <c r="CN615" s="36"/>
      <c r="CO615" s="36"/>
      <c r="CP615" s="36"/>
      <c r="CQ615" s="36"/>
      <c r="CR615" s="36"/>
      <c r="CS615" s="36"/>
      <c r="CT615" s="36"/>
      <c r="CU615" s="36"/>
      <c r="CV615" s="36"/>
      <c r="CW615" s="36"/>
      <c r="CX615" s="36"/>
      <c r="CY615" s="36"/>
      <c r="CZ615" s="36"/>
      <c r="DA615" s="36"/>
      <c r="DB615" s="36"/>
      <c r="DC615" s="36"/>
      <c r="DD615" s="36"/>
      <c r="DE615" s="36"/>
      <c r="DF615" s="36"/>
      <c r="DG615" s="36"/>
      <c r="DH615" s="36"/>
      <c r="DI615" s="36"/>
      <c r="DJ615" s="36"/>
      <c r="DK615" s="36"/>
      <c r="DL615" s="36"/>
      <c r="DM615" s="36"/>
      <c r="DN615" s="36"/>
      <c r="DO615" s="36"/>
      <c r="DP615" s="36"/>
      <c r="DQ615" s="36"/>
      <c r="DR615" s="36"/>
      <c r="DS615" s="36"/>
    </row>
    <row r="616" spans="1:123" ht="14.45">
      <c r="A616"/>
      <c r="B616"/>
      <c r="C616"/>
      <c r="D616"/>
      <c r="E616"/>
      <c r="F616"/>
      <c r="G616"/>
      <c r="H616"/>
      <c r="I616"/>
      <c r="J61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36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  <c r="DO616" s="36"/>
      <c r="DP616" s="36"/>
      <c r="DQ616" s="36"/>
      <c r="DR616" s="36"/>
      <c r="DS616" s="36"/>
    </row>
    <row r="617" spans="1:123" ht="14.45">
      <c r="A617"/>
      <c r="B617"/>
      <c r="C617"/>
      <c r="D617"/>
      <c r="E617"/>
      <c r="F617"/>
      <c r="G617"/>
      <c r="H617"/>
      <c r="I617"/>
      <c r="J617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  <c r="BS617" s="36"/>
      <c r="BT617" s="36"/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36"/>
      <c r="DH617" s="36"/>
      <c r="DI617" s="36"/>
      <c r="DJ617" s="36"/>
      <c r="DK617" s="36"/>
      <c r="DL617" s="36"/>
      <c r="DM617" s="36"/>
      <c r="DN617" s="36"/>
      <c r="DO617" s="36"/>
      <c r="DP617" s="36"/>
      <c r="DQ617" s="36"/>
      <c r="DR617" s="36"/>
      <c r="DS617" s="36"/>
    </row>
    <row r="618" spans="1:123" ht="14.45">
      <c r="A618"/>
      <c r="B618"/>
      <c r="C618"/>
      <c r="D618"/>
      <c r="E618"/>
      <c r="F618"/>
      <c r="G618"/>
      <c r="H618"/>
      <c r="I618"/>
      <c r="J618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  <c r="BR618" s="36"/>
      <c r="BS618" s="36"/>
      <c r="BT618" s="36"/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36"/>
      <c r="DH618" s="36"/>
      <c r="DI618" s="36"/>
      <c r="DJ618" s="36"/>
      <c r="DK618" s="36"/>
      <c r="DL618" s="36"/>
      <c r="DM618" s="36"/>
      <c r="DN618" s="36"/>
      <c r="DO618" s="36"/>
      <c r="DP618" s="36"/>
      <c r="DQ618" s="36"/>
      <c r="DR618" s="36"/>
      <c r="DS618" s="36"/>
    </row>
    <row r="619" spans="1:123" ht="14.45">
      <c r="A619"/>
      <c r="B619"/>
      <c r="C619"/>
      <c r="D619"/>
      <c r="E619"/>
      <c r="F619"/>
      <c r="G619"/>
      <c r="H619"/>
      <c r="I619"/>
      <c r="J619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36"/>
      <c r="DH619" s="36"/>
      <c r="DI619" s="36"/>
      <c r="DJ619" s="36"/>
      <c r="DK619" s="36"/>
      <c r="DL619" s="36"/>
      <c r="DM619" s="36"/>
      <c r="DN619" s="36"/>
      <c r="DO619" s="36"/>
      <c r="DP619" s="36"/>
      <c r="DQ619" s="36"/>
      <c r="DR619" s="36"/>
      <c r="DS619" s="36"/>
    </row>
    <row r="620" spans="1:123" ht="14.45">
      <c r="A620"/>
      <c r="B620"/>
      <c r="C620"/>
      <c r="D620"/>
      <c r="E620"/>
      <c r="F620"/>
      <c r="G620"/>
      <c r="H620"/>
      <c r="I620"/>
      <c r="J620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  <c r="BS620" s="36"/>
      <c r="BT620" s="36"/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36"/>
      <c r="DH620" s="36"/>
      <c r="DI620" s="36"/>
      <c r="DJ620" s="36"/>
      <c r="DK620" s="36"/>
      <c r="DL620" s="36"/>
      <c r="DM620" s="36"/>
      <c r="DN620" s="36"/>
      <c r="DO620" s="36"/>
      <c r="DP620" s="36"/>
      <c r="DQ620" s="36"/>
      <c r="DR620" s="36"/>
      <c r="DS620" s="36"/>
    </row>
    <row r="621" spans="1:123" ht="14.45">
      <c r="A621"/>
      <c r="B621"/>
      <c r="C621"/>
      <c r="D621"/>
      <c r="E621"/>
      <c r="F621"/>
      <c r="G621"/>
      <c r="H621"/>
      <c r="I621"/>
      <c r="J621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  <c r="CN621" s="36"/>
      <c r="CO621" s="36"/>
      <c r="CP621" s="36"/>
      <c r="CQ621" s="36"/>
      <c r="CR621" s="36"/>
      <c r="CS621" s="36"/>
      <c r="CT621" s="36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6"/>
      <c r="DL621" s="36"/>
      <c r="DM621" s="36"/>
      <c r="DN621" s="36"/>
      <c r="DO621" s="36"/>
      <c r="DP621" s="36"/>
      <c r="DQ621" s="36"/>
      <c r="DR621" s="36"/>
      <c r="DS621" s="36"/>
    </row>
    <row r="622" spans="1:123" ht="14.45">
      <c r="A622"/>
      <c r="B622"/>
      <c r="C622"/>
      <c r="D622"/>
      <c r="E622"/>
      <c r="F622"/>
      <c r="G622"/>
      <c r="H622"/>
      <c r="I622"/>
      <c r="J622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  <c r="BR622" s="36"/>
      <c r="BS622" s="36"/>
      <c r="BT622" s="36"/>
      <c r="BU622" s="36"/>
      <c r="BV622" s="36"/>
      <c r="BW622" s="36"/>
      <c r="BX622" s="36"/>
      <c r="BY622" s="36"/>
      <c r="BZ622" s="36"/>
      <c r="CA622" s="36"/>
      <c r="CB622" s="36"/>
      <c r="CC622" s="36"/>
      <c r="CD622" s="36"/>
      <c r="CE622" s="36"/>
      <c r="CF622" s="36"/>
      <c r="CG622" s="36"/>
      <c r="CH622" s="36"/>
      <c r="CI622" s="36"/>
      <c r="CJ622" s="36"/>
      <c r="CK622" s="36"/>
      <c r="CL622" s="36"/>
      <c r="CM622" s="36"/>
      <c r="CN622" s="36"/>
      <c r="CO622" s="36"/>
      <c r="CP622" s="36"/>
      <c r="CQ622" s="36"/>
      <c r="CR622" s="36"/>
      <c r="CS622" s="36"/>
      <c r="CT622" s="36"/>
      <c r="CU622" s="36"/>
      <c r="CV622" s="36"/>
      <c r="CW622" s="36"/>
      <c r="CX622" s="36"/>
      <c r="CY622" s="36"/>
      <c r="CZ622" s="36"/>
      <c r="DA622" s="36"/>
      <c r="DB622" s="36"/>
      <c r="DC622" s="36"/>
      <c r="DD622" s="36"/>
      <c r="DE622" s="36"/>
      <c r="DF622" s="36"/>
      <c r="DG622" s="36"/>
      <c r="DH622" s="36"/>
      <c r="DI622" s="36"/>
      <c r="DJ622" s="36"/>
      <c r="DK622" s="36"/>
      <c r="DL622" s="36"/>
      <c r="DM622" s="36"/>
      <c r="DN622" s="36"/>
      <c r="DO622" s="36"/>
      <c r="DP622" s="36"/>
      <c r="DQ622" s="36"/>
      <c r="DR622" s="36"/>
      <c r="DS622" s="36"/>
    </row>
    <row r="623" spans="1:123" ht="14.45">
      <c r="A623"/>
      <c r="B623"/>
      <c r="C623"/>
      <c r="D623"/>
      <c r="E623"/>
      <c r="F623"/>
      <c r="G623"/>
      <c r="H623"/>
      <c r="I623"/>
      <c r="J623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  <c r="BR623" s="36"/>
      <c r="BS623" s="36"/>
      <c r="BT623" s="36"/>
      <c r="BU623" s="36"/>
      <c r="BV623" s="36"/>
      <c r="BW623" s="36"/>
      <c r="BX623" s="36"/>
      <c r="BY623" s="36"/>
      <c r="BZ623" s="36"/>
      <c r="CA623" s="36"/>
      <c r="CB623" s="36"/>
      <c r="CC623" s="36"/>
      <c r="CD623" s="36"/>
      <c r="CE623" s="36"/>
      <c r="CF623" s="36"/>
      <c r="CG623" s="36"/>
      <c r="CH623" s="36"/>
      <c r="CI623" s="36"/>
      <c r="CJ623" s="36"/>
      <c r="CK623" s="36"/>
      <c r="CL623" s="36"/>
      <c r="CM623" s="36"/>
      <c r="CN623" s="36"/>
      <c r="CO623" s="36"/>
      <c r="CP623" s="36"/>
      <c r="CQ623" s="36"/>
      <c r="CR623" s="36"/>
      <c r="CS623" s="36"/>
      <c r="CT623" s="36"/>
      <c r="CU623" s="36"/>
      <c r="CV623" s="36"/>
      <c r="CW623" s="36"/>
      <c r="CX623" s="36"/>
      <c r="CY623" s="36"/>
      <c r="CZ623" s="36"/>
      <c r="DA623" s="36"/>
      <c r="DB623" s="36"/>
      <c r="DC623" s="36"/>
      <c r="DD623" s="36"/>
      <c r="DE623" s="36"/>
      <c r="DF623" s="36"/>
      <c r="DG623" s="36"/>
      <c r="DH623" s="36"/>
      <c r="DI623" s="36"/>
      <c r="DJ623" s="36"/>
      <c r="DK623" s="36"/>
      <c r="DL623" s="36"/>
      <c r="DM623" s="36"/>
      <c r="DN623" s="36"/>
      <c r="DO623" s="36"/>
      <c r="DP623" s="36"/>
      <c r="DQ623" s="36"/>
      <c r="DR623" s="36"/>
      <c r="DS623" s="36"/>
    </row>
    <row r="624" spans="1:123" ht="14.45">
      <c r="A624"/>
      <c r="B624"/>
      <c r="C624"/>
      <c r="D624"/>
      <c r="E624"/>
      <c r="F624"/>
      <c r="G624"/>
      <c r="H624"/>
      <c r="I624"/>
      <c r="J624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  <c r="BR624" s="36"/>
      <c r="BS624" s="36"/>
      <c r="BT624" s="36"/>
      <c r="BU624" s="36"/>
      <c r="BV624" s="36"/>
      <c r="BW624" s="36"/>
      <c r="BX624" s="36"/>
      <c r="BY624" s="36"/>
      <c r="BZ624" s="36"/>
      <c r="CA624" s="36"/>
      <c r="CB624" s="36"/>
      <c r="CC624" s="36"/>
      <c r="CD624" s="36"/>
      <c r="CE624" s="36"/>
      <c r="CF624" s="36"/>
      <c r="CG624" s="36"/>
      <c r="CH624" s="36"/>
      <c r="CI624" s="36"/>
      <c r="CJ624" s="36"/>
      <c r="CK624" s="36"/>
      <c r="CL624" s="36"/>
      <c r="CM624" s="36"/>
      <c r="CN624" s="36"/>
      <c r="CO624" s="36"/>
      <c r="CP624" s="36"/>
      <c r="CQ624" s="36"/>
      <c r="CR624" s="36"/>
      <c r="CS624" s="36"/>
      <c r="CT624" s="36"/>
      <c r="CU624" s="36"/>
      <c r="CV624" s="36"/>
      <c r="CW624" s="36"/>
      <c r="CX624" s="36"/>
      <c r="CY624" s="36"/>
      <c r="CZ624" s="36"/>
      <c r="DA624" s="36"/>
      <c r="DB624" s="36"/>
      <c r="DC624" s="36"/>
      <c r="DD624" s="36"/>
      <c r="DE624" s="36"/>
      <c r="DF624" s="36"/>
      <c r="DG624" s="36"/>
      <c r="DH624" s="36"/>
      <c r="DI624" s="36"/>
      <c r="DJ624" s="36"/>
      <c r="DK624" s="36"/>
      <c r="DL624" s="36"/>
      <c r="DM624" s="36"/>
      <c r="DN624" s="36"/>
      <c r="DO624" s="36"/>
      <c r="DP624" s="36"/>
      <c r="DQ624" s="36"/>
      <c r="DR624" s="36"/>
      <c r="DS624" s="36"/>
    </row>
    <row r="625" spans="1:123" ht="14.45">
      <c r="A625"/>
      <c r="B625"/>
      <c r="C625"/>
      <c r="D625"/>
      <c r="E625"/>
      <c r="F625"/>
      <c r="G625"/>
      <c r="H625"/>
      <c r="I625"/>
      <c r="J625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  <c r="BR625" s="36"/>
      <c r="BS625" s="36"/>
      <c r="BT625" s="36"/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CL625" s="36"/>
      <c r="CM625" s="36"/>
      <c r="CN625" s="36"/>
      <c r="CO625" s="36"/>
      <c r="CP625" s="36"/>
      <c r="CQ625" s="36"/>
      <c r="CR625" s="36"/>
      <c r="CS625" s="36"/>
      <c r="CT625" s="36"/>
      <c r="CU625" s="36"/>
      <c r="CV625" s="36"/>
      <c r="CW625" s="36"/>
      <c r="CX625" s="36"/>
      <c r="CY625" s="36"/>
      <c r="CZ625" s="36"/>
      <c r="DA625" s="36"/>
      <c r="DB625" s="36"/>
      <c r="DC625" s="36"/>
      <c r="DD625" s="36"/>
      <c r="DE625" s="36"/>
      <c r="DF625" s="36"/>
      <c r="DG625" s="36"/>
      <c r="DH625" s="36"/>
      <c r="DI625" s="36"/>
      <c r="DJ625" s="36"/>
      <c r="DK625" s="36"/>
      <c r="DL625" s="36"/>
      <c r="DM625" s="36"/>
      <c r="DN625" s="36"/>
      <c r="DO625" s="36"/>
      <c r="DP625" s="36"/>
      <c r="DQ625" s="36"/>
      <c r="DR625" s="36"/>
      <c r="DS625" s="36"/>
    </row>
    <row r="626" spans="1:123" ht="14.45">
      <c r="A626"/>
      <c r="B626"/>
      <c r="C626"/>
      <c r="D626"/>
      <c r="E626"/>
      <c r="F626"/>
      <c r="G626"/>
      <c r="H626"/>
      <c r="I626"/>
      <c r="J62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  <c r="BR626" s="36"/>
      <c r="BS626" s="36"/>
      <c r="BT626" s="36"/>
      <c r="BU626" s="36"/>
      <c r="BV626" s="36"/>
      <c r="BW626" s="36"/>
      <c r="BX626" s="36"/>
      <c r="BY626" s="36"/>
      <c r="BZ626" s="36"/>
      <c r="CA626" s="36"/>
      <c r="CB626" s="36"/>
      <c r="CC626" s="36"/>
      <c r="CD626" s="36"/>
      <c r="CE626" s="36"/>
      <c r="CF626" s="36"/>
      <c r="CG626" s="36"/>
      <c r="CH626" s="36"/>
      <c r="CI626" s="36"/>
      <c r="CJ626" s="36"/>
      <c r="CK626" s="36"/>
      <c r="CL626" s="36"/>
      <c r="CM626" s="36"/>
      <c r="CN626" s="36"/>
      <c r="CO626" s="36"/>
      <c r="CP626" s="36"/>
      <c r="CQ626" s="36"/>
      <c r="CR626" s="36"/>
      <c r="CS626" s="36"/>
      <c r="CT626" s="36"/>
      <c r="CU626" s="36"/>
      <c r="CV626" s="36"/>
      <c r="CW626" s="36"/>
      <c r="CX626" s="36"/>
      <c r="CY626" s="36"/>
      <c r="CZ626" s="36"/>
      <c r="DA626" s="36"/>
      <c r="DB626" s="36"/>
      <c r="DC626" s="36"/>
      <c r="DD626" s="36"/>
      <c r="DE626" s="36"/>
      <c r="DF626" s="36"/>
      <c r="DG626" s="36"/>
      <c r="DH626" s="36"/>
      <c r="DI626" s="36"/>
      <c r="DJ626" s="36"/>
      <c r="DK626" s="36"/>
      <c r="DL626" s="36"/>
      <c r="DM626" s="36"/>
      <c r="DN626" s="36"/>
      <c r="DO626" s="36"/>
      <c r="DP626" s="36"/>
      <c r="DQ626" s="36"/>
      <c r="DR626" s="36"/>
      <c r="DS626" s="36"/>
    </row>
    <row r="627" spans="1:123" ht="14.45">
      <c r="A627"/>
      <c r="B627"/>
      <c r="C627"/>
      <c r="D627"/>
      <c r="E627"/>
      <c r="F627"/>
      <c r="G627"/>
      <c r="H627"/>
      <c r="I627"/>
      <c r="J627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  <c r="BR627" s="36"/>
      <c r="BS627" s="36"/>
      <c r="BT627" s="36"/>
      <c r="BU627" s="36"/>
      <c r="BV627" s="36"/>
      <c r="BW627" s="36"/>
      <c r="BX627" s="36"/>
      <c r="BY627" s="36"/>
      <c r="BZ627" s="36"/>
      <c r="CA627" s="36"/>
      <c r="CB627" s="36"/>
      <c r="CC627" s="36"/>
      <c r="CD627" s="36"/>
      <c r="CE627" s="36"/>
      <c r="CF627" s="36"/>
      <c r="CG627" s="36"/>
      <c r="CH627" s="36"/>
      <c r="CI627" s="36"/>
      <c r="CJ627" s="36"/>
      <c r="CK627" s="36"/>
      <c r="CL627" s="36"/>
      <c r="CM627" s="36"/>
      <c r="CN627" s="36"/>
      <c r="CO627" s="36"/>
      <c r="CP627" s="36"/>
      <c r="CQ627" s="36"/>
      <c r="CR627" s="36"/>
      <c r="CS627" s="36"/>
      <c r="CT627" s="36"/>
      <c r="CU627" s="36"/>
      <c r="CV627" s="36"/>
      <c r="CW627" s="36"/>
      <c r="CX627" s="36"/>
      <c r="CY627" s="36"/>
      <c r="CZ627" s="36"/>
      <c r="DA627" s="36"/>
      <c r="DB627" s="36"/>
      <c r="DC627" s="36"/>
      <c r="DD627" s="36"/>
      <c r="DE627" s="36"/>
      <c r="DF627" s="36"/>
      <c r="DG627" s="36"/>
      <c r="DH627" s="36"/>
      <c r="DI627" s="36"/>
      <c r="DJ627" s="36"/>
      <c r="DK627" s="36"/>
      <c r="DL627" s="36"/>
      <c r="DM627" s="36"/>
      <c r="DN627" s="36"/>
      <c r="DO627" s="36"/>
      <c r="DP627" s="36"/>
      <c r="DQ627" s="36"/>
      <c r="DR627" s="36"/>
      <c r="DS627" s="36"/>
    </row>
    <row r="628" spans="1:123" ht="14.45">
      <c r="A628"/>
      <c r="B628"/>
      <c r="C628"/>
      <c r="D628"/>
      <c r="E628"/>
      <c r="F628"/>
      <c r="G628"/>
      <c r="H628"/>
      <c r="I628"/>
      <c r="J628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  <c r="BR628" s="36"/>
      <c r="BS628" s="36"/>
      <c r="BT628" s="36"/>
      <c r="BU628" s="36"/>
      <c r="BV628" s="36"/>
      <c r="BW628" s="36"/>
      <c r="BX628" s="36"/>
      <c r="BY628" s="36"/>
      <c r="BZ628" s="36"/>
      <c r="CA628" s="36"/>
      <c r="CB628" s="36"/>
      <c r="CC628" s="36"/>
      <c r="CD628" s="36"/>
      <c r="CE628" s="36"/>
      <c r="CF628" s="36"/>
      <c r="CG628" s="36"/>
      <c r="CH628" s="36"/>
      <c r="CI628" s="36"/>
      <c r="CJ628" s="36"/>
      <c r="CK628" s="36"/>
      <c r="CL628" s="36"/>
      <c r="CM628" s="36"/>
      <c r="CN628" s="36"/>
      <c r="CO628" s="36"/>
      <c r="CP628" s="36"/>
      <c r="CQ628" s="36"/>
      <c r="CR628" s="36"/>
      <c r="CS628" s="36"/>
      <c r="CT628" s="36"/>
      <c r="CU628" s="36"/>
      <c r="CV628" s="36"/>
      <c r="CW628" s="36"/>
      <c r="CX628" s="36"/>
      <c r="CY628" s="36"/>
      <c r="CZ628" s="36"/>
      <c r="DA628" s="36"/>
      <c r="DB628" s="36"/>
      <c r="DC628" s="36"/>
      <c r="DD628" s="36"/>
      <c r="DE628" s="36"/>
      <c r="DF628" s="36"/>
      <c r="DG628" s="36"/>
      <c r="DH628" s="36"/>
      <c r="DI628" s="36"/>
      <c r="DJ628" s="36"/>
      <c r="DK628" s="36"/>
      <c r="DL628" s="36"/>
      <c r="DM628" s="36"/>
      <c r="DN628" s="36"/>
      <c r="DO628" s="36"/>
      <c r="DP628" s="36"/>
      <c r="DQ628" s="36"/>
      <c r="DR628" s="36"/>
      <c r="DS628" s="36"/>
    </row>
    <row r="629" spans="1:123" ht="14.45">
      <c r="A629"/>
      <c r="B629"/>
      <c r="C629"/>
      <c r="D629"/>
      <c r="E629"/>
      <c r="F629"/>
      <c r="G629"/>
      <c r="H629"/>
      <c r="I629"/>
      <c r="J629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  <c r="BR629" s="36"/>
      <c r="BS629" s="36"/>
      <c r="BT629" s="36"/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CL629" s="36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/>
      <c r="CW629" s="36"/>
      <c r="CX629" s="36"/>
      <c r="CY629" s="36"/>
      <c r="CZ629" s="36"/>
      <c r="DA629" s="36"/>
      <c r="DB629" s="36"/>
      <c r="DC629" s="36"/>
      <c r="DD629" s="36"/>
      <c r="DE629" s="36"/>
      <c r="DF629" s="36"/>
      <c r="DG629" s="36"/>
      <c r="DH629" s="36"/>
      <c r="DI629" s="36"/>
      <c r="DJ629" s="36"/>
      <c r="DK629" s="36"/>
      <c r="DL629" s="36"/>
      <c r="DM629" s="36"/>
      <c r="DN629" s="36"/>
      <c r="DO629" s="36"/>
      <c r="DP629" s="36"/>
      <c r="DQ629" s="36"/>
      <c r="DR629" s="36"/>
      <c r="DS629" s="36"/>
    </row>
    <row r="630" spans="1:123" ht="14.45">
      <c r="A630"/>
      <c r="B630"/>
      <c r="C630"/>
      <c r="D630"/>
      <c r="E630"/>
      <c r="F630"/>
      <c r="G630"/>
      <c r="H630"/>
      <c r="I630"/>
      <c r="J630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  <c r="BR630" s="36"/>
      <c r="BS630" s="36"/>
      <c r="BT630" s="36"/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CL630" s="36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/>
      <c r="CW630" s="36"/>
      <c r="CX630" s="36"/>
      <c r="CY630" s="36"/>
      <c r="CZ630" s="36"/>
      <c r="DA630" s="36"/>
      <c r="DB630" s="36"/>
      <c r="DC630" s="36"/>
      <c r="DD630" s="36"/>
      <c r="DE630" s="36"/>
      <c r="DF630" s="36"/>
      <c r="DG630" s="36"/>
      <c r="DH630" s="36"/>
      <c r="DI630" s="36"/>
      <c r="DJ630" s="36"/>
      <c r="DK630" s="36"/>
      <c r="DL630" s="36"/>
      <c r="DM630" s="36"/>
      <c r="DN630" s="36"/>
      <c r="DO630" s="36"/>
      <c r="DP630" s="36"/>
      <c r="DQ630" s="36"/>
      <c r="DR630" s="36"/>
      <c r="DS630" s="36"/>
    </row>
    <row r="631" spans="1:123" ht="14.45">
      <c r="A631"/>
      <c r="B631"/>
      <c r="C631"/>
      <c r="D631"/>
      <c r="E631"/>
      <c r="F631"/>
      <c r="G631"/>
      <c r="H631"/>
      <c r="I631"/>
      <c r="J631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  <c r="BS631" s="36"/>
      <c r="BT631" s="36"/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/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36"/>
      <c r="DH631" s="36"/>
      <c r="DI631" s="36"/>
      <c r="DJ631" s="36"/>
      <c r="DK631" s="36"/>
      <c r="DL631" s="36"/>
      <c r="DM631" s="36"/>
      <c r="DN631" s="36"/>
      <c r="DO631" s="36"/>
      <c r="DP631" s="36"/>
      <c r="DQ631" s="36"/>
      <c r="DR631" s="36"/>
      <c r="DS631" s="36"/>
    </row>
    <row r="632" spans="1:123" ht="14.45">
      <c r="A632"/>
      <c r="B632"/>
      <c r="C632"/>
      <c r="D632"/>
      <c r="E632"/>
      <c r="F632"/>
      <c r="G632"/>
      <c r="H632"/>
      <c r="I632"/>
      <c r="J632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6"/>
      <c r="CA632" s="36"/>
      <c r="CB632" s="36"/>
      <c r="CC632" s="36"/>
      <c r="CD632" s="36"/>
      <c r="CE632" s="36"/>
      <c r="CF632" s="36"/>
      <c r="CG632" s="36"/>
      <c r="CH632" s="36"/>
      <c r="CI632" s="36"/>
      <c r="CJ632" s="36"/>
      <c r="CK632" s="36"/>
      <c r="CL632" s="36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/>
      <c r="CW632" s="36"/>
      <c r="CX632" s="36"/>
      <c r="CY632" s="36"/>
      <c r="CZ632" s="36"/>
      <c r="DA632" s="36"/>
      <c r="DB632" s="36"/>
      <c r="DC632" s="36"/>
      <c r="DD632" s="36"/>
      <c r="DE632" s="36"/>
      <c r="DF632" s="36"/>
      <c r="DG632" s="36"/>
      <c r="DH632" s="36"/>
      <c r="DI632" s="36"/>
      <c r="DJ632" s="36"/>
      <c r="DK632" s="36"/>
      <c r="DL632" s="36"/>
      <c r="DM632" s="36"/>
      <c r="DN632" s="36"/>
      <c r="DO632" s="36"/>
      <c r="DP632" s="36"/>
      <c r="DQ632" s="36"/>
      <c r="DR632" s="36"/>
      <c r="DS632" s="36"/>
    </row>
    <row r="633" spans="1:123" ht="14.45">
      <c r="A633"/>
      <c r="B633"/>
      <c r="C633"/>
      <c r="D633"/>
      <c r="E633"/>
      <c r="F633"/>
      <c r="G633"/>
      <c r="H633"/>
      <c r="I633"/>
      <c r="J633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  <c r="BS633" s="36"/>
      <c r="BT633" s="36"/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36"/>
      <c r="DH633" s="36"/>
      <c r="DI633" s="36"/>
      <c r="DJ633" s="36"/>
      <c r="DK633" s="36"/>
      <c r="DL633" s="36"/>
      <c r="DM633" s="36"/>
      <c r="DN633" s="36"/>
      <c r="DO633" s="36"/>
      <c r="DP633" s="36"/>
      <c r="DQ633" s="36"/>
      <c r="DR633" s="36"/>
      <c r="DS633" s="36"/>
    </row>
    <row r="634" spans="1:123" ht="14.45">
      <c r="A634"/>
      <c r="B634"/>
      <c r="C634"/>
      <c r="D634"/>
      <c r="E634"/>
      <c r="F634"/>
      <c r="G634"/>
      <c r="H634"/>
      <c r="I634"/>
      <c r="J634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  <c r="BR634" s="36"/>
      <c r="BS634" s="36"/>
      <c r="BT634" s="36"/>
      <c r="BU634" s="36"/>
      <c r="BV634" s="36"/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CL634" s="36"/>
      <c r="CM634" s="36"/>
      <c r="CN634" s="36"/>
      <c r="CO634" s="36"/>
      <c r="CP634" s="36"/>
      <c r="CQ634" s="36"/>
      <c r="CR634" s="36"/>
      <c r="CS634" s="36"/>
      <c r="CT634" s="36"/>
      <c r="CU634" s="36"/>
      <c r="CV634" s="36"/>
      <c r="CW634" s="36"/>
      <c r="CX634" s="36"/>
      <c r="CY634" s="36"/>
      <c r="CZ634" s="36"/>
      <c r="DA634" s="36"/>
      <c r="DB634" s="36"/>
      <c r="DC634" s="36"/>
      <c r="DD634" s="36"/>
      <c r="DE634" s="36"/>
      <c r="DF634" s="36"/>
      <c r="DG634" s="36"/>
      <c r="DH634" s="36"/>
      <c r="DI634" s="36"/>
      <c r="DJ634" s="36"/>
      <c r="DK634" s="36"/>
      <c r="DL634" s="36"/>
      <c r="DM634" s="36"/>
      <c r="DN634" s="36"/>
      <c r="DO634" s="36"/>
      <c r="DP634" s="36"/>
      <c r="DQ634" s="36"/>
      <c r="DR634" s="36"/>
      <c r="DS634" s="36"/>
    </row>
    <row r="635" spans="1:123" ht="14.45">
      <c r="A635"/>
      <c r="B635"/>
      <c r="C635"/>
      <c r="D635"/>
      <c r="E635"/>
      <c r="F635"/>
      <c r="G635"/>
      <c r="H635"/>
      <c r="I635"/>
      <c r="J635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  <c r="BS635" s="36"/>
      <c r="BT635" s="36"/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  <c r="CN635" s="36"/>
      <c r="CO635" s="36"/>
      <c r="CP635" s="36"/>
      <c r="CQ635" s="36"/>
      <c r="CR635" s="36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36"/>
      <c r="DH635" s="36"/>
      <c r="DI635" s="36"/>
      <c r="DJ635" s="36"/>
      <c r="DK635" s="36"/>
      <c r="DL635" s="36"/>
      <c r="DM635" s="36"/>
      <c r="DN635" s="36"/>
      <c r="DO635" s="36"/>
      <c r="DP635" s="36"/>
      <c r="DQ635" s="36"/>
      <c r="DR635" s="36"/>
      <c r="DS635" s="36"/>
    </row>
    <row r="636" spans="1:123" ht="14.45">
      <c r="A636"/>
      <c r="B636"/>
      <c r="C636"/>
      <c r="D636"/>
      <c r="E636"/>
      <c r="F636"/>
      <c r="G636"/>
      <c r="H636"/>
      <c r="I636"/>
      <c r="J6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CL636" s="36"/>
      <c r="CM636" s="36"/>
      <c r="CN636" s="36"/>
      <c r="CO636" s="36"/>
      <c r="CP636" s="36"/>
      <c r="CQ636" s="36"/>
      <c r="CR636" s="36"/>
      <c r="CS636" s="36"/>
      <c r="CT636" s="36"/>
      <c r="CU636" s="36"/>
      <c r="CV636" s="36"/>
      <c r="CW636" s="36"/>
      <c r="CX636" s="36"/>
      <c r="CY636" s="36"/>
      <c r="CZ636" s="36"/>
      <c r="DA636" s="36"/>
      <c r="DB636" s="36"/>
      <c r="DC636" s="36"/>
      <c r="DD636" s="36"/>
      <c r="DE636" s="36"/>
      <c r="DF636" s="36"/>
      <c r="DG636" s="36"/>
      <c r="DH636" s="36"/>
      <c r="DI636" s="36"/>
      <c r="DJ636" s="36"/>
      <c r="DK636" s="36"/>
      <c r="DL636" s="36"/>
      <c r="DM636" s="36"/>
      <c r="DN636" s="36"/>
      <c r="DO636" s="36"/>
      <c r="DP636" s="36"/>
      <c r="DQ636" s="36"/>
      <c r="DR636" s="36"/>
      <c r="DS636" s="36"/>
    </row>
    <row r="637" spans="1:123" ht="14.45">
      <c r="A637"/>
      <c r="B637"/>
      <c r="C637"/>
      <c r="D637"/>
      <c r="E637"/>
      <c r="F637"/>
      <c r="G637"/>
      <c r="H637"/>
      <c r="I637"/>
      <c r="J637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  <c r="BS637" s="36"/>
      <c r="BT637" s="36"/>
      <c r="BU637" s="36"/>
      <c r="BV637" s="36"/>
      <c r="BW637" s="36"/>
      <c r="BX637" s="36"/>
      <c r="BY637" s="36"/>
      <c r="BZ637" s="36"/>
      <c r="CA637" s="36"/>
      <c r="CB637" s="36"/>
      <c r="CC637" s="36"/>
      <c r="CD637" s="36"/>
      <c r="CE637" s="36"/>
      <c r="CF637" s="36"/>
      <c r="CG637" s="36"/>
      <c r="CH637" s="36"/>
      <c r="CI637" s="36"/>
      <c r="CJ637" s="36"/>
      <c r="CK637" s="36"/>
      <c r="CL637" s="36"/>
      <c r="CM637" s="36"/>
      <c r="CN637" s="36"/>
      <c r="CO637" s="36"/>
      <c r="CP637" s="36"/>
      <c r="CQ637" s="36"/>
      <c r="CR637" s="36"/>
      <c r="CS637" s="36"/>
      <c r="CT637" s="36"/>
      <c r="CU637" s="36"/>
      <c r="CV637" s="36"/>
      <c r="CW637" s="36"/>
      <c r="CX637" s="36"/>
      <c r="CY637" s="36"/>
      <c r="CZ637" s="36"/>
      <c r="DA637" s="36"/>
      <c r="DB637" s="36"/>
      <c r="DC637" s="36"/>
      <c r="DD637" s="36"/>
      <c r="DE637" s="36"/>
      <c r="DF637" s="36"/>
      <c r="DG637" s="36"/>
      <c r="DH637" s="36"/>
      <c r="DI637" s="36"/>
      <c r="DJ637" s="36"/>
      <c r="DK637" s="36"/>
      <c r="DL637" s="36"/>
      <c r="DM637" s="36"/>
      <c r="DN637" s="36"/>
      <c r="DO637" s="36"/>
      <c r="DP637" s="36"/>
      <c r="DQ637" s="36"/>
      <c r="DR637" s="36"/>
      <c r="DS637" s="36"/>
    </row>
    <row r="638" spans="1:123" ht="14.45">
      <c r="A638"/>
      <c r="B638"/>
      <c r="C638"/>
      <c r="D638"/>
      <c r="E638"/>
      <c r="F638"/>
      <c r="G638"/>
      <c r="H638"/>
      <c r="I638"/>
      <c r="J638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  <c r="CN638" s="36"/>
      <c r="CO638" s="36"/>
      <c r="CP638" s="36"/>
      <c r="CQ638" s="36"/>
      <c r="CR638" s="36"/>
      <c r="CS638" s="36"/>
      <c r="CT638" s="36"/>
      <c r="CU638" s="36"/>
      <c r="CV638" s="36"/>
      <c r="CW638" s="36"/>
      <c r="CX638" s="36"/>
      <c r="CY638" s="36"/>
      <c r="CZ638" s="36"/>
      <c r="DA638" s="36"/>
      <c r="DB638" s="36"/>
      <c r="DC638" s="36"/>
      <c r="DD638" s="36"/>
      <c r="DE638" s="36"/>
      <c r="DF638" s="36"/>
      <c r="DG638" s="36"/>
      <c r="DH638" s="36"/>
      <c r="DI638" s="36"/>
      <c r="DJ638" s="36"/>
      <c r="DK638" s="36"/>
      <c r="DL638" s="36"/>
      <c r="DM638" s="36"/>
      <c r="DN638" s="36"/>
      <c r="DO638" s="36"/>
      <c r="DP638" s="36"/>
      <c r="DQ638" s="36"/>
      <c r="DR638" s="36"/>
      <c r="DS638" s="36"/>
    </row>
    <row r="639" spans="1:123" ht="14.45">
      <c r="A639"/>
      <c r="B639"/>
      <c r="C639"/>
      <c r="D639"/>
      <c r="E639"/>
      <c r="F639"/>
      <c r="G639"/>
      <c r="H639"/>
      <c r="I639"/>
      <c r="J639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  <c r="BR639" s="36"/>
      <c r="BS639" s="36"/>
      <c r="BT639" s="36"/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CL639" s="36"/>
      <c r="CM639" s="36"/>
      <c r="CN639" s="36"/>
      <c r="CO639" s="36"/>
      <c r="CP639" s="36"/>
      <c r="CQ639" s="36"/>
      <c r="CR639" s="36"/>
      <c r="CS639" s="36"/>
      <c r="CT639" s="36"/>
      <c r="CU639" s="36"/>
      <c r="CV639" s="36"/>
      <c r="CW639" s="36"/>
      <c r="CX639" s="36"/>
      <c r="CY639" s="36"/>
      <c r="CZ639" s="36"/>
      <c r="DA639" s="36"/>
      <c r="DB639" s="36"/>
      <c r="DC639" s="36"/>
      <c r="DD639" s="36"/>
      <c r="DE639" s="36"/>
      <c r="DF639" s="36"/>
      <c r="DG639" s="36"/>
      <c r="DH639" s="36"/>
      <c r="DI639" s="36"/>
      <c r="DJ639" s="36"/>
      <c r="DK639" s="36"/>
      <c r="DL639" s="36"/>
      <c r="DM639" s="36"/>
      <c r="DN639" s="36"/>
      <c r="DO639" s="36"/>
      <c r="DP639" s="36"/>
      <c r="DQ639" s="36"/>
      <c r="DR639" s="36"/>
      <c r="DS639" s="36"/>
    </row>
    <row r="640" spans="1:123" ht="14.45">
      <c r="A640"/>
      <c r="B640"/>
      <c r="C640"/>
      <c r="D640"/>
      <c r="E640"/>
      <c r="F640"/>
      <c r="G640"/>
      <c r="H640"/>
      <c r="I640"/>
      <c r="J640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  <c r="BR640" s="36"/>
      <c r="BS640" s="36"/>
      <c r="BT640" s="36"/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CL640" s="36"/>
      <c r="CM640" s="36"/>
      <c r="CN640" s="36"/>
      <c r="CO640" s="36"/>
      <c r="CP640" s="36"/>
      <c r="CQ640" s="36"/>
      <c r="CR640" s="36"/>
      <c r="CS640" s="36"/>
      <c r="CT640" s="36"/>
      <c r="CU640" s="36"/>
      <c r="CV640" s="36"/>
      <c r="CW640" s="36"/>
      <c r="CX640" s="36"/>
      <c r="CY640" s="36"/>
      <c r="CZ640" s="36"/>
      <c r="DA640" s="36"/>
      <c r="DB640" s="36"/>
      <c r="DC640" s="36"/>
      <c r="DD640" s="36"/>
      <c r="DE640" s="36"/>
      <c r="DF640" s="36"/>
      <c r="DG640" s="36"/>
      <c r="DH640" s="36"/>
      <c r="DI640" s="36"/>
      <c r="DJ640" s="36"/>
      <c r="DK640" s="36"/>
      <c r="DL640" s="36"/>
      <c r="DM640" s="36"/>
      <c r="DN640" s="36"/>
      <c r="DO640" s="36"/>
      <c r="DP640" s="36"/>
      <c r="DQ640" s="36"/>
      <c r="DR640" s="36"/>
      <c r="DS640" s="36"/>
    </row>
    <row r="641" spans="1:123" ht="14.45">
      <c r="A641"/>
      <c r="B641"/>
      <c r="C641"/>
      <c r="D641"/>
      <c r="E641"/>
      <c r="F641"/>
      <c r="G641"/>
      <c r="H641"/>
      <c r="I641"/>
      <c r="J641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  <c r="BS641" s="36"/>
      <c r="BT641" s="36"/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/>
      <c r="CN641" s="36"/>
      <c r="CO641" s="36"/>
      <c r="CP641" s="36"/>
      <c r="CQ641" s="36"/>
      <c r="CR641" s="36"/>
      <c r="CS641" s="36"/>
      <c r="CT641" s="36"/>
      <c r="CU641" s="36"/>
      <c r="CV641" s="36"/>
      <c r="CW641" s="36"/>
      <c r="CX641" s="36"/>
      <c r="CY641" s="36"/>
      <c r="CZ641" s="36"/>
      <c r="DA641" s="36"/>
      <c r="DB641" s="36"/>
      <c r="DC641" s="36"/>
      <c r="DD641" s="36"/>
      <c r="DE641" s="36"/>
      <c r="DF641" s="36"/>
      <c r="DG641" s="36"/>
      <c r="DH641" s="36"/>
      <c r="DI641" s="36"/>
      <c r="DJ641" s="36"/>
      <c r="DK641" s="36"/>
      <c r="DL641" s="36"/>
      <c r="DM641" s="36"/>
      <c r="DN641" s="36"/>
      <c r="DO641" s="36"/>
      <c r="DP641" s="36"/>
      <c r="DQ641" s="36"/>
      <c r="DR641" s="36"/>
      <c r="DS641" s="36"/>
    </row>
    <row r="642" spans="1:123" ht="14.45">
      <c r="A642"/>
      <c r="B642"/>
      <c r="C642"/>
      <c r="D642"/>
      <c r="E642"/>
      <c r="F642"/>
      <c r="G642"/>
      <c r="H642"/>
      <c r="I642"/>
      <c r="J642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  <c r="BR642" s="36"/>
      <c r="BS642" s="36"/>
      <c r="BT642" s="36"/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CL642" s="36"/>
      <c r="CM642" s="36"/>
      <c r="CN642" s="36"/>
      <c r="CO642" s="36"/>
      <c r="CP642" s="36"/>
      <c r="CQ642" s="36"/>
      <c r="CR642" s="36"/>
      <c r="CS642" s="36"/>
      <c r="CT642" s="36"/>
      <c r="CU642" s="36"/>
      <c r="CV642" s="36"/>
      <c r="CW642" s="36"/>
      <c r="CX642" s="36"/>
      <c r="CY642" s="36"/>
      <c r="CZ642" s="36"/>
      <c r="DA642" s="36"/>
      <c r="DB642" s="36"/>
      <c r="DC642" s="36"/>
      <c r="DD642" s="36"/>
      <c r="DE642" s="36"/>
      <c r="DF642" s="36"/>
      <c r="DG642" s="36"/>
      <c r="DH642" s="36"/>
      <c r="DI642" s="36"/>
      <c r="DJ642" s="36"/>
      <c r="DK642" s="36"/>
      <c r="DL642" s="36"/>
      <c r="DM642" s="36"/>
      <c r="DN642" s="36"/>
      <c r="DO642" s="36"/>
      <c r="DP642" s="36"/>
      <c r="DQ642" s="36"/>
      <c r="DR642" s="36"/>
      <c r="DS642" s="36"/>
    </row>
    <row r="643" spans="1:123" ht="14.45">
      <c r="A643"/>
      <c r="B643"/>
      <c r="C643"/>
      <c r="D643"/>
      <c r="E643"/>
      <c r="F643"/>
      <c r="G643"/>
      <c r="H643"/>
      <c r="I643"/>
      <c r="J643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  <c r="BR643" s="36"/>
      <c r="BS643" s="36"/>
      <c r="BT643" s="36"/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CL643" s="36"/>
      <c r="CM643" s="36"/>
      <c r="CN643" s="36"/>
      <c r="CO643" s="36"/>
      <c r="CP643" s="36"/>
      <c r="CQ643" s="36"/>
      <c r="CR643" s="36"/>
      <c r="CS643" s="36"/>
      <c r="CT643" s="36"/>
      <c r="CU643" s="36"/>
      <c r="CV643" s="36"/>
      <c r="CW643" s="36"/>
      <c r="CX643" s="36"/>
      <c r="CY643" s="36"/>
      <c r="CZ643" s="36"/>
      <c r="DA643" s="36"/>
      <c r="DB643" s="36"/>
      <c r="DC643" s="36"/>
      <c r="DD643" s="36"/>
      <c r="DE643" s="36"/>
      <c r="DF643" s="36"/>
      <c r="DG643" s="36"/>
      <c r="DH643" s="36"/>
      <c r="DI643" s="36"/>
      <c r="DJ643" s="36"/>
      <c r="DK643" s="36"/>
      <c r="DL643" s="36"/>
      <c r="DM643" s="36"/>
      <c r="DN643" s="36"/>
      <c r="DO643" s="36"/>
      <c r="DP643" s="36"/>
      <c r="DQ643" s="36"/>
      <c r="DR643" s="36"/>
      <c r="DS643" s="36"/>
    </row>
    <row r="644" spans="1:123" ht="14.45">
      <c r="A644"/>
      <c r="B644"/>
      <c r="C644"/>
      <c r="D644"/>
      <c r="E644"/>
      <c r="F644"/>
      <c r="G644"/>
      <c r="H644"/>
      <c r="I644"/>
      <c r="J644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  <c r="BR644" s="36"/>
      <c r="BS644" s="36"/>
      <c r="BT644" s="36"/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CL644" s="36"/>
      <c r="CM644" s="36"/>
      <c r="CN644" s="36"/>
      <c r="CO644" s="36"/>
      <c r="CP644" s="36"/>
      <c r="CQ644" s="36"/>
      <c r="CR644" s="36"/>
      <c r="CS644" s="36"/>
      <c r="CT644" s="36"/>
      <c r="CU644" s="36"/>
      <c r="CV644" s="36"/>
      <c r="CW644" s="36"/>
      <c r="CX644" s="36"/>
      <c r="CY644" s="36"/>
      <c r="CZ644" s="36"/>
      <c r="DA644" s="36"/>
      <c r="DB644" s="36"/>
      <c r="DC644" s="36"/>
      <c r="DD644" s="36"/>
      <c r="DE644" s="36"/>
      <c r="DF644" s="36"/>
      <c r="DG644" s="36"/>
      <c r="DH644" s="36"/>
      <c r="DI644" s="36"/>
      <c r="DJ644" s="36"/>
      <c r="DK644" s="36"/>
      <c r="DL644" s="36"/>
      <c r="DM644" s="36"/>
      <c r="DN644" s="36"/>
      <c r="DO644" s="36"/>
      <c r="DP644" s="36"/>
      <c r="DQ644" s="36"/>
      <c r="DR644" s="36"/>
      <c r="DS644" s="36"/>
    </row>
    <row r="645" spans="1:123" ht="14.45">
      <c r="A645"/>
      <c r="B645"/>
      <c r="C645"/>
      <c r="D645"/>
      <c r="E645"/>
      <c r="F645"/>
      <c r="G645"/>
      <c r="H645"/>
      <c r="I645"/>
      <c r="J645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  <c r="BR645" s="36"/>
      <c r="BS645" s="36"/>
      <c r="BT645" s="36"/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CL645" s="36"/>
      <c r="CM645" s="36"/>
      <c r="CN645" s="36"/>
      <c r="CO645" s="36"/>
      <c r="CP645" s="36"/>
      <c r="CQ645" s="36"/>
      <c r="CR645" s="36"/>
      <c r="CS645" s="36"/>
      <c r="CT645" s="36"/>
      <c r="CU645" s="36"/>
      <c r="CV645" s="36"/>
      <c r="CW645" s="36"/>
      <c r="CX645" s="36"/>
      <c r="CY645" s="36"/>
      <c r="CZ645" s="36"/>
      <c r="DA645" s="36"/>
      <c r="DB645" s="36"/>
      <c r="DC645" s="36"/>
      <c r="DD645" s="36"/>
      <c r="DE645" s="36"/>
      <c r="DF645" s="36"/>
      <c r="DG645" s="36"/>
      <c r="DH645" s="36"/>
      <c r="DI645" s="36"/>
      <c r="DJ645" s="36"/>
      <c r="DK645" s="36"/>
      <c r="DL645" s="36"/>
      <c r="DM645" s="36"/>
      <c r="DN645" s="36"/>
      <c r="DO645" s="36"/>
      <c r="DP645" s="36"/>
      <c r="DQ645" s="36"/>
      <c r="DR645" s="36"/>
      <c r="DS645" s="36"/>
    </row>
    <row r="646" spans="1:123" ht="14.45">
      <c r="A646"/>
      <c r="B646"/>
      <c r="C646"/>
      <c r="D646"/>
      <c r="E646"/>
      <c r="F646"/>
      <c r="G646"/>
      <c r="H646"/>
      <c r="I646"/>
      <c r="J64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  <c r="BR646" s="36"/>
      <c r="BS646" s="36"/>
      <c r="BT646" s="36"/>
      <c r="BU646" s="36"/>
      <c r="BV646" s="36"/>
      <c r="BW646" s="36"/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CL646" s="36"/>
      <c r="CM646" s="36"/>
      <c r="CN646" s="36"/>
      <c r="CO646" s="36"/>
      <c r="CP646" s="36"/>
      <c r="CQ646" s="36"/>
      <c r="CR646" s="36"/>
      <c r="CS646" s="36"/>
      <c r="CT646" s="36"/>
      <c r="CU646" s="36"/>
      <c r="CV646" s="36"/>
      <c r="CW646" s="36"/>
      <c r="CX646" s="36"/>
      <c r="CY646" s="36"/>
      <c r="CZ646" s="36"/>
      <c r="DA646" s="36"/>
      <c r="DB646" s="36"/>
      <c r="DC646" s="36"/>
      <c r="DD646" s="36"/>
      <c r="DE646" s="36"/>
      <c r="DF646" s="36"/>
      <c r="DG646" s="36"/>
      <c r="DH646" s="36"/>
      <c r="DI646" s="36"/>
      <c r="DJ646" s="36"/>
      <c r="DK646" s="36"/>
      <c r="DL646" s="36"/>
      <c r="DM646" s="36"/>
      <c r="DN646" s="36"/>
      <c r="DO646" s="36"/>
      <c r="DP646" s="36"/>
      <c r="DQ646" s="36"/>
      <c r="DR646" s="36"/>
      <c r="DS646" s="36"/>
    </row>
    <row r="647" spans="1:123" ht="14.45">
      <c r="A647"/>
      <c r="B647"/>
      <c r="C647"/>
      <c r="D647"/>
      <c r="E647"/>
      <c r="F647"/>
      <c r="G647"/>
      <c r="H647"/>
      <c r="I647"/>
      <c r="J647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  <c r="BR647" s="36"/>
      <c r="BS647" s="36"/>
      <c r="BT647" s="36"/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  <c r="CN647" s="36"/>
      <c r="CO647" s="36"/>
      <c r="CP647" s="36"/>
      <c r="CQ647" s="36"/>
      <c r="CR647" s="36"/>
      <c r="CS647" s="36"/>
      <c r="CT647" s="36"/>
      <c r="CU647" s="36"/>
      <c r="CV647" s="36"/>
      <c r="CW647" s="36"/>
      <c r="CX647" s="36"/>
      <c r="CY647" s="36"/>
      <c r="CZ647" s="36"/>
      <c r="DA647" s="36"/>
      <c r="DB647" s="36"/>
      <c r="DC647" s="36"/>
      <c r="DD647" s="36"/>
      <c r="DE647" s="36"/>
      <c r="DF647" s="36"/>
      <c r="DG647" s="36"/>
      <c r="DH647" s="36"/>
      <c r="DI647" s="36"/>
      <c r="DJ647" s="36"/>
      <c r="DK647" s="36"/>
      <c r="DL647" s="36"/>
      <c r="DM647" s="36"/>
      <c r="DN647" s="36"/>
      <c r="DO647" s="36"/>
      <c r="DP647" s="36"/>
      <c r="DQ647" s="36"/>
      <c r="DR647" s="36"/>
      <c r="DS647" s="36"/>
    </row>
    <row r="648" spans="1:123" ht="14.45">
      <c r="A648"/>
      <c r="B648"/>
      <c r="C648"/>
      <c r="D648"/>
      <c r="E648"/>
      <c r="F648"/>
      <c r="G648"/>
      <c r="H648"/>
      <c r="I648"/>
      <c r="J648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  <c r="BR648" s="36"/>
      <c r="BS648" s="36"/>
      <c r="BT648" s="36"/>
      <c r="BU648" s="36"/>
      <c r="BV648" s="36"/>
      <c r="BW648" s="36"/>
      <c r="BX648" s="36"/>
      <c r="BY648" s="36"/>
      <c r="BZ648" s="36"/>
      <c r="CA648" s="36"/>
      <c r="CB648" s="36"/>
      <c r="CC648" s="36"/>
      <c r="CD648" s="36"/>
      <c r="CE648" s="36"/>
      <c r="CF648" s="36"/>
      <c r="CG648" s="36"/>
      <c r="CH648" s="36"/>
      <c r="CI648" s="36"/>
      <c r="CJ648" s="36"/>
      <c r="CK648" s="36"/>
      <c r="CL648" s="36"/>
      <c r="CM648" s="36"/>
      <c r="CN648" s="36"/>
      <c r="CO648" s="36"/>
      <c r="CP648" s="36"/>
      <c r="CQ648" s="36"/>
      <c r="CR648" s="36"/>
      <c r="CS648" s="36"/>
      <c r="CT648" s="36"/>
      <c r="CU648" s="36"/>
      <c r="CV648" s="36"/>
      <c r="CW648" s="36"/>
      <c r="CX648" s="36"/>
      <c r="CY648" s="36"/>
      <c r="CZ648" s="36"/>
      <c r="DA648" s="36"/>
      <c r="DB648" s="36"/>
      <c r="DC648" s="36"/>
      <c r="DD648" s="36"/>
      <c r="DE648" s="36"/>
      <c r="DF648" s="36"/>
      <c r="DG648" s="36"/>
      <c r="DH648" s="36"/>
      <c r="DI648" s="36"/>
      <c r="DJ648" s="36"/>
      <c r="DK648" s="36"/>
      <c r="DL648" s="36"/>
      <c r="DM648" s="36"/>
      <c r="DN648" s="36"/>
      <c r="DO648" s="36"/>
      <c r="DP648" s="36"/>
      <c r="DQ648" s="36"/>
      <c r="DR648" s="36"/>
      <c r="DS648" s="36"/>
    </row>
    <row r="649" spans="1:123" ht="14.45">
      <c r="A649"/>
      <c r="B649"/>
      <c r="C649"/>
      <c r="D649"/>
      <c r="E649"/>
      <c r="F649"/>
      <c r="G649"/>
      <c r="H649"/>
      <c r="I649"/>
      <c r="J649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  <c r="BR649" s="36"/>
      <c r="BS649" s="36"/>
      <c r="BT649" s="36"/>
      <c r="BU649" s="36"/>
      <c r="BV649" s="36"/>
      <c r="BW649" s="36"/>
      <c r="BX649" s="36"/>
      <c r="BY649" s="36"/>
      <c r="BZ649" s="36"/>
      <c r="CA649" s="36"/>
      <c r="CB649" s="36"/>
      <c r="CC649" s="36"/>
      <c r="CD649" s="36"/>
      <c r="CE649" s="36"/>
      <c r="CF649" s="36"/>
      <c r="CG649" s="36"/>
      <c r="CH649" s="36"/>
      <c r="CI649" s="36"/>
      <c r="CJ649" s="36"/>
      <c r="CK649" s="36"/>
      <c r="CL649" s="36"/>
      <c r="CM649" s="36"/>
      <c r="CN649" s="36"/>
      <c r="CO649" s="36"/>
      <c r="CP649" s="36"/>
      <c r="CQ649" s="36"/>
      <c r="CR649" s="36"/>
      <c r="CS649" s="36"/>
      <c r="CT649" s="36"/>
      <c r="CU649" s="36"/>
      <c r="CV649" s="36"/>
      <c r="CW649" s="36"/>
      <c r="CX649" s="36"/>
      <c r="CY649" s="36"/>
      <c r="CZ649" s="36"/>
      <c r="DA649" s="36"/>
      <c r="DB649" s="36"/>
      <c r="DC649" s="36"/>
      <c r="DD649" s="36"/>
      <c r="DE649" s="36"/>
      <c r="DF649" s="36"/>
      <c r="DG649" s="36"/>
      <c r="DH649" s="36"/>
      <c r="DI649" s="36"/>
      <c r="DJ649" s="36"/>
      <c r="DK649" s="36"/>
      <c r="DL649" s="36"/>
      <c r="DM649" s="36"/>
      <c r="DN649" s="36"/>
      <c r="DO649" s="36"/>
      <c r="DP649" s="36"/>
      <c r="DQ649" s="36"/>
      <c r="DR649" s="36"/>
      <c r="DS649" s="36"/>
    </row>
    <row r="650" spans="1:123" ht="14.45">
      <c r="A650"/>
      <c r="B650"/>
      <c r="C650"/>
      <c r="D650"/>
      <c r="E650"/>
      <c r="F650"/>
      <c r="G650"/>
      <c r="H650"/>
      <c r="I650"/>
      <c r="J650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  <c r="BR650" s="36"/>
      <c r="BS650" s="36"/>
      <c r="BT650" s="36"/>
      <c r="BU650" s="36"/>
      <c r="BV650" s="36"/>
      <c r="BW650" s="36"/>
      <c r="BX650" s="36"/>
      <c r="BY650" s="36"/>
      <c r="BZ650" s="36"/>
      <c r="CA650" s="36"/>
      <c r="CB650" s="36"/>
      <c r="CC650" s="36"/>
      <c r="CD650" s="36"/>
      <c r="CE650" s="36"/>
      <c r="CF650" s="36"/>
      <c r="CG650" s="36"/>
      <c r="CH650" s="36"/>
      <c r="CI650" s="36"/>
      <c r="CJ650" s="36"/>
      <c r="CK650" s="36"/>
      <c r="CL650" s="36"/>
      <c r="CM650" s="36"/>
      <c r="CN650" s="36"/>
      <c r="CO650" s="36"/>
      <c r="CP650" s="36"/>
      <c r="CQ650" s="36"/>
      <c r="CR650" s="36"/>
      <c r="CS650" s="36"/>
      <c r="CT650" s="36"/>
      <c r="CU650" s="36"/>
      <c r="CV650" s="36"/>
      <c r="CW650" s="36"/>
      <c r="CX650" s="36"/>
      <c r="CY650" s="36"/>
      <c r="CZ650" s="36"/>
      <c r="DA650" s="36"/>
      <c r="DB650" s="36"/>
      <c r="DC650" s="36"/>
      <c r="DD650" s="36"/>
      <c r="DE650" s="36"/>
      <c r="DF650" s="36"/>
      <c r="DG650" s="36"/>
      <c r="DH650" s="36"/>
      <c r="DI650" s="36"/>
      <c r="DJ650" s="36"/>
      <c r="DK650" s="36"/>
      <c r="DL650" s="36"/>
      <c r="DM650" s="36"/>
      <c r="DN650" s="36"/>
      <c r="DO650" s="36"/>
      <c r="DP650" s="36"/>
      <c r="DQ650" s="36"/>
      <c r="DR650" s="36"/>
      <c r="DS650" s="36"/>
    </row>
    <row r="651" spans="1:123" ht="14.45">
      <c r="A651"/>
      <c r="B651"/>
      <c r="C651"/>
      <c r="D651"/>
      <c r="E651"/>
      <c r="F651"/>
      <c r="G651"/>
      <c r="H651"/>
      <c r="I651"/>
      <c r="J651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  <c r="BR651" s="36"/>
      <c r="BS651" s="36"/>
      <c r="BT651" s="36"/>
      <c r="BU651" s="36"/>
      <c r="BV651" s="36"/>
      <c r="BW651" s="36"/>
      <c r="BX651" s="36"/>
      <c r="BY651" s="36"/>
      <c r="BZ651" s="36"/>
      <c r="CA651" s="36"/>
      <c r="CB651" s="36"/>
      <c r="CC651" s="36"/>
      <c r="CD651" s="36"/>
      <c r="CE651" s="36"/>
      <c r="CF651" s="36"/>
      <c r="CG651" s="36"/>
      <c r="CH651" s="36"/>
      <c r="CI651" s="36"/>
      <c r="CJ651" s="36"/>
      <c r="CK651" s="36"/>
      <c r="CL651" s="36"/>
      <c r="CM651" s="36"/>
      <c r="CN651" s="36"/>
      <c r="CO651" s="36"/>
      <c r="CP651" s="36"/>
      <c r="CQ651" s="36"/>
      <c r="CR651" s="36"/>
      <c r="CS651" s="36"/>
      <c r="CT651" s="36"/>
      <c r="CU651" s="36"/>
      <c r="CV651" s="36"/>
      <c r="CW651" s="36"/>
      <c r="CX651" s="36"/>
      <c r="CY651" s="36"/>
      <c r="CZ651" s="36"/>
      <c r="DA651" s="36"/>
      <c r="DB651" s="36"/>
      <c r="DC651" s="36"/>
      <c r="DD651" s="36"/>
      <c r="DE651" s="36"/>
      <c r="DF651" s="36"/>
      <c r="DG651" s="36"/>
      <c r="DH651" s="36"/>
      <c r="DI651" s="36"/>
      <c r="DJ651" s="36"/>
      <c r="DK651" s="36"/>
      <c r="DL651" s="36"/>
      <c r="DM651" s="36"/>
      <c r="DN651" s="36"/>
      <c r="DO651" s="36"/>
      <c r="DP651" s="36"/>
      <c r="DQ651" s="36"/>
      <c r="DR651" s="36"/>
      <c r="DS651" s="36"/>
    </row>
    <row r="652" spans="1:123" ht="14.45">
      <c r="A652"/>
      <c r="B652"/>
      <c r="C652"/>
      <c r="D652"/>
      <c r="E652"/>
      <c r="F652"/>
      <c r="G652"/>
      <c r="H652"/>
      <c r="I652"/>
      <c r="J652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  <c r="BR652" s="36"/>
      <c r="BS652" s="36"/>
      <c r="BT652" s="36"/>
      <c r="BU652" s="36"/>
      <c r="BV652" s="36"/>
      <c r="BW652" s="36"/>
      <c r="BX652" s="36"/>
      <c r="BY652" s="36"/>
      <c r="BZ652" s="36"/>
      <c r="CA652" s="36"/>
      <c r="CB652" s="36"/>
      <c r="CC652" s="36"/>
      <c r="CD652" s="36"/>
      <c r="CE652" s="36"/>
      <c r="CF652" s="36"/>
      <c r="CG652" s="36"/>
      <c r="CH652" s="36"/>
      <c r="CI652" s="36"/>
      <c r="CJ652" s="36"/>
      <c r="CK652" s="36"/>
      <c r="CL652" s="36"/>
      <c r="CM652" s="36"/>
      <c r="CN652" s="36"/>
      <c r="CO652" s="36"/>
      <c r="CP652" s="36"/>
      <c r="CQ652" s="36"/>
      <c r="CR652" s="36"/>
      <c r="CS652" s="36"/>
      <c r="CT652" s="36"/>
      <c r="CU652" s="36"/>
      <c r="CV652" s="36"/>
      <c r="CW652" s="36"/>
      <c r="CX652" s="36"/>
      <c r="CY652" s="36"/>
      <c r="CZ652" s="36"/>
      <c r="DA652" s="36"/>
      <c r="DB652" s="36"/>
      <c r="DC652" s="36"/>
      <c r="DD652" s="36"/>
      <c r="DE652" s="36"/>
      <c r="DF652" s="36"/>
      <c r="DG652" s="36"/>
      <c r="DH652" s="36"/>
      <c r="DI652" s="36"/>
      <c r="DJ652" s="36"/>
      <c r="DK652" s="36"/>
      <c r="DL652" s="36"/>
      <c r="DM652" s="36"/>
      <c r="DN652" s="36"/>
      <c r="DO652" s="36"/>
      <c r="DP652" s="36"/>
      <c r="DQ652" s="36"/>
      <c r="DR652" s="36"/>
      <c r="DS652" s="36"/>
    </row>
    <row r="653" spans="1:123" ht="14.45">
      <c r="A653"/>
      <c r="B653"/>
      <c r="C653"/>
      <c r="D653"/>
      <c r="E653"/>
      <c r="F653"/>
      <c r="G653"/>
      <c r="H653"/>
      <c r="I653"/>
      <c r="J653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  <c r="BR653" s="36"/>
      <c r="BS653" s="36"/>
      <c r="BT653" s="36"/>
      <c r="BU653" s="36"/>
      <c r="BV653" s="36"/>
      <c r="BW653" s="36"/>
      <c r="BX653" s="36"/>
      <c r="BY653" s="36"/>
      <c r="BZ653" s="36"/>
      <c r="CA653" s="36"/>
      <c r="CB653" s="36"/>
      <c r="CC653" s="36"/>
      <c r="CD653" s="36"/>
      <c r="CE653" s="36"/>
      <c r="CF653" s="36"/>
      <c r="CG653" s="36"/>
      <c r="CH653" s="36"/>
      <c r="CI653" s="36"/>
      <c r="CJ653" s="36"/>
      <c r="CK653" s="36"/>
      <c r="CL653" s="36"/>
      <c r="CM653" s="36"/>
      <c r="CN653" s="36"/>
      <c r="CO653" s="36"/>
      <c r="CP653" s="36"/>
      <c r="CQ653" s="36"/>
      <c r="CR653" s="36"/>
      <c r="CS653" s="36"/>
      <c r="CT653" s="36"/>
      <c r="CU653" s="36"/>
      <c r="CV653" s="36"/>
      <c r="CW653" s="36"/>
      <c r="CX653" s="36"/>
      <c r="CY653" s="36"/>
      <c r="CZ653" s="36"/>
      <c r="DA653" s="36"/>
      <c r="DB653" s="36"/>
      <c r="DC653" s="36"/>
      <c r="DD653" s="36"/>
      <c r="DE653" s="36"/>
      <c r="DF653" s="36"/>
      <c r="DG653" s="36"/>
      <c r="DH653" s="36"/>
      <c r="DI653" s="36"/>
      <c r="DJ653" s="36"/>
      <c r="DK653" s="36"/>
      <c r="DL653" s="36"/>
      <c r="DM653" s="36"/>
      <c r="DN653" s="36"/>
      <c r="DO653" s="36"/>
      <c r="DP653" s="36"/>
      <c r="DQ653" s="36"/>
      <c r="DR653" s="36"/>
      <c r="DS653" s="36"/>
    </row>
    <row r="654" spans="1:123" ht="14.45">
      <c r="A654"/>
      <c r="B654"/>
      <c r="C654"/>
      <c r="D654"/>
      <c r="E654"/>
      <c r="F654"/>
      <c r="G654"/>
      <c r="H654"/>
      <c r="I654"/>
      <c r="J654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  <c r="BR654" s="36"/>
      <c r="BS654" s="36"/>
      <c r="BT654" s="36"/>
      <c r="BU654" s="36"/>
      <c r="BV654" s="36"/>
      <c r="BW654" s="36"/>
      <c r="BX654" s="36"/>
      <c r="BY654" s="36"/>
      <c r="BZ654" s="36"/>
      <c r="CA654" s="36"/>
      <c r="CB654" s="36"/>
      <c r="CC654" s="36"/>
      <c r="CD654" s="36"/>
      <c r="CE654" s="36"/>
      <c r="CF654" s="36"/>
      <c r="CG654" s="36"/>
      <c r="CH654" s="36"/>
      <c r="CI654" s="36"/>
      <c r="CJ654" s="36"/>
      <c r="CK654" s="36"/>
      <c r="CL654" s="36"/>
      <c r="CM654" s="36"/>
      <c r="CN654" s="36"/>
      <c r="CO654" s="36"/>
      <c r="CP654" s="36"/>
      <c r="CQ654" s="36"/>
      <c r="CR654" s="36"/>
      <c r="CS654" s="36"/>
      <c r="CT654" s="36"/>
      <c r="CU654" s="36"/>
      <c r="CV654" s="36"/>
      <c r="CW654" s="36"/>
      <c r="CX654" s="36"/>
      <c r="CY654" s="36"/>
      <c r="CZ654" s="36"/>
      <c r="DA654" s="36"/>
      <c r="DB654" s="36"/>
      <c r="DC654" s="36"/>
      <c r="DD654" s="36"/>
      <c r="DE654" s="36"/>
      <c r="DF654" s="36"/>
      <c r="DG654" s="36"/>
      <c r="DH654" s="36"/>
      <c r="DI654" s="36"/>
      <c r="DJ654" s="36"/>
      <c r="DK654" s="36"/>
      <c r="DL654" s="36"/>
      <c r="DM654" s="36"/>
      <c r="DN654" s="36"/>
      <c r="DO654" s="36"/>
      <c r="DP654" s="36"/>
      <c r="DQ654" s="36"/>
      <c r="DR654" s="36"/>
      <c r="DS654" s="36"/>
    </row>
    <row r="655" spans="1:123" ht="14.45">
      <c r="A655"/>
      <c r="B655"/>
      <c r="C655"/>
      <c r="D655"/>
      <c r="E655"/>
      <c r="F655"/>
      <c r="G655"/>
      <c r="H655"/>
      <c r="I655"/>
      <c r="J655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  <c r="BR655" s="36"/>
      <c r="BS655" s="36"/>
      <c r="BT655" s="36"/>
      <c r="BU655" s="36"/>
      <c r="BV655" s="36"/>
      <c r="BW655" s="36"/>
      <c r="BX655" s="36"/>
      <c r="BY655" s="36"/>
      <c r="BZ655" s="36"/>
      <c r="CA655" s="36"/>
      <c r="CB655" s="36"/>
      <c r="CC655" s="36"/>
      <c r="CD655" s="36"/>
      <c r="CE655" s="36"/>
      <c r="CF655" s="36"/>
      <c r="CG655" s="36"/>
      <c r="CH655" s="36"/>
      <c r="CI655" s="36"/>
      <c r="CJ655" s="36"/>
      <c r="CK655" s="36"/>
      <c r="CL655" s="36"/>
      <c r="CM655" s="36"/>
      <c r="CN655" s="36"/>
      <c r="CO655" s="36"/>
      <c r="CP655" s="36"/>
      <c r="CQ655" s="36"/>
      <c r="CR655" s="36"/>
      <c r="CS655" s="36"/>
      <c r="CT655" s="36"/>
      <c r="CU655" s="36"/>
      <c r="CV655" s="36"/>
      <c r="CW655" s="36"/>
      <c r="CX655" s="36"/>
      <c r="CY655" s="36"/>
      <c r="CZ655" s="36"/>
      <c r="DA655" s="36"/>
      <c r="DB655" s="36"/>
      <c r="DC655" s="36"/>
      <c r="DD655" s="36"/>
      <c r="DE655" s="36"/>
      <c r="DF655" s="36"/>
      <c r="DG655" s="36"/>
      <c r="DH655" s="36"/>
      <c r="DI655" s="36"/>
      <c r="DJ655" s="36"/>
      <c r="DK655" s="36"/>
      <c r="DL655" s="36"/>
      <c r="DM655" s="36"/>
      <c r="DN655" s="36"/>
      <c r="DO655" s="36"/>
      <c r="DP655" s="36"/>
      <c r="DQ655" s="36"/>
      <c r="DR655" s="36"/>
      <c r="DS655" s="36"/>
    </row>
    <row r="656" spans="1:123" ht="14.45">
      <c r="A656"/>
      <c r="B656"/>
      <c r="C656"/>
      <c r="D656"/>
      <c r="E656"/>
      <c r="F656"/>
      <c r="G656"/>
      <c r="H656"/>
      <c r="I656"/>
      <c r="J65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  <c r="BR656" s="36"/>
      <c r="BS656" s="36"/>
      <c r="BT656" s="36"/>
      <c r="BU656" s="36"/>
      <c r="BV656" s="36"/>
      <c r="BW656" s="36"/>
      <c r="BX656" s="36"/>
      <c r="BY656" s="36"/>
      <c r="BZ656" s="36"/>
      <c r="CA656" s="36"/>
      <c r="CB656" s="36"/>
      <c r="CC656" s="36"/>
      <c r="CD656" s="36"/>
      <c r="CE656" s="36"/>
      <c r="CF656" s="36"/>
      <c r="CG656" s="36"/>
      <c r="CH656" s="36"/>
      <c r="CI656" s="36"/>
      <c r="CJ656" s="36"/>
      <c r="CK656" s="36"/>
      <c r="CL656" s="36"/>
      <c r="CM656" s="36"/>
      <c r="CN656" s="36"/>
      <c r="CO656" s="36"/>
      <c r="CP656" s="36"/>
      <c r="CQ656" s="36"/>
      <c r="CR656" s="36"/>
      <c r="CS656" s="36"/>
      <c r="CT656" s="36"/>
      <c r="CU656" s="36"/>
      <c r="CV656" s="36"/>
      <c r="CW656" s="36"/>
      <c r="CX656" s="36"/>
      <c r="CY656" s="36"/>
      <c r="CZ656" s="36"/>
      <c r="DA656" s="36"/>
      <c r="DB656" s="36"/>
      <c r="DC656" s="36"/>
      <c r="DD656" s="36"/>
      <c r="DE656" s="36"/>
      <c r="DF656" s="36"/>
      <c r="DG656" s="36"/>
      <c r="DH656" s="36"/>
      <c r="DI656" s="36"/>
      <c r="DJ656" s="36"/>
      <c r="DK656" s="36"/>
      <c r="DL656" s="36"/>
      <c r="DM656" s="36"/>
      <c r="DN656" s="36"/>
      <c r="DO656" s="36"/>
      <c r="DP656" s="36"/>
      <c r="DQ656" s="36"/>
      <c r="DR656" s="36"/>
      <c r="DS656" s="36"/>
    </row>
    <row r="657" spans="1:123" ht="14.45">
      <c r="A657"/>
      <c r="B657"/>
      <c r="C657"/>
      <c r="D657"/>
      <c r="E657"/>
      <c r="F657"/>
      <c r="G657"/>
      <c r="H657"/>
      <c r="I657"/>
      <c r="J657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  <c r="BR657" s="36"/>
      <c r="BS657" s="36"/>
      <c r="BT657" s="36"/>
      <c r="BU657" s="36"/>
      <c r="BV657" s="36"/>
      <c r="BW657" s="36"/>
      <c r="BX657" s="36"/>
      <c r="BY657" s="36"/>
      <c r="BZ657" s="36"/>
      <c r="CA657" s="36"/>
      <c r="CB657" s="36"/>
      <c r="CC657" s="36"/>
      <c r="CD657" s="36"/>
      <c r="CE657" s="36"/>
      <c r="CF657" s="36"/>
      <c r="CG657" s="36"/>
      <c r="CH657" s="36"/>
      <c r="CI657" s="36"/>
      <c r="CJ657" s="36"/>
      <c r="CK657" s="36"/>
      <c r="CL657" s="36"/>
      <c r="CM657" s="36"/>
      <c r="CN657" s="36"/>
      <c r="CO657" s="36"/>
      <c r="CP657" s="36"/>
      <c r="CQ657" s="36"/>
      <c r="CR657" s="36"/>
      <c r="CS657" s="36"/>
      <c r="CT657" s="36"/>
      <c r="CU657" s="36"/>
      <c r="CV657" s="36"/>
      <c r="CW657" s="36"/>
      <c r="CX657" s="36"/>
      <c r="CY657" s="36"/>
      <c r="CZ657" s="36"/>
      <c r="DA657" s="36"/>
      <c r="DB657" s="36"/>
      <c r="DC657" s="36"/>
      <c r="DD657" s="36"/>
      <c r="DE657" s="36"/>
      <c r="DF657" s="36"/>
      <c r="DG657" s="36"/>
      <c r="DH657" s="36"/>
      <c r="DI657" s="36"/>
      <c r="DJ657" s="36"/>
      <c r="DK657" s="36"/>
      <c r="DL657" s="36"/>
      <c r="DM657" s="36"/>
      <c r="DN657" s="36"/>
      <c r="DO657" s="36"/>
      <c r="DP657" s="36"/>
      <c r="DQ657" s="36"/>
      <c r="DR657" s="36"/>
      <c r="DS657" s="36"/>
    </row>
    <row r="658" spans="1:123" ht="14.45">
      <c r="A658"/>
      <c r="B658"/>
      <c r="C658"/>
      <c r="D658"/>
      <c r="E658"/>
      <c r="F658"/>
      <c r="G658"/>
      <c r="H658"/>
      <c r="I658"/>
      <c r="J658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  <c r="BR658" s="36"/>
      <c r="BS658" s="36"/>
      <c r="BT658" s="36"/>
      <c r="BU658" s="36"/>
      <c r="BV658" s="36"/>
      <c r="BW658" s="36"/>
      <c r="BX658" s="36"/>
      <c r="BY658" s="36"/>
      <c r="BZ658" s="36"/>
      <c r="CA658" s="36"/>
      <c r="CB658" s="36"/>
      <c r="CC658" s="36"/>
      <c r="CD658" s="36"/>
      <c r="CE658" s="36"/>
      <c r="CF658" s="36"/>
      <c r="CG658" s="36"/>
      <c r="CH658" s="36"/>
      <c r="CI658" s="36"/>
      <c r="CJ658" s="36"/>
      <c r="CK658" s="36"/>
      <c r="CL658" s="36"/>
      <c r="CM658" s="36"/>
      <c r="CN658" s="36"/>
      <c r="CO658" s="36"/>
      <c r="CP658" s="36"/>
      <c r="CQ658" s="36"/>
      <c r="CR658" s="36"/>
      <c r="CS658" s="36"/>
      <c r="CT658" s="36"/>
      <c r="CU658" s="36"/>
      <c r="CV658" s="36"/>
      <c r="CW658" s="36"/>
      <c r="CX658" s="36"/>
      <c r="CY658" s="36"/>
      <c r="CZ658" s="36"/>
      <c r="DA658" s="36"/>
      <c r="DB658" s="36"/>
      <c r="DC658" s="36"/>
      <c r="DD658" s="36"/>
      <c r="DE658" s="36"/>
      <c r="DF658" s="36"/>
      <c r="DG658" s="36"/>
      <c r="DH658" s="36"/>
      <c r="DI658" s="36"/>
      <c r="DJ658" s="36"/>
      <c r="DK658" s="36"/>
      <c r="DL658" s="36"/>
      <c r="DM658" s="36"/>
      <c r="DN658" s="36"/>
      <c r="DO658" s="36"/>
      <c r="DP658" s="36"/>
      <c r="DQ658" s="36"/>
      <c r="DR658" s="36"/>
      <c r="DS658" s="36"/>
    </row>
    <row r="659" spans="1:123" ht="14.45">
      <c r="A659"/>
      <c r="B659"/>
      <c r="C659"/>
      <c r="D659"/>
      <c r="E659"/>
      <c r="F659"/>
      <c r="G659"/>
      <c r="H659"/>
      <c r="I659"/>
      <c r="J659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6"/>
      <c r="CI659" s="36"/>
      <c r="CJ659" s="36"/>
      <c r="CK659" s="36"/>
      <c r="CL659" s="36"/>
      <c r="CM659" s="36"/>
      <c r="CN659" s="36"/>
      <c r="CO659" s="36"/>
      <c r="CP659" s="36"/>
      <c r="CQ659" s="36"/>
      <c r="CR659" s="36"/>
      <c r="CS659" s="36"/>
      <c r="CT659" s="36"/>
      <c r="CU659" s="36"/>
      <c r="CV659" s="36"/>
      <c r="CW659" s="36"/>
      <c r="CX659" s="36"/>
      <c r="CY659" s="36"/>
      <c r="CZ659" s="36"/>
      <c r="DA659" s="36"/>
      <c r="DB659" s="36"/>
      <c r="DC659" s="36"/>
      <c r="DD659" s="36"/>
      <c r="DE659" s="36"/>
      <c r="DF659" s="36"/>
      <c r="DG659" s="36"/>
      <c r="DH659" s="36"/>
      <c r="DI659" s="36"/>
      <c r="DJ659" s="36"/>
      <c r="DK659" s="36"/>
      <c r="DL659" s="36"/>
      <c r="DM659" s="36"/>
      <c r="DN659" s="36"/>
      <c r="DO659" s="36"/>
      <c r="DP659" s="36"/>
      <c r="DQ659" s="36"/>
      <c r="DR659" s="36"/>
      <c r="DS659" s="36"/>
    </row>
    <row r="660" spans="1:123" ht="14.45">
      <c r="A660"/>
      <c r="B660"/>
      <c r="C660"/>
      <c r="D660"/>
      <c r="E660"/>
      <c r="F660"/>
      <c r="G660"/>
      <c r="H660"/>
      <c r="I660"/>
      <c r="J660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  <c r="BR660" s="36"/>
      <c r="BS660" s="36"/>
      <c r="BT660" s="36"/>
      <c r="BU660" s="36"/>
      <c r="BV660" s="36"/>
      <c r="BW660" s="36"/>
      <c r="BX660" s="36"/>
      <c r="BY660" s="36"/>
      <c r="BZ660" s="36"/>
      <c r="CA660" s="36"/>
      <c r="CB660" s="36"/>
      <c r="CC660" s="36"/>
      <c r="CD660" s="36"/>
      <c r="CE660" s="36"/>
      <c r="CF660" s="36"/>
      <c r="CG660" s="36"/>
      <c r="CH660" s="36"/>
      <c r="CI660" s="36"/>
      <c r="CJ660" s="36"/>
      <c r="CK660" s="36"/>
      <c r="CL660" s="36"/>
      <c r="CM660" s="36"/>
      <c r="CN660" s="36"/>
      <c r="CO660" s="36"/>
      <c r="CP660" s="36"/>
      <c r="CQ660" s="36"/>
      <c r="CR660" s="36"/>
      <c r="CS660" s="36"/>
      <c r="CT660" s="36"/>
      <c r="CU660" s="36"/>
      <c r="CV660" s="36"/>
      <c r="CW660" s="36"/>
      <c r="CX660" s="36"/>
      <c r="CY660" s="36"/>
      <c r="CZ660" s="36"/>
      <c r="DA660" s="36"/>
      <c r="DB660" s="36"/>
      <c r="DC660" s="36"/>
      <c r="DD660" s="36"/>
      <c r="DE660" s="36"/>
      <c r="DF660" s="36"/>
      <c r="DG660" s="36"/>
      <c r="DH660" s="36"/>
      <c r="DI660" s="36"/>
      <c r="DJ660" s="36"/>
      <c r="DK660" s="36"/>
      <c r="DL660" s="36"/>
      <c r="DM660" s="36"/>
      <c r="DN660" s="36"/>
      <c r="DO660" s="36"/>
      <c r="DP660" s="36"/>
      <c r="DQ660" s="36"/>
      <c r="DR660" s="36"/>
      <c r="DS660" s="36"/>
    </row>
    <row r="661" spans="1:123" ht="14.45">
      <c r="A661"/>
      <c r="B661"/>
      <c r="C661"/>
      <c r="D661"/>
      <c r="E661"/>
      <c r="F661"/>
      <c r="G661"/>
      <c r="H661"/>
      <c r="I661"/>
      <c r="J661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  <c r="BR661" s="36"/>
      <c r="BS661" s="36"/>
      <c r="BT661" s="36"/>
      <c r="BU661" s="36"/>
      <c r="BV661" s="36"/>
      <c r="BW661" s="36"/>
      <c r="BX661" s="36"/>
      <c r="BY661" s="36"/>
      <c r="BZ661" s="36"/>
      <c r="CA661" s="36"/>
      <c r="CB661" s="36"/>
      <c r="CC661" s="36"/>
      <c r="CD661" s="36"/>
      <c r="CE661" s="36"/>
      <c r="CF661" s="36"/>
      <c r="CG661" s="36"/>
      <c r="CH661" s="36"/>
      <c r="CI661" s="36"/>
      <c r="CJ661" s="36"/>
      <c r="CK661" s="36"/>
      <c r="CL661" s="36"/>
      <c r="CM661" s="36"/>
      <c r="CN661" s="36"/>
      <c r="CO661" s="36"/>
      <c r="CP661" s="36"/>
      <c r="CQ661" s="36"/>
      <c r="CR661" s="36"/>
      <c r="CS661" s="36"/>
      <c r="CT661" s="36"/>
      <c r="CU661" s="36"/>
      <c r="CV661" s="36"/>
      <c r="CW661" s="36"/>
      <c r="CX661" s="36"/>
      <c r="CY661" s="36"/>
      <c r="CZ661" s="36"/>
      <c r="DA661" s="36"/>
      <c r="DB661" s="36"/>
      <c r="DC661" s="36"/>
      <c r="DD661" s="36"/>
      <c r="DE661" s="36"/>
      <c r="DF661" s="36"/>
      <c r="DG661" s="36"/>
      <c r="DH661" s="36"/>
      <c r="DI661" s="36"/>
      <c r="DJ661" s="36"/>
      <c r="DK661" s="36"/>
      <c r="DL661" s="36"/>
      <c r="DM661" s="36"/>
      <c r="DN661" s="36"/>
      <c r="DO661" s="36"/>
      <c r="DP661" s="36"/>
      <c r="DQ661" s="36"/>
      <c r="DR661" s="36"/>
      <c r="DS661" s="36"/>
    </row>
    <row r="662" spans="1:123" ht="14.45">
      <c r="A662"/>
      <c r="B662"/>
      <c r="C662"/>
      <c r="D662"/>
      <c r="E662"/>
      <c r="F662"/>
      <c r="G662"/>
      <c r="H662"/>
      <c r="I662"/>
      <c r="J662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  <c r="BR662" s="36"/>
      <c r="BS662" s="36"/>
      <c r="BT662" s="36"/>
      <c r="BU662" s="36"/>
      <c r="BV662" s="36"/>
      <c r="BW662" s="36"/>
      <c r="BX662" s="36"/>
      <c r="BY662" s="36"/>
      <c r="BZ662" s="36"/>
      <c r="CA662" s="36"/>
      <c r="CB662" s="36"/>
      <c r="CC662" s="36"/>
      <c r="CD662" s="36"/>
      <c r="CE662" s="36"/>
      <c r="CF662" s="36"/>
      <c r="CG662" s="36"/>
      <c r="CH662" s="36"/>
      <c r="CI662" s="36"/>
      <c r="CJ662" s="36"/>
      <c r="CK662" s="36"/>
      <c r="CL662" s="36"/>
      <c r="CM662" s="36"/>
      <c r="CN662" s="36"/>
      <c r="CO662" s="36"/>
      <c r="CP662" s="36"/>
      <c r="CQ662" s="36"/>
      <c r="CR662" s="36"/>
      <c r="CS662" s="36"/>
      <c r="CT662" s="36"/>
      <c r="CU662" s="36"/>
      <c r="CV662" s="36"/>
      <c r="CW662" s="36"/>
      <c r="CX662" s="36"/>
      <c r="CY662" s="36"/>
      <c r="CZ662" s="36"/>
      <c r="DA662" s="36"/>
      <c r="DB662" s="36"/>
      <c r="DC662" s="36"/>
      <c r="DD662" s="36"/>
      <c r="DE662" s="36"/>
      <c r="DF662" s="36"/>
      <c r="DG662" s="36"/>
      <c r="DH662" s="36"/>
      <c r="DI662" s="36"/>
      <c r="DJ662" s="36"/>
      <c r="DK662" s="36"/>
      <c r="DL662" s="36"/>
      <c r="DM662" s="36"/>
      <c r="DN662" s="36"/>
      <c r="DO662" s="36"/>
      <c r="DP662" s="36"/>
      <c r="DQ662" s="36"/>
      <c r="DR662" s="36"/>
      <c r="DS662" s="36"/>
    </row>
    <row r="663" spans="1:123" ht="14.45">
      <c r="A663"/>
      <c r="B663"/>
      <c r="C663"/>
      <c r="D663"/>
      <c r="E663"/>
      <c r="F663"/>
      <c r="G663"/>
      <c r="H663"/>
      <c r="I663"/>
      <c r="J663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36"/>
      <c r="BS663" s="36"/>
      <c r="BT663" s="36"/>
      <c r="BU663" s="36"/>
      <c r="BV663" s="36"/>
      <c r="BW663" s="36"/>
      <c r="BX663" s="36"/>
      <c r="BY663" s="36"/>
      <c r="BZ663" s="36"/>
      <c r="CA663" s="36"/>
      <c r="CB663" s="36"/>
      <c r="CC663" s="36"/>
      <c r="CD663" s="36"/>
      <c r="CE663" s="36"/>
      <c r="CF663" s="36"/>
      <c r="CG663" s="36"/>
      <c r="CH663" s="36"/>
      <c r="CI663" s="36"/>
      <c r="CJ663" s="36"/>
      <c r="CK663" s="36"/>
      <c r="CL663" s="36"/>
      <c r="CM663" s="36"/>
      <c r="CN663" s="36"/>
      <c r="CO663" s="36"/>
      <c r="CP663" s="36"/>
      <c r="CQ663" s="36"/>
      <c r="CR663" s="36"/>
      <c r="CS663" s="36"/>
      <c r="CT663" s="36"/>
      <c r="CU663" s="36"/>
      <c r="CV663" s="36"/>
      <c r="CW663" s="36"/>
      <c r="CX663" s="36"/>
      <c r="CY663" s="36"/>
      <c r="CZ663" s="36"/>
      <c r="DA663" s="36"/>
      <c r="DB663" s="36"/>
      <c r="DC663" s="36"/>
      <c r="DD663" s="36"/>
      <c r="DE663" s="36"/>
      <c r="DF663" s="36"/>
      <c r="DG663" s="36"/>
      <c r="DH663" s="36"/>
      <c r="DI663" s="36"/>
      <c r="DJ663" s="36"/>
      <c r="DK663" s="36"/>
      <c r="DL663" s="36"/>
      <c r="DM663" s="36"/>
      <c r="DN663" s="36"/>
      <c r="DO663" s="36"/>
      <c r="DP663" s="36"/>
      <c r="DQ663" s="36"/>
      <c r="DR663" s="36"/>
      <c r="DS663" s="36"/>
    </row>
    <row r="664" spans="1:123" ht="14.45">
      <c r="A664"/>
      <c r="B664"/>
      <c r="C664"/>
      <c r="D664"/>
      <c r="E664"/>
      <c r="F664"/>
      <c r="G664"/>
      <c r="H664"/>
      <c r="I664"/>
      <c r="J664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36"/>
      <c r="BS664" s="36"/>
      <c r="BT664" s="36"/>
      <c r="BU664" s="36"/>
      <c r="BV664" s="36"/>
      <c r="BW664" s="36"/>
      <c r="BX664" s="36"/>
      <c r="BY664" s="36"/>
      <c r="BZ664" s="36"/>
      <c r="CA664" s="36"/>
      <c r="CB664" s="36"/>
      <c r="CC664" s="36"/>
      <c r="CD664" s="36"/>
      <c r="CE664" s="36"/>
      <c r="CF664" s="36"/>
      <c r="CG664" s="36"/>
      <c r="CH664" s="36"/>
      <c r="CI664" s="36"/>
      <c r="CJ664" s="36"/>
      <c r="CK664" s="36"/>
      <c r="CL664" s="36"/>
      <c r="CM664" s="36"/>
      <c r="CN664" s="36"/>
      <c r="CO664" s="36"/>
      <c r="CP664" s="36"/>
      <c r="CQ664" s="36"/>
      <c r="CR664" s="36"/>
      <c r="CS664" s="36"/>
      <c r="CT664" s="36"/>
      <c r="CU664" s="36"/>
      <c r="CV664" s="36"/>
      <c r="CW664" s="36"/>
      <c r="CX664" s="36"/>
      <c r="CY664" s="36"/>
      <c r="CZ664" s="36"/>
      <c r="DA664" s="36"/>
      <c r="DB664" s="36"/>
      <c r="DC664" s="36"/>
      <c r="DD664" s="36"/>
      <c r="DE664" s="36"/>
      <c r="DF664" s="36"/>
      <c r="DG664" s="36"/>
      <c r="DH664" s="36"/>
      <c r="DI664" s="36"/>
      <c r="DJ664" s="36"/>
      <c r="DK664" s="36"/>
      <c r="DL664" s="36"/>
      <c r="DM664" s="36"/>
      <c r="DN664" s="36"/>
      <c r="DO664" s="36"/>
      <c r="DP664" s="36"/>
      <c r="DQ664" s="36"/>
      <c r="DR664" s="36"/>
      <c r="DS664" s="36"/>
    </row>
    <row r="665" spans="1:123" ht="14.45">
      <c r="A665"/>
      <c r="B665"/>
      <c r="C665"/>
      <c r="D665"/>
      <c r="E665"/>
      <c r="F665"/>
      <c r="G665"/>
      <c r="H665"/>
      <c r="I665"/>
      <c r="J665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  <c r="BR665" s="36"/>
      <c r="BS665" s="36"/>
      <c r="BT665" s="36"/>
      <c r="BU665" s="36"/>
      <c r="BV665" s="36"/>
      <c r="BW665" s="36"/>
      <c r="BX665" s="36"/>
      <c r="BY665" s="36"/>
      <c r="BZ665" s="36"/>
      <c r="CA665" s="36"/>
      <c r="CB665" s="36"/>
      <c r="CC665" s="36"/>
      <c r="CD665" s="36"/>
      <c r="CE665" s="36"/>
      <c r="CF665" s="36"/>
      <c r="CG665" s="36"/>
      <c r="CH665" s="36"/>
      <c r="CI665" s="36"/>
      <c r="CJ665" s="36"/>
      <c r="CK665" s="36"/>
      <c r="CL665" s="36"/>
      <c r="CM665" s="36"/>
      <c r="CN665" s="36"/>
      <c r="CO665" s="36"/>
      <c r="CP665" s="36"/>
      <c r="CQ665" s="36"/>
      <c r="CR665" s="36"/>
      <c r="CS665" s="36"/>
      <c r="CT665" s="36"/>
      <c r="CU665" s="36"/>
      <c r="CV665" s="36"/>
      <c r="CW665" s="36"/>
      <c r="CX665" s="36"/>
      <c r="CY665" s="36"/>
      <c r="CZ665" s="36"/>
      <c r="DA665" s="36"/>
      <c r="DB665" s="36"/>
      <c r="DC665" s="36"/>
      <c r="DD665" s="36"/>
      <c r="DE665" s="36"/>
      <c r="DF665" s="36"/>
      <c r="DG665" s="36"/>
      <c r="DH665" s="36"/>
      <c r="DI665" s="36"/>
      <c r="DJ665" s="36"/>
      <c r="DK665" s="36"/>
      <c r="DL665" s="36"/>
      <c r="DM665" s="36"/>
      <c r="DN665" s="36"/>
      <c r="DO665" s="36"/>
      <c r="DP665" s="36"/>
      <c r="DQ665" s="36"/>
      <c r="DR665" s="36"/>
      <c r="DS665" s="36"/>
    </row>
    <row r="666" spans="1:123" ht="14.45">
      <c r="A666"/>
      <c r="B666"/>
      <c r="C666"/>
      <c r="D666"/>
      <c r="E666"/>
      <c r="F666"/>
      <c r="G666"/>
      <c r="H666"/>
      <c r="I666"/>
      <c r="J66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  <c r="BR666" s="36"/>
      <c r="BS666" s="36"/>
      <c r="BT666" s="36"/>
      <c r="BU666" s="36"/>
      <c r="BV666" s="36"/>
      <c r="BW666" s="36"/>
      <c r="BX666" s="36"/>
      <c r="BY666" s="36"/>
      <c r="BZ666" s="36"/>
      <c r="CA666" s="36"/>
      <c r="CB666" s="36"/>
      <c r="CC666" s="36"/>
      <c r="CD666" s="36"/>
      <c r="CE666" s="36"/>
      <c r="CF666" s="36"/>
      <c r="CG666" s="36"/>
      <c r="CH666" s="36"/>
      <c r="CI666" s="36"/>
      <c r="CJ666" s="36"/>
      <c r="CK666" s="36"/>
      <c r="CL666" s="36"/>
      <c r="CM666" s="36"/>
      <c r="CN666" s="36"/>
      <c r="CO666" s="36"/>
      <c r="CP666" s="36"/>
      <c r="CQ666" s="36"/>
      <c r="CR666" s="36"/>
      <c r="CS666" s="36"/>
      <c r="CT666" s="36"/>
      <c r="CU666" s="36"/>
      <c r="CV666" s="36"/>
      <c r="CW666" s="36"/>
      <c r="CX666" s="36"/>
      <c r="CY666" s="36"/>
      <c r="CZ666" s="36"/>
      <c r="DA666" s="36"/>
      <c r="DB666" s="36"/>
      <c r="DC666" s="36"/>
      <c r="DD666" s="36"/>
      <c r="DE666" s="36"/>
      <c r="DF666" s="36"/>
      <c r="DG666" s="36"/>
      <c r="DH666" s="36"/>
      <c r="DI666" s="36"/>
      <c r="DJ666" s="36"/>
      <c r="DK666" s="36"/>
      <c r="DL666" s="36"/>
      <c r="DM666" s="36"/>
      <c r="DN666" s="36"/>
      <c r="DO666" s="36"/>
      <c r="DP666" s="36"/>
      <c r="DQ666" s="36"/>
      <c r="DR666" s="36"/>
      <c r="DS666" s="36"/>
    </row>
    <row r="667" spans="1:123" ht="14.45">
      <c r="A667"/>
      <c r="B667"/>
      <c r="C667"/>
      <c r="D667"/>
      <c r="E667"/>
      <c r="F667"/>
      <c r="G667"/>
      <c r="H667"/>
      <c r="I667"/>
      <c r="J667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  <c r="BR667" s="36"/>
      <c r="BS667" s="36"/>
      <c r="BT667" s="36"/>
      <c r="BU667" s="36"/>
      <c r="BV667" s="36"/>
      <c r="BW667" s="36"/>
      <c r="BX667" s="36"/>
      <c r="BY667" s="36"/>
      <c r="BZ667" s="36"/>
      <c r="CA667" s="36"/>
      <c r="CB667" s="36"/>
      <c r="CC667" s="36"/>
      <c r="CD667" s="36"/>
      <c r="CE667" s="36"/>
      <c r="CF667" s="36"/>
      <c r="CG667" s="36"/>
      <c r="CH667" s="36"/>
      <c r="CI667" s="36"/>
      <c r="CJ667" s="36"/>
      <c r="CK667" s="36"/>
      <c r="CL667" s="36"/>
      <c r="CM667" s="36"/>
      <c r="CN667" s="36"/>
      <c r="CO667" s="36"/>
      <c r="CP667" s="36"/>
      <c r="CQ667" s="36"/>
      <c r="CR667" s="36"/>
      <c r="CS667" s="36"/>
      <c r="CT667" s="36"/>
      <c r="CU667" s="36"/>
      <c r="CV667" s="36"/>
      <c r="CW667" s="36"/>
      <c r="CX667" s="36"/>
      <c r="CY667" s="36"/>
      <c r="CZ667" s="36"/>
      <c r="DA667" s="36"/>
      <c r="DB667" s="36"/>
      <c r="DC667" s="36"/>
      <c r="DD667" s="36"/>
      <c r="DE667" s="36"/>
      <c r="DF667" s="36"/>
      <c r="DG667" s="36"/>
      <c r="DH667" s="36"/>
      <c r="DI667" s="36"/>
      <c r="DJ667" s="36"/>
      <c r="DK667" s="36"/>
      <c r="DL667" s="36"/>
      <c r="DM667" s="36"/>
      <c r="DN667" s="36"/>
      <c r="DO667" s="36"/>
      <c r="DP667" s="36"/>
      <c r="DQ667" s="36"/>
      <c r="DR667" s="36"/>
      <c r="DS667" s="36"/>
    </row>
    <row r="668" spans="1:123" ht="14.45">
      <c r="A668"/>
      <c r="B668"/>
      <c r="C668"/>
      <c r="D668"/>
      <c r="E668"/>
      <c r="F668"/>
      <c r="G668"/>
      <c r="H668"/>
      <c r="I668"/>
      <c r="J668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  <c r="BR668" s="36"/>
      <c r="BS668" s="36"/>
      <c r="BT668" s="36"/>
      <c r="BU668" s="36"/>
      <c r="BV668" s="36"/>
      <c r="BW668" s="36"/>
      <c r="BX668" s="36"/>
      <c r="BY668" s="36"/>
      <c r="BZ668" s="36"/>
      <c r="CA668" s="36"/>
      <c r="CB668" s="36"/>
      <c r="CC668" s="36"/>
      <c r="CD668" s="36"/>
      <c r="CE668" s="36"/>
      <c r="CF668" s="36"/>
      <c r="CG668" s="36"/>
      <c r="CH668" s="36"/>
      <c r="CI668" s="36"/>
      <c r="CJ668" s="36"/>
      <c r="CK668" s="36"/>
      <c r="CL668" s="36"/>
      <c r="CM668" s="36"/>
      <c r="CN668" s="36"/>
      <c r="CO668" s="36"/>
      <c r="CP668" s="36"/>
      <c r="CQ668" s="36"/>
      <c r="CR668" s="36"/>
      <c r="CS668" s="36"/>
      <c r="CT668" s="36"/>
      <c r="CU668" s="36"/>
      <c r="CV668" s="36"/>
      <c r="CW668" s="36"/>
      <c r="CX668" s="36"/>
      <c r="CY668" s="36"/>
      <c r="CZ668" s="36"/>
      <c r="DA668" s="36"/>
      <c r="DB668" s="36"/>
      <c r="DC668" s="36"/>
      <c r="DD668" s="36"/>
      <c r="DE668" s="36"/>
      <c r="DF668" s="36"/>
      <c r="DG668" s="36"/>
      <c r="DH668" s="36"/>
      <c r="DI668" s="36"/>
      <c r="DJ668" s="36"/>
      <c r="DK668" s="36"/>
      <c r="DL668" s="36"/>
      <c r="DM668" s="36"/>
      <c r="DN668" s="36"/>
      <c r="DO668" s="36"/>
      <c r="DP668" s="36"/>
      <c r="DQ668" s="36"/>
      <c r="DR668" s="36"/>
      <c r="DS668" s="36"/>
    </row>
    <row r="669" spans="1:123" ht="14.45">
      <c r="A669"/>
      <c r="B669"/>
      <c r="C669"/>
      <c r="D669"/>
      <c r="E669"/>
      <c r="F669"/>
      <c r="G669"/>
      <c r="H669"/>
      <c r="I669"/>
      <c r="J669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  <c r="BR669" s="36"/>
      <c r="BS669" s="36"/>
      <c r="BT669" s="36"/>
      <c r="BU669" s="36"/>
      <c r="BV669" s="36"/>
      <c r="BW669" s="36"/>
      <c r="BX669" s="36"/>
      <c r="BY669" s="36"/>
      <c r="BZ669" s="36"/>
      <c r="CA669" s="36"/>
      <c r="CB669" s="36"/>
      <c r="CC669" s="36"/>
      <c r="CD669" s="36"/>
      <c r="CE669" s="36"/>
      <c r="CF669" s="36"/>
      <c r="CG669" s="36"/>
      <c r="CH669" s="36"/>
      <c r="CI669" s="36"/>
      <c r="CJ669" s="36"/>
      <c r="CK669" s="36"/>
      <c r="CL669" s="36"/>
      <c r="CM669" s="36"/>
      <c r="CN669" s="36"/>
      <c r="CO669" s="36"/>
      <c r="CP669" s="36"/>
      <c r="CQ669" s="36"/>
      <c r="CR669" s="36"/>
      <c r="CS669" s="36"/>
      <c r="CT669" s="36"/>
      <c r="CU669" s="36"/>
      <c r="CV669" s="36"/>
      <c r="CW669" s="36"/>
      <c r="CX669" s="36"/>
      <c r="CY669" s="36"/>
      <c r="CZ669" s="36"/>
      <c r="DA669" s="36"/>
      <c r="DB669" s="36"/>
      <c r="DC669" s="36"/>
      <c r="DD669" s="36"/>
      <c r="DE669" s="36"/>
      <c r="DF669" s="36"/>
      <c r="DG669" s="36"/>
      <c r="DH669" s="36"/>
      <c r="DI669" s="36"/>
      <c r="DJ669" s="36"/>
      <c r="DK669" s="36"/>
      <c r="DL669" s="36"/>
      <c r="DM669" s="36"/>
      <c r="DN669" s="36"/>
      <c r="DO669" s="36"/>
      <c r="DP669" s="36"/>
      <c r="DQ669" s="36"/>
      <c r="DR669" s="36"/>
      <c r="DS669" s="36"/>
    </row>
    <row r="670" spans="1:123" ht="14.45">
      <c r="A670"/>
      <c r="B670"/>
      <c r="C670"/>
      <c r="D670"/>
      <c r="E670"/>
      <c r="F670"/>
      <c r="G670"/>
      <c r="H670"/>
      <c r="I670"/>
      <c r="J670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  <c r="BR670" s="36"/>
      <c r="BS670" s="36"/>
      <c r="BT670" s="36"/>
      <c r="BU670" s="36"/>
      <c r="BV670" s="36"/>
      <c r="BW670" s="36"/>
      <c r="BX670" s="36"/>
      <c r="BY670" s="36"/>
      <c r="BZ670" s="36"/>
      <c r="CA670" s="36"/>
      <c r="CB670" s="36"/>
      <c r="CC670" s="36"/>
      <c r="CD670" s="36"/>
      <c r="CE670" s="36"/>
      <c r="CF670" s="36"/>
      <c r="CG670" s="36"/>
      <c r="CH670" s="36"/>
      <c r="CI670" s="36"/>
      <c r="CJ670" s="36"/>
      <c r="CK670" s="36"/>
      <c r="CL670" s="36"/>
      <c r="CM670" s="36"/>
      <c r="CN670" s="36"/>
      <c r="CO670" s="36"/>
      <c r="CP670" s="36"/>
      <c r="CQ670" s="36"/>
      <c r="CR670" s="36"/>
      <c r="CS670" s="36"/>
      <c r="CT670" s="36"/>
      <c r="CU670" s="36"/>
      <c r="CV670" s="36"/>
      <c r="CW670" s="36"/>
      <c r="CX670" s="36"/>
      <c r="CY670" s="36"/>
      <c r="CZ670" s="36"/>
      <c r="DA670" s="36"/>
      <c r="DB670" s="36"/>
      <c r="DC670" s="36"/>
      <c r="DD670" s="36"/>
      <c r="DE670" s="36"/>
      <c r="DF670" s="36"/>
      <c r="DG670" s="36"/>
      <c r="DH670" s="36"/>
      <c r="DI670" s="36"/>
      <c r="DJ670" s="36"/>
      <c r="DK670" s="36"/>
      <c r="DL670" s="36"/>
      <c r="DM670" s="36"/>
      <c r="DN670" s="36"/>
      <c r="DO670" s="36"/>
      <c r="DP670" s="36"/>
      <c r="DQ670" s="36"/>
      <c r="DR670" s="36"/>
      <c r="DS670" s="36"/>
    </row>
    <row r="671" spans="1:123" ht="14.45">
      <c r="A671"/>
      <c r="B671"/>
      <c r="C671"/>
      <c r="D671"/>
      <c r="E671"/>
      <c r="F671"/>
      <c r="G671"/>
      <c r="H671"/>
      <c r="I671"/>
      <c r="J671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  <c r="BR671" s="36"/>
      <c r="BS671" s="36"/>
      <c r="BT671" s="36"/>
      <c r="BU671" s="36"/>
      <c r="BV671" s="36"/>
      <c r="BW671" s="36"/>
      <c r="BX671" s="36"/>
      <c r="BY671" s="36"/>
      <c r="BZ671" s="36"/>
      <c r="CA671" s="36"/>
      <c r="CB671" s="36"/>
      <c r="CC671" s="36"/>
      <c r="CD671" s="36"/>
      <c r="CE671" s="36"/>
      <c r="CF671" s="36"/>
      <c r="CG671" s="36"/>
      <c r="CH671" s="36"/>
      <c r="CI671" s="36"/>
      <c r="CJ671" s="36"/>
      <c r="CK671" s="36"/>
      <c r="CL671" s="36"/>
      <c r="CM671" s="36"/>
      <c r="CN671" s="36"/>
      <c r="CO671" s="36"/>
      <c r="CP671" s="36"/>
      <c r="CQ671" s="36"/>
      <c r="CR671" s="36"/>
      <c r="CS671" s="36"/>
      <c r="CT671" s="36"/>
      <c r="CU671" s="36"/>
      <c r="CV671" s="36"/>
      <c r="CW671" s="36"/>
      <c r="CX671" s="36"/>
      <c r="CY671" s="36"/>
      <c r="CZ671" s="36"/>
      <c r="DA671" s="36"/>
      <c r="DB671" s="36"/>
      <c r="DC671" s="36"/>
      <c r="DD671" s="36"/>
      <c r="DE671" s="36"/>
      <c r="DF671" s="36"/>
      <c r="DG671" s="36"/>
      <c r="DH671" s="36"/>
      <c r="DI671" s="36"/>
      <c r="DJ671" s="36"/>
      <c r="DK671" s="36"/>
      <c r="DL671" s="36"/>
      <c r="DM671" s="36"/>
      <c r="DN671" s="36"/>
      <c r="DO671" s="36"/>
      <c r="DP671" s="36"/>
      <c r="DQ671" s="36"/>
      <c r="DR671" s="36"/>
      <c r="DS671" s="36"/>
    </row>
    <row r="672" spans="1:123" ht="14.45">
      <c r="A672"/>
      <c r="B672"/>
      <c r="C672"/>
      <c r="D672"/>
      <c r="E672"/>
      <c r="F672"/>
      <c r="G672"/>
      <c r="H672"/>
      <c r="I672"/>
      <c r="J672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6"/>
      <c r="CA672" s="36"/>
      <c r="CB672" s="36"/>
      <c r="CC672" s="36"/>
      <c r="CD672" s="36"/>
      <c r="CE672" s="36"/>
      <c r="CF672" s="36"/>
      <c r="CG672" s="36"/>
      <c r="CH672" s="36"/>
      <c r="CI672" s="36"/>
      <c r="CJ672" s="36"/>
      <c r="CK672" s="36"/>
      <c r="CL672" s="36"/>
      <c r="CM672" s="36"/>
      <c r="CN672" s="36"/>
      <c r="CO672" s="36"/>
      <c r="CP672" s="36"/>
      <c r="CQ672" s="36"/>
      <c r="CR672" s="36"/>
      <c r="CS672" s="36"/>
      <c r="CT672" s="36"/>
      <c r="CU672" s="36"/>
      <c r="CV672" s="36"/>
      <c r="CW672" s="36"/>
      <c r="CX672" s="36"/>
      <c r="CY672" s="36"/>
      <c r="CZ672" s="36"/>
      <c r="DA672" s="36"/>
      <c r="DB672" s="36"/>
      <c r="DC672" s="36"/>
      <c r="DD672" s="36"/>
      <c r="DE672" s="36"/>
      <c r="DF672" s="36"/>
      <c r="DG672" s="36"/>
      <c r="DH672" s="36"/>
      <c r="DI672" s="36"/>
      <c r="DJ672" s="36"/>
      <c r="DK672" s="36"/>
      <c r="DL672" s="36"/>
      <c r="DM672" s="36"/>
      <c r="DN672" s="36"/>
      <c r="DO672" s="36"/>
      <c r="DP672" s="36"/>
      <c r="DQ672" s="36"/>
      <c r="DR672" s="36"/>
      <c r="DS672" s="36"/>
    </row>
    <row r="673" spans="1:123" ht="14.45">
      <c r="A673"/>
      <c r="B673"/>
      <c r="C673"/>
      <c r="D673"/>
      <c r="E673"/>
      <c r="F673"/>
      <c r="G673"/>
      <c r="H673"/>
      <c r="I673"/>
      <c r="J673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  <c r="BR673" s="36"/>
      <c r="BS673" s="36"/>
      <c r="BT673" s="36"/>
      <c r="BU673" s="36"/>
      <c r="BV673" s="36"/>
      <c r="BW673" s="36"/>
      <c r="BX673" s="36"/>
      <c r="BY673" s="36"/>
      <c r="BZ673" s="36"/>
      <c r="CA673" s="36"/>
      <c r="CB673" s="36"/>
      <c r="CC673" s="36"/>
      <c r="CD673" s="36"/>
      <c r="CE673" s="36"/>
      <c r="CF673" s="36"/>
      <c r="CG673" s="36"/>
      <c r="CH673" s="36"/>
      <c r="CI673" s="36"/>
      <c r="CJ673" s="36"/>
      <c r="CK673" s="36"/>
      <c r="CL673" s="36"/>
      <c r="CM673" s="36"/>
      <c r="CN673" s="36"/>
      <c r="CO673" s="36"/>
      <c r="CP673" s="36"/>
      <c r="CQ673" s="36"/>
      <c r="CR673" s="36"/>
      <c r="CS673" s="36"/>
      <c r="CT673" s="36"/>
      <c r="CU673" s="36"/>
      <c r="CV673" s="36"/>
      <c r="CW673" s="36"/>
      <c r="CX673" s="36"/>
      <c r="CY673" s="36"/>
      <c r="CZ673" s="36"/>
      <c r="DA673" s="36"/>
      <c r="DB673" s="36"/>
      <c r="DC673" s="36"/>
      <c r="DD673" s="36"/>
      <c r="DE673" s="36"/>
      <c r="DF673" s="36"/>
      <c r="DG673" s="36"/>
      <c r="DH673" s="36"/>
      <c r="DI673" s="36"/>
      <c r="DJ673" s="36"/>
      <c r="DK673" s="36"/>
      <c r="DL673" s="36"/>
      <c r="DM673" s="36"/>
      <c r="DN673" s="36"/>
      <c r="DO673" s="36"/>
      <c r="DP673" s="36"/>
      <c r="DQ673" s="36"/>
      <c r="DR673" s="36"/>
      <c r="DS673" s="36"/>
    </row>
    <row r="674" spans="1:123" ht="14.45">
      <c r="A674"/>
      <c r="B674"/>
      <c r="C674"/>
      <c r="D674"/>
      <c r="E674"/>
      <c r="F674"/>
      <c r="G674"/>
      <c r="H674"/>
      <c r="I674"/>
      <c r="J674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  <c r="BR674" s="36"/>
      <c r="BS674" s="36"/>
      <c r="BT674" s="36"/>
      <c r="BU674" s="36"/>
      <c r="BV674" s="36"/>
      <c r="BW674" s="36"/>
      <c r="BX674" s="36"/>
      <c r="BY674" s="36"/>
      <c r="BZ674" s="36"/>
      <c r="CA674" s="36"/>
      <c r="CB674" s="36"/>
      <c r="CC674" s="36"/>
      <c r="CD674" s="36"/>
      <c r="CE674" s="36"/>
      <c r="CF674" s="36"/>
      <c r="CG674" s="36"/>
      <c r="CH674" s="36"/>
      <c r="CI674" s="36"/>
      <c r="CJ674" s="36"/>
      <c r="CK674" s="36"/>
      <c r="CL674" s="36"/>
      <c r="CM674" s="36"/>
      <c r="CN674" s="36"/>
      <c r="CO674" s="36"/>
      <c r="CP674" s="36"/>
      <c r="CQ674" s="36"/>
      <c r="CR674" s="36"/>
      <c r="CS674" s="36"/>
      <c r="CT674" s="36"/>
      <c r="CU674" s="36"/>
      <c r="CV674" s="36"/>
      <c r="CW674" s="36"/>
      <c r="CX674" s="36"/>
      <c r="CY674" s="36"/>
      <c r="CZ674" s="36"/>
      <c r="DA674" s="36"/>
      <c r="DB674" s="36"/>
      <c r="DC674" s="36"/>
      <c r="DD674" s="36"/>
      <c r="DE674" s="36"/>
      <c r="DF674" s="36"/>
      <c r="DG674" s="36"/>
      <c r="DH674" s="36"/>
      <c r="DI674" s="36"/>
      <c r="DJ674" s="36"/>
      <c r="DK674" s="36"/>
      <c r="DL674" s="36"/>
      <c r="DM674" s="36"/>
      <c r="DN674" s="36"/>
      <c r="DO674" s="36"/>
      <c r="DP674" s="36"/>
      <c r="DQ674" s="36"/>
      <c r="DR674" s="36"/>
      <c r="DS674" s="36"/>
    </row>
    <row r="675" spans="1:123" ht="14.45">
      <c r="A675"/>
      <c r="B675"/>
      <c r="C675"/>
      <c r="D675"/>
      <c r="E675"/>
      <c r="F675"/>
      <c r="G675"/>
      <c r="H675"/>
      <c r="I675"/>
      <c r="J675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  <c r="BR675" s="36"/>
      <c r="BS675" s="36"/>
      <c r="BT675" s="36"/>
      <c r="BU675" s="36"/>
      <c r="BV675" s="36"/>
      <c r="BW675" s="36"/>
      <c r="BX675" s="36"/>
      <c r="BY675" s="36"/>
      <c r="BZ675" s="36"/>
      <c r="CA675" s="36"/>
      <c r="CB675" s="36"/>
      <c r="CC675" s="36"/>
      <c r="CD675" s="36"/>
      <c r="CE675" s="36"/>
      <c r="CF675" s="36"/>
      <c r="CG675" s="36"/>
      <c r="CH675" s="36"/>
      <c r="CI675" s="36"/>
      <c r="CJ675" s="36"/>
      <c r="CK675" s="36"/>
      <c r="CL675" s="36"/>
      <c r="CM675" s="36"/>
      <c r="CN675" s="36"/>
      <c r="CO675" s="36"/>
      <c r="CP675" s="36"/>
      <c r="CQ675" s="36"/>
      <c r="CR675" s="36"/>
      <c r="CS675" s="36"/>
      <c r="CT675" s="36"/>
      <c r="CU675" s="36"/>
      <c r="CV675" s="36"/>
      <c r="CW675" s="36"/>
      <c r="CX675" s="36"/>
      <c r="CY675" s="36"/>
      <c r="CZ675" s="36"/>
      <c r="DA675" s="36"/>
      <c r="DB675" s="36"/>
      <c r="DC675" s="36"/>
      <c r="DD675" s="36"/>
      <c r="DE675" s="36"/>
      <c r="DF675" s="36"/>
      <c r="DG675" s="36"/>
      <c r="DH675" s="36"/>
      <c r="DI675" s="36"/>
      <c r="DJ675" s="36"/>
      <c r="DK675" s="36"/>
      <c r="DL675" s="36"/>
      <c r="DM675" s="36"/>
      <c r="DN675" s="36"/>
      <c r="DO675" s="36"/>
      <c r="DP675" s="36"/>
      <c r="DQ675" s="36"/>
      <c r="DR675" s="36"/>
      <c r="DS675" s="36"/>
    </row>
    <row r="676" spans="1:123" ht="14.45">
      <c r="A676"/>
      <c r="B676"/>
      <c r="C676"/>
      <c r="D676"/>
      <c r="E676"/>
      <c r="F676"/>
      <c r="G676"/>
      <c r="H676"/>
      <c r="I676"/>
      <c r="J67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  <c r="BR676" s="36"/>
      <c r="BS676" s="36"/>
      <c r="BT676" s="36"/>
      <c r="BU676" s="36"/>
      <c r="BV676" s="36"/>
      <c r="BW676" s="36"/>
      <c r="BX676" s="36"/>
      <c r="BY676" s="36"/>
      <c r="BZ676" s="36"/>
      <c r="CA676" s="36"/>
      <c r="CB676" s="36"/>
      <c r="CC676" s="36"/>
      <c r="CD676" s="36"/>
      <c r="CE676" s="36"/>
      <c r="CF676" s="36"/>
      <c r="CG676" s="36"/>
      <c r="CH676" s="36"/>
      <c r="CI676" s="36"/>
      <c r="CJ676" s="36"/>
      <c r="CK676" s="36"/>
      <c r="CL676" s="36"/>
      <c r="CM676" s="36"/>
      <c r="CN676" s="36"/>
      <c r="CO676" s="36"/>
      <c r="CP676" s="36"/>
      <c r="CQ676" s="36"/>
      <c r="CR676" s="36"/>
      <c r="CS676" s="36"/>
      <c r="CT676" s="36"/>
      <c r="CU676" s="36"/>
      <c r="CV676" s="36"/>
      <c r="CW676" s="36"/>
      <c r="CX676" s="36"/>
      <c r="CY676" s="36"/>
      <c r="CZ676" s="36"/>
      <c r="DA676" s="36"/>
      <c r="DB676" s="36"/>
      <c r="DC676" s="36"/>
      <c r="DD676" s="36"/>
      <c r="DE676" s="36"/>
      <c r="DF676" s="36"/>
      <c r="DG676" s="36"/>
      <c r="DH676" s="36"/>
      <c r="DI676" s="36"/>
      <c r="DJ676" s="36"/>
      <c r="DK676" s="36"/>
      <c r="DL676" s="36"/>
      <c r="DM676" s="36"/>
      <c r="DN676" s="36"/>
      <c r="DO676" s="36"/>
      <c r="DP676" s="36"/>
      <c r="DQ676" s="36"/>
      <c r="DR676" s="36"/>
      <c r="DS676" s="36"/>
    </row>
    <row r="677" spans="1:123" ht="14.45">
      <c r="A677"/>
      <c r="B677"/>
      <c r="C677"/>
      <c r="D677"/>
      <c r="E677"/>
      <c r="F677"/>
      <c r="G677"/>
      <c r="H677"/>
      <c r="I677"/>
      <c r="J677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36"/>
      <c r="BS677" s="36"/>
      <c r="BT677" s="36"/>
      <c r="BU677" s="36"/>
      <c r="BV677" s="36"/>
      <c r="BW677" s="36"/>
      <c r="BX677" s="36"/>
      <c r="BY677" s="36"/>
      <c r="BZ677" s="36"/>
      <c r="CA677" s="36"/>
      <c r="CB677" s="36"/>
      <c r="CC677" s="36"/>
      <c r="CD677" s="36"/>
      <c r="CE677" s="36"/>
      <c r="CF677" s="36"/>
      <c r="CG677" s="36"/>
      <c r="CH677" s="36"/>
      <c r="CI677" s="36"/>
      <c r="CJ677" s="36"/>
      <c r="CK677" s="36"/>
      <c r="CL677" s="36"/>
      <c r="CM677" s="36"/>
      <c r="CN677" s="36"/>
      <c r="CO677" s="36"/>
      <c r="CP677" s="36"/>
      <c r="CQ677" s="36"/>
      <c r="CR677" s="36"/>
      <c r="CS677" s="36"/>
      <c r="CT677" s="36"/>
      <c r="CU677" s="36"/>
      <c r="CV677" s="36"/>
      <c r="CW677" s="36"/>
      <c r="CX677" s="36"/>
      <c r="CY677" s="36"/>
      <c r="CZ677" s="36"/>
      <c r="DA677" s="36"/>
      <c r="DB677" s="36"/>
      <c r="DC677" s="36"/>
      <c r="DD677" s="36"/>
      <c r="DE677" s="36"/>
      <c r="DF677" s="36"/>
      <c r="DG677" s="36"/>
      <c r="DH677" s="36"/>
      <c r="DI677" s="36"/>
      <c r="DJ677" s="36"/>
      <c r="DK677" s="36"/>
      <c r="DL677" s="36"/>
      <c r="DM677" s="36"/>
      <c r="DN677" s="36"/>
      <c r="DO677" s="36"/>
      <c r="DP677" s="36"/>
      <c r="DQ677" s="36"/>
      <c r="DR677" s="36"/>
      <c r="DS677" s="36"/>
    </row>
    <row r="678" spans="1:123" ht="14.45">
      <c r="A678"/>
      <c r="B678"/>
      <c r="C678"/>
      <c r="D678"/>
      <c r="E678"/>
      <c r="F678"/>
      <c r="G678"/>
      <c r="H678"/>
      <c r="I678"/>
      <c r="J678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36"/>
      <c r="BS678" s="36"/>
      <c r="BT678" s="36"/>
      <c r="BU678" s="36"/>
      <c r="BV678" s="36"/>
      <c r="BW678" s="36"/>
      <c r="BX678" s="36"/>
      <c r="BY678" s="36"/>
      <c r="BZ678" s="36"/>
      <c r="CA678" s="36"/>
      <c r="CB678" s="36"/>
      <c r="CC678" s="36"/>
      <c r="CD678" s="36"/>
      <c r="CE678" s="36"/>
      <c r="CF678" s="36"/>
      <c r="CG678" s="36"/>
      <c r="CH678" s="36"/>
      <c r="CI678" s="36"/>
      <c r="CJ678" s="36"/>
      <c r="CK678" s="36"/>
      <c r="CL678" s="36"/>
      <c r="CM678" s="36"/>
      <c r="CN678" s="36"/>
      <c r="CO678" s="36"/>
      <c r="CP678" s="36"/>
      <c r="CQ678" s="36"/>
      <c r="CR678" s="36"/>
      <c r="CS678" s="36"/>
      <c r="CT678" s="36"/>
      <c r="CU678" s="36"/>
      <c r="CV678" s="36"/>
      <c r="CW678" s="36"/>
      <c r="CX678" s="36"/>
      <c r="CY678" s="36"/>
      <c r="CZ678" s="36"/>
      <c r="DA678" s="36"/>
      <c r="DB678" s="36"/>
      <c r="DC678" s="36"/>
      <c r="DD678" s="36"/>
      <c r="DE678" s="36"/>
      <c r="DF678" s="36"/>
      <c r="DG678" s="36"/>
      <c r="DH678" s="36"/>
      <c r="DI678" s="36"/>
      <c r="DJ678" s="36"/>
      <c r="DK678" s="36"/>
      <c r="DL678" s="36"/>
      <c r="DM678" s="36"/>
      <c r="DN678" s="36"/>
      <c r="DO678" s="36"/>
      <c r="DP678" s="36"/>
      <c r="DQ678" s="36"/>
      <c r="DR678" s="36"/>
      <c r="DS678" s="36"/>
    </row>
    <row r="679" spans="1:123" ht="14.45">
      <c r="A679"/>
      <c r="B679"/>
      <c r="C679"/>
      <c r="D679"/>
      <c r="E679"/>
      <c r="F679"/>
      <c r="G679"/>
      <c r="H679"/>
      <c r="I679"/>
      <c r="J679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  <c r="BR679" s="36"/>
      <c r="BS679" s="36"/>
      <c r="BT679" s="36"/>
      <c r="BU679" s="36"/>
      <c r="BV679" s="36"/>
      <c r="BW679" s="36"/>
      <c r="BX679" s="36"/>
      <c r="BY679" s="36"/>
      <c r="BZ679" s="36"/>
      <c r="CA679" s="36"/>
      <c r="CB679" s="36"/>
      <c r="CC679" s="36"/>
      <c r="CD679" s="36"/>
      <c r="CE679" s="36"/>
      <c r="CF679" s="36"/>
      <c r="CG679" s="36"/>
      <c r="CH679" s="36"/>
      <c r="CI679" s="36"/>
      <c r="CJ679" s="36"/>
      <c r="CK679" s="36"/>
      <c r="CL679" s="36"/>
      <c r="CM679" s="36"/>
      <c r="CN679" s="36"/>
      <c r="CO679" s="36"/>
      <c r="CP679" s="36"/>
      <c r="CQ679" s="36"/>
      <c r="CR679" s="36"/>
      <c r="CS679" s="36"/>
      <c r="CT679" s="36"/>
      <c r="CU679" s="36"/>
      <c r="CV679" s="36"/>
      <c r="CW679" s="36"/>
      <c r="CX679" s="36"/>
      <c r="CY679" s="36"/>
      <c r="CZ679" s="36"/>
      <c r="DA679" s="36"/>
      <c r="DB679" s="36"/>
      <c r="DC679" s="36"/>
      <c r="DD679" s="36"/>
      <c r="DE679" s="36"/>
      <c r="DF679" s="36"/>
      <c r="DG679" s="36"/>
      <c r="DH679" s="36"/>
      <c r="DI679" s="36"/>
      <c r="DJ679" s="36"/>
      <c r="DK679" s="36"/>
      <c r="DL679" s="36"/>
      <c r="DM679" s="36"/>
      <c r="DN679" s="36"/>
      <c r="DO679" s="36"/>
      <c r="DP679" s="36"/>
      <c r="DQ679" s="36"/>
      <c r="DR679" s="36"/>
      <c r="DS679" s="36"/>
    </row>
    <row r="680" spans="1:123" ht="14.45">
      <c r="A680"/>
      <c r="B680"/>
      <c r="C680"/>
      <c r="D680"/>
      <c r="E680"/>
      <c r="F680"/>
      <c r="G680"/>
      <c r="H680"/>
      <c r="I680"/>
      <c r="J680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  <c r="BR680" s="36"/>
      <c r="BS680" s="36"/>
      <c r="BT680" s="36"/>
      <c r="BU680" s="36"/>
      <c r="BV680" s="36"/>
      <c r="BW680" s="36"/>
      <c r="BX680" s="36"/>
      <c r="BY680" s="36"/>
      <c r="BZ680" s="36"/>
      <c r="CA680" s="36"/>
      <c r="CB680" s="36"/>
      <c r="CC680" s="36"/>
      <c r="CD680" s="36"/>
      <c r="CE680" s="36"/>
      <c r="CF680" s="36"/>
      <c r="CG680" s="36"/>
      <c r="CH680" s="36"/>
      <c r="CI680" s="36"/>
      <c r="CJ680" s="36"/>
      <c r="CK680" s="36"/>
      <c r="CL680" s="36"/>
      <c r="CM680" s="36"/>
      <c r="CN680" s="36"/>
      <c r="CO680" s="36"/>
      <c r="CP680" s="36"/>
      <c r="CQ680" s="36"/>
      <c r="CR680" s="36"/>
      <c r="CS680" s="36"/>
      <c r="CT680" s="36"/>
      <c r="CU680" s="36"/>
      <c r="CV680" s="36"/>
      <c r="CW680" s="36"/>
      <c r="CX680" s="36"/>
      <c r="CY680" s="36"/>
      <c r="CZ680" s="36"/>
      <c r="DA680" s="36"/>
      <c r="DB680" s="36"/>
      <c r="DC680" s="36"/>
      <c r="DD680" s="36"/>
      <c r="DE680" s="36"/>
      <c r="DF680" s="36"/>
      <c r="DG680" s="36"/>
      <c r="DH680" s="36"/>
      <c r="DI680" s="36"/>
      <c r="DJ680" s="36"/>
      <c r="DK680" s="36"/>
      <c r="DL680" s="36"/>
      <c r="DM680" s="36"/>
      <c r="DN680" s="36"/>
      <c r="DO680" s="36"/>
      <c r="DP680" s="36"/>
      <c r="DQ680" s="36"/>
      <c r="DR680" s="36"/>
      <c r="DS680" s="36"/>
    </row>
    <row r="681" spans="1:123" ht="14.45">
      <c r="A681"/>
      <c r="B681"/>
      <c r="C681"/>
      <c r="D681"/>
      <c r="E681"/>
      <c r="F681"/>
      <c r="G681"/>
      <c r="H681"/>
      <c r="I681"/>
      <c r="J681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  <c r="BR681" s="36"/>
      <c r="BS681" s="36"/>
      <c r="BT681" s="36"/>
      <c r="BU681" s="36"/>
      <c r="BV681" s="36"/>
      <c r="BW681" s="36"/>
      <c r="BX681" s="36"/>
      <c r="BY681" s="36"/>
      <c r="BZ681" s="36"/>
      <c r="CA681" s="36"/>
      <c r="CB681" s="36"/>
      <c r="CC681" s="36"/>
      <c r="CD681" s="36"/>
      <c r="CE681" s="36"/>
      <c r="CF681" s="36"/>
      <c r="CG681" s="36"/>
      <c r="CH681" s="36"/>
      <c r="CI681" s="36"/>
      <c r="CJ681" s="36"/>
      <c r="CK681" s="36"/>
      <c r="CL681" s="36"/>
      <c r="CM681" s="36"/>
      <c r="CN681" s="36"/>
      <c r="CO681" s="36"/>
      <c r="CP681" s="36"/>
      <c r="CQ681" s="36"/>
      <c r="CR681" s="36"/>
      <c r="CS681" s="36"/>
      <c r="CT681" s="36"/>
      <c r="CU681" s="36"/>
      <c r="CV681" s="36"/>
      <c r="CW681" s="36"/>
      <c r="CX681" s="36"/>
      <c r="CY681" s="36"/>
      <c r="CZ681" s="36"/>
      <c r="DA681" s="36"/>
      <c r="DB681" s="36"/>
      <c r="DC681" s="36"/>
      <c r="DD681" s="36"/>
      <c r="DE681" s="36"/>
      <c r="DF681" s="36"/>
      <c r="DG681" s="36"/>
      <c r="DH681" s="36"/>
      <c r="DI681" s="36"/>
      <c r="DJ681" s="36"/>
      <c r="DK681" s="36"/>
      <c r="DL681" s="36"/>
      <c r="DM681" s="36"/>
      <c r="DN681" s="36"/>
      <c r="DO681" s="36"/>
      <c r="DP681" s="36"/>
      <c r="DQ681" s="36"/>
      <c r="DR681" s="36"/>
      <c r="DS681" s="36"/>
    </row>
    <row r="682" spans="1:123" ht="14.45">
      <c r="A682"/>
      <c r="B682"/>
      <c r="C682"/>
      <c r="D682"/>
      <c r="E682"/>
      <c r="F682"/>
      <c r="G682"/>
      <c r="H682"/>
      <c r="I682"/>
      <c r="J682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  <c r="BR682" s="36"/>
      <c r="BS682" s="36"/>
      <c r="BT682" s="36"/>
      <c r="BU682" s="36"/>
      <c r="BV682" s="36"/>
      <c r="BW682" s="36"/>
      <c r="BX682" s="36"/>
      <c r="BY682" s="36"/>
      <c r="BZ682" s="36"/>
      <c r="CA682" s="36"/>
      <c r="CB682" s="36"/>
      <c r="CC682" s="36"/>
      <c r="CD682" s="36"/>
      <c r="CE682" s="36"/>
      <c r="CF682" s="36"/>
      <c r="CG682" s="36"/>
      <c r="CH682" s="36"/>
      <c r="CI682" s="36"/>
      <c r="CJ682" s="36"/>
      <c r="CK682" s="36"/>
      <c r="CL682" s="36"/>
      <c r="CM682" s="36"/>
      <c r="CN682" s="36"/>
      <c r="CO682" s="36"/>
      <c r="CP682" s="36"/>
      <c r="CQ682" s="36"/>
      <c r="CR682" s="36"/>
      <c r="CS682" s="36"/>
      <c r="CT682" s="36"/>
      <c r="CU682" s="36"/>
      <c r="CV682" s="36"/>
      <c r="CW682" s="36"/>
      <c r="CX682" s="36"/>
      <c r="CY682" s="36"/>
      <c r="CZ682" s="36"/>
      <c r="DA682" s="36"/>
      <c r="DB682" s="36"/>
      <c r="DC682" s="36"/>
      <c r="DD682" s="36"/>
      <c r="DE682" s="36"/>
      <c r="DF682" s="36"/>
      <c r="DG682" s="36"/>
      <c r="DH682" s="36"/>
      <c r="DI682" s="36"/>
      <c r="DJ682" s="36"/>
      <c r="DK682" s="36"/>
      <c r="DL682" s="36"/>
      <c r="DM682" s="36"/>
      <c r="DN682" s="36"/>
      <c r="DO682" s="36"/>
      <c r="DP682" s="36"/>
      <c r="DQ682" s="36"/>
      <c r="DR682" s="36"/>
      <c r="DS682" s="36"/>
    </row>
    <row r="683" spans="1:123" ht="14.45">
      <c r="A683"/>
      <c r="B683"/>
      <c r="C683"/>
      <c r="D683"/>
      <c r="E683"/>
      <c r="F683"/>
      <c r="G683"/>
      <c r="H683"/>
      <c r="I683"/>
      <c r="J683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  <c r="BR683" s="36"/>
      <c r="BS683" s="36"/>
      <c r="BT683" s="36"/>
      <c r="BU683" s="36"/>
      <c r="BV683" s="36"/>
      <c r="BW683" s="36"/>
      <c r="BX683" s="36"/>
      <c r="BY683" s="36"/>
      <c r="BZ683" s="36"/>
      <c r="CA683" s="36"/>
      <c r="CB683" s="36"/>
      <c r="CC683" s="36"/>
      <c r="CD683" s="36"/>
      <c r="CE683" s="36"/>
      <c r="CF683" s="36"/>
      <c r="CG683" s="36"/>
      <c r="CH683" s="36"/>
      <c r="CI683" s="36"/>
      <c r="CJ683" s="36"/>
      <c r="CK683" s="36"/>
      <c r="CL683" s="36"/>
      <c r="CM683" s="36"/>
      <c r="CN683" s="36"/>
      <c r="CO683" s="36"/>
      <c r="CP683" s="36"/>
      <c r="CQ683" s="36"/>
      <c r="CR683" s="36"/>
      <c r="CS683" s="36"/>
      <c r="CT683" s="36"/>
      <c r="CU683" s="36"/>
      <c r="CV683" s="36"/>
      <c r="CW683" s="36"/>
      <c r="CX683" s="36"/>
      <c r="CY683" s="36"/>
      <c r="CZ683" s="36"/>
      <c r="DA683" s="36"/>
      <c r="DB683" s="36"/>
      <c r="DC683" s="36"/>
      <c r="DD683" s="36"/>
      <c r="DE683" s="36"/>
      <c r="DF683" s="36"/>
      <c r="DG683" s="36"/>
      <c r="DH683" s="36"/>
      <c r="DI683" s="36"/>
      <c r="DJ683" s="36"/>
      <c r="DK683" s="36"/>
      <c r="DL683" s="36"/>
      <c r="DM683" s="36"/>
      <c r="DN683" s="36"/>
      <c r="DO683" s="36"/>
      <c r="DP683" s="36"/>
      <c r="DQ683" s="36"/>
      <c r="DR683" s="36"/>
      <c r="DS683" s="36"/>
    </row>
    <row r="684" spans="1:123" ht="14.45">
      <c r="A684"/>
      <c r="B684"/>
      <c r="C684"/>
      <c r="D684"/>
      <c r="E684"/>
      <c r="F684"/>
      <c r="G684"/>
      <c r="H684"/>
      <c r="I684"/>
      <c r="J684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  <c r="BR684" s="36"/>
      <c r="BS684" s="36"/>
      <c r="BT684" s="36"/>
      <c r="BU684" s="36"/>
      <c r="BV684" s="36"/>
      <c r="BW684" s="36"/>
      <c r="BX684" s="36"/>
      <c r="BY684" s="36"/>
      <c r="BZ684" s="36"/>
      <c r="CA684" s="36"/>
      <c r="CB684" s="36"/>
      <c r="CC684" s="36"/>
      <c r="CD684" s="36"/>
      <c r="CE684" s="36"/>
      <c r="CF684" s="36"/>
      <c r="CG684" s="36"/>
      <c r="CH684" s="36"/>
      <c r="CI684" s="36"/>
      <c r="CJ684" s="36"/>
      <c r="CK684" s="36"/>
      <c r="CL684" s="36"/>
      <c r="CM684" s="36"/>
      <c r="CN684" s="36"/>
      <c r="CO684" s="36"/>
      <c r="CP684" s="36"/>
      <c r="CQ684" s="36"/>
      <c r="CR684" s="36"/>
      <c r="CS684" s="36"/>
      <c r="CT684" s="36"/>
      <c r="CU684" s="36"/>
      <c r="CV684" s="36"/>
      <c r="CW684" s="36"/>
      <c r="CX684" s="36"/>
      <c r="CY684" s="36"/>
      <c r="CZ684" s="36"/>
      <c r="DA684" s="36"/>
      <c r="DB684" s="36"/>
      <c r="DC684" s="36"/>
      <c r="DD684" s="36"/>
      <c r="DE684" s="36"/>
      <c r="DF684" s="36"/>
      <c r="DG684" s="36"/>
      <c r="DH684" s="36"/>
      <c r="DI684" s="36"/>
      <c r="DJ684" s="36"/>
      <c r="DK684" s="36"/>
      <c r="DL684" s="36"/>
      <c r="DM684" s="36"/>
      <c r="DN684" s="36"/>
      <c r="DO684" s="36"/>
      <c r="DP684" s="36"/>
      <c r="DQ684" s="36"/>
      <c r="DR684" s="36"/>
      <c r="DS684" s="36"/>
    </row>
    <row r="685" spans="1:123" ht="14.45">
      <c r="A685"/>
      <c r="B685"/>
      <c r="C685"/>
      <c r="D685"/>
      <c r="E685"/>
      <c r="F685"/>
      <c r="G685"/>
      <c r="H685"/>
      <c r="I685"/>
      <c r="J685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6"/>
      <c r="CI685" s="36"/>
      <c r="CJ685" s="36"/>
      <c r="CK685" s="36"/>
      <c r="CL685" s="36"/>
      <c r="CM685" s="36"/>
      <c r="CN685" s="36"/>
      <c r="CO685" s="36"/>
      <c r="CP685" s="36"/>
      <c r="CQ685" s="36"/>
      <c r="CR685" s="36"/>
      <c r="CS685" s="36"/>
      <c r="CT685" s="36"/>
      <c r="CU685" s="36"/>
      <c r="CV685" s="36"/>
      <c r="CW685" s="36"/>
      <c r="CX685" s="36"/>
      <c r="CY685" s="36"/>
      <c r="CZ685" s="36"/>
      <c r="DA685" s="36"/>
      <c r="DB685" s="36"/>
      <c r="DC685" s="36"/>
      <c r="DD685" s="36"/>
      <c r="DE685" s="36"/>
      <c r="DF685" s="36"/>
      <c r="DG685" s="36"/>
      <c r="DH685" s="36"/>
      <c r="DI685" s="36"/>
      <c r="DJ685" s="36"/>
      <c r="DK685" s="36"/>
      <c r="DL685" s="36"/>
      <c r="DM685" s="36"/>
      <c r="DN685" s="36"/>
      <c r="DO685" s="36"/>
      <c r="DP685" s="36"/>
      <c r="DQ685" s="36"/>
      <c r="DR685" s="36"/>
      <c r="DS685" s="36"/>
    </row>
    <row r="686" spans="1:123" ht="14.45">
      <c r="A686"/>
      <c r="B686"/>
      <c r="C686"/>
      <c r="D686"/>
      <c r="E686"/>
      <c r="F686"/>
      <c r="G686"/>
      <c r="H686"/>
      <c r="I686"/>
      <c r="J68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  <c r="BR686" s="36"/>
      <c r="BS686" s="36"/>
      <c r="BT686" s="36"/>
      <c r="BU686" s="36"/>
      <c r="BV686" s="36"/>
      <c r="BW686" s="36"/>
      <c r="BX686" s="36"/>
      <c r="BY686" s="36"/>
      <c r="BZ686" s="36"/>
      <c r="CA686" s="36"/>
      <c r="CB686" s="36"/>
      <c r="CC686" s="36"/>
      <c r="CD686" s="36"/>
      <c r="CE686" s="36"/>
      <c r="CF686" s="36"/>
      <c r="CG686" s="36"/>
      <c r="CH686" s="36"/>
      <c r="CI686" s="36"/>
      <c r="CJ686" s="36"/>
      <c r="CK686" s="36"/>
      <c r="CL686" s="36"/>
      <c r="CM686" s="36"/>
      <c r="CN686" s="36"/>
      <c r="CO686" s="36"/>
      <c r="CP686" s="36"/>
      <c r="CQ686" s="36"/>
      <c r="CR686" s="36"/>
      <c r="CS686" s="36"/>
      <c r="CT686" s="36"/>
      <c r="CU686" s="36"/>
      <c r="CV686" s="36"/>
      <c r="CW686" s="36"/>
      <c r="CX686" s="36"/>
      <c r="CY686" s="36"/>
      <c r="CZ686" s="36"/>
      <c r="DA686" s="36"/>
      <c r="DB686" s="36"/>
      <c r="DC686" s="36"/>
      <c r="DD686" s="36"/>
      <c r="DE686" s="36"/>
      <c r="DF686" s="36"/>
      <c r="DG686" s="36"/>
      <c r="DH686" s="36"/>
      <c r="DI686" s="36"/>
      <c r="DJ686" s="36"/>
      <c r="DK686" s="36"/>
      <c r="DL686" s="36"/>
      <c r="DM686" s="36"/>
      <c r="DN686" s="36"/>
      <c r="DO686" s="36"/>
      <c r="DP686" s="36"/>
      <c r="DQ686" s="36"/>
      <c r="DR686" s="36"/>
      <c r="DS686" s="36"/>
    </row>
    <row r="687" spans="1:123" ht="14.45">
      <c r="A687"/>
      <c r="B687"/>
      <c r="C687"/>
      <c r="D687"/>
      <c r="E687"/>
      <c r="F687"/>
      <c r="G687"/>
      <c r="H687"/>
      <c r="I687"/>
      <c r="J687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CL687" s="36"/>
      <c r="CM687" s="36"/>
      <c r="CN687" s="36"/>
      <c r="CO687" s="36"/>
      <c r="CP687" s="36"/>
      <c r="CQ687" s="36"/>
      <c r="CR687" s="36"/>
      <c r="CS687" s="36"/>
      <c r="CT687" s="36"/>
      <c r="CU687" s="36"/>
      <c r="CV687" s="36"/>
      <c r="CW687" s="36"/>
      <c r="CX687" s="36"/>
      <c r="CY687" s="36"/>
      <c r="CZ687" s="36"/>
      <c r="DA687" s="36"/>
      <c r="DB687" s="36"/>
      <c r="DC687" s="36"/>
      <c r="DD687" s="36"/>
      <c r="DE687" s="36"/>
      <c r="DF687" s="36"/>
      <c r="DG687" s="36"/>
      <c r="DH687" s="36"/>
      <c r="DI687" s="36"/>
      <c r="DJ687" s="36"/>
      <c r="DK687" s="36"/>
      <c r="DL687" s="36"/>
      <c r="DM687" s="36"/>
      <c r="DN687" s="36"/>
      <c r="DO687" s="36"/>
      <c r="DP687" s="36"/>
      <c r="DQ687" s="36"/>
      <c r="DR687" s="36"/>
      <c r="DS687" s="36"/>
    </row>
    <row r="688" spans="1:123" ht="14.45">
      <c r="A688"/>
      <c r="B688"/>
      <c r="C688"/>
      <c r="D688"/>
      <c r="E688"/>
      <c r="F688"/>
      <c r="G688"/>
      <c r="H688"/>
      <c r="I688"/>
      <c r="J688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  <c r="BS688" s="36"/>
      <c r="BT688" s="36"/>
      <c r="BU688" s="36"/>
      <c r="BV688" s="36"/>
      <c r="BW688" s="36"/>
      <c r="BX688" s="36"/>
      <c r="BY688" s="36"/>
      <c r="BZ688" s="36"/>
      <c r="CA688" s="36"/>
      <c r="CB688" s="36"/>
      <c r="CC688" s="36"/>
      <c r="CD688" s="36"/>
      <c r="CE688" s="36"/>
      <c r="CF688" s="36"/>
      <c r="CG688" s="36"/>
      <c r="CH688" s="36"/>
      <c r="CI688" s="36"/>
      <c r="CJ688" s="36"/>
      <c r="CK688" s="36"/>
      <c r="CL688" s="36"/>
      <c r="CM688" s="36"/>
      <c r="CN688" s="36"/>
      <c r="CO688" s="36"/>
      <c r="CP688" s="36"/>
      <c r="CQ688" s="36"/>
      <c r="CR688" s="36"/>
      <c r="CS688" s="36"/>
      <c r="CT688" s="36"/>
      <c r="CU688" s="36"/>
      <c r="CV688" s="36"/>
      <c r="CW688" s="36"/>
      <c r="CX688" s="36"/>
      <c r="CY688" s="36"/>
      <c r="CZ688" s="36"/>
      <c r="DA688" s="36"/>
      <c r="DB688" s="36"/>
      <c r="DC688" s="36"/>
      <c r="DD688" s="36"/>
      <c r="DE688" s="36"/>
      <c r="DF688" s="36"/>
      <c r="DG688" s="36"/>
      <c r="DH688" s="36"/>
      <c r="DI688" s="36"/>
      <c r="DJ688" s="36"/>
      <c r="DK688" s="36"/>
      <c r="DL688" s="36"/>
      <c r="DM688" s="36"/>
      <c r="DN688" s="36"/>
      <c r="DO688" s="36"/>
      <c r="DP688" s="36"/>
      <c r="DQ688" s="36"/>
      <c r="DR688" s="36"/>
      <c r="DS688" s="36"/>
    </row>
    <row r="689" spans="1:123" ht="14.45">
      <c r="A689"/>
      <c r="B689"/>
      <c r="C689"/>
      <c r="D689"/>
      <c r="E689"/>
      <c r="F689"/>
      <c r="G689"/>
      <c r="H689"/>
      <c r="I689"/>
      <c r="J689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  <c r="BR689" s="36"/>
      <c r="BS689" s="36"/>
      <c r="BT689" s="36"/>
      <c r="BU689" s="36"/>
      <c r="BV689" s="36"/>
      <c r="BW689" s="36"/>
      <c r="BX689" s="36"/>
      <c r="BY689" s="36"/>
      <c r="BZ689" s="36"/>
      <c r="CA689" s="36"/>
      <c r="CB689" s="36"/>
      <c r="CC689" s="36"/>
      <c r="CD689" s="36"/>
      <c r="CE689" s="36"/>
      <c r="CF689" s="36"/>
      <c r="CG689" s="36"/>
      <c r="CH689" s="36"/>
      <c r="CI689" s="36"/>
      <c r="CJ689" s="36"/>
      <c r="CK689" s="36"/>
      <c r="CL689" s="36"/>
      <c r="CM689" s="36"/>
      <c r="CN689" s="36"/>
      <c r="CO689" s="36"/>
      <c r="CP689" s="36"/>
      <c r="CQ689" s="36"/>
      <c r="CR689" s="36"/>
      <c r="CS689" s="36"/>
      <c r="CT689" s="36"/>
      <c r="CU689" s="36"/>
      <c r="CV689" s="36"/>
      <c r="CW689" s="36"/>
      <c r="CX689" s="36"/>
      <c r="CY689" s="36"/>
      <c r="CZ689" s="36"/>
      <c r="DA689" s="36"/>
      <c r="DB689" s="36"/>
      <c r="DC689" s="36"/>
      <c r="DD689" s="36"/>
      <c r="DE689" s="36"/>
      <c r="DF689" s="36"/>
      <c r="DG689" s="36"/>
      <c r="DH689" s="36"/>
      <c r="DI689" s="36"/>
      <c r="DJ689" s="36"/>
      <c r="DK689" s="36"/>
      <c r="DL689" s="36"/>
      <c r="DM689" s="36"/>
      <c r="DN689" s="36"/>
      <c r="DO689" s="36"/>
      <c r="DP689" s="36"/>
      <c r="DQ689" s="36"/>
      <c r="DR689" s="36"/>
      <c r="DS689" s="36"/>
    </row>
    <row r="690" spans="1:123" ht="14.45">
      <c r="A690"/>
      <c r="B690"/>
      <c r="C690"/>
      <c r="D690"/>
      <c r="E690"/>
      <c r="F690"/>
      <c r="G690"/>
      <c r="H690"/>
      <c r="I690"/>
      <c r="J690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/>
      <c r="BS690" s="36"/>
      <c r="BT690" s="36"/>
      <c r="BU690" s="36"/>
      <c r="BV690" s="36"/>
      <c r="BW690" s="36"/>
      <c r="BX690" s="36"/>
      <c r="BY690" s="36"/>
      <c r="BZ690" s="36"/>
      <c r="CA690" s="36"/>
      <c r="CB690" s="36"/>
      <c r="CC690" s="36"/>
      <c r="CD690" s="36"/>
      <c r="CE690" s="36"/>
      <c r="CF690" s="36"/>
      <c r="CG690" s="36"/>
      <c r="CH690" s="36"/>
      <c r="CI690" s="36"/>
      <c r="CJ690" s="36"/>
      <c r="CK690" s="36"/>
      <c r="CL690" s="36"/>
      <c r="CM690" s="36"/>
      <c r="CN690" s="36"/>
      <c r="CO690" s="36"/>
      <c r="CP690" s="36"/>
      <c r="CQ690" s="36"/>
      <c r="CR690" s="36"/>
      <c r="CS690" s="36"/>
      <c r="CT690" s="36"/>
      <c r="CU690" s="36"/>
      <c r="CV690" s="36"/>
      <c r="CW690" s="36"/>
      <c r="CX690" s="36"/>
      <c r="CY690" s="36"/>
      <c r="CZ690" s="36"/>
      <c r="DA690" s="36"/>
      <c r="DB690" s="36"/>
      <c r="DC690" s="36"/>
      <c r="DD690" s="36"/>
      <c r="DE690" s="36"/>
      <c r="DF690" s="36"/>
      <c r="DG690" s="36"/>
      <c r="DH690" s="36"/>
      <c r="DI690" s="36"/>
      <c r="DJ690" s="36"/>
      <c r="DK690" s="36"/>
      <c r="DL690" s="36"/>
      <c r="DM690" s="36"/>
      <c r="DN690" s="36"/>
      <c r="DO690" s="36"/>
      <c r="DP690" s="36"/>
      <c r="DQ690" s="36"/>
      <c r="DR690" s="36"/>
      <c r="DS690" s="36"/>
    </row>
    <row r="691" spans="1:123" ht="14.45">
      <c r="A691"/>
      <c r="B691"/>
      <c r="C691"/>
      <c r="D691"/>
      <c r="E691"/>
      <c r="F691"/>
      <c r="G691"/>
      <c r="H691"/>
      <c r="I691"/>
      <c r="J691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  <c r="BR691" s="36"/>
      <c r="BS691" s="36"/>
      <c r="BT691" s="36"/>
      <c r="BU691" s="36"/>
      <c r="BV691" s="36"/>
      <c r="BW691" s="36"/>
      <c r="BX691" s="36"/>
      <c r="BY691" s="36"/>
      <c r="BZ691" s="36"/>
      <c r="CA691" s="36"/>
      <c r="CB691" s="36"/>
      <c r="CC691" s="36"/>
      <c r="CD691" s="36"/>
      <c r="CE691" s="36"/>
      <c r="CF691" s="36"/>
      <c r="CG691" s="36"/>
      <c r="CH691" s="36"/>
      <c r="CI691" s="36"/>
      <c r="CJ691" s="36"/>
      <c r="CK691" s="36"/>
      <c r="CL691" s="36"/>
      <c r="CM691" s="36"/>
      <c r="CN691" s="36"/>
      <c r="CO691" s="36"/>
      <c r="CP691" s="36"/>
      <c r="CQ691" s="36"/>
      <c r="CR691" s="36"/>
      <c r="CS691" s="36"/>
      <c r="CT691" s="36"/>
      <c r="CU691" s="36"/>
      <c r="CV691" s="36"/>
      <c r="CW691" s="36"/>
      <c r="CX691" s="36"/>
      <c r="CY691" s="36"/>
      <c r="CZ691" s="36"/>
      <c r="DA691" s="36"/>
      <c r="DB691" s="36"/>
      <c r="DC691" s="36"/>
      <c r="DD691" s="36"/>
      <c r="DE691" s="36"/>
      <c r="DF691" s="36"/>
      <c r="DG691" s="36"/>
      <c r="DH691" s="36"/>
      <c r="DI691" s="36"/>
      <c r="DJ691" s="36"/>
      <c r="DK691" s="36"/>
      <c r="DL691" s="36"/>
      <c r="DM691" s="36"/>
      <c r="DN691" s="36"/>
      <c r="DO691" s="36"/>
      <c r="DP691" s="36"/>
      <c r="DQ691" s="36"/>
      <c r="DR691" s="36"/>
      <c r="DS691" s="36"/>
    </row>
    <row r="692" spans="1:123" ht="14.45">
      <c r="A692"/>
      <c r="B692"/>
      <c r="C692"/>
      <c r="D692"/>
      <c r="E692"/>
      <c r="F692"/>
      <c r="G692"/>
      <c r="H692"/>
      <c r="I692"/>
      <c r="J692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CL692" s="36"/>
      <c r="CM692" s="36"/>
      <c r="CN692" s="36"/>
      <c r="CO692" s="36"/>
      <c r="CP692" s="36"/>
      <c r="CQ692" s="36"/>
      <c r="CR692" s="36"/>
      <c r="CS692" s="36"/>
      <c r="CT692" s="36"/>
      <c r="CU692" s="36"/>
      <c r="CV692" s="36"/>
      <c r="CW692" s="36"/>
      <c r="CX692" s="36"/>
      <c r="CY692" s="36"/>
      <c r="CZ692" s="36"/>
      <c r="DA692" s="36"/>
      <c r="DB692" s="36"/>
      <c r="DC692" s="36"/>
      <c r="DD692" s="36"/>
      <c r="DE692" s="36"/>
      <c r="DF692" s="36"/>
      <c r="DG692" s="36"/>
      <c r="DH692" s="36"/>
      <c r="DI692" s="36"/>
      <c r="DJ692" s="36"/>
      <c r="DK692" s="36"/>
      <c r="DL692" s="36"/>
      <c r="DM692" s="36"/>
      <c r="DN692" s="36"/>
      <c r="DO692" s="36"/>
      <c r="DP692" s="36"/>
      <c r="DQ692" s="36"/>
      <c r="DR692" s="36"/>
      <c r="DS692" s="36"/>
    </row>
    <row r="693" spans="1:123" ht="14.45">
      <c r="A693"/>
      <c r="B693"/>
      <c r="C693"/>
      <c r="D693"/>
      <c r="E693"/>
      <c r="F693"/>
      <c r="G693"/>
      <c r="H693"/>
      <c r="I693"/>
      <c r="J693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  <c r="BR693" s="36"/>
      <c r="BS693" s="36"/>
      <c r="BT693" s="36"/>
      <c r="BU693" s="36"/>
      <c r="BV693" s="36"/>
      <c r="BW693" s="36"/>
      <c r="BX693" s="36"/>
      <c r="BY693" s="36"/>
      <c r="BZ693" s="36"/>
      <c r="CA693" s="36"/>
      <c r="CB693" s="36"/>
      <c r="CC693" s="36"/>
      <c r="CD693" s="36"/>
      <c r="CE693" s="36"/>
      <c r="CF693" s="36"/>
      <c r="CG693" s="36"/>
      <c r="CH693" s="36"/>
      <c r="CI693" s="36"/>
      <c r="CJ693" s="36"/>
      <c r="CK693" s="36"/>
      <c r="CL693" s="36"/>
      <c r="CM693" s="36"/>
      <c r="CN693" s="36"/>
      <c r="CO693" s="36"/>
      <c r="CP693" s="36"/>
      <c r="CQ693" s="36"/>
      <c r="CR693" s="36"/>
      <c r="CS693" s="36"/>
      <c r="CT693" s="36"/>
      <c r="CU693" s="36"/>
      <c r="CV693" s="36"/>
      <c r="CW693" s="36"/>
      <c r="CX693" s="36"/>
      <c r="CY693" s="36"/>
      <c r="CZ693" s="36"/>
      <c r="DA693" s="36"/>
      <c r="DB693" s="36"/>
      <c r="DC693" s="36"/>
      <c r="DD693" s="36"/>
      <c r="DE693" s="36"/>
      <c r="DF693" s="36"/>
      <c r="DG693" s="36"/>
      <c r="DH693" s="36"/>
      <c r="DI693" s="36"/>
      <c r="DJ693" s="36"/>
      <c r="DK693" s="36"/>
      <c r="DL693" s="36"/>
      <c r="DM693" s="36"/>
      <c r="DN693" s="36"/>
      <c r="DO693" s="36"/>
      <c r="DP693" s="36"/>
      <c r="DQ693" s="36"/>
      <c r="DR693" s="36"/>
      <c r="DS693" s="36"/>
    </row>
    <row r="694" spans="1:123" ht="14.45">
      <c r="A694"/>
      <c r="B694"/>
      <c r="C694"/>
      <c r="D694"/>
      <c r="E694"/>
      <c r="F694"/>
      <c r="G694"/>
      <c r="H694"/>
      <c r="I694"/>
      <c r="J694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  <c r="BR694" s="36"/>
      <c r="BS694" s="36"/>
      <c r="BT694" s="36"/>
      <c r="BU694" s="36"/>
      <c r="BV694" s="36"/>
      <c r="BW694" s="36"/>
      <c r="BX694" s="36"/>
      <c r="BY694" s="36"/>
      <c r="BZ694" s="36"/>
      <c r="CA694" s="36"/>
      <c r="CB694" s="36"/>
      <c r="CC694" s="36"/>
      <c r="CD694" s="36"/>
      <c r="CE694" s="36"/>
      <c r="CF694" s="36"/>
      <c r="CG694" s="36"/>
      <c r="CH694" s="36"/>
      <c r="CI694" s="36"/>
      <c r="CJ694" s="36"/>
      <c r="CK694" s="36"/>
      <c r="CL694" s="36"/>
      <c r="CM694" s="36"/>
      <c r="CN694" s="36"/>
      <c r="CO694" s="36"/>
      <c r="CP694" s="36"/>
      <c r="CQ694" s="36"/>
      <c r="CR694" s="36"/>
      <c r="CS694" s="36"/>
      <c r="CT694" s="36"/>
      <c r="CU694" s="36"/>
      <c r="CV694" s="36"/>
      <c r="CW694" s="36"/>
      <c r="CX694" s="36"/>
      <c r="CY694" s="36"/>
      <c r="CZ694" s="36"/>
      <c r="DA694" s="36"/>
      <c r="DB694" s="36"/>
      <c r="DC694" s="36"/>
      <c r="DD694" s="36"/>
      <c r="DE694" s="36"/>
      <c r="DF694" s="36"/>
      <c r="DG694" s="36"/>
      <c r="DH694" s="36"/>
      <c r="DI694" s="36"/>
      <c r="DJ694" s="36"/>
      <c r="DK694" s="36"/>
      <c r="DL694" s="36"/>
      <c r="DM694" s="36"/>
      <c r="DN694" s="36"/>
      <c r="DO694" s="36"/>
      <c r="DP694" s="36"/>
      <c r="DQ694" s="36"/>
      <c r="DR694" s="36"/>
      <c r="DS694" s="36"/>
    </row>
    <row r="695" spans="1:123" ht="14.45">
      <c r="A695"/>
      <c r="B695"/>
      <c r="C695"/>
      <c r="D695"/>
      <c r="E695"/>
      <c r="F695"/>
      <c r="G695"/>
      <c r="H695"/>
      <c r="I695"/>
      <c r="J695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  <c r="BR695" s="36"/>
      <c r="BS695" s="36"/>
      <c r="BT695" s="36"/>
      <c r="BU695" s="36"/>
      <c r="BV695" s="36"/>
      <c r="BW695" s="36"/>
      <c r="BX695" s="36"/>
      <c r="BY695" s="36"/>
      <c r="BZ695" s="36"/>
      <c r="CA695" s="36"/>
      <c r="CB695" s="36"/>
      <c r="CC695" s="36"/>
      <c r="CD695" s="36"/>
      <c r="CE695" s="36"/>
      <c r="CF695" s="36"/>
      <c r="CG695" s="36"/>
      <c r="CH695" s="36"/>
      <c r="CI695" s="36"/>
      <c r="CJ695" s="36"/>
      <c r="CK695" s="36"/>
      <c r="CL695" s="36"/>
      <c r="CM695" s="36"/>
      <c r="CN695" s="36"/>
      <c r="CO695" s="36"/>
      <c r="CP695" s="36"/>
      <c r="CQ695" s="36"/>
      <c r="CR695" s="36"/>
      <c r="CS695" s="36"/>
      <c r="CT695" s="36"/>
      <c r="CU695" s="36"/>
      <c r="CV695" s="36"/>
      <c r="CW695" s="36"/>
      <c r="CX695" s="36"/>
      <c r="CY695" s="36"/>
      <c r="CZ695" s="36"/>
      <c r="DA695" s="36"/>
      <c r="DB695" s="36"/>
      <c r="DC695" s="36"/>
      <c r="DD695" s="36"/>
      <c r="DE695" s="36"/>
      <c r="DF695" s="36"/>
      <c r="DG695" s="36"/>
      <c r="DH695" s="36"/>
      <c r="DI695" s="36"/>
      <c r="DJ695" s="36"/>
      <c r="DK695" s="36"/>
      <c r="DL695" s="36"/>
      <c r="DM695" s="36"/>
      <c r="DN695" s="36"/>
      <c r="DO695" s="36"/>
      <c r="DP695" s="36"/>
      <c r="DQ695" s="36"/>
      <c r="DR695" s="36"/>
      <c r="DS695" s="36"/>
    </row>
    <row r="696" spans="1:123" ht="14.45">
      <c r="A696"/>
      <c r="B696"/>
      <c r="C696"/>
      <c r="D696"/>
      <c r="E696"/>
      <c r="F696"/>
      <c r="G696"/>
      <c r="H696"/>
      <c r="I696"/>
      <c r="J69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  <c r="BS696" s="36"/>
      <c r="BT696" s="36"/>
      <c r="BU696" s="36"/>
      <c r="BV696" s="36"/>
      <c r="BW696" s="36"/>
      <c r="BX696" s="36"/>
      <c r="BY696" s="36"/>
      <c r="BZ696" s="36"/>
      <c r="CA696" s="36"/>
      <c r="CB696" s="36"/>
      <c r="CC696" s="36"/>
      <c r="CD696" s="36"/>
      <c r="CE696" s="36"/>
      <c r="CF696" s="36"/>
      <c r="CG696" s="36"/>
      <c r="CH696" s="36"/>
      <c r="CI696" s="36"/>
      <c r="CJ696" s="36"/>
      <c r="CK696" s="36"/>
      <c r="CL696" s="36"/>
      <c r="CM696" s="36"/>
      <c r="CN696" s="36"/>
      <c r="CO696" s="36"/>
      <c r="CP696" s="36"/>
      <c r="CQ696" s="36"/>
      <c r="CR696" s="36"/>
      <c r="CS696" s="36"/>
      <c r="CT696" s="36"/>
      <c r="CU696" s="36"/>
      <c r="CV696" s="36"/>
      <c r="CW696" s="36"/>
      <c r="CX696" s="36"/>
      <c r="CY696" s="36"/>
      <c r="CZ696" s="36"/>
      <c r="DA696" s="36"/>
      <c r="DB696" s="36"/>
      <c r="DC696" s="36"/>
      <c r="DD696" s="36"/>
      <c r="DE696" s="36"/>
      <c r="DF696" s="36"/>
      <c r="DG696" s="36"/>
      <c r="DH696" s="36"/>
      <c r="DI696" s="36"/>
      <c r="DJ696" s="36"/>
      <c r="DK696" s="36"/>
      <c r="DL696" s="36"/>
      <c r="DM696" s="36"/>
      <c r="DN696" s="36"/>
      <c r="DO696" s="36"/>
      <c r="DP696" s="36"/>
      <c r="DQ696" s="36"/>
      <c r="DR696" s="36"/>
      <c r="DS696" s="36"/>
    </row>
    <row r="697" spans="1:123" ht="14.45">
      <c r="A697"/>
      <c r="B697"/>
      <c r="C697"/>
      <c r="D697"/>
      <c r="E697"/>
      <c r="F697"/>
      <c r="G697"/>
      <c r="H697"/>
      <c r="I697"/>
      <c r="J697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  <c r="BR697" s="36"/>
      <c r="BS697" s="36"/>
      <c r="BT697" s="36"/>
      <c r="BU697" s="36"/>
      <c r="BV697" s="36"/>
      <c r="BW697" s="36"/>
      <c r="BX697" s="36"/>
      <c r="BY697" s="36"/>
      <c r="BZ697" s="36"/>
      <c r="CA697" s="36"/>
      <c r="CB697" s="36"/>
      <c r="CC697" s="36"/>
      <c r="CD697" s="36"/>
      <c r="CE697" s="36"/>
      <c r="CF697" s="36"/>
      <c r="CG697" s="36"/>
      <c r="CH697" s="36"/>
      <c r="CI697" s="36"/>
      <c r="CJ697" s="36"/>
      <c r="CK697" s="36"/>
      <c r="CL697" s="36"/>
      <c r="CM697" s="36"/>
      <c r="CN697" s="36"/>
      <c r="CO697" s="36"/>
      <c r="CP697" s="36"/>
      <c r="CQ697" s="36"/>
      <c r="CR697" s="36"/>
      <c r="CS697" s="36"/>
      <c r="CT697" s="36"/>
      <c r="CU697" s="36"/>
      <c r="CV697" s="36"/>
      <c r="CW697" s="36"/>
      <c r="CX697" s="36"/>
      <c r="CY697" s="36"/>
      <c r="CZ697" s="36"/>
      <c r="DA697" s="36"/>
      <c r="DB697" s="36"/>
      <c r="DC697" s="36"/>
      <c r="DD697" s="36"/>
      <c r="DE697" s="36"/>
      <c r="DF697" s="36"/>
      <c r="DG697" s="36"/>
      <c r="DH697" s="36"/>
      <c r="DI697" s="36"/>
      <c r="DJ697" s="36"/>
      <c r="DK697" s="36"/>
      <c r="DL697" s="36"/>
      <c r="DM697" s="36"/>
      <c r="DN697" s="36"/>
      <c r="DO697" s="36"/>
      <c r="DP697" s="36"/>
      <c r="DQ697" s="36"/>
      <c r="DR697" s="36"/>
      <c r="DS697" s="36"/>
    </row>
    <row r="698" spans="1:123" ht="14.45">
      <c r="A698"/>
      <c r="B698"/>
      <c r="C698"/>
      <c r="D698"/>
      <c r="E698"/>
      <c r="F698"/>
      <c r="G698"/>
      <c r="H698"/>
      <c r="I698"/>
      <c r="J698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  <c r="BR698" s="36"/>
      <c r="BS698" s="36"/>
      <c r="BT698" s="36"/>
      <c r="BU698" s="36"/>
      <c r="BV698" s="36"/>
      <c r="BW698" s="36"/>
      <c r="BX698" s="36"/>
      <c r="BY698" s="36"/>
      <c r="BZ698" s="36"/>
      <c r="CA698" s="36"/>
      <c r="CB698" s="36"/>
      <c r="CC698" s="36"/>
      <c r="CD698" s="36"/>
      <c r="CE698" s="36"/>
      <c r="CF698" s="36"/>
      <c r="CG698" s="36"/>
      <c r="CH698" s="36"/>
      <c r="CI698" s="36"/>
      <c r="CJ698" s="36"/>
      <c r="CK698" s="36"/>
      <c r="CL698" s="36"/>
      <c r="CM698" s="36"/>
      <c r="CN698" s="36"/>
      <c r="CO698" s="36"/>
      <c r="CP698" s="36"/>
      <c r="CQ698" s="36"/>
      <c r="CR698" s="36"/>
      <c r="CS698" s="36"/>
      <c r="CT698" s="36"/>
      <c r="CU698" s="36"/>
      <c r="CV698" s="36"/>
      <c r="CW698" s="36"/>
      <c r="CX698" s="36"/>
      <c r="CY698" s="36"/>
      <c r="CZ698" s="36"/>
      <c r="DA698" s="36"/>
      <c r="DB698" s="36"/>
      <c r="DC698" s="36"/>
      <c r="DD698" s="36"/>
      <c r="DE698" s="36"/>
      <c r="DF698" s="36"/>
      <c r="DG698" s="36"/>
      <c r="DH698" s="36"/>
      <c r="DI698" s="36"/>
      <c r="DJ698" s="36"/>
      <c r="DK698" s="36"/>
      <c r="DL698" s="36"/>
      <c r="DM698" s="36"/>
      <c r="DN698" s="36"/>
      <c r="DO698" s="36"/>
      <c r="DP698" s="36"/>
      <c r="DQ698" s="36"/>
      <c r="DR698" s="36"/>
      <c r="DS698" s="36"/>
    </row>
    <row r="699" spans="1:123" ht="14.45">
      <c r="A699"/>
      <c r="B699"/>
      <c r="C699"/>
      <c r="D699"/>
      <c r="E699"/>
      <c r="F699"/>
      <c r="G699"/>
      <c r="H699"/>
      <c r="I699"/>
      <c r="J699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  <c r="BS699" s="36"/>
      <c r="BT699" s="36"/>
      <c r="BU699" s="36"/>
      <c r="BV699" s="36"/>
      <c r="BW699" s="36"/>
      <c r="BX699" s="36"/>
      <c r="BY699" s="36"/>
      <c r="BZ699" s="36"/>
      <c r="CA699" s="36"/>
      <c r="CB699" s="36"/>
      <c r="CC699" s="36"/>
      <c r="CD699" s="36"/>
      <c r="CE699" s="36"/>
      <c r="CF699" s="36"/>
      <c r="CG699" s="36"/>
      <c r="CH699" s="36"/>
      <c r="CI699" s="36"/>
      <c r="CJ699" s="36"/>
      <c r="CK699" s="36"/>
      <c r="CL699" s="36"/>
      <c r="CM699" s="36"/>
      <c r="CN699" s="36"/>
      <c r="CO699" s="36"/>
      <c r="CP699" s="36"/>
      <c r="CQ699" s="36"/>
      <c r="CR699" s="36"/>
      <c r="CS699" s="36"/>
      <c r="CT699" s="36"/>
      <c r="CU699" s="36"/>
      <c r="CV699" s="36"/>
      <c r="CW699" s="36"/>
      <c r="CX699" s="36"/>
      <c r="CY699" s="36"/>
      <c r="CZ699" s="36"/>
      <c r="DA699" s="36"/>
      <c r="DB699" s="36"/>
      <c r="DC699" s="36"/>
      <c r="DD699" s="36"/>
      <c r="DE699" s="36"/>
      <c r="DF699" s="36"/>
      <c r="DG699" s="36"/>
      <c r="DH699" s="36"/>
      <c r="DI699" s="36"/>
      <c r="DJ699" s="36"/>
      <c r="DK699" s="36"/>
      <c r="DL699" s="36"/>
      <c r="DM699" s="36"/>
      <c r="DN699" s="36"/>
      <c r="DO699" s="36"/>
      <c r="DP699" s="36"/>
      <c r="DQ699" s="36"/>
      <c r="DR699" s="36"/>
      <c r="DS699" s="36"/>
    </row>
    <row r="700" spans="1:123" ht="14.45">
      <c r="A700"/>
      <c r="B700"/>
      <c r="C700"/>
      <c r="D700"/>
      <c r="E700"/>
      <c r="F700"/>
      <c r="G700"/>
      <c r="H700"/>
      <c r="I700"/>
      <c r="J700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  <c r="BS700" s="36"/>
      <c r="BT700" s="36"/>
      <c r="BU700" s="36"/>
      <c r="BV700" s="36"/>
      <c r="BW700" s="36"/>
      <c r="BX700" s="36"/>
      <c r="BY700" s="36"/>
      <c r="BZ700" s="36"/>
      <c r="CA700" s="36"/>
      <c r="CB700" s="36"/>
      <c r="CC700" s="36"/>
      <c r="CD700" s="36"/>
      <c r="CE700" s="36"/>
      <c r="CF700" s="36"/>
      <c r="CG700" s="36"/>
      <c r="CH700" s="36"/>
      <c r="CI700" s="36"/>
      <c r="CJ700" s="36"/>
      <c r="CK700" s="36"/>
      <c r="CL700" s="36"/>
      <c r="CM700" s="36"/>
      <c r="CN700" s="36"/>
      <c r="CO700" s="36"/>
      <c r="CP700" s="36"/>
      <c r="CQ700" s="36"/>
      <c r="CR700" s="36"/>
      <c r="CS700" s="36"/>
      <c r="CT700" s="36"/>
      <c r="CU700" s="36"/>
      <c r="CV700" s="36"/>
      <c r="CW700" s="36"/>
      <c r="CX700" s="36"/>
      <c r="CY700" s="36"/>
      <c r="CZ700" s="36"/>
      <c r="DA700" s="36"/>
      <c r="DB700" s="36"/>
      <c r="DC700" s="36"/>
      <c r="DD700" s="36"/>
      <c r="DE700" s="36"/>
      <c r="DF700" s="36"/>
      <c r="DG700" s="36"/>
      <c r="DH700" s="36"/>
      <c r="DI700" s="36"/>
      <c r="DJ700" s="36"/>
      <c r="DK700" s="36"/>
      <c r="DL700" s="36"/>
      <c r="DM700" s="36"/>
      <c r="DN700" s="36"/>
      <c r="DO700" s="36"/>
      <c r="DP700" s="36"/>
      <c r="DQ700" s="36"/>
      <c r="DR700" s="36"/>
      <c r="DS700" s="36"/>
    </row>
    <row r="701" spans="1:123" ht="14.45">
      <c r="A701"/>
      <c r="B701"/>
      <c r="C701"/>
      <c r="D701"/>
      <c r="E701"/>
      <c r="F701"/>
      <c r="G701"/>
      <c r="H701"/>
      <c r="I701"/>
      <c r="J701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  <c r="BR701" s="36"/>
      <c r="BS701" s="36"/>
      <c r="BT701" s="36"/>
      <c r="BU701" s="36"/>
      <c r="BV701" s="36"/>
      <c r="BW701" s="36"/>
      <c r="BX701" s="36"/>
      <c r="BY701" s="36"/>
      <c r="BZ701" s="36"/>
      <c r="CA701" s="36"/>
      <c r="CB701" s="36"/>
      <c r="CC701" s="36"/>
      <c r="CD701" s="36"/>
      <c r="CE701" s="36"/>
      <c r="CF701" s="36"/>
      <c r="CG701" s="36"/>
      <c r="CH701" s="36"/>
      <c r="CI701" s="36"/>
      <c r="CJ701" s="36"/>
      <c r="CK701" s="36"/>
      <c r="CL701" s="36"/>
      <c r="CM701" s="36"/>
      <c r="CN701" s="36"/>
      <c r="CO701" s="36"/>
      <c r="CP701" s="36"/>
      <c r="CQ701" s="36"/>
      <c r="CR701" s="36"/>
      <c r="CS701" s="36"/>
      <c r="CT701" s="36"/>
      <c r="CU701" s="36"/>
      <c r="CV701" s="36"/>
      <c r="CW701" s="36"/>
      <c r="CX701" s="36"/>
      <c r="CY701" s="36"/>
      <c r="CZ701" s="36"/>
      <c r="DA701" s="36"/>
      <c r="DB701" s="36"/>
      <c r="DC701" s="36"/>
      <c r="DD701" s="36"/>
      <c r="DE701" s="36"/>
      <c r="DF701" s="36"/>
      <c r="DG701" s="36"/>
      <c r="DH701" s="36"/>
      <c r="DI701" s="36"/>
      <c r="DJ701" s="36"/>
      <c r="DK701" s="36"/>
      <c r="DL701" s="36"/>
      <c r="DM701" s="36"/>
      <c r="DN701" s="36"/>
      <c r="DO701" s="36"/>
      <c r="DP701" s="36"/>
      <c r="DQ701" s="36"/>
      <c r="DR701" s="36"/>
      <c r="DS701" s="36"/>
    </row>
    <row r="702" spans="1:123" ht="14.45">
      <c r="A702"/>
      <c r="B702"/>
      <c r="C702"/>
      <c r="D702"/>
      <c r="E702"/>
      <c r="F702"/>
      <c r="G702"/>
      <c r="H702"/>
      <c r="I702"/>
      <c r="J702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  <c r="BR702" s="36"/>
      <c r="BS702" s="36"/>
      <c r="BT702" s="36"/>
      <c r="BU702" s="36"/>
      <c r="BV702" s="36"/>
      <c r="BW702" s="36"/>
      <c r="BX702" s="36"/>
      <c r="BY702" s="36"/>
      <c r="BZ702" s="36"/>
      <c r="CA702" s="36"/>
      <c r="CB702" s="36"/>
      <c r="CC702" s="36"/>
      <c r="CD702" s="36"/>
      <c r="CE702" s="36"/>
      <c r="CF702" s="36"/>
      <c r="CG702" s="36"/>
      <c r="CH702" s="36"/>
      <c r="CI702" s="36"/>
      <c r="CJ702" s="36"/>
      <c r="CK702" s="36"/>
      <c r="CL702" s="36"/>
      <c r="CM702" s="36"/>
      <c r="CN702" s="36"/>
      <c r="CO702" s="36"/>
      <c r="CP702" s="36"/>
      <c r="CQ702" s="36"/>
      <c r="CR702" s="36"/>
      <c r="CS702" s="36"/>
      <c r="CT702" s="36"/>
      <c r="CU702" s="36"/>
      <c r="CV702" s="36"/>
      <c r="CW702" s="36"/>
      <c r="CX702" s="36"/>
      <c r="CY702" s="36"/>
      <c r="CZ702" s="36"/>
      <c r="DA702" s="36"/>
      <c r="DB702" s="36"/>
      <c r="DC702" s="36"/>
      <c r="DD702" s="36"/>
      <c r="DE702" s="36"/>
      <c r="DF702" s="36"/>
      <c r="DG702" s="36"/>
      <c r="DH702" s="36"/>
      <c r="DI702" s="36"/>
      <c r="DJ702" s="36"/>
      <c r="DK702" s="36"/>
      <c r="DL702" s="36"/>
      <c r="DM702" s="36"/>
      <c r="DN702" s="36"/>
      <c r="DO702" s="36"/>
      <c r="DP702" s="36"/>
      <c r="DQ702" s="36"/>
      <c r="DR702" s="36"/>
      <c r="DS702" s="36"/>
    </row>
    <row r="703" spans="1:123" ht="14.45">
      <c r="A703"/>
      <c r="B703"/>
      <c r="C703"/>
      <c r="D703"/>
      <c r="E703"/>
      <c r="F703"/>
      <c r="G703"/>
      <c r="H703"/>
      <c r="I703"/>
      <c r="J703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  <c r="BR703" s="36"/>
      <c r="BS703" s="36"/>
      <c r="BT703" s="36"/>
      <c r="BU703" s="36"/>
      <c r="BV703" s="36"/>
      <c r="BW703" s="36"/>
      <c r="BX703" s="36"/>
      <c r="BY703" s="36"/>
      <c r="BZ703" s="36"/>
      <c r="CA703" s="36"/>
      <c r="CB703" s="36"/>
      <c r="CC703" s="36"/>
      <c r="CD703" s="36"/>
      <c r="CE703" s="36"/>
      <c r="CF703" s="36"/>
      <c r="CG703" s="36"/>
      <c r="CH703" s="36"/>
      <c r="CI703" s="36"/>
      <c r="CJ703" s="36"/>
      <c r="CK703" s="36"/>
      <c r="CL703" s="36"/>
      <c r="CM703" s="36"/>
      <c r="CN703" s="36"/>
      <c r="CO703" s="36"/>
      <c r="CP703" s="36"/>
      <c r="CQ703" s="36"/>
      <c r="CR703" s="36"/>
      <c r="CS703" s="36"/>
      <c r="CT703" s="36"/>
      <c r="CU703" s="36"/>
      <c r="CV703" s="36"/>
      <c r="CW703" s="36"/>
      <c r="CX703" s="36"/>
      <c r="CY703" s="36"/>
      <c r="CZ703" s="36"/>
      <c r="DA703" s="36"/>
      <c r="DB703" s="36"/>
      <c r="DC703" s="36"/>
      <c r="DD703" s="36"/>
      <c r="DE703" s="36"/>
      <c r="DF703" s="36"/>
      <c r="DG703" s="36"/>
      <c r="DH703" s="36"/>
      <c r="DI703" s="36"/>
      <c r="DJ703" s="36"/>
      <c r="DK703" s="36"/>
      <c r="DL703" s="36"/>
      <c r="DM703" s="36"/>
      <c r="DN703" s="36"/>
      <c r="DO703" s="36"/>
      <c r="DP703" s="36"/>
      <c r="DQ703" s="36"/>
      <c r="DR703" s="36"/>
      <c r="DS703" s="36"/>
    </row>
    <row r="704" spans="1:123" ht="14.45">
      <c r="A704"/>
      <c r="B704"/>
      <c r="C704"/>
      <c r="D704"/>
      <c r="E704"/>
      <c r="F704"/>
      <c r="G704"/>
      <c r="H704"/>
      <c r="I704"/>
      <c r="J704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  <c r="BR704" s="36"/>
      <c r="BS704" s="36"/>
      <c r="BT704" s="36"/>
      <c r="BU704" s="36"/>
      <c r="BV704" s="36"/>
      <c r="BW704" s="36"/>
      <c r="BX704" s="36"/>
      <c r="BY704" s="36"/>
      <c r="BZ704" s="36"/>
      <c r="CA704" s="36"/>
      <c r="CB704" s="36"/>
      <c r="CC704" s="36"/>
      <c r="CD704" s="36"/>
      <c r="CE704" s="36"/>
      <c r="CF704" s="36"/>
      <c r="CG704" s="36"/>
      <c r="CH704" s="36"/>
      <c r="CI704" s="36"/>
      <c r="CJ704" s="36"/>
      <c r="CK704" s="36"/>
      <c r="CL704" s="36"/>
      <c r="CM704" s="36"/>
      <c r="CN704" s="36"/>
      <c r="CO704" s="36"/>
      <c r="CP704" s="36"/>
      <c r="CQ704" s="36"/>
      <c r="CR704" s="36"/>
      <c r="CS704" s="36"/>
      <c r="CT704" s="36"/>
      <c r="CU704" s="36"/>
      <c r="CV704" s="36"/>
      <c r="CW704" s="36"/>
      <c r="CX704" s="36"/>
      <c r="CY704" s="36"/>
      <c r="CZ704" s="36"/>
      <c r="DA704" s="36"/>
      <c r="DB704" s="36"/>
      <c r="DC704" s="36"/>
      <c r="DD704" s="36"/>
      <c r="DE704" s="36"/>
      <c r="DF704" s="36"/>
      <c r="DG704" s="36"/>
      <c r="DH704" s="36"/>
      <c r="DI704" s="36"/>
      <c r="DJ704" s="36"/>
      <c r="DK704" s="36"/>
      <c r="DL704" s="36"/>
      <c r="DM704" s="36"/>
      <c r="DN704" s="36"/>
      <c r="DO704" s="36"/>
      <c r="DP704" s="36"/>
      <c r="DQ704" s="36"/>
      <c r="DR704" s="36"/>
      <c r="DS704" s="36"/>
    </row>
    <row r="705" spans="1:123" ht="14.45">
      <c r="A705"/>
      <c r="B705"/>
      <c r="C705"/>
      <c r="D705"/>
      <c r="E705"/>
      <c r="F705"/>
      <c r="G705"/>
      <c r="H705"/>
      <c r="I705"/>
      <c r="J705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  <c r="BR705" s="36"/>
      <c r="BS705" s="36"/>
      <c r="BT705" s="36"/>
      <c r="BU705" s="36"/>
      <c r="BV705" s="36"/>
      <c r="BW705" s="36"/>
      <c r="BX705" s="36"/>
      <c r="BY705" s="36"/>
      <c r="BZ705" s="36"/>
      <c r="CA705" s="36"/>
      <c r="CB705" s="36"/>
      <c r="CC705" s="36"/>
      <c r="CD705" s="36"/>
      <c r="CE705" s="36"/>
      <c r="CF705" s="36"/>
      <c r="CG705" s="36"/>
      <c r="CH705" s="36"/>
      <c r="CI705" s="36"/>
      <c r="CJ705" s="36"/>
      <c r="CK705" s="36"/>
      <c r="CL705" s="36"/>
      <c r="CM705" s="36"/>
      <c r="CN705" s="36"/>
      <c r="CO705" s="36"/>
      <c r="CP705" s="36"/>
      <c r="CQ705" s="36"/>
      <c r="CR705" s="36"/>
      <c r="CS705" s="36"/>
      <c r="CT705" s="36"/>
      <c r="CU705" s="36"/>
      <c r="CV705" s="36"/>
      <c r="CW705" s="36"/>
      <c r="CX705" s="36"/>
      <c r="CY705" s="36"/>
      <c r="CZ705" s="36"/>
      <c r="DA705" s="36"/>
      <c r="DB705" s="36"/>
      <c r="DC705" s="36"/>
      <c r="DD705" s="36"/>
      <c r="DE705" s="36"/>
      <c r="DF705" s="36"/>
      <c r="DG705" s="36"/>
      <c r="DH705" s="36"/>
      <c r="DI705" s="36"/>
      <c r="DJ705" s="36"/>
      <c r="DK705" s="36"/>
      <c r="DL705" s="36"/>
      <c r="DM705" s="36"/>
      <c r="DN705" s="36"/>
      <c r="DO705" s="36"/>
      <c r="DP705" s="36"/>
      <c r="DQ705" s="36"/>
      <c r="DR705" s="36"/>
      <c r="DS705" s="36"/>
    </row>
    <row r="706" spans="1:123" ht="14.45">
      <c r="A706"/>
      <c r="B706"/>
      <c r="C706"/>
      <c r="D706"/>
      <c r="E706"/>
      <c r="F706"/>
      <c r="G706"/>
      <c r="H706"/>
      <c r="I706"/>
      <c r="J70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  <c r="BR706" s="36"/>
      <c r="BS706" s="36"/>
      <c r="BT706" s="36"/>
      <c r="BU706" s="36"/>
      <c r="BV706" s="36"/>
      <c r="BW706" s="36"/>
      <c r="BX706" s="36"/>
      <c r="BY706" s="36"/>
      <c r="BZ706" s="36"/>
      <c r="CA706" s="36"/>
      <c r="CB706" s="36"/>
      <c r="CC706" s="36"/>
      <c r="CD706" s="36"/>
      <c r="CE706" s="36"/>
      <c r="CF706" s="36"/>
      <c r="CG706" s="36"/>
      <c r="CH706" s="36"/>
      <c r="CI706" s="36"/>
      <c r="CJ706" s="36"/>
      <c r="CK706" s="36"/>
      <c r="CL706" s="36"/>
      <c r="CM706" s="36"/>
      <c r="CN706" s="36"/>
      <c r="CO706" s="36"/>
      <c r="CP706" s="36"/>
      <c r="CQ706" s="36"/>
      <c r="CR706" s="36"/>
      <c r="CS706" s="36"/>
      <c r="CT706" s="36"/>
      <c r="CU706" s="36"/>
      <c r="CV706" s="36"/>
      <c r="CW706" s="36"/>
      <c r="CX706" s="36"/>
      <c r="CY706" s="36"/>
      <c r="CZ706" s="36"/>
      <c r="DA706" s="36"/>
      <c r="DB706" s="36"/>
      <c r="DC706" s="36"/>
      <c r="DD706" s="36"/>
      <c r="DE706" s="36"/>
      <c r="DF706" s="36"/>
      <c r="DG706" s="36"/>
      <c r="DH706" s="36"/>
      <c r="DI706" s="36"/>
      <c r="DJ706" s="36"/>
      <c r="DK706" s="36"/>
      <c r="DL706" s="36"/>
      <c r="DM706" s="36"/>
      <c r="DN706" s="36"/>
      <c r="DO706" s="36"/>
      <c r="DP706" s="36"/>
      <c r="DQ706" s="36"/>
      <c r="DR706" s="36"/>
      <c r="DS706" s="36"/>
    </row>
    <row r="707" spans="1:123" ht="14.45">
      <c r="A707"/>
      <c r="B707"/>
      <c r="C707"/>
      <c r="D707"/>
      <c r="E707"/>
      <c r="F707"/>
      <c r="G707"/>
      <c r="H707"/>
      <c r="I707"/>
      <c r="J707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  <c r="BR707" s="36"/>
      <c r="BS707" s="36"/>
      <c r="BT707" s="36"/>
      <c r="BU707" s="36"/>
      <c r="BV707" s="36"/>
      <c r="BW707" s="36"/>
      <c r="BX707" s="36"/>
      <c r="BY707" s="36"/>
      <c r="BZ707" s="36"/>
      <c r="CA707" s="36"/>
      <c r="CB707" s="36"/>
      <c r="CC707" s="36"/>
      <c r="CD707" s="36"/>
      <c r="CE707" s="36"/>
      <c r="CF707" s="36"/>
      <c r="CG707" s="36"/>
      <c r="CH707" s="36"/>
      <c r="CI707" s="36"/>
      <c r="CJ707" s="36"/>
      <c r="CK707" s="36"/>
      <c r="CL707" s="36"/>
      <c r="CM707" s="36"/>
      <c r="CN707" s="36"/>
      <c r="CO707" s="36"/>
      <c r="CP707" s="36"/>
      <c r="CQ707" s="36"/>
      <c r="CR707" s="36"/>
      <c r="CS707" s="36"/>
      <c r="CT707" s="36"/>
      <c r="CU707" s="36"/>
      <c r="CV707" s="36"/>
      <c r="CW707" s="36"/>
      <c r="CX707" s="36"/>
      <c r="CY707" s="36"/>
      <c r="CZ707" s="36"/>
      <c r="DA707" s="36"/>
      <c r="DB707" s="36"/>
      <c r="DC707" s="36"/>
      <c r="DD707" s="36"/>
      <c r="DE707" s="36"/>
      <c r="DF707" s="36"/>
      <c r="DG707" s="36"/>
      <c r="DH707" s="36"/>
      <c r="DI707" s="36"/>
      <c r="DJ707" s="36"/>
      <c r="DK707" s="36"/>
      <c r="DL707" s="36"/>
      <c r="DM707" s="36"/>
      <c r="DN707" s="36"/>
      <c r="DO707" s="36"/>
      <c r="DP707" s="36"/>
      <c r="DQ707" s="36"/>
      <c r="DR707" s="36"/>
      <c r="DS707" s="36"/>
    </row>
    <row r="708" spans="1:123" ht="14.45">
      <c r="A708"/>
      <c r="B708"/>
      <c r="C708"/>
      <c r="D708"/>
      <c r="E708"/>
      <c r="F708"/>
      <c r="G708"/>
      <c r="H708"/>
      <c r="I708"/>
      <c r="J708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  <c r="BR708" s="36"/>
      <c r="BS708" s="36"/>
      <c r="BT708" s="36"/>
      <c r="BU708" s="36"/>
      <c r="BV708" s="36"/>
      <c r="BW708" s="36"/>
      <c r="BX708" s="36"/>
      <c r="BY708" s="36"/>
      <c r="BZ708" s="36"/>
      <c r="CA708" s="36"/>
      <c r="CB708" s="36"/>
      <c r="CC708" s="36"/>
      <c r="CD708" s="36"/>
      <c r="CE708" s="36"/>
      <c r="CF708" s="36"/>
      <c r="CG708" s="36"/>
      <c r="CH708" s="36"/>
      <c r="CI708" s="36"/>
      <c r="CJ708" s="36"/>
      <c r="CK708" s="36"/>
      <c r="CL708" s="36"/>
      <c r="CM708" s="36"/>
      <c r="CN708" s="36"/>
      <c r="CO708" s="36"/>
      <c r="CP708" s="36"/>
      <c r="CQ708" s="36"/>
      <c r="CR708" s="36"/>
      <c r="CS708" s="36"/>
      <c r="CT708" s="36"/>
      <c r="CU708" s="36"/>
      <c r="CV708" s="36"/>
      <c r="CW708" s="36"/>
      <c r="CX708" s="36"/>
      <c r="CY708" s="36"/>
      <c r="CZ708" s="36"/>
      <c r="DA708" s="36"/>
      <c r="DB708" s="36"/>
      <c r="DC708" s="36"/>
      <c r="DD708" s="36"/>
      <c r="DE708" s="36"/>
      <c r="DF708" s="36"/>
      <c r="DG708" s="36"/>
      <c r="DH708" s="36"/>
      <c r="DI708" s="36"/>
      <c r="DJ708" s="36"/>
      <c r="DK708" s="36"/>
      <c r="DL708" s="36"/>
      <c r="DM708" s="36"/>
      <c r="DN708" s="36"/>
      <c r="DO708" s="36"/>
      <c r="DP708" s="36"/>
      <c r="DQ708" s="36"/>
      <c r="DR708" s="36"/>
      <c r="DS708" s="36"/>
    </row>
    <row r="709" spans="1:123" ht="14.45">
      <c r="A709"/>
      <c r="B709"/>
      <c r="C709"/>
      <c r="D709"/>
      <c r="E709"/>
      <c r="F709"/>
      <c r="G709"/>
      <c r="H709"/>
      <c r="I709"/>
      <c r="J709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  <c r="BR709" s="36"/>
      <c r="BS709" s="36"/>
      <c r="BT709" s="36"/>
      <c r="BU709" s="36"/>
      <c r="BV709" s="36"/>
      <c r="BW709" s="36"/>
      <c r="BX709" s="36"/>
      <c r="BY709" s="36"/>
      <c r="BZ709" s="36"/>
      <c r="CA709" s="36"/>
      <c r="CB709" s="36"/>
      <c r="CC709" s="36"/>
      <c r="CD709" s="36"/>
      <c r="CE709" s="36"/>
      <c r="CF709" s="36"/>
      <c r="CG709" s="36"/>
      <c r="CH709" s="36"/>
      <c r="CI709" s="36"/>
      <c r="CJ709" s="36"/>
      <c r="CK709" s="36"/>
      <c r="CL709" s="36"/>
      <c r="CM709" s="36"/>
      <c r="CN709" s="36"/>
      <c r="CO709" s="36"/>
      <c r="CP709" s="36"/>
      <c r="CQ709" s="36"/>
      <c r="CR709" s="36"/>
      <c r="CS709" s="36"/>
      <c r="CT709" s="36"/>
      <c r="CU709" s="36"/>
      <c r="CV709" s="36"/>
      <c r="CW709" s="36"/>
      <c r="CX709" s="36"/>
      <c r="CY709" s="36"/>
      <c r="CZ709" s="36"/>
      <c r="DA709" s="36"/>
      <c r="DB709" s="36"/>
      <c r="DC709" s="36"/>
      <c r="DD709" s="36"/>
      <c r="DE709" s="36"/>
      <c r="DF709" s="36"/>
      <c r="DG709" s="36"/>
      <c r="DH709" s="36"/>
      <c r="DI709" s="36"/>
      <c r="DJ709" s="36"/>
      <c r="DK709" s="36"/>
      <c r="DL709" s="36"/>
      <c r="DM709" s="36"/>
      <c r="DN709" s="36"/>
      <c r="DO709" s="36"/>
      <c r="DP709" s="36"/>
      <c r="DQ709" s="36"/>
      <c r="DR709" s="36"/>
      <c r="DS709" s="36"/>
    </row>
    <row r="710" spans="1:123" ht="14.45">
      <c r="A710"/>
      <c r="B710"/>
      <c r="C710"/>
      <c r="D710"/>
      <c r="E710"/>
      <c r="F710"/>
      <c r="G710"/>
      <c r="H710"/>
      <c r="I710"/>
      <c r="J710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  <c r="BR710" s="36"/>
      <c r="BS710" s="36"/>
      <c r="BT710" s="36"/>
      <c r="BU710" s="36"/>
      <c r="BV710" s="36"/>
      <c r="BW710" s="36"/>
      <c r="BX710" s="36"/>
      <c r="BY710" s="36"/>
      <c r="BZ710" s="36"/>
      <c r="CA710" s="36"/>
      <c r="CB710" s="36"/>
      <c r="CC710" s="36"/>
      <c r="CD710" s="36"/>
      <c r="CE710" s="36"/>
      <c r="CF710" s="36"/>
      <c r="CG710" s="36"/>
      <c r="CH710" s="36"/>
      <c r="CI710" s="36"/>
      <c r="CJ710" s="36"/>
      <c r="CK710" s="36"/>
      <c r="CL710" s="36"/>
      <c r="CM710" s="36"/>
      <c r="CN710" s="36"/>
      <c r="CO710" s="36"/>
      <c r="CP710" s="36"/>
      <c r="CQ710" s="36"/>
      <c r="CR710" s="36"/>
      <c r="CS710" s="36"/>
      <c r="CT710" s="36"/>
      <c r="CU710" s="36"/>
      <c r="CV710" s="36"/>
      <c r="CW710" s="36"/>
      <c r="CX710" s="36"/>
      <c r="CY710" s="36"/>
      <c r="CZ710" s="36"/>
      <c r="DA710" s="36"/>
      <c r="DB710" s="36"/>
      <c r="DC710" s="36"/>
      <c r="DD710" s="36"/>
      <c r="DE710" s="36"/>
      <c r="DF710" s="36"/>
      <c r="DG710" s="36"/>
      <c r="DH710" s="36"/>
      <c r="DI710" s="36"/>
      <c r="DJ710" s="36"/>
      <c r="DK710" s="36"/>
      <c r="DL710" s="36"/>
      <c r="DM710" s="36"/>
      <c r="DN710" s="36"/>
      <c r="DO710" s="36"/>
      <c r="DP710" s="36"/>
      <c r="DQ710" s="36"/>
      <c r="DR710" s="36"/>
      <c r="DS710" s="36"/>
    </row>
    <row r="711" spans="1:123" ht="14.45">
      <c r="A711"/>
      <c r="B711"/>
      <c r="C711"/>
      <c r="D711"/>
      <c r="E711"/>
      <c r="F711"/>
      <c r="G711"/>
      <c r="H711"/>
      <c r="I711"/>
      <c r="J711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  <c r="BR711" s="36"/>
      <c r="BS711" s="36"/>
      <c r="BT711" s="36"/>
      <c r="BU711" s="36"/>
      <c r="BV711" s="36"/>
      <c r="BW711" s="36"/>
      <c r="BX711" s="36"/>
      <c r="BY711" s="36"/>
      <c r="BZ711" s="36"/>
      <c r="CA711" s="36"/>
      <c r="CB711" s="36"/>
      <c r="CC711" s="36"/>
      <c r="CD711" s="36"/>
      <c r="CE711" s="36"/>
      <c r="CF711" s="36"/>
      <c r="CG711" s="36"/>
      <c r="CH711" s="36"/>
      <c r="CI711" s="36"/>
      <c r="CJ711" s="36"/>
      <c r="CK711" s="36"/>
      <c r="CL711" s="36"/>
      <c r="CM711" s="36"/>
      <c r="CN711" s="36"/>
      <c r="CO711" s="36"/>
      <c r="CP711" s="36"/>
      <c r="CQ711" s="36"/>
      <c r="CR711" s="36"/>
      <c r="CS711" s="36"/>
      <c r="CT711" s="36"/>
      <c r="CU711" s="36"/>
      <c r="CV711" s="36"/>
      <c r="CW711" s="36"/>
      <c r="CX711" s="36"/>
      <c r="CY711" s="36"/>
      <c r="CZ711" s="36"/>
      <c r="DA711" s="36"/>
      <c r="DB711" s="36"/>
      <c r="DC711" s="36"/>
      <c r="DD711" s="36"/>
      <c r="DE711" s="36"/>
      <c r="DF711" s="36"/>
      <c r="DG711" s="36"/>
      <c r="DH711" s="36"/>
      <c r="DI711" s="36"/>
      <c r="DJ711" s="36"/>
      <c r="DK711" s="36"/>
      <c r="DL711" s="36"/>
      <c r="DM711" s="36"/>
      <c r="DN711" s="36"/>
      <c r="DO711" s="36"/>
      <c r="DP711" s="36"/>
      <c r="DQ711" s="36"/>
      <c r="DR711" s="36"/>
      <c r="DS711" s="36"/>
    </row>
    <row r="712" spans="1:123" ht="14.45">
      <c r="A712"/>
      <c r="B712"/>
      <c r="C712"/>
      <c r="D712"/>
      <c r="E712"/>
      <c r="F712"/>
      <c r="G712"/>
      <c r="H712"/>
      <c r="I712"/>
      <c r="J712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6"/>
      <c r="CA712" s="36"/>
      <c r="CB712" s="36"/>
      <c r="CC712" s="36"/>
      <c r="CD712" s="36"/>
      <c r="CE712" s="36"/>
      <c r="CF712" s="36"/>
      <c r="CG712" s="36"/>
      <c r="CH712" s="36"/>
      <c r="CI712" s="36"/>
      <c r="CJ712" s="36"/>
      <c r="CK712" s="36"/>
      <c r="CL712" s="36"/>
      <c r="CM712" s="36"/>
      <c r="CN712" s="36"/>
      <c r="CO712" s="36"/>
      <c r="CP712" s="36"/>
      <c r="CQ712" s="36"/>
      <c r="CR712" s="36"/>
      <c r="CS712" s="36"/>
      <c r="CT712" s="36"/>
      <c r="CU712" s="36"/>
      <c r="CV712" s="36"/>
      <c r="CW712" s="36"/>
      <c r="CX712" s="36"/>
      <c r="CY712" s="36"/>
      <c r="CZ712" s="36"/>
      <c r="DA712" s="36"/>
      <c r="DB712" s="36"/>
      <c r="DC712" s="36"/>
      <c r="DD712" s="36"/>
      <c r="DE712" s="36"/>
      <c r="DF712" s="36"/>
      <c r="DG712" s="36"/>
      <c r="DH712" s="36"/>
      <c r="DI712" s="36"/>
      <c r="DJ712" s="36"/>
      <c r="DK712" s="36"/>
      <c r="DL712" s="36"/>
      <c r="DM712" s="36"/>
      <c r="DN712" s="36"/>
      <c r="DO712" s="36"/>
      <c r="DP712" s="36"/>
      <c r="DQ712" s="36"/>
      <c r="DR712" s="36"/>
      <c r="DS712" s="36"/>
    </row>
    <row r="713" spans="1:123" ht="14.45">
      <c r="A713"/>
      <c r="B713"/>
      <c r="C713"/>
      <c r="D713"/>
      <c r="E713"/>
      <c r="F713"/>
      <c r="G713"/>
      <c r="H713"/>
      <c r="I713"/>
      <c r="J713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  <c r="BR713" s="36"/>
      <c r="BS713" s="36"/>
      <c r="BT713" s="36"/>
      <c r="BU713" s="36"/>
      <c r="BV713" s="36"/>
      <c r="BW713" s="36"/>
      <c r="BX713" s="36"/>
      <c r="BY713" s="36"/>
      <c r="BZ713" s="36"/>
      <c r="CA713" s="36"/>
      <c r="CB713" s="36"/>
      <c r="CC713" s="36"/>
      <c r="CD713" s="36"/>
      <c r="CE713" s="36"/>
      <c r="CF713" s="36"/>
      <c r="CG713" s="36"/>
      <c r="CH713" s="36"/>
      <c r="CI713" s="36"/>
      <c r="CJ713" s="36"/>
      <c r="CK713" s="36"/>
      <c r="CL713" s="36"/>
      <c r="CM713" s="36"/>
      <c r="CN713" s="36"/>
      <c r="CO713" s="36"/>
      <c r="CP713" s="36"/>
      <c r="CQ713" s="36"/>
      <c r="CR713" s="36"/>
      <c r="CS713" s="36"/>
      <c r="CT713" s="36"/>
      <c r="CU713" s="36"/>
      <c r="CV713" s="36"/>
      <c r="CW713" s="36"/>
      <c r="CX713" s="36"/>
      <c r="CY713" s="36"/>
      <c r="CZ713" s="36"/>
      <c r="DA713" s="36"/>
      <c r="DB713" s="36"/>
      <c r="DC713" s="36"/>
      <c r="DD713" s="36"/>
      <c r="DE713" s="36"/>
      <c r="DF713" s="36"/>
      <c r="DG713" s="36"/>
      <c r="DH713" s="36"/>
      <c r="DI713" s="36"/>
      <c r="DJ713" s="36"/>
      <c r="DK713" s="36"/>
      <c r="DL713" s="36"/>
      <c r="DM713" s="36"/>
      <c r="DN713" s="36"/>
      <c r="DO713" s="36"/>
      <c r="DP713" s="36"/>
      <c r="DQ713" s="36"/>
      <c r="DR713" s="36"/>
      <c r="DS713" s="36"/>
    </row>
    <row r="714" spans="1:123" ht="14.45">
      <c r="A714"/>
      <c r="B714"/>
      <c r="C714"/>
      <c r="D714"/>
      <c r="E714"/>
      <c r="F714"/>
      <c r="G714"/>
      <c r="H714"/>
      <c r="I714"/>
      <c r="J714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  <c r="BR714" s="36"/>
      <c r="BS714" s="36"/>
      <c r="BT714" s="36"/>
      <c r="BU714" s="36"/>
      <c r="BV714" s="36"/>
      <c r="BW714" s="36"/>
      <c r="BX714" s="36"/>
      <c r="BY714" s="36"/>
      <c r="BZ714" s="36"/>
      <c r="CA714" s="36"/>
      <c r="CB714" s="36"/>
      <c r="CC714" s="36"/>
      <c r="CD714" s="36"/>
      <c r="CE714" s="36"/>
      <c r="CF714" s="36"/>
      <c r="CG714" s="36"/>
      <c r="CH714" s="36"/>
      <c r="CI714" s="36"/>
      <c r="CJ714" s="36"/>
      <c r="CK714" s="36"/>
      <c r="CL714" s="36"/>
      <c r="CM714" s="36"/>
      <c r="CN714" s="36"/>
      <c r="CO714" s="36"/>
      <c r="CP714" s="36"/>
      <c r="CQ714" s="36"/>
      <c r="CR714" s="36"/>
      <c r="CS714" s="36"/>
      <c r="CT714" s="36"/>
      <c r="CU714" s="36"/>
      <c r="CV714" s="36"/>
      <c r="CW714" s="36"/>
      <c r="CX714" s="36"/>
      <c r="CY714" s="36"/>
      <c r="CZ714" s="36"/>
      <c r="DA714" s="36"/>
      <c r="DB714" s="36"/>
      <c r="DC714" s="36"/>
      <c r="DD714" s="36"/>
      <c r="DE714" s="36"/>
      <c r="DF714" s="36"/>
      <c r="DG714" s="36"/>
      <c r="DH714" s="36"/>
      <c r="DI714" s="36"/>
      <c r="DJ714" s="36"/>
      <c r="DK714" s="36"/>
      <c r="DL714" s="36"/>
      <c r="DM714" s="36"/>
      <c r="DN714" s="36"/>
      <c r="DO714" s="36"/>
      <c r="DP714" s="36"/>
      <c r="DQ714" s="36"/>
      <c r="DR714" s="36"/>
      <c r="DS714" s="36"/>
    </row>
    <row r="715" spans="1:123" ht="14.45">
      <c r="A715"/>
      <c r="B715"/>
      <c r="C715"/>
      <c r="D715"/>
      <c r="E715"/>
      <c r="F715"/>
      <c r="G715"/>
      <c r="H715"/>
      <c r="I715"/>
      <c r="J715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  <c r="BR715" s="36"/>
      <c r="BS715" s="36"/>
      <c r="BT715" s="36"/>
      <c r="BU715" s="36"/>
      <c r="BV715" s="36"/>
      <c r="BW715" s="36"/>
      <c r="BX715" s="36"/>
      <c r="BY715" s="36"/>
      <c r="BZ715" s="36"/>
      <c r="CA715" s="36"/>
      <c r="CB715" s="36"/>
      <c r="CC715" s="36"/>
      <c r="CD715" s="36"/>
      <c r="CE715" s="36"/>
      <c r="CF715" s="36"/>
      <c r="CG715" s="36"/>
      <c r="CH715" s="36"/>
      <c r="CI715" s="36"/>
      <c r="CJ715" s="36"/>
      <c r="CK715" s="36"/>
      <c r="CL715" s="36"/>
      <c r="CM715" s="36"/>
      <c r="CN715" s="36"/>
      <c r="CO715" s="36"/>
      <c r="CP715" s="36"/>
      <c r="CQ715" s="36"/>
      <c r="CR715" s="36"/>
      <c r="CS715" s="36"/>
      <c r="CT715" s="36"/>
      <c r="CU715" s="36"/>
      <c r="CV715" s="36"/>
      <c r="CW715" s="36"/>
      <c r="CX715" s="36"/>
      <c r="CY715" s="36"/>
      <c r="CZ715" s="36"/>
      <c r="DA715" s="36"/>
      <c r="DB715" s="36"/>
      <c r="DC715" s="36"/>
      <c r="DD715" s="36"/>
      <c r="DE715" s="36"/>
      <c r="DF715" s="36"/>
      <c r="DG715" s="36"/>
      <c r="DH715" s="36"/>
      <c r="DI715" s="36"/>
      <c r="DJ715" s="36"/>
      <c r="DK715" s="36"/>
      <c r="DL715" s="36"/>
      <c r="DM715" s="36"/>
      <c r="DN715" s="36"/>
      <c r="DO715" s="36"/>
      <c r="DP715" s="36"/>
      <c r="DQ715" s="36"/>
      <c r="DR715" s="36"/>
      <c r="DS715" s="36"/>
    </row>
    <row r="716" spans="1:123" ht="14.45">
      <c r="A716"/>
      <c r="B716"/>
      <c r="C716"/>
      <c r="D716"/>
      <c r="E716"/>
      <c r="F716"/>
      <c r="G716"/>
      <c r="H716"/>
      <c r="I716"/>
      <c r="J71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  <c r="BR716" s="36"/>
      <c r="BS716" s="36"/>
      <c r="BT716" s="36"/>
      <c r="BU716" s="36"/>
      <c r="BV716" s="36"/>
      <c r="BW716" s="36"/>
      <c r="BX716" s="36"/>
      <c r="BY716" s="36"/>
      <c r="BZ716" s="36"/>
      <c r="CA716" s="36"/>
      <c r="CB716" s="36"/>
      <c r="CC716" s="36"/>
      <c r="CD716" s="36"/>
      <c r="CE716" s="36"/>
      <c r="CF716" s="36"/>
      <c r="CG716" s="36"/>
      <c r="CH716" s="36"/>
      <c r="CI716" s="36"/>
      <c r="CJ716" s="36"/>
      <c r="CK716" s="36"/>
      <c r="CL716" s="36"/>
      <c r="CM716" s="36"/>
      <c r="CN716" s="36"/>
      <c r="CO716" s="36"/>
      <c r="CP716" s="36"/>
      <c r="CQ716" s="36"/>
      <c r="CR716" s="36"/>
      <c r="CS716" s="36"/>
      <c r="CT716" s="36"/>
      <c r="CU716" s="36"/>
      <c r="CV716" s="36"/>
      <c r="CW716" s="36"/>
      <c r="CX716" s="36"/>
      <c r="CY716" s="36"/>
      <c r="CZ716" s="36"/>
      <c r="DA716" s="36"/>
      <c r="DB716" s="36"/>
      <c r="DC716" s="36"/>
      <c r="DD716" s="36"/>
      <c r="DE716" s="36"/>
      <c r="DF716" s="36"/>
      <c r="DG716" s="36"/>
      <c r="DH716" s="36"/>
      <c r="DI716" s="36"/>
      <c r="DJ716" s="36"/>
      <c r="DK716" s="36"/>
      <c r="DL716" s="36"/>
      <c r="DM716" s="36"/>
      <c r="DN716" s="36"/>
      <c r="DO716" s="36"/>
      <c r="DP716" s="36"/>
      <c r="DQ716" s="36"/>
      <c r="DR716" s="36"/>
      <c r="DS716" s="36"/>
    </row>
    <row r="717" spans="1:123" ht="14.45">
      <c r="A717"/>
      <c r="B717"/>
      <c r="C717"/>
      <c r="D717"/>
      <c r="E717"/>
      <c r="F717"/>
      <c r="G717"/>
      <c r="H717"/>
      <c r="I717"/>
      <c r="J717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  <c r="BR717" s="36"/>
      <c r="BS717" s="36"/>
      <c r="BT717" s="36"/>
      <c r="BU717" s="36"/>
      <c r="BV717" s="36"/>
      <c r="BW717" s="36"/>
      <c r="BX717" s="36"/>
      <c r="BY717" s="36"/>
      <c r="BZ717" s="36"/>
      <c r="CA717" s="36"/>
      <c r="CB717" s="36"/>
      <c r="CC717" s="36"/>
      <c r="CD717" s="36"/>
      <c r="CE717" s="36"/>
      <c r="CF717" s="36"/>
      <c r="CG717" s="36"/>
      <c r="CH717" s="36"/>
      <c r="CI717" s="36"/>
      <c r="CJ717" s="36"/>
      <c r="CK717" s="36"/>
      <c r="CL717" s="36"/>
      <c r="CM717" s="36"/>
      <c r="CN717" s="36"/>
      <c r="CO717" s="36"/>
      <c r="CP717" s="36"/>
      <c r="CQ717" s="36"/>
      <c r="CR717" s="36"/>
      <c r="CS717" s="36"/>
      <c r="CT717" s="36"/>
      <c r="CU717" s="36"/>
      <c r="CV717" s="36"/>
      <c r="CW717" s="36"/>
      <c r="CX717" s="36"/>
      <c r="CY717" s="36"/>
      <c r="CZ717" s="36"/>
      <c r="DA717" s="36"/>
      <c r="DB717" s="36"/>
      <c r="DC717" s="36"/>
      <c r="DD717" s="36"/>
      <c r="DE717" s="36"/>
      <c r="DF717" s="36"/>
      <c r="DG717" s="36"/>
      <c r="DH717" s="36"/>
      <c r="DI717" s="36"/>
      <c r="DJ717" s="36"/>
      <c r="DK717" s="36"/>
      <c r="DL717" s="36"/>
      <c r="DM717" s="36"/>
      <c r="DN717" s="36"/>
      <c r="DO717" s="36"/>
      <c r="DP717" s="36"/>
      <c r="DQ717" s="36"/>
      <c r="DR717" s="36"/>
      <c r="DS717" s="36"/>
    </row>
    <row r="718" spans="1:123" ht="14.45">
      <c r="A718"/>
      <c r="B718"/>
      <c r="C718"/>
      <c r="D718"/>
      <c r="E718"/>
      <c r="F718"/>
      <c r="G718"/>
      <c r="H718"/>
      <c r="I718"/>
      <c r="J718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  <c r="BR718" s="36"/>
      <c r="BS718" s="36"/>
      <c r="BT718" s="36"/>
      <c r="BU718" s="36"/>
      <c r="BV718" s="36"/>
      <c r="BW718" s="36"/>
      <c r="BX718" s="36"/>
      <c r="BY718" s="36"/>
      <c r="BZ718" s="36"/>
      <c r="CA718" s="36"/>
      <c r="CB718" s="36"/>
      <c r="CC718" s="36"/>
      <c r="CD718" s="36"/>
      <c r="CE718" s="36"/>
      <c r="CF718" s="36"/>
      <c r="CG718" s="36"/>
      <c r="CH718" s="36"/>
      <c r="CI718" s="36"/>
      <c r="CJ718" s="36"/>
      <c r="CK718" s="36"/>
      <c r="CL718" s="36"/>
      <c r="CM718" s="36"/>
      <c r="CN718" s="36"/>
      <c r="CO718" s="36"/>
      <c r="CP718" s="36"/>
      <c r="CQ718" s="36"/>
      <c r="CR718" s="36"/>
      <c r="CS718" s="36"/>
      <c r="CT718" s="36"/>
      <c r="CU718" s="36"/>
      <c r="CV718" s="36"/>
      <c r="CW718" s="36"/>
      <c r="CX718" s="36"/>
      <c r="CY718" s="36"/>
      <c r="CZ718" s="36"/>
      <c r="DA718" s="36"/>
      <c r="DB718" s="36"/>
      <c r="DC718" s="36"/>
      <c r="DD718" s="36"/>
      <c r="DE718" s="36"/>
      <c r="DF718" s="36"/>
      <c r="DG718" s="36"/>
      <c r="DH718" s="36"/>
      <c r="DI718" s="36"/>
      <c r="DJ718" s="36"/>
      <c r="DK718" s="36"/>
      <c r="DL718" s="36"/>
      <c r="DM718" s="36"/>
      <c r="DN718" s="36"/>
      <c r="DO718" s="36"/>
      <c r="DP718" s="36"/>
      <c r="DQ718" s="36"/>
      <c r="DR718" s="36"/>
      <c r="DS718" s="36"/>
    </row>
    <row r="719" spans="1:123" ht="14.45">
      <c r="A719"/>
      <c r="B719"/>
      <c r="C719"/>
      <c r="D719"/>
      <c r="E719"/>
      <c r="F719"/>
      <c r="G719"/>
      <c r="H719"/>
      <c r="I719"/>
      <c r="J719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  <c r="BR719" s="36"/>
      <c r="BS719" s="36"/>
      <c r="BT719" s="36"/>
      <c r="BU719" s="36"/>
      <c r="BV719" s="36"/>
      <c r="BW719" s="36"/>
      <c r="BX719" s="36"/>
      <c r="BY719" s="36"/>
      <c r="BZ719" s="36"/>
      <c r="CA719" s="36"/>
      <c r="CB719" s="36"/>
      <c r="CC719" s="36"/>
      <c r="CD719" s="36"/>
      <c r="CE719" s="36"/>
      <c r="CF719" s="36"/>
      <c r="CG719" s="36"/>
      <c r="CH719" s="36"/>
      <c r="CI719" s="36"/>
      <c r="CJ719" s="36"/>
      <c r="CK719" s="36"/>
      <c r="CL719" s="36"/>
      <c r="CM719" s="36"/>
      <c r="CN719" s="36"/>
      <c r="CO719" s="36"/>
      <c r="CP719" s="36"/>
      <c r="CQ719" s="36"/>
      <c r="CR719" s="36"/>
      <c r="CS719" s="36"/>
      <c r="CT719" s="36"/>
      <c r="CU719" s="36"/>
      <c r="CV719" s="36"/>
      <c r="CW719" s="36"/>
      <c r="CX719" s="36"/>
      <c r="CY719" s="36"/>
      <c r="CZ719" s="36"/>
      <c r="DA719" s="36"/>
      <c r="DB719" s="36"/>
      <c r="DC719" s="36"/>
      <c r="DD719" s="36"/>
      <c r="DE719" s="36"/>
      <c r="DF719" s="36"/>
      <c r="DG719" s="36"/>
      <c r="DH719" s="36"/>
      <c r="DI719" s="36"/>
      <c r="DJ719" s="36"/>
      <c r="DK719" s="36"/>
      <c r="DL719" s="36"/>
      <c r="DM719" s="36"/>
      <c r="DN719" s="36"/>
      <c r="DO719" s="36"/>
      <c r="DP719" s="36"/>
      <c r="DQ719" s="36"/>
      <c r="DR719" s="36"/>
      <c r="DS719" s="36"/>
    </row>
    <row r="720" spans="1:123" ht="14.45">
      <c r="A720"/>
      <c r="B720"/>
      <c r="C720"/>
      <c r="D720"/>
      <c r="E720"/>
      <c r="F720"/>
      <c r="G720"/>
      <c r="H720"/>
      <c r="I720"/>
      <c r="J720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  <c r="BR720" s="36"/>
      <c r="BS720" s="36"/>
      <c r="BT720" s="36"/>
      <c r="BU720" s="36"/>
      <c r="BV720" s="36"/>
      <c r="BW720" s="36"/>
      <c r="BX720" s="36"/>
      <c r="BY720" s="36"/>
      <c r="BZ720" s="36"/>
      <c r="CA720" s="36"/>
      <c r="CB720" s="36"/>
      <c r="CC720" s="36"/>
      <c r="CD720" s="36"/>
      <c r="CE720" s="36"/>
      <c r="CF720" s="36"/>
      <c r="CG720" s="36"/>
      <c r="CH720" s="36"/>
      <c r="CI720" s="36"/>
      <c r="CJ720" s="36"/>
      <c r="CK720" s="36"/>
      <c r="CL720" s="36"/>
      <c r="CM720" s="36"/>
      <c r="CN720" s="36"/>
      <c r="CO720" s="36"/>
      <c r="CP720" s="36"/>
      <c r="CQ720" s="36"/>
      <c r="CR720" s="36"/>
      <c r="CS720" s="36"/>
      <c r="CT720" s="36"/>
      <c r="CU720" s="36"/>
      <c r="CV720" s="36"/>
      <c r="CW720" s="36"/>
      <c r="CX720" s="36"/>
      <c r="CY720" s="36"/>
      <c r="CZ720" s="36"/>
      <c r="DA720" s="36"/>
      <c r="DB720" s="36"/>
      <c r="DC720" s="36"/>
      <c r="DD720" s="36"/>
      <c r="DE720" s="36"/>
      <c r="DF720" s="36"/>
      <c r="DG720" s="36"/>
      <c r="DH720" s="36"/>
      <c r="DI720" s="36"/>
      <c r="DJ720" s="36"/>
      <c r="DK720" s="36"/>
      <c r="DL720" s="36"/>
      <c r="DM720" s="36"/>
      <c r="DN720" s="36"/>
      <c r="DO720" s="36"/>
      <c r="DP720" s="36"/>
      <c r="DQ720" s="36"/>
      <c r="DR720" s="36"/>
      <c r="DS720" s="36"/>
    </row>
    <row r="721" spans="1:123" ht="14.45">
      <c r="A721"/>
      <c r="B721"/>
      <c r="C721"/>
      <c r="D721"/>
      <c r="E721"/>
      <c r="F721"/>
      <c r="G721"/>
      <c r="H721"/>
      <c r="I721"/>
      <c r="J721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  <c r="BR721" s="36"/>
      <c r="BS721" s="36"/>
      <c r="BT721" s="36"/>
      <c r="BU721" s="36"/>
      <c r="BV721" s="36"/>
      <c r="BW721" s="36"/>
      <c r="BX721" s="36"/>
      <c r="BY721" s="36"/>
      <c r="BZ721" s="36"/>
      <c r="CA721" s="36"/>
      <c r="CB721" s="36"/>
      <c r="CC721" s="36"/>
      <c r="CD721" s="36"/>
      <c r="CE721" s="36"/>
      <c r="CF721" s="36"/>
      <c r="CG721" s="36"/>
      <c r="CH721" s="36"/>
      <c r="CI721" s="36"/>
      <c r="CJ721" s="36"/>
      <c r="CK721" s="36"/>
      <c r="CL721" s="36"/>
      <c r="CM721" s="36"/>
      <c r="CN721" s="36"/>
      <c r="CO721" s="36"/>
      <c r="CP721" s="36"/>
      <c r="CQ721" s="36"/>
      <c r="CR721" s="36"/>
      <c r="CS721" s="36"/>
      <c r="CT721" s="36"/>
      <c r="CU721" s="36"/>
      <c r="CV721" s="36"/>
      <c r="CW721" s="36"/>
      <c r="CX721" s="36"/>
      <c r="CY721" s="36"/>
      <c r="CZ721" s="36"/>
      <c r="DA721" s="36"/>
      <c r="DB721" s="36"/>
      <c r="DC721" s="36"/>
      <c r="DD721" s="36"/>
      <c r="DE721" s="36"/>
      <c r="DF721" s="36"/>
      <c r="DG721" s="36"/>
      <c r="DH721" s="36"/>
      <c r="DI721" s="36"/>
      <c r="DJ721" s="36"/>
      <c r="DK721" s="36"/>
      <c r="DL721" s="36"/>
      <c r="DM721" s="36"/>
      <c r="DN721" s="36"/>
      <c r="DO721" s="36"/>
      <c r="DP721" s="36"/>
      <c r="DQ721" s="36"/>
      <c r="DR721" s="36"/>
      <c r="DS721" s="36"/>
    </row>
    <row r="722" spans="1:123" ht="14.45">
      <c r="A722"/>
      <c r="B722"/>
      <c r="C722"/>
      <c r="D722"/>
      <c r="E722"/>
      <c r="F722"/>
      <c r="G722"/>
      <c r="H722"/>
      <c r="I722"/>
      <c r="J722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  <c r="BR722" s="36"/>
      <c r="BS722" s="36"/>
      <c r="BT722" s="36"/>
      <c r="BU722" s="36"/>
      <c r="BV722" s="36"/>
      <c r="BW722" s="36"/>
      <c r="BX722" s="36"/>
      <c r="BY722" s="36"/>
      <c r="BZ722" s="36"/>
      <c r="CA722" s="36"/>
      <c r="CB722" s="36"/>
      <c r="CC722" s="36"/>
      <c r="CD722" s="36"/>
      <c r="CE722" s="36"/>
      <c r="CF722" s="36"/>
      <c r="CG722" s="36"/>
      <c r="CH722" s="36"/>
      <c r="CI722" s="36"/>
      <c r="CJ722" s="36"/>
      <c r="CK722" s="36"/>
      <c r="CL722" s="36"/>
      <c r="CM722" s="36"/>
      <c r="CN722" s="36"/>
      <c r="CO722" s="36"/>
      <c r="CP722" s="36"/>
      <c r="CQ722" s="36"/>
      <c r="CR722" s="36"/>
      <c r="CS722" s="36"/>
      <c r="CT722" s="36"/>
      <c r="CU722" s="36"/>
      <c r="CV722" s="36"/>
      <c r="CW722" s="36"/>
      <c r="CX722" s="36"/>
      <c r="CY722" s="36"/>
      <c r="CZ722" s="36"/>
      <c r="DA722" s="36"/>
      <c r="DB722" s="36"/>
      <c r="DC722" s="36"/>
      <c r="DD722" s="36"/>
      <c r="DE722" s="36"/>
      <c r="DF722" s="36"/>
      <c r="DG722" s="36"/>
      <c r="DH722" s="36"/>
      <c r="DI722" s="36"/>
      <c r="DJ722" s="36"/>
      <c r="DK722" s="36"/>
      <c r="DL722" s="36"/>
      <c r="DM722" s="36"/>
      <c r="DN722" s="36"/>
      <c r="DO722" s="36"/>
      <c r="DP722" s="36"/>
      <c r="DQ722" s="36"/>
      <c r="DR722" s="36"/>
      <c r="DS722" s="36"/>
    </row>
    <row r="723" spans="1:123" ht="14.45">
      <c r="A723"/>
      <c r="B723"/>
      <c r="C723"/>
      <c r="D723"/>
      <c r="E723"/>
      <c r="F723"/>
      <c r="G723"/>
      <c r="H723"/>
      <c r="I723"/>
      <c r="J723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  <c r="BR723" s="36"/>
      <c r="BS723" s="36"/>
      <c r="BT723" s="36"/>
      <c r="BU723" s="36"/>
      <c r="BV723" s="36"/>
      <c r="BW723" s="36"/>
      <c r="BX723" s="36"/>
      <c r="BY723" s="36"/>
      <c r="BZ723" s="36"/>
      <c r="CA723" s="36"/>
      <c r="CB723" s="36"/>
      <c r="CC723" s="36"/>
      <c r="CD723" s="36"/>
      <c r="CE723" s="36"/>
      <c r="CF723" s="36"/>
      <c r="CG723" s="36"/>
      <c r="CH723" s="36"/>
      <c r="CI723" s="36"/>
      <c r="CJ723" s="36"/>
      <c r="CK723" s="36"/>
      <c r="CL723" s="36"/>
      <c r="CM723" s="36"/>
      <c r="CN723" s="36"/>
      <c r="CO723" s="36"/>
      <c r="CP723" s="36"/>
      <c r="CQ723" s="36"/>
      <c r="CR723" s="36"/>
      <c r="CS723" s="36"/>
      <c r="CT723" s="36"/>
      <c r="CU723" s="36"/>
      <c r="CV723" s="36"/>
      <c r="CW723" s="36"/>
      <c r="CX723" s="36"/>
      <c r="CY723" s="36"/>
      <c r="CZ723" s="36"/>
      <c r="DA723" s="36"/>
      <c r="DB723" s="36"/>
      <c r="DC723" s="36"/>
      <c r="DD723" s="36"/>
      <c r="DE723" s="36"/>
      <c r="DF723" s="36"/>
      <c r="DG723" s="36"/>
      <c r="DH723" s="36"/>
      <c r="DI723" s="36"/>
      <c r="DJ723" s="36"/>
      <c r="DK723" s="36"/>
      <c r="DL723" s="36"/>
      <c r="DM723" s="36"/>
      <c r="DN723" s="36"/>
      <c r="DO723" s="36"/>
      <c r="DP723" s="36"/>
      <c r="DQ723" s="36"/>
      <c r="DR723" s="36"/>
      <c r="DS723" s="36"/>
    </row>
    <row r="724" spans="1:123" ht="14.45">
      <c r="A724"/>
      <c r="B724"/>
      <c r="C724"/>
      <c r="D724"/>
      <c r="E724"/>
      <c r="F724"/>
      <c r="G724"/>
      <c r="H724"/>
      <c r="I724"/>
      <c r="J724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  <c r="BR724" s="36"/>
      <c r="BS724" s="36"/>
      <c r="BT724" s="36"/>
      <c r="BU724" s="36"/>
      <c r="BV724" s="36"/>
      <c r="BW724" s="36"/>
      <c r="BX724" s="36"/>
      <c r="BY724" s="36"/>
      <c r="BZ724" s="36"/>
      <c r="CA724" s="36"/>
      <c r="CB724" s="36"/>
      <c r="CC724" s="36"/>
      <c r="CD724" s="36"/>
      <c r="CE724" s="36"/>
      <c r="CF724" s="36"/>
      <c r="CG724" s="36"/>
      <c r="CH724" s="36"/>
      <c r="CI724" s="36"/>
      <c r="CJ724" s="36"/>
      <c r="CK724" s="36"/>
      <c r="CL724" s="36"/>
      <c r="CM724" s="36"/>
      <c r="CN724" s="36"/>
      <c r="CO724" s="36"/>
      <c r="CP724" s="36"/>
      <c r="CQ724" s="36"/>
      <c r="CR724" s="36"/>
      <c r="CS724" s="36"/>
      <c r="CT724" s="36"/>
      <c r="CU724" s="36"/>
      <c r="CV724" s="36"/>
      <c r="CW724" s="36"/>
      <c r="CX724" s="36"/>
      <c r="CY724" s="36"/>
      <c r="CZ724" s="36"/>
      <c r="DA724" s="36"/>
      <c r="DB724" s="36"/>
      <c r="DC724" s="36"/>
      <c r="DD724" s="36"/>
      <c r="DE724" s="36"/>
      <c r="DF724" s="36"/>
      <c r="DG724" s="36"/>
      <c r="DH724" s="36"/>
      <c r="DI724" s="36"/>
      <c r="DJ724" s="36"/>
      <c r="DK724" s="36"/>
      <c r="DL724" s="36"/>
      <c r="DM724" s="36"/>
      <c r="DN724" s="36"/>
      <c r="DO724" s="36"/>
      <c r="DP724" s="36"/>
      <c r="DQ724" s="36"/>
      <c r="DR724" s="36"/>
      <c r="DS724" s="36"/>
    </row>
    <row r="725" spans="1:123" ht="14.45">
      <c r="A725"/>
      <c r="B725"/>
      <c r="C725"/>
      <c r="D725"/>
      <c r="E725"/>
      <c r="F725"/>
      <c r="G725"/>
      <c r="H725"/>
      <c r="I725"/>
      <c r="J725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  <c r="BR725" s="36"/>
      <c r="BS725" s="36"/>
      <c r="BT725" s="36"/>
      <c r="BU725" s="36"/>
      <c r="BV725" s="36"/>
      <c r="BW725" s="36"/>
      <c r="BX725" s="36"/>
      <c r="BY725" s="36"/>
      <c r="BZ725" s="36"/>
      <c r="CA725" s="36"/>
      <c r="CB725" s="36"/>
      <c r="CC725" s="36"/>
      <c r="CD725" s="36"/>
      <c r="CE725" s="36"/>
      <c r="CF725" s="36"/>
      <c r="CG725" s="36"/>
      <c r="CH725" s="36"/>
      <c r="CI725" s="36"/>
      <c r="CJ725" s="36"/>
      <c r="CK725" s="36"/>
      <c r="CL725" s="36"/>
      <c r="CM725" s="36"/>
      <c r="CN725" s="36"/>
      <c r="CO725" s="36"/>
      <c r="CP725" s="36"/>
      <c r="CQ725" s="36"/>
      <c r="CR725" s="36"/>
      <c r="CS725" s="36"/>
      <c r="CT725" s="36"/>
      <c r="CU725" s="36"/>
      <c r="CV725" s="36"/>
      <c r="CW725" s="36"/>
      <c r="CX725" s="36"/>
      <c r="CY725" s="36"/>
      <c r="CZ725" s="36"/>
      <c r="DA725" s="36"/>
      <c r="DB725" s="36"/>
      <c r="DC725" s="36"/>
      <c r="DD725" s="36"/>
      <c r="DE725" s="36"/>
      <c r="DF725" s="36"/>
      <c r="DG725" s="36"/>
      <c r="DH725" s="36"/>
      <c r="DI725" s="36"/>
      <c r="DJ725" s="36"/>
      <c r="DK725" s="36"/>
      <c r="DL725" s="36"/>
      <c r="DM725" s="36"/>
      <c r="DN725" s="36"/>
      <c r="DO725" s="36"/>
      <c r="DP725" s="36"/>
      <c r="DQ725" s="36"/>
      <c r="DR725" s="36"/>
      <c r="DS725" s="36"/>
    </row>
    <row r="726" spans="1:123" ht="14.45">
      <c r="A726"/>
      <c r="B726"/>
      <c r="C726"/>
      <c r="D726"/>
      <c r="E726"/>
      <c r="F726"/>
      <c r="G726"/>
      <c r="H726"/>
      <c r="I726"/>
      <c r="J72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  <c r="BR726" s="36"/>
      <c r="BS726" s="36"/>
      <c r="BT726" s="36"/>
      <c r="BU726" s="36"/>
      <c r="BV726" s="36"/>
      <c r="BW726" s="36"/>
      <c r="BX726" s="36"/>
      <c r="BY726" s="36"/>
      <c r="BZ726" s="36"/>
      <c r="CA726" s="36"/>
      <c r="CB726" s="36"/>
      <c r="CC726" s="36"/>
      <c r="CD726" s="36"/>
      <c r="CE726" s="36"/>
      <c r="CF726" s="36"/>
      <c r="CG726" s="36"/>
      <c r="CH726" s="36"/>
      <c r="CI726" s="36"/>
      <c r="CJ726" s="36"/>
      <c r="CK726" s="36"/>
      <c r="CL726" s="36"/>
      <c r="CM726" s="36"/>
      <c r="CN726" s="36"/>
      <c r="CO726" s="36"/>
      <c r="CP726" s="36"/>
      <c r="CQ726" s="36"/>
      <c r="CR726" s="36"/>
      <c r="CS726" s="36"/>
      <c r="CT726" s="36"/>
      <c r="CU726" s="36"/>
      <c r="CV726" s="36"/>
      <c r="CW726" s="36"/>
      <c r="CX726" s="36"/>
      <c r="CY726" s="36"/>
      <c r="CZ726" s="36"/>
      <c r="DA726" s="36"/>
      <c r="DB726" s="36"/>
      <c r="DC726" s="36"/>
      <c r="DD726" s="36"/>
      <c r="DE726" s="36"/>
      <c r="DF726" s="36"/>
      <c r="DG726" s="36"/>
      <c r="DH726" s="36"/>
      <c r="DI726" s="36"/>
      <c r="DJ726" s="36"/>
      <c r="DK726" s="36"/>
      <c r="DL726" s="36"/>
      <c r="DM726" s="36"/>
      <c r="DN726" s="36"/>
      <c r="DO726" s="36"/>
      <c r="DP726" s="36"/>
      <c r="DQ726" s="36"/>
      <c r="DR726" s="36"/>
      <c r="DS726" s="36"/>
    </row>
    <row r="727" spans="1:123" ht="14.45">
      <c r="A727"/>
      <c r="B727"/>
      <c r="C727"/>
      <c r="D727"/>
      <c r="E727"/>
      <c r="F727"/>
      <c r="G727"/>
      <c r="H727"/>
      <c r="I727"/>
      <c r="J727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  <c r="BR727" s="36"/>
      <c r="BS727" s="36"/>
      <c r="BT727" s="36"/>
      <c r="BU727" s="36"/>
      <c r="BV727" s="36"/>
      <c r="BW727" s="36"/>
      <c r="BX727" s="36"/>
      <c r="BY727" s="36"/>
      <c r="BZ727" s="36"/>
      <c r="CA727" s="36"/>
      <c r="CB727" s="36"/>
      <c r="CC727" s="36"/>
      <c r="CD727" s="36"/>
      <c r="CE727" s="36"/>
      <c r="CF727" s="36"/>
      <c r="CG727" s="36"/>
      <c r="CH727" s="36"/>
      <c r="CI727" s="36"/>
      <c r="CJ727" s="36"/>
      <c r="CK727" s="36"/>
      <c r="CL727" s="36"/>
      <c r="CM727" s="36"/>
      <c r="CN727" s="36"/>
      <c r="CO727" s="36"/>
      <c r="CP727" s="36"/>
      <c r="CQ727" s="36"/>
      <c r="CR727" s="36"/>
      <c r="CS727" s="36"/>
      <c r="CT727" s="36"/>
      <c r="CU727" s="36"/>
      <c r="CV727" s="36"/>
      <c r="CW727" s="36"/>
      <c r="CX727" s="36"/>
      <c r="CY727" s="36"/>
      <c r="CZ727" s="36"/>
      <c r="DA727" s="36"/>
      <c r="DB727" s="36"/>
      <c r="DC727" s="36"/>
      <c r="DD727" s="36"/>
      <c r="DE727" s="36"/>
      <c r="DF727" s="36"/>
      <c r="DG727" s="36"/>
      <c r="DH727" s="36"/>
      <c r="DI727" s="36"/>
      <c r="DJ727" s="36"/>
      <c r="DK727" s="36"/>
      <c r="DL727" s="36"/>
      <c r="DM727" s="36"/>
      <c r="DN727" s="36"/>
      <c r="DO727" s="36"/>
      <c r="DP727" s="36"/>
      <c r="DQ727" s="36"/>
      <c r="DR727" s="36"/>
      <c r="DS727" s="36"/>
    </row>
    <row r="728" spans="1:123" ht="14.45">
      <c r="A728"/>
      <c r="B728"/>
      <c r="C728"/>
      <c r="D728"/>
      <c r="E728"/>
      <c r="F728"/>
      <c r="G728"/>
      <c r="H728"/>
      <c r="I728"/>
      <c r="J728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  <c r="BP728" s="36"/>
      <c r="BQ728" s="36"/>
      <c r="BR728" s="36"/>
      <c r="BS728" s="36"/>
      <c r="BT728" s="36"/>
      <c r="BU728" s="36"/>
      <c r="BV728" s="36"/>
      <c r="BW728" s="36"/>
      <c r="BX728" s="36"/>
      <c r="BY728" s="36"/>
      <c r="BZ728" s="36"/>
      <c r="CA728" s="36"/>
      <c r="CB728" s="36"/>
      <c r="CC728" s="36"/>
      <c r="CD728" s="36"/>
      <c r="CE728" s="36"/>
      <c r="CF728" s="36"/>
      <c r="CG728" s="36"/>
      <c r="CH728" s="36"/>
      <c r="CI728" s="36"/>
      <c r="CJ728" s="36"/>
      <c r="CK728" s="36"/>
      <c r="CL728" s="36"/>
      <c r="CM728" s="36"/>
      <c r="CN728" s="36"/>
      <c r="CO728" s="36"/>
      <c r="CP728" s="36"/>
      <c r="CQ728" s="36"/>
      <c r="CR728" s="36"/>
      <c r="CS728" s="36"/>
      <c r="CT728" s="36"/>
      <c r="CU728" s="36"/>
      <c r="CV728" s="36"/>
      <c r="CW728" s="36"/>
      <c r="CX728" s="36"/>
      <c r="CY728" s="36"/>
      <c r="CZ728" s="36"/>
      <c r="DA728" s="36"/>
      <c r="DB728" s="36"/>
      <c r="DC728" s="36"/>
      <c r="DD728" s="36"/>
      <c r="DE728" s="36"/>
      <c r="DF728" s="36"/>
      <c r="DG728" s="36"/>
      <c r="DH728" s="36"/>
      <c r="DI728" s="36"/>
      <c r="DJ728" s="36"/>
      <c r="DK728" s="36"/>
      <c r="DL728" s="36"/>
      <c r="DM728" s="36"/>
      <c r="DN728" s="36"/>
      <c r="DO728" s="36"/>
      <c r="DP728" s="36"/>
      <c r="DQ728" s="36"/>
      <c r="DR728" s="36"/>
      <c r="DS728" s="36"/>
    </row>
    <row r="729" spans="1:123" ht="14.45">
      <c r="A729"/>
      <c r="B729"/>
      <c r="C729"/>
      <c r="D729"/>
      <c r="E729"/>
      <c r="F729"/>
      <c r="G729"/>
      <c r="H729"/>
      <c r="I729"/>
      <c r="J729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  <c r="BP729" s="36"/>
      <c r="BQ729" s="36"/>
      <c r="BR729" s="36"/>
      <c r="BS729" s="36"/>
      <c r="BT729" s="36"/>
      <c r="BU729" s="36"/>
      <c r="BV729" s="36"/>
      <c r="BW729" s="36"/>
      <c r="BX729" s="36"/>
      <c r="BY729" s="36"/>
      <c r="BZ729" s="36"/>
      <c r="CA729" s="36"/>
      <c r="CB729" s="36"/>
      <c r="CC729" s="36"/>
      <c r="CD729" s="36"/>
      <c r="CE729" s="36"/>
      <c r="CF729" s="36"/>
      <c r="CG729" s="36"/>
      <c r="CH729" s="36"/>
      <c r="CI729" s="36"/>
      <c r="CJ729" s="36"/>
      <c r="CK729" s="36"/>
      <c r="CL729" s="36"/>
      <c r="CM729" s="36"/>
      <c r="CN729" s="36"/>
      <c r="CO729" s="36"/>
      <c r="CP729" s="36"/>
      <c r="CQ729" s="36"/>
      <c r="CR729" s="36"/>
      <c r="CS729" s="36"/>
      <c r="CT729" s="36"/>
      <c r="CU729" s="36"/>
      <c r="CV729" s="36"/>
      <c r="CW729" s="36"/>
      <c r="CX729" s="36"/>
      <c r="CY729" s="36"/>
      <c r="CZ729" s="36"/>
      <c r="DA729" s="36"/>
      <c r="DB729" s="36"/>
      <c r="DC729" s="36"/>
      <c r="DD729" s="36"/>
      <c r="DE729" s="36"/>
      <c r="DF729" s="36"/>
      <c r="DG729" s="36"/>
      <c r="DH729" s="36"/>
      <c r="DI729" s="36"/>
      <c r="DJ729" s="36"/>
      <c r="DK729" s="36"/>
      <c r="DL729" s="36"/>
      <c r="DM729" s="36"/>
      <c r="DN729" s="36"/>
      <c r="DO729" s="36"/>
      <c r="DP729" s="36"/>
      <c r="DQ729" s="36"/>
      <c r="DR729" s="36"/>
      <c r="DS729" s="36"/>
    </row>
    <row r="730" spans="1:123" ht="14.45">
      <c r="A730"/>
      <c r="B730"/>
      <c r="C730"/>
      <c r="D730"/>
      <c r="E730"/>
      <c r="F730"/>
      <c r="G730"/>
      <c r="H730"/>
      <c r="I730"/>
      <c r="J730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  <c r="BQ730" s="36"/>
      <c r="BR730" s="36"/>
      <c r="BS730" s="36"/>
      <c r="BT730" s="36"/>
      <c r="BU730" s="36"/>
      <c r="BV730" s="36"/>
      <c r="BW730" s="36"/>
      <c r="BX730" s="36"/>
      <c r="BY730" s="36"/>
      <c r="BZ730" s="36"/>
      <c r="CA730" s="36"/>
      <c r="CB730" s="36"/>
      <c r="CC730" s="36"/>
      <c r="CD730" s="36"/>
      <c r="CE730" s="36"/>
      <c r="CF730" s="36"/>
      <c r="CG730" s="36"/>
      <c r="CH730" s="36"/>
      <c r="CI730" s="36"/>
      <c r="CJ730" s="36"/>
      <c r="CK730" s="36"/>
      <c r="CL730" s="36"/>
      <c r="CM730" s="36"/>
      <c r="CN730" s="36"/>
      <c r="CO730" s="36"/>
      <c r="CP730" s="36"/>
      <c r="CQ730" s="36"/>
      <c r="CR730" s="36"/>
      <c r="CS730" s="36"/>
      <c r="CT730" s="36"/>
      <c r="CU730" s="36"/>
      <c r="CV730" s="36"/>
      <c r="CW730" s="36"/>
      <c r="CX730" s="36"/>
      <c r="CY730" s="36"/>
      <c r="CZ730" s="36"/>
      <c r="DA730" s="36"/>
      <c r="DB730" s="36"/>
      <c r="DC730" s="36"/>
      <c r="DD730" s="36"/>
      <c r="DE730" s="36"/>
      <c r="DF730" s="36"/>
      <c r="DG730" s="36"/>
      <c r="DH730" s="36"/>
      <c r="DI730" s="36"/>
      <c r="DJ730" s="36"/>
      <c r="DK730" s="36"/>
      <c r="DL730" s="36"/>
      <c r="DM730" s="36"/>
      <c r="DN730" s="36"/>
      <c r="DO730" s="36"/>
      <c r="DP730" s="36"/>
      <c r="DQ730" s="36"/>
      <c r="DR730" s="36"/>
      <c r="DS730" s="36"/>
    </row>
    <row r="731" spans="1:123" ht="14.45">
      <c r="A731"/>
      <c r="B731"/>
      <c r="C731"/>
      <c r="D731"/>
      <c r="E731"/>
      <c r="F731"/>
      <c r="G731"/>
      <c r="H731"/>
      <c r="I731"/>
      <c r="J731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  <c r="BP731" s="36"/>
      <c r="BQ731" s="36"/>
      <c r="BR731" s="36"/>
      <c r="BS731" s="36"/>
      <c r="BT731" s="36"/>
      <c r="BU731" s="36"/>
      <c r="BV731" s="36"/>
      <c r="BW731" s="36"/>
      <c r="BX731" s="36"/>
      <c r="BY731" s="36"/>
      <c r="BZ731" s="36"/>
      <c r="CA731" s="36"/>
      <c r="CB731" s="36"/>
      <c r="CC731" s="36"/>
      <c r="CD731" s="36"/>
      <c r="CE731" s="36"/>
      <c r="CF731" s="36"/>
      <c r="CG731" s="36"/>
      <c r="CH731" s="36"/>
      <c r="CI731" s="36"/>
      <c r="CJ731" s="36"/>
      <c r="CK731" s="36"/>
      <c r="CL731" s="36"/>
      <c r="CM731" s="36"/>
      <c r="CN731" s="36"/>
      <c r="CO731" s="36"/>
      <c r="CP731" s="36"/>
      <c r="CQ731" s="36"/>
      <c r="CR731" s="36"/>
      <c r="CS731" s="36"/>
      <c r="CT731" s="36"/>
      <c r="CU731" s="36"/>
      <c r="CV731" s="36"/>
      <c r="CW731" s="36"/>
      <c r="CX731" s="36"/>
      <c r="CY731" s="36"/>
      <c r="CZ731" s="36"/>
      <c r="DA731" s="36"/>
      <c r="DB731" s="36"/>
      <c r="DC731" s="36"/>
      <c r="DD731" s="36"/>
      <c r="DE731" s="36"/>
      <c r="DF731" s="36"/>
      <c r="DG731" s="36"/>
      <c r="DH731" s="36"/>
      <c r="DI731" s="36"/>
      <c r="DJ731" s="36"/>
      <c r="DK731" s="36"/>
      <c r="DL731" s="36"/>
      <c r="DM731" s="36"/>
      <c r="DN731" s="36"/>
      <c r="DO731" s="36"/>
      <c r="DP731" s="36"/>
      <c r="DQ731" s="36"/>
      <c r="DR731" s="36"/>
      <c r="DS731" s="36"/>
    </row>
    <row r="732" spans="1:123" ht="14.45">
      <c r="A732"/>
      <c r="B732"/>
      <c r="C732"/>
      <c r="D732"/>
      <c r="E732"/>
      <c r="F732"/>
      <c r="G732"/>
      <c r="H732"/>
      <c r="I732"/>
      <c r="J732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  <c r="BP732" s="36"/>
      <c r="BQ732" s="36"/>
      <c r="BR732" s="36"/>
      <c r="BS732" s="36"/>
      <c r="BT732" s="36"/>
      <c r="BU732" s="36"/>
      <c r="BV732" s="36"/>
      <c r="BW732" s="36"/>
      <c r="BX732" s="36"/>
      <c r="BY732" s="36"/>
      <c r="BZ732" s="36"/>
      <c r="CA732" s="36"/>
      <c r="CB732" s="36"/>
      <c r="CC732" s="36"/>
      <c r="CD732" s="36"/>
      <c r="CE732" s="36"/>
      <c r="CF732" s="36"/>
      <c r="CG732" s="36"/>
      <c r="CH732" s="36"/>
      <c r="CI732" s="36"/>
      <c r="CJ732" s="36"/>
      <c r="CK732" s="36"/>
      <c r="CL732" s="36"/>
      <c r="CM732" s="36"/>
      <c r="CN732" s="36"/>
      <c r="CO732" s="36"/>
      <c r="CP732" s="36"/>
      <c r="CQ732" s="36"/>
      <c r="CR732" s="36"/>
      <c r="CS732" s="36"/>
      <c r="CT732" s="36"/>
      <c r="CU732" s="36"/>
      <c r="CV732" s="36"/>
      <c r="CW732" s="36"/>
      <c r="CX732" s="36"/>
      <c r="CY732" s="36"/>
      <c r="CZ732" s="36"/>
      <c r="DA732" s="36"/>
      <c r="DB732" s="36"/>
      <c r="DC732" s="36"/>
      <c r="DD732" s="36"/>
      <c r="DE732" s="36"/>
      <c r="DF732" s="36"/>
      <c r="DG732" s="36"/>
      <c r="DH732" s="36"/>
      <c r="DI732" s="36"/>
      <c r="DJ732" s="36"/>
      <c r="DK732" s="36"/>
      <c r="DL732" s="36"/>
      <c r="DM732" s="36"/>
      <c r="DN732" s="36"/>
      <c r="DO732" s="36"/>
      <c r="DP732" s="36"/>
      <c r="DQ732" s="36"/>
      <c r="DR732" s="36"/>
      <c r="DS732" s="36"/>
    </row>
    <row r="733" spans="1:123" ht="14.45">
      <c r="A733"/>
      <c r="B733"/>
      <c r="C733"/>
      <c r="D733"/>
      <c r="E733"/>
      <c r="F733"/>
      <c r="G733"/>
      <c r="H733"/>
      <c r="I733"/>
      <c r="J733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  <c r="BP733" s="36"/>
      <c r="BQ733" s="36"/>
      <c r="BR733" s="36"/>
      <c r="BS733" s="36"/>
      <c r="BT733" s="36"/>
      <c r="BU733" s="36"/>
      <c r="BV733" s="36"/>
      <c r="BW733" s="36"/>
      <c r="BX733" s="36"/>
      <c r="BY733" s="36"/>
      <c r="BZ733" s="36"/>
      <c r="CA733" s="36"/>
      <c r="CB733" s="36"/>
      <c r="CC733" s="36"/>
      <c r="CD733" s="36"/>
      <c r="CE733" s="36"/>
      <c r="CF733" s="36"/>
      <c r="CG733" s="36"/>
      <c r="CH733" s="36"/>
      <c r="CI733" s="36"/>
      <c r="CJ733" s="36"/>
      <c r="CK733" s="36"/>
      <c r="CL733" s="36"/>
      <c r="CM733" s="36"/>
      <c r="CN733" s="36"/>
      <c r="CO733" s="36"/>
      <c r="CP733" s="36"/>
      <c r="CQ733" s="36"/>
      <c r="CR733" s="36"/>
      <c r="CS733" s="36"/>
      <c r="CT733" s="36"/>
      <c r="CU733" s="36"/>
      <c r="CV733" s="36"/>
      <c r="CW733" s="36"/>
      <c r="CX733" s="36"/>
      <c r="CY733" s="36"/>
      <c r="CZ733" s="36"/>
      <c r="DA733" s="36"/>
      <c r="DB733" s="36"/>
      <c r="DC733" s="36"/>
      <c r="DD733" s="36"/>
      <c r="DE733" s="36"/>
      <c r="DF733" s="36"/>
      <c r="DG733" s="36"/>
      <c r="DH733" s="36"/>
      <c r="DI733" s="36"/>
      <c r="DJ733" s="36"/>
      <c r="DK733" s="36"/>
      <c r="DL733" s="36"/>
      <c r="DM733" s="36"/>
      <c r="DN733" s="36"/>
      <c r="DO733" s="36"/>
      <c r="DP733" s="36"/>
      <c r="DQ733" s="36"/>
      <c r="DR733" s="36"/>
      <c r="DS733" s="36"/>
    </row>
    <row r="734" spans="1:123" ht="14.45">
      <c r="A734"/>
      <c r="B734"/>
      <c r="C734"/>
      <c r="D734"/>
      <c r="E734"/>
      <c r="F734"/>
      <c r="G734"/>
      <c r="H734"/>
      <c r="I734"/>
      <c r="J734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  <c r="BP734" s="36"/>
      <c r="BQ734" s="36"/>
      <c r="BR734" s="36"/>
      <c r="BS734" s="36"/>
      <c r="BT734" s="36"/>
      <c r="BU734" s="36"/>
      <c r="BV734" s="36"/>
      <c r="BW734" s="36"/>
      <c r="BX734" s="36"/>
      <c r="BY734" s="36"/>
      <c r="BZ734" s="36"/>
      <c r="CA734" s="36"/>
      <c r="CB734" s="36"/>
      <c r="CC734" s="36"/>
      <c r="CD734" s="36"/>
      <c r="CE734" s="36"/>
      <c r="CF734" s="36"/>
      <c r="CG734" s="36"/>
      <c r="CH734" s="36"/>
      <c r="CI734" s="36"/>
      <c r="CJ734" s="36"/>
      <c r="CK734" s="36"/>
      <c r="CL734" s="36"/>
      <c r="CM734" s="36"/>
      <c r="CN734" s="36"/>
      <c r="CO734" s="36"/>
      <c r="CP734" s="36"/>
      <c r="CQ734" s="36"/>
      <c r="CR734" s="36"/>
      <c r="CS734" s="36"/>
      <c r="CT734" s="36"/>
      <c r="CU734" s="36"/>
      <c r="CV734" s="36"/>
      <c r="CW734" s="36"/>
      <c r="CX734" s="36"/>
      <c r="CY734" s="36"/>
      <c r="CZ734" s="36"/>
      <c r="DA734" s="36"/>
      <c r="DB734" s="36"/>
      <c r="DC734" s="36"/>
      <c r="DD734" s="36"/>
      <c r="DE734" s="36"/>
      <c r="DF734" s="36"/>
      <c r="DG734" s="36"/>
      <c r="DH734" s="36"/>
      <c r="DI734" s="36"/>
      <c r="DJ734" s="36"/>
      <c r="DK734" s="36"/>
      <c r="DL734" s="36"/>
      <c r="DM734" s="36"/>
      <c r="DN734" s="36"/>
      <c r="DO734" s="36"/>
      <c r="DP734" s="36"/>
      <c r="DQ734" s="36"/>
      <c r="DR734" s="36"/>
      <c r="DS734" s="36"/>
    </row>
    <row r="735" spans="1:123" ht="14.45">
      <c r="A735"/>
      <c r="B735"/>
      <c r="C735"/>
      <c r="D735"/>
      <c r="E735"/>
      <c r="F735"/>
      <c r="G735"/>
      <c r="H735"/>
      <c r="I735"/>
      <c r="J735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  <c r="BR735" s="36"/>
      <c r="BS735" s="36"/>
      <c r="BT735" s="36"/>
      <c r="BU735" s="36"/>
      <c r="BV735" s="36"/>
      <c r="BW735" s="36"/>
      <c r="BX735" s="36"/>
      <c r="BY735" s="36"/>
      <c r="BZ735" s="36"/>
      <c r="CA735" s="36"/>
      <c r="CB735" s="36"/>
      <c r="CC735" s="36"/>
      <c r="CD735" s="36"/>
      <c r="CE735" s="36"/>
      <c r="CF735" s="36"/>
      <c r="CG735" s="36"/>
      <c r="CH735" s="36"/>
      <c r="CI735" s="36"/>
      <c r="CJ735" s="36"/>
      <c r="CK735" s="36"/>
      <c r="CL735" s="36"/>
      <c r="CM735" s="36"/>
      <c r="CN735" s="36"/>
      <c r="CO735" s="36"/>
      <c r="CP735" s="36"/>
      <c r="CQ735" s="36"/>
      <c r="CR735" s="36"/>
      <c r="CS735" s="36"/>
      <c r="CT735" s="36"/>
      <c r="CU735" s="36"/>
      <c r="CV735" s="36"/>
      <c r="CW735" s="36"/>
      <c r="CX735" s="36"/>
      <c r="CY735" s="36"/>
      <c r="CZ735" s="36"/>
      <c r="DA735" s="36"/>
      <c r="DB735" s="36"/>
      <c r="DC735" s="36"/>
      <c r="DD735" s="36"/>
      <c r="DE735" s="36"/>
      <c r="DF735" s="36"/>
      <c r="DG735" s="36"/>
      <c r="DH735" s="36"/>
      <c r="DI735" s="36"/>
      <c r="DJ735" s="36"/>
      <c r="DK735" s="36"/>
      <c r="DL735" s="36"/>
      <c r="DM735" s="36"/>
      <c r="DN735" s="36"/>
      <c r="DO735" s="36"/>
      <c r="DP735" s="36"/>
      <c r="DQ735" s="36"/>
      <c r="DR735" s="36"/>
      <c r="DS735" s="36"/>
    </row>
    <row r="736" spans="1:123" ht="14.45">
      <c r="A736"/>
      <c r="B736"/>
      <c r="C736"/>
      <c r="D736"/>
      <c r="E736"/>
      <c r="F736"/>
      <c r="G736"/>
      <c r="H736"/>
      <c r="I736"/>
      <c r="J7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  <c r="BP736" s="36"/>
      <c r="BQ736" s="36"/>
      <c r="BR736" s="36"/>
      <c r="BS736" s="36"/>
      <c r="BT736" s="36"/>
      <c r="BU736" s="36"/>
      <c r="BV736" s="36"/>
      <c r="BW736" s="36"/>
      <c r="BX736" s="36"/>
      <c r="BY736" s="36"/>
      <c r="BZ736" s="36"/>
      <c r="CA736" s="36"/>
      <c r="CB736" s="36"/>
      <c r="CC736" s="36"/>
      <c r="CD736" s="36"/>
      <c r="CE736" s="36"/>
      <c r="CF736" s="36"/>
      <c r="CG736" s="36"/>
      <c r="CH736" s="36"/>
      <c r="CI736" s="36"/>
      <c r="CJ736" s="36"/>
      <c r="CK736" s="36"/>
      <c r="CL736" s="36"/>
      <c r="CM736" s="36"/>
      <c r="CN736" s="36"/>
      <c r="CO736" s="36"/>
      <c r="CP736" s="36"/>
      <c r="CQ736" s="36"/>
      <c r="CR736" s="36"/>
      <c r="CS736" s="36"/>
      <c r="CT736" s="36"/>
      <c r="CU736" s="36"/>
      <c r="CV736" s="36"/>
      <c r="CW736" s="36"/>
      <c r="CX736" s="36"/>
      <c r="CY736" s="36"/>
      <c r="CZ736" s="36"/>
      <c r="DA736" s="36"/>
      <c r="DB736" s="36"/>
      <c r="DC736" s="36"/>
      <c r="DD736" s="36"/>
      <c r="DE736" s="36"/>
      <c r="DF736" s="36"/>
      <c r="DG736" s="36"/>
      <c r="DH736" s="36"/>
      <c r="DI736" s="36"/>
      <c r="DJ736" s="36"/>
      <c r="DK736" s="36"/>
      <c r="DL736" s="36"/>
      <c r="DM736" s="36"/>
      <c r="DN736" s="36"/>
      <c r="DO736" s="36"/>
      <c r="DP736" s="36"/>
      <c r="DQ736" s="36"/>
      <c r="DR736" s="36"/>
      <c r="DS736" s="36"/>
    </row>
    <row r="737" spans="1:123" ht="14.45">
      <c r="A737"/>
      <c r="B737"/>
      <c r="C737"/>
      <c r="D737"/>
      <c r="E737"/>
      <c r="F737"/>
      <c r="G737"/>
      <c r="H737"/>
      <c r="I737"/>
      <c r="J737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  <c r="BR737" s="36"/>
      <c r="BS737" s="36"/>
      <c r="BT737" s="36"/>
      <c r="BU737" s="36"/>
      <c r="BV737" s="36"/>
      <c r="BW737" s="36"/>
      <c r="BX737" s="36"/>
      <c r="BY737" s="36"/>
      <c r="BZ737" s="36"/>
      <c r="CA737" s="36"/>
      <c r="CB737" s="36"/>
      <c r="CC737" s="36"/>
      <c r="CD737" s="36"/>
      <c r="CE737" s="36"/>
      <c r="CF737" s="36"/>
      <c r="CG737" s="36"/>
      <c r="CH737" s="36"/>
      <c r="CI737" s="36"/>
      <c r="CJ737" s="36"/>
      <c r="CK737" s="36"/>
      <c r="CL737" s="36"/>
      <c r="CM737" s="36"/>
      <c r="CN737" s="36"/>
      <c r="CO737" s="36"/>
      <c r="CP737" s="36"/>
      <c r="CQ737" s="36"/>
      <c r="CR737" s="36"/>
      <c r="CS737" s="36"/>
      <c r="CT737" s="36"/>
      <c r="CU737" s="36"/>
      <c r="CV737" s="36"/>
      <c r="CW737" s="36"/>
      <c r="CX737" s="36"/>
      <c r="CY737" s="36"/>
      <c r="CZ737" s="36"/>
      <c r="DA737" s="36"/>
      <c r="DB737" s="36"/>
      <c r="DC737" s="36"/>
      <c r="DD737" s="36"/>
      <c r="DE737" s="36"/>
      <c r="DF737" s="36"/>
      <c r="DG737" s="36"/>
      <c r="DH737" s="36"/>
      <c r="DI737" s="36"/>
      <c r="DJ737" s="36"/>
      <c r="DK737" s="36"/>
      <c r="DL737" s="36"/>
      <c r="DM737" s="36"/>
      <c r="DN737" s="36"/>
      <c r="DO737" s="36"/>
      <c r="DP737" s="36"/>
      <c r="DQ737" s="36"/>
      <c r="DR737" s="36"/>
      <c r="DS737" s="36"/>
    </row>
    <row r="738" spans="1:123" ht="14.45">
      <c r="A738"/>
      <c r="B738"/>
      <c r="C738"/>
      <c r="D738"/>
      <c r="E738"/>
      <c r="F738"/>
      <c r="G738"/>
      <c r="H738"/>
      <c r="I738"/>
      <c r="J738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  <c r="BR738" s="36"/>
      <c r="BS738" s="36"/>
      <c r="BT738" s="36"/>
      <c r="BU738" s="36"/>
      <c r="BV738" s="36"/>
      <c r="BW738" s="36"/>
      <c r="BX738" s="36"/>
      <c r="BY738" s="36"/>
      <c r="BZ738" s="36"/>
      <c r="CA738" s="36"/>
      <c r="CB738" s="36"/>
      <c r="CC738" s="36"/>
      <c r="CD738" s="36"/>
      <c r="CE738" s="36"/>
      <c r="CF738" s="36"/>
      <c r="CG738" s="36"/>
      <c r="CH738" s="36"/>
      <c r="CI738" s="36"/>
      <c r="CJ738" s="36"/>
      <c r="CK738" s="36"/>
      <c r="CL738" s="36"/>
      <c r="CM738" s="36"/>
      <c r="CN738" s="36"/>
      <c r="CO738" s="36"/>
      <c r="CP738" s="36"/>
      <c r="CQ738" s="36"/>
      <c r="CR738" s="36"/>
      <c r="CS738" s="36"/>
      <c r="CT738" s="36"/>
      <c r="CU738" s="36"/>
      <c r="CV738" s="36"/>
      <c r="CW738" s="36"/>
      <c r="CX738" s="36"/>
      <c r="CY738" s="36"/>
      <c r="CZ738" s="36"/>
      <c r="DA738" s="36"/>
      <c r="DB738" s="36"/>
      <c r="DC738" s="36"/>
      <c r="DD738" s="36"/>
      <c r="DE738" s="36"/>
      <c r="DF738" s="36"/>
      <c r="DG738" s="36"/>
      <c r="DH738" s="36"/>
      <c r="DI738" s="36"/>
      <c r="DJ738" s="36"/>
      <c r="DK738" s="36"/>
      <c r="DL738" s="36"/>
      <c r="DM738" s="36"/>
      <c r="DN738" s="36"/>
      <c r="DO738" s="36"/>
      <c r="DP738" s="36"/>
      <c r="DQ738" s="36"/>
      <c r="DR738" s="36"/>
      <c r="DS738" s="36"/>
    </row>
    <row r="739" spans="1:123" ht="14.45">
      <c r="A739"/>
      <c r="B739"/>
      <c r="C739"/>
      <c r="D739"/>
      <c r="E739"/>
      <c r="F739"/>
      <c r="G739"/>
      <c r="H739"/>
      <c r="I739"/>
      <c r="J739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  <c r="BR739" s="36"/>
      <c r="BS739" s="36"/>
      <c r="BT739" s="36"/>
      <c r="BU739" s="36"/>
      <c r="BV739" s="36"/>
      <c r="BW739" s="36"/>
      <c r="BX739" s="36"/>
      <c r="BY739" s="36"/>
      <c r="BZ739" s="36"/>
      <c r="CA739" s="36"/>
      <c r="CB739" s="36"/>
      <c r="CC739" s="36"/>
      <c r="CD739" s="36"/>
      <c r="CE739" s="36"/>
      <c r="CF739" s="36"/>
      <c r="CG739" s="36"/>
      <c r="CH739" s="36"/>
      <c r="CI739" s="36"/>
      <c r="CJ739" s="36"/>
      <c r="CK739" s="36"/>
      <c r="CL739" s="36"/>
      <c r="CM739" s="36"/>
      <c r="CN739" s="36"/>
      <c r="CO739" s="36"/>
      <c r="CP739" s="36"/>
      <c r="CQ739" s="36"/>
      <c r="CR739" s="36"/>
      <c r="CS739" s="36"/>
      <c r="CT739" s="36"/>
      <c r="CU739" s="36"/>
      <c r="CV739" s="36"/>
      <c r="CW739" s="36"/>
      <c r="CX739" s="36"/>
      <c r="CY739" s="36"/>
      <c r="CZ739" s="36"/>
      <c r="DA739" s="36"/>
      <c r="DB739" s="36"/>
      <c r="DC739" s="36"/>
      <c r="DD739" s="36"/>
      <c r="DE739" s="36"/>
      <c r="DF739" s="36"/>
      <c r="DG739" s="36"/>
      <c r="DH739" s="36"/>
      <c r="DI739" s="36"/>
      <c r="DJ739" s="36"/>
      <c r="DK739" s="36"/>
      <c r="DL739" s="36"/>
      <c r="DM739" s="36"/>
      <c r="DN739" s="36"/>
      <c r="DO739" s="36"/>
      <c r="DP739" s="36"/>
      <c r="DQ739" s="36"/>
      <c r="DR739" s="36"/>
      <c r="DS739" s="36"/>
    </row>
    <row r="740" spans="1:123" ht="14.45">
      <c r="A740"/>
      <c r="B740"/>
      <c r="C740"/>
      <c r="D740"/>
      <c r="E740"/>
      <c r="F740"/>
      <c r="G740"/>
      <c r="H740"/>
      <c r="I740"/>
      <c r="J740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  <c r="BR740" s="36"/>
      <c r="BS740" s="36"/>
      <c r="BT740" s="36"/>
      <c r="BU740" s="36"/>
      <c r="BV740" s="36"/>
      <c r="BW740" s="36"/>
      <c r="BX740" s="36"/>
      <c r="BY740" s="36"/>
      <c r="BZ740" s="36"/>
      <c r="CA740" s="36"/>
      <c r="CB740" s="36"/>
      <c r="CC740" s="36"/>
      <c r="CD740" s="36"/>
      <c r="CE740" s="36"/>
      <c r="CF740" s="36"/>
      <c r="CG740" s="36"/>
      <c r="CH740" s="36"/>
      <c r="CI740" s="36"/>
      <c r="CJ740" s="36"/>
      <c r="CK740" s="36"/>
      <c r="CL740" s="36"/>
      <c r="CM740" s="36"/>
      <c r="CN740" s="36"/>
      <c r="CO740" s="36"/>
      <c r="CP740" s="36"/>
      <c r="CQ740" s="36"/>
      <c r="CR740" s="36"/>
      <c r="CS740" s="36"/>
      <c r="CT740" s="36"/>
      <c r="CU740" s="36"/>
      <c r="CV740" s="36"/>
      <c r="CW740" s="36"/>
      <c r="CX740" s="36"/>
      <c r="CY740" s="36"/>
      <c r="CZ740" s="36"/>
      <c r="DA740" s="36"/>
      <c r="DB740" s="36"/>
      <c r="DC740" s="36"/>
      <c r="DD740" s="36"/>
      <c r="DE740" s="36"/>
      <c r="DF740" s="36"/>
      <c r="DG740" s="36"/>
      <c r="DH740" s="36"/>
      <c r="DI740" s="36"/>
      <c r="DJ740" s="36"/>
      <c r="DK740" s="36"/>
      <c r="DL740" s="36"/>
      <c r="DM740" s="36"/>
      <c r="DN740" s="36"/>
      <c r="DO740" s="36"/>
      <c r="DP740" s="36"/>
      <c r="DQ740" s="36"/>
      <c r="DR740" s="36"/>
      <c r="DS740" s="36"/>
    </row>
    <row r="741" spans="1:123" ht="14.45">
      <c r="A741"/>
      <c r="B741"/>
      <c r="C741"/>
      <c r="D741"/>
      <c r="E741"/>
      <c r="F741"/>
      <c r="G741"/>
      <c r="H741"/>
      <c r="I741"/>
      <c r="J741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  <c r="BR741" s="36"/>
      <c r="BS741" s="36"/>
      <c r="BT741" s="36"/>
      <c r="BU741" s="36"/>
      <c r="BV741" s="36"/>
      <c r="BW741" s="36"/>
      <c r="BX741" s="36"/>
      <c r="BY741" s="36"/>
      <c r="BZ741" s="36"/>
      <c r="CA741" s="36"/>
      <c r="CB741" s="36"/>
      <c r="CC741" s="36"/>
      <c r="CD741" s="36"/>
      <c r="CE741" s="36"/>
      <c r="CF741" s="36"/>
      <c r="CG741" s="36"/>
      <c r="CH741" s="36"/>
      <c r="CI741" s="36"/>
      <c r="CJ741" s="36"/>
      <c r="CK741" s="36"/>
      <c r="CL741" s="36"/>
      <c r="CM741" s="36"/>
      <c r="CN741" s="36"/>
      <c r="CO741" s="36"/>
      <c r="CP741" s="36"/>
      <c r="CQ741" s="36"/>
      <c r="CR741" s="36"/>
      <c r="CS741" s="36"/>
      <c r="CT741" s="36"/>
      <c r="CU741" s="36"/>
      <c r="CV741" s="36"/>
      <c r="CW741" s="36"/>
      <c r="CX741" s="36"/>
      <c r="CY741" s="36"/>
      <c r="CZ741" s="36"/>
      <c r="DA741" s="36"/>
      <c r="DB741" s="36"/>
      <c r="DC741" s="36"/>
      <c r="DD741" s="36"/>
      <c r="DE741" s="36"/>
      <c r="DF741" s="36"/>
      <c r="DG741" s="36"/>
      <c r="DH741" s="36"/>
      <c r="DI741" s="36"/>
      <c r="DJ741" s="36"/>
      <c r="DK741" s="36"/>
      <c r="DL741" s="36"/>
      <c r="DM741" s="36"/>
      <c r="DN741" s="36"/>
      <c r="DO741" s="36"/>
      <c r="DP741" s="36"/>
      <c r="DQ741" s="36"/>
      <c r="DR741" s="36"/>
      <c r="DS741" s="36"/>
    </row>
    <row r="742" spans="1:123" ht="14.45">
      <c r="A742"/>
      <c r="B742"/>
      <c r="C742"/>
      <c r="D742"/>
      <c r="E742"/>
      <c r="F742"/>
      <c r="G742"/>
      <c r="H742"/>
      <c r="I742"/>
      <c r="J742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  <c r="BR742" s="36"/>
      <c r="BS742" s="36"/>
      <c r="BT742" s="36"/>
      <c r="BU742" s="36"/>
      <c r="BV742" s="36"/>
      <c r="BW742" s="36"/>
      <c r="BX742" s="36"/>
      <c r="BY742" s="36"/>
      <c r="BZ742" s="36"/>
      <c r="CA742" s="36"/>
      <c r="CB742" s="36"/>
      <c r="CC742" s="36"/>
      <c r="CD742" s="36"/>
      <c r="CE742" s="36"/>
      <c r="CF742" s="36"/>
      <c r="CG742" s="36"/>
      <c r="CH742" s="36"/>
      <c r="CI742" s="36"/>
      <c r="CJ742" s="36"/>
      <c r="CK742" s="36"/>
      <c r="CL742" s="36"/>
      <c r="CM742" s="36"/>
      <c r="CN742" s="36"/>
      <c r="CO742" s="36"/>
      <c r="CP742" s="36"/>
      <c r="CQ742" s="36"/>
      <c r="CR742" s="36"/>
      <c r="CS742" s="36"/>
      <c r="CT742" s="36"/>
      <c r="CU742" s="36"/>
      <c r="CV742" s="36"/>
      <c r="CW742" s="36"/>
      <c r="CX742" s="36"/>
      <c r="CY742" s="36"/>
      <c r="CZ742" s="36"/>
      <c r="DA742" s="36"/>
      <c r="DB742" s="36"/>
      <c r="DC742" s="36"/>
      <c r="DD742" s="36"/>
      <c r="DE742" s="36"/>
      <c r="DF742" s="36"/>
      <c r="DG742" s="36"/>
      <c r="DH742" s="36"/>
      <c r="DI742" s="36"/>
      <c r="DJ742" s="36"/>
      <c r="DK742" s="36"/>
      <c r="DL742" s="36"/>
      <c r="DM742" s="36"/>
      <c r="DN742" s="36"/>
      <c r="DO742" s="36"/>
      <c r="DP742" s="36"/>
      <c r="DQ742" s="36"/>
      <c r="DR742" s="36"/>
      <c r="DS742" s="36"/>
    </row>
    <row r="743" spans="1:123" ht="14.45">
      <c r="A743"/>
      <c r="B743"/>
      <c r="C743"/>
      <c r="D743"/>
      <c r="E743"/>
      <c r="F743"/>
      <c r="G743"/>
      <c r="H743"/>
      <c r="I743"/>
      <c r="J743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  <c r="BR743" s="36"/>
      <c r="BS743" s="36"/>
      <c r="BT743" s="36"/>
      <c r="BU743" s="36"/>
      <c r="BV743" s="36"/>
      <c r="BW743" s="36"/>
      <c r="BX743" s="36"/>
      <c r="BY743" s="36"/>
      <c r="BZ743" s="36"/>
      <c r="CA743" s="36"/>
      <c r="CB743" s="36"/>
      <c r="CC743" s="36"/>
      <c r="CD743" s="36"/>
      <c r="CE743" s="36"/>
      <c r="CF743" s="36"/>
      <c r="CG743" s="36"/>
      <c r="CH743" s="36"/>
      <c r="CI743" s="36"/>
      <c r="CJ743" s="36"/>
      <c r="CK743" s="36"/>
      <c r="CL743" s="36"/>
      <c r="CM743" s="36"/>
      <c r="CN743" s="36"/>
      <c r="CO743" s="36"/>
      <c r="CP743" s="36"/>
      <c r="CQ743" s="36"/>
      <c r="CR743" s="36"/>
      <c r="CS743" s="36"/>
      <c r="CT743" s="36"/>
      <c r="CU743" s="36"/>
      <c r="CV743" s="36"/>
      <c r="CW743" s="36"/>
      <c r="CX743" s="36"/>
      <c r="CY743" s="36"/>
      <c r="CZ743" s="36"/>
      <c r="DA743" s="36"/>
      <c r="DB743" s="36"/>
      <c r="DC743" s="36"/>
      <c r="DD743" s="36"/>
      <c r="DE743" s="36"/>
      <c r="DF743" s="36"/>
      <c r="DG743" s="36"/>
      <c r="DH743" s="36"/>
      <c r="DI743" s="36"/>
      <c r="DJ743" s="36"/>
      <c r="DK743" s="36"/>
      <c r="DL743" s="36"/>
      <c r="DM743" s="36"/>
      <c r="DN743" s="36"/>
      <c r="DO743" s="36"/>
      <c r="DP743" s="36"/>
      <c r="DQ743" s="36"/>
      <c r="DR743" s="36"/>
      <c r="DS743" s="36"/>
    </row>
    <row r="744" spans="1:123" ht="14.45">
      <c r="A744"/>
      <c r="B744"/>
      <c r="C744"/>
      <c r="D744"/>
      <c r="E744"/>
      <c r="F744"/>
      <c r="G744"/>
      <c r="H744"/>
      <c r="I744"/>
      <c r="J744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  <c r="BR744" s="36"/>
      <c r="BS744" s="36"/>
      <c r="BT744" s="36"/>
      <c r="BU744" s="36"/>
      <c r="BV744" s="36"/>
      <c r="BW744" s="36"/>
      <c r="BX744" s="36"/>
      <c r="BY744" s="36"/>
      <c r="BZ744" s="36"/>
      <c r="CA744" s="36"/>
      <c r="CB744" s="36"/>
      <c r="CC744" s="36"/>
      <c r="CD744" s="36"/>
      <c r="CE744" s="36"/>
      <c r="CF744" s="36"/>
      <c r="CG744" s="36"/>
      <c r="CH744" s="36"/>
      <c r="CI744" s="36"/>
      <c r="CJ744" s="36"/>
      <c r="CK744" s="36"/>
      <c r="CL744" s="36"/>
      <c r="CM744" s="36"/>
      <c r="CN744" s="36"/>
      <c r="CO744" s="36"/>
      <c r="CP744" s="36"/>
      <c r="CQ744" s="36"/>
      <c r="CR744" s="36"/>
      <c r="CS744" s="36"/>
      <c r="CT744" s="36"/>
      <c r="CU744" s="36"/>
      <c r="CV744" s="36"/>
      <c r="CW744" s="36"/>
      <c r="CX744" s="36"/>
      <c r="CY744" s="36"/>
      <c r="CZ744" s="36"/>
      <c r="DA744" s="36"/>
      <c r="DB744" s="36"/>
      <c r="DC744" s="36"/>
      <c r="DD744" s="36"/>
      <c r="DE744" s="36"/>
      <c r="DF744" s="36"/>
      <c r="DG744" s="36"/>
      <c r="DH744" s="36"/>
      <c r="DI744" s="36"/>
      <c r="DJ744" s="36"/>
      <c r="DK744" s="36"/>
      <c r="DL744" s="36"/>
      <c r="DM744" s="36"/>
      <c r="DN744" s="36"/>
      <c r="DO744" s="36"/>
      <c r="DP744" s="36"/>
      <c r="DQ744" s="36"/>
      <c r="DR744" s="36"/>
      <c r="DS744" s="36"/>
    </row>
    <row r="745" spans="1:123" ht="14.45">
      <c r="A745"/>
      <c r="B745"/>
      <c r="C745"/>
      <c r="D745"/>
      <c r="E745"/>
      <c r="F745"/>
      <c r="G745"/>
      <c r="H745"/>
      <c r="I745"/>
      <c r="J745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  <c r="BR745" s="36"/>
      <c r="BS745" s="36"/>
      <c r="BT745" s="36"/>
      <c r="BU745" s="36"/>
      <c r="BV745" s="36"/>
      <c r="BW745" s="36"/>
      <c r="BX745" s="36"/>
      <c r="BY745" s="36"/>
      <c r="BZ745" s="36"/>
      <c r="CA745" s="36"/>
      <c r="CB745" s="36"/>
      <c r="CC745" s="36"/>
      <c r="CD745" s="36"/>
      <c r="CE745" s="36"/>
      <c r="CF745" s="36"/>
      <c r="CG745" s="36"/>
      <c r="CH745" s="36"/>
      <c r="CI745" s="36"/>
      <c r="CJ745" s="36"/>
      <c r="CK745" s="36"/>
      <c r="CL745" s="36"/>
      <c r="CM745" s="36"/>
      <c r="CN745" s="36"/>
      <c r="CO745" s="36"/>
      <c r="CP745" s="36"/>
      <c r="CQ745" s="36"/>
      <c r="CR745" s="36"/>
      <c r="CS745" s="36"/>
      <c r="CT745" s="36"/>
      <c r="CU745" s="36"/>
      <c r="CV745" s="36"/>
      <c r="CW745" s="36"/>
      <c r="CX745" s="36"/>
      <c r="CY745" s="36"/>
      <c r="CZ745" s="36"/>
      <c r="DA745" s="36"/>
      <c r="DB745" s="36"/>
      <c r="DC745" s="36"/>
      <c r="DD745" s="36"/>
      <c r="DE745" s="36"/>
      <c r="DF745" s="36"/>
      <c r="DG745" s="36"/>
      <c r="DH745" s="36"/>
      <c r="DI745" s="36"/>
      <c r="DJ745" s="36"/>
      <c r="DK745" s="36"/>
      <c r="DL745" s="36"/>
      <c r="DM745" s="36"/>
      <c r="DN745" s="36"/>
      <c r="DO745" s="36"/>
      <c r="DP745" s="36"/>
      <c r="DQ745" s="36"/>
      <c r="DR745" s="36"/>
      <c r="DS745" s="36"/>
    </row>
    <row r="746" spans="1:123" ht="14.45">
      <c r="A746"/>
      <c r="B746"/>
      <c r="C746"/>
      <c r="D746"/>
      <c r="E746"/>
      <c r="F746"/>
      <c r="G746"/>
      <c r="H746"/>
      <c r="I746"/>
      <c r="J74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  <c r="BR746" s="36"/>
      <c r="BS746" s="36"/>
      <c r="BT746" s="36"/>
      <c r="BU746" s="36"/>
      <c r="BV746" s="36"/>
      <c r="BW746" s="36"/>
      <c r="BX746" s="36"/>
      <c r="BY746" s="36"/>
      <c r="BZ746" s="36"/>
      <c r="CA746" s="36"/>
      <c r="CB746" s="36"/>
      <c r="CC746" s="36"/>
      <c r="CD746" s="36"/>
      <c r="CE746" s="36"/>
      <c r="CF746" s="36"/>
      <c r="CG746" s="36"/>
      <c r="CH746" s="36"/>
      <c r="CI746" s="36"/>
      <c r="CJ746" s="36"/>
      <c r="CK746" s="36"/>
      <c r="CL746" s="36"/>
      <c r="CM746" s="36"/>
      <c r="CN746" s="36"/>
      <c r="CO746" s="36"/>
      <c r="CP746" s="36"/>
      <c r="CQ746" s="36"/>
      <c r="CR746" s="36"/>
      <c r="CS746" s="36"/>
      <c r="CT746" s="36"/>
      <c r="CU746" s="36"/>
      <c r="CV746" s="36"/>
      <c r="CW746" s="36"/>
      <c r="CX746" s="36"/>
      <c r="CY746" s="36"/>
      <c r="CZ746" s="36"/>
      <c r="DA746" s="36"/>
      <c r="DB746" s="36"/>
      <c r="DC746" s="36"/>
      <c r="DD746" s="36"/>
      <c r="DE746" s="36"/>
      <c r="DF746" s="36"/>
      <c r="DG746" s="36"/>
      <c r="DH746" s="36"/>
      <c r="DI746" s="36"/>
      <c r="DJ746" s="36"/>
      <c r="DK746" s="36"/>
      <c r="DL746" s="36"/>
      <c r="DM746" s="36"/>
      <c r="DN746" s="36"/>
      <c r="DO746" s="36"/>
      <c r="DP746" s="36"/>
      <c r="DQ746" s="36"/>
      <c r="DR746" s="36"/>
      <c r="DS746" s="36"/>
    </row>
    <row r="747" spans="1:123" ht="14.45">
      <c r="A747"/>
      <c r="B747"/>
      <c r="C747"/>
      <c r="D747"/>
      <c r="E747"/>
      <c r="F747"/>
      <c r="G747"/>
      <c r="H747"/>
      <c r="I747"/>
      <c r="J747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  <c r="BP747" s="36"/>
      <c r="BQ747" s="36"/>
      <c r="BR747" s="36"/>
      <c r="BS747" s="36"/>
      <c r="BT747" s="36"/>
      <c r="BU747" s="36"/>
      <c r="BV747" s="36"/>
      <c r="BW747" s="36"/>
      <c r="BX747" s="36"/>
      <c r="BY747" s="36"/>
      <c r="BZ747" s="36"/>
      <c r="CA747" s="36"/>
      <c r="CB747" s="36"/>
      <c r="CC747" s="36"/>
      <c r="CD747" s="36"/>
      <c r="CE747" s="36"/>
      <c r="CF747" s="36"/>
      <c r="CG747" s="36"/>
      <c r="CH747" s="36"/>
      <c r="CI747" s="36"/>
      <c r="CJ747" s="36"/>
      <c r="CK747" s="36"/>
      <c r="CL747" s="36"/>
      <c r="CM747" s="36"/>
      <c r="CN747" s="36"/>
      <c r="CO747" s="36"/>
      <c r="CP747" s="36"/>
      <c r="CQ747" s="36"/>
      <c r="CR747" s="36"/>
      <c r="CS747" s="36"/>
      <c r="CT747" s="36"/>
      <c r="CU747" s="36"/>
      <c r="CV747" s="36"/>
      <c r="CW747" s="36"/>
      <c r="CX747" s="36"/>
      <c r="CY747" s="36"/>
      <c r="CZ747" s="36"/>
      <c r="DA747" s="36"/>
      <c r="DB747" s="36"/>
      <c r="DC747" s="36"/>
      <c r="DD747" s="36"/>
      <c r="DE747" s="36"/>
      <c r="DF747" s="36"/>
      <c r="DG747" s="36"/>
      <c r="DH747" s="36"/>
      <c r="DI747" s="36"/>
      <c r="DJ747" s="36"/>
      <c r="DK747" s="36"/>
      <c r="DL747" s="36"/>
      <c r="DM747" s="36"/>
      <c r="DN747" s="36"/>
      <c r="DO747" s="36"/>
      <c r="DP747" s="36"/>
      <c r="DQ747" s="36"/>
      <c r="DR747" s="36"/>
      <c r="DS747" s="36"/>
    </row>
    <row r="748" spans="1:123" ht="14.45">
      <c r="A748"/>
      <c r="B748"/>
      <c r="C748"/>
      <c r="D748"/>
      <c r="E748"/>
      <c r="F748"/>
      <c r="G748"/>
      <c r="H748"/>
      <c r="I748"/>
      <c r="J748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  <c r="BR748" s="36"/>
      <c r="BS748" s="36"/>
      <c r="BT748" s="36"/>
      <c r="BU748" s="36"/>
      <c r="BV748" s="36"/>
      <c r="BW748" s="36"/>
      <c r="BX748" s="36"/>
      <c r="BY748" s="36"/>
      <c r="BZ748" s="36"/>
      <c r="CA748" s="36"/>
      <c r="CB748" s="36"/>
      <c r="CC748" s="36"/>
      <c r="CD748" s="36"/>
      <c r="CE748" s="36"/>
      <c r="CF748" s="36"/>
      <c r="CG748" s="36"/>
      <c r="CH748" s="36"/>
      <c r="CI748" s="36"/>
      <c r="CJ748" s="36"/>
      <c r="CK748" s="36"/>
      <c r="CL748" s="36"/>
      <c r="CM748" s="36"/>
      <c r="CN748" s="36"/>
      <c r="CO748" s="36"/>
      <c r="CP748" s="36"/>
      <c r="CQ748" s="36"/>
      <c r="CR748" s="36"/>
      <c r="CS748" s="36"/>
      <c r="CT748" s="36"/>
      <c r="CU748" s="36"/>
      <c r="CV748" s="36"/>
      <c r="CW748" s="36"/>
      <c r="CX748" s="36"/>
      <c r="CY748" s="36"/>
      <c r="CZ748" s="36"/>
      <c r="DA748" s="36"/>
      <c r="DB748" s="36"/>
      <c r="DC748" s="36"/>
      <c r="DD748" s="36"/>
      <c r="DE748" s="36"/>
      <c r="DF748" s="36"/>
      <c r="DG748" s="36"/>
      <c r="DH748" s="36"/>
      <c r="DI748" s="36"/>
      <c r="DJ748" s="36"/>
      <c r="DK748" s="36"/>
      <c r="DL748" s="36"/>
      <c r="DM748" s="36"/>
      <c r="DN748" s="36"/>
      <c r="DO748" s="36"/>
      <c r="DP748" s="36"/>
      <c r="DQ748" s="36"/>
      <c r="DR748" s="36"/>
      <c r="DS748" s="36"/>
    </row>
    <row r="749" spans="1:123" ht="14.45">
      <c r="A749"/>
      <c r="B749"/>
      <c r="C749"/>
      <c r="D749"/>
      <c r="E749"/>
      <c r="F749"/>
      <c r="G749"/>
      <c r="H749"/>
      <c r="I749"/>
      <c r="J749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  <c r="BS749" s="36"/>
      <c r="BT749" s="36"/>
      <c r="BU749" s="36"/>
      <c r="BV749" s="36"/>
      <c r="BW749" s="36"/>
      <c r="BX749" s="36"/>
      <c r="BY749" s="36"/>
      <c r="BZ749" s="36"/>
      <c r="CA749" s="36"/>
      <c r="CB749" s="36"/>
      <c r="CC749" s="36"/>
      <c r="CD749" s="36"/>
      <c r="CE749" s="36"/>
      <c r="CF749" s="36"/>
      <c r="CG749" s="36"/>
      <c r="CH749" s="36"/>
      <c r="CI749" s="36"/>
      <c r="CJ749" s="36"/>
      <c r="CK749" s="36"/>
      <c r="CL749" s="36"/>
      <c r="CM749" s="36"/>
      <c r="CN749" s="36"/>
      <c r="CO749" s="36"/>
      <c r="CP749" s="36"/>
      <c r="CQ749" s="36"/>
      <c r="CR749" s="36"/>
      <c r="CS749" s="36"/>
      <c r="CT749" s="36"/>
      <c r="CU749" s="36"/>
      <c r="CV749" s="36"/>
      <c r="CW749" s="36"/>
      <c r="CX749" s="36"/>
      <c r="CY749" s="36"/>
      <c r="CZ749" s="36"/>
      <c r="DA749" s="36"/>
      <c r="DB749" s="36"/>
      <c r="DC749" s="36"/>
      <c r="DD749" s="36"/>
      <c r="DE749" s="36"/>
      <c r="DF749" s="36"/>
      <c r="DG749" s="36"/>
      <c r="DH749" s="36"/>
      <c r="DI749" s="36"/>
      <c r="DJ749" s="36"/>
      <c r="DK749" s="36"/>
      <c r="DL749" s="36"/>
      <c r="DM749" s="36"/>
      <c r="DN749" s="36"/>
      <c r="DO749" s="36"/>
      <c r="DP749" s="36"/>
      <c r="DQ749" s="36"/>
      <c r="DR749" s="36"/>
      <c r="DS749" s="36"/>
    </row>
    <row r="750" spans="1:123" ht="14.45">
      <c r="A750"/>
      <c r="B750"/>
      <c r="C750"/>
      <c r="D750"/>
      <c r="E750"/>
      <c r="F750"/>
      <c r="G750"/>
      <c r="H750"/>
      <c r="I750"/>
      <c r="J750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  <c r="BR750" s="36"/>
      <c r="BS750" s="36"/>
      <c r="BT750" s="36"/>
      <c r="BU750" s="36"/>
      <c r="BV750" s="36"/>
      <c r="BW750" s="36"/>
      <c r="BX750" s="36"/>
      <c r="BY750" s="36"/>
      <c r="BZ750" s="36"/>
      <c r="CA750" s="36"/>
      <c r="CB750" s="36"/>
      <c r="CC750" s="36"/>
      <c r="CD750" s="36"/>
      <c r="CE750" s="36"/>
      <c r="CF750" s="36"/>
      <c r="CG750" s="36"/>
      <c r="CH750" s="36"/>
      <c r="CI750" s="36"/>
      <c r="CJ750" s="36"/>
      <c r="CK750" s="36"/>
      <c r="CL750" s="36"/>
      <c r="CM750" s="36"/>
      <c r="CN750" s="36"/>
      <c r="CO750" s="36"/>
      <c r="CP750" s="36"/>
      <c r="CQ750" s="36"/>
      <c r="CR750" s="36"/>
      <c r="CS750" s="36"/>
      <c r="CT750" s="36"/>
      <c r="CU750" s="36"/>
      <c r="CV750" s="36"/>
      <c r="CW750" s="36"/>
      <c r="CX750" s="36"/>
      <c r="CY750" s="36"/>
      <c r="CZ750" s="36"/>
      <c r="DA750" s="36"/>
      <c r="DB750" s="36"/>
      <c r="DC750" s="36"/>
      <c r="DD750" s="36"/>
      <c r="DE750" s="36"/>
      <c r="DF750" s="36"/>
      <c r="DG750" s="36"/>
      <c r="DH750" s="36"/>
      <c r="DI750" s="36"/>
      <c r="DJ750" s="36"/>
      <c r="DK750" s="36"/>
      <c r="DL750" s="36"/>
      <c r="DM750" s="36"/>
      <c r="DN750" s="36"/>
      <c r="DO750" s="36"/>
      <c r="DP750" s="36"/>
      <c r="DQ750" s="36"/>
      <c r="DR750" s="36"/>
      <c r="DS750" s="36"/>
    </row>
    <row r="751" spans="1:123" ht="14.45">
      <c r="A751"/>
      <c r="B751"/>
      <c r="C751"/>
      <c r="D751"/>
      <c r="E751"/>
      <c r="F751"/>
      <c r="G751"/>
      <c r="H751"/>
      <c r="I751"/>
      <c r="J751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  <c r="BR751" s="36"/>
      <c r="BS751" s="36"/>
      <c r="BT751" s="36"/>
      <c r="BU751" s="36"/>
      <c r="BV751" s="36"/>
      <c r="BW751" s="36"/>
      <c r="BX751" s="36"/>
      <c r="BY751" s="36"/>
      <c r="BZ751" s="36"/>
      <c r="CA751" s="36"/>
      <c r="CB751" s="36"/>
      <c r="CC751" s="36"/>
      <c r="CD751" s="36"/>
      <c r="CE751" s="36"/>
      <c r="CF751" s="36"/>
      <c r="CG751" s="36"/>
      <c r="CH751" s="36"/>
      <c r="CI751" s="36"/>
      <c r="CJ751" s="36"/>
      <c r="CK751" s="36"/>
      <c r="CL751" s="36"/>
      <c r="CM751" s="36"/>
      <c r="CN751" s="36"/>
      <c r="CO751" s="36"/>
      <c r="CP751" s="36"/>
      <c r="CQ751" s="36"/>
      <c r="CR751" s="36"/>
      <c r="CS751" s="36"/>
      <c r="CT751" s="36"/>
      <c r="CU751" s="36"/>
      <c r="CV751" s="36"/>
      <c r="CW751" s="36"/>
      <c r="CX751" s="36"/>
      <c r="CY751" s="36"/>
      <c r="CZ751" s="36"/>
      <c r="DA751" s="36"/>
      <c r="DB751" s="36"/>
      <c r="DC751" s="36"/>
      <c r="DD751" s="36"/>
      <c r="DE751" s="36"/>
      <c r="DF751" s="36"/>
      <c r="DG751" s="36"/>
      <c r="DH751" s="36"/>
      <c r="DI751" s="36"/>
      <c r="DJ751" s="36"/>
      <c r="DK751" s="36"/>
      <c r="DL751" s="36"/>
      <c r="DM751" s="36"/>
      <c r="DN751" s="36"/>
      <c r="DO751" s="36"/>
      <c r="DP751" s="36"/>
      <c r="DQ751" s="36"/>
      <c r="DR751" s="36"/>
      <c r="DS751" s="36"/>
    </row>
    <row r="752" spans="1:123" ht="14.45">
      <c r="A752"/>
      <c r="B752"/>
      <c r="C752"/>
      <c r="D752"/>
      <c r="E752"/>
      <c r="F752"/>
      <c r="G752"/>
      <c r="H752"/>
      <c r="I752"/>
      <c r="J752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6"/>
      <c r="CA752" s="36"/>
      <c r="CB752" s="36"/>
      <c r="CC752" s="36"/>
      <c r="CD752" s="36"/>
      <c r="CE752" s="36"/>
      <c r="CF752" s="36"/>
      <c r="CG752" s="36"/>
      <c r="CH752" s="36"/>
      <c r="CI752" s="36"/>
      <c r="CJ752" s="36"/>
      <c r="CK752" s="36"/>
      <c r="CL752" s="36"/>
      <c r="CM752" s="36"/>
      <c r="CN752" s="36"/>
      <c r="CO752" s="36"/>
      <c r="CP752" s="36"/>
      <c r="CQ752" s="36"/>
      <c r="CR752" s="36"/>
      <c r="CS752" s="36"/>
      <c r="CT752" s="36"/>
      <c r="CU752" s="36"/>
      <c r="CV752" s="36"/>
      <c r="CW752" s="36"/>
      <c r="CX752" s="36"/>
      <c r="CY752" s="36"/>
      <c r="CZ752" s="36"/>
      <c r="DA752" s="36"/>
      <c r="DB752" s="36"/>
      <c r="DC752" s="36"/>
      <c r="DD752" s="36"/>
      <c r="DE752" s="36"/>
      <c r="DF752" s="36"/>
      <c r="DG752" s="36"/>
      <c r="DH752" s="36"/>
      <c r="DI752" s="36"/>
      <c r="DJ752" s="36"/>
      <c r="DK752" s="36"/>
      <c r="DL752" s="36"/>
      <c r="DM752" s="36"/>
      <c r="DN752" s="36"/>
      <c r="DO752" s="36"/>
      <c r="DP752" s="36"/>
      <c r="DQ752" s="36"/>
      <c r="DR752" s="36"/>
      <c r="DS752" s="36"/>
    </row>
    <row r="753" spans="1:123" ht="14.45">
      <c r="A753"/>
      <c r="B753"/>
      <c r="C753"/>
      <c r="D753"/>
      <c r="E753"/>
      <c r="F753"/>
      <c r="G753"/>
      <c r="H753"/>
      <c r="I753"/>
      <c r="J753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  <c r="BR753" s="36"/>
      <c r="BS753" s="36"/>
      <c r="BT753" s="36"/>
      <c r="BU753" s="36"/>
      <c r="BV753" s="36"/>
      <c r="BW753" s="36"/>
      <c r="BX753" s="36"/>
      <c r="BY753" s="36"/>
      <c r="BZ753" s="36"/>
      <c r="CA753" s="36"/>
      <c r="CB753" s="36"/>
      <c r="CC753" s="36"/>
      <c r="CD753" s="36"/>
      <c r="CE753" s="36"/>
      <c r="CF753" s="36"/>
      <c r="CG753" s="36"/>
      <c r="CH753" s="36"/>
      <c r="CI753" s="36"/>
      <c r="CJ753" s="36"/>
      <c r="CK753" s="36"/>
      <c r="CL753" s="36"/>
      <c r="CM753" s="36"/>
      <c r="CN753" s="36"/>
      <c r="CO753" s="36"/>
      <c r="CP753" s="36"/>
      <c r="CQ753" s="36"/>
      <c r="CR753" s="36"/>
      <c r="CS753" s="36"/>
      <c r="CT753" s="36"/>
      <c r="CU753" s="36"/>
      <c r="CV753" s="36"/>
      <c r="CW753" s="36"/>
      <c r="CX753" s="36"/>
      <c r="CY753" s="36"/>
      <c r="CZ753" s="36"/>
      <c r="DA753" s="36"/>
      <c r="DB753" s="36"/>
      <c r="DC753" s="36"/>
      <c r="DD753" s="36"/>
      <c r="DE753" s="36"/>
      <c r="DF753" s="36"/>
      <c r="DG753" s="36"/>
      <c r="DH753" s="36"/>
      <c r="DI753" s="36"/>
      <c r="DJ753" s="36"/>
      <c r="DK753" s="36"/>
      <c r="DL753" s="36"/>
      <c r="DM753" s="36"/>
      <c r="DN753" s="36"/>
      <c r="DO753" s="36"/>
      <c r="DP753" s="36"/>
      <c r="DQ753" s="36"/>
      <c r="DR753" s="36"/>
      <c r="DS753" s="36"/>
    </row>
    <row r="754" spans="1:123" ht="14.45">
      <c r="A754"/>
      <c r="B754"/>
      <c r="C754"/>
      <c r="D754"/>
      <c r="E754"/>
      <c r="F754"/>
      <c r="G754"/>
      <c r="H754"/>
      <c r="I754"/>
      <c r="J754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  <c r="BS754" s="36"/>
      <c r="BT754" s="36"/>
      <c r="BU754" s="36"/>
      <c r="BV754" s="36"/>
      <c r="BW754" s="36"/>
      <c r="BX754" s="36"/>
      <c r="BY754" s="36"/>
      <c r="BZ754" s="36"/>
      <c r="CA754" s="36"/>
      <c r="CB754" s="36"/>
      <c r="CC754" s="36"/>
      <c r="CD754" s="36"/>
      <c r="CE754" s="36"/>
      <c r="CF754" s="36"/>
      <c r="CG754" s="36"/>
      <c r="CH754" s="36"/>
      <c r="CI754" s="36"/>
      <c r="CJ754" s="36"/>
      <c r="CK754" s="36"/>
      <c r="CL754" s="36"/>
      <c r="CM754" s="36"/>
      <c r="CN754" s="36"/>
      <c r="CO754" s="36"/>
      <c r="CP754" s="36"/>
      <c r="CQ754" s="36"/>
      <c r="CR754" s="36"/>
      <c r="CS754" s="36"/>
      <c r="CT754" s="36"/>
      <c r="CU754" s="36"/>
      <c r="CV754" s="36"/>
      <c r="CW754" s="36"/>
      <c r="CX754" s="36"/>
      <c r="CY754" s="36"/>
      <c r="CZ754" s="36"/>
      <c r="DA754" s="36"/>
      <c r="DB754" s="36"/>
      <c r="DC754" s="36"/>
      <c r="DD754" s="36"/>
      <c r="DE754" s="36"/>
      <c r="DF754" s="36"/>
      <c r="DG754" s="36"/>
      <c r="DH754" s="36"/>
      <c r="DI754" s="36"/>
      <c r="DJ754" s="36"/>
      <c r="DK754" s="36"/>
      <c r="DL754" s="36"/>
      <c r="DM754" s="36"/>
      <c r="DN754" s="36"/>
      <c r="DO754" s="36"/>
      <c r="DP754" s="36"/>
      <c r="DQ754" s="36"/>
      <c r="DR754" s="36"/>
      <c r="DS754" s="36"/>
    </row>
    <row r="755" spans="1:123" ht="14.45">
      <c r="A755"/>
      <c r="B755"/>
      <c r="C755"/>
      <c r="D755"/>
      <c r="E755"/>
      <c r="F755"/>
      <c r="G755"/>
      <c r="H755"/>
      <c r="I755"/>
      <c r="J755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  <c r="BR755" s="36"/>
      <c r="BS755" s="36"/>
      <c r="BT755" s="36"/>
      <c r="BU755" s="36"/>
      <c r="BV755" s="36"/>
      <c r="BW755" s="36"/>
      <c r="BX755" s="36"/>
      <c r="BY755" s="36"/>
      <c r="BZ755" s="36"/>
      <c r="CA755" s="36"/>
      <c r="CB755" s="36"/>
      <c r="CC755" s="36"/>
      <c r="CD755" s="36"/>
      <c r="CE755" s="36"/>
      <c r="CF755" s="36"/>
      <c r="CG755" s="36"/>
      <c r="CH755" s="36"/>
      <c r="CI755" s="36"/>
      <c r="CJ755" s="36"/>
      <c r="CK755" s="36"/>
      <c r="CL755" s="36"/>
      <c r="CM755" s="36"/>
      <c r="CN755" s="36"/>
      <c r="CO755" s="36"/>
      <c r="CP755" s="36"/>
      <c r="CQ755" s="36"/>
      <c r="CR755" s="36"/>
      <c r="CS755" s="36"/>
      <c r="CT755" s="36"/>
      <c r="CU755" s="36"/>
      <c r="CV755" s="36"/>
      <c r="CW755" s="36"/>
      <c r="CX755" s="36"/>
      <c r="CY755" s="36"/>
      <c r="CZ755" s="36"/>
      <c r="DA755" s="36"/>
      <c r="DB755" s="36"/>
      <c r="DC755" s="36"/>
      <c r="DD755" s="36"/>
      <c r="DE755" s="36"/>
      <c r="DF755" s="36"/>
      <c r="DG755" s="36"/>
      <c r="DH755" s="36"/>
      <c r="DI755" s="36"/>
      <c r="DJ755" s="36"/>
      <c r="DK755" s="36"/>
      <c r="DL755" s="36"/>
      <c r="DM755" s="36"/>
      <c r="DN755" s="36"/>
      <c r="DO755" s="36"/>
      <c r="DP755" s="36"/>
      <c r="DQ755" s="36"/>
      <c r="DR755" s="36"/>
      <c r="DS755" s="36"/>
    </row>
    <row r="756" spans="1:123" ht="14.45">
      <c r="A756"/>
      <c r="B756"/>
      <c r="C756"/>
      <c r="D756"/>
      <c r="E756"/>
      <c r="F756"/>
      <c r="G756"/>
      <c r="H756"/>
      <c r="I756"/>
      <c r="J75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  <c r="BR756" s="36"/>
      <c r="BS756" s="36"/>
      <c r="BT756" s="36"/>
      <c r="BU756" s="36"/>
      <c r="BV756" s="36"/>
      <c r="BW756" s="36"/>
      <c r="BX756" s="36"/>
      <c r="BY756" s="36"/>
      <c r="BZ756" s="36"/>
      <c r="CA756" s="36"/>
      <c r="CB756" s="36"/>
      <c r="CC756" s="36"/>
      <c r="CD756" s="36"/>
      <c r="CE756" s="36"/>
      <c r="CF756" s="36"/>
      <c r="CG756" s="36"/>
      <c r="CH756" s="36"/>
      <c r="CI756" s="36"/>
      <c r="CJ756" s="36"/>
      <c r="CK756" s="36"/>
      <c r="CL756" s="36"/>
      <c r="CM756" s="36"/>
      <c r="CN756" s="36"/>
      <c r="CO756" s="36"/>
      <c r="CP756" s="36"/>
      <c r="CQ756" s="36"/>
      <c r="CR756" s="36"/>
      <c r="CS756" s="36"/>
      <c r="CT756" s="36"/>
      <c r="CU756" s="36"/>
      <c r="CV756" s="36"/>
      <c r="CW756" s="36"/>
      <c r="CX756" s="36"/>
      <c r="CY756" s="36"/>
      <c r="CZ756" s="36"/>
      <c r="DA756" s="36"/>
      <c r="DB756" s="36"/>
      <c r="DC756" s="36"/>
      <c r="DD756" s="36"/>
      <c r="DE756" s="36"/>
      <c r="DF756" s="36"/>
      <c r="DG756" s="36"/>
      <c r="DH756" s="36"/>
      <c r="DI756" s="36"/>
      <c r="DJ756" s="36"/>
      <c r="DK756" s="36"/>
      <c r="DL756" s="36"/>
      <c r="DM756" s="36"/>
      <c r="DN756" s="36"/>
      <c r="DO756" s="36"/>
      <c r="DP756" s="36"/>
      <c r="DQ756" s="36"/>
      <c r="DR756" s="36"/>
      <c r="DS756" s="36"/>
    </row>
    <row r="757" spans="1:123" ht="14.45">
      <c r="A757"/>
      <c r="B757"/>
      <c r="C757"/>
      <c r="D757"/>
      <c r="E757"/>
      <c r="F757"/>
      <c r="G757"/>
      <c r="H757"/>
      <c r="I757"/>
      <c r="J757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  <c r="BS757" s="36"/>
      <c r="BT757" s="36"/>
      <c r="BU757" s="36"/>
      <c r="BV757" s="36"/>
      <c r="BW757" s="36"/>
      <c r="BX757" s="36"/>
      <c r="BY757" s="36"/>
      <c r="BZ757" s="36"/>
      <c r="CA757" s="36"/>
      <c r="CB757" s="36"/>
      <c r="CC757" s="36"/>
      <c r="CD757" s="36"/>
      <c r="CE757" s="36"/>
      <c r="CF757" s="36"/>
      <c r="CG757" s="36"/>
      <c r="CH757" s="36"/>
      <c r="CI757" s="36"/>
      <c r="CJ757" s="36"/>
      <c r="CK757" s="36"/>
      <c r="CL757" s="36"/>
      <c r="CM757" s="36"/>
      <c r="CN757" s="36"/>
      <c r="CO757" s="36"/>
      <c r="CP757" s="36"/>
      <c r="CQ757" s="36"/>
      <c r="CR757" s="36"/>
      <c r="CS757" s="36"/>
      <c r="CT757" s="36"/>
      <c r="CU757" s="36"/>
      <c r="CV757" s="36"/>
      <c r="CW757" s="36"/>
      <c r="CX757" s="36"/>
      <c r="CY757" s="36"/>
      <c r="CZ757" s="36"/>
      <c r="DA757" s="36"/>
      <c r="DB757" s="36"/>
      <c r="DC757" s="36"/>
      <c r="DD757" s="36"/>
      <c r="DE757" s="36"/>
      <c r="DF757" s="36"/>
      <c r="DG757" s="36"/>
      <c r="DH757" s="36"/>
      <c r="DI757" s="36"/>
      <c r="DJ757" s="36"/>
      <c r="DK757" s="36"/>
      <c r="DL757" s="36"/>
      <c r="DM757" s="36"/>
      <c r="DN757" s="36"/>
      <c r="DO757" s="36"/>
      <c r="DP757" s="36"/>
      <c r="DQ757" s="36"/>
      <c r="DR757" s="36"/>
      <c r="DS757" s="36"/>
    </row>
    <row r="758" spans="1:123" ht="14.45">
      <c r="A758"/>
      <c r="B758"/>
      <c r="C758"/>
      <c r="D758"/>
      <c r="E758"/>
      <c r="F758"/>
      <c r="G758"/>
      <c r="H758"/>
      <c r="I758"/>
      <c r="J758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  <c r="BR758" s="36"/>
      <c r="BS758" s="36"/>
      <c r="BT758" s="36"/>
      <c r="BU758" s="36"/>
      <c r="BV758" s="36"/>
      <c r="BW758" s="36"/>
      <c r="BX758" s="36"/>
      <c r="BY758" s="36"/>
      <c r="BZ758" s="36"/>
      <c r="CA758" s="36"/>
      <c r="CB758" s="36"/>
      <c r="CC758" s="36"/>
      <c r="CD758" s="36"/>
      <c r="CE758" s="36"/>
      <c r="CF758" s="36"/>
      <c r="CG758" s="36"/>
      <c r="CH758" s="36"/>
      <c r="CI758" s="36"/>
      <c r="CJ758" s="36"/>
      <c r="CK758" s="36"/>
      <c r="CL758" s="36"/>
      <c r="CM758" s="36"/>
      <c r="CN758" s="36"/>
      <c r="CO758" s="36"/>
      <c r="CP758" s="36"/>
      <c r="CQ758" s="36"/>
      <c r="CR758" s="36"/>
      <c r="CS758" s="36"/>
      <c r="CT758" s="36"/>
      <c r="CU758" s="36"/>
      <c r="CV758" s="36"/>
      <c r="CW758" s="36"/>
      <c r="CX758" s="36"/>
      <c r="CY758" s="36"/>
      <c r="CZ758" s="36"/>
      <c r="DA758" s="36"/>
      <c r="DB758" s="36"/>
      <c r="DC758" s="36"/>
      <c r="DD758" s="36"/>
      <c r="DE758" s="36"/>
      <c r="DF758" s="36"/>
      <c r="DG758" s="36"/>
      <c r="DH758" s="36"/>
      <c r="DI758" s="36"/>
      <c r="DJ758" s="36"/>
      <c r="DK758" s="36"/>
      <c r="DL758" s="36"/>
      <c r="DM758" s="36"/>
      <c r="DN758" s="36"/>
      <c r="DO758" s="36"/>
      <c r="DP758" s="36"/>
      <c r="DQ758" s="36"/>
      <c r="DR758" s="36"/>
      <c r="DS758" s="36"/>
    </row>
    <row r="759" spans="1:123" ht="14.45">
      <c r="A759"/>
      <c r="B759"/>
      <c r="C759"/>
      <c r="D759"/>
      <c r="E759"/>
      <c r="F759"/>
      <c r="G759"/>
      <c r="H759"/>
      <c r="I759"/>
      <c r="J759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36"/>
      <c r="BS759" s="36"/>
      <c r="BT759" s="36"/>
      <c r="BU759" s="36"/>
      <c r="BV759" s="36"/>
      <c r="BW759" s="36"/>
      <c r="BX759" s="36"/>
      <c r="BY759" s="36"/>
      <c r="BZ759" s="36"/>
      <c r="CA759" s="36"/>
      <c r="CB759" s="36"/>
      <c r="CC759" s="36"/>
      <c r="CD759" s="36"/>
      <c r="CE759" s="36"/>
      <c r="CF759" s="36"/>
      <c r="CG759" s="36"/>
      <c r="CH759" s="36"/>
      <c r="CI759" s="36"/>
      <c r="CJ759" s="36"/>
      <c r="CK759" s="36"/>
      <c r="CL759" s="36"/>
      <c r="CM759" s="36"/>
      <c r="CN759" s="36"/>
      <c r="CO759" s="36"/>
      <c r="CP759" s="36"/>
      <c r="CQ759" s="36"/>
      <c r="CR759" s="36"/>
      <c r="CS759" s="36"/>
      <c r="CT759" s="36"/>
      <c r="CU759" s="36"/>
      <c r="CV759" s="36"/>
      <c r="CW759" s="36"/>
      <c r="CX759" s="36"/>
      <c r="CY759" s="36"/>
      <c r="CZ759" s="36"/>
      <c r="DA759" s="36"/>
      <c r="DB759" s="36"/>
      <c r="DC759" s="36"/>
      <c r="DD759" s="36"/>
      <c r="DE759" s="36"/>
      <c r="DF759" s="36"/>
      <c r="DG759" s="36"/>
      <c r="DH759" s="36"/>
      <c r="DI759" s="36"/>
      <c r="DJ759" s="36"/>
      <c r="DK759" s="36"/>
      <c r="DL759" s="36"/>
      <c r="DM759" s="36"/>
      <c r="DN759" s="36"/>
      <c r="DO759" s="36"/>
      <c r="DP759" s="36"/>
      <c r="DQ759" s="36"/>
      <c r="DR759" s="36"/>
      <c r="DS759" s="36"/>
    </row>
    <row r="760" spans="1:123" ht="14.45">
      <c r="A760"/>
      <c r="B760"/>
      <c r="C760"/>
      <c r="D760"/>
      <c r="E760"/>
      <c r="F760"/>
      <c r="G760"/>
      <c r="H760"/>
      <c r="I760"/>
      <c r="J760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36"/>
      <c r="BS760" s="36"/>
      <c r="BT760" s="36"/>
      <c r="BU760" s="36"/>
      <c r="BV760" s="36"/>
      <c r="BW760" s="36"/>
      <c r="BX760" s="36"/>
      <c r="BY760" s="36"/>
      <c r="BZ760" s="36"/>
      <c r="CA760" s="36"/>
      <c r="CB760" s="36"/>
      <c r="CC760" s="36"/>
      <c r="CD760" s="36"/>
      <c r="CE760" s="36"/>
      <c r="CF760" s="36"/>
      <c r="CG760" s="36"/>
      <c r="CH760" s="36"/>
      <c r="CI760" s="36"/>
      <c r="CJ760" s="36"/>
      <c r="CK760" s="36"/>
      <c r="CL760" s="36"/>
      <c r="CM760" s="36"/>
      <c r="CN760" s="36"/>
      <c r="CO760" s="36"/>
      <c r="CP760" s="36"/>
      <c r="CQ760" s="36"/>
      <c r="CR760" s="36"/>
      <c r="CS760" s="36"/>
      <c r="CT760" s="36"/>
      <c r="CU760" s="36"/>
      <c r="CV760" s="36"/>
      <c r="CW760" s="36"/>
      <c r="CX760" s="36"/>
      <c r="CY760" s="36"/>
      <c r="CZ760" s="36"/>
      <c r="DA760" s="36"/>
      <c r="DB760" s="36"/>
      <c r="DC760" s="36"/>
      <c r="DD760" s="36"/>
      <c r="DE760" s="36"/>
      <c r="DF760" s="36"/>
      <c r="DG760" s="36"/>
      <c r="DH760" s="36"/>
      <c r="DI760" s="36"/>
      <c r="DJ760" s="36"/>
      <c r="DK760" s="36"/>
      <c r="DL760" s="36"/>
      <c r="DM760" s="36"/>
      <c r="DN760" s="36"/>
      <c r="DO760" s="36"/>
      <c r="DP760" s="36"/>
      <c r="DQ760" s="36"/>
      <c r="DR760" s="36"/>
      <c r="DS760" s="36"/>
    </row>
    <row r="761" spans="1:123" ht="14.45">
      <c r="A761"/>
      <c r="B761"/>
      <c r="C761"/>
      <c r="D761"/>
      <c r="E761"/>
      <c r="F761"/>
      <c r="G761"/>
      <c r="H761"/>
      <c r="I761"/>
      <c r="J761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  <c r="BR761" s="36"/>
      <c r="BS761" s="36"/>
      <c r="BT761" s="36"/>
      <c r="BU761" s="36"/>
      <c r="BV761" s="36"/>
      <c r="BW761" s="36"/>
      <c r="BX761" s="36"/>
      <c r="BY761" s="36"/>
      <c r="BZ761" s="36"/>
      <c r="CA761" s="36"/>
      <c r="CB761" s="36"/>
      <c r="CC761" s="36"/>
      <c r="CD761" s="36"/>
      <c r="CE761" s="36"/>
      <c r="CF761" s="36"/>
      <c r="CG761" s="36"/>
      <c r="CH761" s="36"/>
      <c r="CI761" s="36"/>
      <c r="CJ761" s="36"/>
      <c r="CK761" s="36"/>
      <c r="CL761" s="36"/>
      <c r="CM761" s="36"/>
      <c r="CN761" s="36"/>
      <c r="CO761" s="36"/>
      <c r="CP761" s="36"/>
      <c r="CQ761" s="36"/>
      <c r="CR761" s="36"/>
      <c r="CS761" s="36"/>
      <c r="CT761" s="36"/>
      <c r="CU761" s="36"/>
      <c r="CV761" s="36"/>
      <c r="CW761" s="36"/>
      <c r="CX761" s="36"/>
      <c r="CY761" s="36"/>
      <c r="CZ761" s="36"/>
      <c r="DA761" s="36"/>
      <c r="DB761" s="36"/>
      <c r="DC761" s="36"/>
      <c r="DD761" s="36"/>
      <c r="DE761" s="36"/>
      <c r="DF761" s="36"/>
      <c r="DG761" s="36"/>
      <c r="DH761" s="36"/>
      <c r="DI761" s="36"/>
      <c r="DJ761" s="36"/>
      <c r="DK761" s="36"/>
      <c r="DL761" s="36"/>
      <c r="DM761" s="36"/>
      <c r="DN761" s="36"/>
      <c r="DO761" s="36"/>
      <c r="DP761" s="36"/>
      <c r="DQ761" s="36"/>
      <c r="DR761" s="36"/>
      <c r="DS761" s="36"/>
    </row>
    <row r="762" spans="1:123" ht="14.45">
      <c r="A762"/>
      <c r="B762"/>
      <c r="C762"/>
      <c r="D762"/>
      <c r="E762"/>
      <c r="F762"/>
      <c r="G762"/>
      <c r="H762"/>
      <c r="I762"/>
      <c r="J762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  <c r="BS762" s="36"/>
      <c r="BT762" s="36"/>
      <c r="BU762" s="36"/>
      <c r="BV762" s="36"/>
      <c r="BW762" s="36"/>
      <c r="BX762" s="36"/>
      <c r="BY762" s="36"/>
      <c r="BZ762" s="36"/>
      <c r="CA762" s="36"/>
      <c r="CB762" s="36"/>
      <c r="CC762" s="36"/>
      <c r="CD762" s="36"/>
      <c r="CE762" s="36"/>
      <c r="CF762" s="36"/>
      <c r="CG762" s="36"/>
      <c r="CH762" s="36"/>
      <c r="CI762" s="36"/>
      <c r="CJ762" s="36"/>
      <c r="CK762" s="36"/>
      <c r="CL762" s="36"/>
      <c r="CM762" s="36"/>
      <c r="CN762" s="36"/>
      <c r="CO762" s="36"/>
      <c r="CP762" s="36"/>
      <c r="CQ762" s="36"/>
      <c r="CR762" s="36"/>
      <c r="CS762" s="36"/>
      <c r="CT762" s="36"/>
      <c r="CU762" s="36"/>
      <c r="CV762" s="36"/>
      <c r="CW762" s="36"/>
      <c r="CX762" s="36"/>
      <c r="CY762" s="36"/>
      <c r="CZ762" s="36"/>
      <c r="DA762" s="36"/>
      <c r="DB762" s="36"/>
      <c r="DC762" s="36"/>
      <c r="DD762" s="36"/>
      <c r="DE762" s="36"/>
      <c r="DF762" s="36"/>
      <c r="DG762" s="36"/>
      <c r="DH762" s="36"/>
      <c r="DI762" s="36"/>
      <c r="DJ762" s="36"/>
      <c r="DK762" s="36"/>
      <c r="DL762" s="36"/>
      <c r="DM762" s="36"/>
      <c r="DN762" s="36"/>
      <c r="DO762" s="36"/>
      <c r="DP762" s="36"/>
      <c r="DQ762" s="36"/>
      <c r="DR762" s="36"/>
      <c r="DS762" s="36"/>
    </row>
    <row r="763" spans="1:123" ht="14.45">
      <c r="A763"/>
      <c r="B763"/>
      <c r="C763"/>
      <c r="D763"/>
      <c r="E763"/>
      <c r="F763"/>
      <c r="G763"/>
      <c r="H763"/>
      <c r="I763"/>
      <c r="J763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  <c r="BR763" s="36"/>
      <c r="BS763" s="36"/>
      <c r="BT763" s="36"/>
      <c r="BU763" s="36"/>
      <c r="BV763" s="36"/>
      <c r="BW763" s="36"/>
      <c r="BX763" s="36"/>
      <c r="BY763" s="36"/>
      <c r="BZ763" s="36"/>
      <c r="CA763" s="36"/>
      <c r="CB763" s="36"/>
      <c r="CC763" s="36"/>
      <c r="CD763" s="36"/>
      <c r="CE763" s="36"/>
      <c r="CF763" s="36"/>
      <c r="CG763" s="36"/>
      <c r="CH763" s="36"/>
      <c r="CI763" s="36"/>
      <c r="CJ763" s="36"/>
      <c r="CK763" s="36"/>
      <c r="CL763" s="36"/>
      <c r="CM763" s="36"/>
      <c r="CN763" s="36"/>
      <c r="CO763" s="36"/>
      <c r="CP763" s="36"/>
      <c r="CQ763" s="36"/>
      <c r="CR763" s="36"/>
      <c r="CS763" s="36"/>
      <c r="CT763" s="36"/>
      <c r="CU763" s="36"/>
      <c r="CV763" s="36"/>
      <c r="CW763" s="36"/>
      <c r="CX763" s="36"/>
      <c r="CY763" s="36"/>
      <c r="CZ763" s="36"/>
      <c r="DA763" s="36"/>
      <c r="DB763" s="36"/>
      <c r="DC763" s="36"/>
      <c r="DD763" s="36"/>
      <c r="DE763" s="36"/>
      <c r="DF763" s="36"/>
      <c r="DG763" s="36"/>
      <c r="DH763" s="36"/>
      <c r="DI763" s="36"/>
      <c r="DJ763" s="36"/>
      <c r="DK763" s="36"/>
      <c r="DL763" s="36"/>
      <c r="DM763" s="36"/>
      <c r="DN763" s="36"/>
      <c r="DO763" s="36"/>
      <c r="DP763" s="36"/>
      <c r="DQ763" s="36"/>
      <c r="DR763" s="36"/>
      <c r="DS763" s="36"/>
    </row>
    <row r="764" spans="1:123" ht="14.45">
      <c r="A764"/>
      <c r="B764"/>
      <c r="C764"/>
      <c r="D764"/>
      <c r="E764"/>
      <c r="F764"/>
      <c r="G764"/>
      <c r="H764"/>
      <c r="I764"/>
      <c r="J764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  <c r="BR764" s="36"/>
      <c r="BS764" s="36"/>
      <c r="BT764" s="36"/>
      <c r="BU764" s="36"/>
      <c r="BV764" s="36"/>
      <c r="BW764" s="36"/>
      <c r="BX764" s="36"/>
      <c r="BY764" s="36"/>
      <c r="BZ764" s="36"/>
      <c r="CA764" s="36"/>
      <c r="CB764" s="36"/>
      <c r="CC764" s="36"/>
      <c r="CD764" s="36"/>
      <c r="CE764" s="36"/>
      <c r="CF764" s="36"/>
      <c r="CG764" s="36"/>
      <c r="CH764" s="36"/>
      <c r="CI764" s="36"/>
      <c r="CJ764" s="36"/>
      <c r="CK764" s="36"/>
      <c r="CL764" s="36"/>
      <c r="CM764" s="36"/>
      <c r="CN764" s="36"/>
      <c r="CO764" s="36"/>
      <c r="CP764" s="36"/>
      <c r="CQ764" s="36"/>
      <c r="CR764" s="36"/>
      <c r="CS764" s="36"/>
      <c r="CT764" s="36"/>
      <c r="CU764" s="36"/>
      <c r="CV764" s="36"/>
      <c r="CW764" s="36"/>
      <c r="CX764" s="36"/>
      <c r="CY764" s="36"/>
      <c r="CZ764" s="36"/>
      <c r="DA764" s="36"/>
      <c r="DB764" s="36"/>
      <c r="DC764" s="36"/>
      <c r="DD764" s="36"/>
      <c r="DE764" s="36"/>
      <c r="DF764" s="36"/>
      <c r="DG764" s="36"/>
      <c r="DH764" s="36"/>
      <c r="DI764" s="36"/>
      <c r="DJ764" s="36"/>
      <c r="DK764" s="36"/>
      <c r="DL764" s="36"/>
      <c r="DM764" s="36"/>
      <c r="DN764" s="36"/>
      <c r="DO764" s="36"/>
      <c r="DP764" s="36"/>
      <c r="DQ764" s="36"/>
      <c r="DR764" s="36"/>
      <c r="DS764" s="36"/>
    </row>
    <row r="765" spans="1:123" ht="14.45">
      <c r="A765"/>
      <c r="B765"/>
      <c r="C765"/>
      <c r="D765"/>
      <c r="E765"/>
      <c r="F765"/>
      <c r="G765"/>
      <c r="H765"/>
      <c r="I765"/>
      <c r="J765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  <c r="BP765" s="36"/>
      <c r="BQ765" s="36"/>
      <c r="BR765" s="36"/>
      <c r="BS765" s="36"/>
      <c r="BT765" s="36"/>
      <c r="BU765" s="36"/>
      <c r="BV765" s="36"/>
      <c r="BW765" s="36"/>
      <c r="BX765" s="36"/>
      <c r="BY765" s="36"/>
      <c r="BZ765" s="36"/>
      <c r="CA765" s="36"/>
      <c r="CB765" s="36"/>
      <c r="CC765" s="36"/>
      <c r="CD765" s="36"/>
      <c r="CE765" s="36"/>
      <c r="CF765" s="36"/>
      <c r="CG765" s="36"/>
      <c r="CH765" s="36"/>
      <c r="CI765" s="36"/>
      <c r="CJ765" s="36"/>
      <c r="CK765" s="36"/>
      <c r="CL765" s="36"/>
      <c r="CM765" s="36"/>
      <c r="CN765" s="36"/>
      <c r="CO765" s="36"/>
      <c r="CP765" s="36"/>
      <c r="CQ765" s="36"/>
      <c r="CR765" s="36"/>
      <c r="CS765" s="36"/>
      <c r="CT765" s="36"/>
      <c r="CU765" s="36"/>
      <c r="CV765" s="36"/>
      <c r="CW765" s="36"/>
      <c r="CX765" s="36"/>
      <c r="CY765" s="36"/>
      <c r="CZ765" s="36"/>
      <c r="DA765" s="36"/>
      <c r="DB765" s="36"/>
      <c r="DC765" s="36"/>
      <c r="DD765" s="36"/>
      <c r="DE765" s="36"/>
      <c r="DF765" s="36"/>
      <c r="DG765" s="36"/>
      <c r="DH765" s="36"/>
      <c r="DI765" s="36"/>
      <c r="DJ765" s="36"/>
      <c r="DK765" s="36"/>
      <c r="DL765" s="36"/>
      <c r="DM765" s="36"/>
      <c r="DN765" s="36"/>
      <c r="DO765" s="36"/>
      <c r="DP765" s="36"/>
      <c r="DQ765" s="36"/>
      <c r="DR765" s="36"/>
      <c r="DS765" s="36"/>
    </row>
    <row r="766" spans="1:123" ht="14.45">
      <c r="A766"/>
      <c r="B766"/>
      <c r="C766"/>
      <c r="D766"/>
      <c r="E766"/>
      <c r="F766"/>
      <c r="G766"/>
      <c r="H766"/>
      <c r="I766"/>
      <c r="J76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  <c r="BR766" s="36"/>
      <c r="BS766" s="36"/>
      <c r="BT766" s="36"/>
      <c r="BU766" s="36"/>
      <c r="BV766" s="36"/>
      <c r="BW766" s="36"/>
      <c r="BX766" s="36"/>
      <c r="BY766" s="36"/>
      <c r="BZ766" s="36"/>
      <c r="CA766" s="36"/>
      <c r="CB766" s="36"/>
      <c r="CC766" s="36"/>
      <c r="CD766" s="36"/>
      <c r="CE766" s="36"/>
      <c r="CF766" s="36"/>
      <c r="CG766" s="36"/>
      <c r="CH766" s="36"/>
      <c r="CI766" s="36"/>
      <c r="CJ766" s="36"/>
      <c r="CK766" s="36"/>
      <c r="CL766" s="36"/>
      <c r="CM766" s="36"/>
      <c r="CN766" s="36"/>
      <c r="CO766" s="36"/>
      <c r="CP766" s="36"/>
      <c r="CQ766" s="36"/>
      <c r="CR766" s="36"/>
      <c r="CS766" s="36"/>
      <c r="CT766" s="36"/>
      <c r="CU766" s="36"/>
      <c r="CV766" s="36"/>
      <c r="CW766" s="36"/>
      <c r="CX766" s="36"/>
      <c r="CY766" s="36"/>
      <c r="CZ766" s="36"/>
      <c r="DA766" s="36"/>
      <c r="DB766" s="36"/>
      <c r="DC766" s="36"/>
      <c r="DD766" s="36"/>
      <c r="DE766" s="36"/>
      <c r="DF766" s="36"/>
      <c r="DG766" s="36"/>
      <c r="DH766" s="36"/>
      <c r="DI766" s="36"/>
      <c r="DJ766" s="36"/>
      <c r="DK766" s="36"/>
      <c r="DL766" s="36"/>
      <c r="DM766" s="36"/>
      <c r="DN766" s="36"/>
      <c r="DO766" s="36"/>
      <c r="DP766" s="36"/>
      <c r="DQ766" s="36"/>
      <c r="DR766" s="36"/>
      <c r="DS766" s="36"/>
    </row>
    <row r="767" spans="1:123" ht="14.45">
      <c r="A767"/>
      <c r="B767"/>
      <c r="C767"/>
      <c r="D767"/>
      <c r="E767"/>
      <c r="F767"/>
      <c r="G767"/>
      <c r="H767"/>
      <c r="I767"/>
      <c r="J767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  <c r="BR767" s="36"/>
      <c r="BS767" s="36"/>
      <c r="BT767" s="36"/>
      <c r="BU767" s="36"/>
      <c r="BV767" s="36"/>
      <c r="BW767" s="36"/>
      <c r="BX767" s="36"/>
      <c r="BY767" s="36"/>
      <c r="BZ767" s="36"/>
      <c r="CA767" s="36"/>
      <c r="CB767" s="36"/>
      <c r="CC767" s="36"/>
      <c r="CD767" s="36"/>
      <c r="CE767" s="36"/>
      <c r="CF767" s="36"/>
      <c r="CG767" s="36"/>
      <c r="CH767" s="36"/>
      <c r="CI767" s="36"/>
      <c r="CJ767" s="36"/>
      <c r="CK767" s="36"/>
      <c r="CL767" s="36"/>
      <c r="CM767" s="36"/>
      <c r="CN767" s="36"/>
      <c r="CO767" s="36"/>
      <c r="CP767" s="36"/>
      <c r="CQ767" s="36"/>
      <c r="CR767" s="36"/>
      <c r="CS767" s="36"/>
      <c r="CT767" s="36"/>
      <c r="CU767" s="36"/>
      <c r="CV767" s="36"/>
      <c r="CW767" s="36"/>
      <c r="CX767" s="36"/>
      <c r="CY767" s="36"/>
      <c r="CZ767" s="36"/>
      <c r="DA767" s="36"/>
      <c r="DB767" s="36"/>
      <c r="DC767" s="36"/>
      <c r="DD767" s="36"/>
      <c r="DE767" s="36"/>
      <c r="DF767" s="36"/>
      <c r="DG767" s="36"/>
      <c r="DH767" s="36"/>
      <c r="DI767" s="36"/>
      <c r="DJ767" s="36"/>
      <c r="DK767" s="36"/>
      <c r="DL767" s="36"/>
      <c r="DM767" s="36"/>
      <c r="DN767" s="36"/>
      <c r="DO767" s="36"/>
      <c r="DP767" s="36"/>
      <c r="DQ767" s="36"/>
      <c r="DR767" s="36"/>
      <c r="DS767" s="36"/>
    </row>
    <row r="768" spans="1:123" ht="14.45">
      <c r="A768"/>
      <c r="B768"/>
      <c r="C768"/>
      <c r="D768"/>
      <c r="E768"/>
      <c r="F768"/>
      <c r="G768"/>
      <c r="H768"/>
      <c r="I768"/>
      <c r="J768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  <c r="BP768" s="36"/>
      <c r="BQ768" s="36"/>
      <c r="BR768" s="36"/>
      <c r="BS768" s="36"/>
      <c r="BT768" s="36"/>
      <c r="BU768" s="36"/>
      <c r="BV768" s="36"/>
      <c r="BW768" s="36"/>
      <c r="BX768" s="36"/>
      <c r="BY768" s="36"/>
      <c r="BZ768" s="36"/>
      <c r="CA768" s="36"/>
      <c r="CB768" s="36"/>
      <c r="CC768" s="36"/>
      <c r="CD768" s="36"/>
      <c r="CE768" s="36"/>
      <c r="CF768" s="36"/>
      <c r="CG768" s="36"/>
      <c r="CH768" s="36"/>
      <c r="CI768" s="36"/>
      <c r="CJ768" s="36"/>
      <c r="CK768" s="36"/>
      <c r="CL768" s="36"/>
      <c r="CM768" s="36"/>
      <c r="CN768" s="36"/>
      <c r="CO768" s="36"/>
      <c r="CP768" s="36"/>
      <c r="CQ768" s="36"/>
      <c r="CR768" s="36"/>
      <c r="CS768" s="36"/>
      <c r="CT768" s="36"/>
      <c r="CU768" s="36"/>
      <c r="CV768" s="36"/>
      <c r="CW768" s="36"/>
      <c r="CX768" s="36"/>
      <c r="CY768" s="36"/>
      <c r="CZ768" s="36"/>
      <c r="DA768" s="36"/>
      <c r="DB768" s="36"/>
      <c r="DC768" s="36"/>
      <c r="DD768" s="36"/>
      <c r="DE768" s="36"/>
      <c r="DF768" s="36"/>
      <c r="DG768" s="36"/>
      <c r="DH768" s="36"/>
      <c r="DI768" s="36"/>
      <c r="DJ768" s="36"/>
      <c r="DK768" s="36"/>
      <c r="DL768" s="36"/>
      <c r="DM768" s="36"/>
      <c r="DN768" s="36"/>
      <c r="DO768" s="36"/>
      <c r="DP768" s="36"/>
      <c r="DQ768" s="36"/>
      <c r="DR768" s="36"/>
      <c r="DS768" s="36"/>
    </row>
    <row r="769" spans="1:123" ht="14.45">
      <c r="A769"/>
      <c r="B769"/>
      <c r="C769"/>
      <c r="D769"/>
      <c r="E769"/>
      <c r="F769"/>
      <c r="G769"/>
      <c r="H769"/>
      <c r="I769"/>
      <c r="J769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  <c r="BP769" s="36"/>
      <c r="BQ769" s="36"/>
      <c r="BR769" s="36"/>
      <c r="BS769" s="36"/>
      <c r="BT769" s="36"/>
      <c r="BU769" s="36"/>
      <c r="BV769" s="36"/>
      <c r="BW769" s="36"/>
      <c r="BX769" s="36"/>
      <c r="BY769" s="36"/>
      <c r="BZ769" s="36"/>
      <c r="CA769" s="36"/>
      <c r="CB769" s="36"/>
      <c r="CC769" s="36"/>
      <c r="CD769" s="36"/>
      <c r="CE769" s="36"/>
      <c r="CF769" s="36"/>
      <c r="CG769" s="36"/>
      <c r="CH769" s="36"/>
      <c r="CI769" s="36"/>
      <c r="CJ769" s="36"/>
      <c r="CK769" s="36"/>
      <c r="CL769" s="36"/>
      <c r="CM769" s="36"/>
      <c r="CN769" s="36"/>
      <c r="CO769" s="36"/>
      <c r="CP769" s="36"/>
      <c r="CQ769" s="36"/>
      <c r="CR769" s="36"/>
      <c r="CS769" s="36"/>
      <c r="CT769" s="36"/>
      <c r="CU769" s="36"/>
      <c r="CV769" s="36"/>
      <c r="CW769" s="36"/>
      <c r="CX769" s="36"/>
      <c r="CY769" s="36"/>
      <c r="CZ769" s="36"/>
      <c r="DA769" s="36"/>
      <c r="DB769" s="36"/>
      <c r="DC769" s="36"/>
      <c r="DD769" s="36"/>
      <c r="DE769" s="36"/>
      <c r="DF769" s="36"/>
      <c r="DG769" s="36"/>
      <c r="DH769" s="36"/>
      <c r="DI769" s="36"/>
      <c r="DJ769" s="36"/>
      <c r="DK769" s="36"/>
      <c r="DL769" s="36"/>
      <c r="DM769" s="36"/>
      <c r="DN769" s="36"/>
      <c r="DO769" s="36"/>
      <c r="DP769" s="36"/>
      <c r="DQ769" s="36"/>
      <c r="DR769" s="36"/>
      <c r="DS769" s="36"/>
    </row>
    <row r="770" spans="1:123" ht="14.45">
      <c r="A770"/>
      <c r="B770"/>
      <c r="C770"/>
      <c r="D770"/>
      <c r="E770"/>
      <c r="F770"/>
      <c r="G770"/>
      <c r="H770"/>
      <c r="I770"/>
      <c r="J770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  <c r="BR770" s="36"/>
      <c r="BS770" s="36"/>
      <c r="BT770" s="36"/>
      <c r="BU770" s="36"/>
      <c r="BV770" s="36"/>
      <c r="BW770" s="36"/>
      <c r="BX770" s="36"/>
      <c r="BY770" s="36"/>
      <c r="BZ770" s="36"/>
      <c r="CA770" s="36"/>
      <c r="CB770" s="36"/>
      <c r="CC770" s="36"/>
      <c r="CD770" s="36"/>
      <c r="CE770" s="36"/>
      <c r="CF770" s="36"/>
      <c r="CG770" s="36"/>
      <c r="CH770" s="36"/>
      <c r="CI770" s="36"/>
      <c r="CJ770" s="36"/>
      <c r="CK770" s="36"/>
      <c r="CL770" s="36"/>
      <c r="CM770" s="36"/>
      <c r="CN770" s="36"/>
      <c r="CO770" s="36"/>
      <c r="CP770" s="36"/>
      <c r="CQ770" s="36"/>
      <c r="CR770" s="36"/>
      <c r="CS770" s="36"/>
      <c r="CT770" s="36"/>
      <c r="CU770" s="36"/>
      <c r="CV770" s="36"/>
      <c r="CW770" s="36"/>
      <c r="CX770" s="36"/>
      <c r="CY770" s="36"/>
      <c r="CZ770" s="36"/>
      <c r="DA770" s="36"/>
      <c r="DB770" s="36"/>
      <c r="DC770" s="36"/>
      <c r="DD770" s="36"/>
      <c r="DE770" s="36"/>
      <c r="DF770" s="36"/>
      <c r="DG770" s="36"/>
      <c r="DH770" s="36"/>
      <c r="DI770" s="36"/>
      <c r="DJ770" s="36"/>
      <c r="DK770" s="36"/>
      <c r="DL770" s="36"/>
      <c r="DM770" s="36"/>
      <c r="DN770" s="36"/>
      <c r="DO770" s="36"/>
      <c r="DP770" s="36"/>
      <c r="DQ770" s="36"/>
      <c r="DR770" s="36"/>
      <c r="DS770" s="36"/>
    </row>
    <row r="771" spans="1:123" ht="14.45">
      <c r="A771"/>
      <c r="B771"/>
      <c r="C771"/>
      <c r="D771"/>
      <c r="E771"/>
      <c r="F771"/>
      <c r="G771"/>
      <c r="H771"/>
      <c r="I771"/>
      <c r="J771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  <c r="BP771" s="36"/>
      <c r="BQ771" s="36"/>
      <c r="BR771" s="36"/>
      <c r="BS771" s="36"/>
      <c r="BT771" s="36"/>
      <c r="BU771" s="36"/>
      <c r="BV771" s="36"/>
      <c r="BW771" s="36"/>
      <c r="BX771" s="36"/>
      <c r="BY771" s="36"/>
      <c r="BZ771" s="36"/>
      <c r="CA771" s="36"/>
      <c r="CB771" s="36"/>
      <c r="CC771" s="36"/>
      <c r="CD771" s="36"/>
      <c r="CE771" s="36"/>
      <c r="CF771" s="36"/>
      <c r="CG771" s="36"/>
      <c r="CH771" s="36"/>
      <c r="CI771" s="36"/>
      <c r="CJ771" s="36"/>
      <c r="CK771" s="36"/>
      <c r="CL771" s="36"/>
      <c r="CM771" s="36"/>
      <c r="CN771" s="36"/>
      <c r="CO771" s="36"/>
      <c r="CP771" s="36"/>
      <c r="CQ771" s="36"/>
      <c r="CR771" s="36"/>
      <c r="CS771" s="36"/>
      <c r="CT771" s="36"/>
      <c r="CU771" s="36"/>
      <c r="CV771" s="36"/>
      <c r="CW771" s="36"/>
      <c r="CX771" s="36"/>
      <c r="CY771" s="36"/>
      <c r="CZ771" s="36"/>
      <c r="DA771" s="36"/>
      <c r="DB771" s="36"/>
      <c r="DC771" s="36"/>
      <c r="DD771" s="36"/>
      <c r="DE771" s="36"/>
      <c r="DF771" s="36"/>
      <c r="DG771" s="36"/>
      <c r="DH771" s="36"/>
      <c r="DI771" s="36"/>
      <c r="DJ771" s="36"/>
      <c r="DK771" s="36"/>
      <c r="DL771" s="36"/>
      <c r="DM771" s="36"/>
      <c r="DN771" s="36"/>
      <c r="DO771" s="36"/>
      <c r="DP771" s="36"/>
      <c r="DQ771" s="36"/>
      <c r="DR771" s="36"/>
      <c r="DS771" s="36"/>
    </row>
    <row r="772" spans="1:123" ht="14.45">
      <c r="A772"/>
      <c r="B772"/>
      <c r="C772"/>
      <c r="D772"/>
      <c r="E772"/>
      <c r="F772"/>
      <c r="G772"/>
      <c r="H772"/>
      <c r="I772"/>
      <c r="J772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6"/>
      <c r="BQ772" s="36"/>
      <c r="BR772" s="36"/>
      <c r="BS772" s="36"/>
      <c r="BT772" s="36"/>
      <c r="BU772" s="36"/>
      <c r="BV772" s="36"/>
      <c r="BW772" s="36"/>
      <c r="BX772" s="36"/>
      <c r="BY772" s="36"/>
      <c r="BZ772" s="36"/>
      <c r="CA772" s="36"/>
      <c r="CB772" s="36"/>
      <c r="CC772" s="36"/>
      <c r="CD772" s="36"/>
      <c r="CE772" s="36"/>
      <c r="CF772" s="36"/>
      <c r="CG772" s="36"/>
      <c r="CH772" s="36"/>
      <c r="CI772" s="36"/>
      <c r="CJ772" s="36"/>
      <c r="CK772" s="36"/>
      <c r="CL772" s="36"/>
      <c r="CM772" s="36"/>
      <c r="CN772" s="36"/>
      <c r="CO772" s="36"/>
      <c r="CP772" s="36"/>
      <c r="CQ772" s="36"/>
      <c r="CR772" s="36"/>
      <c r="CS772" s="36"/>
      <c r="CT772" s="36"/>
      <c r="CU772" s="36"/>
      <c r="CV772" s="36"/>
      <c r="CW772" s="36"/>
      <c r="CX772" s="36"/>
      <c r="CY772" s="36"/>
      <c r="CZ772" s="36"/>
      <c r="DA772" s="36"/>
      <c r="DB772" s="36"/>
      <c r="DC772" s="36"/>
      <c r="DD772" s="36"/>
      <c r="DE772" s="36"/>
      <c r="DF772" s="36"/>
      <c r="DG772" s="36"/>
      <c r="DH772" s="36"/>
      <c r="DI772" s="36"/>
      <c r="DJ772" s="36"/>
      <c r="DK772" s="36"/>
      <c r="DL772" s="36"/>
      <c r="DM772" s="36"/>
      <c r="DN772" s="36"/>
      <c r="DO772" s="36"/>
      <c r="DP772" s="36"/>
      <c r="DQ772" s="36"/>
      <c r="DR772" s="36"/>
      <c r="DS772" s="36"/>
    </row>
    <row r="773" spans="1:123" ht="14.45">
      <c r="A773"/>
      <c r="B773"/>
      <c r="C773"/>
      <c r="D773"/>
      <c r="E773"/>
      <c r="F773"/>
      <c r="G773"/>
      <c r="H773"/>
      <c r="I773"/>
      <c r="J773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  <c r="BR773" s="36"/>
      <c r="BS773" s="36"/>
      <c r="BT773" s="36"/>
      <c r="BU773" s="36"/>
      <c r="BV773" s="36"/>
      <c r="BW773" s="36"/>
      <c r="BX773" s="36"/>
      <c r="BY773" s="36"/>
      <c r="BZ773" s="36"/>
      <c r="CA773" s="36"/>
      <c r="CB773" s="36"/>
      <c r="CC773" s="36"/>
      <c r="CD773" s="36"/>
      <c r="CE773" s="36"/>
      <c r="CF773" s="36"/>
      <c r="CG773" s="36"/>
      <c r="CH773" s="36"/>
      <c r="CI773" s="36"/>
      <c r="CJ773" s="36"/>
      <c r="CK773" s="36"/>
      <c r="CL773" s="36"/>
      <c r="CM773" s="36"/>
      <c r="CN773" s="36"/>
      <c r="CO773" s="36"/>
      <c r="CP773" s="36"/>
      <c r="CQ773" s="36"/>
      <c r="CR773" s="36"/>
      <c r="CS773" s="36"/>
      <c r="CT773" s="36"/>
      <c r="CU773" s="36"/>
      <c r="CV773" s="36"/>
      <c r="CW773" s="36"/>
      <c r="CX773" s="36"/>
      <c r="CY773" s="36"/>
      <c r="CZ773" s="36"/>
      <c r="DA773" s="36"/>
      <c r="DB773" s="36"/>
      <c r="DC773" s="36"/>
      <c r="DD773" s="36"/>
      <c r="DE773" s="36"/>
      <c r="DF773" s="36"/>
      <c r="DG773" s="36"/>
      <c r="DH773" s="36"/>
      <c r="DI773" s="36"/>
      <c r="DJ773" s="36"/>
      <c r="DK773" s="36"/>
      <c r="DL773" s="36"/>
      <c r="DM773" s="36"/>
      <c r="DN773" s="36"/>
      <c r="DO773" s="36"/>
      <c r="DP773" s="36"/>
      <c r="DQ773" s="36"/>
      <c r="DR773" s="36"/>
      <c r="DS773" s="36"/>
    </row>
    <row r="774" spans="1:123" ht="14.45">
      <c r="A774"/>
      <c r="B774"/>
      <c r="C774"/>
      <c r="D774"/>
      <c r="E774"/>
      <c r="F774"/>
      <c r="G774"/>
      <c r="H774"/>
      <c r="I774"/>
      <c r="J774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  <c r="BR774" s="36"/>
      <c r="BS774" s="36"/>
      <c r="BT774" s="36"/>
      <c r="BU774" s="36"/>
      <c r="BV774" s="36"/>
      <c r="BW774" s="36"/>
      <c r="BX774" s="36"/>
      <c r="BY774" s="36"/>
      <c r="BZ774" s="36"/>
      <c r="CA774" s="36"/>
      <c r="CB774" s="36"/>
      <c r="CC774" s="36"/>
      <c r="CD774" s="36"/>
      <c r="CE774" s="36"/>
      <c r="CF774" s="36"/>
      <c r="CG774" s="36"/>
      <c r="CH774" s="36"/>
      <c r="CI774" s="36"/>
      <c r="CJ774" s="36"/>
      <c r="CK774" s="36"/>
      <c r="CL774" s="36"/>
      <c r="CM774" s="36"/>
      <c r="CN774" s="36"/>
      <c r="CO774" s="36"/>
      <c r="CP774" s="36"/>
      <c r="CQ774" s="36"/>
      <c r="CR774" s="36"/>
      <c r="CS774" s="36"/>
      <c r="CT774" s="36"/>
      <c r="CU774" s="36"/>
      <c r="CV774" s="36"/>
      <c r="CW774" s="36"/>
      <c r="CX774" s="36"/>
      <c r="CY774" s="36"/>
      <c r="CZ774" s="36"/>
      <c r="DA774" s="36"/>
      <c r="DB774" s="36"/>
      <c r="DC774" s="36"/>
      <c r="DD774" s="36"/>
      <c r="DE774" s="36"/>
      <c r="DF774" s="36"/>
      <c r="DG774" s="36"/>
      <c r="DH774" s="36"/>
      <c r="DI774" s="36"/>
      <c r="DJ774" s="36"/>
      <c r="DK774" s="36"/>
      <c r="DL774" s="36"/>
      <c r="DM774" s="36"/>
      <c r="DN774" s="36"/>
      <c r="DO774" s="36"/>
      <c r="DP774" s="36"/>
      <c r="DQ774" s="36"/>
      <c r="DR774" s="36"/>
      <c r="DS774" s="36"/>
    </row>
    <row r="775" spans="1:123" ht="14.45">
      <c r="A775"/>
      <c r="B775"/>
      <c r="C775"/>
      <c r="D775"/>
      <c r="E775"/>
      <c r="F775"/>
      <c r="G775"/>
      <c r="H775"/>
      <c r="I775"/>
      <c r="J775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  <c r="BR775" s="36"/>
      <c r="BS775" s="36"/>
      <c r="BT775" s="36"/>
      <c r="BU775" s="36"/>
      <c r="BV775" s="36"/>
      <c r="BW775" s="36"/>
      <c r="BX775" s="36"/>
      <c r="BY775" s="36"/>
      <c r="BZ775" s="36"/>
      <c r="CA775" s="36"/>
      <c r="CB775" s="36"/>
      <c r="CC775" s="36"/>
      <c r="CD775" s="36"/>
      <c r="CE775" s="36"/>
      <c r="CF775" s="36"/>
      <c r="CG775" s="36"/>
      <c r="CH775" s="36"/>
      <c r="CI775" s="36"/>
      <c r="CJ775" s="36"/>
      <c r="CK775" s="36"/>
      <c r="CL775" s="36"/>
      <c r="CM775" s="36"/>
      <c r="CN775" s="36"/>
      <c r="CO775" s="36"/>
      <c r="CP775" s="36"/>
      <c r="CQ775" s="36"/>
      <c r="CR775" s="36"/>
      <c r="CS775" s="36"/>
      <c r="CT775" s="36"/>
      <c r="CU775" s="36"/>
      <c r="CV775" s="36"/>
      <c r="CW775" s="36"/>
      <c r="CX775" s="36"/>
      <c r="CY775" s="36"/>
      <c r="CZ775" s="36"/>
      <c r="DA775" s="36"/>
      <c r="DB775" s="36"/>
      <c r="DC775" s="36"/>
      <c r="DD775" s="36"/>
      <c r="DE775" s="36"/>
      <c r="DF775" s="36"/>
      <c r="DG775" s="36"/>
      <c r="DH775" s="36"/>
      <c r="DI775" s="36"/>
      <c r="DJ775" s="36"/>
      <c r="DK775" s="36"/>
      <c r="DL775" s="36"/>
      <c r="DM775" s="36"/>
      <c r="DN775" s="36"/>
      <c r="DO775" s="36"/>
      <c r="DP775" s="36"/>
      <c r="DQ775" s="36"/>
      <c r="DR775" s="36"/>
      <c r="DS775" s="36"/>
    </row>
    <row r="776" spans="1:123" ht="14.45">
      <c r="A776"/>
      <c r="B776"/>
      <c r="C776"/>
      <c r="D776"/>
      <c r="E776"/>
      <c r="F776"/>
      <c r="G776"/>
      <c r="H776"/>
      <c r="I776"/>
      <c r="J77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  <c r="BR776" s="36"/>
      <c r="BS776" s="36"/>
      <c r="BT776" s="36"/>
      <c r="BU776" s="36"/>
      <c r="BV776" s="36"/>
      <c r="BW776" s="36"/>
      <c r="BX776" s="36"/>
      <c r="BY776" s="36"/>
      <c r="BZ776" s="36"/>
      <c r="CA776" s="36"/>
      <c r="CB776" s="36"/>
      <c r="CC776" s="36"/>
      <c r="CD776" s="36"/>
      <c r="CE776" s="36"/>
      <c r="CF776" s="36"/>
      <c r="CG776" s="36"/>
      <c r="CH776" s="36"/>
      <c r="CI776" s="36"/>
      <c r="CJ776" s="36"/>
      <c r="CK776" s="36"/>
      <c r="CL776" s="36"/>
      <c r="CM776" s="36"/>
      <c r="CN776" s="36"/>
      <c r="CO776" s="36"/>
      <c r="CP776" s="36"/>
      <c r="CQ776" s="36"/>
      <c r="CR776" s="36"/>
      <c r="CS776" s="36"/>
      <c r="CT776" s="36"/>
      <c r="CU776" s="36"/>
      <c r="CV776" s="36"/>
      <c r="CW776" s="36"/>
      <c r="CX776" s="36"/>
      <c r="CY776" s="36"/>
      <c r="CZ776" s="36"/>
      <c r="DA776" s="36"/>
      <c r="DB776" s="36"/>
      <c r="DC776" s="36"/>
      <c r="DD776" s="36"/>
      <c r="DE776" s="36"/>
      <c r="DF776" s="36"/>
      <c r="DG776" s="36"/>
      <c r="DH776" s="36"/>
      <c r="DI776" s="36"/>
      <c r="DJ776" s="36"/>
      <c r="DK776" s="36"/>
      <c r="DL776" s="36"/>
      <c r="DM776" s="36"/>
      <c r="DN776" s="36"/>
      <c r="DO776" s="36"/>
      <c r="DP776" s="36"/>
      <c r="DQ776" s="36"/>
      <c r="DR776" s="36"/>
      <c r="DS776" s="36"/>
    </row>
    <row r="777" spans="1:123" ht="14.45">
      <c r="A777"/>
      <c r="B777"/>
      <c r="C777"/>
      <c r="D777"/>
      <c r="E777"/>
      <c r="F777"/>
      <c r="G777"/>
      <c r="H777"/>
      <c r="I777"/>
      <c r="J777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  <c r="BP777" s="36"/>
      <c r="BQ777" s="36"/>
      <c r="BR777" s="36"/>
      <c r="BS777" s="36"/>
      <c r="BT777" s="36"/>
      <c r="BU777" s="36"/>
      <c r="BV777" s="36"/>
      <c r="BW777" s="36"/>
      <c r="BX777" s="36"/>
      <c r="BY777" s="36"/>
      <c r="BZ777" s="36"/>
      <c r="CA777" s="36"/>
      <c r="CB777" s="36"/>
      <c r="CC777" s="36"/>
      <c r="CD777" s="36"/>
      <c r="CE777" s="36"/>
      <c r="CF777" s="36"/>
      <c r="CG777" s="36"/>
      <c r="CH777" s="36"/>
      <c r="CI777" s="36"/>
      <c r="CJ777" s="36"/>
      <c r="CK777" s="36"/>
      <c r="CL777" s="36"/>
      <c r="CM777" s="36"/>
      <c r="CN777" s="36"/>
      <c r="CO777" s="36"/>
      <c r="CP777" s="36"/>
      <c r="CQ777" s="36"/>
      <c r="CR777" s="36"/>
      <c r="CS777" s="36"/>
      <c r="CT777" s="36"/>
      <c r="CU777" s="36"/>
      <c r="CV777" s="36"/>
      <c r="CW777" s="36"/>
      <c r="CX777" s="36"/>
      <c r="CY777" s="36"/>
      <c r="CZ777" s="36"/>
      <c r="DA777" s="36"/>
      <c r="DB777" s="36"/>
      <c r="DC777" s="36"/>
      <c r="DD777" s="36"/>
      <c r="DE777" s="36"/>
      <c r="DF777" s="36"/>
      <c r="DG777" s="36"/>
      <c r="DH777" s="36"/>
      <c r="DI777" s="36"/>
      <c r="DJ777" s="36"/>
      <c r="DK777" s="36"/>
      <c r="DL777" s="36"/>
      <c r="DM777" s="36"/>
      <c r="DN777" s="36"/>
      <c r="DO777" s="36"/>
      <c r="DP777" s="36"/>
      <c r="DQ777" s="36"/>
      <c r="DR777" s="36"/>
      <c r="DS777" s="36"/>
    </row>
    <row r="778" spans="1:123" ht="14.45">
      <c r="A778"/>
      <c r="B778"/>
      <c r="C778"/>
      <c r="D778"/>
      <c r="E778"/>
      <c r="F778"/>
      <c r="G778"/>
      <c r="H778"/>
      <c r="I778"/>
      <c r="J778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  <c r="BP778" s="36"/>
      <c r="BQ778" s="36"/>
      <c r="BR778" s="36"/>
      <c r="BS778" s="36"/>
      <c r="BT778" s="36"/>
      <c r="BU778" s="36"/>
      <c r="BV778" s="36"/>
      <c r="BW778" s="36"/>
      <c r="BX778" s="36"/>
      <c r="BY778" s="36"/>
      <c r="BZ778" s="36"/>
      <c r="CA778" s="36"/>
      <c r="CB778" s="36"/>
      <c r="CC778" s="36"/>
      <c r="CD778" s="36"/>
      <c r="CE778" s="36"/>
      <c r="CF778" s="36"/>
      <c r="CG778" s="36"/>
      <c r="CH778" s="36"/>
      <c r="CI778" s="36"/>
      <c r="CJ778" s="36"/>
      <c r="CK778" s="36"/>
      <c r="CL778" s="36"/>
      <c r="CM778" s="36"/>
      <c r="CN778" s="36"/>
      <c r="CO778" s="36"/>
      <c r="CP778" s="36"/>
      <c r="CQ778" s="36"/>
      <c r="CR778" s="36"/>
      <c r="CS778" s="36"/>
      <c r="CT778" s="36"/>
      <c r="CU778" s="36"/>
      <c r="CV778" s="36"/>
      <c r="CW778" s="36"/>
      <c r="CX778" s="36"/>
      <c r="CY778" s="36"/>
      <c r="CZ778" s="36"/>
      <c r="DA778" s="36"/>
      <c r="DB778" s="36"/>
      <c r="DC778" s="36"/>
      <c r="DD778" s="36"/>
      <c r="DE778" s="36"/>
      <c r="DF778" s="36"/>
      <c r="DG778" s="36"/>
      <c r="DH778" s="36"/>
      <c r="DI778" s="36"/>
      <c r="DJ778" s="36"/>
      <c r="DK778" s="36"/>
      <c r="DL778" s="36"/>
      <c r="DM778" s="36"/>
      <c r="DN778" s="36"/>
      <c r="DO778" s="36"/>
      <c r="DP778" s="36"/>
      <c r="DQ778" s="36"/>
      <c r="DR778" s="36"/>
      <c r="DS778" s="36"/>
    </row>
    <row r="779" spans="1:123" ht="14.45">
      <c r="A779"/>
      <c r="B779"/>
      <c r="C779"/>
      <c r="D779"/>
      <c r="E779"/>
      <c r="F779"/>
      <c r="G779"/>
      <c r="H779"/>
      <c r="I779"/>
      <c r="J779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  <c r="BP779" s="36"/>
      <c r="BQ779" s="36"/>
      <c r="BR779" s="36"/>
      <c r="BS779" s="36"/>
      <c r="BT779" s="36"/>
      <c r="BU779" s="36"/>
      <c r="BV779" s="36"/>
      <c r="BW779" s="36"/>
      <c r="BX779" s="36"/>
      <c r="BY779" s="36"/>
      <c r="BZ779" s="36"/>
      <c r="CA779" s="36"/>
      <c r="CB779" s="36"/>
      <c r="CC779" s="36"/>
      <c r="CD779" s="36"/>
      <c r="CE779" s="36"/>
      <c r="CF779" s="36"/>
      <c r="CG779" s="36"/>
      <c r="CH779" s="36"/>
      <c r="CI779" s="36"/>
      <c r="CJ779" s="36"/>
      <c r="CK779" s="36"/>
      <c r="CL779" s="36"/>
      <c r="CM779" s="36"/>
      <c r="CN779" s="36"/>
      <c r="CO779" s="36"/>
      <c r="CP779" s="36"/>
      <c r="CQ779" s="36"/>
      <c r="CR779" s="36"/>
      <c r="CS779" s="36"/>
      <c r="CT779" s="36"/>
      <c r="CU779" s="36"/>
      <c r="CV779" s="36"/>
      <c r="CW779" s="36"/>
      <c r="CX779" s="36"/>
      <c r="CY779" s="36"/>
      <c r="CZ779" s="36"/>
      <c r="DA779" s="36"/>
      <c r="DB779" s="36"/>
      <c r="DC779" s="36"/>
      <c r="DD779" s="36"/>
      <c r="DE779" s="36"/>
      <c r="DF779" s="36"/>
      <c r="DG779" s="36"/>
      <c r="DH779" s="36"/>
      <c r="DI779" s="36"/>
      <c r="DJ779" s="36"/>
      <c r="DK779" s="36"/>
      <c r="DL779" s="36"/>
      <c r="DM779" s="36"/>
      <c r="DN779" s="36"/>
      <c r="DO779" s="36"/>
      <c r="DP779" s="36"/>
      <c r="DQ779" s="36"/>
      <c r="DR779" s="36"/>
      <c r="DS779" s="36"/>
    </row>
    <row r="780" spans="1:123" ht="14.45">
      <c r="A780"/>
      <c r="B780"/>
      <c r="C780"/>
      <c r="D780"/>
      <c r="E780"/>
      <c r="F780"/>
      <c r="G780"/>
      <c r="H780"/>
      <c r="I780"/>
      <c r="J780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/>
      <c r="BR780" s="36"/>
      <c r="BS780" s="36"/>
      <c r="BT780" s="36"/>
      <c r="BU780" s="36"/>
      <c r="BV780" s="36"/>
      <c r="BW780" s="36"/>
      <c r="BX780" s="36"/>
      <c r="BY780" s="36"/>
      <c r="BZ780" s="36"/>
      <c r="CA780" s="36"/>
      <c r="CB780" s="36"/>
      <c r="CC780" s="36"/>
      <c r="CD780" s="36"/>
      <c r="CE780" s="36"/>
      <c r="CF780" s="36"/>
      <c r="CG780" s="36"/>
      <c r="CH780" s="36"/>
      <c r="CI780" s="36"/>
      <c r="CJ780" s="36"/>
      <c r="CK780" s="36"/>
      <c r="CL780" s="36"/>
      <c r="CM780" s="36"/>
      <c r="CN780" s="36"/>
      <c r="CO780" s="36"/>
      <c r="CP780" s="36"/>
      <c r="CQ780" s="36"/>
      <c r="CR780" s="36"/>
      <c r="CS780" s="36"/>
      <c r="CT780" s="36"/>
      <c r="CU780" s="36"/>
      <c r="CV780" s="36"/>
      <c r="CW780" s="36"/>
      <c r="CX780" s="36"/>
      <c r="CY780" s="36"/>
      <c r="CZ780" s="36"/>
      <c r="DA780" s="36"/>
      <c r="DB780" s="36"/>
      <c r="DC780" s="36"/>
      <c r="DD780" s="36"/>
      <c r="DE780" s="36"/>
      <c r="DF780" s="36"/>
      <c r="DG780" s="36"/>
      <c r="DH780" s="36"/>
      <c r="DI780" s="36"/>
      <c r="DJ780" s="36"/>
      <c r="DK780" s="36"/>
      <c r="DL780" s="36"/>
      <c r="DM780" s="36"/>
      <c r="DN780" s="36"/>
      <c r="DO780" s="36"/>
      <c r="DP780" s="36"/>
      <c r="DQ780" s="36"/>
      <c r="DR780" s="36"/>
      <c r="DS780" s="36"/>
    </row>
    <row r="781" spans="1:123" ht="14.45">
      <c r="A781"/>
      <c r="B781"/>
      <c r="C781"/>
      <c r="D781"/>
      <c r="E781"/>
      <c r="F781"/>
      <c r="G781"/>
      <c r="H781"/>
      <c r="I781"/>
      <c r="J781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  <c r="BR781" s="36"/>
      <c r="BS781" s="36"/>
      <c r="BT781" s="36"/>
      <c r="BU781" s="36"/>
      <c r="BV781" s="36"/>
      <c r="BW781" s="36"/>
      <c r="BX781" s="36"/>
      <c r="BY781" s="36"/>
      <c r="BZ781" s="36"/>
      <c r="CA781" s="36"/>
      <c r="CB781" s="36"/>
      <c r="CC781" s="36"/>
      <c r="CD781" s="36"/>
      <c r="CE781" s="36"/>
      <c r="CF781" s="36"/>
      <c r="CG781" s="36"/>
      <c r="CH781" s="36"/>
      <c r="CI781" s="36"/>
      <c r="CJ781" s="36"/>
      <c r="CK781" s="36"/>
      <c r="CL781" s="36"/>
      <c r="CM781" s="36"/>
      <c r="CN781" s="36"/>
      <c r="CO781" s="36"/>
      <c r="CP781" s="36"/>
      <c r="CQ781" s="36"/>
      <c r="CR781" s="36"/>
      <c r="CS781" s="36"/>
      <c r="CT781" s="36"/>
      <c r="CU781" s="36"/>
      <c r="CV781" s="36"/>
      <c r="CW781" s="36"/>
      <c r="CX781" s="36"/>
      <c r="CY781" s="36"/>
      <c r="CZ781" s="36"/>
      <c r="DA781" s="36"/>
      <c r="DB781" s="36"/>
      <c r="DC781" s="36"/>
      <c r="DD781" s="36"/>
      <c r="DE781" s="36"/>
      <c r="DF781" s="36"/>
      <c r="DG781" s="36"/>
      <c r="DH781" s="36"/>
      <c r="DI781" s="36"/>
      <c r="DJ781" s="36"/>
      <c r="DK781" s="36"/>
      <c r="DL781" s="36"/>
      <c r="DM781" s="36"/>
      <c r="DN781" s="36"/>
      <c r="DO781" s="36"/>
      <c r="DP781" s="36"/>
      <c r="DQ781" s="36"/>
      <c r="DR781" s="36"/>
      <c r="DS781" s="36"/>
    </row>
    <row r="782" spans="1:123" ht="14.45">
      <c r="A782"/>
      <c r="B782"/>
      <c r="C782"/>
      <c r="D782"/>
      <c r="E782"/>
      <c r="F782"/>
      <c r="G782"/>
      <c r="H782"/>
      <c r="I782"/>
      <c r="J782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  <c r="BP782" s="36"/>
      <c r="BQ782" s="36"/>
      <c r="BR782" s="36"/>
      <c r="BS782" s="36"/>
      <c r="BT782" s="36"/>
      <c r="BU782" s="36"/>
      <c r="BV782" s="36"/>
      <c r="BW782" s="36"/>
      <c r="BX782" s="36"/>
      <c r="BY782" s="36"/>
      <c r="BZ782" s="36"/>
      <c r="CA782" s="36"/>
      <c r="CB782" s="36"/>
      <c r="CC782" s="36"/>
      <c r="CD782" s="36"/>
      <c r="CE782" s="36"/>
      <c r="CF782" s="36"/>
      <c r="CG782" s="36"/>
      <c r="CH782" s="36"/>
      <c r="CI782" s="36"/>
      <c r="CJ782" s="36"/>
      <c r="CK782" s="36"/>
      <c r="CL782" s="36"/>
      <c r="CM782" s="36"/>
      <c r="CN782" s="36"/>
      <c r="CO782" s="36"/>
      <c r="CP782" s="36"/>
      <c r="CQ782" s="36"/>
      <c r="CR782" s="36"/>
      <c r="CS782" s="36"/>
      <c r="CT782" s="36"/>
      <c r="CU782" s="36"/>
      <c r="CV782" s="36"/>
      <c r="CW782" s="36"/>
      <c r="CX782" s="36"/>
      <c r="CY782" s="36"/>
      <c r="CZ782" s="36"/>
      <c r="DA782" s="36"/>
      <c r="DB782" s="36"/>
      <c r="DC782" s="36"/>
      <c r="DD782" s="36"/>
      <c r="DE782" s="36"/>
      <c r="DF782" s="36"/>
      <c r="DG782" s="36"/>
      <c r="DH782" s="36"/>
      <c r="DI782" s="36"/>
      <c r="DJ782" s="36"/>
      <c r="DK782" s="36"/>
      <c r="DL782" s="36"/>
      <c r="DM782" s="36"/>
      <c r="DN782" s="36"/>
      <c r="DO782" s="36"/>
      <c r="DP782" s="36"/>
      <c r="DQ782" s="36"/>
      <c r="DR782" s="36"/>
      <c r="DS782" s="36"/>
    </row>
    <row r="783" spans="1:123" ht="14.45">
      <c r="A783"/>
      <c r="B783"/>
      <c r="C783"/>
      <c r="D783"/>
      <c r="E783"/>
      <c r="F783"/>
      <c r="G783"/>
      <c r="H783"/>
      <c r="I783"/>
      <c r="J783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  <c r="BP783" s="36"/>
      <c r="BQ783" s="36"/>
      <c r="BR783" s="36"/>
      <c r="BS783" s="36"/>
      <c r="BT783" s="36"/>
      <c r="BU783" s="36"/>
      <c r="BV783" s="36"/>
      <c r="BW783" s="36"/>
      <c r="BX783" s="36"/>
      <c r="BY783" s="36"/>
      <c r="BZ783" s="36"/>
      <c r="CA783" s="36"/>
      <c r="CB783" s="36"/>
      <c r="CC783" s="36"/>
      <c r="CD783" s="36"/>
      <c r="CE783" s="36"/>
      <c r="CF783" s="36"/>
      <c r="CG783" s="36"/>
      <c r="CH783" s="36"/>
      <c r="CI783" s="36"/>
      <c r="CJ783" s="36"/>
      <c r="CK783" s="36"/>
      <c r="CL783" s="36"/>
      <c r="CM783" s="36"/>
      <c r="CN783" s="36"/>
      <c r="CO783" s="36"/>
      <c r="CP783" s="36"/>
      <c r="CQ783" s="36"/>
      <c r="CR783" s="36"/>
      <c r="CS783" s="36"/>
      <c r="CT783" s="36"/>
      <c r="CU783" s="36"/>
      <c r="CV783" s="36"/>
      <c r="CW783" s="36"/>
      <c r="CX783" s="36"/>
      <c r="CY783" s="36"/>
      <c r="CZ783" s="36"/>
      <c r="DA783" s="36"/>
      <c r="DB783" s="36"/>
      <c r="DC783" s="36"/>
      <c r="DD783" s="36"/>
      <c r="DE783" s="36"/>
      <c r="DF783" s="36"/>
      <c r="DG783" s="36"/>
      <c r="DH783" s="36"/>
      <c r="DI783" s="36"/>
      <c r="DJ783" s="36"/>
      <c r="DK783" s="36"/>
      <c r="DL783" s="36"/>
      <c r="DM783" s="36"/>
      <c r="DN783" s="36"/>
      <c r="DO783" s="36"/>
      <c r="DP783" s="36"/>
      <c r="DQ783" s="36"/>
      <c r="DR783" s="36"/>
      <c r="DS783" s="36"/>
    </row>
    <row r="784" spans="1:123" ht="14.45">
      <c r="A784"/>
      <c r="B784"/>
      <c r="C784"/>
      <c r="D784"/>
      <c r="E784"/>
      <c r="F784"/>
      <c r="G784"/>
      <c r="H784"/>
      <c r="I784"/>
      <c r="J784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  <c r="BP784" s="36"/>
      <c r="BQ784" s="36"/>
      <c r="BR784" s="36"/>
      <c r="BS784" s="36"/>
      <c r="BT784" s="36"/>
      <c r="BU784" s="36"/>
      <c r="BV784" s="36"/>
      <c r="BW784" s="36"/>
      <c r="BX784" s="36"/>
      <c r="BY784" s="36"/>
      <c r="BZ784" s="36"/>
      <c r="CA784" s="36"/>
      <c r="CB784" s="36"/>
      <c r="CC784" s="36"/>
      <c r="CD784" s="36"/>
      <c r="CE784" s="36"/>
      <c r="CF784" s="36"/>
      <c r="CG784" s="36"/>
      <c r="CH784" s="36"/>
      <c r="CI784" s="36"/>
      <c r="CJ784" s="36"/>
      <c r="CK784" s="36"/>
      <c r="CL784" s="36"/>
      <c r="CM784" s="36"/>
      <c r="CN784" s="36"/>
      <c r="CO784" s="36"/>
      <c r="CP784" s="36"/>
      <c r="CQ784" s="36"/>
      <c r="CR784" s="36"/>
      <c r="CS784" s="36"/>
      <c r="CT784" s="36"/>
      <c r="CU784" s="36"/>
      <c r="CV784" s="36"/>
      <c r="CW784" s="36"/>
      <c r="CX784" s="36"/>
      <c r="CY784" s="36"/>
      <c r="CZ784" s="36"/>
      <c r="DA784" s="36"/>
      <c r="DB784" s="36"/>
      <c r="DC784" s="36"/>
      <c r="DD784" s="36"/>
      <c r="DE784" s="36"/>
      <c r="DF784" s="36"/>
      <c r="DG784" s="36"/>
      <c r="DH784" s="36"/>
      <c r="DI784" s="36"/>
      <c r="DJ784" s="36"/>
      <c r="DK784" s="36"/>
      <c r="DL784" s="36"/>
      <c r="DM784" s="36"/>
      <c r="DN784" s="36"/>
      <c r="DO784" s="36"/>
      <c r="DP784" s="36"/>
      <c r="DQ784" s="36"/>
      <c r="DR784" s="36"/>
      <c r="DS784" s="36"/>
    </row>
    <row r="785" spans="1:123" ht="14.45">
      <c r="A785"/>
      <c r="B785"/>
      <c r="C785"/>
      <c r="D785"/>
      <c r="E785"/>
      <c r="F785"/>
      <c r="G785"/>
      <c r="H785"/>
      <c r="I785"/>
      <c r="J785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  <c r="BP785" s="36"/>
      <c r="BQ785" s="36"/>
      <c r="BR785" s="36"/>
      <c r="BS785" s="36"/>
      <c r="BT785" s="36"/>
      <c r="BU785" s="36"/>
      <c r="BV785" s="36"/>
      <c r="BW785" s="36"/>
      <c r="BX785" s="36"/>
      <c r="BY785" s="36"/>
      <c r="BZ785" s="36"/>
      <c r="CA785" s="36"/>
      <c r="CB785" s="36"/>
      <c r="CC785" s="36"/>
      <c r="CD785" s="36"/>
      <c r="CE785" s="36"/>
      <c r="CF785" s="36"/>
      <c r="CG785" s="36"/>
      <c r="CH785" s="36"/>
      <c r="CI785" s="36"/>
      <c r="CJ785" s="36"/>
      <c r="CK785" s="36"/>
      <c r="CL785" s="36"/>
      <c r="CM785" s="36"/>
      <c r="CN785" s="36"/>
      <c r="CO785" s="36"/>
      <c r="CP785" s="36"/>
      <c r="CQ785" s="36"/>
      <c r="CR785" s="36"/>
      <c r="CS785" s="36"/>
      <c r="CT785" s="36"/>
      <c r="CU785" s="36"/>
      <c r="CV785" s="36"/>
      <c r="CW785" s="36"/>
      <c r="CX785" s="36"/>
      <c r="CY785" s="36"/>
      <c r="CZ785" s="36"/>
      <c r="DA785" s="36"/>
      <c r="DB785" s="36"/>
      <c r="DC785" s="36"/>
      <c r="DD785" s="36"/>
      <c r="DE785" s="36"/>
      <c r="DF785" s="36"/>
      <c r="DG785" s="36"/>
      <c r="DH785" s="36"/>
      <c r="DI785" s="36"/>
      <c r="DJ785" s="36"/>
      <c r="DK785" s="36"/>
      <c r="DL785" s="36"/>
      <c r="DM785" s="36"/>
      <c r="DN785" s="36"/>
      <c r="DO785" s="36"/>
      <c r="DP785" s="36"/>
      <c r="DQ785" s="36"/>
      <c r="DR785" s="36"/>
      <c r="DS785" s="36"/>
    </row>
    <row r="786" spans="1:123" ht="14.45">
      <c r="A786"/>
      <c r="B786"/>
      <c r="C786"/>
      <c r="D786"/>
      <c r="E786"/>
      <c r="F786"/>
      <c r="G786"/>
      <c r="H786"/>
      <c r="I786"/>
      <c r="J78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  <c r="BR786" s="36"/>
      <c r="BS786" s="36"/>
      <c r="BT786" s="36"/>
      <c r="BU786" s="36"/>
      <c r="BV786" s="36"/>
      <c r="BW786" s="36"/>
      <c r="BX786" s="36"/>
      <c r="BY786" s="36"/>
      <c r="BZ786" s="36"/>
      <c r="CA786" s="36"/>
      <c r="CB786" s="36"/>
      <c r="CC786" s="36"/>
      <c r="CD786" s="36"/>
      <c r="CE786" s="36"/>
      <c r="CF786" s="36"/>
      <c r="CG786" s="36"/>
      <c r="CH786" s="36"/>
      <c r="CI786" s="36"/>
      <c r="CJ786" s="36"/>
      <c r="CK786" s="36"/>
      <c r="CL786" s="36"/>
      <c r="CM786" s="36"/>
      <c r="CN786" s="36"/>
      <c r="CO786" s="36"/>
      <c r="CP786" s="36"/>
      <c r="CQ786" s="36"/>
      <c r="CR786" s="36"/>
      <c r="CS786" s="36"/>
      <c r="CT786" s="36"/>
      <c r="CU786" s="36"/>
      <c r="CV786" s="36"/>
      <c r="CW786" s="36"/>
      <c r="CX786" s="36"/>
      <c r="CY786" s="36"/>
      <c r="CZ786" s="36"/>
      <c r="DA786" s="36"/>
      <c r="DB786" s="36"/>
      <c r="DC786" s="36"/>
      <c r="DD786" s="36"/>
      <c r="DE786" s="36"/>
      <c r="DF786" s="36"/>
      <c r="DG786" s="36"/>
      <c r="DH786" s="36"/>
      <c r="DI786" s="36"/>
      <c r="DJ786" s="36"/>
      <c r="DK786" s="36"/>
      <c r="DL786" s="36"/>
      <c r="DM786" s="36"/>
      <c r="DN786" s="36"/>
      <c r="DO786" s="36"/>
      <c r="DP786" s="36"/>
      <c r="DQ786" s="36"/>
      <c r="DR786" s="36"/>
      <c r="DS786" s="36"/>
    </row>
    <row r="787" spans="1:123" ht="14.45">
      <c r="A787"/>
      <c r="B787"/>
      <c r="C787"/>
      <c r="D787"/>
      <c r="E787"/>
      <c r="F787"/>
      <c r="G787"/>
      <c r="H787"/>
      <c r="I787"/>
      <c r="J787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  <c r="BP787" s="36"/>
      <c r="BQ787" s="36"/>
      <c r="BR787" s="36"/>
      <c r="BS787" s="36"/>
      <c r="BT787" s="36"/>
      <c r="BU787" s="36"/>
      <c r="BV787" s="36"/>
      <c r="BW787" s="36"/>
      <c r="BX787" s="36"/>
      <c r="BY787" s="36"/>
      <c r="BZ787" s="36"/>
      <c r="CA787" s="36"/>
      <c r="CB787" s="36"/>
      <c r="CC787" s="36"/>
      <c r="CD787" s="36"/>
      <c r="CE787" s="36"/>
      <c r="CF787" s="36"/>
      <c r="CG787" s="36"/>
      <c r="CH787" s="36"/>
      <c r="CI787" s="36"/>
      <c r="CJ787" s="36"/>
      <c r="CK787" s="36"/>
      <c r="CL787" s="36"/>
      <c r="CM787" s="36"/>
      <c r="CN787" s="36"/>
      <c r="CO787" s="36"/>
      <c r="CP787" s="36"/>
      <c r="CQ787" s="36"/>
      <c r="CR787" s="36"/>
      <c r="CS787" s="36"/>
      <c r="CT787" s="36"/>
      <c r="CU787" s="36"/>
      <c r="CV787" s="36"/>
      <c r="CW787" s="36"/>
      <c r="CX787" s="36"/>
      <c r="CY787" s="36"/>
      <c r="CZ787" s="36"/>
      <c r="DA787" s="36"/>
      <c r="DB787" s="36"/>
      <c r="DC787" s="36"/>
      <c r="DD787" s="36"/>
      <c r="DE787" s="36"/>
      <c r="DF787" s="36"/>
      <c r="DG787" s="36"/>
      <c r="DH787" s="36"/>
      <c r="DI787" s="36"/>
      <c r="DJ787" s="36"/>
      <c r="DK787" s="36"/>
      <c r="DL787" s="36"/>
      <c r="DM787" s="36"/>
      <c r="DN787" s="36"/>
      <c r="DO787" s="36"/>
      <c r="DP787" s="36"/>
      <c r="DQ787" s="36"/>
      <c r="DR787" s="36"/>
      <c r="DS787" s="36"/>
    </row>
    <row r="788" spans="1:123" ht="14.45">
      <c r="A788"/>
      <c r="B788"/>
      <c r="C788"/>
      <c r="D788"/>
      <c r="E788"/>
      <c r="F788"/>
      <c r="G788"/>
      <c r="H788"/>
      <c r="I788"/>
      <c r="J788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6"/>
      <c r="BQ788" s="36"/>
      <c r="BR788" s="36"/>
      <c r="BS788" s="36"/>
      <c r="BT788" s="36"/>
      <c r="BU788" s="36"/>
      <c r="BV788" s="36"/>
      <c r="BW788" s="36"/>
      <c r="BX788" s="36"/>
      <c r="BY788" s="36"/>
      <c r="BZ788" s="36"/>
      <c r="CA788" s="36"/>
      <c r="CB788" s="36"/>
      <c r="CC788" s="36"/>
      <c r="CD788" s="36"/>
      <c r="CE788" s="36"/>
      <c r="CF788" s="36"/>
      <c r="CG788" s="36"/>
      <c r="CH788" s="36"/>
      <c r="CI788" s="36"/>
      <c r="CJ788" s="36"/>
      <c r="CK788" s="36"/>
      <c r="CL788" s="36"/>
      <c r="CM788" s="36"/>
      <c r="CN788" s="36"/>
      <c r="CO788" s="36"/>
      <c r="CP788" s="36"/>
      <c r="CQ788" s="36"/>
      <c r="CR788" s="36"/>
      <c r="CS788" s="36"/>
      <c r="CT788" s="36"/>
      <c r="CU788" s="36"/>
      <c r="CV788" s="36"/>
      <c r="CW788" s="36"/>
      <c r="CX788" s="36"/>
      <c r="CY788" s="36"/>
      <c r="CZ788" s="36"/>
      <c r="DA788" s="36"/>
      <c r="DB788" s="36"/>
      <c r="DC788" s="36"/>
      <c r="DD788" s="36"/>
      <c r="DE788" s="36"/>
      <c r="DF788" s="36"/>
      <c r="DG788" s="36"/>
      <c r="DH788" s="36"/>
      <c r="DI788" s="36"/>
      <c r="DJ788" s="36"/>
      <c r="DK788" s="36"/>
      <c r="DL788" s="36"/>
      <c r="DM788" s="36"/>
      <c r="DN788" s="36"/>
      <c r="DO788" s="36"/>
      <c r="DP788" s="36"/>
      <c r="DQ788" s="36"/>
      <c r="DR788" s="36"/>
      <c r="DS788" s="36"/>
    </row>
    <row r="789" spans="1:123" ht="14.45">
      <c r="A789"/>
      <c r="B789"/>
      <c r="C789"/>
      <c r="D789"/>
      <c r="E789"/>
      <c r="F789"/>
      <c r="G789"/>
      <c r="H789"/>
      <c r="I789"/>
      <c r="J789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  <c r="BR789" s="36"/>
      <c r="BS789" s="36"/>
      <c r="BT789" s="36"/>
      <c r="BU789" s="36"/>
      <c r="BV789" s="36"/>
      <c r="BW789" s="36"/>
      <c r="BX789" s="36"/>
      <c r="BY789" s="36"/>
      <c r="BZ789" s="36"/>
      <c r="CA789" s="36"/>
      <c r="CB789" s="36"/>
      <c r="CC789" s="36"/>
      <c r="CD789" s="36"/>
      <c r="CE789" s="36"/>
      <c r="CF789" s="36"/>
      <c r="CG789" s="36"/>
      <c r="CH789" s="36"/>
      <c r="CI789" s="36"/>
      <c r="CJ789" s="36"/>
      <c r="CK789" s="36"/>
      <c r="CL789" s="36"/>
      <c r="CM789" s="36"/>
      <c r="CN789" s="36"/>
      <c r="CO789" s="36"/>
      <c r="CP789" s="36"/>
      <c r="CQ789" s="36"/>
      <c r="CR789" s="36"/>
      <c r="CS789" s="36"/>
      <c r="CT789" s="36"/>
      <c r="CU789" s="36"/>
      <c r="CV789" s="36"/>
      <c r="CW789" s="36"/>
      <c r="CX789" s="36"/>
      <c r="CY789" s="36"/>
      <c r="CZ789" s="36"/>
      <c r="DA789" s="36"/>
      <c r="DB789" s="36"/>
      <c r="DC789" s="36"/>
      <c r="DD789" s="36"/>
      <c r="DE789" s="36"/>
      <c r="DF789" s="36"/>
      <c r="DG789" s="36"/>
      <c r="DH789" s="36"/>
      <c r="DI789" s="36"/>
      <c r="DJ789" s="36"/>
      <c r="DK789" s="36"/>
      <c r="DL789" s="36"/>
      <c r="DM789" s="36"/>
      <c r="DN789" s="36"/>
      <c r="DO789" s="36"/>
      <c r="DP789" s="36"/>
      <c r="DQ789" s="36"/>
      <c r="DR789" s="36"/>
      <c r="DS789" s="36"/>
    </row>
    <row r="790" spans="1:123" ht="14.45">
      <c r="A790"/>
      <c r="B790"/>
      <c r="C790"/>
      <c r="D790"/>
      <c r="E790"/>
      <c r="F790"/>
      <c r="G790"/>
      <c r="H790"/>
      <c r="I790"/>
      <c r="J790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  <c r="BR790" s="36"/>
      <c r="BS790" s="36"/>
      <c r="BT790" s="36"/>
      <c r="BU790" s="36"/>
      <c r="BV790" s="36"/>
      <c r="BW790" s="36"/>
      <c r="BX790" s="36"/>
      <c r="BY790" s="36"/>
      <c r="BZ790" s="36"/>
      <c r="CA790" s="36"/>
      <c r="CB790" s="36"/>
      <c r="CC790" s="36"/>
      <c r="CD790" s="36"/>
      <c r="CE790" s="36"/>
      <c r="CF790" s="36"/>
      <c r="CG790" s="36"/>
      <c r="CH790" s="36"/>
      <c r="CI790" s="36"/>
      <c r="CJ790" s="36"/>
      <c r="CK790" s="36"/>
      <c r="CL790" s="36"/>
      <c r="CM790" s="36"/>
      <c r="CN790" s="36"/>
      <c r="CO790" s="36"/>
      <c r="CP790" s="36"/>
      <c r="CQ790" s="36"/>
      <c r="CR790" s="36"/>
      <c r="CS790" s="36"/>
      <c r="CT790" s="36"/>
      <c r="CU790" s="36"/>
      <c r="CV790" s="36"/>
      <c r="CW790" s="36"/>
      <c r="CX790" s="36"/>
      <c r="CY790" s="36"/>
      <c r="CZ790" s="36"/>
      <c r="DA790" s="36"/>
      <c r="DB790" s="36"/>
      <c r="DC790" s="36"/>
      <c r="DD790" s="36"/>
      <c r="DE790" s="36"/>
      <c r="DF790" s="36"/>
      <c r="DG790" s="36"/>
      <c r="DH790" s="36"/>
      <c r="DI790" s="36"/>
      <c r="DJ790" s="36"/>
      <c r="DK790" s="36"/>
      <c r="DL790" s="36"/>
      <c r="DM790" s="36"/>
      <c r="DN790" s="36"/>
      <c r="DO790" s="36"/>
      <c r="DP790" s="36"/>
      <c r="DQ790" s="36"/>
      <c r="DR790" s="36"/>
      <c r="DS790" s="36"/>
    </row>
    <row r="791" spans="1:123" ht="14.45">
      <c r="A791"/>
      <c r="B791"/>
      <c r="C791"/>
      <c r="D791"/>
      <c r="E791"/>
      <c r="F791"/>
      <c r="G791"/>
      <c r="H791"/>
      <c r="I791"/>
      <c r="J791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  <c r="BP791" s="36"/>
      <c r="BQ791" s="36"/>
      <c r="BR791" s="36"/>
      <c r="BS791" s="36"/>
      <c r="BT791" s="36"/>
      <c r="BU791" s="36"/>
      <c r="BV791" s="36"/>
      <c r="BW791" s="36"/>
      <c r="BX791" s="36"/>
      <c r="BY791" s="36"/>
      <c r="BZ791" s="36"/>
      <c r="CA791" s="36"/>
      <c r="CB791" s="36"/>
      <c r="CC791" s="36"/>
      <c r="CD791" s="36"/>
      <c r="CE791" s="36"/>
      <c r="CF791" s="36"/>
      <c r="CG791" s="36"/>
      <c r="CH791" s="36"/>
      <c r="CI791" s="36"/>
      <c r="CJ791" s="36"/>
      <c r="CK791" s="36"/>
      <c r="CL791" s="36"/>
      <c r="CM791" s="36"/>
      <c r="CN791" s="36"/>
      <c r="CO791" s="36"/>
      <c r="CP791" s="36"/>
      <c r="CQ791" s="36"/>
      <c r="CR791" s="36"/>
      <c r="CS791" s="36"/>
      <c r="CT791" s="36"/>
      <c r="CU791" s="36"/>
      <c r="CV791" s="36"/>
      <c r="CW791" s="36"/>
      <c r="CX791" s="36"/>
      <c r="CY791" s="36"/>
      <c r="CZ791" s="36"/>
      <c r="DA791" s="36"/>
      <c r="DB791" s="36"/>
      <c r="DC791" s="36"/>
      <c r="DD791" s="36"/>
      <c r="DE791" s="36"/>
      <c r="DF791" s="36"/>
      <c r="DG791" s="36"/>
      <c r="DH791" s="36"/>
      <c r="DI791" s="36"/>
      <c r="DJ791" s="36"/>
      <c r="DK791" s="36"/>
      <c r="DL791" s="36"/>
      <c r="DM791" s="36"/>
      <c r="DN791" s="36"/>
      <c r="DO791" s="36"/>
      <c r="DP791" s="36"/>
      <c r="DQ791" s="36"/>
      <c r="DR791" s="36"/>
      <c r="DS791" s="36"/>
    </row>
    <row r="792" spans="1:123" ht="14.45">
      <c r="A792"/>
      <c r="B792"/>
      <c r="C792"/>
      <c r="D792"/>
      <c r="E792"/>
      <c r="F792"/>
      <c r="G792"/>
      <c r="H792"/>
      <c r="I792"/>
      <c r="J792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6"/>
      <c r="CA792" s="36"/>
      <c r="CB792" s="36"/>
      <c r="CC792" s="36"/>
      <c r="CD792" s="36"/>
      <c r="CE792" s="36"/>
      <c r="CF792" s="36"/>
      <c r="CG792" s="36"/>
      <c r="CH792" s="36"/>
      <c r="CI792" s="36"/>
      <c r="CJ792" s="36"/>
      <c r="CK792" s="36"/>
      <c r="CL792" s="36"/>
      <c r="CM792" s="36"/>
      <c r="CN792" s="36"/>
      <c r="CO792" s="36"/>
      <c r="CP792" s="36"/>
      <c r="CQ792" s="36"/>
      <c r="CR792" s="36"/>
      <c r="CS792" s="36"/>
      <c r="CT792" s="36"/>
      <c r="CU792" s="36"/>
      <c r="CV792" s="36"/>
      <c r="CW792" s="36"/>
      <c r="CX792" s="36"/>
      <c r="CY792" s="36"/>
      <c r="CZ792" s="36"/>
      <c r="DA792" s="36"/>
      <c r="DB792" s="36"/>
      <c r="DC792" s="36"/>
      <c r="DD792" s="36"/>
      <c r="DE792" s="36"/>
      <c r="DF792" s="36"/>
      <c r="DG792" s="36"/>
      <c r="DH792" s="36"/>
      <c r="DI792" s="36"/>
      <c r="DJ792" s="36"/>
      <c r="DK792" s="36"/>
      <c r="DL792" s="36"/>
      <c r="DM792" s="36"/>
      <c r="DN792" s="36"/>
      <c r="DO792" s="36"/>
      <c r="DP792" s="36"/>
      <c r="DQ792" s="36"/>
      <c r="DR792" s="36"/>
      <c r="DS792" s="36"/>
    </row>
    <row r="793" spans="1:123" ht="14.45">
      <c r="A793"/>
      <c r="B793"/>
      <c r="C793"/>
      <c r="D793"/>
      <c r="E793"/>
      <c r="F793"/>
      <c r="G793"/>
      <c r="H793"/>
      <c r="I793"/>
      <c r="J793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  <c r="BR793" s="36"/>
      <c r="BS793" s="36"/>
      <c r="BT793" s="36"/>
      <c r="BU793" s="36"/>
      <c r="BV793" s="36"/>
      <c r="BW793" s="36"/>
      <c r="BX793" s="36"/>
      <c r="BY793" s="36"/>
      <c r="BZ793" s="36"/>
      <c r="CA793" s="36"/>
      <c r="CB793" s="36"/>
      <c r="CC793" s="36"/>
      <c r="CD793" s="36"/>
      <c r="CE793" s="36"/>
      <c r="CF793" s="36"/>
      <c r="CG793" s="36"/>
      <c r="CH793" s="36"/>
      <c r="CI793" s="36"/>
      <c r="CJ793" s="36"/>
      <c r="CK793" s="36"/>
      <c r="CL793" s="36"/>
      <c r="CM793" s="36"/>
      <c r="CN793" s="36"/>
      <c r="CO793" s="36"/>
      <c r="CP793" s="36"/>
      <c r="CQ793" s="36"/>
      <c r="CR793" s="36"/>
      <c r="CS793" s="36"/>
      <c r="CT793" s="36"/>
      <c r="CU793" s="36"/>
      <c r="CV793" s="36"/>
      <c r="CW793" s="36"/>
      <c r="CX793" s="36"/>
      <c r="CY793" s="36"/>
      <c r="CZ793" s="36"/>
      <c r="DA793" s="36"/>
      <c r="DB793" s="36"/>
      <c r="DC793" s="36"/>
      <c r="DD793" s="36"/>
      <c r="DE793" s="36"/>
      <c r="DF793" s="36"/>
      <c r="DG793" s="36"/>
      <c r="DH793" s="36"/>
      <c r="DI793" s="36"/>
      <c r="DJ793" s="36"/>
      <c r="DK793" s="36"/>
      <c r="DL793" s="36"/>
      <c r="DM793" s="36"/>
      <c r="DN793" s="36"/>
      <c r="DO793" s="36"/>
      <c r="DP793" s="36"/>
      <c r="DQ793" s="36"/>
      <c r="DR793" s="36"/>
      <c r="DS793" s="36"/>
    </row>
    <row r="794" spans="1:123" ht="14.45">
      <c r="A794"/>
      <c r="B794"/>
      <c r="C794"/>
      <c r="D794"/>
      <c r="E794"/>
      <c r="F794"/>
      <c r="G794"/>
      <c r="H794"/>
      <c r="I794"/>
      <c r="J794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  <c r="BR794" s="36"/>
      <c r="BS794" s="36"/>
      <c r="BT794" s="36"/>
      <c r="BU794" s="36"/>
      <c r="BV794" s="36"/>
      <c r="BW794" s="36"/>
      <c r="BX794" s="36"/>
      <c r="BY794" s="36"/>
      <c r="BZ794" s="36"/>
      <c r="CA794" s="36"/>
      <c r="CB794" s="36"/>
      <c r="CC794" s="36"/>
      <c r="CD794" s="36"/>
      <c r="CE794" s="36"/>
      <c r="CF794" s="36"/>
      <c r="CG794" s="36"/>
      <c r="CH794" s="36"/>
      <c r="CI794" s="36"/>
      <c r="CJ794" s="36"/>
      <c r="CK794" s="36"/>
      <c r="CL794" s="36"/>
      <c r="CM794" s="36"/>
      <c r="CN794" s="36"/>
      <c r="CO794" s="36"/>
      <c r="CP794" s="36"/>
      <c r="CQ794" s="36"/>
      <c r="CR794" s="36"/>
      <c r="CS794" s="36"/>
      <c r="CT794" s="36"/>
      <c r="CU794" s="36"/>
      <c r="CV794" s="36"/>
      <c r="CW794" s="36"/>
      <c r="CX794" s="36"/>
      <c r="CY794" s="36"/>
      <c r="CZ794" s="36"/>
      <c r="DA794" s="36"/>
      <c r="DB794" s="36"/>
      <c r="DC794" s="36"/>
      <c r="DD794" s="36"/>
      <c r="DE794" s="36"/>
      <c r="DF794" s="36"/>
      <c r="DG794" s="36"/>
      <c r="DH794" s="36"/>
      <c r="DI794" s="36"/>
      <c r="DJ794" s="36"/>
      <c r="DK794" s="36"/>
      <c r="DL794" s="36"/>
      <c r="DM794" s="36"/>
      <c r="DN794" s="36"/>
      <c r="DO794" s="36"/>
      <c r="DP794" s="36"/>
      <c r="DQ794" s="36"/>
      <c r="DR794" s="36"/>
      <c r="DS794" s="36"/>
    </row>
    <row r="795" spans="1:123" ht="14.45">
      <c r="A795"/>
      <c r="B795"/>
      <c r="C795"/>
      <c r="D795"/>
      <c r="E795"/>
      <c r="F795"/>
      <c r="G795"/>
      <c r="H795"/>
      <c r="I795"/>
      <c r="J795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  <c r="BP795" s="36"/>
      <c r="BQ795" s="36"/>
      <c r="BR795" s="36"/>
      <c r="BS795" s="36"/>
      <c r="BT795" s="36"/>
      <c r="BU795" s="36"/>
      <c r="BV795" s="36"/>
      <c r="BW795" s="36"/>
      <c r="BX795" s="36"/>
      <c r="BY795" s="36"/>
      <c r="BZ795" s="36"/>
      <c r="CA795" s="36"/>
      <c r="CB795" s="36"/>
      <c r="CC795" s="36"/>
      <c r="CD795" s="36"/>
      <c r="CE795" s="36"/>
      <c r="CF795" s="36"/>
      <c r="CG795" s="36"/>
      <c r="CH795" s="36"/>
      <c r="CI795" s="36"/>
      <c r="CJ795" s="36"/>
      <c r="CK795" s="36"/>
      <c r="CL795" s="36"/>
      <c r="CM795" s="36"/>
      <c r="CN795" s="36"/>
      <c r="CO795" s="36"/>
      <c r="CP795" s="36"/>
      <c r="CQ795" s="36"/>
      <c r="CR795" s="36"/>
      <c r="CS795" s="36"/>
      <c r="CT795" s="36"/>
      <c r="CU795" s="36"/>
      <c r="CV795" s="36"/>
      <c r="CW795" s="36"/>
      <c r="CX795" s="36"/>
      <c r="CY795" s="36"/>
      <c r="CZ795" s="36"/>
      <c r="DA795" s="36"/>
      <c r="DB795" s="36"/>
      <c r="DC795" s="36"/>
      <c r="DD795" s="36"/>
      <c r="DE795" s="36"/>
      <c r="DF795" s="36"/>
      <c r="DG795" s="36"/>
      <c r="DH795" s="36"/>
      <c r="DI795" s="36"/>
      <c r="DJ795" s="36"/>
      <c r="DK795" s="36"/>
      <c r="DL795" s="36"/>
      <c r="DM795" s="36"/>
      <c r="DN795" s="36"/>
      <c r="DO795" s="36"/>
      <c r="DP795" s="36"/>
      <c r="DQ795" s="36"/>
      <c r="DR795" s="36"/>
      <c r="DS795" s="36"/>
    </row>
    <row r="796" spans="1:123" ht="14.45">
      <c r="A796"/>
      <c r="B796"/>
      <c r="C796"/>
      <c r="D796"/>
      <c r="E796"/>
      <c r="F796"/>
      <c r="G796"/>
      <c r="H796"/>
      <c r="I796"/>
      <c r="J79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  <c r="BR796" s="36"/>
      <c r="BS796" s="36"/>
      <c r="BT796" s="36"/>
      <c r="BU796" s="36"/>
      <c r="BV796" s="36"/>
      <c r="BW796" s="36"/>
      <c r="BX796" s="36"/>
      <c r="BY796" s="36"/>
      <c r="BZ796" s="36"/>
      <c r="CA796" s="36"/>
      <c r="CB796" s="36"/>
      <c r="CC796" s="36"/>
      <c r="CD796" s="36"/>
      <c r="CE796" s="36"/>
      <c r="CF796" s="36"/>
      <c r="CG796" s="36"/>
      <c r="CH796" s="36"/>
      <c r="CI796" s="36"/>
      <c r="CJ796" s="36"/>
      <c r="CK796" s="36"/>
      <c r="CL796" s="36"/>
      <c r="CM796" s="36"/>
      <c r="CN796" s="36"/>
      <c r="CO796" s="36"/>
      <c r="CP796" s="36"/>
      <c r="CQ796" s="36"/>
      <c r="CR796" s="36"/>
      <c r="CS796" s="36"/>
      <c r="CT796" s="36"/>
      <c r="CU796" s="36"/>
      <c r="CV796" s="36"/>
      <c r="CW796" s="36"/>
      <c r="CX796" s="36"/>
      <c r="CY796" s="36"/>
      <c r="CZ796" s="36"/>
      <c r="DA796" s="36"/>
      <c r="DB796" s="36"/>
      <c r="DC796" s="36"/>
      <c r="DD796" s="36"/>
      <c r="DE796" s="36"/>
      <c r="DF796" s="36"/>
      <c r="DG796" s="36"/>
      <c r="DH796" s="36"/>
      <c r="DI796" s="36"/>
      <c r="DJ796" s="36"/>
      <c r="DK796" s="36"/>
      <c r="DL796" s="36"/>
      <c r="DM796" s="36"/>
      <c r="DN796" s="36"/>
      <c r="DO796" s="36"/>
      <c r="DP796" s="36"/>
      <c r="DQ796" s="36"/>
      <c r="DR796" s="36"/>
      <c r="DS796" s="36"/>
    </row>
    <row r="797" spans="1:123" ht="14.45">
      <c r="A797"/>
      <c r="B797"/>
      <c r="C797"/>
      <c r="D797"/>
      <c r="E797"/>
      <c r="F797"/>
      <c r="G797"/>
      <c r="H797"/>
      <c r="I797"/>
      <c r="J797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  <c r="BR797" s="36"/>
      <c r="BS797" s="36"/>
      <c r="BT797" s="36"/>
      <c r="BU797" s="36"/>
      <c r="BV797" s="36"/>
      <c r="BW797" s="36"/>
      <c r="BX797" s="36"/>
      <c r="BY797" s="36"/>
      <c r="BZ797" s="36"/>
      <c r="CA797" s="36"/>
      <c r="CB797" s="36"/>
      <c r="CC797" s="36"/>
      <c r="CD797" s="36"/>
      <c r="CE797" s="36"/>
      <c r="CF797" s="36"/>
      <c r="CG797" s="36"/>
      <c r="CH797" s="36"/>
      <c r="CI797" s="36"/>
      <c r="CJ797" s="36"/>
      <c r="CK797" s="36"/>
      <c r="CL797" s="36"/>
      <c r="CM797" s="36"/>
      <c r="CN797" s="36"/>
      <c r="CO797" s="36"/>
      <c r="CP797" s="36"/>
      <c r="CQ797" s="36"/>
      <c r="CR797" s="36"/>
      <c r="CS797" s="36"/>
      <c r="CT797" s="36"/>
      <c r="CU797" s="36"/>
      <c r="CV797" s="36"/>
      <c r="CW797" s="36"/>
      <c r="CX797" s="36"/>
      <c r="CY797" s="36"/>
      <c r="CZ797" s="36"/>
      <c r="DA797" s="36"/>
      <c r="DB797" s="36"/>
      <c r="DC797" s="36"/>
      <c r="DD797" s="36"/>
      <c r="DE797" s="36"/>
      <c r="DF797" s="36"/>
      <c r="DG797" s="36"/>
      <c r="DH797" s="36"/>
      <c r="DI797" s="36"/>
      <c r="DJ797" s="36"/>
      <c r="DK797" s="36"/>
      <c r="DL797" s="36"/>
      <c r="DM797" s="36"/>
      <c r="DN797" s="36"/>
      <c r="DO797" s="36"/>
      <c r="DP797" s="36"/>
      <c r="DQ797" s="36"/>
      <c r="DR797" s="36"/>
      <c r="DS797" s="36"/>
    </row>
    <row r="798" spans="1:123" ht="14.45">
      <c r="A798"/>
      <c r="B798"/>
      <c r="C798"/>
      <c r="D798"/>
      <c r="E798"/>
      <c r="F798"/>
      <c r="G798"/>
      <c r="H798"/>
      <c r="I798"/>
      <c r="J798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  <c r="BR798" s="36"/>
      <c r="BS798" s="36"/>
      <c r="BT798" s="36"/>
      <c r="BU798" s="36"/>
      <c r="BV798" s="36"/>
      <c r="BW798" s="36"/>
      <c r="BX798" s="36"/>
      <c r="BY798" s="36"/>
      <c r="BZ798" s="36"/>
      <c r="CA798" s="36"/>
      <c r="CB798" s="36"/>
      <c r="CC798" s="36"/>
      <c r="CD798" s="36"/>
      <c r="CE798" s="36"/>
      <c r="CF798" s="36"/>
      <c r="CG798" s="36"/>
      <c r="CH798" s="36"/>
      <c r="CI798" s="36"/>
      <c r="CJ798" s="36"/>
      <c r="CK798" s="36"/>
      <c r="CL798" s="36"/>
      <c r="CM798" s="36"/>
      <c r="CN798" s="36"/>
      <c r="CO798" s="36"/>
      <c r="CP798" s="36"/>
      <c r="CQ798" s="36"/>
      <c r="CR798" s="36"/>
      <c r="CS798" s="36"/>
      <c r="CT798" s="36"/>
      <c r="CU798" s="36"/>
      <c r="CV798" s="36"/>
      <c r="CW798" s="36"/>
      <c r="CX798" s="36"/>
      <c r="CY798" s="36"/>
      <c r="CZ798" s="36"/>
      <c r="DA798" s="36"/>
      <c r="DB798" s="36"/>
      <c r="DC798" s="36"/>
      <c r="DD798" s="36"/>
      <c r="DE798" s="36"/>
      <c r="DF798" s="36"/>
      <c r="DG798" s="36"/>
      <c r="DH798" s="36"/>
      <c r="DI798" s="36"/>
      <c r="DJ798" s="36"/>
      <c r="DK798" s="36"/>
      <c r="DL798" s="36"/>
      <c r="DM798" s="36"/>
      <c r="DN798" s="36"/>
      <c r="DO798" s="36"/>
      <c r="DP798" s="36"/>
      <c r="DQ798" s="36"/>
      <c r="DR798" s="36"/>
      <c r="DS798" s="36"/>
    </row>
    <row r="799" spans="1:123" ht="14.45">
      <c r="A799"/>
      <c r="B799"/>
      <c r="C799"/>
      <c r="D799"/>
      <c r="E799"/>
      <c r="F799"/>
      <c r="G799"/>
      <c r="H799"/>
      <c r="I799"/>
      <c r="J799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  <c r="BR799" s="36"/>
      <c r="BS799" s="36"/>
      <c r="BT799" s="36"/>
      <c r="BU799" s="36"/>
      <c r="BV799" s="36"/>
      <c r="BW799" s="36"/>
      <c r="BX799" s="36"/>
      <c r="BY799" s="36"/>
      <c r="BZ799" s="36"/>
      <c r="CA799" s="36"/>
      <c r="CB799" s="36"/>
      <c r="CC799" s="36"/>
      <c r="CD799" s="36"/>
      <c r="CE799" s="36"/>
      <c r="CF799" s="36"/>
      <c r="CG799" s="36"/>
      <c r="CH799" s="36"/>
      <c r="CI799" s="36"/>
      <c r="CJ799" s="36"/>
      <c r="CK799" s="36"/>
      <c r="CL799" s="36"/>
      <c r="CM799" s="36"/>
      <c r="CN799" s="36"/>
      <c r="CO799" s="36"/>
      <c r="CP799" s="36"/>
      <c r="CQ799" s="36"/>
      <c r="CR799" s="36"/>
      <c r="CS799" s="36"/>
      <c r="CT799" s="36"/>
      <c r="CU799" s="36"/>
      <c r="CV799" s="36"/>
      <c r="CW799" s="36"/>
      <c r="CX799" s="36"/>
      <c r="CY799" s="36"/>
      <c r="CZ799" s="36"/>
      <c r="DA799" s="36"/>
      <c r="DB799" s="36"/>
      <c r="DC799" s="36"/>
      <c r="DD799" s="36"/>
      <c r="DE799" s="36"/>
      <c r="DF799" s="36"/>
      <c r="DG799" s="36"/>
      <c r="DH799" s="36"/>
      <c r="DI799" s="36"/>
      <c r="DJ799" s="36"/>
      <c r="DK799" s="36"/>
      <c r="DL799" s="36"/>
      <c r="DM799" s="36"/>
      <c r="DN799" s="36"/>
      <c r="DO799" s="36"/>
      <c r="DP799" s="36"/>
      <c r="DQ799" s="36"/>
      <c r="DR799" s="36"/>
      <c r="DS799" s="36"/>
    </row>
    <row r="800" spans="1:123" ht="14.45">
      <c r="A800"/>
      <c r="B800"/>
      <c r="C800"/>
      <c r="D800"/>
      <c r="E800"/>
      <c r="F800"/>
      <c r="G800"/>
      <c r="H800"/>
      <c r="I800"/>
      <c r="J800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  <c r="BS800" s="36"/>
      <c r="BT800" s="36"/>
      <c r="BU800" s="36"/>
      <c r="BV800" s="36"/>
      <c r="BW800" s="36"/>
      <c r="BX800" s="36"/>
      <c r="BY800" s="36"/>
      <c r="BZ800" s="36"/>
      <c r="CA800" s="36"/>
      <c r="CB800" s="36"/>
      <c r="CC800" s="36"/>
      <c r="CD800" s="36"/>
      <c r="CE800" s="36"/>
      <c r="CF800" s="36"/>
      <c r="CG800" s="36"/>
      <c r="CH800" s="36"/>
      <c r="CI800" s="36"/>
      <c r="CJ800" s="36"/>
      <c r="CK800" s="36"/>
      <c r="CL800" s="36"/>
      <c r="CM800" s="36"/>
      <c r="CN800" s="36"/>
      <c r="CO800" s="36"/>
      <c r="CP800" s="36"/>
      <c r="CQ800" s="36"/>
      <c r="CR800" s="36"/>
      <c r="CS800" s="36"/>
      <c r="CT800" s="36"/>
      <c r="CU800" s="36"/>
      <c r="CV800" s="36"/>
      <c r="CW800" s="36"/>
      <c r="CX800" s="36"/>
      <c r="CY800" s="36"/>
      <c r="CZ800" s="36"/>
      <c r="DA800" s="36"/>
      <c r="DB800" s="36"/>
      <c r="DC800" s="36"/>
      <c r="DD800" s="36"/>
      <c r="DE800" s="36"/>
      <c r="DF800" s="36"/>
      <c r="DG800" s="36"/>
      <c r="DH800" s="36"/>
      <c r="DI800" s="36"/>
      <c r="DJ800" s="36"/>
      <c r="DK800" s="36"/>
      <c r="DL800" s="36"/>
      <c r="DM800" s="36"/>
      <c r="DN800" s="36"/>
      <c r="DO800" s="36"/>
      <c r="DP800" s="36"/>
      <c r="DQ800" s="36"/>
      <c r="DR800" s="36"/>
      <c r="DS800" s="36"/>
    </row>
    <row r="801" spans="1:123" ht="14.45">
      <c r="A801"/>
      <c r="B801"/>
      <c r="C801"/>
      <c r="D801"/>
      <c r="E801"/>
      <c r="F801"/>
      <c r="G801"/>
      <c r="H801"/>
      <c r="I801"/>
      <c r="J801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36"/>
      <c r="BV801" s="36"/>
      <c r="BW801" s="36"/>
      <c r="BX801" s="36"/>
      <c r="BY801" s="36"/>
      <c r="BZ801" s="36"/>
      <c r="CA801" s="36"/>
      <c r="CB801" s="36"/>
      <c r="CC801" s="36"/>
      <c r="CD801" s="36"/>
      <c r="CE801" s="36"/>
      <c r="CF801" s="36"/>
      <c r="CG801" s="36"/>
      <c r="CH801" s="36"/>
      <c r="CI801" s="36"/>
      <c r="CJ801" s="36"/>
      <c r="CK801" s="36"/>
      <c r="CL801" s="36"/>
      <c r="CM801" s="36"/>
      <c r="CN801" s="36"/>
      <c r="CO801" s="36"/>
      <c r="CP801" s="36"/>
      <c r="CQ801" s="36"/>
      <c r="CR801" s="36"/>
      <c r="CS801" s="36"/>
      <c r="CT801" s="36"/>
      <c r="CU801" s="36"/>
      <c r="CV801" s="36"/>
      <c r="CW801" s="36"/>
      <c r="CX801" s="36"/>
      <c r="CY801" s="36"/>
      <c r="CZ801" s="36"/>
      <c r="DA801" s="36"/>
      <c r="DB801" s="36"/>
      <c r="DC801" s="36"/>
      <c r="DD801" s="36"/>
      <c r="DE801" s="36"/>
      <c r="DF801" s="36"/>
      <c r="DG801" s="36"/>
      <c r="DH801" s="36"/>
      <c r="DI801" s="36"/>
      <c r="DJ801" s="36"/>
      <c r="DK801" s="36"/>
      <c r="DL801" s="36"/>
      <c r="DM801" s="36"/>
      <c r="DN801" s="36"/>
      <c r="DO801" s="36"/>
      <c r="DP801" s="36"/>
      <c r="DQ801" s="36"/>
      <c r="DR801" s="36"/>
      <c r="DS801" s="36"/>
    </row>
    <row r="802" spans="1:123" ht="14.45">
      <c r="A802"/>
      <c r="B802"/>
      <c r="C802"/>
      <c r="D802"/>
      <c r="E802"/>
      <c r="F802"/>
      <c r="G802"/>
      <c r="H802"/>
      <c r="I802"/>
      <c r="J802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  <c r="BR802" s="36"/>
      <c r="BS802" s="36"/>
      <c r="BT802" s="36"/>
      <c r="BU802" s="36"/>
      <c r="BV802" s="36"/>
      <c r="BW802" s="36"/>
      <c r="BX802" s="36"/>
      <c r="BY802" s="36"/>
      <c r="BZ802" s="36"/>
      <c r="CA802" s="36"/>
      <c r="CB802" s="36"/>
      <c r="CC802" s="36"/>
      <c r="CD802" s="36"/>
      <c r="CE802" s="36"/>
      <c r="CF802" s="36"/>
      <c r="CG802" s="36"/>
      <c r="CH802" s="36"/>
      <c r="CI802" s="36"/>
      <c r="CJ802" s="36"/>
      <c r="CK802" s="36"/>
      <c r="CL802" s="36"/>
      <c r="CM802" s="36"/>
      <c r="CN802" s="36"/>
      <c r="CO802" s="36"/>
      <c r="CP802" s="36"/>
      <c r="CQ802" s="36"/>
      <c r="CR802" s="36"/>
      <c r="CS802" s="36"/>
      <c r="CT802" s="36"/>
      <c r="CU802" s="36"/>
      <c r="CV802" s="36"/>
      <c r="CW802" s="36"/>
      <c r="CX802" s="36"/>
      <c r="CY802" s="36"/>
      <c r="CZ802" s="36"/>
      <c r="DA802" s="36"/>
      <c r="DB802" s="36"/>
      <c r="DC802" s="36"/>
      <c r="DD802" s="36"/>
      <c r="DE802" s="36"/>
      <c r="DF802" s="36"/>
      <c r="DG802" s="36"/>
      <c r="DH802" s="36"/>
      <c r="DI802" s="36"/>
      <c r="DJ802" s="36"/>
      <c r="DK802" s="36"/>
      <c r="DL802" s="36"/>
      <c r="DM802" s="36"/>
      <c r="DN802" s="36"/>
      <c r="DO802" s="36"/>
      <c r="DP802" s="36"/>
      <c r="DQ802" s="36"/>
      <c r="DR802" s="36"/>
      <c r="DS802" s="36"/>
    </row>
    <row r="803" spans="1:123" ht="14.45">
      <c r="A803"/>
      <c r="B803"/>
      <c r="C803"/>
      <c r="D803"/>
      <c r="E803"/>
      <c r="F803"/>
      <c r="G803"/>
      <c r="H803"/>
      <c r="I803"/>
      <c r="J803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  <c r="BR803" s="36"/>
      <c r="BS803" s="36"/>
      <c r="BT803" s="36"/>
      <c r="BU803" s="36"/>
      <c r="BV803" s="36"/>
      <c r="BW803" s="36"/>
      <c r="BX803" s="36"/>
      <c r="BY803" s="36"/>
      <c r="BZ803" s="36"/>
      <c r="CA803" s="36"/>
      <c r="CB803" s="36"/>
      <c r="CC803" s="36"/>
      <c r="CD803" s="36"/>
      <c r="CE803" s="36"/>
      <c r="CF803" s="36"/>
      <c r="CG803" s="36"/>
      <c r="CH803" s="36"/>
      <c r="CI803" s="36"/>
      <c r="CJ803" s="36"/>
      <c r="CK803" s="36"/>
      <c r="CL803" s="36"/>
      <c r="CM803" s="36"/>
      <c r="CN803" s="36"/>
      <c r="CO803" s="36"/>
      <c r="CP803" s="36"/>
      <c r="CQ803" s="36"/>
      <c r="CR803" s="36"/>
      <c r="CS803" s="36"/>
      <c r="CT803" s="36"/>
      <c r="CU803" s="36"/>
      <c r="CV803" s="36"/>
      <c r="CW803" s="36"/>
      <c r="CX803" s="36"/>
      <c r="CY803" s="36"/>
      <c r="CZ803" s="36"/>
      <c r="DA803" s="36"/>
      <c r="DB803" s="36"/>
      <c r="DC803" s="36"/>
      <c r="DD803" s="36"/>
      <c r="DE803" s="36"/>
      <c r="DF803" s="36"/>
      <c r="DG803" s="36"/>
      <c r="DH803" s="36"/>
      <c r="DI803" s="36"/>
      <c r="DJ803" s="36"/>
      <c r="DK803" s="36"/>
      <c r="DL803" s="36"/>
      <c r="DM803" s="36"/>
      <c r="DN803" s="36"/>
      <c r="DO803" s="36"/>
      <c r="DP803" s="36"/>
      <c r="DQ803" s="36"/>
      <c r="DR803" s="36"/>
      <c r="DS803" s="36"/>
    </row>
    <row r="804" spans="1:123" ht="14.45">
      <c r="A804"/>
      <c r="B804"/>
      <c r="C804"/>
      <c r="D804"/>
      <c r="E804"/>
      <c r="F804"/>
      <c r="G804"/>
      <c r="H804"/>
      <c r="I804"/>
      <c r="J804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  <c r="BR804" s="36"/>
      <c r="BS804" s="36"/>
      <c r="BT804" s="36"/>
      <c r="BU804" s="36"/>
      <c r="BV804" s="36"/>
      <c r="BW804" s="36"/>
      <c r="BX804" s="36"/>
      <c r="BY804" s="36"/>
      <c r="BZ804" s="36"/>
      <c r="CA804" s="36"/>
      <c r="CB804" s="36"/>
      <c r="CC804" s="36"/>
      <c r="CD804" s="36"/>
      <c r="CE804" s="36"/>
      <c r="CF804" s="36"/>
      <c r="CG804" s="36"/>
      <c r="CH804" s="36"/>
      <c r="CI804" s="36"/>
      <c r="CJ804" s="36"/>
      <c r="CK804" s="36"/>
      <c r="CL804" s="36"/>
      <c r="CM804" s="36"/>
      <c r="CN804" s="36"/>
      <c r="CO804" s="36"/>
      <c r="CP804" s="36"/>
      <c r="CQ804" s="36"/>
      <c r="CR804" s="36"/>
      <c r="CS804" s="36"/>
      <c r="CT804" s="36"/>
      <c r="CU804" s="36"/>
      <c r="CV804" s="36"/>
      <c r="CW804" s="36"/>
      <c r="CX804" s="36"/>
      <c r="CY804" s="36"/>
      <c r="CZ804" s="36"/>
      <c r="DA804" s="36"/>
      <c r="DB804" s="36"/>
      <c r="DC804" s="36"/>
      <c r="DD804" s="36"/>
      <c r="DE804" s="36"/>
      <c r="DF804" s="36"/>
      <c r="DG804" s="36"/>
      <c r="DH804" s="36"/>
      <c r="DI804" s="36"/>
      <c r="DJ804" s="36"/>
      <c r="DK804" s="36"/>
      <c r="DL804" s="36"/>
      <c r="DM804" s="36"/>
      <c r="DN804" s="36"/>
      <c r="DO804" s="36"/>
      <c r="DP804" s="36"/>
      <c r="DQ804" s="36"/>
      <c r="DR804" s="36"/>
      <c r="DS804" s="36"/>
    </row>
    <row r="805" spans="1:123" ht="14.45">
      <c r="A805"/>
      <c r="B805"/>
      <c r="C805"/>
      <c r="D805"/>
      <c r="E805"/>
      <c r="F805"/>
      <c r="G805"/>
      <c r="H805"/>
      <c r="I805"/>
      <c r="J805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  <c r="BR805" s="36"/>
      <c r="BS805" s="36"/>
      <c r="BT805" s="36"/>
      <c r="BU805" s="36"/>
      <c r="BV805" s="36"/>
      <c r="BW805" s="36"/>
      <c r="BX805" s="36"/>
      <c r="BY805" s="36"/>
      <c r="BZ805" s="36"/>
      <c r="CA805" s="36"/>
      <c r="CB805" s="36"/>
      <c r="CC805" s="36"/>
      <c r="CD805" s="36"/>
      <c r="CE805" s="36"/>
      <c r="CF805" s="36"/>
      <c r="CG805" s="36"/>
      <c r="CH805" s="36"/>
      <c r="CI805" s="36"/>
      <c r="CJ805" s="36"/>
      <c r="CK805" s="36"/>
      <c r="CL805" s="36"/>
      <c r="CM805" s="36"/>
      <c r="CN805" s="36"/>
      <c r="CO805" s="36"/>
      <c r="CP805" s="36"/>
      <c r="CQ805" s="36"/>
      <c r="CR805" s="36"/>
      <c r="CS805" s="36"/>
      <c r="CT805" s="36"/>
      <c r="CU805" s="36"/>
      <c r="CV805" s="36"/>
      <c r="CW805" s="36"/>
      <c r="CX805" s="36"/>
      <c r="CY805" s="36"/>
      <c r="CZ805" s="36"/>
      <c r="DA805" s="36"/>
      <c r="DB805" s="36"/>
      <c r="DC805" s="36"/>
      <c r="DD805" s="36"/>
      <c r="DE805" s="36"/>
      <c r="DF805" s="36"/>
      <c r="DG805" s="36"/>
      <c r="DH805" s="36"/>
      <c r="DI805" s="36"/>
      <c r="DJ805" s="36"/>
      <c r="DK805" s="36"/>
      <c r="DL805" s="36"/>
      <c r="DM805" s="36"/>
      <c r="DN805" s="36"/>
      <c r="DO805" s="36"/>
      <c r="DP805" s="36"/>
      <c r="DQ805" s="36"/>
      <c r="DR805" s="36"/>
      <c r="DS805" s="36"/>
    </row>
    <row r="806" spans="1:123" ht="14.45">
      <c r="A806"/>
      <c r="B806"/>
      <c r="C806"/>
      <c r="D806"/>
      <c r="E806"/>
      <c r="F806"/>
      <c r="G806"/>
      <c r="H806"/>
      <c r="I806"/>
      <c r="J80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  <c r="BR806" s="36"/>
      <c r="BS806" s="36"/>
      <c r="BT806" s="36"/>
      <c r="BU806" s="36"/>
      <c r="BV806" s="36"/>
      <c r="BW806" s="36"/>
      <c r="BX806" s="36"/>
      <c r="BY806" s="36"/>
      <c r="BZ806" s="36"/>
      <c r="CA806" s="36"/>
      <c r="CB806" s="36"/>
      <c r="CC806" s="36"/>
      <c r="CD806" s="36"/>
      <c r="CE806" s="36"/>
      <c r="CF806" s="36"/>
      <c r="CG806" s="36"/>
      <c r="CH806" s="36"/>
      <c r="CI806" s="36"/>
      <c r="CJ806" s="36"/>
      <c r="CK806" s="36"/>
      <c r="CL806" s="36"/>
      <c r="CM806" s="36"/>
      <c r="CN806" s="36"/>
      <c r="CO806" s="36"/>
      <c r="CP806" s="36"/>
      <c r="CQ806" s="36"/>
      <c r="CR806" s="36"/>
      <c r="CS806" s="36"/>
      <c r="CT806" s="36"/>
      <c r="CU806" s="36"/>
      <c r="CV806" s="36"/>
      <c r="CW806" s="36"/>
      <c r="CX806" s="36"/>
      <c r="CY806" s="36"/>
      <c r="CZ806" s="36"/>
      <c r="DA806" s="36"/>
      <c r="DB806" s="36"/>
      <c r="DC806" s="36"/>
      <c r="DD806" s="36"/>
      <c r="DE806" s="36"/>
      <c r="DF806" s="36"/>
      <c r="DG806" s="36"/>
      <c r="DH806" s="36"/>
      <c r="DI806" s="36"/>
      <c r="DJ806" s="36"/>
      <c r="DK806" s="36"/>
      <c r="DL806" s="36"/>
      <c r="DM806" s="36"/>
      <c r="DN806" s="36"/>
      <c r="DO806" s="36"/>
      <c r="DP806" s="36"/>
      <c r="DQ806" s="36"/>
      <c r="DR806" s="36"/>
      <c r="DS806" s="36"/>
    </row>
    <row r="807" spans="1:123" ht="14.45">
      <c r="A807"/>
      <c r="B807"/>
      <c r="C807"/>
      <c r="D807"/>
      <c r="E807"/>
      <c r="F807"/>
      <c r="G807"/>
      <c r="H807"/>
      <c r="I807"/>
      <c r="J807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  <c r="BR807" s="36"/>
      <c r="BS807" s="36"/>
      <c r="BT807" s="36"/>
      <c r="BU807" s="36"/>
      <c r="BV807" s="36"/>
      <c r="BW807" s="36"/>
      <c r="BX807" s="36"/>
      <c r="BY807" s="36"/>
      <c r="BZ807" s="36"/>
      <c r="CA807" s="36"/>
      <c r="CB807" s="36"/>
      <c r="CC807" s="36"/>
      <c r="CD807" s="36"/>
      <c r="CE807" s="36"/>
      <c r="CF807" s="36"/>
      <c r="CG807" s="36"/>
      <c r="CH807" s="36"/>
      <c r="CI807" s="36"/>
      <c r="CJ807" s="36"/>
      <c r="CK807" s="36"/>
      <c r="CL807" s="36"/>
      <c r="CM807" s="36"/>
      <c r="CN807" s="36"/>
      <c r="CO807" s="36"/>
      <c r="CP807" s="36"/>
      <c r="CQ807" s="36"/>
      <c r="CR807" s="36"/>
      <c r="CS807" s="36"/>
      <c r="CT807" s="36"/>
      <c r="CU807" s="36"/>
      <c r="CV807" s="36"/>
      <c r="CW807" s="36"/>
      <c r="CX807" s="36"/>
      <c r="CY807" s="36"/>
      <c r="CZ807" s="36"/>
      <c r="DA807" s="36"/>
      <c r="DB807" s="36"/>
      <c r="DC807" s="36"/>
      <c r="DD807" s="36"/>
      <c r="DE807" s="36"/>
      <c r="DF807" s="36"/>
      <c r="DG807" s="36"/>
      <c r="DH807" s="36"/>
      <c r="DI807" s="36"/>
      <c r="DJ807" s="36"/>
      <c r="DK807" s="36"/>
      <c r="DL807" s="36"/>
      <c r="DM807" s="36"/>
      <c r="DN807" s="36"/>
      <c r="DO807" s="36"/>
      <c r="DP807" s="36"/>
      <c r="DQ807" s="36"/>
      <c r="DR807" s="36"/>
      <c r="DS807" s="36"/>
    </row>
    <row r="808" spans="1:123" ht="14.45">
      <c r="A808"/>
      <c r="B808"/>
      <c r="C808"/>
      <c r="D808"/>
      <c r="E808"/>
      <c r="F808"/>
      <c r="G808"/>
      <c r="H808"/>
      <c r="I808"/>
      <c r="J808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  <c r="BR808" s="36"/>
      <c r="BS808" s="36"/>
      <c r="BT808" s="36"/>
      <c r="BU808" s="36"/>
      <c r="BV808" s="36"/>
      <c r="BW808" s="36"/>
      <c r="BX808" s="36"/>
      <c r="BY808" s="36"/>
      <c r="BZ808" s="36"/>
      <c r="CA808" s="36"/>
      <c r="CB808" s="36"/>
      <c r="CC808" s="36"/>
      <c r="CD808" s="36"/>
      <c r="CE808" s="36"/>
      <c r="CF808" s="36"/>
      <c r="CG808" s="36"/>
      <c r="CH808" s="36"/>
      <c r="CI808" s="36"/>
      <c r="CJ808" s="36"/>
      <c r="CK808" s="36"/>
      <c r="CL808" s="36"/>
      <c r="CM808" s="36"/>
      <c r="CN808" s="36"/>
      <c r="CO808" s="36"/>
      <c r="CP808" s="36"/>
      <c r="CQ808" s="36"/>
      <c r="CR808" s="36"/>
      <c r="CS808" s="36"/>
      <c r="CT808" s="36"/>
      <c r="CU808" s="36"/>
      <c r="CV808" s="36"/>
      <c r="CW808" s="36"/>
      <c r="CX808" s="36"/>
      <c r="CY808" s="36"/>
      <c r="CZ808" s="36"/>
      <c r="DA808" s="36"/>
      <c r="DB808" s="36"/>
      <c r="DC808" s="36"/>
      <c r="DD808" s="36"/>
      <c r="DE808" s="36"/>
      <c r="DF808" s="36"/>
      <c r="DG808" s="36"/>
      <c r="DH808" s="36"/>
      <c r="DI808" s="36"/>
      <c r="DJ808" s="36"/>
      <c r="DK808" s="36"/>
      <c r="DL808" s="36"/>
      <c r="DM808" s="36"/>
      <c r="DN808" s="36"/>
      <c r="DO808" s="36"/>
      <c r="DP808" s="36"/>
      <c r="DQ808" s="36"/>
      <c r="DR808" s="36"/>
      <c r="DS808" s="36"/>
    </row>
    <row r="809" spans="1:123" ht="14.45">
      <c r="A809"/>
      <c r="B809"/>
      <c r="C809"/>
      <c r="D809"/>
      <c r="E809"/>
      <c r="F809"/>
      <c r="G809"/>
      <c r="H809"/>
      <c r="I809"/>
      <c r="J809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  <c r="BR809" s="36"/>
      <c r="BS809" s="36"/>
      <c r="BT809" s="36"/>
      <c r="BU809" s="36"/>
      <c r="BV809" s="36"/>
      <c r="BW809" s="36"/>
      <c r="BX809" s="36"/>
      <c r="BY809" s="36"/>
      <c r="BZ809" s="36"/>
      <c r="CA809" s="36"/>
      <c r="CB809" s="36"/>
      <c r="CC809" s="36"/>
      <c r="CD809" s="36"/>
      <c r="CE809" s="36"/>
      <c r="CF809" s="36"/>
      <c r="CG809" s="36"/>
      <c r="CH809" s="36"/>
      <c r="CI809" s="36"/>
      <c r="CJ809" s="36"/>
      <c r="CK809" s="36"/>
      <c r="CL809" s="36"/>
      <c r="CM809" s="36"/>
      <c r="CN809" s="36"/>
      <c r="CO809" s="36"/>
      <c r="CP809" s="36"/>
      <c r="CQ809" s="36"/>
      <c r="CR809" s="36"/>
      <c r="CS809" s="36"/>
      <c r="CT809" s="36"/>
      <c r="CU809" s="36"/>
      <c r="CV809" s="36"/>
      <c r="CW809" s="36"/>
      <c r="CX809" s="36"/>
      <c r="CY809" s="36"/>
      <c r="CZ809" s="36"/>
      <c r="DA809" s="36"/>
      <c r="DB809" s="36"/>
      <c r="DC809" s="36"/>
      <c r="DD809" s="36"/>
      <c r="DE809" s="36"/>
      <c r="DF809" s="36"/>
      <c r="DG809" s="36"/>
      <c r="DH809" s="36"/>
      <c r="DI809" s="36"/>
      <c r="DJ809" s="36"/>
      <c r="DK809" s="36"/>
      <c r="DL809" s="36"/>
      <c r="DM809" s="36"/>
      <c r="DN809" s="36"/>
      <c r="DO809" s="36"/>
      <c r="DP809" s="36"/>
      <c r="DQ809" s="36"/>
      <c r="DR809" s="36"/>
      <c r="DS809" s="36"/>
    </row>
    <row r="810" spans="1:123" ht="14.45">
      <c r="A810"/>
      <c r="B810"/>
      <c r="C810"/>
      <c r="D810"/>
      <c r="E810"/>
      <c r="F810"/>
      <c r="G810"/>
      <c r="H810"/>
      <c r="I810"/>
      <c r="J810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  <c r="BR810" s="36"/>
      <c r="BS810" s="36"/>
      <c r="BT810" s="36"/>
      <c r="BU810" s="36"/>
      <c r="BV810" s="36"/>
      <c r="BW810" s="36"/>
      <c r="BX810" s="36"/>
      <c r="BY810" s="36"/>
      <c r="BZ810" s="36"/>
      <c r="CA810" s="36"/>
      <c r="CB810" s="36"/>
      <c r="CC810" s="36"/>
      <c r="CD810" s="36"/>
      <c r="CE810" s="36"/>
      <c r="CF810" s="36"/>
      <c r="CG810" s="36"/>
      <c r="CH810" s="36"/>
      <c r="CI810" s="36"/>
      <c r="CJ810" s="36"/>
      <c r="CK810" s="36"/>
      <c r="CL810" s="36"/>
      <c r="CM810" s="36"/>
      <c r="CN810" s="36"/>
      <c r="CO810" s="36"/>
      <c r="CP810" s="36"/>
      <c r="CQ810" s="36"/>
      <c r="CR810" s="36"/>
      <c r="CS810" s="36"/>
      <c r="CT810" s="36"/>
      <c r="CU810" s="36"/>
      <c r="CV810" s="36"/>
      <c r="CW810" s="36"/>
      <c r="CX810" s="36"/>
      <c r="CY810" s="36"/>
      <c r="CZ810" s="36"/>
      <c r="DA810" s="36"/>
      <c r="DB810" s="36"/>
      <c r="DC810" s="36"/>
      <c r="DD810" s="36"/>
      <c r="DE810" s="36"/>
      <c r="DF810" s="36"/>
      <c r="DG810" s="36"/>
      <c r="DH810" s="36"/>
      <c r="DI810" s="36"/>
      <c r="DJ810" s="36"/>
      <c r="DK810" s="36"/>
      <c r="DL810" s="36"/>
      <c r="DM810" s="36"/>
      <c r="DN810" s="36"/>
      <c r="DO810" s="36"/>
      <c r="DP810" s="36"/>
      <c r="DQ810" s="36"/>
      <c r="DR810" s="36"/>
      <c r="DS810" s="36"/>
    </row>
    <row r="811" spans="1:123" ht="14.45">
      <c r="A811"/>
      <c r="B811"/>
      <c r="C811"/>
      <c r="D811"/>
      <c r="E811"/>
      <c r="F811"/>
      <c r="G811"/>
      <c r="H811"/>
      <c r="I811"/>
      <c r="J811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  <c r="BR811" s="36"/>
      <c r="BS811" s="36"/>
      <c r="BT811" s="36"/>
      <c r="BU811" s="36"/>
      <c r="BV811" s="36"/>
      <c r="BW811" s="36"/>
      <c r="BX811" s="36"/>
      <c r="BY811" s="36"/>
      <c r="BZ811" s="36"/>
      <c r="CA811" s="36"/>
      <c r="CB811" s="36"/>
      <c r="CC811" s="36"/>
      <c r="CD811" s="36"/>
      <c r="CE811" s="36"/>
      <c r="CF811" s="36"/>
      <c r="CG811" s="36"/>
      <c r="CH811" s="36"/>
      <c r="CI811" s="36"/>
      <c r="CJ811" s="36"/>
      <c r="CK811" s="36"/>
      <c r="CL811" s="36"/>
      <c r="CM811" s="36"/>
      <c r="CN811" s="36"/>
      <c r="CO811" s="36"/>
      <c r="CP811" s="36"/>
      <c r="CQ811" s="36"/>
      <c r="CR811" s="36"/>
      <c r="CS811" s="36"/>
      <c r="CT811" s="36"/>
      <c r="CU811" s="36"/>
      <c r="CV811" s="36"/>
      <c r="CW811" s="36"/>
      <c r="CX811" s="36"/>
      <c r="CY811" s="36"/>
      <c r="CZ811" s="36"/>
      <c r="DA811" s="36"/>
      <c r="DB811" s="36"/>
      <c r="DC811" s="36"/>
      <c r="DD811" s="36"/>
      <c r="DE811" s="36"/>
      <c r="DF811" s="36"/>
      <c r="DG811" s="36"/>
      <c r="DH811" s="36"/>
      <c r="DI811" s="36"/>
      <c r="DJ811" s="36"/>
      <c r="DK811" s="36"/>
      <c r="DL811" s="36"/>
      <c r="DM811" s="36"/>
      <c r="DN811" s="36"/>
      <c r="DO811" s="36"/>
      <c r="DP811" s="36"/>
      <c r="DQ811" s="36"/>
      <c r="DR811" s="36"/>
      <c r="DS811" s="36"/>
    </row>
    <row r="812" spans="1:123" ht="14.45">
      <c r="A812"/>
      <c r="B812"/>
      <c r="C812"/>
      <c r="D812"/>
      <c r="E812"/>
      <c r="F812"/>
      <c r="G812"/>
      <c r="H812"/>
      <c r="I812"/>
      <c r="J812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  <c r="BR812" s="36"/>
      <c r="BS812" s="36"/>
      <c r="BT812" s="36"/>
      <c r="BU812" s="36"/>
      <c r="BV812" s="36"/>
      <c r="BW812" s="36"/>
      <c r="BX812" s="36"/>
      <c r="BY812" s="36"/>
      <c r="BZ812" s="36"/>
      <c r="CA812" s="36"/>
      <c r="CB812" s="36"/>
      <c r="CC812" s="36"/>
      <c r="CD812" s="36"/>
      <c r="CE812" s="36"/>
      <c r="CF812" s="36"/>
      <c r="CG812" s="36"/>
      <c r="CH812" s="36"/>
      <c r="CI812" s="36"/>
      <c r="CJ812" s="36"/>
      <c r="CK812" s="36"/>
      <c r="CL812" s="36"/>
      <c r="CM812" s="36"/>
      <c r="CN812" s="36"/>
      <c r="CO812" s="36"/>
      <c r="CP812" s="36"/>
      <c r="CQ812" s="36"/>
      <c r="CR812" s="36"/>
      <c r="CS812" s="36"/>
      <c r="CT812" s="36"/>
      <c r="CU812" s="36"/>
      <c r="CV812" s="36"/>
      <c r="CW812" s="36"/>
      <c r="CX812" s="36"/>
      <c r="CY812" s="36"/>
      <c r="CZ812" s="36"/>
      <c r="DA812" s="36"/>
      <c r="DB812" s="36"/>
      <c r="DC812" s="36"/>
      <c r="DD812" s="36"/>
      <c r="DE812" s="36"/>
      <c r="DF812" s="36"/>
      <c r="DG812" s="36"/>
      <c r="DH812" s="36"/>
      <c r="DI812" s="36"/>
      <c r="DJ812" s="36"/>
      <c r="DK812" s="36"/>
      <c r="DL812" s="36"/>
      <c r="DM812" s="36"/>
      <c r="DN812" s="36"/>
      <c r="DO812" s="36"/>
      <c r="DP812" s="36"/>
      <c r="DQ812" s="36"/>
      <c r="DR812" s="36"/>
      <c r="DS812" s="36"/>
    </row>
    <row r="813" spans="1:123" ht="14.45">
      <c r="A813"/>
      <c r="B813"/>
      <c r="C813"/>
      <c r="D813"/>
      <c r="E813"/>
      <c r="F813"/>
      <c r="G813"/>
      <c r="H813"/>
      <c r="I813"/>
      <c r="J813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  <c r="BP813" s="36"/>
      <c r="BQ813" s="36"/>
      <c r="BR813" s="36"/>
      <c r="BS813" s="36"/>
      <c r="BT813" s="36"/>
      <c r="BU813" s="36"/>
      <c r="BV813" s="36"/>
      <c r="BW813" s="36"/>
      <c r="BX813" s="36"/>
      <c r="BY813" s="36"/>
      <c r="BZ813" s="36"/>
      <c r="CA813" s="36"/>
      <c r="CB813" s="36"/>
      <c r="CC813" s="36"/>
      <c r="CD813" s="36"/>
      <c r="CE813" s="36"/>
      <c r="CF813" s="36"/>
      <c r="CG813" s="36"/>
      <c r="CH813" s="36"/>
      <c r="CI813" s="36"/>
      <c r="CJ813" s="36"/>
      <c r="CK813" s="36"/>
      <c r="CL813" s="36"/>
      <c r="CM813" s="36"/>
      <c r="CN813" s="36"/>
      <c r="CO813" s="36"/>
      <c r="CP813" s="36"/>
      <c r="CQ813" s="36"/>
      <c r="CR813" s="36"/>
      <c r="CS813" s="36"/>
      <c r="CT813" s="36"/>
      <c r="CU813" s="36"/>
      <c r="CV813" s="36"/>
      <c r="CW813" s="36"/>
      <c r="CX813" s="36"/>
      <c r="CY813" s="36"/>
      <c r="CZ813" s="36"/>
      <c r="DA813" s="36"/>
      <c r="DB813" s="36"/>
      <c r="DC813" s="36"/>
      <c r="DD813" s="36"/>
      <c r="DE813" s="36"/>
      <c r="DF813" s="36"/>
      <c r="DG813" s="36"/>
      <c r="DH813" s="36"/>
      <c r="DI813" s="36"/>
      <c r="DJ813" s="36"/>
      <c r="DK813" s="36"/>
      <c r="DL813" s="36"/>
      <c r="DM813" s="36"/>
      <c r="DN813" s="36"/>
      <c r="DO813" s="36"/>
      <c r="DP813" s="36"/>
      <c r="DQ813" s="36"/>
      <c r="DR813" s="36"/>
      <c r="DS813" s="36"/>
    </row>
    <row r="814" spans="1:123" ht="14.45">
      <c r="A814"/>
      <c r="B814"/>
      <c r="C814"/>
      <c r="D814"/>
      <c r="E814"/>
      <c r="F814"/>
      <c r="G814"/>
      <c r="H814"/>
      <c r="I814"/>
      <c r="J814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  <c r="BR814" s="36"/>
      <c r="BS814" s="36"/>
      <c r="BT814" s="36"/>
      <c r="BU814" s="36"/>
      <c r="BV814" s="36"/>
      <c r="BW814" s="36"/>
      <c r="BX814" s="36"/>
      <c r="BY814" s="36"/>
      <c r="BZ814" s="36"/>
      <c r="CA814" s="36"/>
      <c r="CB814" s="36"/>
      <c r="CC814" s="36"/>
      <c r="CD814" s="36"/>
      <c r="CE814" s="36"/>
      <c r="CF814" s="36"/>
      <c r="CG814" s="36"/>
      <c r="CH814" s="36"/>
      <c r="CI814" s="36"/>
      <c r="CJ814" s="36"/>
      <c r="CK814" s="36"/>
      <c r="CL814" s="36"/>
      <c r="CM814" s="36"/>
      <c r="CN814" s="36"/>
      <c r="CO814" s="36"/>
      <c r="CP814" s="36"/>
      <c r="CQ814" s="36"/>
      <c r="CR814" s="36"/>
      <c r="CS814" s="36"/>
      <c r="CT814" s="36"/>
      <c r="CU814" s="36"/>
      <c r="CV814" s="36"/>
      <c r="CW814" s="36"/>
      <c r="CX814" s="36"/>
      <c r="CY814" s="36"/>
      <c r="CZ814" s="36"/>
      <c r="DA814" s="36"/>
      <c r="DB814" s="36"/>
      <c r="DC814" s="36"/>
      <c r="DD814" s="36"/>
      <c r="DE814" s="36"/>
      <c r="DF814" s="36"/>
      <c r="DG814" s="36"/>
      <c r="DH814" s="36"/>
      <c r="DI814" s="36"/>
      <c r="DJ814" s="36"/>
      <c r="DK814" s="36"/>
      <c r="DL814" s="36"/>
      <c r="DM814" s="36"/>
      <c r="DN814" s="36"/>
      <c r="DO814" s="36"/>
      <c r="DP814" s="36"/>
      <c r="DQ814" s="36"/>
      <c r="DR814" s="36"/>
      <c r="DS814" s="36"/>
    </row>
    <row r="815" spans="1:123" ht="14.45">
      <c r="A815"/>
      <c r="B815"/>
      <c r="C815"/>
      <c r="D815"/>
      <c r="E815"/>
      <c r="F815"/>
      <c r="G815"/>
      <c r="H815"/>
      <c r="I815"/>
      <c r="J815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  <c r="BR815" s="36"/>
      <c r="BS815" s="36"/>
      <c r="BT815" s="36"/>
      <c r="BU815" s="36"/>
      <c r="BV815" s="36"/>
      <c r="BW815" s="36"/>
      <c r="BX815" s="36"/>
      <c r="BY815" s="36"/>
      <c r="BZ815" s="36"/>
      <c r="CA815" s="36"/>
      <c r="CB815" s="36"/>
      <c r="CC815" s="36"/>
      <c r="CD815" s="36"/>
      <c r="CE815" s="36"/>
      <c r="CF815" s="36"/>
      <c r="CG815" s="36"/>
      <c r="CH815" s="36"/>
      <c r="CI815" s="36"/>
      <c r="CJ815" s="36"/>
      <c r="CK815" s="36"/>
      <c r="CL815" s="36"/>
      <c r="CM815" s="36"/>
      <c r="CN815" s="36"/>
      <c r="CO815" s="36"/>
      <c r="CP815" s="36"/>
      <c r="CQ815" s="36"/>
      <c r="CR815" s="36"/>
      <c r="CS815" s="36"/>
      <c r="CT815" s="36"/>
      <c r="CU815" s="36"/>
      <c r="CV815" s="36"/>
      <c r="CW815" s="36"/>
      <c r="CX815" s="36"/>
      <c r="CY815" s="36"/>
      <c r="CZ815" s="36"/>
      <c r="DA815" s="36"/>
      <c r="DB815" s="36"/>
      <c r="DC815" s="36"/>
      <c r="DD815" s="36"/>
      <c r="DE815" s="36"/>
      <c r="DF815" s="36"/>
      <c r="DG815" s="36"/>
      <c r="DH815" s="36"/>
      <c r="DI815" s="36"/>
      <c r="DJ815" s="36"/>
      <c r="DK815" s="36"/>
      <c r="DL815" s="36"/>
      <c r="DM815" s="36"/>
      <c r="DN815" s="36"/>
      <c r="DO815" s="36"/>
      <c r="DP815" s="36"/>
      <c r="DQ815" s="36"/>
      <c r="DR815" s="36"/>
      <c r="DS815" s="36"/>
    </row>
    <row r="816" spans="1:123" ht="14.45">
      <c r="A816"/>
      <c r="B816"/>
      <c r="C816"/>
      <c r="D816"/>
      <c r="E816"/>
      <c r="F816"/>
      <c r="G816"/>
      <c r="H816"/>
      <c r="I816"/>
      <c r="J81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  <c r="BP816" s="36"/>
      <c r="BQ816" s="36"/>
      <c r="BR816" s="36"/>
      <c r="BS816" s="36"/>
      <c r="BT816" s="36"/>
      <c r="BU816" s="36"/>
      <c r="BV816" s="36"/>
      <c r="BW816" s="36"/>
      <c r="BX816" s="36"/>
      <c r="BY816" s="36"/>
      <c r="BZ816" s="36"/>
      <c r="CA816" s="36"/>
      <c r="CB816" s="36"/>
      <c r="CC816" s="36"/>
      <c r="CD816" s="36"/>
      <c r="CE816" s="36"/>
      <c r="CF816" s="36"/>
      <c r="CG816" s="36"/>
      <c r="CH816" s="36"/>
      <c r="CI816" s="36"/>
      <c r="CJ816" s="36"/>
      <c r="CK816" s="36"/>
      <c r="CL816" s="36"/>
      <c r="CM816" s="36"/>
      <c r="CN816" s="36"/>
      <c r="CO816" s="36"/>
      <c r="CP816" s="36"/>
      <c r="CQ816" s="36"/>
      <c r="CR816" s="36"/>
      <c r="CS816" s="36"/>
      <c r="CT816" s="36"/>
      <c r="CU816" s="36"/>
      <c r="CV816" s="36"/>
      <c r="CW816" s="36"/>
      <c r="CX816" s="36"/>
      <c r="CY816" s="36"/>
      <c r="CZ816" s="36"/>
      <c r="DA816" s="36"/>
      <c r="DB816" s="36"/>
      <c r="DC816" s="36"/>
      <c r="DD816" s="36"/>
      <c r="DE816" s="36"/>
      <c r="DF816" s="36"/>
      <c r="DG816" s="36"/>
      <c r="DH816" s="36"/>
      <c r="DI816" s="36"/>
      <c r="DJ816" s="36"/>
      <c r="DK816" s="36"/>
      <c r="DL816" s="36"/>
      <c r="DM816" s="36"/>
      <c r="DN816" s="36"/>
      <c r="DO816" s="36"/>
      <c r="DP816" s="36"/>
      <c r="DQ816" s="36"/>
      <c r="DR816" s="36"/>
      <c r="DS816" s="36"/>
    </row>
    <row r="817" spans="1:123" ht="14.45">
      <c r="A817"/>
      <c r="B817"/>
      <c r="C817"/>
      <c r="D817"/>
      <c r="E817"/>
      <c r="F817"/>
      <c r="G817"/>
      <c r="H817"/>
      <c r="I817"/>
      <c r="J817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/>
      <c r="BQ817" s="36"/>
      <c r="BR817" s="36"/>
      <c r="BS817" s="36"/>
      <c r="BT817" s="36"/>
      <c r="BU817" s="36"/>
      <c r="BV817" s="36"/>
      <c r="BW817" s="36"/>
      <c r="BX817" s="36"/>
      <c r="BY817" s="36"/>
      <c r="BZ817" s="36"/>
      <c r="CA817" s="36"/>
      <c r="CB817" s="36"/>
      <c r="CC817" s="36"/>
      <c r="CD817" s="36"/>
      <c r="CE817" s="36"/>
      <c r="CF817" s="36"/>
      <c r="CG817" s="36"/>
      <c r="CH817" s="36"/>
      <c r="CI817" s="36"/>
      <c r="CJ817" s="36"/>
      <c r="CK817" s="36"/>
      <c r="CL817" s="36"/>
      <c r="CM817" s="36"/>
      <c r="CN817" s="36"/>
      <c r="CO817" s="36"/>
      <c r="CP817" s="36"/>
      <c r="CQ817" s="36"/>
      <c r="CR817" s="36"/>
      <c r="CS817" s="36"/>
      <c r="CT817" s="36"/>
      <c r="CU817" s="36"/>
      <c r="CV817" s="36"/>
      <c r="CW817" s="36"/>
      <c r="CX817" s="36"/>
      <c r="CY817" s="36"/>
      <c r="CZ817" s="36"/>
      <c r="DA817" s="36"/>
      <c r="DB817" s="36"/>
      <c r="DC817" s="36"/>
      <c r="DD817" s="36"/>
      <c r="DE817" s="36"/>
      <c r="DF817" s="36"/>
      <c r="DG817" s="36"/>
      <c r="DH817" s="36"/>
      <c r="DI817" s="36"/>
      <c r="DJ817" s="36"/>
      <c r="DK817" s="36"/>
      <c r="DL817" s="36"/>
      <c r="DM817" s="36"/>
      <c r="DN817" s="36"/>
      <c r="DO817" s="36"/>
      <c r="DP817" s="36"/>
      <c r="DQ817" s="36"/>
      <c r="DR817" s="36"/>
      <c r="DS817" s="36"/>
    </row>
    <row r="818" spans="1:123" ht="14.45">
      <c r="A818"/>
      <c r="B818"/>
      <c r="C818"/>
      <c r="D818"/>
      <c r="E818"/>
      <c r="F818"/>
      <c r="G818"/>
      <c r="H818"/>
      <c r="I818"/>
      <c r="J818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  <c r="BP818" s="36"/>
      <c r="BQ818" s="36"/>
      <c r="BR818" s="36"/>
      <c r="BS818" s="36"/>
      <c r="BT818" s="36"/>
      <c r="BU818" s="36"/>
      <c r="BV818" s="36"/>
      <c r="BW818" s="36"/>
      <c r="BX818" s="36"/>
      <c r="BY818" s="36"/>
      <c r="BZ818" s="36"/>
      <c r="CA818" s="36"/>
      <c r="CB818" s="36"/>
      <c r="CC818" s="36"/>
      <c r="CD818" s="36"/>
      <c r="CE818" s="36"/>
      <c r="CF818" s="36"/>
      <c r="CG818" s="36"/>
      <c r="CH818" s="36"/>
      <c r="CI818" s="36"/>
      <c r="CJ818" s="36"/>
      <c r="CK818" s="36"/>
      <c r="CL818" s="36"/>
      <c r="CM818" s="36"/>
      <c r="CN818" s="36"/>
      <c r="CO818" s="36"/>
      <c r="CP818" s="36"/>
      <c r="CQ818" s="36"/>
      <c r="CR818" s="36"/>
      <c r="CS818" s="36"/>
      <c r="CT818" s="36"/>
      <c r="CU818" s="36"/>
      <c r="CV818" s="36"/>
      <c r="CW818" s="36"/>
      <c r="CX818" s="36"/>
      <c r="CY818" s="36"/>
      <c r="CZ818" s="36"/>
      <c r="DA818" s="36"/>
      <c r="DB818" s="36"/>
      <c r="DC818" s="36"/>
      <c r="DD818" s="36"/>
      <c r="DE818" s="36"/>
      <c r="DF818" s="36"/>
      <c r="DG818" s="36"/>
      <c r="DH818" s="36"/>
      <c r="DI818" s="36"/>
      <c r="DJ818" s="36"/>
      <c r="DK818" s="36"/>
      <c r="DL818" s="36"/>
      <c r="DM818" s="36"/>
      <c r="DN818" s="36"/>
      <c r="DO818" s="36"/>
      <c r="DP818" s="36"/>
      <c r="DQ818" s="36"/>
      <c r="DR818" s="36"/>
      <c r="DS818" s="36"/>
    </row>
    <row r="819" spans="1:123" ht="14.45">
      <c r="A819"/>
      <c r="B819"/>
      <c r="C819"/>
      <c r="D819"/>
      <c r="E819"/>
      <c r="F819"/>
      <c r="G819"/>
      <c r="H819"/>
      <c r="I819"/>
      <c r="J819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  <c r="BR819" s="36"/>
      <c r="BS819" s="36"/>
      <c r="BT819" s="36"/>
      <c r="BU819" s="36"/>
      <c r="BV819" s="36"/>
      <c r="BW819" s="36"/>
      <c r="BX819" s="36"/>
      <c r="BY819" s="36"/>
      <c r="BZ819" s="36"/>
      <c r="CA819" s="36"/>
      <c r="CB819" s="36"/>
      <c r="CC819" s="36"/>
      <c r="CD819" s="36"/>
      <c r="CE819" s="36"/>
      <c r="CF819" s="36"/>
      <c r="CG819" s="36"/>
      <c r="CH819" s="36"/>
      <c r="CI819" s="36"/>
      <c r="CJ819" s="36"/>
      <c r="CK819" s="36"/>
      <c r="CL819" s="36"/>
      <c r="CM819" s="36"/>
      <c r="CN819" s="36"/>
      <c r="CO819" s="36"/>
      <c r="CP819" s="36"/>
      <c r="CQ819" s="36"/>
      <c r="CR819" s="36"/>
      <c r="CS819" s="36"/>
      <c r="CT819" s="36"/>
      <c r="CU819" s="36"/>
      <c r="CV819" s="36"/>
      <c r="CW819" s="36"/>
      <c r="CX819" s="36"/>
      <c r="CY819" s="36"/>
      <c r="CZ819" s="36"/>
      <c r="DA819" s="36"/>
      <c r="DB819" s="36"/>
      <c r="DC819" s="36"/>
      <c r="DD819" s="36"/>
      <c r="DE819" s="36"/>
      <c r="DF819" s="36"/>
      <c r="DG819" s="36"/>
      <c r="DH819" s="36"/>
      <c r="DI819" s="36"/>
      <c r="DJ819" s="36"/>
      <c r="DK819" s="36"/>
      <c r="DL819" s="36"/>
      <c r="DM819" s="36"/>
      <c r="DN819" s="36"/>
      <c r="DO819" s="36"/>
      <c r="DP819" s="36"/>
      <c r="DQ819" s="36"/>
      <c r="DR819" s="36"/>
      <c r="DS819" s="36"/>
    </row>
    <row r="820" spans="1:123" ht="14.45">
      <c r="A820"/>
      <c r="B820"/>
      <c r="C820"/>
      <c r="D820"/>
      <c r="E820"/>
      <c r="F820"/>
      <c r="G820"/>
      <c r="H820"/>
      <c r="I820"/>
      <c r="J820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  <c r="BR820" s="36"/>
      <c r="BS820" s="36"/>
      <c r="BT820" s="36"/>
      <c r="BU820" s="36"/>
      <c r="BV820" s="36"/>
      <c r="BW820" s="36"/>
      <c r="BX820" s="36"/>
      <c r="BY820" s="36"/>
      <c r="BZ820" s="36"/>
      <c r="CA820" s="36"/>
      <c r="CB820" s="36"/>
      <c r="CC820" s="36"/>
      <c r="CD820" s="36"/>
      <c r="CE820" s="36"/>
      <c r="CF820" s="36"/>
      <c r="CG820" s="36"/>
      <c r="CH820" s="36"/>
      <c r="CI820" s="36"/>
      <c r="CJ820" s="36"/>
      <c r="CK820" s="36"/>
      <c r="CL820" s="36"/>
      <c r="CM820" s="36"/>
      <c r="CN820" s="36"/>
      <c r="CO820" s="36"/>
      <c r="CP820" s="36"/>
      <c r="CQ820" s="36"/>
      <c r="CR820" s="36"/>
      <c r="CS820" s="36"/>
      <c r="CT820" s="36"/>
      <c r="CU820" s="36"/>
      <c r="CV820" s="36"/>
      <c r="CW820" s="36"/>
      <c r="CX820" s="36"/>
      <c r="CY820" s="36"/>
      <c r="CZ820" s="36"/>
      <c r="DA820" s="36"/>
      <c r="DB820" s="36"/>
      <c r="DC820" s="36"/>
      <c r="DD820" s="36"/>
      <c r="DE820" s="36"/>
      <c r="DF820" s="36"/>
      <c r="DG820" s="36"/>
      <c r="DH820" s="36"/>
      <c r="DI820" s="36"/>
      <c r="DJ820" s="36"/>
      <c r="DK820" s="36"/>
      <c r="DL820" s="36"/>
      <c r="DM820" s="36"/>
      <c r="DN820" s="36"/>
      <c r="DO820" s="36"/>
      <c r="DP820" s="36"/>
      <c r="DQ820" s="36"/>
      <c r="DR820" s="36"/>
      <c r="DS820" s="36"/>
    </row>
    <row r="821" spans="1:123" ht="14.45">
      <c r="A821"/>
      <c r="B821"/>
      <c r="C821"/>
      <c r="D821"/>
      <c r="E821"/>
      <c r="F821"/>
      <c r="G821"/>
      <c r="H821"/>
      <c r="I821"/>
      <c r="J821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  <c r="BR821" s="36"/>
      <c r="BS821" s="36"/>
      <c r="BT821" s="36"/>
      <c r="BU821" s="36"/>
      <c r="BV821" s="36"/>
      <c r="BW821" s="36"/>
      <c r="BX821" s="36"/>
      <c r="BY821" s="36"/>
      <c r="BZ821" s="36"/>
      <c r="CA821" s="36"/>
      <c r="CB821" s="36"/>
      <c r="CC821" s="36"/>
      <c r="CD821" s="36"/>
      <c r="CE821" s="36"/>
      <c r="CF821" s="36"/>
      <c r="CG821" s="36"/>
      <c r="CH821" s="36"/>
      <c r="CI821" s="36"/>
      <c r="CJ821" s="36"/>
      <c r="CK821" s="36"/>
      <c r="CL821" s="36"/>
      <c r="CM821" s="36"/>
      <c r="CN821" s="36"/>
      <c r="CO821" s="36"/>
      <c r="CP821" s="36"/>
      <c r="CQ821" s="36"/>
      <c r="CR821" s="36"/>
      <c r="CS821" s="36"/>
      <c r="CT821" s="36"/>
      <c r="CU821" s="36"/>
      <c r="CV821" s="36"/>
      <c r="CW821" s="36"/>
      <c r="CX821" s="36"/>
      <c r="CY821" s="36"/>
      <c r="CZ821" s="36"/>
      <c r="DA821" s="36"/>
      <c r="DB821" s="36"/>
      <c r="DC821" s="36"/>
      <c r="DD821" s="36"/>
      <c r="DE821" s="36"/>
      <c r="DF821" s="36"/>
      <c r="DG821" s="36"/>
      <c r="DH821" s="36"/>
      <c r="DI821" s="36"/>
      <c r="DJ821" s="36"/>
      <c r="DK821" s="36"/>
      <c r="DL821" s="36"/>
      <c r="DM821" s="36"/>
      <c r="DN821" s="36"/>
      <c r="DO821" s="36"/>
      <c r="DP821" s="36"/>
      <c r="DQ821" s="36"/>
      <c r="DR821" s="36"/>
      <c r="DS821" s="36"/>
    </row>
    <row r="822" spans="1:123" ht="14.45">
      <c r="A822"/>
      <c r="B822"/>
      <c r="C822"/>
      <c r="D822"/>
      <c r="E822"/>
      <c r="F822"/>
      <c r="G822"/>
      <c r="H822"/>
      <c r="I822"/>
      <c r="J822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/>
      <c r="BQ822" s="36"/>
      <c r="BR822" s="36"/>
      <c r="BS822" s="36"/>
      <c r="BT822" s="36"/>
      <c r="BU822" s="36"/>
      <c r="BV822" s="36"/>
      <c r="BW822" s="36"/>
      <c r="BX822" s="36"/>
      <c r="BY822" s="36"/>
      <c r="BZ822" s="36"/>
      <c r="CA822" s="36"/>
      <c r="CB822" s="36"/>
      <c r="CC822" s="36"/>
      <c r="CD822" s="36"/>
      <c r="CE822" s="36"/>
      <c r="CF822" s="36"/>
      <c r="CG822" s="36"/>
      <c r="CH822" s="36"/>
      <c r="CI822" s="36"/>
      <c r="CJ822" s="36"/>
      <c r="CK822" s="36"/>
      <c r="CL822" s="36"/>
      <c r="CM822" s="36"/>
      <c r="CN822" s="36"/>
      <c r="CO822" s="36"/>
      <c r="CP822" s="36"/>
      <c r="CQ822" s="36"/>
      <c r="CR822" s="36"/>
      <c r="CS822" s="36"/>
      <c r="CT822" s="36"/>
      <c r="CU822" s="36"/>
      <c r="CV822" s="36"/>
      <c r="CW822" s="36"/>
      <c r="CX822" s="36"/>
      <c r="CY822" s="36"/>
      <c r="CZ822" s="36"/>
      <c r="DA822" s="36"/>
      <c r="DB822" s="36"/>
      <c r="DC822" s="36"/>
      <c r="DD822" s="36"/>
      <c r="DE822" s="36"/>
      <c r="DF822" s="36"/>
      <c r="DG822" s="36"/>
      <c r="DH822" s="36"/>
      <c r="DI822" s="36"/>
      <c r="DJ822" s="36"/>
      <c r="DK822" s="36"/>
      <c r="DL822" s="36"/>
      <c r="DM822" s="36"/>
      <c r="DN822" s="36"/>
      <c r="DO822" s="36"/>
      <c r="DP822" s="36"/>
      <c r="DQ822" s="36"/>
      <c r="DR822" s="36"/>
      <c r="DS822" s="36"/>
    </row>
    <row r="823" spans="1:123" ht="14.45">
      <c r="A823"/>
      <c r="B823"/>
      <c r="C823"/>
      <c r="D823"/>
      <c r="E823"/>
      <c r="F823"/>
      <c r="G823"/>
      <c r="H823"/>
      <c r="I823"/>
      <c r="J823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  <c r="BR823" s="36"/>
      <c r="BS823" s="36"/>
      <c r="BT823" s="36"/>
      <c r="BU823" s="36"/>
      <c r="BV823" s="36"/>
      <c r="BW823" s="36"/>
      <c r="BX823" s="36"/>
      <c r="BY823" s="36"/>
      <c r="BZ823" s="36"/>
      <c r="CA823" s="36"/>
      <c r="CB823" s="36"/>
      <c r="CC823" s="36"/>
      <c r="CD823" s="36"/>
      <c r="CE823" s="36"/>
      <c r="CF823" s="36"/>
      <c r="CG823" s="36"/>
      <c r="CH823" s="36"/>
      <c r="CI823" s="36"/>
      <c r="CJ823" s="36"/>
      <c r="CK823" s="36"/>
      <c r="CL823" s="36"/>
      <c r="CM823" s="36"/>
      <c r="CN823" s="36"/>
      <c r="CO823" s="36"/>
      <c r="CP823" s="36"/>
      <c r="CQ823" s="36"/>
      <c r="CR823" s="36"/>
      <c r="CS823" s="36"/>
      <c r="CT823" s="36"/>
      <c r="CU823" s="36"/>
      <c r="CV823" s="36"/>
      <c r="CW823" s="36"/>
      <c r="CX823" s="36"/>
      <c r="CY823" s="36"/>
      <c r="CZ823" s="36"/>
      <c r="DA823" s="36"/>
      <c r="DB823" s="36"/>
      <c r="DC823" s="36"/>
      <c r="DD823" s="36"/>
      <c r="DE823" s="36"/>
      <c r="DF823" s="36"/>
      <c r="DG823" s="36"/>
      <c r="DH823" s="36"/>
      <c r="DI823" s="36"/>
      <c r="DJ823" s="36"/>
      <c r="DK823" s="36"/>
      <c r="DL823" s="36"/>
      <c r="DM823" s="36"/>
      <c r="DN823" s="36"/>
      <c r="DO823" s="36"/>
      <c r="DP823" s="36"/>
      <c r="DQ823" s="36"/>
      <c r="DR823" s="36"/>
      <c r="DS823" s="36"/>
    </row>
    <row r="824" spans="1:123" ht="14.45">
      <c r="A824"/>
      <c r="B824"/>
      <c r="C824"/>
      <c r="D824"/>
      <c r="E824"/>
      <c r="F824"/>
      <c r="G824"/>
      <c r="H824"/>
      <c r="I824"/>
      <c r="J824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  <c r="BP824" s="36"/>
      <c r="BQ824" s="36"/>
      <c r="BR824" s="36"/>
      <c r="BS824" s="36"/>
      <c r="BT824" s="36"/>
      <c r="BU824" s="36"/>
      <c r="BV824" s="36"/>
      <c r="BW824" s="36"/>
      <c r="BX824" s="36"/>
      <c r="BY824" s="36"/>
      <c r="BZ824" s="36"/>
      <c r="CA824" s="36"/>
      <c r="CB824" s="36"/>
      <c r="CC824" s="36"/>
      <c r="CD824" s="36"/>
      <c r="CE824" s="36"/>
      <c r="CF824" s="36"/>
      <c r="CG824" s="36"/>
      <c r="CH824" s="36"/>
      <c r="CI824" s="36"/>
      <c r="CJ824" s="36"/>
      <c r="CK824" s="36"/>
      <c r="CL824" s="36"/>
      <c r="CM824" s="36"/>
      <c r="CN824" s="36"/>
      <c r="CO824" s="36"/>
      <c r="CP824" s="36"/>
      <c r="CQ824" s="36"/>
      <c r="CR824" s="36"/>
      <c r="CS824" s="36"/>
      <c r="CT824" s="36"/>
      <c r="CU824" s="36"/>
      <c r="CV824" s="36"/>
      <c r="CW824" s="36"/>
      <c r="CX824" s="36"/>
      <c r="CY824" s="36"/>
      <c r="CZ824" s="36"/>
      <c r="DA824" s="36"/>
      <c r="DB824" s="36"/>
      <c r="DC824" s="36"/>
      <c r="DD824" s="36"/>
      <c r="DE824" s="36"/>
      <c r="DF824" s="36"/>
      <c r="DG824" s="36"/>
      <c r="DH824" s="36"/>
      <c r="DI824" s="36"/>
      <c r="DJ824" s="36"/>
      <c r="DK824" s="36"/>
      <c r="DL824" s="36"/>
      <c r="DM824" s="36"/>
      <c r="DN824" s="36"/>
      <c r="DO824" s="36"/>
      <c r="DP824" s="36"/>
      <c r="DQ824" s="36"/>
      <c r="DR824" s="36"/>
      <c r="DS824" s="36"/>
    </row>
    <row r="825" spans="1:123" ht="14.45">
      <c r="A825"/>
      <c r="B825"/>
      <c r="C825"/>
      <c r="D825"/>
      <c r="E825"/>
      <c r="F825"/>
      <c r="G825"/>
      <c r="H825"/>
      <c r="I825"/>
      <c r="J825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  <c r="BP825" s="36"/>
      <c r="BQ825" s="36"/>
      <c r="BR825" s="36"/>
      <c r="BS825" s="36"/>
      <c r="BT825" s="36"/>
      <c r="BU825" s="36"/>
      <c r="BV825" s="36"/>
      <c r="BW825" s="36"/>
      <c r="BX825" s="36"/>
      <c r="BY825" s="36"/>
      <c r="BZ825" s="36"/>
      <c r="CA825" s="36"/>
      <c r="CB825" s="36"/>
      <c r="CC825" s="36"/>
      <c r="CD825" s="36"/>
      <c r="CE825" s="36"/>
      <c r="CF825" s="36"/>
      <c r="CG825" s="36"/>
      <c r="CH825" s="36"/>
      <c r="CI825" s="36"/>
      <c r="CJ825" s="36"/>
      <c r="CK825" s="36"/>
      <c r="CL825" s="36"/>
      <c r="CM825" s="36"/>
      <c r="CN825" s="36"/>
      <c r="CO825" s="36"/>
      <c r="CP825" s="36"/>
      <c r="CQ825" s="36"/>
      <c r="CR825" s="36"/>
      <c r="CS825" s="36"/>
      <c r="CT825" s="36"/>
      <c r="CU825" s="36"/>
      <c r="CV825" s="36"/>
      <c r="CW825" s="36"/>
      <c r="CX825" s="36"/>
      <c r="CY825" s="36"/>
      <c r="CZ825" s="36"/>
      <c r="DA825" s="36"/>
      <c r="DB825" s="36"/>
      <c r="DC825" s="36"/>
      <c r="DD825" s="36"/>
      <c r="DE825" s="36"/>
      <c r="DF825" s="36"/>
      <c r="DG825" s="36"/>
      <c r="DH825" s="36"/>
      <c r="DI825" s="36"/>
      <c r="DJ825" s="36"/>
      <c r="DK825" s="36"/>
      <c r="DL825" s="36"/>
      <c r="DM825" s="36"/>
      <c r="DN825" s="36"/>
      <c r="DO825" s="36"/>
      <c r="DP825" s="36"/>
      <c r="DQ825" s="36"/>
      <c r="DR825" s="36"/>
      <c r="DS825" s="36"/>
    </row>
    <row r="826" spans="1:123" ht="14.45">
      <c r="A826"/>
      <c r="B826"/>
      <c r="C826"/>
      <c r="D826"/>
      <c r="E826"/>
      <c r="F826"/>
      <c r="G826"/>
      <c r="H826"/>
      <c r="I826"/>
      <c r="J82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  <c r="BR826" s="36"/>
      <c r="BS826" s="36"/>
      <c r="BT826" s="36"/>
      <c r="BU826" s="36"/>
      <c r="BV826" s="36"/>
      <c r="BW826" s="36"/>
      <c r="BX826" s="36"/>
      <c r="BY826" s="36"/>
      <c r="BZ826" s="36"/>
      <c r="CA826" s="36"/>
      <c r="CB826" s="36"/>
      <c r="CC826" s="36"/>
      <c r="CD826" s="36"/>
      <c r="CE826" s="36"/>
      <c r="CF826" s="36"/>
      <c r="CG826" s="36"/>
      <c r="CH826" s="36"/>
      <c r="CI826" s="36"/>
      <c r="CJ826" s="36"/>
      <c r="CK826" s="36"/>
      <c r="CL826" s="36"/>
      <c r="CM826" s="36"/>
      <c r="CN826" s="36"/>
      <c r="CO826" s="36"/>
      <c r="CP826" s="36"/>
      <c r="CQ826" s="36"/>
      <c r="CR826" s="36"/>
      <c r="CS826" s="36"/>
      <c r="CT826" s="36"/>
      <c r="CU826" s="36"/>
      <c r="CV826" s="36"/>
      <c r="CW826" s="36"/>
      <c r="CX826" s="36"/>
      <c r="CY826" s="36"/>
      <c r="CZ826" s="36"/>
      <c r="DA826" s="36"/>
      <c r="DB826" s="36"/>
      <c r="DC826" s="36"/>
      <c r="DD826" s="36"/>
      <c r="DE826" s="36"/>
      <c r="DF826" s="36"/>
      <c r="DG826" s="36"/>
      <c r="DH826" s="36"/>
      <c r="DI826" s="36"/>
      <c r="DJ826" s="36"/>
      <c r="DK826" s="36"/>
      <c r="DL826" s="36"/>
      <c r="DM826" s="36"/>
      <c r="DN826" s="36"/>
      <c r="DO826" s="36"/>
      <c r="DP826" s="36"/>
      <c r="DQ826" s="36"/>
      <c r="DR826" s="36"/>
      <c r="DS826" s="36"/>
    </row>
    <row r="827" spans="1:123" ht="14.45">
      <c r="A827"/>
      <c r="B827"/>
      <c r="C827"/>
      <c r="D827"/>
      <c r="E827"/>
      <c r="F827"/>
      <c r="G827"/>
      <c r="H827"/>
      <c r="I827"/>
      <c r="J827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  <c r="BR827" s="36"/>
      <c r="BS827" s="36"/>
      <c r="BT827" s="36"/>
      <c r="BU827" s="36"/>
      <c r="BV827" s="36"/>
      <c r="BW827" s="36"/>
      <c r="BX827" s="36"/>
      <c r="BY827" s="36"/>
      <c r="BZ827" s="36"/>
      <c r="CA827" s="36"/>
      <c r="CB827" s="36"/>
      <c r="CC827" s="36"/>
      <c r="CD827" s="36"/>
      <c r="CE827" s="36"/>
      <c r="CF827" s="36"/>
      <c r="CG827" s="36"/>
      <c r="CH827" s="36"/>
      <c r="CI827" s="36"/>
      <c r="CJ827" s="36"/>
      <c r="CK827" s="36"/>
      <c r="CL827" s="36"/>
      <c r="CM827" s="36"/>
      <c r="CN827" s="36"/>
      <c r="CO827" s="36"/>
      <c r="CP827" s="36"/>
      <c r="CQ827" s="36"/>
      <c r="CR827" s="36"/>
      <c r="CS827" s="36"/>
      <c r="CT827" s="36"/>
      <c r="CU827" s="36"/>
      <c r="CV827" s="36"/>
      <c r="CW827" s="36"/>
      <c r="CX827" s="36"/>
      <c r="CY827" s="36"/>
      <c r="CZ827" s="36"/>
      <c r="DA827" s="36"/>
      <c r="DB827" s="36"/>
      <c r="DC827" s="36"/>
      <c r="DD827" s="36"/>
      <c r="DE827" s="36"/>
      <c r="DF827" s="36"/>
      <c r="DG827" s="36"/>
      <c r="DH827" s="36"/>
      <c r="DI827" s="36"/>
      <c r="DJ827" s="36"/>
      <c r="DK827" s="36"/>
      <c r="DL827" s="36"/>
      <c r="DM827" s="36"/>
      <c r="DN827" s="36"/>
      <c r="DO827" s="36"/>
      <c r="DP827" s="36"/>
      <c r="DQ827" s="36"/>
      <c r="DR827" s="36"/>
      <c r="DS827" s="36"/>
    </row>
    <row r="828" spans="1:123" ht="14.45">
      <c r="A828"/>
      <c r="B828"/>
      <c r="C828"/>
      <c r="D828"/>
      <c r="E828"/>
      <c r="F828"/>
      <c r="G828"/>
      <c r="H828"/>
      <c r="I828"/>
      <c r="J828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  <c r="BR828" s="36"/>
      <c r="BS828" s="36"/>
      <c r="BT828" s="36"/>
      <c r="BU828" s="36"/>
      <c r="BV828" s="36"/>
      <c r="BW828" s="36"/>
      <c r="BX828" s="36"/>
      <c r="BY828" s="36"/>
      <c r="BZ828" s="36"/>
      <c r="CA828" s="36"/>
      <c r="CB828" s="36"/>
      <c r="CC828" s="36"/>
      <c r="CD828" s="36"/>
      <c r="CE828" s="36"/>
      <c r="CF828" s="36"/>
      <c r="CG828" s="36"/>
      <c r="CH828" s="36"/>
      <c r="CI828" s="36"/>
      <c r="CJ828" s="36"/>
      <c r="CK828" s="36"/>
      <c r="CL828" s="36"/>
      <c r="CM828" s="36"/>
      <c r="CN828" s="36"/>
      <c r="CO828" s="36"/>
      <c r="CP828" s="36"/>
      <c r="CQ828" s="36"/>
      <c r="CR828" s="36"/>
      <c r="CS828" s="36"/>
      <c r="CT828" s="36"/>
      <c r="CU828" s="36"/>
      <c r="CV828" s="36"/>
      <c r="CW828" s="36"/>
      <c r="CX828" s="36"/>
      <c r="CY828" s="36"/>
      <c r="CZ828" s="36"/>
      <c r="DA828" s="36"/>
      <c r="DB828" s="36"/>
      <c r="DC828" s="36"/>
      <c r="DD828" s="36"/>
      <c r="DE828" s="36"/>
      <c r="DF828" s="36"/>
      <c r="DG828" s="36"/>
      <c r="DH828" s="36"/>
      <c r="DI828" s="36"/>
      <c r="DJ828" s="36"/>
      <c r="DK828" s="36"/>
      <c r="DL828" s="36"/>
      <c r="DM828" s="36"/>
      <c r="DN828" s="36"/>
      <c r="DO828" s="36"/>
      <c r="DP828" s="36"/>
      <c r="DQ828" s="36"/>
      <c r="DR828" s="36"/>
      <c r="DS828" s="36"/>
    </row>
    <row r="829" spans="1:123" ht="14.45">
      <c r="A829"/>
      <c r="B829"/>
      <c r="C829"/>
      <c r="D829"/>
      <c r="E829"/>
      <c r="F829"/>
      <c r="G829"/>
      <c r="H829"/>
      <c r="I829"/>
      <c r="J829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  <c r="BR829" s="36"/>
      <c r="BS829" s="36"/>
      <c r="BT829" s="36"/>
      <c r="BU829" s="36"/>
      <c r="BV829" s="36"/>
      <c r="BW829" s="36"/>
      <c r="BX829" s="36"/>
      <c r="BY829" s="36"/>
      <c r="BZ829" s="36"/>
      <c r="CA829" s="36"/>
      <c r="CB829" s="36"/>
      <c r="CC829" s="36"/>
      <c r="CD829" s="36"/>
      <c r="CE829" s="36"/>
      <c r="CF829" s="36"/>
      <c r="CG829" s="36"/>
      <c r="CH829" s="36"/>
      <c r="CI829" s="36"/>
      <c r="CJ829" s="36"/>
      <c r="CK829" s="36"/>
      <c r="CL829" s="36"/>
      <c r="CM829" s="36"/>
      <c r="CN829" s="36"/>
      <c r="CO829" s="36"/>
      <c r="CP829" s="36"/>
      <c r="CQ829" s="36"/>
      <c r="CR829" s="36"/>
      <c r="CS829" s="36"/>
      <c r="CT829" s="36"/>
      <c r="CU829" s="36"/>
      <c r="CV829" s="36"/>
      <c r="CW829" s="36"/>
      <c r="CX829" s="36"/>
      <c r="CY829" s="36"/>
      <c r="CZ829" s="36"/>
      <c r="DA829" s="36"/>
      <c r="DB829" s="36"/>
      <c r="DC829" s="36"/>
      <c r="DD829" s="36"/>
      <c r="DE829" s="36"/>
      <c r="DF829" s="36"/>
      <c r="DG829" s="36"/>
      <c r="DH829" s="36"/>
      <c r="DI829" s="36"/>
      <c r="DJ829" s="36"/>
      <c r="DK829" s="36"/>
      <c r="DL829" s="36"/>
      <c r="DM829" s="36"/>
      <c r="DN829" s="36"/>
      <c r="DO829" s="36"/>
      <c r="DP829" s="36"/>
      <c r="DQ829" s="36"/>
      <c r="DR829" s="36"/>
      <c r="DS829" s="36"/>
    </row>
    <row r="830" spans="1:123" ht="14.45">
      <c r="A830"/>
      <c r="B830"/>
      <c r="C830"/>
      <c r="D830"/>
      <c r="E830"/>
      <c r="F830"/>
      <c r="G830"/>
      <c r="H830"/>
      <c r="I830"/>
      <c r="J830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  <c r="BR830" s="36"/>
      <c r="BS830" s="36"/>
      <c r="BT830" s="36"/>
      <c r="BU830" s="36"/>
      <c r="BV830" s="36"/>
      <c r="BW830" s="36"/>
      <c r="BX830" s="36"/>
      <c r="BY830" s="36"/>
      <c r="BZ830" s="36"/>
      <c r="CA830" s="36"/>
      <c r="CB830" s="36"/>
      <c r="CC830" s="36"/>
      <c r="CD830" s="36"/>
      <c r="CE830" s="36"/>
      <c r="CF830" s="36"/>
      <c r="CG830" s="36"/>
      <c r="CH830" s="36"/>
      <c r="CI830" s="36"/>
      <c r="CJ830" s="36"/>
      <c r="CK830" s="36"/>
      <c r="CL830" s="36"/>
      <c r="CM830" s="36"/>
      <c r="CN830" s="36"/>
      <c r="CO830" s="36"/>
      <c r="CP830" s="36"/>
      <c r="CQ830" s="36"/>
      <c r="CR830" s="36"/>
      <c r="CS830" s="36"/>
      <c r="CT830" s="36"/>
      <c r="CU830" s="36"/>
      <c r="CV830" s="36"/>
      <c r="CW830" s="36"/>
      <c r="CX830" s="36"/>
      <c r="CY830" s="36"/>
      <c r="CZ830" s="36"/>
      <c r="DA830" s="36"/>
      <c r="DB830" s="36"/>
      <c r="DC830" s="36"/>
      <c r="DD830" s="36"/>
      <c r="DE830" s="36"/>
      <c r="DF830" s="36"/>
      <c r="DG830" s="36"/>
      <c r="DH830" s="36"/>
      <c r="DI830" s="36"/>
      <c r="DJ830" s="36"/>
      <c r="DK830" s="36"/>
      <c r="DL830" s="36"/>
      <c r="DM830" s="36"/>
      <c r="DN830" s="36"/>
      <c r="DO830" s="36"/>
      <c r="DP830" s="36"/>
      <c r="DQ830" s="36"/>
      <c r="DR830" s="36"/>
      <c r="DS830" s="36"/>
    </row>
    <row r="831" spans="1:123" ht="14.45">
      <c r="A831"/>
      <c r="B831"/>
      <c r="C831"/>
      <c r="D831"/>
      <c r="E831"/>
      <c r="F831"/>
      <c r="G831"/>
      <c r="H831"/>
      <c r="I831"/>
      <c r="J831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  <c r="BR831" s="36"/>
      <c r="BS831" s="36"/>
      <c r="BT831" s="36"/>
      <c r="BU831" s="36"/>
      <c r="BV831" s="36"/>
      <c r="BW831" s="36"/>
      <c r="BX831" s="36"/>
      <c r="BY831" s="36"/>
      <c r="BZ831" s="36"/>
      <c r="CA831" s="36"/>
      <c r="CB831" s="36"/>
      <c r="CC831" s="36"/>
      <c r="CD831" s="36"/>
      <c r="CE831" s="36"/>
      <c r="CF831" s="36"/>
      <c r="CG831" s="36"/>
      <c r="CH831" s="36"/>
      <c r="CI831" s="36"/>
      <c r="CJ831" s="36"/>
      <c r="CK831" s="36"/>
      <c r="CL831" s="36"/>
      <c r="CM831" s="36"/>
      <c r="CN831" s="36"/>
      <c r="CO831" s="36"/>
      <c r="CP831" s="36"/>
      <c r="CQ831" s="36"/>
      <c r="CR831" s="36"/>
      <c r="CS831" s="36"/>
      <c r="CT831" s="36"/>
      <c r="CU831" s="36"/>
      <c r="CV831" s="36"/>
      <c r="CW831" s="36"/>
      <c r="CX831" s="36"/>
      <c r="CY831" s="36"/>
      <c r="CZ831" s="36"/>
      <c r="DA831" s="36"/>
      <c r="DB831" s="36"/>
      <c r="DC831" s="36"/>
      <c r="DD831" s="36"/>
      <c r="DE831" s="36"/>
      <c r="DF831" s="36"/>
      <c r="DG831" s="36"/>
      <c r="DH831" s="36"/>
      <c r="DI831" s="36"/>
      <c r="DJ831" s="36"/>
      <c r="DK831" s="36"/>
      <c r="DL831" s="36"/>
      <c r="DM831" s="36"/>
      <c r="DN831" s="36"/>
      <c r="DO831" s="36"/>
      <c r="DP831" s="36"/>
      <c r="DQ831" s="36"/>
      <c r="DR831" s="36"/>
      <c r="DS831" s="36"/>
    </row>
    <row r="832" spans="1:123" ht="14.45">
      <c r="A832"/>
      <c r="B832"/>
      <c r="C832"/>
      <c r="D832"/>
      <c r="E832"/>
      <c r="F832"/>
      <c r="G832"/>
      <c r="H832"/>
      <c r="I832"/>
      <c r="J832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6"/>
      <c r="CA832" s="36"/>
      <c r="CB832" s="36"/>
      <c r="CC832" s="36"/>
      <c r="CD832" s="36"/>
      <c r="CE832" s="36"/>
      <c r="CF832" s="36"/>
      <c r="CG832" s="36"/>
      <c r="CH832" s="36"/>
      <c r="CI832" s="36"/>
      <c r="CJ832" s="36"/>
      <c r="CK832" s="36"/>
      <c r="CL832" s="36"/>
      <c r="CM832" s="36"/>
      <c r="CN832" s="36"/>
      <c r="CO832" s="36"/>
      <c r="CP832" s="36"/>
      <c r="CQ832" s="36"/>
      <c r="CR832" s="36"/>
      <c r="CS832" s="36"/>
      <c r="CT832" s="36"/>
      <c r="CU832" s="36"/>
      <c r="CV832" s="36"/>
      <c r="CW832" s="36"/>
      <c r="CX832" s="36"/>
      <c r="CY832" s="36"/>
      <c r="CZ832" s="36"/>
      <c r="DA832" s="36"/>
      <c r="DB832" s="36"/>
      <c r="DC832" s="36"/>
      <c r="DD832" s="36"/>
      <c r="DE832" s="36"/>
      <c r="DF832" s="36"/>
      <c r="DG832" s="36"/>
      <c r="DH832" s="36"/>
      <c r="DI832" s="36"/>
      <c r="DJ832" s="36"/>
      <c r="DK832" s="36"/>
      <c r="DL832" s="36"/>
      <c r="DM832" s="36"/>
      <c r="DN832" s="36"/>
      <c r="DO832" s="36"/>
      <c r="DP832" s="36"/>
      <c r="DQ832" s="36"/>
      <c r="DR832" s="36"/>
      <c r="DS832" s="36"/>
    </row>
    <row r="833" spans="1:123" ht="14.45">
      <c r="A833"/>
      <c r="B833"/>
      <c r="C833"/>
      <c r="D833"/>
      <c r="E833"/>
      <c r="F833"/>
      <c r="G833"/>
      <c r="H833"/>
      <c r="I833"/>
      <c r="J833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  <c r="BR833" s="36"/>
      <c r="BS833" s="36"/>
      <c r="BT833" s="36"/>
      <c r="BU833" s="36"/>
      <c r="BV833" s="36"/>
      <c r="BW833" s="36"/>
      <c r="BX833" s="36"/>
      <c r="BY833" s="36"/>
      <c r="BZ833" s="36"/>
      <c r="CA833" s="36"/>
      <c r="CB833" s="36"/>
      <c r="CC833" s="36"/>
      <c r="CD833" s="36"/>
      <c r="CE833" s="36"/>
      <c r="CF833" s="36"/>
      <c r="CG833" s="36"/>
      <c r="CH833" s="36"/>
      <c r="CI833" s="36"/>
      <c r="CJ833" s="36"/>
      <c r="CK833" s="36"/>
      <c r="CL833" s="36"/>
      <c r="CM833" s="36"/>
      <c r="CN833" s="36"/>
      <c r="CO833" s="36"/>
      <c r="CP833" s="36"/>
      <c r="CQ833" s="36"/>
      <c r="CR833" s="36"/>
      <c r="CS833" s="36"/>
      <c r="CT833" s="36"/>
      <c r="CU833" s="36"/>
      <c r="CV833" s="36"/>
      <c r="CW833" s="36"/>
      <c r="CX833" s="36"/>
      <c r="CY833" s="36"/>
      <c r="CZ833" s="36"/>
      <c r="DA833" s="36"/>
      <c r="DB833" s="36"/>
      <c r="DC833" s="36"/>
      <c r="DD833" s="36"/>
      <c r="DE833" s="36"/>
      <c r="DF833" s="36"/>
      <c r="DG833" s="36"/>
      <c r="DH833" s="36"/>
      <c r="DI833" s="36"/>
      <c r="DJ833" s="36"/>
      <c r="DK833" s="36"/>
      <c r="DL833" s="36"/>
      <c r="DM833" s="36"/>
      <c r="DN833" s="36"/>
      <c r="DO833" s="36"/>
      <c r="DP833" s="36"/>
      <c r="DQ833" s="36"/>
      <c r="DR833" s="36"/>
      <c r="DS833" s="36"/>
    </row>
    <row r="834" spans="1:123" ht="14.45">
      <c r="A834"/>
      <c r="B834"/>
      <c r="C834"/>
      <c r="D834"/>
      <c r="E834"/>
      <c r="F834"/>
      <c r="G834"/>
      <c r="H834"/>
      <c r="I834"/>
      <c r="J834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  <c r="BR834" s="36"/>
      <c r="BS834" s="36"/>
      <c r="BT834" s="36"/>
      <c r="BU834" s="36"/>
      <c r="BV834" s="36"/>
      <c r="BW834" s="36"/>
      <c r="BX834" s="36"/>
      <c r="BY834" s="36"/>
      <c r="BZ834" s="36"/>
      <c r="CA834" s="36"/>
      <c r="CB834" s="36"/>
      <c r="CC834" s="36"/>
      <c r="CD834" s="36"/>
      <c r="CE834" s="36"/>
      <c r="CF834" s="36"/>
      <c r="CG834" s="36"/>
      <c r="CH834" s="36"/>
      <c r="CI834" s="36"/>
      <c r="CJ834" s="36"/>
      <c r="CK834" s="36"/>
      <c r="CL834" s="36"/>
      <c r="CM834" s="36"/>
      <c r="CN834" s="36"/>
      <c r="CO834" s="36"/>
      <c r="CP834" s="36"/>
      <c r="CQ834" s="36"/>
      <c r="CR834" s="36"/>
      <c r="CS834" s="36"/>
      <c r="CT834" s="36"/>
      <c r="CU834" s="36"/>
      <c r="CV834" s="36"/>
      <c r="CW834" s="36"/>
      <c r="CX834" s="36"/>
      <c r="CY834" s="36"/>
      <c r="CZ834" s="36"/>
      <c r="DA834" s="36"/>
      <c r="DB834" s="36"/>
      <c r="DC834" s="36"/>
      <c r="DD834" s="36"/>
      <c r="DE834" s="36"/>
      <c r="DF834" s="36"/>
      <c r="DG834" s="36"/>
      <c r="DH834" s="36"/>
      <c r="DI834" s="36"/>
      <c r="DJ834" s="36"/>
      <c r="DK834" s="36"/>
      <c r="DL834" s="36"/>
      <c r="DM834" s="36"/>
      <c r="DN834" s="36"/>
      <c r="DO834" s="36"/>
      <c r="DP834" s="36"/>
      <c r="DQ834" s="36"/>
      <c r="DR834" s="36"/>
      <c r="DS834" s="36"/>
    </row>
    <row r="835" spans="1:123" ht="14.45">
      <c r="A835"/>
      <c r="B835"/>
      <c r="C835"/>
      <c r="D835"/>
      <c r="E835"/>
      <c r="F835"/>
      <c r="G835"/>
      <c r="H835"/>
      <c r="I835"/>
      <c r="J835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  <c r="BR835" s="36"/>
      <c r="BS835" s="36"/>
      <c r="BT835" s="36"/>
      <c r="BU835" s="36"/>
      <c r="BV835" s="36"/>
      <c r="BW835" s="36"/>
      <c r="BX835" s="36"/>
      <c r="BY835" s="36"/>
      <c r="BZ835" s="36"/>
      <c r="CA835" s="36"/>
      <c r="CB835" s="36"/>
      <c r="CC835" s="36"/>
      <c r="CD835" s="36"/>
      <c r="CE835" s="36"/>
      <c r="CF835" s="36"/>
      <c r="CG835" s="36"/>
      <c r="CH835" s="36"/>
      <c r="CI835" s="36"/>
      <c r="CJ835" s="36"/>
      <c r="CK835" s="36"/>
      <c r="CL835" s="36"/>
      <c r="CM835" s="36"/>
      <c r="CN835" s="36"/>
      <c r="CO835" s="36"/>
      <c r="CP835" s="36"/>
      <c r="CQ835" s="36"/>
      <c r="CR835" s="36"/>
      <c r="CS835" s="36"/>
      <c r="CT835" s="36"/>
      <c r="CU835" s="36"/>
      <c r="CV835" s="36"/>
      <c r="CW835" s="36"/>
      <c r="CX835" s="36"/>
      <c r="CY835" s="36"/>
      <c r="CZ835" s="36"/>
      <c r="DA835" s="36"/>
      <c r="DB835" s="36"/>
      <c r="DC835" s="36"/>
      <c r="DD835" s="36"/>
      <c r="DE835" s="36"/>
      <c r="DF835" s="36"/>
      <c r="DG835" s="36"/>
      <c r="DH835" s="36"/>
      <c r="DI835" s="36"/>
      <c r="DJ835" s="36"/>
      <c r="DK835" s="36"/>
      <c r="DL835" s="36"/>
      <c r="DM835" s="36"/>
      <c r="DN835" s="36"/>
      <c r="DO835" s="36"/>
      <c r="DP835" s="36"/>
      <c r="DQ835" s="36"/>
      <c r="DR835" s="36"/>
      <c r="DS835" s="36"/>
    </row>
    <row r="836" spans="1:123" ht="14.45">
      <c r="A836"/>
      <c r="B836"/>
      <c r="C836"/>
      <c r="D836"/>
      <c r="E836"/>
      <c r="F836"/>
      <c r="G836"/>
      <c r="H836"/>
      <c r="I836"/>
      <c r="J8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  <c r="BR836" s="36"/>
      <c r="BS836" s="36"/>
      <c r="BT836" s="36"/>
      <c r="BU836" s="36"/>
      <c r="BV836" s="36"/>
      <c r="BW836" s="36"/>
      <c r="BX836" s="36"/>
      <c r="BY836" s="36"/>
      <c r="BZ836" s="36"/>
      <c r="CA836" s="36"/>
      <c r="CB836" s="36"/>
      <c r="CC836" s="36"/>
      <c r="CD836" s="36"/>
      <c r="CE836" s="36"/>
      <c r="CF836" s="36"/>
      <c r="CG836" s="36"/>
      <c r="CH836" s="36"/>
      <c r="CI836" s="36"/>
      <c r="CJ836" s="36"/>
      <c r="CK836" s="36"/>
      <c r="CL836" s="36"/>
      <c r="CM836" s="36"/>
      <c r="CN836" s="36"/>
      <c r="CO836" s="36"/>
      <c r="CP836" s="36"/>
      <c r="CQ836" s="36"/>
      <c r="CR836" s="36"/>
      <c r="CS836" s="36"/>
      <c r="CT836" s="36"/>
      <c r="CU836" s="36"/>
      <c r="CV836" s="36"/>
      <c r="CW836" s="36"/>
      <c r="CX836" s="36"/>
      <c r="CY836" s="36"/>
      <c r="CZ836" s="36"/>
      <c r="DA836" s="36"/>
      <c r="DB836" s="36"/>
      <c r="DC836" s="36"/>
      <c r="DD836" s="36"/>
      <c r="DE836" s="36"/>
      <c r="DF836" s="36"/>
      <c r="DG836" s="36"/>
      <c r="DH836" s="36"/>
      <c r="DI836" s="36"/>
      <c r="DJ836" s="36"/>
      <c r="DK836" s="36"/>
      <c r="DL836" s="36"/>
      <c r="DM836" s="36"/>
      <c r="DN836" s="36"/>
      <c r="DO836" s="36"/>
      <c r="DP836" s="36"/>
      <c r="DQ836" s="36"/>
      <c r="DR836" s="36"/>
      <c r="DS836" s="36"/>
    </row>
    <row r="837" spans="1:123" ht="14.45">
      <c r="A837"/>
      <c r="B837"/>
      <c r="C837"/>
      <c r="D837"/>
      <c r="E837"/>
      <c r="F837"/>
      <c r="G837"/>
      <c r="H837"/>
      <c r="I837"/>
      <c r="J837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  <c r="BR837" s="36"/>
      <c r="BS837" s="36"/>
      <c r="BT837" s="36"/>
      <c r="BU837" s="36"/>
      <c r="BV837" s="36"/>
      <c r="BW837" s="36"/>
      <c r="BX837" s="36"/>
      <c r="BY837" s="36"/>
      <c r="BZ837" s="36"/>
      <c r="CA837" s="36"/>
      <c r="CB837" s="36"/>
      <c r="CC837" s="36"/>
      <c r="CD837" s="36"/>
      <c r="CE837" s="36"/>
      <c r="CF837" s="36"/>
      <c r="CG837" s="36"/>
      <c r="CH837" s="36"/>
      <c r="CI837" s="36"/>
      <c r="CJ837" s="36"/>
      <c r="CK837" s="36"/>
      <c r="CL837" s="36"/>
      <c r="CM837" s="36"/>
      <c r="CN837" s="36"/>
      <c r="CO837" s="36"/>
      <c r="CP837" s="36"/>
      <c r="CQ837" s="36"/>
      <c r="CR837" s="36"/>
      <c r="CS837" s="36"/>
      <c r="CT837" s="36"/>
      <c r="CU837" s="36"/>
      <c r="CV837" s="36"/>
      <c r="CW837" s="36"/>
      <c r="CX837" s="36"/>
      <c r="CY837" s="36"/>
      <c r="CZ837" s="36"/>
      <c r="DA837" s="36"/>
      <c r="DB837" s="36"/>
      <c r="DC837" s="36"/>
      <c r="DD837" s="36"/>
      <c r="DE837" s="36"/>
      <c r="DF837" s="36"/>
      <c r="DG837" s="36"/>
      <c r="DH837" s="36"/>
      <c r="DI837" s="36"/>
      <c r="DJ837" s="36"/>
      <c r="DK837" s="36"/>
      <c r="DL837" s="36"/>
      <c r="DM837" s="36"/>
      <c r="DN837" s="36"/>
      <c r="DO837" s="36"/>
      <c r="DP837" s="36"/>
      <c r="DQ837" s="36"/>
      <c r="DR837" s="36"/>
      <c r="DS837" s="36"/>
    </row>
    <row r="838" spans="1:123" ht="14.45">
      <c r="A838"/>
      <c r="B838"/>
      <c r="C838"/>
      <c r="D838"/>
      <c r="E838"/>
      <c r="F838"/>
      <c r="G838"/>
      <c r="H838"/>
      <c r="I838"/>
      <c r="J838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  <c r="BR838" s="36"/>
      <c r="BS838" s="36"/>
      <c r="BT838" s="36"/>
      <c r="BU838" s="36"/>
      <c r="BV838" s="36"/>
      <c r="BW838" s="36"/>
      <c r="BX838" s="36"/>
      <c r="BY838" s="36"/>
      <c r="BZ838" s="36"/>
      <c r="CA838" s="36"/>
      <c r="CB838" s="36"/>
      <c r="CC838" s="36"/>
      <c r="CD838" s="36"/>
      <c r="CE838" s="36"/>
      <c r="CF838" s="36"/>
      <c r="CG838" s="36"/>
      <c r="CH838" s="36"/>
      <c r="CI838" s="36"/>
      <c r="CJ838" s="36"/>
      <c r="CK838" s="36"/>
      <c r="CL838" s="36"/>
      <c r="CM838" s="36"/>
      <c r="CN838" s="36"/>
      <c r="CO838" s="36"/>
      <c r="CP838" s="36"/>
      <c r="CQ838" s="36"/>
      <c r="CR838" s="36"/>
      <c r="CS838" s="36"/>
      <c r="CT838" s="36"/>
      <c r="CU838" s="36"/>
      <c r="CV838" s="36"/>
      <c r="CW838" s="36"/>
      <c r="CX838" s="36"/>
      <c r="CY838" s="36"/>
      <c r="CZ838" s="36"/>
      <c r="DA838" s="36"/>
      <c r="DB838" s="36"/>
      <c r="DC838" s="36"/>
      <c r="DD838" s="36"/>
      <c r="DE838" s="36"/>
      <c r="DF838" s="36"/>
      <c r="DG838" s="36"/>
      <c r="DH838" s="36"/>
      <c r="DI838" s="36"/>
      <c r="DJ838" s="36"/>
      <c r="DK838" s="36"/>
      <c r="DL838" s="36"/>
      <c r="DM838" s="36"/>
      <c r="DN838" s="36"/>
      <c r="DO838" s="36"/>
      <c r="DP838" s="36"/>
      <c r="DQ838" s="36"/>
      <c r="DR838" s="36"/>
      <c r="DS838" s="36"/>
    </row>
    <row r="839" spans="1:123" ht="14.45">
      <c r="A839"/>
      <c r="B839"/>
      <c r="C839"/>
      <c r="D839"/>
      <c r="E839"/>
      <c r="F839"/>
      <c r="G839"/>
      <c r="H839"/>
      <c r="I839"/>
      <c r="J839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  <c r="BR839" s="36"/>
      <c r="BS839" s="36"/>
      <c r="BT839" s="36"/>
      <c r="BU839" s="36"/>
      <c r="BV839" s="36"/>
      <c r="BW839" s="36"/>
      <c r="BX839" s="36"/>
      <c r="BY839" s="36"/>
      <c r="BZ839" s="36"/>
      <c r="CA839" s="36"/>
      <c r="CB839" s="36"/>
      <c r="CC839" s="36"/>
      <c r="CD839" s="36"/>
      <c r="CE839" s="36"/>
      <c r="CF839" s="36"/>
      <c r="CG839" s="36"/>
      <c r="CH839" s="36"/>
      <c r="CI839" s="36"/>
      <c r="CJ839" s="36"/>
      <c r="CK839" s="36"/>
      <c r="CL839" s="36"/>
      <c r="CM839" s="36"/>
      <c r="CN839" s="36"/>
      <c r="CO839" s="36"/>
      <c r="CP839" s="36"/>
      <c r="CQ839" s="36"/>
      <c r="CR839" s="36"/>
      <c r="CS839" s="36"/>
      <c r="CT839" s="36"/>
      <c r="CU839" s="36"/>
      <c r="CV839" s="36"/>
      <c r="CW839" s="36"/>
      <c r="CX839" s="36"/>
      <c r="CY839" s="36"/>
      <c r="CZ839" s="36"/>
      <c r="DA839" s="36"/>
      <c r="DB839" s="36"/>
      <c r="DC839" s="36"/>
      <c r="DD839" s="36"/>
      <c r="DE839" s="36"/>
      <c r="DF839" s="36"/>
      <c r="DG839" s="36"/>
      <c r="DH839" s="36"/>
      <c r="DI839" s="36"/>
      <c r="DJ839" s="36"/>
      <c r="DK839" s="36"/>
      <c r="DL839" s="36"/>
      <c r="DM839" s="36"/>
      <c r="DN839" s="36"/>
      <c r="DO839" s="36"/>
      <c r="DP839" s="36"/>
      <c r="DQ839" s="36"/>
      <c r="DR839" s="36"/>
      <c r="DS839" s="36"/>
    </row>
    <row r="840" spans="1:123" ht="14.45">
      <c r="A840"/>
      <c r="B840"/>
      <c r="C840"/>
      <c r="D840"/>
      <c r="E840"/>
      <c r="F840"/>
      <c r="G840"/>
      <c r="H840"/>
      <c r="I840"/>
      <c r="J840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  <c r="BR840" s="36"/>
      <c r="BS840" s="36"/>
      <c r="BT840" s="36"/>
      <c r="BU840" s="36"/>
      <c r="BV840" s="36"/>
      <c r="BW840" s="36"/>
      <c r="BX840" s="36"/>
      <c r="BY840" s="36"/>
      <c r="BZ840" s="36"/>
      <c r="CA840" s="36"/>
      <c r="CB840" s="36"/>
      <c r="CC840" s="36"/>
      <c r="CD840" s="36"/>
      <c r="CE840" s="36"/>
      <c r="CF840" s="36"/>
      <c r="CG840" s="36"/>
      <c r="CH840" s="36"/>
      <c r="CI840" s="36"/>
      <c r="CJ840" s="36"/>
      <c r="CK840" s="36"/>
      <c r="CL840" s="36"/>
      <c r="CM840" s="36"/>
      <c r="CN840" s="36"/>
      <c r="CO840" s="36"/>
      <c r="CP840" s="36"/>
      <c r="CQ840" s="36"/>
      <c r="CR840" s="36"/>
      <c r="CS840" s="36"/>
      <c r="CT840" s="36"/>
      <c r="CU840" s="36"/>
      <c r="CV840" s="36"/>
      <c r="CW840" s="36"/>
      <c r="CX840" s="36"/>
      <c r="CY840" s="36"/>
      <c r="CZ840" s="36"/>
      <c r="DA840" s="36"/>
      <c r="DB840" s="36"/>
      <c r="DC840" s="36"/>
      <c r="DD840" s="36"/>
      <c r="DE840" s="36"/>
      <c r="DF840" s="36"/>
      <c r="DG840" s="36"/>
      <c r="DH840" s="36"/>
      <c r="DI840" s="36"/>
      <c r="DJ840" s="36"/>
      <c r="DK840" s="36"/>
      <c r="DL840" s="36"/>
      <c r="DM840" s="36"/>
      <c r="DN840" s="36"/>
      <c r="DO840" s="36"/>
      <c r="DP840" s="36"/>
      <c r="DQ840" s="36"/>
      <c r="DR840" s="36"/>
      <c r="DS840" s="36"/>
    </row>
    <row r="841" spans="1:123" ht="14.45">
      <c r="A841"/>
      <c r="B841"/>
      <c r="C841"/>
      <c r="D841"/>
      <c r="E841"/>
      <c r="F841"/>
      <c r="G841"/>
      <c r="H841"/>
      <c r="I841"/>
      <c r="J841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  <c r="BR841" s="36"/>
      <c r="BS841" s="36"/>
      <c r="BT841" s="36"/>
      <c r="BU841" s="36"/>
      <c r="BV841" s="36"/>
      <c r="BW841" s="36"/>
      <c r="BX841" s="36"/>
      <c r="BY841" s="36"/>
      <c r="BZ841" s="36"/>
      <c r="CA841" s="36"/>
      <c r="CB841" s="36"/>
      <c r="CC841" s="36"/>
      <c r="CD841" s="36"/>
      <c r="CE841" s="36"/>
      <c r="CF841" s="36"/>
      <c r="CG841" s="36"/>
      <c r="CH841" s="36"/>
      <c r="CI841" s="36"/>
      <c r="CJ841" s="36"/>
      <c r="CK841" s="36"/>
      <c r="CL841" s="36"/>
      <c r="CM841" s="36"/>
      <c r="CN841" s="36"/>
      <c r="CO841" s="36"/>
      <c r="CP841" s="36"/>
      <c r="CQ841" s="36"/>
      <c r="CR841" s="36"/>
      <c r="CS841" s="36"/>
      <c r="CT841" s="36"/>
      <c r="CU841" s="36"/>
      <c r="CV841" s="36"/>
      <c r="CW841" s="36"/>
      <c r="CX841" s="36"/>
      <c r="CY841" s="36"/>
      <c r="CZ841" s="36"/>
      <c r="DA841" s="36"/>
      <c r="DB841" s="36"/>
      <c r="DC841" s="36"/>
      <c r="DD841" s="36"/>
      <c r="DE841" s="36"/>
      <c r="DF841" s="36"/>
      <c r="DG841" s="36"/>
      <c r="DH841" s="36"/>
      <c r="DI841" s="36"/>
      <c r="DJ841" s="36"/>
      <c r="DK841" s="36"/>
      <c r="DL841" s="36"/>
      <c r="DM841" s="36"/>
      <c r="DN841" s="36"/>
      <c r="DO841" s="36"/>
      <c r="DP841" s="36"/>
      <c r="DQ841" s="36"/>
      <c r="DR841" s="36"/>
      <c r="DS841" s="36"/>
    </row>
    <row r="842" spans="1:123" ht="14.45">
      <c r="A842"/>
      <c r="B842"/>
      <c r="C842"/>
      <c r="D842"/>
      <c r="E842"/>
      <c r="F842"/>
      <c r="G842"/>
      <c r="H842"/>
      <c r="I842"/>
      <c r="J842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  <c r="BR842" s="36"/>
      <c r="BS842" s="36"/>
      <c r="BT842" s="36"/>
      <c r="BU842" s="36"/>
      <c r="BV842" s="36"/>
      <c r="BW842" s="36"/>
      <c r="BX842" s="36"/>
      <c r="BY842" s="36"/>
      <c r="BZ842" s="36"/>
      <c r="CA842" s="36"/>
      <c r="CB842" s="36"/>
      <c r="CC842" s="36"/>
      <c r="CD842" s="36"/>
      <c r="CE842" s="36"/>
      <c r="CF842" s="36"/>
      <c r="CG842" s="36"/>
      <c r="CH842" s="36"/>
      <c r="CI842" s="36"/>
      <c r="CJ842" s="36"/>
      <c r="CK842" s="36"/>
      <c r="CL842" s="36"/>
      <c r="CM842" s="36"/>
      <c r="CN842" s="36"/>
      <c r="CO842" s="36"/>
      <c r="CP842" s="36"/>
      <c r="CQ842" s="36"/>
      <c r="CR842" s="36"/>
      <c r="CS842" s="36"/>
      <c r="CT842" s="36"/>
      <c r="CU842" s="36"/>
      <c r="CV842" s="36"/>
      <c r="CW842" s="36"/>
      <c r="CX842" s="36"/>
      <c r="CY842" s="36"/>
      <c r="CZ842" s="36"/>
      <c r="DA842" s="36"/>
      <c r="DB842" s="36"/>
      <c r="DC842" s="36"/>
      <c r="DD842" s="36"/>
      <c r="DE842" s="36"/>
      <c r="DF842" s="36"/>
      <c r="DG842" s="36"/>
      <c r="DH842" s="36"/>
      <c r="DI842" s="36"/>
      <c r="DJ842" s="36"/>
      <c r="DK842" s="36"/>
      <c r="DL842" s="36"/>
      <c r="DM842" s="36"/>
      <c r="DN842" s="36"/>
      <c r="DO842" s="36"/>
      <c r="DP842" s="36"/>
      <c r="DQ842" s="36"/>
      <c r="DR842" s="36"/>
      <c r="DS842" s="36"/>
    </row>
    <row r="843" spans="1:123" ht="14.45">
      <c r="A843"/>
      <c r="B843"/>
      <c r="C843"/>
      <c r="D843"/>
      <c r="E843"/>
      <c r="F843"/>
      <c r="G843"/>
      <c r="H843"/>
      <c r="I843"/>
      <c r="J843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  <c r="BR843" s="36"/>
      <c r="BS843" s="36"/>
      <c r="BT843" s="36"/>
      <c r="BU843" s="36"/>
      <c r="BV843" s="36"/>
      <c r="BW843" s="36"/>
      <c r="BX843" s="36"/>
      <c r="BY843" s="36"/>
      <c r="BZ843" s="36"/>
      <c r="CA843" s="36"/>
      <c r="CB843" s="36"/>
      <c r="CC843" s="36"/>
      <c r="CD843" s="36"/>
      <c r="CE843" s="36"/>
      <c r="CF843" s="36"/>
      <c r="CG843" s="36"/>
      <c r="CH843" s="36"/>
      <c r="CI843" s="36"/>
      <c r="CJ843" s="36"/>
      <c r="CK843" s="36"/>
      <c r="CL843" s="36"/>
      <c r="CM843" s="36"/>
      <c r="CN843" s="36"/>
      <c r="CO843" s="36"/>
      <c r="CP843" s="36"/>
      <c r="CQ843" s="36"/>
      <c r="CR843" s="36"/>
      <c r="CS843" s="36"/>
      <c r="CT843" s="36"/>
      <c r="CU843" s="36"/>
      <c r="CV843" s="36"/>
      <c r="CW843" s="36"/>
      <c r="CX843" s="36"/>
      <c r="CY843" s="36"/>
      <c r="CZ843" s="36"/>
      <c r="DA843" s="36"/>
      <c r="DB843" s="36"/>
      <c r="DC843" s="36"/>
      <c r="DD843" s="36"/>
      <c r="DE843" s="36"/>
      <c r="DF843" s="36"/>
      <c r="DG843" s="36"/>
      <c r="DH843" s="36"/>
      <c r="DI843" s="36"/>
      <c r="DJ843" s="36"/>
      <c r="DK843" s="36"/>
      <c r="DL843" s="36"/>
      <c r="DM843" s="36"/>
      <c r="DN843" s="36"/>
      <c r="DO843" s="36"/>
      <c r="DP843" s="36"/>
      <c r="DQ843" s="36"/>
      <c r="DR843" s="36"/>
      <c r="DS843" s="36"/>
    </row>
    <row r="844" spans="1:123" ht="14.45">
      <c r="A844"/>
      <c r="B844"/>
      <c r="C844"/>
      <c r="D844"/>
      <c r="E844"/>
      <c r="F844"/>
      <c r="G844"/>
      <c r="H844"/>
      <c r="I844"/>
      <c r="J844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  <c r="BR844" s="36"/>
      <c r="BS844" s="36"/>
      <c r="BT844" s="36"/>
      <c r="BU844" s="36"/>
      <c r="BV844" s="36"/>
      <c r="BW844" s="36"/>
      <c r="BX844" s="36"/>
      <c r="BY844" s="36"/>
      <c r="BZ844" s="36"/>
      <c r="CA844" s="36"/>
      <c r="CB844" s="36"/>
      <c r="CC844" s="36"/>
      <c r="CD844" s="36"/>
      <c r="CE844" s="36"/>
      <c r="CF844" s="36"/>
      <c r="CG844" s="36"/>
      <c r="CH844" s="36"/>
      <c r="CI844" s="36"/>
      <c r="CJ844" s="36"/>
      <c r="CK844" s="36"/>
      <c r="CL844" s="36"/>
      <c r="CM844" s="36"/>
      <c r="CN844" s="36"/>
      <c r="CO844" s="36"/>
      <c r="CP844" s="36"/>
      <c r="CQ844" s="36"/>
      <c r="CR844" s="36"/>
      <c r="CS844" s="36"/>
      <c r="CT844" s="36"/>
      <c r="CU844" s="36"/>
      <c r="CV844" s="36"/>
      <c r="CW844" s="36"/>
      <c r="CX844" s="36"/>
      <c r="CY844" s="36"/>
      <c r="CZ844" s="36"/>
      <c r="DA844" s="36"/>
      <c r="DB844" s="36"/>
      <c r="DC844" s="36"/>
      <c r="DD844" s="36"/>
      <c r="DE844" s="36"/>
      <c r="DF844" s="36"/>
      <c r="DG844" s="36"/>
      <c r="DH844" s="36"/>
      <c r="DI844" s="36"/>
      <c r="DJ844" s="36"/>
      <c r="DK844" s="36"/>
      <c r="DL844" s="36"/>
      <c r="DM844" s="36"/>
      <c r="DN844" s="36"/>
      <c r="DO844" s="36"/>
      <c r="DP844" s="36"/>
      <c r="DQ844" s="36"/>
      <c r="DR844" s="36"/>
      <c r="DS844" s="36"/>
    </row>
    <row r="845" spans="1:123" ht="14.45">
      <c r="A845"/>
      <c r="B845"/>
      <c r="C845"/>
      <c r="D845"/>
      <c r="E845"/>
      <c r="F845"/>
      <c r="G845"/>
      <c r="H845"/>
      <c r="I845"/>
      <c r="J845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  <c r="BR845" s="36"/>
      <c r="BS845" s="36"/>
      <c r="BT845" s="36"/>
      <c r="BU845" s="36"/>
      <c r="BV845" s="36"/>
      <c r="BW845" s="36"/>
      <c r="BX845" s="36"/>
      <c r="BY845" s="36"/>
      <c r="BZ845" s="36"/>
      <c r="CA845" s="36"/>
      <c r="CB845" s="36"/>
      <c r="CC845" s="36"/>
      <c r="CD845" s="36"/>
      <c r="CE845" s="36"/>
      <c r="CF845" s="36"/>
      <c r="CG845" s="36"/>
      <c r="CH845" s="36"/>
      <c r="CI845" s="36"/>
      <c r="CJ845" s="36"/>
      <c r="CK845" s="36"/>
      <c r="CL845" s="36"/>
      <c r="CM845" s="36"/>
      <c r="CN845" s="36"/>
      <c r="CO845" s="36"/>
      <c r="CP845" s="36"/>
      <c r="CQ845" s="36"/>
      <c r="CR845" s="36"/>
      <c r="CS845" s="36"/>
      <c r="CT845" s="36"/>
      <c r="CU845" s="36"/>
      <c r="CV845" s="36"/>
      <c r="CW845" s="36"/>
      <c r="CX845" s="36"/>
      <c r="CY845" s="36"/>
      <c r="CZ845" s="36"/>
      <c r="DA845" s="36"/>
      <c r="DB845" s="36"/>
      <c r="DC845" s="36"/>
      <c r="DD845" s="36"/>
      <c r="DE845" s="36"/>
      <c r="DF845" s="36"/>
      <c r="DG845" s="36"/>
      <c r="DH845" s="36"/>
      <c r="DI845" s="36"/>
      <c r="DJ845" s="36"/>
      <c r="DK845" s="36"/>
      <c r="DL845" s="36"/>
      <c r="DM845" s="36"/>
      <c r="DN845" s="36"/>
      <c r="DO845" s="36"/>
      <c r="DP845" s="36"/>
      <c r="DQ845" s="36"/>
      <c r="DR845" s="36"/>
      <c r="DS845" s="36"/>
    </row>
    <row r="846" spans="1:123" ht="14.45">
      <c r="A846"/>
      <c r="B846"/>
      <c r="C846"/>
      <c r="D846"/>
      <c r="E846"/>
      <c r="F846"/>
      <c r="G846"/>
      <c r="H846"/>
      <c r="I846"/>
      <c r="J84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  <c r="BR846" s="36"/>
      <c r="BS846" s="36"/>
      <c r="BT846" s="36"/>
      <c r="BU846" s="36"/>
      <c r="BV846" s="36"/>
      <c r="BW846" s="36"/>
      <c r="BX846" s="36"/>
      <c r="BY846" s="36"/>
      <c r="BZ846" s="36"/>
      <c r="CA846" s="36"/>
      <c r="CB846" s="36"/>
      <c r="CC846" s="36"/>
      <c r="CD846" s="36"/>
      <c r="CE846" s="36"/>
      <c r="CF846" s="36"/>
      <c r="CG846" s="36"/>
      <c r="CH846" s="36"/>
      <c r="CI846" s="36"/>
      <c r="CJ846" s="36"/>
      <c r="CK846" s="36"/>
      <c r="CL846" s="36"/>
      <c r="CM846" s="36"/>
      <c r="CN846" s="36"/>
      <c r="CO846" s="36"/>
      <c r="CP846" s="36"/>
      <c r="CQ846" s="36"/>
      <c r="CR846" s="36"/>
      <c r="CS846" s="36"/>
      <c r="CT846" s="36"/>
      <c r="CU846" s="36"/>
      <c r="CV846" s="36"/>
      <c r="CW846" s="36"/>
      <c r="CX846" s="36"/>
      <c r="CY846" s="36"/>
      <c r="CZ846" s="36"/>
      <c r="DA846" s="36"/>
      <c r="DB846" s="36"/>
      <c r="DC846" s="36"/>
      <c r="DD846" s="36"/>
      <c r="DE846" s="36"/>
      <c r="DF846" s="36"/>
      <c r="DG846" s="36"/>
      <c r="DH846" s="36"/>
      <c r="DI846" s="36"/>
      <c r="DJ846" s="36"/>
      <c r="DK846" s="36"/>
      <c r="DL846" s="36"/>
      <c r="DM846" s="36"/>
      <c r="DN846" s="36"/>
      <c r="DO846" s="36"/>
      <c r="DP846" s="36"/>
      <c r="DQ846" s="36"/>
      <c r="DR846" s="36"/>
      <c r="DS846" s="36"/>
    </row>
    <row r="847" spans="1:123" ht="14.45">
      <c r="A847"/>
      <c r="B847"/>
      <c r="C847"/>
      <c r="D847"/>
      <c r="E847"/>
      <c r="F847"/>
      <c r="G847"/>
      <c r="H847"/>
      <c r="I847"/>
      <c r="J847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  <c r="BR847" s="36"/>
      <c r="BS847" s="36"/>
      <c r="BT847" s="36"/>
      <c r="BU847" s="36"/>
      <c r="BV847" s="36"/>
      <c r="BW847" s="36"/>
      <c r="BX847" s="36"/>
      <c r="BY847" s="36"/>
      <c r="BZ847" s="36"/>
      <c r="CA847" s="36"/>
      <c r="CB847" s="36"/>
      <c r="CC847" s="36"/>
      <c r="CD847" s="36"/>
      <c r="CE847" s="36"/>
      <c r="CF847" s="36"/>
      <c r="CG847" s="36"/>
      <c r="CH847" s="36"/>
      <c r="CI847" s="36"/>
      <c r="CJ847" s="36"/>
      <c r="CK847" s="36"/>
      <c r="CL847" s="36"/>
      <c r="CM847" s="36"/>
      <c r="CN847" s="36"/>
      <c r="CO847" s="36"/>
      <c r="CP847" s="36"/>
      <c r="CQ847" s="36"/>
      <c r="CR847" s="36"/>
      <c r="CS847" s="36"/>
      <c r="CT847" s="36"/>
      <c r="CU847" s="36"/>
      <c r="CV847" s="36"/>
      <c r="CW847" s="36"/>
      <c r="CX847" s="36"/>
      <c r="CY847" s="36"/>
      <c r="CZ847" s="36"/>
      <c r="DA847" s="36"/>
      <c r="DB847" s="36"/>
      <c r="DC847" s="36"/>
      <c r="DD847" s="36"/>
      <c r="DE847" s="36"/>
      <c r="DF847" s="36"/>
      <c r="DG847" s="36"/>
      <c r="DH847" s="36"/>
      <c r="DI847" s="36"/>
      <c r="DJ847" s="36"/>
      <c r="DK847" s="36"/>
      <c r="DL847" s="36"/>
      <c r="DM847" s="36"/>
      <c r="DN847" s="36"/>
      <c r="DO847" s="36"/>
      <c r="DP847" s="36"/>
      <c r="DQ847" s="36"/>
      <c r="DR847" s="36"/>
      <c r="DS847" s="36"/>
    </row>
    <row r="848" spans="1:123" ht="14.45">
      <c r="A848"/>
      <c r="B848"/>
      <c r="C848"/>
      <c r="D848"/>
      <c r="E848"/>
      <c r="F848"/>
      <c r="G848"/>
      <c r="H848"/>
      <c r="I848"/>
      <c r="J848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  <c r="BR848" s="36"/>
      <c r="BS848" s="36"/>
      <c r="BT848" s="36"/>
      <c r="BU848" s="36"/>
      <c r="BV848" s="36"/>
      <c r="BW848" s="36"/>
      <c r="BX848" s="36"/>
      <c r="BY848" s="36"/>
      <c r="BZ848" s="36"/>
      <c r="CA848" s="36"/>
      <c r="CB848" s="36"/>
      <c r="CC848" s="36"/>
      <c r="CD848" s="36"/>
      <c r="CE848" s="36"/>
      <c r="CF848" s="36"/>
      <c r="CG848" s="36"/>
      <c r="CH848" s="36"/>
      <c r="CI848" s="36"/>
      <c r="CJ848" s="36"/>
      <c r="CK848" s="36"/>
      <c r="CL848" s="36"/>
      <c r="CM848" s="36"/>
      <c r="CN848" s="36"/>
      <c r="CO848" s="36"/>
      <c r="CP848" s="36"/>
      <c r="CQ848" s="36"/>
      <c r="CR848" s="36"/>
      <c r="CS848" s="36"/>
      <c r="CT848" s="36"/>
      <c r="CU848" s="36"/>
      <c r="CV848" s="36"/>
      <c r="CW848" s="36"/>
      <c r="CX848" s="36"/>
      <c r="CY848" s="36"/>
      <c r="CZ848" s="36"/>
      <c r="DA848" s="36"/>
      <c r="DB848" s="36"/>
      <c r="DC848" s="36"/>
      <c r="DD848" s="36"/>
      <c r="DE848" s="36"/>
      <c r="DF848" s="36"/>
      <c r="DG848" s="36"/>
      <c r="DH848" s="36"/>
      <c r="DI848" s="36"/>
      <c r="DJ848" s="36"/>
      <c r="DK848" s="36"/>
      <c r="DL848" s="36"/>
      <c r="DM848" s="36"/>
      <c r="DN848" s="36"/>
      <c r="DO848" s="36"/>
      <c r="DP848" s="36"/>
      <c r="DQ848" s="36"/>
      <c r="DR848" s="36"/>
      <c r="DS848" s="36"/>
    </row>
    <row r="849" spans="1:123" ht="14.45">
      <c r="A849"/>
      <c r="B849"/>
      <c r="C849"/>
      <c r="D849"/>
      <c r="E849"/>
      <c r="F849"/>
      <c r="G849"/>
      <c r="H849"/>
      <c r="I849"/>
      <c r="J849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  <c r="BR849" s="36"/>
      <c r="BS849" s="36"/>
      <c r="BT849" s="36"/>
      <c r="BU849" s="36"/>
      <c r="BV849" s="36"/>
      <c r="BW849" s="36"/>
      <c r="BX849" s="36"/>
      <c r="BY849" s="36"/>
      <c r="BZ849" s="36"/>
      <c r="CA849" s="36"/>
      <c r="CB849" s="36"/>
      <c r="CC849" s="36"/>
      <c r="CD849" s="36"/>
      <c r="CE849" s="36"/>
      <c r="CF849" s="36"/>
      <c r="CG849" s="36"/>
      <c r="CH849" s="36"/>
      <c r="CI849" s="36"/>
      <c r="CJ849" s="36"/>
      <c r="CK849" s="36"/>
      <c r="CL849" s="36"/>
      <c r="CM849" s="36"/>
      <c r="CN849" s="36"/>
      <c r="CO849" s="36"/>
      <c r="CP849" s="36"/>
      <c r="CQ849" s="36"/>
      <c r="CR849" s="36"/>
      <c r="CS849" s="36"/>
      <c r="CT849" s="36"/>
      <c r="CU849" s="36"/>
      <c r="CV849" s="36"/>
      <c r="CW849" s="36"/>
      <c r="CX849" s="36"/>
      <c r="CY849" s="36"/>
      <c r="CZ849" s="36"/>
      <c r="DA849" s="36"/>
      <c r="DB849" s="36"/>
      <c r="DC849" s="36"/>
      <c r="DD849" s="36"/>
      <c r="DE849" s="36"/>
      <c r="DF849" s="36"/>
      <c r="DG849" s="36"/>
      <c r="DH849" s="36"/>
      <c r="DI849" s="36"/>
      <c r="DJ849" s="36"/>
      <c r="DK849" s="36"/>
      <c r="DL849" s="36"/>
      <c r="DM849" s="36"/>
      <c r="DN849" s="36"/>
      <c r="DO849" s="36"/>
      <c r="DP849" s="36"/>
      <c r="DQ849" s="36"/>
      <c r="DR849" s="36"/>
      <c r="DS849" s="36"/>
    </row>
    <row r="850" spans="1:123" ht="14.45">
      <c r="A850"/>
      <c r="B850"/>
      <c r="C850"/>
      <c r="D850"/>
      <c r="E850"/>
      <c r="F850"/>
      <c r="G850"/>
      <c r="H850"/>
      <c r="I850"/>
      <c r="J850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  <c r="BR850" s="36"/>
      <c r="BS850" s="36"/>
      <c r="BT850" s="36"/>
      <c r="BU850" s="36"/>
      <c r="BV850" s="36"/>
      <c r="BW850" s="36"/>
      <c r="BX850" s="36"/>
      <c r="BY850" s="36"/>
      <c r="BZ850" s="36"/>
      <c r="CA850" s="36"/>
      <c r="CB850" s="36"/>
      <c r="CC850" s="36"/>
      <c r="CD850" s="36"/>
      <c r="CE850" s="36"/>
      <c r="CF850" s="36"/>
      <c r="CG850" s="36"/>
      <c r="CH850" s="36"/>
      <c r="CI850" s="36"/>
      <c r="CJ850" s="36"/>
      <c r="CK850" s="36"/>
      <c r="CL850" s="36"/>
      <c r="CM850" s="36"/>
      <c r="CN850" s="36"/>
      <c r="CO850" s="36"/>
      <c r="CP850" s="36"/>
      <c r="CQ850" s="36"/>
      <c r="CR850" s="36"/>
      <c r="CS850" s="36"/>
      <c r="CT850" s="36"/>
      <c r="CU850" s="36"/>
      <c r="CV850" s="36"/>
      <c r="CW850" s="36"/>
      <c r="CX850" s="36"/>
      <c r="CY850" s="36"/>
      <c r="CZ850" s="36"/>
      <c r="DA850" s="36"/>
      <c r="DB850" s="36"/>
      <c r="DC850" s="36"/>
      <c r="DD850" s="36"/>
      <c r="DE850" s="36"/>
      <c r="DF850" s="36"/>
      <c r="DG850" s="36"/>
      <c r="DH850" s="36"/>
      <c r="DI850" s="36"/>
      <c r="DJ850" s="36"/>
      <c r="DK850" s="36"/>
      <c r="DL850" s="36"/>
      <c r="DM850" s="36"/>
      <c r="DN850" s="36"/>
      <c r="DO850" s="36"/>
      <c r="DP850" s="36"/>
      <c r="DQ850" s="36"/>
      <c r="DR850" s="36"/>
      <c r="DS850" s="36"/>
    </row>
    <row r="851" spans="1:123" ht="14.45">
      <c r="A851"/>
      <c r="B851"/>
      <c r="C851"/>
      <c r="D851"/>
      <c r="E851"/>
      <c r="F851"/>
      <c r="G851"/>
      <c r="H851"/>
      <c r="I851"/>
      <c r="J851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36"/>
      <c r="BS851" s="36"/>
      <c r="BT851" s="36"/>
      <c r="BU851" s="36"/>
      <c r="BV851" s="36"/>
      <c r="BW851" s="36"/>
      <c r="BX851" s="36"/>
      <c r="BY851" s="36"/>
      <c r="BZ851" s="36"/>
      <c r="CA851" s="36"/>
      <c r="CB851" s="36"/>
      <c r="CC851" s="36"/>
      <c r="CD851" s="36"/>
      <c r="CE851" s="36"/>
      <c r="CF851" s="36"/>
      <c r="CG851" s="36"/>
      <c r="CH851" s="36"/>
      <c r="CI851" s="36"/>
      <c r="CJ851" s="36"/>
      <c r="CK851" s="36"/>
      <c r="CL851" s="36"/>
      <c r="CM851" s="36"/>
      <c r="CN851" s="36"/>
      <c r="CO851" s="36"/>
      <c r="CP851" s="36"/>
      <c r="CQ851" s="36"/>
      <c r="CR851" s="36"/>
      <c r="CS851" s="36"/>
      <c r="CT851" s="36"/>
      <c r="CU851" s="36"/>
      <c r="CV851" s="36"/>
      <c r="CW851" s="36"/>
      <c r="CX851" s="36"/>
      <c r="CY851" s="36"/>
      <c r="CZ851" s="36"/>
      <c r="DA851" s="36"/>
      <c r="DB851" s="36"/>
      <c r="DC851" s="36"/>
      <c r="DD851" s="36"/>
      <c r="DE851" s="36"/>
      <c r="DF851" s="36"/>
      <c r="DG851" s="36"/>
      <c r="DH851" s="36"/>
      <c r="DI851" s="36"/>
      <c r="DJ851" s="36"/>
      <c r="DK851" s="36"/>
      <c r="DL851" s="36"/>
      <c r="DM851" s="36"/>
      <c r="DN851" s="36"/>
      <c r="DO851" s="36"/>
      <c r="DP851" s="36"/>
      <c r="DQ851" s="36"/>
      <c r="DR851" s="36"/>
      <c r="DS851" s="36"/>
    </row>
    <row r="852" spans="1:123" ht="14.45">
      <c r="A852"/>
      <c r="B852"/>
      <c r="C852"/>
      <c r="D852"/>
      <c r="E852"/>
      <c r="F852"/>
      <c r="G852"/>
      <c r="H852"/>
      <c r="I852"/>
      <c r="J852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36"/>
      <c r="BS852" s="36"/>
      <c r="BT852" s="36"/>
      <c r="BU852" s="36"/>
      <c r="BV852" s="36"/>
      <c r="BW852" s="36"/>
      <c r="BX852" s="36"/>
      <c r="BY852" s="36"/>
      <c r="BZ852" s="36"/>
      <c r="CA852" s="36"/>
      <c r="CB852" s="36"/>
      <c r="CC852" s="36"/>
      <c r="CD852" s="36"/>
      <c r="CE852" s="36"/>
      <c r="CF852" s="36"/>
      <c r="CG852" s="36"/>
      <c r="CH852" s="36"/>
      <c r="CI852" s="36"/>
      <c r="CJ852" s="36"/>
      <c r="CK852" s="36"/>
      <c r="CL852" s="36"/>
      <c r="CM852" s="36"/>
      <c r="CN852" s="36"/>
      <c r="CO852" s="36"/>
      <c r="CP852" s="36"/>
      <c r="CQ852" s="36"/>
      <c r="CR852" s="36"/>
      <c r="CS852" s="36"/>
      <c r="CT852" s="36"/>
      <c r="CU852" s="36"/>
      <c r="CV852" s="36"/>
      <c r="CW852" s="36"/>
      <c r="CX852" s="36"/>
      <c r="CY852" s="36"/>
      <c r="CZ852" s="36"/>
      <c r="DA852" s="36"/>
      <c r="DB852" s="36"/>
      <c r="DC852" s="36"/>
      <c r="DD852" s="36"/>
      <c r="DE852" s="36"/>
      <c r="DF852" s="36"/>
      <c r="DG852" s="36"/>
      <c r="DH852" s="36"/>
      <c r="DI852" s="36"/>
      <c r="DJ852" s="36"/>
      <c r="DK852" s="36"/>
      <c r="DL852" s="36"/>
      <c r="DM852" s="36"/>
      <c r="DN852" s="36"/>
      <c r="DO852" s="36"/>
      <c r="DP852" s="36"/>
      <c r="DQ852" s="36"/>
      <c r="DR852" s="36"/>
      <c r="DS852" s="36"/>
    </row>
    <row r="853" spans="1:123" ht="14.45">
      <c r="A853"/>
      <c r="B853"/>
      <c r="C853"/>
      <c r="D853"/>
      <c r="E853"/>
      <c r="F853"/>
      <c r="G853"/>
      <c r="H853"/>
      <c r="I853"/>
      <c r="J853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  <c r="BR853" s="36"/>
      <c r="BS853" s="36"/>
      <c r="BT853" s="36"/>
      <c r="BU853" s="36"/>
      <c r="BV853" s="36"/>
      <c r="BW853" s="36"/>
      <c r="BX853" s="36"/>
      <c r="BY853" s="36"/>
      <c r="BZ853" s="36"/>
      <c r="CA853" s="36"/>
      <c r="CB853" s="36"/>
      <c r="CC853" s="36"/>
      <c r="CD853" s="36"/>
      <c r="CE853" s="36"/>
      <c r="CF853" s="36"/>
      <c r="CG853" s="36"/>
      <c r="CH853" s="36"/>
      <c r="CI853" s="36"/>
      <c r="CJ853" s="36"/>
      <c r="CK853" s="36"/>
      <c r="CL853" s="36"/>
      <c r="CM853" s="36"/>
      <c r="CN853" s="36"/>
      <c r="CO853" s="36"/>
      <c r="CP853" s="36"/>
      <c r="CQ853" s="36"/>
      <c r="CR853" s="36"/>
      <c r="CS853" s="36"/>
      <c r="CT853" s="36"/>
      <c r="CU853" s="36"/>
      <c r="CV853" s="36"/>
      <c r="CW853" s="36"/>
      <c r="CX853" s="36"/>
      <c r="CY853" s="36"/>
      <c r="CZ853" s="36"/>
      <c r="DA853" s="36"/>
      <c r="DB853" s="36"/>
      <c r="DC853" s="36"/>
      <c r="DD853" s="36"/>
      <c r="DE853" s="36"/>
      <c r="DF853" s="36"/>
      <c r="DG853" s="36"/>
      <c r="DH853" s="36"/>
      <c r="DI853" s="36"/>
      <c r="DJ853" s="36"/>
      <c r="DK853" s="36"/>
      <c r="DL853" s="36"/>
      <c r="DM853" s="36"/>
      <c r="DN853" s="36"/>
      <c r="DO853" s="36"/>
      <c r="DP853" s="36"/>
      <c r="DQ853" s="36"/>
      <c r="DR853" s="36"/>
      <c r="DS853" s="36"/>
    </row>
    <row r="854" spans="1:123" ht="14.45">
      <c r="A854"/>
      <c r="B854"/>
      <c r="C854"/>
      <c r="D854"/>
      <c r="E854"/>
      <c r="F854"/>
      <c r="G854"/>
      <c r="H854"/>
      <c r="I854"/>
      <c r="J854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  <c r="BR854" s="36"/>
      <c r="BS854" s="36"/>
      <c r="BT854" s="36"/>
      <c r="BU854" s="36"/>
      <c r="BV854" s="36"/>
      <c r="BW854" s="36"/>
      <c r="BX854" s="36"/>
      <c r="BY854" s="36"/>
      <c r="BZ854" s="36"/>
      <c r="CA854" s="36"/>
      <c r="CB854" s="36"/>
      <c r="CC854" s="36"/>
      <c r="CD854" s="36"/>
      <c r="CE854" s="36"/>
      <c r="CF854" s="36"/>
      <c r="CG854" s="36"/>
      <c r="CH854" s="36"/>
      <c r="CI854" s="36"/>
      <c r="CJ854" s="36"/>
      <c r="CK854" s="36"/>
      <c r="CL854" s="36"/>
      <c r="CM854" s="36"/>
      <c r="CN854" s="36"/>
      <c r="CO854" s="36"/>
      <c r="CP854" s="36"/>
      <c r="CQ854" s="36"/>
      <c r="CR854" s="36"/>
      <c r="CS854" s="36"/>
      <c r="CT854" s="36"/>
      <c r="CU854" s="36"/>
      <c r="CV854" s="36"/>
      <c r="CW854" s="36"/>
      <c r="CX854" s="36"/>
      <c r="CY854" s="36"/>
      <c r="CZ854" s="36"/>
      <c r="DA854" s="36"/>
      <c r="DB854" s="36"/>
      <c r="DC854" s="36"/>
      <c r="DD854" s="36"/>
      <c r="DE854" s="36"/>
      <c r="DF854" s="36"/>
      <c r="DG854" s="36"/>
      <c r="DH854" s="36"/>
      <c r="DI854" s="36"/>
      <c r="DJ854" s="36"/>
      <c r="DK854" s="36"/>
      <c r="DL854" s="36"/>
      <c r="DM854" s="36"/>
      <c r="DN854" s="36"/>
      <c r="DO854" s="36"/>
      <c r="DP854" s="36"/>
      <c r="DQ854" s="36"/>
      <c r="DR854" s="36"/>
      <c r="DS854" s="36"/>
    </row>
    <row r="855" spans="1:123" ht="14.45">
      <c r="A855"/>
      <c r="B855"/>
      <c r="C855"/>
      <c r="D855"/>
      <c r="E855"/>
      <c r="F855"/>
      <c r="G855"/>
      <c r="H855"/>
      <c r="I855"/>
      <c r="J855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  <c r="BR855" s="36"/>
      <c r="BS855" s="36"/>
      <c r="BT855" s="36"/>
      <c r="BU855" s="36"/>
      <c r="BV855" s="36"/>
      <c r="BW855" s="36"/>
      <c r="BX855" s="36"/>
      <c r="BY855" s="36"/>
      <c r="BZ855" s="36"/>
      <c r="CA855" s="36"/>
      <c r="CB855" s="36"/>
      <c r="CC855" s="36"/>
      <c r="CD855" s="36"/>
      <c r="CE855" s="36"/>
      <c r="CF855" s="36"/>
      <c r="CG855" s="36"/>
      <c r="CH855" s="36"/>
      <c r="CI855" s="36"/>
      <c r="CJ855" s="36"/>
      <c r="CK855" s="36"/>
      <c r="CL855" s="36"/>
      <c r="CM855" s="36"/>
      <c r="CN855" s="36"/>
      <c r="CO855" s="36"/>
      <c r="CP855" s="36"/>
      <c r="CQ855" s="36"/>
      <c r="CR855" s="36"/>
      <c r="CS855" s="36"/>
      <c r="CT855" s="36"/>
      <c r="CU855" s="36"/>
      <c r="CV855" s="36"/>
      <c r="CW855" s="36"/>
      <c r="CX855" s="36"/>
      <c r="CY855" s="36"/>
      <c r="CZ855" s="36"/>
      <c r="DA855" s="36"/>
      <c r="DB855" s="36"/>
      <c r="DC855" s="36"/>
      <c r="DD855" s="36"/>
      <c r="DE855" s="36"/>
      <c r="DF855" s="36"/>
      <c r="DG855" s="36"/>
      <c r="DH855" s="36"/>
      <c r="DI855" s="36"/>
      <c r="DJ855" s="36"/>
      <c r="DK855" s="36"/>
      <c r="DL855" s="36"/>
      <c r="DM855" s="36"/>
      <c r="DN855" s="36"/>
      <c r="DO855" s="36"/>
      <c r="DP855" s="36"/>
      <c r="DQ855" s="36"/>
      <c r="DR855" s="36"/>
      <c r="DS855" s="36"/>
    </row>
    <row r="856" spans="1:123" ht="14.45">
      <c r="A856"/>
      <c r="B856"/>
      <c r="C856"/>
      <c r="D856"/>
      <c r="E856"/>
      <c r="F856"/>
      <c r="G856"/>
      <c r="H856"/>
      <c r="I856"/>
      <c r="J85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  <c r="BR856" s="36"/>
      <c r="BS856" s="36"/>
      <c r="BT856" s="36"/>
      <c r="BU856" s="36"/>
      <c r="BV856" s="36"/>
      <c r="BW856" s="36"/>
      <c r="BX856" s="36"/>
      <c r="BY856" s="36"/>
      <c r="BZ856" s="36"/>
      <c r="CA856" s="36"/>
      <c r="CB856" s="36"/>
      <c r="CC856" s="36"/>
      <c r="CD856" s="36"/>
      <c r="CE856" s="36"/>
      <c r="CF856" s="36"/>
      <c r="CG856" s="36"/>
      <c r="CH856" s="36"/>
      <c r="CI856" s="36"/>
      <c r="CJ856" s="36"/>
      <c r="CK856" s="36"/>
      <c r="CL856" s="36"/>
      <c r="CM856" s="36"/>
      <c r="CN856" s="36"/>
      <c r="CO856" s="36"/>
      <c r="CP856" s="36"/>
      <c r="CQ856" s="36"/>
      <c r="CR856" s="36"/>
      <c r="CS856" s="36"/>
      <c r="CT856" s="36"/>
      <c r="CU856" s="36"/>
      <c r="CV856" s="36"/>
      <c r="CW856" s="36"/>
      <c r="CX856" s="36"/>
      <c r="CY856" s="36"/>
      <c r="CZ856" s="36"/>
      <c r="DA856" s="36"/>
      <c r="DB856" s="36"/>
      <c r="DC856" s="36"/>
      <c r="DD856" s="36"/>
      <c r="DE856" s="36"/>
      <c r="DF856" s="36"/>
      <c r="DG856" s="36"/>
      <c r="DH856" s="36"/>
      <c r="DI856" s="36"/>
      <c r="DJ856" s="36"/>
      <c r="DK856" s="36"/>
      <c r="DL856" s="36"/>
      <c r="DM856" s="36"/>
      <c r="DN856" s="36"/>
      <c r="DO856" s="36"/>
      <c r="DP856" s="36"/>
      <c r="DQ856" s="36"/>
      <c r="DR856" s="36"/>
      <c r="DS856" s="36"/>
    </row>
    <row r="857" spans="1:123" ht="14.45">
      <c r="A857"/>
      <c r="B857"/>
      <c r="C857"/>
      <c r="D857"/>
      <c r="E857"/>
      <c r="F857"/>
      <c r="G857"/>
      <c r="H857"/>
      <c r="I857"/>
      <c r="J857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  <c r="BR857" s="36"/>
      <c r="BS857" s="36"/>
      <c r="BT857" s="36"/>
      <c r="BU857" s="36"/>
      <c r="BV857" s="36"/>
      <c r="BW857" s="36"/>
      <c r="BX857" s="36"/>
      <c r="BY857" s="36"/>
      <c r="BZ857" s="36"/>
      <c r="CA857" s="36"/>
      <c r="CB857" s="36"/>
      <c r="CC857" s="36"/>
      <c r="CD857" s="36"/>
      <c r="CE857" s="36"/>
      <c r="CF857" s="36"/>
      <c r="CG857" s="36"/>
      <c r="CH857" s="36"/>
      <c r="CI857" s="36"/>
      <c r="CJ857" s="36"/>
      <c r="CK857" s="36"/>
      <c r="CL857" s="36"/>
      <c r="CM857" s="36"/>
      <c r="CN857" s="36"/>
      <c r="CO857" s="36"/>
      <c r="CP857" s="36"/>
      <c r="CQ857" s="36"/>
      <c r="CR857" s="36"/>
      <c r="CS857" s="36"/>
      <c r="CT857" s="36"/>
      <c r="CU857" s="36"/>
      <c r="CV857" s="36"/>
      <c r="CW857" s="36"/>
      <c r="CX857" s="36"/>
      <c r="CY857" s="36"/>
      <c r="CZ857" s="36"/>
      <c r="DA857" s="36"/>
      <c r="DB857" s="36"/>
      <c r="DC857" s="36"/>
      <c r="DD857" s="36"/>
      <c r="DE857" s="36"/>
      <c r="DF857" s="36"/>
      <c r="DG857" s="36"/>
      <c r="DH857" s="36"/>
      <c r="DI857" s="36"/>
      <c r="DJ857" s="36"/>
      <c r="DK857" s="36"/>
      <c r="DL857" s="36"/>
      <c r="DM857" s="36"/>
      <c r="DN857" s="36"/>
      <c r="DO857" s="36"/>
      <c r="DP857" s="36"/>
      <c r="DQ857" s="36"/>
      <c r="DR857" s="36"/>
      <c r="DS857" s="36"/>
    </row>
    <row r="858" spans="1:123" ht="14.45">
      <c r="A858"/>
      <c r="B858"/>
      <c r="C858"/>
      <c r="D858"/>
      <c r="E858"/>
      <c r="F858"/>
      <c r="G858"/>
      <c r="H858"/>
      <c r="I858"/>
      <c r="J858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  <c r="BS858" s="36"/>
      <c r="BT858" s="36"/>
      <c r="BU858" s="36"/>
      <c r="BV858" s="36"/>
      <c r="BW858" s="36"/>
      <c r="BX858" s="36"/>
      <c r="BY858" s="36"/>
      <c r="BZ858" s="36"/>
      <c r="CA858" s="36"/>
      <c r="CB858" s="36"/>
      <c r="CC858" s="36"/>
      <c r="CD858" s="36"/>
      <c r="CE858" s="36"/>
      <c r="CF858" s="36"/>
      <c r="CG858" s="36"/>
      <c r="CH858" s="36"/>
      <c r="CI858" s="36"/>
      <c r="CJ858" s="36"/>
      <c r="CK858" s="36"/>
      <c r="CL858" s="36"/>
      <c r="CM858" s="36"/>
      <c r="CN858" s="36"/>
      <c r="CO858" s="36"/>
      <c r="CP858" s="36"/>
      <c r="CQ858" s="36"/>
      <c r="CR858" s="36"/>
      <c r="CS858" s="36"/>
      <c r="CT858" s="36"/>
      <c r="CU858" s="36"/>
      <c r="CV858" s="36"/>
      <c r="CW858" s="36"/>
      <c r="CX858" s="36"/>
      <c r="CY858" s="36"/>
      <c r="CZ858" s="36"/>
      <c r="DA858" s="36"/>
      <c r="DB858" s="36"/>
      <c r="DC858" s="36"/>
      <c r="DD858" s="36"/>
      <c r="DE858" s="36"/>
      <c r="DF858" s="36"/>
      <c r="DG858" s="36"/>
      <c r="DH858" s="36"/>
      <c r="DI858" s="36"/>
      <c r="DJ858" s="36"/>
      <c r="DK858" s="36"/>
      <c r="DL858" s="36"/>
      <c r="DM858" s="36"/>
      <c r="DN858" s="36"/>
      <c r="DO858" s="36"/>
      <c r="DP858" s="36"/>
      <c r="DQ858" s="36"/>
      <c r="DR858" s="36"/>
      <c r="DS858" s="36"/>
    </row>
    <row r="859" spans="1:123" ht="14.45">
      <c r="A859"/>
      <c r="B859"/>
      <c r="C859"/>
      <c r="D859"/>
      <c r="E859"/>
      <c r="F859"/>
      <c r="G859"/>
      <c r="H859"/>
      <c r="I859"/>
      <c r="J859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  <c r="BR859" s="36"/>
      <c r="BS859" s="36"/>
      <c r="BT859" s="36"/>
      <c r="BU859" s="36"/>
      <c r="BV859" s="36"/>
      <c r="BW859" s="36"/>
      <c r="BX859" s="36"/>
      <c r="BY859" s="36"/>
      <c r="BZ859" s="36"/>
      <c r="CA859" s="36"/>
      <c r="CB859" s="36"/>
      <c r="CC859" s="36"/>
      <c r="CD859" s="36"/>
      <c r="CE859" s="36"/>
      <c r="CF859" s="36"/>
      <c r="CG859" s="36"/>
      <c r="CH859" s="36"/>
      <c r="CI859" s="36"/>
      <c r="CJ859" s="36"/>
      <c r="CK859" s="36"/>
      <c r="CL859" s="36"/>
      <c r="CM859" s="36"/>
      <c r="CN859" s="36"/>
      <c r="CO859" s="36"/>
      <c r="CP859" s="36"/>
      <c r="CQ859" s="36"/>
      <c r="CR859" s="36"/>
      <c r="CS859" s="36"/>
      <c r="CT859" s="36"/>
      <c r="CU859" s="36"/>
      <c r="CV859" s="36"/>
      <c r="CW859" s="36"/>
      <c r="CX859" s="36"/>
      <c r="CY859" s="36"/>
      <c r="CZ859" s="36"/>
      <c r="DA859" s="36"/>
      <c r="DB859" s="36"/>
      <c r="DC859" s="36"/>
      <c r="DD859" s="36"/>
      <c r="DE859" s="36"/>
      <c r="DF859" s="36"/>
      <c r="DG859" s="36"/>
      <c r="DH859" s="36"/>
      <c r="DI859" s="36"/>
      <c r="DJ859" s="36"/>
      <c r="DK859" s="36"/>
      <c r="DL859" s="36"/>
      <c r="DM859" s="36"/>
      <c r="DN859" s="36"/>
      <c r="DO859" s="36"/>
      <c r="DP859" s="36"/>
      <c r="DQ859" s="36"/>
      <c r="DR859" s="36"/>
      <c r="DS859" s="36"/>
    </row>
    <row r="860" spans="1:123" ht="14.45">
      <c r="A860"/>
      <c r="B860"/>
      <c r="C860"/>
      <c r="D860"/>
      <c r="E860"/>
      <c r="F860"/>
      <c r="G860"/>
      <c r="H860"/>
      <c r="I860"/>
      <c r="J860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  <c r="BR860" s="36"/>
      <c r="BS860" s="36"/>
      <c r="BT860" s="36"/>
      <c r="BU860" s="36"/>
      <c r="BV860" s="36"/>
      <c r="BW860" s="36"/>
      <c r="BX860" s="36"/>
      <c r="BY860" s="36"/>
      <c r="BZ860" s="36"/>
      <c r="CA860" s="36"/>
      <c r="CB860" s="36"/>
      <c r="CC860" s="36"/>
      <c r="CD860" s="36"/>
      <c r="CE860" s="36"/>
      <c r="CF860" s="36"/>
      <c r="CG860" s="36"/>
      <c r="CH860" s="36"/>
      <c r="CI860" s="36"/>
      <c r="CJ860" s="36"/>
      <c r="CK860" s="36"/>
      <c r="CL860" s="36"/>
      <c r="CM860" s="36"/>
      <c r="CN860" s="36"/>
      <c r="CO860" s="36"/>
      <c r="CP860" s="36"/>
      <c r="CQ860" s="36"/>
      <c r="CR860" s="36"/>
      <c r="CS860" s="36"/>
      <c r="CT860" s="36"/>
      <c r="CU860" s="36"/>
      <c r="CV860" s="36"/>
      <c r="CW860" s="36"/>
      <c r="CX860" s="36"/>
      <c r="CY860" s="36"/>
      <c r="CZ860" s="36"/>
      <c r="DA860" s="36"/>
      <c r="DB860" s="36"/>
      <c r="DC860" s="36"/>
      <c r="DD860" s="36"/>
      <c r="DE860" s="36"/>
      <c r="DF860" s="36"/>
      <c r="DG860" s="36"/>
      <c r="DH860" s="36"/>
      <c r="DI860" s="36"/>
      <c r="DJ860" s="36"/>
      <c r="DK860" s="36"/>
      <c r="DL860" s="36"/>
      <c r="DM860" s="36"/>
      <c r="DN860" s="36"/>
      <c r="DO860" s="36"/>
      <c r="DP860" s="36"/>
      <c r="DQ860" s="36"/>
      <c r="DR860" s="36"/>
      <c r="DS860" s="36"/>
    </row>
    <row r="861" spans="1:123" ht="14.45">
      <c r="A861"/>
      <c r="B861"/>
      <c r="C861"/>
      <c r="D861"/>
      <c r="E861"/>
      <c r="F861"/>
      <c r="G861"/>
      <c r="H861"/>
      <c r="I861"/>
      <c r="J861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  <c r="BR861" s="36"/>
      <c r="BS861" s="36"/>
      <c r="BT861" s="36"/>
      <c r="BU861" s="36"/>
      <c r="BV861" s="36"/>
      <c r="BW861" s="36"/>
      <c r="BX861" s="36"/>
      <c r="BY861" s="36"/>
      <c r="BZ861" s="36"/>
      <c r="CA861" s="36"/>
      <c r="CB861" s="36"/>
      <c r="CC861" s="36"/>
      <c r="CD861" s="36"/>
      <c r="CE861" s="36"/>
      <c r="CF861" s="36"/>
      <c r="CG861" s="36"/>
      <c r="CH861" s="36"/>
      <c r="CI861" s="36"/>
      <c r="CJ861" s="36"/>
      <c r="CK861" s="36"/>
      <c r="CL861" s="36"/>
      <c r="CM861" s="36"/>
      <c r="CN861" s="36"/>
      <c r="CO861" s="36"/>
      <c r="CP861" s="36"/>
      <c r="CQ861" s="36"/>
      <c r="CR861" s="36"/>
      <c r="CS861" s="36"/>
      <c r="CT861" s="36"/>
      <c r="CU861" s="36"/>
      <c r="CV861" s="36"/>
      <c r="CW861" s="36"/>
      <c r="CX861" s="36"/>
      <c r="CY861" s="36"/>
      <c r="CZ861" s="36"/>
      <c r="DA861" s="36"/>
      <c r="DB861" s="36"/>
      <c r="DC861" s="36"/>
      <c r="DD861" s="36"/>
      <c r="DE861" s="36"/>
      <c r="DF861" s="36"/>
      <c r="DG861" s="36"/>
      <c r="DH861" s="36"/>
      <c r="DI861" s="36"/>
      <c r="DJ861" s="36"/>
      <c r="DK861" s="36"/>
      <c r="DL861" s="36"/>
      <c r="DM861" s="36"/>
      <c r="DN861" s="36"/>
      <c r="DO861" s="36"/>
      <c r="DP861" s="36"/>
      <c r="DQ861" s="36"/>
      <c r="DR861" s="36"/>
      <c r="DS861" s="36"/>
    </row>
    <row r="862" spans="1:123" ht="14.45">
      <c r="A862"/>
      <c r="B862"/>
      <c r="C862"/>
      <c r="D862"/>
      <c r="E862"/>
      <c r="F862"/>
      <c r="G862"/>
      <c r="H862"/>
      <c r="I862"/>
      <c r="J862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  <c r="BR862" s="36"/>
      <c r="BS862" s="36"/>
      <c r="BT862" s="36"/>
      <c r="BU862" s="36"/>
      <c r="BV862" s="36"/>
      <c r="BW862" s="36"/>
      <c r="BX862" s="36"/>
      <c r="BY862" s="36"/>
      <c r="BZ862" s="36"/>
      <c r="CA862" s="36"/>
      <c r="CB862" s="36"/>
      <c r="CC862" s="36"/>
      <c r="CD862" s="36"/>
      <c r="CE862" s="36"/>
      <c r="CF862" s="36"/>
      <c r="CG862" s="36"/>
      <c r="CH862" s="36"/>
      <c r="CI862" s="36"/>
      <c r="CJ862" s="36"/>
      <c r="CK862" s="36"/>
      <c r="CL862" s="36"/>
      <c r="CM862" s="36"/>
      <c r="CN862" s="36"/>
      <c r="CO862" s="36"/>
      <c r="CP862" s="36"/>
      <c r="CQ862" s="36"/>
      <c r="CR862" s="36"/>
      <c r="CS862" s="36"/>
      <c r="CT862" s="36"/>
      <c r="CU862" s="36"/>
      <c r="CV862" s="36"/>
      <c r="CW862" s="36"/>
      <c r="CX862" s="36"/>
      <c r="CY862" s="36"/>
      <c r="CZ862" s="36"/>
      <c r="DA862" s="36"/>
      <c r="DB862" s="36"/>
      <c r="DC862" s="36"/>
      <c r="DD862" s="36"/>
      <c r="DE862" s="36"/>
      <c r="DF862" s="36"/>
      <c r="DG862" s="36"/>
      <c r="DH862" s="36"/>
      <c r="DI862" s="36"/>
      <c r="DJ862" s="36"/>
      <c r="DK862" s="36"/>
      <c r="DL862" s="36"/>
      <c r="DM862" s="36"/>
      <c r="DN862" s="36"/>
      <c r="DO862" s="36"/>
      <c r="DP862" s="36"/>
      <c r="DQ862" s="36"/>
      <c r="DR862" s="36"/>
      <c r="DS862" s="36"/>
    </row>
    <row r="863" spans="1:123" ht="14.45">
      <c r="A863"/>
      <c r="B863"/>
      <c r="C863"/>
      <c r="D863"/>
      <c r="E863"/>
      <c r="F863"/>
      <c r="G863"/>
      <c r="H863"/>
      <c r="I863"/>
      <c r="J863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  <c r="BR863" s="36"/>
      <c r="BS863" s="36"/>
      <c r="BT863" s="36"/>
      <c r="BU863" s="36"/>
      <c r="BV863" s="36"/>
      <c r="BW863" s="36"/>
      <c r="BX863" s="36"/>
      <c r="BY863" s="36"/>
      <c r="BZ863" s="36"/>
      <c r="CA863" s="36"/>
      <c r="CB863" s="36"/>
      <c r="CC863" s="36"/>
      <c r="CD863" s="36"/>
      <c r="CE863" s="36"/>
      <c r="CF863" s="36"/>
      <c r="CG863" s="36"/>
      <c r="CH863" s="36"/>
      <c r="CI863" s="36"/>
      <c r="CJ863" s="36"/>
      <c r="CK863" s="36"/>
      <c r="CL863" s="36"/>
      <c r="CM863" s="36"/>
      <c r="CN863" s="36"/>
      <c r="CO863" s="36"/>
      <c r="CP863" s="36"/>
      <c r="CQ863" s="36"/>
      <c r="CR863" s="36"/>
      <c r="CS863" s="36"/>
      <c r="CT863" s="36"/>
      <c r="CU863" s="36"/>
      <c r="CV863" s="36"/>
      <c r="CW863" s="36"/>
      <c r="CX863" s="36"/>
      <c r="CY863" s="36"/>
      <c r="CZ863" s="36"/>
      <c r="DA863" s="36"/>
      <c r="DB863" s="36"/>
      <c r="DC863" s="36"/>
      <c r="DD863" s="36"/>
      <c r="DE863" s="36"/>
      <c r="DF863" s="36"/>
      <c r="DG863" s="36"/>
      <c r="DH863" s="36"/>
      <c r="DI863" s="36"/>
      <c r="DJ863" s="36"/>
      <c r="DK863" s="36"/>
      <c r="DL863" s="36"/>
      <c r="DM863" s="36"/>
      <c r="DN863" s="36"/>
      <c r="DO863" s="36"/>
      <c r="DP863" s="36"/>
      <c r="DQ863" s="36"/>
      <c r="DR863" s="36"/>
      <c r="DS863" s="36"/>
    </row>
    <row r="864" spans="1:123" ht="14.45">
      <c r="A864"/>
      <c r="B864"/>
      <c r="C864"/>
      <c r="D864"/>
      <c r="E864"/>
      <c r="F864"/>
      <c r="G864"/>
      <c r="H864"/>
      <c r="I864"/>
      <c r="J864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  <c r="BS864" s="36"/>
      <c r="BT864" s="36"/>
      <c r="BU864" s="36"/>
      <c r="BV864" s="36"/>
      <c r="BW864" s="36"/>
      <c r="BX864" s="36"/>
      <c r="BY864" s="36"/>
      <c r="BZ864" s="36"/>
      <c r="CA864" s="36"/>
      <c r="CB864" s="36"/>
      <c r="CC864" s="36"/>
      <c r="CD864" s="36"/>
      <c r="CE864" s="36"/>
      <c r="CF864" s="36"/>
      <c r="CG864" s="36"/>
      <c r="CH864" s="36"/>
      <c r="CI864" s="36"/>
      <c r="CJ864" s="36"/>
      <c r="CK864" s="36"/>
      <c r="CL864" s="36"/>
      <c r="CM864" s="36"/>
      <c r="CN864" s="36"/>
      <c r="CO864" s="36"/>
      <c r="CP864" s="36"/>
      <c r="CQ864" s="36"/>
      <c r="CR864" s="36"/>
      <c r="CS864" s="36"/>
      <c r="CT864" s="36"/>
      <c r="CU864" s="36"/>
      <c r="CV864" s="36"/>
      <c r="CW864" s="36"/>
      <c r="CX864" s="36"/>
      <c r="CY864" s="36"/>
      <c r="CZ864" s="36"/>
      <c r="DA864" s="36"/>
      <c r="DB864" s="36"/>
      <c r="DC864" s="36"/>
      <c r="DD864" s="36"/>
      <c r="DE864" s="36"/>
      <c r="DF864" s="36"/>
      <c r="DG864" s="36"/>
      <c r="DH864" s="36"/>
      <c r="DI864" s="36"/>
      <c r="DJ864" s="36"/>
      <c r="DK864" s="36"/>
      <c r="DL864" s="36"/>
      <c r="DM864" s="36"/>
      <c r="DN864" s="36"/>
      <c r="DO864" s="36"/>
      <c r="DP864" s="36"/>
      <c r="DQ864" s="36"/>
      <c r="DR864" s="36"/>
      <c r="DS864" s="36"/>
    </row>
    <row r="865" spans="1:123" ht="14.45">
      <c r="A865"/>
      <c r="B865"/>
      <c r="C865"/>
      <c r="D865"/>
      <c r="E865"/>
      <c r="F865"/>
      <c r="G865"/>
      <c r="H865"/>
      <c r="I865"/>
      <c r="J865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  <c r="BR865" s="36"/>
      <c r="BS865" s="36"/>
      <c r="BT865" s="36"/>
      <c r="BU865" s="36"/>
      <c r="BV865" s="36"/>
      <c r="BW865" s="36"/>
      <c r="BX865" s="36"/>
      <c r="BY865" s="36"/>
      <c r="BZ865" s="36"/>
      <c r="CA865" s="36"/>
      <c r="CB865" s="36"/>
      <c r="CC865" s="36"/>
      <c r="CD865" s="36"/>
      <c r="CE865" s="36"/>
      <c r="CF865" s="36"/>
      <c r="CG865" s="36"/>
      <c r="CH865" s="36"/>
      <c r="CI865" s="36"/>
      <c r="CJ865" s="36"/>
      <c r="CK865" s="36"/>
      <c r="CL865" s="36"/>
      <c r="CM865" s="36"/>
      <c r="CN865" s="36"/>
      <c r="CO865" s="36"/>
      <c r="CP865" s="36"/>
      <c r="CQ865" s="36"/>
      <c r="CR865" s="36"/>
      <c r="CS865" s="36"/>
      <c r="CT865" s="36"/>
      <c r="CU865" s="36"/>
      <c r="CV865" s="36"/>
      <c r="CW865" s="36"/>
      <c r="CX865" s="36"/>
      <c r="CY865" s="36"/>
      <c r="CZ865" s="36"/>
      <c r="DA865" s="36"/>
      <c r="DB865" s="36"/>
      <c r="DC865" s="36"/>
      <c r="DD865" s="36"/>
      <c r="DE865" s="36"/>
      <c r="DF865" s="36"/>
      <c r="DG865" s="36"/>
      <c r="DH865" s="36"/>
      <c r="DI865" s="36"/>
      <c r="DJ865" s="36"/>
      <c r="DK865" s="36"/>
      <c r="DL865" s="36"/>
      <c r="DM865" s="36"/>
      <c r="DN865" s="36"/>
      <c r="DO865" s="36"/>
      <c r="DP865" s="36"/>
      <c r="DQ865" s="36"/>
      <c r="DR865" s="36"/>
      <c r="DS865" s="36"/>
    </row>
    <row r="866" spans="1:123" ht="14.45">
      <c r="A866"/>
      <c r="B866"/>
      <c r="C866"/>
      <c r="D866"/>
      <c r="E866"/>
      <c r="F866"/>
      <c r="G866"/>
      <c r="H866"/>
      <c r="I866"/>
      <c r="J86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  <c r="BS866" s="36"/>
      <c r="BT866" s="36"/>
      <c r="BU866" s="36"/>
      <c r="BV866" s="36"/>
      <c r="BW866" s="36"/>
      <c r="BX866" s="36"/>
      <c r="BY866" s="36"/>
      <c r="BZ866" s="36"/>
      <c r="CA866" s="36"/>
      <c r="CB866" s="36"/>
      <c r="CC866" s="36"/>
      <c r="CD866" s="36"/>
      <c r="CE866" s="36"/>
      <c r="CF866" s="36"/>
      <c r="CG866" s="36"/>
      <c r="CH866" s="36"/>
      <c r="CI866" s="36"/>
      <c r="CJ866" s="36"/>
      <c r="CK866" s="36"/>
      <c r="CL866" s="36"/>
      <c r="CM866" s="36"/>
      <c r="CN866" s="36"/>
      <c r="CO866" s="36"/>
      <c r="CP866" s="36"/>
      <c r="CQ866" s="36"/>
      <c r="CR866" s="36"/>
      <c r="CS866" s="36"/>
      <c r="CT866" s="36"/>
      <c r="CU866" s="36"/>
      <c r="CV866" s="36"/>
      <c r="CW866" s="36"/>
      <c r="CX866" s="36"/>
      <c r="CY866" s="36"/>
      <c r="CZ866" s="36"/>
      <c r="DA866" s="36"/>
      <c r="DB866" s="36"/>
      <c r="DC866" s="36"/>
      <c r="DD866" s="36"/>
      <c r="DE866" s="36"/>
      <c r="DF866" s="36"/>
      <c r="DG866" s="36"/>
      <c r="DH866" s="36"/>
      <c r="DI866" s="36"/>
      <c r="DJ866" s="36"/>
      <c r="DK866" s="36"/>
      <c r="DL866" s="36"/>
      <c r="DM866" s="36"/>
      <c r="DN866" s="36"/>
      <c r="DO866" s="36"/>
      <c r="DP866" s="36"/>
      <c r="DQ866" s="36"/>
      <c r="DR866" s="36"/>
      <c r="DS866" s="36"/>
    </row>
    <row r="867" spans="1:123" ht="14.45">
      <c r="A867"/>
      <c r="B867"/>
      <c r="C867"/>
      <c r="D867"/>
      <c r="E867"/>
      <c r="F867"/>
      <c r="G867"/>
      <c r="H867"/>
      <c r="I867"/>
      <c r="J867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  <c r="BR867" s="36"/>
      <c r="BS867" s="36"/>
      <c r="BT867" s="36"/>
      <c r="BU867" s="36"/>
      <c r="BV867" s="36"/>
      <c r="BW867" s="36"/>
      <c r="BX867" s="36"/>
      <c r="BY867" s="36"/>
      <c r="BZ867" s="36"/>
      <c r="CA867" s="36"/>
      <c r="CB867" s="36"/>
      <c r="CC867" s="36"/>
      <c r="CD867" s="36"/>
      <c r="CE867" s="36"/>
      <c r="CF867" s="36"/>
      <c r="CG867" s="36"/>
      <c r="CH867" s="36"/>
      <c r="CI867" s="36"/>
      <c r="CJ867" s="36"/>
      <c r="CK867" s="36"/>
      <c r="CL867" s="36"/>
      <c r="CM867" s="36"/>
      <c r="CN867" s="36"/>
      <c r="CO867" s="36"/>
      <c r="CP867" s="36"/>
      <c r="CQ867" s="36"/>
      <c r="CR867" s="36"/>
      <c r="CS867" s="36"/>
      <c r="CT867" s="36"/>
      <c r="CU867" s="36"/>
      <c r="CV867" s="36"/>
      <c r="CW867" s="36"/>
      <c r="CX867" s="36"/>
      <c r="CY867" s="36"/>
      <c r="CZ867" s="36"/>
      <c r="DA867" s="36"/>
      <c r="DB867" s="36"/>
      <c r="DC867" s="36"/>
      <c r="DD867" s="36"/>
      <c r="DE867" s="36"/>
      <c r="DF867" s="36"/>
      <c r="DG867" s="36"/>
      <c r="DH867" s="36"/>
      <c r="DI867" s="36"/>
      <c r="DJ867" s="36"/>
      <c r="DK867" s="36"/>
      <c r="DL867" s="36"/>
      <c r="DM867" s="36"/>
      <c r="DN867" s="36"/>
      <c r="DO867" s="36"/>
      <c r="DP867" s="36"/>
      <c r="DQ867" s="36"/>
      <c r="DR867" s="36"/>
      <c r="DS867" s="36"/>
    </row>
    <row r="868" spans="1:123" ht="14.45">
      <c r="A868"/>
      <c r="B868"/>
      <c r="C868"/>
      <c r="D868"/>
      <c r="E868"/>
      <c r="F868"/>
      <c r="G868"/>
      <c r="H868"/>
      <c r="I868"/>
      <c r="J868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  <c r="BR868" s="36"/>
      <c r="BS868" s="36"/>
      <c r="BT868" s="36"/>
      <c r="BU868" s="36"/>
      <c r="BV868" s="36"/>
      <c r="BW868" s="36"/>
      <c r="BX868" s="36"/>
      <c r="BY868" s="36"/>
      <c r="BZ868" s="36"/>
      <c r="CA868" s="36"/>
      <c r="CB868" s="36"/>
      <c r="CC868" s="36"/>
      <c r="CD868" s="36"/>
      <c r="CE868" s="36"/>
      <c r="CF868" s="36"/>
      <c r="CG868" s="36"/>
      <c r="CH868" s="36"/>
      <c r="CI868" s="36"/>
      <c r="CJ868" s="36"/>
      <c r="CK868" s="36"/>
      <c r="CL868" s="36"/>
      <c r="CM868" s="36"/>
      <c r="CN868" s="36"/>
      <c r="CO868" s="36"/>
      <c r="CP868" s="36"/>
      <c r="CQ868" s="36"/>
      <c r="CR868" s="36"/>
      <c r="CS868" s="36"/>
      <c r="CT868" s="36"/>
      <c r="CU868" s="36"/>
      <c r="CV868" s="36"/>
      <c r="CW868" s="36"/>
      <c r="CX868" s="36"/>
      <c r="CY868" s="36"/>
      <c r="CZ868" s="36"/>
      <c r="DA868" s="36"/>
      <c r="DB868" s="36"/>
      <c r="DC868" s="36"/>
      <c r="DD868" s="36"/>
      <c r="DE868" s="36"/>
      <c r="DF868" s="36"/>
      <c r="DG868" s="36"/>
      <c r="DH868" s="36"/>
      <c r="DI868" s="36"/>
      <c r="DJ868" s="36"/>
      <c r="DK868" s="36"/>
      <c r="DL868" s="36"/>
      <c r="DM868" s="36"/>
      <c r="DN868" s="36"/>
      <c r="DO868" s="36"/>
      <c r="DP868" s="36"/>
      <c r="DQ868" s="36"/>
      <c r="DR868" s="36"/>
      <c r="DS868" s="36"/>
    </row>
    <row r="869" spans="1:123" ht="14.45">
      <c r="A869"/>
      <c r="B869"/>
      <c r="C869"/>
      <c r="D869"/>
      <c r="E869"/>
      <c r="F869"/>
      <c r="G869"/>
      <c r="H869"/>
      <c r="I869"/>
      <c r="J869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  <c r="BR869" s="36"/>
      <c r="BS869" s="36"/>
      <c r="BT869" s="36"/>
      <c r="BU869" s="36"/>
      <c r="BV869" s="36"/>
      <c r="BW869" s="36"/>
      <c r="BX869" s="36"/>
      <c r="BY869" s="36"/>
      <c r="BZ869" s="36"/>
      <c r="CA869" s="36"/>
      <c r="CB869" s="36"/>
      <c r="CC869" s="36"/>
      <c r="CD869" s="36"/>
      <c r="CE869" s="36"/>
      <c r="CF869" s="36"/>
      <c r="CG869" s="36"/>
      <c r="CH869" s="36"/>
      <c r="CI869" s="36"/>
      <c r="CJ869" s="36"/>
      <c r="CK869" s="36"/>
      <c r="CL869" s="36"/>
      <c r="CM869" s="36"/>
      <c r="CN869" s="36"/>
      <c r="CO869" s="36"/>
      <c r="CP869" s="36"/>
      <c r="CQ869" s="36"/>
      <c r="CR869" s="36"/>
      <c r="CS869" s="36"/>
      <c r="CT869" s="36"/>
      <c r="CU869" s="36"/>
      <c r="CV869" s="36"/>
      <c r="CW869" s="36"/>
      <c r="CX869" s="36"/>
      <c r="CY869" s="36"/>
      <c r="CZ869" s="36"/>
      <c r="DA869" s="36"/>
      <c r="DB869" s="36"/>
      <c r="DC869" s="36"/>
      <c r="DD869" s="36"/>
      <c r="DE869" s="36"/>
      <c r="DF869" s="36"/>
      <c r="DG869" s="36"/>
      <c r="DH869" s="36"/>
      <c r="DI869" s="36"/>
      <c r="DJ869" s="36"/>
      <c r="DK869" s="36"/>
      <c r="DL869" s="36"/>
      <c r="DM869" s="36"/>
      <c r="DN869" s="36"/>
      <c r="DO869" s="36"/>
      <c r="DP869" s="36"/>
      <c r="DQ869" s="36"/>
      <c r="DR869" s="36"/>
      <c r="DS869" s="36"/>
    </row>
    <row r="870" spans="1:123" ht="14.45">
      <c r="A870"/>
      <c r="B870"/>
      <c r="C870"/>
      <c r="D870"/>
      <c r="E870"/>
      <c r="F870"/>
      <c r="G870"/>
      <c r="H870"/>
      <c r="I870"/>
      <c r="J870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  <c r="BR870" s="36"/>
      <c r="BS870" s="36"/>
      <c r="BT870" s="36"/>
      <c r="BU870" s="36"/>
      <c r="BV870" s="36"/>
      <c r="BW870" s="36"/>
      <c r="BX870" s="36"/>
      <c r="BY870" s="36"/>
      <c r="BZ870" s="36"/>
      <c r="CA870" s="36"/>
      <c r="CB870" s="36"/>
      <c r="CC870" s="36"/>
      <c r="CD870" s="36"/>
      <c r="CE870" s="36"/>
      <c r="CF870" s="36"/>
      <c r="CG870" s="36"/>
      <c r="CH870" s="36"/>
      <c r="CI870" s="36"/>
      <c r="CJ870" s="36"/>
      <c r="CK870" s="36"/>
      <c r="CL870" s="36"/>
      <c r="CM870" s="36"/>
      <c r="CN870" s="36"/>
      <c r="CO870" s="36"/>
      <c r="CP870" s="36"/>
      <c r="CQ870" s="36"/>
      <c r="CR870" s="36"/>
      <c r="CS870" s="36"/>
      <c r="CT870" s="36"/>
      <c r="CU870" s="36"/>
      <c r="CV870" s="36"/>
      <c r="CW870" s="36"/>
      <c r="CX870" s="36"/>
      <c r="CY870" s="36"/>
      <c r="CZ870" s="36"/>
      <c r="DA870" s="36"/>
      <c r="DB870" s="36"/>
      <c r="DC870" s="36"/>
      <c r="DD870" s="36"/>
      <c r="DE870" s="36"/>
      <c r="DF870" s="36"/>
      <c r="DG870" s="36"/>
      <c r="DH870" s="36"/>
      <c r="DI870" s="36"/>
      <c r="DJ870" s="36"/>
      <c r="DK870" s="36"/>
      <c r="DL870" s="36"/>
      <c r="DM870" s="36"/>
      <c r="DN870" s="36"/>
      <c r="DO870" s="36"/>
      <c r="DP870" s="36"/>
      <c r="DQ870" s="36"/>
      <c r="DR870" s="36"/>
      <c r="DS870" s="36"/>
    </row>
    <row r="871" spans="1:123" ht="14.45">
      <c r="A871"/>
      <c r="B871"/>
      <c r="C871"/>
      <c r="D871"/>
      <c r="E871"/>
      <c r="F871"/>
      <c r="G871"/>
      <c r="H871"/>
      <c r="I871"/>
      <c r="J871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  <c r="BR871" s="36"/>
      <c r="BS871" s="36"/>
      <c r="BT871" s="36"/>
      <c r="BU871" s="36"/>
      <c r="BV871" s="36"/>
      <c r="BW871" s="36"/>
      <c r="BX871" s="36"/>
      <c r="BY871" s="36"/>
      <c r="BZ871" s="36"/>
      <c r="CA871" s="36"/>
      <c r="CB871" s="36"/>
      <c r="CC871" s="36"/>
      <c r="CD871" s="36"/>
      <c r="CE871" s="36"/>
      <c r="CF871" s="36"/>
      <c r="CG871" s="36"/>
      <c r="CH871" s="36"/>
      <c r="CI871" s="36"/>
      <c r="CJ871" s="36"/>
      <c r="CK871" s="36"/>
      <c r="CL871" s="36"/>
      <c r="CM871" s="36"/>
      <c r="CN871" s="36"/>
      <c r="CO871" s="36"/>
      <c r="CP871" s="36"/>
      <c r="CQ871" s="36"/>
      <c r="CR871" s="36"/>
      <c r="CS871" s="36"/>
      <c r="CT871" s="36"/>
      <c r="CU871" s="36"/>
      <c r="CV871" s="36"/>
      <c r="CW871" s="36"/>
      <c r="CX871" s="36"/>
      <c r="CY871" s="36"/>
      <c r="CZ871" s="36"/>
      <c r="DA871" s="36"/>
      <c r="DB871" s="36"/>
      <c r="DC871" s="36"/>
      <c r="DD871" s="36"/>
      <c r="DE871" s="36"/>
      <c r="DF871" s="36"/>
      <c r="DG871" s="36"/>
      <c r="DH871" s="36"/>
      <c r="DI871" s="36"/>
      <c r="DJ871" s="36"/>
      <c r="DK871" s="36"/>
      <c r="DL871" s="36"/>
      <c r="DM871" s="36"/>
      <c r="DN871" s="36"/>
      <c r="DO871" s="36"/>
      <c r="DP871" s="36"/>
      <c r="DQ871" s="36"/>
      <c r="DR871" s="36"/>
      <c r="DS871" s="36"/>
    </row>
    <row r="872" spans="1:123" ht="14.45">
      <c r="A872"/>
      <c r="B872"/>
      <c r="C872"/>
      <c r="D872"/>
      <c r="E872"/>
      <c r="F872"/>
      <c r="G872"/>
      <c r="H872"/>
      <c r="I872"/>
      <c r="J872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6"/>
      <c r="CA872" s="36"/>
      <c r="CB872" s="36"/>
      <c r="CC872" s="36"/>
      <c r="CD872" s="36"/>
      <c r="CE872" s="36"/>
      <c r="CF872" s="36"/>
      <c r="CG872" s="36"/>
      <c r="CH872" s="36"/>
      <c r="CI872" s="36"/>
      <c r="CJ872" s="36"/>
      <c r="CK872" s="36"/>
      <c r="CL872" s="36"/>
      <c r="CM872" s="36"/>
      <c r="CN872" s="36"/>
      <c r="CO872" s="36"/>
      <c r="CP872" s="36"/>
      <c r="CQ872" s="36"/>
      <c r="CR872" s="36"/>
      <c r="CS872" s="36"/>
      <c r="CT872" s="36"/>
      <c r="CU872" s="36"/>
      <c r="CV872" s="36"/>
      <c r="CW872" s="36"/>
      <c r="CX872" s="36"/>
      <c r="CY872" s="36"/>
      <c r="CZ872" s="36"/>
      <c r="DA872" s="36"/>
      <c r="DB872" s="36"/>
      <c r="DC872" s="36"/>
      <c r="DD872" s="36"/>
      <c r="DE872" s="36"/>
      <c r="DF872" s="36"/>
      <c r="DG872" s="36"/>
      <c r="DH872" s="36"/>
      <c r="DI872" s="36"/>
      <c r="DJ872" s="36"/>
      <c r="DK872" s="36"/>
      <c r="DL872" s="36"/>
      <c r="DM872" s="36"/>
      <c r="DN872" s="36"/>
      <c r="DO872" s="36"/>
      <c r="DP872" s="36"/>
      <c r="DQ872" s="36"/>
      <c r="DR872" s="36"/>
      <c r="DS872" s="36"/>
    </row>
    <row r="873" spans="1:123" ht="14.45">
      <c r="A873"/>
      <c r="B873"/>
      <c r="C873"/>
      <c r="D873"/>
      <c r="E873"/>
      <c r="F873"/>
      <c r="G873"/>
      <c r="H873"/>
      <c r="I873"/>
      <c r="J873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  <c r="BR873" s="36"/>
      <c r="BS873" s="36"/>
      <c r="BT873" s="36"/>
      <c r="BU873" s="36"/>
      <c r="BV873" s="36"/>
      <c r="BW873" s="36"/>
      <c r="BX873" s="36"/>
      <c r="BY873" s="36"/>
      <c r="BZ873" s="36"/>
      <c r="CA873" s="36"/>
      <c r="CB873" s="36"/>
      <c r="CC873" s="36"/>
      <c r="CD873" s="36"/>
      <c r="CE873" s="36"/>
      <c r="CF873" s="36"/>
      <c r="CG873" s="36"/>
      <c r="CH873" s="36"/>
      <c r="CI873" s="36"/>
      <c r="CJ873" s="36"/>
      <c r="CK873" s="36"/>
      <c r="CL873" s="36"/>
      <c r="CM873" s="36"/>
      <c r="CN873" s="36"/>
      <c r="CO873" s="36"/>
      <c r="CP873" s="36"/>
      <c r="CQ873" s="36"/>
      <c r="CR873" s="36"/>
      <c r="CS873" s="36"/>
      <c r="CT873" s="36"/>
      <c r="CU873" s="36"/>
      <c r="CV873" s="36"/>
      <c r="CW873" s="36"/>
      <c r="CX873" s="36"/>
      <c r="CY873" s="36"/>
      <c r="CZ873" s="36"/>
      <c r="DA873" s="36"/>
      <c r="DB873" s="36"/>
      <c r="DC873" s="36"/>
      <c r="DD873" s="36"/>
      <c r="DE873" s="36"/>
      <c r="DF873" s="36"/>
      <c r="DG873" s="36"/>
      <c r="DH873" s="36"/>
      <c r="DI873" s="36"/>
      <c r="DJ873" s="36"/>
      <c r="DK873" s="36"/>
      <c r="DL873" s="36"/>
      <c r="DM873" s="36"/>
      <c r="DN873" s="36"/>
      <c r="DO873" s="36"/>
      <c r="DP873" s="36"/>
      <c r="DQ873" s="36"/>
      <c r="DR873" s="36"/>
      <c r="DS873" s="36"/>
    </row>
    <row r="874" spans="1:123" ht="14.45">
      <c r="A874"/>
      <c r="B874"/>
      <c r="C874"/>
      <c r="D874"/>
      <c r="E874"/>
      <c r="F874"/>
      <c r="G874"/>
      <c r="H874"/>
      <c r="I874"/>
      <c r="J874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  <c r="BR874" s="36"/>
      <c r="BS874" s="36"/>
      <c r="BT874" s="36"/>
      <c r="BU874" s="36"/>
      <c r="BV874" s="36"/>
      <c r="BW874" s="36"/>
      <c r="BX874" s="36"/>
      <c r="BY874" s="36"/>
      <c r="BZ874" s="36"/>
      <c r="CA874" s="36"/>
      <c r="CB874" s="36"/>
      <c r="CC874" s="36"/>
      <c r="CD874" s="36"/>
      <c r="CE874" s="36"/>
      <c r="CF874" s="36"/>
      <c r="CG874" s="36"/>
      <c r="CH874" s="36"/>
      <c r="CI874" s="36"/>
      <c r="CJ874" s="36"/>
      <c r="CK874" s="36"/>
      <c r="CL874" s="36"/>
      <c r="CM874" s="36"/>
      <c r="CN874" s="36"/>
      <c r="CO874" s="36"/>
      <c r="CP874" s="36"/>
      <c r="CQ874" s="36"/>
      <c r="CR874" s="36"/>
      <c r="CS874" s="36"/>
      <c r="CT874" s="36"/>
      <c r="CU874" s="36"/>
      <c r="CV874" s="36"/>
      <c r="CW874" s="36"/>
      <c r="CX874" s="36"/>
      <c r="CY874" s="36"/>
      <c r="CZ874" s="36"/>
      <c r="DA874" s="36"/>
      <c r="DB874" s="36"/>
      <c r="DC874" s="36"/>
      <c r="DD874" s="36"/>
      <c r="DE874" s="36"/>
      <c r="DF874" s="36"/>
      <c r="DG874" s="36"/>
      <c r="DH874" s="36"/>
      <c r="DI874" s="36"/>
      <c r="DJ874" s="36"/>
      <c r="DK874" s="36"/>
      <c r="DL874" s="36"/>
      <c r="DM874" s="36"/>
      <c r="DN874" s="36"/>
      <c r="DO874" s="36"/>
      <c r="DP874" s="36"/>
      <c r="DQ874" s="36"/>
      <c r="DR874" s="36"/>
      <c r="DS874" s="36"/>
    </row>
    <row r="875" spans="1:123" ht="14.45">
      <c r="A875"/>
      <c r="B875"/>
      <c r="C875"/>
      <c r="D875"/>
      <c r="E875"/>
      <c r="F875"/>
      <c r="G875"/>
      <c r="H875"/>
      <c r="I875"/>
      <c r="J875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  <c r="BR875" s="36"/>
      <c r="BS875" s="36"/>
      <c r="BT875" s="36"/>
      <c r="BU875" s="36"/>
      <c r="BV875" s="36"/>
      <c r="BW875" s="36"/>
      <c r="BX875" s="36"/>
      <c r="BY875" s="36"/>
      <c r="BZ875" s="36"/>
      <c r="CA875" s="36"/>
      <c r="CB875" s="36"/>
      <c r="CC875" s="36"/>
      <c r="CD875" s="36"/>
      <c r="CE875" s="36"/>
      <c r="CF875" s="36"/>
      <c r="CG875" s="36"/>
      <c r="CH875" s="36"/>
      <c r="CI875" s="36"/>
      <c r="CJ875" s="36"/>
      <c r="CK875" s="36"/>
      <c r="CL875" s="36"/>
      <c r="CM875" s="36"/>
      <c r="CN875" s="36"/>
      <c r="CO875" s="36"/>
      <c r="CP875" s="36"/>
      <c r="CQ875" s="36"/>
      <c r="CR875" s="36"/>
      <c r="CS875" s="36"/>
      <c r="CT875" s="36"/>
      <c r="CU875" s="36"/>
      <c r="CV875" s="36"/>
      <c r="CW875" s="36"/>
      <c r="CX875" s="36"/>
      <c r="CY875" s="36"/>
      <c r="CZ875" s="36"/>
      <c r="DA875" s="36"/>
      <c r="DB875" s="36"/>
      <c r="DC875" s="36"/>
      <c r="DD875" s="36"/>
      <c r="DE875" s="36"/>
      <c r="DF875" s="36"/>
      <c r="DG875" s="36"/>
      <c r="DH875" s="36"/>
      <c r="DI875" s="36"/>
      <c r="DJ875" s="36"/>
      <c r="DK875" s="36"/>
      <c r="DL875" s="36"/>
      <c r="DM875" s="36"/>
      <c r="DN875" s="36"/>
      <c r="DO875" s="36"/>
      <c r="DP875" s="36"/>
      <c r="DQ875" s="36"/>
      <c r="DR875" s="36"/>
      <c r="DS875" s="36"/>
    </row>
    <row r="876" spans="1:123" ht="14.45">
      <c r="A876"/>
      <c r="B876"/>
      <c r="C876"/>
      <c r="D876"/>
      <c r="E876"/>
      <c r="F876"/>
      <c r="G876"/>
      <c r="H876"/>
      <c r="I876"/>
      <c r="J87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  <c r="BR876" s="36"/>
      <c r="BS876" s="36"/>
      <c r="BT876" s="36"/>
      <c r="BU876" s="36"/>
      <c r="BV876" s="36"/>
      <c r="BW876" s="36"/>
      <c r="BX876" s="36"/>
      <c r="BY876" s="36"/>
      <c r="BZ876" s="36"/>
      <c r="CA876" s="36"/>
      <c r="CB876" s="36"/>
      <c r="CC876" s="36"/>
      <c r="CD876" s="36"/>
      <c r="CE876" s="36"/>
      <c r="CF876" s="36"/>
      <c r="CG876" s="36"/>
      <c r="CH876" s="36"/>
      <c r="CI876" s="36"/>
      <c r="CJ876" s="36"/>
      <c r="CK876" s="36"/>
      <c r="CL876" s="36"/>
      <c r="CM876" s="36"/>
      <c r="CN876" s="36"/>
      <c r="CO876" s="36"/>
      <c r="CP876" s="36"/>
      <c r="CQ876" s="36"/>
      <c r="CR876" s="36"/>
      <c r="CS876" s="36"/>
      <c r="CT876" s="36"/>
      <c r="CU876" s="36"/>
      <c r="CV876" s="36"/>
      <c r="CW876" s="36"/>
      <c r="CX876" s="36"/>
      <c r="CY876" s="36"/>
      <c r="CZ876" s="36"/>
      <c r="DA876" s="36"/>
      <c r="DB876" s="36"/>
      <c r="DC876" s="36"/>
      <c r="DD876" s="36"/>
      <c r="DE876" s="36"/>
      <c r="DF876" s="36"/>
      <c r="DG876" s="36"/>
      <c r="DH876" s="36"/>
      <c r="DI876" s="36"/>
      <c r="DJ876" s="36"/>
      <c r="DK876" s="36"/>
      <c r="DL876" s="36"/>
      <c r="DM876" s="36"/>
      <c r="DN876" s="36"/>
      <c r="DO876" s="36"/>
      <c r="DP876" s="36"/>
      <c r="DQ876" s="36"/>
      <c r="DR876" s="36"/>
      <c r="DS876" s="36"/>
    </row>
    <row r="877" spans="1:123" ht="14.45">
      <c r="A877"/>
      <c r="B877"/>
      <c r="C877"/>
      <c r="D877"/>
      <c r="E877"/>
      <c r="F877"/>
      <c r="G877"/>
      <c r="H877"/>
      <c r="I877"/>
      <c r="J877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  <c r="BR877" s="36"/>
      <c r="BS877" s="36"/>
      <c r="BT877" s="36"/>
      <c r="BU877" s="36"/>
      <c r="BV877" s="36"/>
      <c r="BW877" s="36"/>
      <c r="BX877" s="36"/>
      <c r="BY877" s="36"/>
      <c r="BZ877" s="36"/>
      <c r="CA877" s="36"/>
      <c r="CB877" s="36"/>
      <c r="CC877" s="36"/>
      <c r="CD877" s="36"/>
      <c r="CE877" s="36"/>
      <c r="CF877" s="36"/>
      <c r="CG877" s="36"/>
      <c r="CH877" s="36"/>
      <c r="CI877" s="36"/>
      <c r="CJ877" s="36"/>
      <c r="CK877" s="36"/>
      <c r="CL877" s="36"/>
      <c r="CM877" s="36"/>
      <c r="CN877" s="36"/>
      <c r="CO877" s="36"/>
      <c r="CP877" s="36"/>
      <c r="CQ877" s="36"/>
      <c r="CR877" s="36"/>
      <c r="CS877" s="36"/>
      <c r="CT877" s="36"/>
      <c r="CU877" s="36"/>
      <c r="CV877" s="36"/>
      <c r="CW877" s="36"/>
      <c r="CX877" s="36"/>
      <c r="CY877" s="36"/>
      <c r="CZ877" s="36"/>
      <c r="DA877" s="36"/>
      <c r="DB877" s="36"/>
      <c r="DC877" s="36"/>
      <c r="DD877" s="36"/>
      <c r="DE877" s="36"/>
      <c r="DF877" s="36"/>
      <c r="DG877" s="36"/>
      <c r="DH877" s="36"/>
      <c r="DI877" s="36"/>
      <c r="DJ877" s="36"/>
      <c r="DK877" s="36"/>
      <c r="DL877" s="36"/>
      <c r="DM877" s="36"/>
      <c r="DN877" s="36"/>
      <c r="DO877" s="36"/>
      <c r="DP877" s="36"/>
      <c r="DQ877" s="36"/>
      <c r="DR877" s="36"/>
      <c r="DS877" s="36"/>
    </row>
    <row r="878" spans="1:123" ht="14.45">
      <c r="A878"/>
      <c r="B878"/>
      <c r="C878"/>
      <c r="D878"/>
      <c r="E878"/>
      <c r="F878"/>
      <c r="G878"/>
      <c r="H878"/>
      <c r="I878"/>
      <c r="J878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  <c r="BR878" s="36"/>
      <c r="BS878" s="36"/>
      <c r="BT878" s="36"/>
      <c r="BU878" s="36"/>
      <c r="BV878" s="36"/>
      <c r="BW878" s="36"/>
      <c r="BX878" s="36"/>
      <c r="BY878" s="36"/>
      <c r="BZ878" s="36"/>
      <c r="CA878" s="36"/>
      <c r="CB878" s="36"/>
      <c r="CC878" s="36"/>
      <c r="CD878" s="36"/>
      <c r="CE878" s="36"/>
      <c r="CF878" s="36"/>
      <c r="CG878" s="36"/>
      <c r="CH878" s="36"/>
      <c r="CI878" s="36"/>
      <c r="CJ878" s="36"/>
      <c r="CK878" s="36"/>
      <c r="CL878" s="36"/>
      <c r="CM878" s="36"/>
      <c r="CN878" s="36"/>
      <c r="CO878" s="36"/>
      <c r="CP878" s="36"/>
      <c r="CQ878" s="36"/>
      <c r="CR878" s="36"/>
      <c r="CS878" s="36"/>
      <c r="CT878" s="36"/>
      <c r="CU878" s="36"/>
      <c r="CV878" s="36"/>
      <c r="CW878" s="36"/>
      <c r="CX878" s="36"/>
      <c r="CY878" s="36"/>
      <c r="CZ878" s="36"/>
      <c r="DA878" s="36"/>
      <c r="DB878" s="36"/>
      <c r="DC878" s="36"/>
      <c r="DD878" s="36"/>
      <c r="DE878" s="36"/>
      <c r="DF878" s="36"/>
      <c r="DG878" s="36"/>
      <c r="DH878" s="36"/>
      <c r="DI878" s="36"/>
      <c r="DJ878" s="36"/>
      <c r="DK878" s="36"/>
      <c r="DL878" s="36"/>
      <c r="DM878" s="36"/>
      <c r="DN878" s="36"/>
      <c r="DO878" s="36"/>
      <c r="DP878" s="36"/>
      <c r="DQ878" s="36"/>
      <c r="DR878" s="36"/>
      <c r="DS878" s="36"/>
    </row>
    <row r="879" spans="1:123" ht="14.45">
      <c r="A879"/>
      <c r="B879"/>
      <c r="C879"/>
      <c r="D879"/>
      <c r="E879"/>
      <c r="F879"/>
      <c r="G879"/>
      <c r="H879"/>
      <c r="I879"/>
      <c r="J879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  <c r="BP879" s="36"/>
      <c r="BQ879" s="36"/>
      <c r="BR879" s="36"/>
      <c r="BS879" s="36"/>
      <c r="BT879" s="36"/>
      <c r="BU879" s="36"/>
      <c r="BV879" s="36"/>
      <c r="BW879" s="36"/>
      <c r="BX879" s="36"/>
      <c r="BY879" s="36"/>
      <c r="BZ879" s="36"/>
      <c r="CA879" s="36"/>
      <c r="CB879" s="36"/>
      <c r="CC879" s="36"/>
      <c r="CD879" s="36"/>
      <c r="CE879" s="36"/>
      <c r="CF879" s="36"/>
      <c r="CG879" s="36"/>
      <c r="CH879" s="36"/>
      <c r="CI879" s="36"/>
      <c r="CJ879" s="36"/>
      <c r="CK879" s="36"/>
      <c r="CL879" s="36"/>
      <c r="CM879" s="36"/>
      <c r="CN879" s="36"/>
      <c r="CO879" s="36"/>
      <c r="CP879" s="36"/>
      <c r="CQ879" s="36"/>
      <c r="CR879" s="36"/>
      <c r="CS879" s="36"/>
      <c r="CT879" s="36"/>
      <c r="CU879" s="36"/>
      <c r="CV879" s="36"/>
      <c r="CW879" s="36"/>
      <c r="CX879" s="36"/>
      <c r="CY879" s="36"/>
      <c r="CZ879" s="36"/>
      <c r="DA879" s="36"/>
      <c r="DB879" s="36"/>
      <c r="DC879" s="36"/>
      <c r="DD879" s="36"/>
      <c r="DE879" s="36"/>
      <c r="DF879" s="36"/>
      <c r="DG879" s="36"/>
      <c r="DH879" s="36"/>
      <c r="DI879" s="36"/>
      <c r="DJ879" s="36"/>
      <c r="DK879" s="36"/>
      <c r="DL879" s="36"/>
      <c r="DM879" s="36"/>
      <c r="DN879" s="36"/>
      <c r="DO879" s="36"/>
      <c r="DP879" s="36"/>
      <c r="DQ879" s="36"/>
      <c r="DR879" s="36"/>
      <c r="DS879" s="36"/>
    </row>
    <row r="880" spans="1:123" ht="14.45">
      <c r="A880"/>
      <c r="B880"/>
      <c r="C880"/>
      <c r="D880"/>
      <c r="E880"/>
      <c r="F880"/>
      <c r="G880"/>
      <c r="H880"/>
      <c r="I880"/>
      <c r="J880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  <c r="BP880" s="36"/>
      <c r="BQ880" s="36"/>
      <c r="BR880" s="36"/>
      <c r="BS880" s="36"/>
      <c r="BT880" s="36"/>
      <c r="BU880" s="36"/>
      <c r="BV880" s="36"/>
      <c r="BW880" s="36"/>
      <c r="BX880" s="36"/>
      <c r="BY880" s="36"/>
      <c r="BZ880" s="36"/>
      <c r="CA880" s="36"/>
      <c r="CB880" s="36"/>
      <c r="CC880" s="36"/>
      <c r="CD880" s="36"/>
      <c r="CE880" s="36"/>
      <c r="CF880" s="36"/>
      <c r="CG880" s="36"/>
      <c r="CH880" s="36"/>
      <c r="CI880" s="36"/>
      <c r="CJ880" s="36"/>
      <c r="CK880" s="36"/>
      <c r="CL880" s="36"/>
      <c r="CM880" s="36"/>
      <c r="CN880" s="36"/>
      <c r="CO880" s="36"/>
      <c r="CP880" s="36"/>
      <c r="CQ880" s="36"/>
      <c r="CR880" s="36"/>
      <c r="CS880" s="36"/>
      <c r="CT880" s="36"/>
      <c r="CU880" s="36"/>
      <c r="CV880" s="36"/>
      <c r="CW880" s="36"/>
      <c r="CX880" s="36"/>
      <c r="CY880" s="36"/>
      <c r="CZ880" s="36"/>
      <c r="DA880" s="36"/>
      <c r="DB880" s="36"/>
      <c r="DC880" s="36"/>
      <c r="DD880" s="36"/>
      <c r="DE880" s="36"/>
      <c r="DF880" s="36"/>
      <c r="DG880" s="36"/>
      <c r="DH880" s="36"/>
      <c r="DI880" s="36"/>
      <c r="DJ880" s="36"/>
      <c r="DK880" s="36"/>
      <c r="DL880" s="36"/>
      <c r="DM880" s="36"/>
      <c r="DN880" s="36"/>
      <c r="DO880" s="36"/>
      <c r="DP880" s="36"/>
      <c r="DQ880" s="36"/>
      <c r="DR880" s="36"/>
      <c r="DS880" s="36"/>
    </row>
    <row r="881" spans="1:123" ht="14.45">
      <c r="A881"/>
      <c r="B881"/>
      <c r="C881"/>
      <c r="D881"/>
      <c r="E881"/>
      <c r="F881"/>
      <c r="G881"/>
      <c r="H881"/>
      <c r="I881"/>
      <c r="J881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  <c r="BP881" s="36"/>
      <c r="BQ881" s="36"/>
      <c r="BR881" s="36"/>
      <c r="BS881" s="36"/>
      <c r="BT881" s="36"/>
      <c r="BU881" s="36"/>
      <c r="BV881" s="36"/>
      <c r="BW881" s="36"/>
      <c r="BX881" s="36"/>
      <c r="BY881" s="36"/>
      <c r="BZ881" s="36"/>
      <c r="CA881" s="36"/>
      <c r="CB881" s="36"/>
      <c r="CC881" s="36"/>
      <c r="CD881" s="36"/>
      <c r="CE881" s="36"/>
      <c r="CF881" s="36"/>
      <c r="CG881" s="36"/>
      <c r="CH881" s="36"/>
      <c r="CI881" s="36"/>
      <c r="CJ881" s="36"/>
      <c r="CK881" s="36"/>
      <c r="CL881" s="36"/>
      <c r="CM881" s="36"/>
      <c r="CN881" s="36"/>
      <c r="CO881" s="36"/>
      <c r="CP881" s="36"/>
      <c r="CQ881" s="36"/>
      <c r="CR881" s="36"/>
      <c r="CS881" s="36"/>
      <c r="CT881" s="36"/>
      <c r="CU881" s="36"/>
      <c r="CV881" s="36"/>
      <c r="CW881" s="36"/>
      <c r="CX881" s="36"/>
      <c r="CY881" s="36"/>
      <c r="CZ881" s="36"/>
      <c r="DA881" s="36"/>
      <c r="DB881" s="36"/>
      <c r="DC881" s="36"/>
      <c r="DD881" s="36"/>
      <c r="DE881" s="36"/>
      <c r="DF881" s="36"/>
      <c r="DG881" s="36"/>
      <c r="DH881" s="36"/>
      <c r="DI881" s="36"/>
      <c r="DJ881" s="36"/>
      <c r="DK881" s="36"/>
      <c r="DL881" s="36"/>
      <c r="DM881" s="36"/>
      <c r="DN881" s="36"/>
      <c r="DO881" s="36"/>
      <c r="DP881" s="36"/>
      <c r="DQ881" s="36"/>
      <c r="DR881" s="36"/>
      <c r="DS881" s="36"/>
    </row>
    <row r="882" spans="1:123" ht="14.45">
      <c r="A882"/>
      <c r="B882"/>
      <c r="C882"/>
      <c r="D882"/>
      <c r="E882"/>
      <c r="F882"/>
      <c r="G882"/>
      <c r="H882"/>
      <c r="I882"/>
      <c r="J882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  <c r="BR882" s="36"/>
      <c r="BS882" s="36"/>
      <c r="BT882" s="36"/>
      <c r="BU882" s="36"/>
      <c r="BV882" s="36"/>
      <c r="BW882" s="36"/>
      <c r="BX882" s="36"/>
      <c r="BY882" s="36"/>
      <c r="BZ882" s="36"/>
      <c r="CA882" s="36"/>
      <c r="CB882" s="36"/>
      <c r="CC882" s="36"/>
      <c r="CD882" s="36"/>
      <c r="CE882" s="36"/>
      <c r="CF882" s="36"/>
      <c r="CG882" s="36"/>
      <c r="CH882" s="36"/>
      <c r="CI882" s="36"/>
      <c r="CJ882" s="36"/>
      <c r="CK882" s="36"/>
      <c r="CL882" s="36"/>
      <c r="CM882" s="36"/>
      <c r="CN882" s="36"/>
      <c r="CO882" s="36"/>
      <c r="CP882" s="36"/>
      <c r="CQ882" s="36"/>
      <c r="CR882" s="36"/>
      <c r="CS882" s="36"/>
      <c r="CT882" s="36"/>
      <c r="CU882" s="36"/>
      <c r="CV882" s="36"/>
      <c r="CW882" s="36"/>
      <c r="CX882" s="36"/>
      <c r="CY882" s="36"/>
      <c r="CZ882" s="36"/>
      <c r="DA882" s="36"/>
      <c r="DB882" s="36"/>
      <c r="DC882" s="36"/>
      <c r="DD882" s="36"/>
      <c r="DE882" s="36"/>
      <c r="DF882" s="36"/>
      <c r="DG882" s="36"/>
      <c r="DH882" s="36"/>
      <c r="DI882" s="36"/>
      <c r="DJ882" s="36"/>
      <c r="DK882" s="36"/>
      <c r="DL882" s="36"/>
      <c r="DM882" s="36"/>
      <c r="DN882" s="36"/>
      <c r="DO882" s="36"/>
      <c r="DP882" s="36"/>
      <c r="DQ882" s="36"/>
      <c r="DR882" s="36"/>
      <c r="DS882" s="36"/>
    </row>
    <row r="883" spans="1:123" ht="14.45">
      <c r="A883"/>
      <c r="B883"/>
      <c r="C883"/>
      <c r="D883"/>
      <c r="E883"/>
      <c r="F883"/>
      <c r="G883"/>
      <c r="H883"/>
      <c r="I883"/>
      <c r="J883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  <c r="BP883" s="36"/>
      <c r="BQ883" s="36"/>
      <c r="BR883" s="36"/>
      <c r="BS883" s="36"/>
      <c r="BT883" s="36"/>
      <c r="BU883" s="36"/>
      <c r="BV883" s="36"/>
      <c r="BW883" s="36"/>
      <c r="BX883" s="36"/>
      <c r="BY883" s="36"/>
      <c r="BZ883" s="36"/>
      <c r="CA883" s="36"/>
      <c r="CB883" s="36"/>
      <c r="CC883" s="36"/>
      <c r="CD883" s="36"/>
      <c r="CE883" s="36"/>
      <c r="CF883" s="36"/>
      <c r="CG883" s="36"/>
      <c r="CH883" s="36"/>
      <c r="CI883" s="36"/>
      <c r="CJ883" s="36"/>
      <c r="CK883" s="36"/>
      <c r="CL883" s="36"/>
      <c r="CM883" s="36"/>
      <c r="CN883" s="36"/>
      <c r="CO883" s="36"/>
      <c r="CP883" s="36"/>
      <c r="CQ883" s="36"/>
      <c r="CR883" s="36"/>
      <c r="CS883" s="36"/>
      <c r="CT883" s="36"/>
      <c r="CU883" s="36"/>
      <c r="CV883" s="36"/>
      <c r="CW883" s="36"/>
      <c r="CX883" s="36"/>
      <c r="CY883" s="36"/>
      <c r="CZ883" s="36"/>
      <c r="DA883" s="36"/>
      <c r="DB883" s="36"/>
      <c r="DC883" s="36"/>
      <c r="DD883" s="36"/>
      <c r="DE883" s="36"/>
      <c r="DF883" s="36"/>
      <c r="DG883" s="36"/>
      <c r="DH883" s="36"/>
      <c r="DI883" s="36"/>
      <c r="DJ883" s="36"/>
      <c r="DK883" s="36"/>
      <c r="DL883" s="36"/>
      <c r="DM883" s="36"/>
      <c r="DN883" s="36"/>
      <c r="DO883" s="36"/>
      <c r="DP883" s="36"/>
      <c r="DQ883" s="36"/>
      <c r="DR883" s="36"/>
      <c r="DS883" s="36"/>
    </row>
    <row r="884" spans="1:123" ht="14.45">
      <c r="A884"/>
      <c r="B884"/>
      <c r="C884"/>
      <c r="D884"/>
      <c r="E884"/>
      <c r="F884"/>
      <c r="G884"/>
      <c r="H884"/>
      <c r="I884"/>
      <c r="J884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  <c r="BR884" s="36"/>
      <c r="BS884" s="36"/>
      <c r="BT884" s="36"/>
      <c r="BU884" s="36"/>
      <c r="BV884" s="36"/>
      <c r="BW884" s="36"/>
      <c r="BX884" s="36"/>
      <c r="BY884" s="36"/>
      <c r="BZ884" s="36"/>
      <c r="CA884" s="36"/>
      <c r="CB884" s="36"/>
      <c r="CC884" s="36"/>
      <c r="CD884" s="36"/>
      <c r="CE884" s="36"/>
      <c r="CF884" s="36"/>
      <c r="CG884" s="36"/>
      <c r="CH884" s="36"/>
      <c r="CI884" s="36"/>
      <c r="CJ884" s="36"/>
      <c r="CK884" s="36"/>
      <c r="CL884" s="36"/>
      <c r="CM884" s="36"/>
      <c r="CN884" s="36"/>
      <c r="CO884" s="36"/>
      <c r="CP884" s="36"/>
      <c r="CQ884" s="36"/>
      <c r="CR884" s="36"/>
      <c r="CS884" s="36"/>
      <c r="CT884" s="36"/>
      <c r="CU884" s="36"/>
      <c r="CV884" s="36"/>
      <c r="CW884" s="36"/>
      <c r="CX884" s="36"/>
      <c r="CY884" s="36"/>
      <c r="CZ884" s="36"/>
      <c r="DA884" s="36"/>
      <c r="DB884" s="36"/>
      <c r="DC884" s="36"/>
      <c r="DD884" s="36"/>
      <c r="DE884" s="36"/>
      <c r="DF884" s="36"/>
      <c r="DG884" s="36"/>
      <c r="DH884" s="36"/>
      <c r="DI884" s="36"/>
      <c r="DJ884" s="36"/>
      <c r="DK884" s="36"/>
      <c r="DL884" s="36"/>
      <c r="DM884" s="36"/>
      <c r="DN884" s="36"/>
      <c r="DO884" s="36"/>
      <c r="DP884" s="36"/>
      <c r="DQ884" s="36"/>
      <c r="DR884" s="36"/>
      <c r="DS884" s="36"/>
    </row>
    <row r="885" spans="1:123" ht="14.45">
      <c r="A885"/>
      <c r="B885"/>
      <c r="C885"/>
      <c r="D885"/>
      <c r="E885"/>
      <c r="F885"/>
      <c r="G885"/>
      <c r="H885"/>
      <c r="I885"/>
      <c r="J885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  <c r="BP885" s="36"/>
      <c r="BQ885" s="36"/>
      <c r="BR885" s="36"/>
      <c r="BS885" s="36"/>
      <c r="BT885" s="36"/>
      <c r="BU885" s="36"/>
      <c r="BV885" s="36"/>
      <c r="BW885" s="36"/>
      <c r="BX885" s="36"/>
      <c r="BY885" s="36"/>
      <c r="BZ885" s="36"/>
      <c r="CA885" s="36"/>
      <c r="CB885" s="36"/>
      <c r="CC885" s="36"/>
      <c r="CD885" s="36"/>
      <c r="CE885" s="36"/>
      <c r="CF885" s="36"/>
      <c r="CG885" s="36"/>
      <c r="CH885" s="36"/>
      <c r="CI885" s="36"/>
      <c r="CJ885" s="36"/>
      <c r="CK885" s="36"/>
      <c r="CL885" s="36"/>
      <c r="CM885" s="36"/>
      <c r="CN885" s="36"/>
      <c r="CO885" s="36"/>
      <c r="CP885" s="36"/>
      <c r="CQ885" s="36"/>
      <c r="CR885" s="36"/>
      <c r="CS885" s="36"/>
      <c r="CT885" s="36"/>
      <c r="CU885" s="36"/>
      <c r="CV885" s="36"/>
      <c r="CW885" s="36"/>
      <c r="CX885" s="36"/>
      <c r="CY885" s="36"/>
      <c r="CZ885" s="36"/>
      <c r="DA885" s="36"/>
      <c r="DB885" s="36"/>
      <c r="DC885" s="36"/>
      <c r="DD885" s="36"/>
      <c r="DE885" s="36"/>
      <c r="DF885" s="36"/>
      <c r="DG885" s="36"/>
      <c r="DH885" s="36"/>
      <c r="DI885" s="36"/>
      <c r="DJ885" s="36"/>
      <c r="DK885" s="36"/>
      <c r="DL885" s="36"/>
      <c r="DM885" s="36"/>
      <c r="DN885" s="36"/>
      <c r="DO885" s="36"/>
      <c r="DP885" s="36"/>
      <c r="DQ885" s="36"/>
      <c r="DR885" s="36"/>
      <c r="DS885" s="36"/>
    </row>
    <row r="886" spans="1:123" ht="14.45">
      <c r="A886"/>
      <c r="B886"/>
      <c r="C886"/>
      <c r="D886"/>
      <c r="E886"/>
      <c r="F886"/>
      <c r="G886"/>
      <c r="H886"/>
      <c r="I886"/>
      <c r="J88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  <c r="BP886" s="36"/>
      <c r="BQ886" s="36"/>
      <c r="BR886" s="36"/>
      <c r="BS886" s="36"/>
      <c r="BT886" s="36"/>
      <c r="BU886" s="36"/>
      <c r="BV886" s="36"/>
      <c r="BW886" s="36"/>
      <c r="BX886" s="36"/>
      <c r="BY886" s="36"/>
      <c r="BZ886" s="36"/>
      <c r="CA886" s="36"/>
      <c r="CB886" s="36"/>
      <c r="CC886" s="36"/>
      <c r="CD886" s="36"/>
      <c r="CE886" s="36"/>
      <c r="CF886" s="36"/>
      <c r="CG886" s="36"/>
      <c r="CH886" s="36"/>
      <c r="CI886" s="36"/>
      <c r="CJ886" s="36"/>
      <c r="CK886" s="36"/>
      <c r="CL886" s="36"/>
      <c r="CM886" s="36"/>
      <c r="CN886" s="36"/>
      <c r="CO886" s="36"/>
      <c r="CP886" s="36"/>
      <c r="CQ886" s="36"/>
      <c r="CR886" s="36"/>
      <c r="CS886" s="36"/>
      <c r="CT886" s="36"/>
      <c r="CU886" s="36"/>
      <c r="CV886" s="36"/>
      <c r="CW886" s="36"/>
      <c r="CX886" s="36"/>
      <c r="CY886" s="36"/>
      <c r="CZ886" s="36"/>
      <c r="DA886" s="36"/>
      <c r="DB886" s="36"/>
      <c r="DC886" s="36"/>
      <c r="DD886" s="36"/>
      <c r="DE886" s="36"/>
      <c r="DF886" s="36"/>
      <c r="DG886" s="36"/>
      <c r="DH886" s="36"/>
      <c r="DI886" s="36"/>
      <c r="DJ886" s="36"/>
      <c r="DK886" s="36"/>
      <c r="DL886" s="36"/>
      <c r="DM886" s="36"/>
      <c r="DN886" s="36"/>
      <c r="DO886" s="36"/>
      <c r="DP886" s="36"/>
      <c r="DQ886" s="36"/>
      <c r="DR886" s="36"/>
      <c r="DS886" s="36"/>
    </row>
    <row r="887" spans="1:123" ht="14.45">
      <c r="A887"/>
      <c r="B887"/>
      <c r="C887"/>
      <c r="D887"/>
      <c r="E887"/>
      <c r="F887"/>
      <c r="G887"/>
      <c r="H887"/>
      <c r="I887"/>
      <c r="J887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  <c r="BR887" s="36"/>
      <c r="BS887" s="36"/>
      <c r="BT887" s="36"/>
      <c r="BU887" s="36"/>
      <c r="BV887" s="36"/>
      <c r="BW887" s="36"/>
      <c r="BX887" s="36"/>
      <c r="BY887" s="36"/>
      <c r="BZ887" s="36"/>
      <c r="CA887" s="36"/>
      <c r="CB887" s="36"/>
      <c r="CC887" s="36"/>
      <c r="CD887" s="36"/>
      <c r="CE887" s="36"/>
      <c r="CF887" s="36"/>
      <c r="CG887" s="36"/>
      <c r="CH887" s="36"/>
      <c r="CI887" s="36"/>
      <c r="CJ887" s="36"/>
      <c r="CK887" s="36"/>
      <c r="CL887" s="36"/>
      <c r="CM887" s="36"/>
      <c r="CN887" s="36"/>
      <c r="CO887" s="36"/>
      <c r="CP887" s="36"/>
      <c r="CQ887" s="36"/>
      <c r="CR887" s="36"/>
      <c r="CS887" s="36"/>
      <c r="CT887" s="36"/>
      <c r="CU887" s="36"/>
      <c r="CV887" s="36"/>
      <c r="CW887" s="36"/>
      <c r="CX887" s="36"/>
      <c r="CY887" s="36"/>
      <c r="CZ887" s="36"/>
      <c r="DA887" s="36"/>
      <c r="DB887" s="36"/>
      <c r="DC887" s="36"/>
      <c r="DD887" s="36"/>
      <c r="DE887" s="36"/>
      <c r="DF887" s="36"/>
      <c r="DG887" s="36"/>
      <c r="DH887" s="36"/>
      <c r="DI887" s="36"/>
      <c r="DJ887" s="36"/>
      <c r="DK887" s="36"/>
      <c r="DL887" s="36"/>
      <c r="DM887" s="36"/>
      <c r="DN887" s="36"/>
      <c r="DO887" s="36"/>
      <c r="DP887" s="36"/>
      <c r="DQ887" s="36"/>
      <c r="DR887" s="36"/>
      <c r="DS887" s="36"/>
    </row>
    <row r="888" spans="1:123" ht="14.45">
      <c r="A888"/>
      <c r="B888"/>
      <c r="C888"/>
      <c r="D888"/>
      <c r="E888"/>
      <c r="F888"/>
      <c r="G888"/>
      <c r="H888"/>
      <c r="I888"/>
      <c r="J888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  <c r="BR888" s="36"/>
      <c r="BS888" s="36"/>
      <c r="BT888" s="36"/>
      <c r="BU888" s="36"/>
      <c r="BV888" s="36"/>
      <c r="BW888" s="36"/>
      <c r="BX888" s="36"/>
      <c r="BY888" s="36"/>
      <c r="BZ888" s="36"/>
      <c r="CA888" s="36"/>
      <c r="CB888" s="36"/>
      <c r="CC888" s="36"/>
      <c r="CD888" s="36"/>
      <c r="CE888" s="36"/>
      <c r="CF888" s="36"/>
      <c r="CG888" s="36"/>
      <c r="CH888" s="36"/>
      <c r="CI888" s="36"/>
      <c r="CJ888" s="36"/>
      <c r="CK888" s="36"/>
      <c r="CL888" s="36"/>
      <c r="CM888" s="36"/>
      <c r="CN888" s="36"/>
      <c r="CO888" s="36"/>
      <c r="CP888" s="36"/>
      <c r="CQ888" s="36"/>
      <c r="CR888" s="36"/>
      <c r="CS888" s="36"/>
      <c r="CT888" s="36"/>
      <c r="CU888" s="36"/>
      <c r="CV888" s="36"/>
      <c r="CW888" s="36"/>
      <c r="CX888" s="36"/>
      <c r="CY888" s="36"/>
      <c r="CZ888" s="36"/>
      <c r="DA888" s="36"/>
      <c r="DB888" s="36"/>
      <c r="DC888" s="36"/>
      <c r="DD888" s="36"/>
      <c r="DE888" s="36"/>
      <c r="DF888" s="36"/>
      <c r="DG888" s="36"/>
      <c r="DH888" s="36"/>
      <c r="DI888" s="36"/>
      <c r="DJ888" s="36"/>
      <c r="DK888" s="36"/>
      <c r="DL888" s="36"/>
      <c r="DM888" s="36"/>
      <c r="DN888" s="36"/>
      <c r="DO888" s="36"/>
      <c r="DP888" s="36"/>
      <c r="DQ888" s="36"/>
      <c r="DR888" s="36"/>
      <c r="DS888" s="36"/>
    </row>
    <row r="889" spans="1:123" ht="14.45">
      <c r="A889"/>
      <c r="B889"/>
      <c r="C889"/>
      <c r="D889"/>
      <c r="E889"/>
      <c r="F889"/>
      <c r="G889"/>
      <c r="H889"/>
      <c r="I889"/>
      <c r="J889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  <c r="BP889" s="36"/>
      <c r="BQ889" s="36"/>
      <c r="BR889" s="36"/>
      <c r="BS889" s="36"/>
      <c r="BT889" s="36"/>
      <c r="BU889" s="36"/>
      <c r="BV889" s="36"/>
      <c r="BW889" s="36"/>
      <c r="BX889" s="36"/>
      <c r="BY889" s="36"/>
      <c r="BZ889" s="36"/>
      <c r="CA889" s="36"/>
      <c r="CB889" s="36"/>
      <c r="CC889" s="36"/>
      <c r="CD889" s="36"/>
      <c r="CE889" s="36"/>
      <c r="CF889" s="36"/>
      <c r="CG889" s="36"/>
      <c r="CH889" s="36"/>
      <c r="CI889" s="36"/>
      <c r="CJ889" s="36"/>
      <c r="CK889" s="36"/>
      <c r="CL889" s="36"/>
      <c r="CM889" s="36"/>
      <c r="CN889" s="36"/>
      <c r="CO889" s="36"/>
      <c r="CP889" s="36"/>
      <c r="CQ889" s="36"/>
      <c r="CR889" s="36"/>
      <c r="CS889" s="36"/>
      <c r="CT889" s="36"/>
      <c r="CU889" s="36"/>
      <c r="CV889" s="36"/>
      <c r="CW889" s="36"/>
      <c r="CX889" s="36"/>
      <c r="CY889" s="36"/>
      <c r="CZ889" s="36"/>
      <c r="DA889" s="36"/>
      <c r="DB889" s="36"/>
      <c r="DC889" s="36"/>
      <c r="DD889" s="36"/>
      <c r="DE889" s="36"/>
      <c r="DF889" s="36"/>
      <c r="DG889" s="36"/>
      <c r="DH889" s="36"/>
      <c r="DI889" s="36"/>
      <c r="DJ889" s="36"/>
      <c r="DK889" s="36"/>
      <c r="DL889" s="36"/>
      <c r="DM889" s="36"/>
      <c r="DN889" s="36"/>
      <c r="DO889" s="36"/>
      <c r="DP889" s="36"/>
      <c r="DQ889" s="36"/>
      <c r="DR889" s="36"/>
      <c r="DS889" s="36"/>
    </row>
    <row r="890" spans="1:123" ht="14.45">
      <c r="A890"/>
      <c r="B890"/>
      <c r="C890"/>
      <c r="D890"/>
      <c r="E890"/>
      <c r="F890"/>
      <c r="G890"/>
      <c r="H890"/>
      <c r="I890"/>
      <c r="J890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  <c r="BR890" s="36"/>
      <c r="BS890" s="36"/>
      <c r="BT890" s="36"/>
      <c r="BU890" s="36"/>
      <c r="BV890" s="36"/>
      <c r="BW890" s="36"/>
      <c r="BX890" s="36"/>
      <c r="BY890" s="36"/>
      <c r="BZ890" s="36"/>
      <c r="CA890" s="36"/>
      <c r="CB890" s="36"/>
      <c r="CC890" s="36"/>
      <c r="CD890" s="36"/>
      <c r="CE890" s="36"/>
      <c r="CF890" s="36"/>
      <c r="CG890" s="36"/>
      <c r="CH890" s="36"/>
      <c r="CI890" s="36"/>
      <c r="CJ890" s="36"/>
      <c r="CK890" s="36"/>
      <c r="CL890" s="36"/>
      <c r="CM890" s="36"/>
      <c r="CN890" s="36"/>
      <c r="CO890" s="36"/>
      <c r="CP890" s="36"/>
      <c r="CQ890" s="36"/>
      <c r="CR890" s="36"/>
      <c r="CS890" s="36"/>
      <c r="CT890" s="36"/>
      <c r="CU890" s="36"/>
      <c r="CV890" s="36"/>
      <c r="CW890" s="36"/>
      <c r="CX890" s="36"/>
      <c r="CY890" s="36"/>
      <c r="CZ890" s="36"/>
      <c r="DA890" s="36"/>
      <c r="DB890" s="36"/>
      <c r="DC890" s="36"/>
      <c r="DD890" s="36"/>
      <c r="DE890" s="36"/>
      <c r="DF890" s="36"/>
      <c r="DG890" s="36"/>
      <c r="DH890" s="36"/>
      <c r="DI890" s="36"/>
      <c r="DJ890" s="36"/>
      <c r="DK890" s="36"/>
      <c r="DL890" s="36"/>
      <c r="DM890" s="36"/>
      <c r="DN890" s="36"/>
      <c r="DO890" s="36"/>
      <c r="DP890" s="36"/>
      <c r="DQ890" s="36"/>
      <c r="DR890" s="36"/>
      <c r="DS890" s="36"/>
    </row>
    <row r="891" spans="1:123" ht="14.45">
      <c r="A891"/>
      <c r="B891"/>
      <c r="C891"/>
      <c r="D891"/>
      <c r="E891"/>
      <c r="F891"/>
      <c r="G891"/>
      <c r="H891"/>
      <c r="I891"/>
      <c r="J891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  <c r="BR891" s="36"/>
      <c r="BS891" s="36"/>
      <c r="BT891" s="36"/>
      <c r="BU891" s="36"/>
      <c r="BV891" s="36"/>
      <c r="BW891" s="36"/>
      <c r="BX891" s="36"/>
      <c r="BY891" s="36"/>
      <c r="BZ891" s="36"/>
      <c r="CA891" s="36"/>
      <c r="CB891" s="36"/>
      <c r="CC891" s="36"/>
      <c r="CD891" s="36"/>
      <c r="CE891" s="36"/>
      <c r="CF891" s="36"/>
      <c r="CG891" s="36"/>
      <c r="CH891" s="36"/>
      <c r="CI891" s="36"/>
      <c r="CJ891" s="36"/>
      <c r="CK891" s="36"/>
      <c r="CL891" s="36"/>
      <c r="CM891" s="36"/>
      <c r="CN891" s="36"/>
      <c r="CO891" s="36"/>
      <c r="CP891" s="36"/>
      <c r="CQ891" s="36"/>
      <c r="CR891" s="36"/>
      <c r="CS891" s="36"/>
      <c r="CT891" s="36"/>
      <c r="CU891" s="36"/>
      <c r="CV891" s="36"/>
      <c r="CW891" s="36"/>
      <c r="CX891" s="36"/>
      <c r="CY891" s="36"/>
      <c r="CZ891" s="36"/>
      <c r="DA891" s="36"/>
      <c r="DB891" s="36"/>
      <c r="DC891" s="36"/>
      <c r="DD891" s="36"/>
      <c r="DE891" s="36"/>
      <c r="DF891" s="36"/>
      <c r="DG891" s="36"/>
      <c r="DH891" s="36"/>
      <c r="DI891" s="36"/>
      <c r="DJ891" s="36"/>
      <c r="DK891" s="36"/>
      <c r="DL891" s="36"/>
      <c r="DM891" s="36"/>
      <c r="DN891" s="36"/>
      <c r="DO891" s="36"/>
      <c r="DP891" s="36"/>
      <c r="DQ891" s="36"/>
      <c r="DR891" s="36"/>
      <c r="DS891" s="36"/>
    </row>
    <row r="892" spans="1:123" ht="14.45">
      <c r="A892"/>
      <c r="B892"/>
      <c r="C892"/>
      <c r="D892"/>
      <c r="E892"/>
      <c r="F892"/>
      <c r="G892"/>
      <c r="H892"/>
      <c r="I892"/>
      <c r="J892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  <c r="BP892" s="36"/>
      <c r="BQ892" s="36"/>
      <c r="BR892" s="36"/>
      <c r="BS892" s="36"/>
      <c r="BT892" s="36"/>
      <c r="BU892" s="36"/>
      <c r="BV892" s="36"/>
      <c r="BW892" s="36"/>
      <c r="BX892" s="36"/>
      <c r="BY892" s="36"/>
      <c r="BZ892" s="36"/>
      <c r="CA892" s="36"/>
      <c r="CB892" s="36"/>
      <c r="CC892" s="36"/>
      <c r="CD892" s="36"/>
      <c r="CE892" s="36"/>
      <c r="CF892" s="36"/>
      <c r="CG892" s="36"/>
      <c r="CH892" s="36"/>
      <c r="CI892" s="36"/>
      <c r="CJ892" s="36"/>
      <c r="CK892" s="36"/>
      <c r="CL892" s="36"/>
      <c r="CM892" s="36"/>
      <c r="CN892" s="36"/>
      <c r="CO892" s="36"/>
      <c r="CP892" s="36"/>
      <c r="CQ892" s="36"/>
      <c r="CR892" s="36"/>
      <c r="CS892" s="36"/>
      <c r="CT892" s="36"/>
      <c r="CU892" s="36"/>
      <c r="CV892" s="36"/>
      <c r="CW892" s="36"/>
      <c r="CX892" s="36"/>
      <c r="CY892" s="36"/>
      <c r="CZ892" s="36"/>
      <c r="DA892" s="36"/>
      <c r="DB892" s="36"/>
      <c r="DC892" s="36"/>
      <c r="DD892" s="36"/>
      <c r="DE892" s="36"/>
      <c r="DF892" s="36"/>
      <c r="DG892" s="36"/>
      <c r="DH892" s="36"/>
      <c r="DI892" s="36"/>
      <c r="DJ892" s="36"/>
      <c r="DK892" s="36"/>
      <c r="DL892" s="36"/>
      <c r="DM892" s="36"/>
      <c r="DN892" s="36"/>
      <c r="DO892" s="36"/>
      <c r="DP892" s="36"/>
      <c r="DQ892" s="36"/>
      <c r="DR892" s="36"/>
      <c r="DS892" s="36"/>
    </row>
    <row r="893" spans="1:123" ht="14.45">
      <c r="A893"/>
      <c r="B893"/>
      <c r="C893"/>
      <c r="D893"/>
      <c r="E893"/>
      <c r="F893"/>
      <c r="G893"/>
      <c r="H893"/>
      <c r="I893"/>
      <c r="J893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  <c r="BR893" s="36"/>
      <c r="BS893" s="36"/>
      <c r="BT893" s="36"/>
      <c r="BU893" s="36"/>
      <c r="BV893" s="36"/>
      <c r="BW893" s="36"/>
      <c r="BX893" s="36"/>
      <c r="BY893" s="36"/>
      <c r="BZ893" s="36"/>
      <c r="CA893" s="36"/>
      <c r="CB893" s="36"/>
      <c r="CC893" s="36"/>
      <c r="CD893" s="36"/>
      <c r="CE893" s="36"/>
      <c r="CF893" s="36"/>
      <c r="CG893" s="36"/>
      <c r="CH893" s="36"/>
      <c r="CI893" s="36"/>
      <c r="CJ893" s="36"/>
      <c r="CK893" s="36"/>
      <c r="CL893" s="36"/>
      <c r="CM893" s="36"/>
      <c r="CN893" s="36"/>
      <c r="CO893" s="36"/>
      <c r="CP893" s="36"/>
      <c r="CQ893" s="36"/>
      <c r="CR893" s="36"/>
      <c r="CS893" s="36"/>
      <c r="CT893" s="36"/>
      <c r="CU893" s="36"/>
      <c r="CV893" s="36"/>
      <c r="CW893" s="36"/>
      <c r="CX893" s="36"/>
      <c r="CY893" s="36"/>
      <c r="CZ893" s="36"/>
      <c r="DA893" s="36"/>
      <c r="DB893" s="36"/>
      <c r="DC893" s="36"/>
      <c r="DD893" s="36"/>
      <c r="DE893" s="36"/>
      <c r="DF893" s="36"/>
      <c r="DG893" s="36"/>
      <c r="DH893" s="36"/>
      <c r="DI893" s="36"/>
      <c r="DJ893" s="36"/>
      <c r="DK893" s="36"/>
      <c r="DL893" s="36"/>
      <c r="DM893" s="36"/>
      <c r="DN893" s="36"/>
      <c r="DO893" s="36"/>
      <c r="DP893" s="36"/>
      <c r="DQ893" s="36"/>
      <c r="DR893" s="36"/>
      <c r="DS893" s="36"/>
    </row>
    <row r="894" spans="1:123" ht="14.45">
      <c r="A894"/>
      <c r="B894"/>
      <c r="C894"/>
      <c r="D894"/>
      <c r="E894"/>
      <c r="F894"/>
      <c r="G894"/>
      <c r="H894"/>
      <c r="I894"/>
      <c r="J894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  <c r="BR894" s="36"/>
      <c r="BS894" s="36"/>
      <c r="BT894" s="36"/>
      <c r="BU894" s="36"/>
      <c r="BV894" s="36"/>
      <c r="BW894" s="36"/>
      <c r="BX894" s="36"/>
      <c r="BY894" s="36"/>
      <c r="BZ894" s="36"/>
      <c r="CA894" s="36"/>
      <c r="CB894" s="36"/>
      <c r="CC894" s="36"/>
      <c r="CD894" s="36"/>
      <c r="CE894" s="36"/>
      <c r="CF894" s="36"/>
      <c r="CG894" s="36"/>
      <c r="CH894" s="36"/>
      <c r="CI894" s="36"/>
      <c r="CJ894" s="36"/>
      <c r="CK894" s="36"/>
      <c r="CL894" s="36"/>
      <c r="CM894" s="36"/>
      <c r="CN894" s="36"/>
      <c r="CO894" s="36"/>
      <c r="CP894" s="36"/>
      <c r="CQ894" s="36"/>
      <c r="CR894" s="36"/>
      <c r="CS894" s="36"/>
      <c r="CT894" s="36"/>
      <c r="CU894" s="36"/>
      <c r="CV894" s="36"/>
      <c r="CW894" s="36"/>
      <c r="CX894" s="36"/>
      <c r="CY894" s="36"/>
      <c r="CZ894" s="36"/>
      <c r="DA894" s="36"/>
      <c r="DB894" s="36"/>
      <c r="DC894" s="36"/>
      <c r="DD894" s="36"/>
      <c r="DE894" s="36"/>
      <c r="DF894" s="36"/>
      <c r="DG894" s="36"/>
      <c r="DH894" s="36"/>
      <c r="DI894" s="36"/>
      <c r="DJ894" s="36"/>
      <c r="DK894" s="36"/>
      <c r="DL894" s="36"/>
      <c r="DM894" s="36"/>
      <c r="DN894" s="36"/>
      <c r="DO894" s="36"/>
      <c r="DP894" s="36"/>
      <c r="DQ894" s="36"/>
      <c r="DR894" s="36"/>
      <c r="DS894" s="36"/>
    </row>
    <row r="895" spans="1:123" ht="14.45">
      <c r="A895"/>
      <c r="B895"/>
      <c r="C895"/>
      <c r="D895"/>
      <c r="E895"/>
      <c r="F895"/>
      <c r="G895"/>
      <c r="H895"/>
      <c r="I895"/>
      <c r="J895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  <c r="BR895" s="36"/>
      <c r="BS895" s="36"/>
      <c r="BT895" s="36"/>
      <c r="BU895" s="36"/>
      <c r="BV895" s="36"/>
      <c r="BW895" s="36"/>
      <c r="BX895" s="36"/>
      <c r="BY895" s="36"/>
      <c r="BZ895" s="36"/>
      <c r="CA895" s="36"/>
      <c r="CB895" s="36"/>
      <c r="CC895" s="36"/>
      <c r="CD895" s="36"/>
      <c r="CE895" s="36"/>
      <c r="CF895" s="36"/>
      <c r="CG895" s="36"/>
      <c r="CH895" s="36"/>
      <c r="CI895" s="36"/>
      <c r="CJ895" s="36"/>
      <c r="CK895" s="36"/>
      <c r="CL895" s="36"/>
      <c r="CM895" s="36"/>
      <c r="CN895" s="36"/>
      <c r="CO895" s="36"/>
      <c r="CP895" s="36"/>
      <c r="CQ895" s="36"/>
      <c r="CR895" s="36"/>
      <c r="CS895" s="36"/>
      <c r="CT895" s="36"/>
      <c r="CU895" s="36"/>
      <c r="CV895" s="36"/>
      <c r="CW895" s="36"/>
      <c r="CX895" s="36"/>
      <c r="CY895" s="36"/>
      <c r="CZ895" s="36"/>
      <c r="DA895" s="36"/>
      <c r="DB895" s="36"/>
      <c r="DC895" s="36"/>
      <c r="DD895" s="36"/>
      <c r="DE895" s="36"/>
      <c r="DF895" s="36"/>
      <c r="DG895" s="36"/>
      <c r="DH895" s="36"/>
      <c r="DI895" s="36"/>
      <c r="DJ895" s="36"/>
      <c r="DK895" s="36"/>
      <c r="DL895" s="36"/>
      <c r="DM895" s="36"/>
      <c r="DN895" s="36"/>
      <c r="DO895" s="36"/>
      <c r="DP895" s="36"/>
      <c r="DQ895" s="36"/>
      <c r="DR895" s="36"/>
      <c r="DS895" s="36"/>
    </row>
    <row r="896" spans="1:123" ht="14.45">
      <c r="A896"/>
      <c r="B896"/>
      <c r="C896"/>
      <c r="D896"/>
      <c r="E896"/>
      <c r="F896"/>
      <c r="G896"/>
      <c r="H896"/>
      <c r="I896"/>
      <c r="J89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  <c r="BR896" s="36"/>
      <c r="BS896" s="36"/>
      <c r="BT896" s="36"/>
      <c r="BU896" s="36"/>
      <c r="BV896" s="36"/>
      <c r="BW896" s="36"/>
      <c r="BX896" s="36"/>
      <c r="BY896" s="36"/>
      <c r="BZ896" s="36"/>
      <c r="CA896" s="36"/>
      <c r="CB896" s="36"/>
      <c r="CC896" s="36"/>
      <c r="CD896" s="36"/>
      <c r="CE896" s="36"/>
      <c r="CF896" s="36"/>
      <c r="CG896" s="36"/>
      <c r="CH896" s="36"/>
      <c r="CI896" s="36"/>
      <c r="CJ896" s="36"/>
      <c r="CK896" s="36"/>
      <c r="CL896" s="36"/>
      <c r="CM896" s="36"/>
      <c r="CN896" s="36"/>
      <c r="CO896" s="36"/>
      <c r="CP896" s="36"/>
      <c r="CQ896" s="36"/>
      <c r="CR896" s="36"/>
      <c r="CS896" s="36"/>
      <c r="CT896" s="36"/>
      <c r="CU896" s="36"/>
      <c r="CV896" s="36"/>
      <c r="CW896" s="36"/>
      <c r="CX896" s="36"/>
      <c r="CY896" s="36"/>
      <c r="CZ896" s="36"/>
      <c r="DA896" s="36"/>
      <c r="DB896" s="36"/>
      <c r="DC896" s="36"/>
      <c r="DD896" s="36"/>
      <c r="DE896" s="36"/>
      <c r="DF896" s="36"/>
      <c r="DG896" s="36"/>
      <c r="DH896" s="36"/>
      <c r="DI896" s="36"/>
      <c r="DJ896" s="36"/>
      <c r="DK896" s="36"/>
      <c r="DL896" s="36"/>
      <c r="DM896" s="36"/>
      <c r="DN896" s="36"/>
      <c r="DO896" s="36"/>
      <c r="DP896" s="36"/>
      <c r="DQ896" s="36"/>
      <c r="DR896" s="36"/>
      <c r="DS896" s="36"/>
    </row>
    <row r="897" spans="1:123" ht="14.45">
      <c r="A897"/>
      <c r="B897"/>
      <c r="C897"/>
      <c r="D897"/>
      <c r="E897"/>
      <c r="F897"/>
      <c r="G897"/>
      <c r="H897"/>
      <c r="I897"/>
      <c r="J897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  <c r="BR897" s="36"/>
      <c r="BS897" s="36"/>
      <c r="BT897" s="36"/>
      <c r="BU897" s="36"/>
      <c r="BV897" s="36"/>
      <c r="BW897" s="36"/>
      <c r="BX897" s="36"/>
      <c r="BY897" s="36"/>
      <c r="BZ897" s="36"/>
      <c r="CA897" s="36"/>
      <c r="CB897" s="36"/>
      <c r="CC897" s="36"/>
      <c r="CD897" s="36"/>
      <c r="CE897" s="36"/>
      <c r="CF897" s="36"/>
      <c r="CG897" s="36"/>
      <c r="CH897" s="36"/>
      <c r="CI897" s="36"/>
      <c r="CJ897" s="36"/>
      <c r="CK897" s="36"/>
      <c r="CL897" s="36"/>
      <c r="CM897" s="36"/>
      <c r="CN897" s="36"/>
      <c r="CO897" s="36"/>
      <c r="CP897" s="36"/>
      <c r="CQ897" s="36"/>
      <c r="CR897" s="36"/>
      <c r="CS897" s="36"/>
      <c r="CT897" s="36"/>
      <c r="CU897" s="36"/>
      <c r="CV897" s="36"/>
      <c r="CW897" s="36"/>
      <c r="CX897" s="36"/>
      <c r="CY897" s="36"/>
      <c r="CZ897" s="36"/>
      <c r="DA897" s="36"/>
      <c r="DB897" s="36"/>
      <c r="DC897" s="36"/>
      <c r="DD897" s="36"/>
      <c r="DE897" s="36"/>
      <c r="DF897" s="36"/>
      <c r="DG897" s="36"/>
      <c r="DH897" s="36"/>
      <c r="DI897" s="36"/>
      <c r="DJ897" s="36"/>
      <c r="DK897" s="36"/>
      <c r="DL897" s="36"/>
      <c r="DM897" s="36"/>
      <c r="DN897" s="36"/>
      <c r="DO897" s="36"/>
      <c r="DP897" s="36"/>
      <c r="DQ897" s="36"/>
      <c r="DR897" s="36"/>
      <c r="DS897" s="36"/>
    </row>
    <row r="898" spans="1:123" ht="14.45">
      <c r="A898"/>
      <c r="B898"/>
      <c r="C898"/>
      <c r="D898"/>
      <c r="E898"/>
      <c r="F898"/>
      <c r="G898"/>
      <c r="H898"/>
      <c r="I898"/>
      <c r="J898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  <c r="BR898" s="36"/>
      <c r="BS898" s="36"/>
      <c r="BT898" s="36"/>
      <c r="BU898" s="36"/>
      <c r="BV898" s="36"/>
      <c r="BW898" s="36"/>
      <c r="BX898" s="36"/>
      <c r="BY898" s="36"/>
      <c r="BZ898" s="36"/>
      <c r="CA898" s="36"/>
      <c r="CB898" s="36"/>
      <c r="CC898" s="36"/>
      <c r="CD898" s="36"/>
      <c r="CE898" s="36"/>
      <c r="CF898" s="36"/>
      <c r="CG898" s="36"/>
      <c r="CH898" s="36"/>
      <c r="CI898" s="36"/>
      <c r="CJ898" s="36"/>
      <c r="CK898" s="36"/>
      <c r="CL898" s="36"/>
      <c r="CM898" s="36"/>
      <c r="CN898" s="36"/>
      <c r="CO898" s="36"/>
      <c r="CP898" s="36"/>
      <c r="CQ898" s="36"/>
      <c r="CR898" s="36"/>
      <c r="CS898" s="36"/>
      <c r="CT898" s="36"/>
      <c r="CU898" s="36"/>
      <c r="CV898" s="36"/>
      <c r="CW898" s="36"/>
      <c r="CX898" s="36"/>
      <c r="CY898" s="36"/>
      <c r="CZ898" s="36"/>
      <c r="DA898" s="36"/>
      <c r="DB898" s="36"/>
      <c r="DC898" s="36"/>
      <c r="DD898" s="36"/>
      <c r="DE898" s="36"/>
      <c r="DF898" s="36"/>
      <c r="DG898" s="36"/>
      <c r="DH898" s="36"/>
      <c r="DI898" s="36"/>
      <c r="DJ898" s="36"/>
      <c r="DK898" s="36"/>
      <c r="DL898" s="36"/>
      <c r="DM898" s="36"/>
      <c r="DN898" s="36"/>
      <c r="DO898" s="36"/>
      <c r="DP898" s="36"/>
      <c r="DQ898" s="36"/>
      <c r="DR898" s="36"/>
      <c r="DS898" s="36"/>
    </row>
    <row r="899" spans="1:123" ht="14.45">
      <c r="A899"/>
      <c r="B899"/>
      <c r="C899"/>
      <c r="D899"/>
      <c r="E899"/>
      <c r="F899"/>
      <c r="G899"/>
      <c r="H899"/>
      <c r="I899"/>
      <c r="J899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  <c r="BR899" s="36"/>
      <c r="BS899" s="36"/>
      <c r="BT899" s="36"/>
      <c r="BU899" s="36"/>
      <c r="BV899" s="36"/>
      <c r="BW899" s="36"/>
      <c r="BX899" s="36"/>
      <c r="BY899" s="36"/>
      <c r="BZ899" s="36"/>
      <c r="CA899" s="36"/>
      <c r="CB899" s="36"/>
      <c r="CC899" s="36"/>
      <c r="CD899" s="36"/>
      <c r="CE899" s="36"/>
      <c r="CF899" s="36"/>
      <c r="CG899" s="36"/>
      <c r="CH899" s="36"/>
      <c r="CI899" s="36"/>
      <c r="CJ899" s="36"/>
      <c r="CK899" s="36"/>
      <c r="CL899" s="36"/>
      <c r="CM899" s="36"/>
      <c r="CN899" s="36"/>
      <c r="CO899" s="36"/>
      <c r="CP899" s="36"/>
      <c r="CQ899" s="36"/>
      <c r="CR899" s="36"/>
      <c r="CS899" s="36"/>
      <c r="CT899" s="36"/>
      <c r="CU899" s="36"/>
      <c r="CV899" s="36"/>
      <c r="CW899" s="36"/>
      <c r="CX899" s="36"/>
      <c r="CY899" s="36"/>
      <c r="CZ899" s="36"/>
      <c r="DA899" s="36"/>
      <c r="DB899" s="36"/>
      <c r="DC899" s="36"/>
      <c r="DD899" s="36"/>
      <c r="DE899" s="36"/>
      <c r="DF899" s="36"/>
      <c r="DG899" s="36"/>
      <c r="DH899" s="36"/>
      <c r="DI899" s="36"/>
      <c r="DJ899" s="36"/>
      <c r="DK899" s="36"/>
      <c r="DL899" s="36"/>
      <c r="DM899" s="36"/>
      <c r="DN899" s="36"/>
      <c r="DO899" s="36"/>
      <c r="DP899" s="36"/>
      <c r="DQ899" s="36"/>
      <c r="DR899" s="36"/>
      <c r="DS899" s="36"/>
    </row>
    <row r="900" spans="1:123" ht="14.45">
      <c r="A900"/>
      <c r="B900"/>
      <c r="C900"/>
      <c r="D900"/>
      <c r="E900"/>
      <c r="F900"/>
      <c r="G900"/>
      <c r="H900"/>
      <c r="I900"/>
      <c r="J900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  <c r="BR900" s="36"/>
      <c r="BS900" s="36"/>
      <c r="BT900" s="36"/>
      <c r="BU900" s="36"/>
      <c r="BV900" s="36"/>
      <c r="BW900" s="36"/>
      <c r="BX900" s="36"/>
      <c r="BY900" s="36"/>
      <c r="BZ900" s="36"/>
      <c r="CA900" s="36"/>
      <c r="CB900" s="36"/>
      <c r="CC900" s="36"/>
      <c r="CD900" s="36"/>
      <c r="CE900" s="36"/>
      <c r="CF900" s="36"/>
      <c r="CG900" s="36"/>
      <c r="CH900" s="36"/>
      <c r="CI900" s="36"/>
      <c r="CJ900" s="36"/>
      <c r="CK900" s="36"/>
      <c r="CL900" s="36"/>
      <c r="CM900" s="36"/>
      <c r="CN900" s="36"/>
      <c r="CO900" s="36"/>
      <c r="CP900" s="36"/>
      <c r="CQ900" s="36"/>
      <c r="CR900" s="36"/>
      <c r="CS900" s="36"/>
      <c r="CT900" s="36"/>
      <c r="CU900" s="36"/>
      <c r="CV900" s="36"/>
      <c r="CW900" s="36"/>
      <c r="CX900" s="36"/>
      <c r="CY900" s="36"/>
      <c r="CZ900" s="36"/>
      <c r="DA900" s="36"/>
      <c r="DB900" s="36"/>
      <c r="DC900" s="36"/>
      <c r="DD900" s="36"/>
      <c r="DE900" s="36"/>
      <c r="DF900" s="36"/>
      <c r="DG900" s="36"/>
      <c r="DH900" s="36"/>
      <c r="DI900" s="36"/>
      <c r="DJ900" s="36"/>
      <c r="DK900" s="36"/>
      <c r="DL900" s="36"/>
      <c r="DM900" s="36"/>
      <c r="DN900" s="36"/>
      <c r="DO900" s="36"/>
      <c r="DP900" s="36"/>
      <c r="DQ900" s="36"/>
      <c r="DR900" s="36"/>
      <c r="DS900" s="36"/>
    </row>
    <row r="901" spans="1:123" ht="14.45">
      <c r="A901"/>
      <c r="B901"/>
      <c r="C901"/>
      <c r="D901"/>
      <c r="E901"/>
      <c r="F901"/>
      <c r="G901"/>
      <c r="H901"/>
      <c r="I901"/>
      <c r="J901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  <c r="BR901" s="36"/>
      <c r="BS901" s="36"/>
      <c r="BT901" s="36"/>
      <c r="BU901" s="36"/>
      <c r="BV901" s="36"/>
      <c r="BW901" s="36"/>
      <c r="BX901" s="36"/>
      <c r="BY901" s="36"/>
      <c r="BZ901" s="36"/>
      <c r="CA901" s="36"/>
      <c r="CB901" s="36"/>
      <c r="CC901" s="36"/>
      <c r="CD901" s="36"/>
      <c r="CE901" s="36"/>
      <c r="CF901" s="36"/>
      <c r="CG901" s="36"/>
      <c r="CH901" s="36"/>
      <c r="CI901" s="36"/>
      <c r="CJ901" s="36"/>
      <c r="CK901" s="36"/>
      <c r="CL901" s="36"/>
      <c r="CM901" s="36"/>
      <c r="CN901" s="36"/>
      <c r="CO901" s="36"/>
      <c r="CP901" s="36"/>
      <c r="CQ901" s="36"/>
      <c r="CR901" s="36"/>
      <c r="CS901" s="36"/>
      <c r="CT901" s="36"/>
      <c r="CU901" s="36"/>
      <c r="CV901" s="36"/>
      <c r="CW901" s="36"/>
      <c r="CX901" s="36"/>
      <c r="CY901" s="36"/>
      <c r="CZ901" s="36"/>
      <c r="DA901" s="36"/>
      <c r="DB901" s="36"/>
      <c r="DC901" s="36"/>
      <c r="DD901" s="36"/>
      <c r="DE901" s="36"/>
      <c r="DF901" s="36"/>
      <c r="DG901" s="36"/>
      <c r="DH901" s="36"/>
      <c r="DI901" s="36"/>
      <c r="DJ901" s="36"/>
      <c r="DK901" s="36"/>
      <c r="DL901" s="36"/>
      <c r="DM901" s="36"/>
      <c r="DN901" s="36"/>
      <c r="DO901" s="36"/>
      <c r="DP901" s="36"/>
      <c r="DQ901" s="36"/>
      <c r="DR901" s="36"/>
      <c r="DS901" s="36"/>
    </row>
    <row r="902" spans="1:123" ht="14.45">
      <c r="A902"/>
      <c r="B902"/>
      <c r="C902"/>
      <c r="D902"/>
      <c r="E902"/>
      <c r="F902"/>
      <c r="G902"/>
      <c r="H902"/>
      <c r="I902"/>
      <c r="J902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  <c r="BS902" s="36"/>
      <c r="BT902" s="36"/>
      <c r="BU902" s="36"/>
      <c r="BV902" s="36"/>
      <c r="BW902" s="36"/>
      <c r="BX902" s="36"/>
      <c r="BY902" s="36"/>
      <c r="BZ902" s="36"/>
      <c r="CA902" s="36"/>
      <c r="CB902" s="36"/>
      <c r="CC902" s="36"/>
      <c r="CD902" s="36"/>
      <c r="CE902" s="36"/>
      <c r="CF902" s="36"/>
      <c r="CG902" s="36"/>
      <c r="CH902" s="36"/>
      <c r="CI902" s="36"/>
      <c r="CJ902" s="36"/>
      <c r="CK902" s="36"/>
      <c r="CL902" s="36"/>
      <c r="CM902" s="36"/>
      <c r="CN902" s="36"/>
      <c r="CO902" s="36"/>
      <c r="CP902" s="36"/>
      <c r="CQ902" s="36"/>
      <c r="CR902" s="36"/>
      <c r="CS902" s="36"/>
      <c r="CT902" s="36"/>
      <c r="CU902" s="36"/>
      <c r="CV902" s="36"/>
      <c r="CW902" s="36"/>
      <c r="CX902" s="36"/>
      <c r="CY902" s="36"/>
      <c r="CZ902" s="36"/>
      <c r="DA902" s="36"/>
      <c r="DB902" s="36"/>
      <c r="DC902" s="36"/>
      <c r="DD902" s="36"/>
      <c r="DE902" s="36"/>
      <c r="DF902" s="36"/>
      <c r="DG902" s="36"/>
      <c r="DH902" s="36"/>
      <c r="DI902" s="36"/>
      <c r="DJ902" s="36"/>
      <c r="DK902" s="36"/>
      <c r="DL902" s="36"/>
      <c r="DM902" s="36"/>
      <c r="DN902" s="36"/>
      <c r="DO902" s="36"/>
      <c r="DP902" s="36"/>
      <c r="DQ902" s="36"/>
      <c r="DR902" s="36"/>
      <c r="DS902" s="36"/>
    </row>
    <row r="903" spans="1:123" ht="14.45">
      <c r="A903"/>
      <c r="B903"/>
      <c r="C903"/>
      <c r="D903"/>
      <c r="E903"/>
      <c r="F903"/>
      <c r="G903"/>
      <c r="H903"/>
      <c r="I903"/>
      <c r="J903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  <c r="BS903" s="36"/>
      <c r="BT903" s="36"/>
      <c r="BU903" s="36"/>
      <c r="BV903" s="36"/>
      <c r="BW903" s="36"/>
      <c r="BX903" s="36"/>
      <c r="BY903" s="36"/>
      <c r="BZ903" s="36"/>
      <c r="CA903" s="36"/>
      <c r="CB903" s="36"/>
      <c r="CC903" s="36"/>
      <c r="CD903" s="36"/>
      <c r="CE903" s="36"/>
      <c r="CF903" s="36"/>
      <c r="CG903" s="36"/>
      <c r="CH903" s="36"/>
      <c r="CI903" s="36"/>
      <c r="CJ903" s="36"/>
      <c r="CK903" s="36"/>
      <c r="CL903" s="36"/>
      <c r="CM903" s="36"/>
      <c r="CN903" s="36"/>
      <c r="CO903" s="36"/>
      <c r="CP903" s="36"/>
      <c r="CQ903" s="36"/>
      <c r="CR903" s="36"/>
      <c r="CS903" s="36"/>
      <c r="CT903" s="36"/>
      <c r="CU903" s="36"/>
      <c r="CV903" s="36"/>
      <c r="CW903" s="36"/>
      <c r="CX903" s="36"/>
      <c r="CY903" s="36"/>
      <c r="CZ903" s="36"/>
      <c r="DA903" s="36"/>
      <c r="DB903" s="36"/>
      <c r="DC903" s="36"/>
      <c r="DD903" s="36"/>
      <c r="DE903" s="36"/>
      <c r="DF903" s="36"/>
      <c r="DG903" s="36"/>
      <c r="DH903" s="36"/>
      <c r="DI903" s="36"/>
      <c r="DJ903" s="36"/>
      <c r="DK903" s="36"/>
      <c r="DL903" s="36"/>
      <c r="DM903" s="36"/>
      <c r="DN903" s="36"/>
      <c r="DO903" s="36"/>
      <c r="DP903" s="36"/>
      <c r="DQ903" s="36"/>
      <c r="DR903" s="36"/>
      <c r="DS903" s="36"/>
    </row>
    <row r="904" spans="1:123" ht="14.45">
      <c r="A904"/>
      <c r="B904"/>
      <c r="C904"/>
      <c r="D904"/>
      <c r="E904"/>
      <c r="F904"/>
      <c r="G904"/>
      <c r="H904"/>
      <c r="I904"/>
      <c r="J904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  <c r="BS904" s="36"/>
      <c r="BT904" s="36"/>
      <c r="BU904" s="36"/>
      <c r="BV904" s="36"/>
      <c r="BW904" s="36"/>
      <c r="BX904" s="36"/>
      <c r="BY904" s="36"/>
      <c r="BZ904" s="36"/>
      <c r="CA904" s="36"/>
      <c r="CB904" s="36"/>
      <c r="CC904" s="36"/>
      <c r="CD904" s="36"/>
      <c r="CE904" s="36"/>
      <c r="CF904" s="36"/>
      <c r="CG904" s="36"/>
      <c r="CH904" s="36"/>
      <c r="CI904" s="36"/>
      <c r="CJ904" s="36"/>
      <c r="CK904" s="36"/>
      <c r="CL904" s="36"/>
      <c r="CM904" s="36"/>
      <c r="CN904" s="36"/>
      <c r="CO904" s="36"/>
      <c r="CP904" s="36"/>
      <c r="CQ904" s="36"/>
      <c r="CR904" s="36"/>
      <c r="CS904" s="36"/>
      <c r="CT904" s="36"/>
      <c r="CU904" s="36"/>
      <c r="CV904" s="36"/>
      <c r="CW904" s="36"/>
      <c r="CX904" s="36"/>
      <c r="CY904" s="36"/>
      <c r="CZ904" s="36"/>
      <c r="DA904" s="36"/>
      <c r="DB904" s="36"/>
      <c r="DC904" s="36"/>
      <c r="DD904" s="36"/>
      <c r="DE904" s="36"/>
      <c r="DF904" s="36"/>
      <c r="DG904" s="36"/>
      <c r="DH904" s="36"/>
      <c r="DI904" s="36"/>
      <c r="DJ904" s="36"/>
      <c r="DK904" s="36"/>
      <c r="DL904" s="36"/>
      <c r="DM904" s="36"/>
      <c r="DN904" s="36"/>
      <c r="DO904" s="36"/>
      <c r="DP904" s="36"/>
      <c r="DQ904" s="36"/>
      <c r="DR904" s="36"/>
      <c r="DS904" s="36"/>
    </row>
    <row r="905" spans="1:123" ht="14.45">
      <c r="A905"/>
      <c r="B905"/>
      <c r="C905"/>
      <c r="D905"/>
      <c r="E905"/>
      <c r="F905"/>
      <c r="G905"/>
      <c r="H905"/>
      <c r="I905"/>
      <c r="J905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  <c r="BS905" s="36"/>
      <c r="BT905" s="36"/>
      <c r="BU905" s="36"/>
      <c r="BV905" s="36"/>
      <c r="BW905" s="36"/>
      <c r="BX905" s="36"/>
      <c r="BY905" s="36"/>
      <c r="BZ905" s="36"/>
      <c r="CA905" s="36"/>
      <c r="CB905" s="36"/>
      <c r="CC905" s="36"/>
      <c r="CD905" s="36"/>
      <c r="CE905" s="36"/>
      <c r="CF905" s="36"/>
      <c r="CG905" s="36"/>
      <c r="CH905" s="36"/>
      <c r="CI905" s="36"/>
      <c r="CJ905" s="36"/>
      <c r="CK905" s="36"/>
      <c r="CL905" s="36"/>
      <c r="CM905" s="36"/>
      <c r="CN905" s="36"/>
      <c r="CO905" s="36"/>
      <c r="CP905" s="36"/>
      <c r="CQ905" s="36"/>
      <c r="CR905" s="36"/>
      <c r="CS905" s="36"/>
      <c r="CT905" s="36"/>
      <c r="CU905" s="36"/>
      <c r="CV905" s="36"/>
      <c r="CW905" s="36"/>
      <c r="CX905" s="36"/>
      <c r="CY905" s="36"/>
      <c r="CZ905" s="36"/>
      <c r="DA905" s="36"/>
      <c r="DB905" s="36"/>
      <c r="DC905" s="36"/>
      <c r="DD905" s="36"/>
      <c r="DE905" s="36"/>
      <c r="DF905" s="36"/>
      <c r="DG905" s="36"/>
      <c r="DH905" s="36"/>
      <c r="DI905" s="36"/>
      <c r="DJ905" s="36"/>
      <c r="DK905" s="36"/>
      <c r="DL905" s="36"/>
      <c r="DM905" s="36"/>
      <c r="DN905" s="36"/>
      <c r="DO905" s="36"/>
      <c r="DP905" s="36"/>
      <c r="DQ905" s="36"/>
      <c r="DR905" s="36"/>
      <c r="DS905" s="36"/>
    </row>
    <row r="906" spans="1:123" ht="14.45">
      <c r="A906"/>
      <c r="B906"/>
      <c r="C906"/>
      <c r="D906"/>
      <c r="E906"/>
      <c r="F906"/>
      <c r="G906"/>
      <c r="H906"/>
      <c r="I906"/>
      <c r="J90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  <c r="BR906" s="36"/>
      <c r="BS906" s="36"/>
      <c r="BT906" s="36"/>
      <c r="BU906" s="36"/>
      <c r="BV906" s="36"/>
      <c r="BW906" s="36"/>
      <c r="BX906" s="36"/>
      <c r="BY906" s="36"/>
      <c r="BZ906" s="36"/>
      <c r="CA906" s="36"/>
      <c r="CB906" s="36"/>
      <c r="CC906" s="36"/>
      <c r="CD906" s="36"/>
      <c r="CE906" s="36"/>
      <c r="CF906" s="36"/>
      <c r="CG906" s="36"/>
      <c r="CH906" s="36"/>
      <c r="CI906" s="36"/>
      <c r="CJ906" s="36"/>
      <c r="CK906" s="36"/>
      <c r="CL906" s="36"/>
      <c r="CM906" s="36"/>
      <c r="CN906" s="36"/>
      <c r="CO906" s="36"/>
      <c r="CP906" s="36"/>
      <c r="CQ906" s="36"/>
      <c r="CR906" s="36"/>
      <c r="CS906" s="36"/>
      <c r="CT906" s="36"/>
      <c r="CU906" s="36"/>
      <c r="CV906" s="36"/>
      <c r="CW906" s="36"/>
      <c r="CX906" s="36"/>
      <c r="CY906" s="36"/>
      <c r="CZ906" s="36"/>
      <c r="DA906" s="36"/>
      <c r="DB906" s="36"/>
      <c r="DC906" s="36"/>
      <c r="DD906" s="36"/>
      <c r="DE906" s="36"/>
      <c r="DF906" s="36"/>
      <c r="DG906" s="36"/>
      <c r="DH906" s="36"/>
      <c r="DI906" s="36"/>
      <c r="DJ906" s="36"/>
      <c r="DK906" s="36"/>
      <c r="DL906" s="36"/>
      <c r="DM906" s="36"/>
      <c r="DN906" s="36"/>
      <c r="DO906" s="36"/>
      <c r="DP906" s="36"/>
      <c r="DQ906" s="36"/>
      <c r="DR906" s="36"/>
      <c r="DS906" s="36"/>
    </row>
    <row r="907" spans="1:123" ht="14.45">
      <c r="A907"/>
      <c r="B907"/>
      <c r="C907"/>
      <c r="D907"/>
      <c r="E907"/>
      <c r="F907"/>
      <c r="G907"/>
      <c r="H907"/>
      <c r="I907"/>
      <c r="J907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  <c r="BR907" s="36"/>
      <c r="BS907" s="36"/>
      <c r="BT907" s="36"/>
      <c r="BU907" s="36"/>
      <c r="BV907" s="36"/>
      <c r="BW907" s="36"/>
      <c r="BX907" s="36"/>
      <c r="BY907" s="36"/>
      <c r="BZ907" s="36"/>
      <c r="CA907" s="36"/>
      <c r="CB907" s="36"/>
      <c r="CC907" s="36"/>
      <c r="CD907" s="36"/>
      <c r="CE907" s="36"/>
      <c r="CF907" s="36"/>
      <c r="CG907" s="36"/>
      <c r="CH907" s="36"/>
      <c r="CI907" s="36"/>
      <c r="CJ907" s="36"/>
      <c r="CK907" s="36"/>
      <c r="CL907" s="36"/>
      <c r="CM907" s="36"/>
      <c r="CN907" s="36"/>
      <c r="CO907" s="36"/>
      <c r="CP907" s="36"/>
      <c r="CQ907" s="36"/>
      <c r="CR907" s="36"/>
      <c r="CS907" s="36"/>
      <c r="CT907" s="36"/>
      <c r="CU907" s="36"/>
      <c r="CV907" s="36"/>
      <c r="CW907" s="36"/>
      <c r="CX907" s="36"/>
      <c r="CY907" s="36"/>
      <c r="CZ907" s="36"/>
      <c r="DA907" s="36"/>
      <c r="DB907" s="36"/>
      <c r="DC907" s="36"/>
      <c r="DD907" s="36"/>
      <c r="DE907" s="36"/>
      <c r="DF907" s="36"/>
      <c r="DG907" s="36"/>
      <c r="DH907" s="36"/>
      <c r="DI907" s="36"/>
      <c r="DJ907" s="36"/>
      <c r="DK907" s="36"/>
      <c r="DL907" s="36"/>
      <c r="DM907" s="36"/>
      <c r="DN907" s="36"/>
      <c r="DO907" s="36"/>
      <c r="DP907" s="36"/>
      <c r="DQ907" s="36"/>
      <c r="DR907" s="36"/>
      <c r="DS907" s="36"/>
    </row>
    <row r="908" spans="1:123" ht="14.45">
      <c r="A908"/>
      <c r="B908"/>
      <c r="C908"/>
      <c r="D908"/>
      <c r="E908"/>
      <c r="F908"/>
      <c r="G908"/>
      <c r="H908"/>
      <c r="I908"/>
      <c r="J908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  <c r="BR908" s="36"/>
      <c r="BS908" s="36"/>
      <c r="BT908" s="36"/>
      <c r="BU908" s="36"/>
      <c r="BV908" s="36"/>
      <c r="BW908" s="36"/>
      <c r="BX908" s="36"/>
      <c r="BY908" s="36"/>
      <c r="BZ908" s="36"/>
      <c r="CA908" s="36"/>
      <c r="CB908" s="36"/>
      <c r="CC908" s="36"/>
      <c r="CD908" s="36"/>
      <c r="CE908" s="36"/>
      <c r="CF908" s="36"/>
      <c r="CG908" s="36"/>
      <c r="CH908" s="36"/>
      <c r="CI908" s="36"/>
      <c r="CJ908" s="36"/>
      <c r="CK908" s="36"/>
      <c r="CL908" s="36"/>
      <c r="CM908" s="36"/>
      <c r="CN908" s="36"/>
      <c r="CO908" s="36"/>
      <c r="CP908" s="36"/>
      <c r="CQ908" s="36"/>
      <c r="CR908" s="36"/>
      <c r="CS908" s="36"/>
      <c r="CT908" s="36"/>
      <c r="CU908" s="36"/>
      <c r="CV908" s="36"/>
      <c r="CW908" s="36"/>
      <c r="CX908" s="36"/>
      <c r="CY908" s="36"/>
      <c r="CZ908" s="36"/>
      <c r="DA908" s="36"/>
      <c r="DB908" s="36"/>
      <c r="DC908" s="36"/>
      <c r="DD908" s="36"/>
      <c r="DE908" s="36"/>
      <c r="DF908" s="36"/>
      <c r="DG908" s="36"/>
      <c r="DH908" s="36"/>
      <c r="DI908" s="36"/>
      <c r="DJ908" s="36"/>
      <c r="DK908" s="36"/>
      <c r="DL908" s="36"/>
      <c r="DM908" s="36"/>
      <c r="DN908" s="36"/>
      <c r="DO908" s="36"/>
      <c r="DP908" s="36"/>
      <c r="DQ908" s="36"/>
      <c r="DR908" s="36"/>
      <c r="DS908" s="36"/>
    </row>
    <row r="909" spans="1:123" ht="14.45">
      <c r="A909"/>
      <c r="B909"/>
      <c r="C909"/>
      <c r="D909"/>
      <c r="E909"/>
      <c r="F909"/>
      <c r="G909"/>
      <c r="H909"/>
      <c r="I909"/>
      <c r="J909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  <c r="BR909" s="36"/>
      <c r="BS909" s="36"/>
      <c r="BT909" s="36"/>
      <c r="BU909" s="36"/>
      <c r="BV909" s="36"/>
      <c r="BW909" s="36"/>
      <c r="BX909" s="36"/>
      <c r="BY909" s="36"/>
      <c r="BZ909" s="36"/>
      <c r="CA909" s="36"/>
      <c r="CB909" s="36"/>
      <c r="CC909" s="36"/>
      <c r="CD909" s="36"/>
      <c r="CE909" s="36"/>
      <c r="CF909" s="36"/>
      <c r="CG909" s="36"/>
      <c r="CH909" s="36"/>
      <c r="CI909" s="36"/>
      <c r="CJ909" s="36"/>
      <c r="CK909" s="36"/>
      <c r="CL909" s="36"/>
      <c r="CM909" s="36"/>
      <c r="CN909" s="36"/>
      <c r="CO909" s="36"/>
      <c r="CP909" s="36"/>
      <c r="CQ909" s="36"/>
      <c r="CR909" s="36"/>
      <c r="CS909" s="36"/>
      <c r="CT909" s="36"/>
      <c r="CU909" s="36"/>
      <c r="CV909" s="36"/>
      <c r="CW909" s="36"/>
      <c r="CX909" s="36"/>
      <c r="CY909" s="36"/>
      <c r="CZ909" s="36"/>
      <c r="DA909" s="36"/>
      <c r="DB909" s="36"/>
      <c r="DC909" s="36"/>
      <c r="DD909" s="36"/>
      <c r="DE909" s="36"/>
      <c r="DF909" s="36"/>
      <c r="DG909" s="36"/>
      <c r="DH909" s="36"/>
      <c r="DI909" s="36"/>
      <c r="DJ909" s="36"/>
      <c r="DK909" s="36"/>
      <c r="DL909" s="36"/>
      <c r="DM909" s="36"/>
      <c r="DN909" s="36"/>
      <c r="DO909" s="36"/>
      <c r="DP909" s="36"/>
      <c r="DQ909" s="36"/>
      <c r="DR909" s="36"/>
      <c r="DS909" s="36"/>
    </row>
    <row r="910" spans="1:123" ht="14.45">
      <c r="A910"/>
      <c r="B910"/>
      <c r="C910"/>
      <c r="D910"/>
      <c r="E910"/>
      <c r="F910"/>
      <c r="G910"/>
      <c r="H910"/>
      <c r="I910"/>
      <c r="J910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  <c r="BP910" s="36"/>
      <c r="BQ910" s="36"/>
      <c r="BR910" s="36"/>
      <c r="BS910" s="36"/>
      <c r="BT910" s="36"/>
      <c r="BU910" s="36"/>
      <c r="BV910" s="36"/>
      <c r="BW910" s="36"/>
      <c r="BX910" s="36"/>
      <c r="BY910" s="36"/>
      <c r="BZ910" s="36"/>
      <c r="CA910" s="36"/>
      <c r="CB910" s="36"/>
      <c r="CC910" s="36"/>
      <c r="CD910" s="36"/>
      <c r="CE910" s="36"/>
      <c r="CF910" s="36"/>
      <c r="CG910" s="36"/>
      <c r="CH910" s="36"/>
      <c r="CI910" s="36"/>
      <c r="CJ910" s="36"/>
      <c r="CK910" s="36"/>
      <c r="CL910" s="36"/>
      <c r="CM910" s="36"/>
      <c r="CN910" s="36"/>
      <c r="CO910" s="36"/>
      <c r="CP910" s="36"/>
      <c r="CQ910" s="36"/>
      <c r="CR910" s="36"/>
      <c r="CS910" s="36"/>
      <c r="CT910" s="36"/>
      <c r="CU910" s="36"/>
      <c r="CV910" s="36"/>
      <c r="CW910" s="36"/>
      <c r="CX910" s="36"/>
      <c r="CY910" s="36"/>
      <c r="CZ910" s="36"/>
      <c r="DA910" s="36"/>
      <c r="DB910" s="36"/>
      <c r="DC910" s="36"/>
      <c r="DD910" s="36"/>
      <c r="DE910" s="36"/>
      <c r="DF910" s="36"/>
      <c r="DG910" s="36"/>
      <c r="DH910" s="36"/>
      <c r="DI910" s="36"/>
      <c r="DJ910" s="36"/>
      <c r="DK910" s="36"/>
      <c r="DL910" s="36"/>
      <c r="DM910" s="36"/>
      <c r="DN910" s="36"/>
      <c r="DO910" s="36"/>
      <c r="DP910" s="36"/>
      <c r="DQ910" s="36"/>
      <c r="DR910" s="36"/>
      <c r="DS910" s="36"/>
    </row>
    <row r="911" spans="1:123" ht="14.45">
      <c r="A911"/>
      <c r="B911"/>
      <c r="C911"/>
      <c r="D911"/>
      <c r="E911"/>
      <c r="F911"/>
      <c r="G911"/>
      <c r="H911"/>
      <c r="I911"/>
      <c r="J911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  <c r="BR911" s="36"/>
      <c r="BS911" s="36"/>
      <c r="BT911" s="36"/>
      <c r="BU911" s="36"/>
      <c r="BV911" s="36"/>
      <c r="BW911" s="36"/>
      <c r="BX911" s="36"/>
      <c r="BY911" s="36"/>
      <c r="BZ911" s="36"/>
      <c r="CA911" s="36"/>
      <c r="CB911" s="36"/>
      <c r="CC911" s="36"/>
      <c r="CD911" s="36"/>
      <c r="CE911" s="36"/>
      <c r="CF911" s="36"/>
      <c r="CG911" s="36"/>
      <c r="CH911" s="36"/>
      <c r="CI911" s="36"/>
      <c r="CJ911" s="36"/>
      <c r="CK911" s="36"/>
      <c r="CL911" s="36"/>
      <c r="CM911" s="36"/>
      <c r="CN911" s="36"/>
      <c r="CO911" s="36"/>
      <c r="CP911" s="36"/>
      <c r="CQ911" s="36"/>
      <c r="CR911" s="36"/>
      <c r="CS911" s="36"/>
      <c r="CT911" s="36"/>
      <c r="CU911" s="36"/>
      <c r="CV911" s="36"/>
      <c r="CW911" s="36"/>
      <c r="CX911" s="36"/>
      <c r="CY911" s="36"/>
      <c r="CZ911" s="36"/>
      <c r="DA911" s="36"/>
      <c r="DB911" s="36"/>
      <c r="DC911" s="36"/>
      <c r="DD911" s="36"/>
      <c r="DE911" s="36"/>
      <c r="DF911" s="36"/>
      <c r="DG911" s="36"/>
      <c r="DH911" s="36"/>
      <c r="DI911" s="36"/>
      <c r="DJ911" s="36"/>
      <c r="DK911" s="36"/>
      <c r="DL911" s="36"/>
      <c r="DM911" s="36"/>
      <c r="DN911" s="36"/>
      <c r="DO911" s="36"/>
      <c r="DP911" s="36"/>
      <c r="DQ911" s="36"/>
      <c r="DR911" s="36"/>
      <c r="DS911" s="36"/>
    </row>
    <row r="912" spans="1:123" ht="14.45">
      <c r="A912"/>
      <c r="B912"/>
      <c r="C912"/>
      <c r="D912"/>
      <c r="E912"/>
      <c r="F912"/>
      <c r="G912"/>
      <c r="H912"/>
      <c r="I912"/>
      <c r="J912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6"/>
      <c r="CA912" s="36"/>
      <c r="CB912" s="36"/>
      <c r="CC912" s="36"/>
      <c r="CD912" s="36"/>
      <c r="CE912" s="36"/>
      <c r="CF912" s="36"/>
      <c r="CG912" s="36"/>
      <c r="CH912" s="36"/>
      <c r="CI912" s="36"/>
      <c r="CJ912" s="36"/>
      <c r="CK912" s="36"/>
      <c r="CL912" s="36"/>
      <c r="CM912" s="36"/>
      <c r="CN912" s="36"/>
      <c r="CO912" s="36"/>
      <c r="CP912" s="36"/>
      <c r="CQ912" s="36"/>
      <c r="CR912" s="36"/>
      <c r="CS912" s="36"/>
      <c r="CT912" s="36"/>
      <c r="CU912" s="36"/>
      <c r="CV912" s="36"/>
      <c r="CW912" s="36"/>
      <c r="CX912" s="36"/>
      <c r="CY912" s="36"/>
      <c r="CZ912" s="36"/>
      <c r="DA912" s="36"/>
      <c r="DB912" s="36"/>
      <c r="DC912" s="36"/>
      <c r="DD912" s="36"/>
      <c r="DE912" s="36"/>
      <c r="DF912" s="36"/>
      <c r="DG912" s="36"/>
      <c r="DH912" s="36"/>
      <c r="DI912" s="36"/>
      <c r="DJ912" s="36"/>
      <c r="DK912" s="36"/>
      <c r="DL912" s="36"/>
      <c r="DM912" s="36"/>
      <c r="DN912" s="36"/>
      <c r="DO912" s="36"/>
      <c r="DP912" s="36"/>
      <c r="DQ912" s="36"/>
      <c r="DR912" s="36"/>
      <c r="DS912" s="36"/>
    </row>
    <row r="913" spans="1:123" ht="14.45">
      <c r="A913"/>
      <c r="B913"/>
      <c r="C913"/>
      <c r="D913"/>
      <c r="E913"/>
      <c r="F913"/>
      <c r="G913"/>
      <c r="H913"/>
      <c r="I913"/>
      <c r="J913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  <c r="BP913" s="36"/>
      <c r="BQ913" s="36"/>
      <c r="BR913" s="36"/>
      <c r="BS913" s="36"/>
      <c r="BT913" s="36"/>
      <c r="BU913" s="36"/>
      <c r="BV913" s="36"/>
      <c r="BW913" s="36"/>
      <c r="BX913" s="36"/>
      <c r="BY913" s="36"/>
      <c r="BZ913" s="36"/>
      <c r="CA913" s="36"/>
      <c r="CB913" s="36"/>
      <c r="CC913" s="36"/>
      <c r="CD913" s="36"/>
      <c r="CE913" s="36"/>
      <c r="CF913" s="36"/>
      <c r="CG913" s="36"/>
      <c r="CH913" s="36"/>
      <c r="CI913" s="36"/>
      <c r="CJ913" s="36"/>
      <c r="CK913" s="36"/>
      <c r="CL913" s="36"/>
      <c r="CM913" s="36"/>
      <c r="CN913" s="36"/>
      <c r="CO913" s="36"/>
      <c r="CP913" s="36"/>
      <c r="CQ913" s="36"/>
      <c r="CR913" s="36"/>
      <c r="CS913" s="36"/>
      <c r="CT913" s="36"/>
      <c r="CU913" s="36"/>
      <c r="CV913" s="36"/>
      <c r="CW913" s="36"/>
      <c r="CX913" s="36"/>
      <c r="CY913" s="36"/>
      <c r="CZ913" s="36"/>
      <c r="DA913" s="36"/>
      <c r="DB913" s="36"/>
      <c r="DC913" s="36"/>
      <c r="DD913" s="36"/>
      <c r="DE913" s="36"/>
      <c r="DF913" s="36"/>
      <c r="DG913" s="36"/>
      <c r="DH913" s="36"/>
      <c r="DI913" s="36"/>
      <c r="DJ913" s="36"/>
      <c r="DK913" s="36"/>
      <c r="DL913" s="36"/>
      <c r="DM913" s="36"/>
      <c r="DN913" s="36"/>
      <c r="DO913" s="36"/>
      <c r="DP913" s="36"/>
      <c r="DQ913" s="36"/>
      <c r="DR913" s="36"/>
      <c r="DS913" s="36"/>
    </row>
    <row r="914" spans="1:123" ht="14.45">
      <c r="A914"/>
      <c r="B914"/>
      <c r="C914"/>
      <c r="D914"/>
      <c r="E914"/>
      <c r="F914"/>
      <c r="G914"/>
      <c r="H914"/>
      <c r="I914"/>
      <c r="J914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  <c r="BP914" s="36"/>
      <c r="BQ914" s="36"/>
      <c r="BR914" s="36"/>
      <c r="BS914" s="36"/>
      <c r="BT914" s="36"/>
      <c r="BU914" s="36"/>
      <c r="BV914" s="36"/>
      <c r="BW914" s="36"/>
      <c r="BX914" s="36"/>
      <c r="BY914" s="36"/>
      <c r="BZ914" s="36"/>
      <c r="CA914" s="36"/>
      <c r="CB914" s="36"/>
      <c r="CC914" s="36"/>
      <c r="CD914" s="36"/>
      <c r="CE914" s="36"/>
      <c r="CF914" s="36"/>
      <c r="CG914" s="36"/>
      <c r="CH914" s="36"/>
      <c r="CI914" s="36"/>
      <c r="CJ914" s="36"/>
      <c r="CK914" s="36"/>
      <c r="CL914" s="36"/>
      <c r="CM914" s="36"/>
      <c r="CN914" s="36"/>
      <c r="CO914" s="36"/>
      <c r="CP914" s="36"/>
      <c r="CQ914" s="36"/>
      <c r="CR914" s="36"/>
      <c r="CS914" s="36"/>
      <c r="CT914" s="36"/>
      <c r="CU914" s="36"/>
      <c r="CV914" s="36"/>
      <c r="CW914" s="36"/>
      <c r="CX914" s="36"/>
      <c r="CY914" s="36"/>
      <c r="CZ914" s="36"/>
      <c r="DA914" s="36"/>
      <c r="DB914" s="36"/>
      <c r="DC914" s="36"/>
      <c r="DD914" s="36"/>
      <c r="DE914" s="36"/>
      <c r="DF914" s="36"/>
      <c r="DG914" s="36"/>
      <c r="DH914" s="36"/>
      <c r="DI914" s="36"/>
      <c r="DJ914" s="36"/>
      <c r="DK914" s="36"/>
      <c r="DL914" s="36"/>
      <c r="DM914" s="36"/>
      <c r="DN914" s="36"/>
      <c r="DO914" s="36"/>
      <c r="DP914" s="36"/>
      <c r="DQ914" s="36"/>
      <c r="DR914" s="36"/>
      <c r="DS914" s="36"/>
    </row>
    <row r="915" spans="1:123" ht="14.45">
      <c r="A915"/>
      <c r="B915"/>
      <c r="C915"/>
      <c r="D915"/>
      <c r="E915"/>
      <c r="F915"/>
      <c r="G915"/>
      <c r="H915"/>
      <c r="I915"/>
      <c r="J915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  <c r="BR915" s="36"/>
      <c r="BS915" s="36"/>
      <c r="BT915" s="36"/>
      <c r="BU915" s="36"/>
      <c r="BV915" s="36"/>
      <c r="BW915" s="36"/>
      <c r="BX915" s="36"/>
      <c r="BY915" s="36"/>
      <c r="BZ915" s="36"/>
      <c r="CA915" s="36"/>
      <c r="CB915" s="36"/>
      <c r="CC915" s="36"/>
      <c r="CD915" s="36"/>
      <c r="CE915" s="36"/>
      <c r="CF915" s="36"/>
      <c r="CG915" s="36"/>
      <c r="CH915" s="36"/>
      <c r="CI915" s="36"/>
      <c r="CJ915" s="36"/>
      <c r="CK915" s="36"/>
      <c r="CL915" s="36"/>
      <c r="CM915" s="36"/>
      <c r="CN915" s="36"/>
      <c r="CO915" s="36"/>
      <c r="CP915" s="36"/>
      <c r="CQ915" s="36"/>
      <c r="CR915" s="36"/>
      <c r="CS915" s="36"/>
      <c r="CT915" s="36"/>
      <c r="CU915" s="36"/>
      <c r="CV915" s="36"/>
      <c r="CW915" s="36"/>
      <c r="CX915" s="36"/>
      <c r="CY915" s="36"/>
      <c r="CZ915" s="36"/>
      <c r="DA915" s="36"/>
      <c r="DB915" s="36"/>
      <c r="DC915" s="36"/>
      <c r="DD915" s="36"/>
      <c r="DE915" s="36"/>
      <c r="DF915" s="36"/>
      <c r="DG915" s="36"/>
      <c r="DH915" s="36"/>
      <c r="DI915" s="36"/>
      <c r="DJ915" s="36"/>
      <c r="DK915" s="36"/>
      <c r="DL915" s="36"/>
      <c r="DM915" s="36"/>
      <c r="DN915" s="36"/>
      <c r="DO915" s="36"/>
      <c r="DP915" s="36"/>
      <c r="DQ915" s="36"/>
      <c r="DR915" s="36"/>
      <c r="DS915" s="36"/>
    </row>
    <row r="916" spans="1:123" ht="14.45">
      <c r="A916"/>
      <c r="B916"/>
      <c r="C916"/>
      <c r="D916"/>
      <c r="E916"/>
      <c r="F916"/>
      <c r="G916"/>
      <c r="H916"/>
      <c r="I916"/>
      <c r="J91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  <c r="BR916" s="36"/>
      <c r="BS916" s="36"/>
      <c r="BT916" s="36"/>
      <c r="BU916" s="36"/>
      <c r="BV916" s="36"/>
      <c r="BW916" s="36"/>
      <c r="BX916" s="36"/>
      <c r="BY916" s="36"/>
      <c r="BZ916" s="36"/>
      <c r="CA916" s="36"/>
      <c r="CB916" s="36"/>
      <c r="CC916" s="36"/>
      <c r="CD916" s="36"/>
      <c r="CE916" s="36"/>
      <c r="CF916" s="36"/>
      <c r="CG916" s="36"/>
      <c r="CH916" s="36"/>
      <c r="CI916" s="36"/>
      <c r="CJ916" s="36"/>
      <c r="CK916" s="36"/>
      <c r="CL916" s="36"/>
      <c r="CM916" s="36"/>
      <c r="CN916" s="36"/>
      <c r="CO916" s="36"/>
      <c r="CP916" s="36"/>
      <c r="CQ916" s="36"/>
      <c r="CR916" s="36"/>
      <c r="CS916" s="36"/>
      <c r="CT916" s="36"/>
      <c r="CU916" s="36"/>
      <c r="CV916" s="36"/>
      <c r="CW916" s="36"/>
      <c r="CX916" s="36"/>
      <c r="CY916" s="36"/>
      <c r="CZ916" s="36"/>
      <c r="DA916" s="36"/>
      <c r="DB916" s="36"/>
      <c r="DC916" s="36"/>
      <c r="DD916" s="36"/>
      <c r="DE916" s="36"/>
      <c r="DF916" s="36"/>
      <c r="DG916" s="36"/>
      <c r="DH916" s="36"/>
      <c r="DI916" s="36"/>
      <c r="DJ916" s="36"/>
      <c r="DK916" s="36"/>
      <c r="DL916" s="36"/>
      <c r="DM916" s="36"/>
      <c r="DN916" s="36"/>
      <c r="DO916" s="36"/>
      <c r="DP916" s="36"/>
      <c r="DQ916" s="36"/>
      <c r="DR916" s="36"/>
      <c r="DS916" s="36"/>
    </row>
    <row r="917" spans="1:123" ht="14.45">
      <c r="A917"/>
      <c r="B917"/>
      <c r="C917"/>
      <c r="D917"/>
      <c r="E917"/>
      <c r="F917"/>
      <c r="G917"/>
      <c r="H917"/>
      <c r="I917"/>
      <c r="J917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  <c r="BR917" s="36"/>
      <c r="BS917" s="36"/>
      <c r="BT917" s="36"/>
      <c r="BU917" s="36"/>
      <c r="BV917" s="36"/>
      <c r="BW917" s="36"/>
      <c r="BX917" s="36"/>
      <c r="BY917" s="36"/>
      <c r="BZ917" s="36"/>
      <c r="CA917" s="36"/>
      <c r="CB917" s="36"/>
      <c r="CC917" s="36"/>
      <c r="CD917" s="36"/>
      <c r="CE917" s="36"/>
      <c r="CF917" s="36"/>
      <c r="CG917" s="36"/>
      <c r="CH917" s="36"/>
      <c r="CI917" s="36"/>
      <c r="CJ917" s="36"/>
      <c r="CK917" s="36"/>
      <c r="CL917" s="36"/>
      <c r="CM917" s="36"/>
      <c r="CN917" s="36"/>
      <c r="CO917" s="36"/>
      <c r="CP917" s="36"/>
      <c r="CQ917" s="36"/>
      <c r="CR917" s="36"/>
      <c r="CS917" s="36"/>
      <c r="CT917" s="36"/>
      <c r="CU917" s="36"/>
      <c r="CV917" s="36"/>
      <c r="CW917" s="36"/>
      <c r="CX917" s="36"/>
      <c r="CY917" s="36"/>
      <c r="CZ917" s="36"/>
      <c r="DA917" s="36"/>
      <c r="DB917" s="36"/>
      <c r="DC917" s="36"/>
      <c r="DD917" s="36"/>
      <c r="DE917" s="36"/>
      <c r="DF917" s="36"/>
      <c r="DG917" s="36"/>
      <c r="DH917" s="36"/>
      <c r="DI917" s="36"/>
      <c r="DJ917" s="36"/>
      <c r="DK917" s="36"/>
      <c r="DL917" s="36"/>
      <c r="DM917" s="36"/>
      <c r="DN917" s="36"/>
      <c r="DO917" s="36"/>
      <c r="DP917" s="36"/>
      <c r="DQ917" s="36"/>
      <c r="DR917" s="36"/>
      <c r="DS917" s="36"/>
    </row>
    <row r="918" spans="1:123" ht="14.45">
      <c r="A918"/>
      <c r="B918"/>
      <c r="C918"/>
      <c r="D918"/>
      <c r="E918"/>
      <c r="F918"/>
      <c r="G918"/>
      <c r="H918"/>
      <c r="I918"/>
      <c r="J918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  <c r="BP918" s="36"/>
      <c r="BQ918" s="36"/>
      <c r="BR918" s="36"/>
      <c r="BS918" s="36"/>
      <c r="BT918" s="36"/>
      <c r="BU918" s="36"/>
      <c r="BV918" s="36"/>
      <c r="BW918" s="36"/>
      <c r="BX918" s="36"/>
      <c r="BY918" s="36"/>
      <c r="BZ918" s="36"/>
      <c r="CA918" s="36"/>
      <c r="CB918" s="36"/>
      <c r="CC918" s="36"/>
      <c r="CD918" s="36"/>
      <c r="CE918" s="36"/>
      <c r="CF918" s="36"/>
      <c r="CG918" s="36"/>
      <c r="CH918" s="36"/>
      <c r="CI918" s="36"/>
      <c r="CJ918" s="36"/>
      <c r="CK918" s="36"/>
      <c r="CL918" s="36"/>
      <c r="CM918" s="36"/>
      <c r="CN918" s="36"/>
      <c r="CO918" s="36"/>
      <c r="CP918" s="36"/>
      <c r="CQ918" s="36"/>
      <c r="CR918" s="36"/>
      <c r="CS918" s="36"/>
      <c r="CT918" s="36"/>
      <c r="CU918" s="36"/>
      <c r="CV918" s="36"/>
      <c r="CW918" s="36"/>
      <c r="CX918" s="36"/>
      <c r="CY918" s="36"/>
      <c r="CZ918" s="36"/>
      <c r="DA918" s="36"/>
      <c r="DB918" s="36"/>
      <c r="DC918" s="36"/>
      <c r="DD918" s="36"/>
      <c r="DE918" s="36"/>
      <c r="DF918" s="36"/>
      <c r="DG918" s="36"/>
      <c r="DH918" s="36"/>
      <c r="DI918" s="36"/>
      <c r="DJ918" s="36"/>
      <c r="DK918" s="36"/>
      <c r="DL918" s="36"/>
      <c r="DM918" s="36"/>
      <c r="DN918" s="36"/>
      <c r="DO918" s="36"/>
      <c r="DP918" s="36"/>
      <c r="DQ918" s="36"/>
      <c r="DR918" s="36"/>
      <c r="DS918" s="36"/>
    </row>
    <row r="919" spans="1:123" ht="14.45">
      <c r="A919"/>
      <c r="B919"/>
      <c r="C919"/>
      <c r="D919"/>
      <c r="E919"/>
      <c r="F919"/>
      <c r="G919"/>
      <c r="H919"/>
      <c r="I919"/>
      <c r="J919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  <c r="BP919" s="36"/>
      <c r="BQ919" s="36"/>
      <c r="BR919" s="36"/>
      <c r="BS919" s="36"/>
      <c r="BT919" s="36"/>
      <c r="BU919" s="36"/>
      <c r="BV919" s="36"/>
      <c r="BW919" s="36"/>
      <c r="BX919" s="36"/>
      <c r="BY919" s="36"/>
      <c r="BZ919" s="36"/>
      <c r="CA919" s="36"/>
      <c r="CB919" s="36"/>
      <c r="CC919" s="36"/>
      <c r="CD919" s="36"/>
      <c r="CE919" s="36"/>
      <c r="CF919" s="36"/>
      <c r="CG919" s="36"/>
      <c r="CH919" s="36"/>
      <c r="CI919" s="36"/>
      <c r="CJ919" s="36"/>
      <c r="CK919" s="36"/>
      <c r="CL919" s="36"/>
      <c r="CM919" s="36"/>
      <c r="CN919" s="36"/>
      <c r="CO919" s="36"/>
      <c r="CP919" s="36"/>
      <c r="CQ919" s="36"/>
      <c r="CR919" s="36"/>
      <c r="CS919" s="36"/>
      <c r="CT919" s="36"/>
      <c r="CU919" s="36"/>
      <c r="CV919" s="36"/>
      <c r="CW919" s="36"/>
      <c r="CX919" s="36"/>
      <c r="CY919" s="36"/>
      <c r="CZ919" s="36"/>
      <c r="DA919" s="36"/>
      <c r="DB919" s="36"/>
      <c r="DC919" s="36"/>
      <c r="DD919" s="36"/>
      <c r="DE919" s="36"/>
      <c r="DF919" s="36"/>
      <c r="DG919" s="36"/>
      <c r="DH919" s="36"/>
      <c r="DI919" s="36"/>
      <c r="DJ919" s="36"/>
      <c r="DK919" s="36"/>
      <c r="DL919" s="36"/>
      <c r="DM919" s="36"/>
      <c r="DN919" s="36"/>
      <c r="DO919" s="36"/>
      <c r="DP919" s="36"/>
      <c r="DQ919" s="36"/>
      <c r="DR919" s="36"/>
      <c r="DS919" s="36"/>
    </row>
    <row r="920" spans="1:123" ht="14.45">
      <c r="A920"/>
      <c r="B920"/>
      <c r="C920"/>
      <c r="D920"/>
      <c r="E920"/>
      <c r="F920"/>
      <c r="G920"/>
      <c r="H920"/>
      <c r="I920"/>
      <c r="J920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  <c r="BP920" s="36"/>
      <c r="BQ920" s="36"/>
      <c r="BR920" s="36"/>
      <c r="BS920" s="36"/>
      <c r="BT920" s="36"/>
      <c r="BU920" s="36"/>
      <c r="BV920" s="36"/>
      <c r="BW920" s="36"/>
      <c r="BX920" s="36"/>
      <c r="BY920" s="36"/>
      <c r="BZ920" s="36"/>
      <c r="CA920" s="36"/>
      <c r="CB920" s="36"/>
      <c r="CC920" s="36"/>
      <c r="CD920" s="36"/>
      <c r="CE920" s="36"/>
      <c r="CF920" s="36"/>
      <c r="CG920" s="36"/>
      <c r="CH920" s="36"/>
      <c r="CI920" s="36"/>
      <c r="CJ920" s="36"/>
      <c r="CK920" s="36"/>
      <c r="CL920" s="36"/>
      <c r="CM920" s="36"/>
      <c r="CN920" s="36"/>
      <c r="CO920" s="36"/>
      <c r="CP920" s="36"/>
      <c r="CQ920" s="36"/>
      <c r="CR920" s="36"/>
      <c r="CS920" s="36"/>
      <c r="CT920" s="36"/>
      <c r="CU920" s="36"/>
      <c r="CV920" s="36"/>
      <c r="CW920" s="36"/>
      <c r="CX920" s="36"/>
      <c r="CY920" s="36"/>
      <c r="CZ920" s="36"/>
      <c r="DA920" s="36"/>
      <c r="DB920" s="36"/>
      <c r="DC920" s="36"/>
      <c r="DD920" s="36"/>
      <c r="DE920" s="36"/>
      <c r="DF920" s="36"/>
      <c r="DG920" s="36"/>
      <c r="DH920" s="36"/>
      <c r="DI920" s="36"/>
      <c r="DJ920" s="36"/>
      <c r="DK920" s="36"/>
      <c r="DL920" s="36"/>
      <c r="DM920" s="36"/>
      <c r="DN920" s="36"/>
      <c r="DO920" s="36"/>
      <c r="DP920" s="36"/>
      <c r="DQ920" s="36"/>
      <c r="DR920" s="36"/>
      <c r="DS920" s="36"/>
    </row>
    <row r="921" spans="1:123" ht="14.45">
      <c r="A921"/>
      <c r="B921"/>
      <c r="C921"/>
      <c r="D921"/>
      <c r="E921"/>
      <c r="F921"/>
      <c r="G921"/>
      <c r="H921"/>
      <c r="I921"/>
      <c r="J921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  <c r="BP921" s="36"/>
      <c r="BQ921" s="36"/>
      <c r="BR921" s="36"/>
      <c r="BS921" s="36"/>
      <c r="BT921" s="36"/>
      <c r="BU921" s="36"/>
      <c r="BV921" s="36"/>
      <c r="BW921" s="36"/>
      <c r="BX921" s="36"/>
      <c r="BY921" s="36"/>
      <c r="BZ921" s="36"/>
      <c r="CA921" s="36"/>
      <c r="CB921" s="36"/>
      <c r="CC921" s="36"/>
      <c r="CD921" s="36"/>
      <c r="CE921" s="36"/>
      <c r="CF921" s="36"/>
      <c r="CG921" s="36"/>
      <c r="CH921" s="36"/>
      <c r="CI921" s="36"/>
      <c r="CJ921" s="36"/>
      <c r="CK921" s="36"/>
      <c r="CL921" s="36"/>
      <c r="CM921" s="36"/>
      <c r="CN921" s="36"/>
      <c r="CO921" s="36"/>
      <c r="CP921" s="36"/>
      <c r="CQ921" s="36"/>
      <c r="CR921" s="36"/>
      <c r="CS921" s="36"/>
      <c r="CT921" s="36"/>
      <c r="CU921" s="36"/>
      <c r="CV921" s="36"/>
      <c r="CW921" s="36"/>
      <c r="CX921" s="36"/>
      <c r="CY921" s="36"/>
      <c r="CZ921" s="36"/>
      <c r="DA921" s="36"/>
      <c r="DB921" s="36"/>
      <c r="DC921" s="36"/>
      <c r="DD921" s="36"/>
      <c r="DE921" s="36"/>
      <c r="DF921" s="36"/>
      <c r="DG921" s="36"/>
      <c r="DH921" s="36"/>
      <c r="DI921" s="36"/>
      <c r="DJ921" s="36"/>
      <c r="DK921" s="36"/>
      <c r="DL921" s="36"/>
      <c r="DM921" s="36"/>
      <c r="DN921" s="36"/>
      <c r="DO921" s="36"/>
      <c r="DP921" s="36"/>
      <c r="DQ921" s="36"/>
      <c r="DR921" s="36"/>
      <c r="DS921" s="36"/>
    </row>
    <row r="922" spans="1:123" ht="14.45">
      <c r="A922"/>
      <c r="B922"/>
      <c r="C922"/>
      <c r="D922"/>
      <c r="E922"/>
      <c r="F922"/>
      <c r="G922"/>
      <c r="H922"/>
      <c r="I922"/>
      <c r="J922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/>
      <c r="BQ922" s="36"/>
      <c r="BR922" s="36"/>
      <c r="BS922" s="36"/>
      <c r="BT922" s="36"/>
      <c r="BU922" s="36"/>
      <c r="BV922" s="36"/>
      <c r="BW922" s="36"/>
      <c r="BX922" s="36"/>
      <c r="BY922" s="36"/>
      <c r="BZ922" s="36"/>
      <c r="CA922" s="36"/>
      <c r="CB922" s="36"/>
      <c r="CC922" s="36"/>
      <c r="CD922" s="36"/>
      <c r="CE922" s="36"/>
      <c r="CF922" s="36"/>
      <c r="CG922" s="36"/>
      <c r="CH922" s="36"/>
      <c r="CI922" s="36"/>
      <c r="CJ922" s="36"/>
      <c r="CK922" s="36"/>
      <c r="CL922" s="36"/>
      <c r="CM922" s="36"/>
      <c r="CN922" s="36"/>
      <c r="CO922" s="36"/>
      <c r="CP922" s="36"/>
      <c r="CQ922" s="36"/>
      <c r="CR922" s="36"/>
      <c r="CS922" s="36"/>
      <c r="CT922" s="36"/>
      <c r="CU922" s="36"/>
      <c r="CV922" s="36"/>
      <c r="CW922" s="36"/>
      <c r="CX922" s="36"/>
      <c r="CY922" s="36"/>
      <c r="CZ922" s="36"/>
      <c r="DA922" s="36"/>
      <c r="DB922" s="36"/>
      <c r="DC922" s="36"/>
      <c r="DD922" s="36"/>
      <c r="DE922" s="36"/>
      <c r="DF922" s="36"/>
      <c r="DG922" s="36"/>
      <c r="DH922" s="36"/>
      <c r="DI922" s="36"/>
      <c r="DJ922" s="36"/>
      <c r="DK922" s="36"/>
      <c r="DL922" s="36"/>
      <c r="DM922" s="36"/>
      <c r="DN922" s="36"/>
      <c r="DO922" s="36"/>
      <c r="DP922" s="36"/>
      <c r="DQ922" s="36"/>
      <c r="DR922" s="36"/>
      <c r="DS922" s="36"/>
    </row>
    <row r="923" spans="1:1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  <c r="BP923" s="36"/>
      <c r="BQ923" s="36"/>
      <c r="BR923" s="36"/>
      <c r="BS923" s="36"/>
      <c r="BT923" s="36"/>
      <c r="BU923" s="36"/>
      <c r="BV923" s="36"/>
      <c r="BW923" s="36"/>
      <c r="BX923" s="36"/>
      <c r="BY923" s="36"/>
      <c r="BZ923" s="36"/>
      <c r="CA923" s="36"/>
      <c r="CB923" s="36"/>
      <c r="CC923" s="36"/>
      <c r="CD923" s="36"/>
      <c r="CE923" s="36"/>
      <c r="CF923" s="36"/>
      <c r="CG923" s="36"/>
      <c r="CH923" s="36"/>
      <c r="CI923" s="36"/>
      <c r="CJ923" s="36"/>
      <c r="CK923" s="36"/>
      <c r="CL923" s="36"/>
      <c r="CM923" s="36"/>
      <c r="CN923" s="36"/>
      <c r="CO923" s="36"/>
      <c r="CP923" s="36"/>
      <c r="CQ923" s="36"/>
      <c r="CR923" s="36"/>
      <c r="CS923" s="36"/>
      <c r="CT923" s="36"/>
      <c r="CU923" s="36"/>
      <c r="CV923" s="36"/>
      <c r="CW923" s="36"/>
      <c r="CX923" s="36"/>
      <c r="CY923" s="36"/>
      <c r="CZ923" s="36"/>
      <c r="DA923" s="36"/>
      <c r="DB923" s="36"/>
      <c r="DC923" s="36"/>
      <c r="DD923" s="36"/>
      <c r="DE923" s="36"/>
      <c r="DF923" s="36"/>
      <c r="DG923" s="36"/>
      <c r="DH923" s="36"/>
      <c r="DI923" s="36"/>
      <c r="DJ923" s="36"/>
      <c r="DK923" s="36"/>
      <c r="DL923" s="36"/>
      <c r="DM923" s="36"/>
      <c r="DN923" s="36"/>
      <c r="DO923" s="36"/>
      <c r="DP923" s="36"/>
      <c r="DQ923" s="36"/>
      <c r="DR923" s="36"/>
      <c r="DS923" s="36"/>
    </row>
  </sheetData>
  <conditionalFormatting sqref="K5:L190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3D18D72676D47AA7C3C1C9EB051F7" ma:contentTypeVersion="16" ma:contentTypeDescription="Create a new document." ma:contentTypeScope="" ma:versionID="5ce0928fd645807c6f21653f64fad326">
  <xsd:schema xmlns:xsd="http://www.w3.org/2001/XMLSchema" xmlns:xs="http://www.w3.org/2001/XMLSchema" xmlns:p="http://schemas.microsoft.com/office/2006/metadata/properties" xmlns:ns2="474829a4-a40a-4363-a6f3-a45ddeb8725a" xmlns:ns3="4cb71a79-cb5e-4503-9be7-1bf9a81b48d1" targetNamespace="http://schemas.microsoft.com/office/2006/metadata/properties" ma:root="true" ma:fieldsID="9210b4657cf26e035bf1276e2e4ddf33" ns2:_="" ns3:_="">
    <xsd:import namespace="474829a4-a40a-4363-a6f3-a45ddeb8725a"/>
    <xsd:import namespace="4cb71a79-cb5e-4503-9be7-1bf9a81b4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829a4-a40a-4363-a6f3-a45ddeb87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71a79-cb5e-4503-9be7-1bf9a81b48d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66fbd9e-d32e-4ed4-8089-c9b5452c55aa}" ma:internalName="TaxCatchAll" ma:showField="CatchAllData" ma:web="4cb71a79-cb5e-4503-9be7-1bf9a81b4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71a79-cb5e-4503-9be7-1bf9a81b48d1" xsi:nil="true"/>
    <lcf76f155ced4ddcb4097134ff3c332f xmlns="474829a4-a40a-4363-a6f3-a45ddeb872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505E6-B0BC-4975-83D4-73E30781DBDC}"/>
</file>

<file path=customXml/itemProps2.xml><?xml version="1.0" encoding="utf-8"?>
<ds:datastoreItem xmlns:ds="http://schemas.openxmlformats.org/officeDocument/2006/customXml" ds:itemID="{671CC69E-D78D-4392-AE1B-FA854437BF9E}"/>
</file>

<file path=customXml/itemProps3.xml><?xml version="1.0" encoding="utf-8"?>
<ds:datastoreItem xmlns:ds="http://schemas.openxmlformats.org/officeDocument/2006/customXml" ds:itemID="{20743784-302F-4750-8DAD-A012B0E46E08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Krishnan, Pirtheebaa</dc:creator>
  <cp:keywords/>
  <dc:description/>
  <cp:lastModifiedBy>SARGURUNATHAN, NAVEENKUMAR</cp:lastModifiedBy>
  <cp:revision/>
  <dcterms:created xsi:type="dcterms:W3CDTF">2025-11-25T05:03:34Z</dcterms:created>
  <dcterms:modified xsi:type="dcterms:W3CDTF">2026-04-07T14:09:56Z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0x010100DE63D18D72676D47AA7C3C1C9EB051F7</vt:lpwstr>
  </property>
  <property fmtid="{D5CDD505-2E9C-101B-9397-08002B2CF9AE}" pid="3" name="MediaServiceImageTags">
    <vt:lpwstr/>
  </property>
</Properties>
</file>